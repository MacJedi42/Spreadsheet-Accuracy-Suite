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15480" windowHeight="10920"/>
  </bookViews>
  <sheets>
    <sheet name="Report" sheetId="2" r:id="rId1"/>
    <sheet name="Summary" sheetId="3" r:id="rId2"/>
    <sheet name="Inputs" sheetId="1" r:id="rId3"/>
  </sheets>
  <definedNames>
    <definedName name="_xlnm.Print_Area" localSheetId="0">Report!$A$3:$C$25</definedName>
  </definedNames>
  <calcPr calcId="145621"/>
</workbook>
</file>

<file path=xl/calcChain.xml><?xml version="1.0" encoding="utf-8"?>
<calcChain xmlns="http://schemas.openxmlformats.org/spreadsheetml/2006/main">
  <c r="E9" i="2" l="1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9" i="3"/>
  <c r="E8" i="3"/>
  <c r="E7" i="3"/>
  <c r="E5" i="3" s="1"/>
  <c r="D9" i="3"/>
  <c r="D8" i="3"/>
  <c r="D7" i="3"/>
  <c r="D5" i="3"/>
  <c r="D15" i="1"/>
  <c r="D16" i="1" s="1"/>
  <c r="D17" i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/>
  <c r="D34" i="1" s="1"/>
  <c r="D35" i="1" s="1"/>
  <c r="D36" i="1" s="1"/>
  <c r="D37" i="1" s="1"/>
  <c r="D38" i="1"/>
  <c r="D39" i="1"/>
  <c r="D40" i="1" s="1"/>
  <c r="D41" i="1" s="1"/>
  <c r="D42" i="1" s="1"/>
  <c r="D43" i="1"/>
  <c r="D44" i="1" s="1"/>
  <c r="D45" i="1" s="1"/>
  <c r="D46" i="1"/>
  <c r="D47" i="1"/>
  <c r="D48" i="1" s="1"/>
  <c r="D49" i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/>
  <c r="D64" i="1" s="1"/>
  <c r="D65" i="1"/>
  <c r="D66" i="1" s="1"/>
  <c r="D67" i="1" s="1"/>
  <c r="D68" i="1" s="1"/>
  <c r="D69" i="1" s="1"/>
  <c r="D70" i="1" s="1"/>
  <c r="D71" i="1" s="1"/>
  <c r="D72" i="1" s="1"/>
  <c r="D73" i="1" s="1"/>
  <c r="D74" i="1" s="1"/>
  <c r="D75" i="1"/>
  <c r="D76" i="1" s="1"/>
  <c r="D77" i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/>
  <c r="D90" i="1" s="1"/>
  <c r="D91" i="1" s="1"/>
  <c r="D92" i="1" s="1"/>
  <c r="D93" i="1" s="1"/>
  <c r="D94" i="1" s="1"/>
  <c r="D95" i="1" s="1"/>
  <c r="D96" i="1" s="1"/>
  <c r="D97" i="1"/>
  <c r="D98" i="1" s="1"/>
  <c r="D99" i="1" s="1"/>
  <c r="D100" i="1"/>
  <c r="D101" i="1"/>
  <c r="D102" i="1" s="1"/>
  <c r="D103" i="1"/>
  <c r="D104" i="1" s="1"/>
  <c r="D105" i="1"/>
  <c r="D106" i="1" s="1"/>
  <c r="D107" i="1"/>
  <c r="D108" i="1" s="1"/>
  <c r="D109" i="1" s="1"/>
  <c r="D110" i="1" s="1"/>
  <c r="D111" i="1" s="1"/>
  <c r="D112" i="1" s="1"/>
  <c r="D113" i="1" s="1"/>
  <c r="D114" i="1" s="1"/>
  <c r="D115" i="1" s="1"/>
  <c r="D116" i="1" s="1"/>
  <c r="D117" i="1"/>
  <c r="D118" i="1" s="1"/>
  <c r="D119" i="1"/>
  <c r="D120" i="1" s="1"/>
  <c r="D121" i="1" s="1"/>
  <c r="D122" i="1" s="1"/>
  <c r="D123" i="1" s="1"/>
  <c r="D124" i="1" s="1"/>
  <c r="D125" i="1" s="1"/>
  <c r="D126" i="1" s="1"/>
  <c r="D127" i="1" s="1"/>
  <c r="D128" i="1" s="1"/>
  <c r="D129" i="1"/>
  <c r="D130" i="1"/>
  <c r="D131" i="1"/>
  <c r="D132" i="1" s="1"/>
  <c r="D133" i="1"/>
  <c r="D134" i="1" s="1"/>
  <c r="D135" i="1" s="1"/>
  <c r="D136" i="1" s="1"/>
  <c r="D137" i="1"/>
  <c r="D138" i="1" s="1"/>
  <c r="D139" i="1"/>
  <c r="D140" i="1"/>
  <c r="D141" i="1"/>
  <c r="D142" i="1" s="1"/>
  <c r="D143" i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/>
  <c r="D157" i="1"/>
  <c r="D158" i="1" s="1"/>
  <c r="D159" i="1" s="1"/>
  <c r="D160" i="1" s="1"/>
  <c r="D161" i="1"/>
  <c r="D162" i="1" s="1"/>
  <c r="D163" i="1"/>
  <c r="D164" i="1" s="1"/>
  <c r="D165" i="1"/>
  <c r="D166" i="1" s="1"/>
  <c r="D167" i="1" s="1"/>
  <c r="D168" i="1" s="1"/>
  <c r="D169" i="1"/>
  <c r="D170" i="1"/>
  <c r="D171" i="1"/>
  <c r="D172" i="1" s="1"/>
  <c r="D173" i="1" s="1"/>
  <c r="D174" i="1" s="1"/>
  <c r="D175" i="1"/>
  <c r="D176" i="1"/>
  <c r="D177" i="1" s="1"/>
  <c r="D178" i="1"/>
  <c r="D179" i="1" s="1"/>
  <c r="D180" i="1"/>
  <c r="D181" i="1" s="1"/>
  <c r="D182" i="1"/>
  <c r="D183" i="1" s="1"/>
  <c r="D184" i="1" s="1"/>
  <c r="D185" i="1" s="1"/>
  <c r="D186" i="1" s="1"/>
  <c r="D187" i="1" s="1"/>
  <c r="D188" i="1"/>
  <c r="D189" i="1" s="1"/>
  <c r="D190" i="1"/>
  <c r="D191" i="1"/>
  <c r="D192" i="1"/>
  <c r="D193" i="1" s="1"/>
  <c r="D194" i="1" s="1"/>
  <c r="D195" i="1" s="1"/>
  <c r="D196" i="1"/>
  <c r="D197" i="1"/>
  <c r="D198" i="1"/>
  <c r="D199" i="1" s="1"/>
  <c r="D200" i="1" s="1"/>
  <c r="D201" i="1" s="1"/>
  <c r="D202" i="1"/>
  <c r="D203" i="1" s="1"/>
  <c r="D204" i="1" s="1"/>
  <c r="D205" i="1" s="1"/>
  <c r="D206" i="1" s="1"/>
  <c r="D207" i="1" s="1"/>
  <c r="D208" i="1"/>
  <c r="D209" i="1" s="1"/>
  <c r="D210" i="1"/>
  <c r="D211" i="1" s="1"/>
  <c r="D212" i="1" s="1"/>
  <c r="D213" i="1" s="1"/>
  <c r="D214" i="1" s="1"/>
  <c r="D215" i="1" s="1"/>
  <c r="D216" i="1"/>
  <c r="D217" i="1" s="1"/>
  <c r="D218" i="1"/>
  <c r="D219" i="1" s="1"/>
  <c r="D220" i="1" s="1"/>
  <c r="D221" i="1" s="1"/>
  <c r="D222" i="1"/>
  <c r="D223" i="1" s="1"/>
  <c r="D224" i="1" s="1"/>
  <c r="D225" i="1" s="1"/>
  <c r="D226" i="1" s="1"/>
  <c r="D227" i="1" s="1"/>
  <c r="D228" i="1"/>
  <c r="D229" i="1" s="1"/>
  <c r="D230" i="1"/>
  <c r="D231" i="1" s="1"/>
  <c r="D232" i="1" s="1"/>
  <c r="D233" i="1" s="1"/>
  <c r="D234" i="1" s="1"/>
  <c r="D235" i="1"/>
  <c r="D236" i="1"/>
  <c r="D237" i="1" s="1"/>
  <c r="D238" i="1"/>
  <c r="D239" i="1" s="1"/>
  <c r="D240" i="1"/>
  <c r="D241" i="1" s="1"/>
  <c r="D242" i="1" s="1"/>
  <c r="D243" i="1" s="1"/>
  <c r="D244" i="1" s="1"/>
  <c r="D245" i="1"/>
  <c r="D246" i="1"/>
  <c r="D247" i="1" s="1"/>
  <c r="D248" i="1" s="1"/>
  <c r="D249" i="1"/>
  <c r="D250" i="1"/>
  <c r="D251" i="1" s="1"/>
  <c r="D252" i="1"/>
  <c r="D253" i="1" s="1"/>
  <c r="D254" i="1"/>
  <c r="D255" i="1"/>
  <c r="D256" i="1"/>
  <c r="D257" i="1" s="1"/>
  <c r="D258" i="1"/>
  <c r="D259" i="1" s="1"/>
  <c r="D260" i="1"/>
  <c r="D261" i="1" s="1"/>
  <c r="D262" i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/>
  <c r="D275" i="1" s="1"/>
  <c r="D276" i="1" s="1"/>
  <c r="D277" i="1" s="1"/>
  <c r="D278" i="1" s="1"/>
  <c r="D279" i="1"/>
  <c r="D280" i="1"/>
  <c r="D281" i="1" s="1"/>
  <c r="D282" i="1" s="1"/>
  <c r="D283" i="1" s="1"/>
  <c r="D284" i="1"/>
  <c r="D285" i="1" s="1"/>
  <c r="D286" i="1" s="1"/>
  <c r="D287" i="1" s="1"/>
  <c r="D288" i="1"/>
  <c r="D289" i="1" s="1"/>
  <c r="D290" i="1" s="1"/>
  <c r="D291" i="1" s="1"/>
  <c r="D292" i="1"/>
  <c r="D293" i="1"/>
  <c r="D294" i="1" s="1"/>
  <c r="D295" i="1" s="1"/>
  <c r="D296" i="1" s="1"/>
  <c r="D297" i="1" s="1"/>
  <c r="D298" i="1" s="1"/>
  <c r="D299" i="1" s="1"/>
  <c r="D300" i="1" s="1"/>
  <c r="D301" i="1" s="1"/>
  <c r="D302" i="1" s="1"/>
  <c r="D303" i="1"/>
  <c r="D304" i="1" s="1"/>
  <c r="D305" i="1"/>
  <c r="D306" i="1" s="1"/>
  <c r="D307" i="1"/>
  <c r="D308" i="1" s="1"/>
  <c r="D309" i="1" s="1"/>
  <c r="D310" i="1" s="1"/>
  <c r="D311" i="1" s="1"/>
  <c r="D312" i="1" s="1"/>
  <c r="D313" i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/>
  <c r="D337" i="1"/>
  <c r="D338" i="1" s="1"/>
  <c r="D339" i="1" s="1"/>
  <c r="D340" i="1" s="1"/>
  <c r="D341" i="1" s="1"/>
  <c r="D342" i="1"/>
  <c r="D343" i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/>
  <c r="D356" i="1" s="1"/>
  <c r="D357" i="1" s="1"/>
  <c r="D358" i="1"/>
  <c r="D359" i="1"/>
  <c r="D360" i="1" s="1"/>
  <c r="D361" i="1" s="1"/>
  <c r="D362" i="1" s="1"/>
  <c r="D363" i="1" s="1"/>
  <c r="D364" i="1" s="1"/>
  <c r="D365" i="1" s="1"/>
  <c r="D366" i="1" s="1"/>
  <c r="D367" i="1" s="1"/>
  <c r="D368" i="1" s="1"/>
  <c r="D369" i="1"/>
  <c r="D370" i="1" s="1"/>
  <c r="D371" i="1" s="1"/>
  <c r="D372" i="1" s="1"/>
  <c r="D373" i="1" s="1"/>
  <c r="D374" i="1" s="1"/>
  <c r="D375" i="1" s="1"/>
  <c r="D376" i="1" s="1"/>
  <c r="D377" i="1" s="1"/>
  <c r="D378" i="1" s="1"/>
  <c r="D379" i="1"/>
  <c r="D380" i="1" s="1"/>
  <c r="D381" i="1" s="1"/>
  <c r="D382" i="1" s="1"/>
  <c r="D383" i="1"/>
  <c r="D384" i="1" s="1"/>
  <c r="D385" i="1" s="1"/>
  <c r="D386" i="1"/>
  <c r="D387" i="1"/>
  <c r="D388" i="1"/>
  <c r="D389" i="1"/>
  <c r="D390" i="1"/>
  <c r="D391" i="1"/>
  <c r="D392" i="1" s="1"/>
  <c r="D393" i="1" s="1"/>
  <c r="D394" i="1"/>
  <c r="D395" i="1"/>
  <c r="D396" i="1" s="1"/>
  <c r="D397" i="1" s="1"/>
  <c r="D398" i="1"/>
  <c r="D399" i="1"/>
  <c r="D400" i="1" s="1"/>
  <c r="D401" i="1" s="1"/>
  <c r="D402" i="1" s="1"/>
  <c r="D403" i="1" s="1"/>
  <c r="D404" i="1"/>
  <c r="D405" i="1"/>
  <c r="D406" i="1" s="1"/>
  <c r="D407" i="1" s="1"/>
  <c r="D408" i="1" s="1"/>
  <c r="D409" i="1" s="1"/>
  <c r="D410" i="1" s="1"/>
  <c r="D411" i="1" s="1"/>
  <c r="D412" i="1"/>
  <c r="D413" i="1"/>
  <c r="D414" i="1"/>
  <c r="D415" i="1"/>
  <c r="D416" i="1" s="1"/>
  <c r="D417" i="1" s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 s="1"/>
  <c r="D433" i="1" s="1"/>
  <c r="D434" i="1" s="1"/>
  <c r="D435" i="1" s="1"/>
  <c r="D436" i="1" s="1"/>
  <c r="D437" i="1" s="1"/>
  <c r="D438" i="1" s="1"/>
  <c r="D439" i="1" s="1"/>
  <c r="D440" i="1" s="1"/>
  <c r="D441" i="1"/>
  <c r="D442" i="1"/>
  <c r="D443" i="1"/>
  <c r="D444" i="1"/>
  <c r="D445" i="1" s="1"/>
  <c r="D446" i="1" s="1"/>
  <c r="D447" i="1"/>
  <c r="D448" i="1"/>
  <c r="D449" i="1"/>
  <c r="D450" i="1"/>
  <c r="D451" i="1"/>
  <c r="D452" i="1"/>
  <c r="D453" i="1"/>
  <c r="D454" i="1" s="1"/>
  <c r="D455" i="1" s="1"/>
  <c r="D456" i="1"/>
  <c r="D457" i="1"/>
  <c r="D458" i="1"/>
  <c r="D459" i="1"/>
  <c r="D460" i="1"/>
  <c r="D461" i="1"/>
  <c r="D462" i="1"/>
  <c r="D463" i="1"/>
  <c r="D464" i="1" s="1"/>
  <c r="D465" i="1" s="1"/>
  <c r="D466" i="1" s="1"/>
  <c r="D467" i="1" s="1"/>
  <c r="D468" i="1" s="1"/>
  <c r="D469" i="1" s="1"/>
  <c r="D470" i="1"/>
  <c r="D471" i="1"/>
  <c r="D472" i="1"/>
  <c r="D473" i="1"/>
  <c r="D474" i="1" s="1"/>
  <c r="D475" i="1" s="1"/>
  <c r="D476" i="1" s="1"/>
  <c r="D477" i="1" s="1"/>
  <c r="D478" i="1"/>
  <c r="D479" i="1"/>
  <c r="D480" i="1" s="1"/>
  <c r="D481" i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/>
  <c r="D494" i="1"/>
  <c r="D495" i="1" s="1"/>
  <c r="D496" i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/>
  <c r="D511" i="1"/>
  <c r="D512" i="1"/>
  <c r="D513" i="1"/>
  <c r="D514" i="1"/>
  <c r="D515" i="1"/>
  <c r="D516" i="1"/>
  <c r="D517" i="1"/>
  <c r="D518" i="1"/>
  <c r="D519" i="1"/>
  <c r="D520" i="1" s="1"/>
  <c r="D521" i="1" s="1"/>
  <c r="D522" i="1" s="1"/>
  <c r="D523" i="1" s="1"/>
  <c r="D524" i="1" s="1"/>
  <c r="D525" i="1" s="1"/>
  <c r="D526" i="1" s="1"/>
  <c r="D527" i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/>
  <c r="D541" i="1"/>
  <c r="D542" i="1" s="1"/>
  <c r="D543" i="1"/>
  <c r="D544" i="1" s="1"/>
  <c r="D545" i="1" s="1"/>
  <c r="D546" i="1" s="1"/>
  <c r="D547" i="1" s="1"/>
  <c r="D548" i="1" s="1"/>
  <c r="D549" i="1"/>
  <c r="D550" i="1"/>
  <c r="D551" i="1"/>
  <c r="D552" i="1" s="1"/>
  <c r="D553" i="1" s="1"/>
  <c r="D554" i="1"/>
  <c r="D555" i="1"/>
  <c r="D556" i="1" s="1"/>
  <c r="D557" i="1" s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 s="1"/>
  <c r="D574" i="1" s="1"/>
  <c r="D575" i="1"/>
  <c r="D576" i="1"/>
  <c r="D577" i="1" s="1"/>
  <c r="D578" i="1"/>
  <c r="D579" i="1"/>
  <c r="D580" i="1" s="1"/>
  <c r="D581" i="1" s="1"/>
  <c r="D582" i="1"/>
  <c r="D583" i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/>
  <c r="D595" i="1"/>
  <c r="D596" i="1"/>
  <c r="D597" i="1"/>
  <c r="D598" i="1"/>
  <c r="D599" i="1"/>
  <c r="D600" i="1"/>
  <c r="D601" i="1"/>
  <c r="D602" i="1" s="1"/>
  <c r="D603" i="1" s="1"/>
  <c r="D604" i="1"/>
  <c r="D605" i="1"/>
  <c r="D606" i="1" s="1"/>
  <c r="D607" i="1" s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 s="1"/>
  <c r="D622" i="1" s="1"/>
  <c r="D623" i="1" s="1"/>
  <c r="D624" i="1" s="1"/>
  <c r="D625" i="1" s="1"/>
  <c r="D626" i="1" s="1"/>
  <c r="D627" i="1"/>
  <c r="D628" i="1"/>
  <c r="D629" i="1" s="1"/>
  <c r="D630" i="1" s="1"/>
  <c r="D631" i="1"/>
  <c r="D632" i="1"/>
  <c r="D633" i="1" s="1"/>
  <c r="D634" i="1" s="1"/>
  <c r="D635" i="1" s="1"/>
  <c r="D636" i="1"/>
  <c r="D637" i="1" s="1"/>
  <c r="D638" i="1" s="1"/>
  <c r="D639" i="1" s="1"/>
  <c r="D640" i="1" s="1"/>
  <c r="D641" i="1"/>
  <c r="D642" i="1"/>
  <c r="D643" i="1"/>
  <c r="D644" i="1"/>
  <c r="D645" i="1"/>
  <c r="D646" i="1"/>
  <c r="D647" i="1"/>
  <c r="D648" i="1"/>
  <c r="D649" i="1"/>
  <c r="D650" i="1"/>
  <c r="D651" i="1" s="1"/>
  <c r="D652" i="1" s="1"/>
  <c r="D653" i="1" s="1"/>
  <c r="D654" i="1"/>
  <c r="D655" i="1" s="1"/>
  <c r="D656" i="1"/>
  <c r="D657" i="1" s="1"/>
  <c r="D658" i="1"/>
  <c r="D659" i="1" s="1"/>
  <c r="D660" i="1" s="1"/>
  <c r="D661" i="1"/>
  <c r="D662" i="1"/>
  <c r="D663" i="1" s="1"/>
  <c r="D664" i="1" s="1"/>
  <c r="D665" i="1"/>
  <c r="D666" i="1"/>
  <c r="D667" i="1" s="1"/>
  <c r="D668" i="1"/>
  <c r="D669" i="1" s="1"/>
  <c r="D670" i="1" s="1"/>
  <c r="D671" i="1" s="1"/>
  <c r="D672" i="1"/>
  <c r="D673" i="1"/>
  <c r="D674" i="1" s="1"/>
  <c r="D675" i="1" s="1"/>
  <c r="D676" i="1" s="1"/>
  <c r="D677" i="1"/>
  <c r="D678" i="1"/>
  <c r="D679" i="1" s="1"/>
  <c r="D680" i="1" s="1"/>
  <c r="D681" i="1"/>
  <c r="D682" i="1"/>
  <c r="D683" i="1" s="1"/>
  <c r="D684" i="1" s="1"/>
  <c r="D685" i="1" s="1"/>
  <c r="D686" i="1"/>
  <c r="D687" i="1"/>
  <c r="D688" i="1" s="1"/>
  <c r="D689" i="1" s="1"/>
  <c r="D690" i="1"/>
  <c r="D691" i="1"/>
  <c r="D692" i="1" s="1"/>
  <c r="D693" i="1" s="1"/>
  <c r="D694" i="1"/>
  <c r="D695" i="1"/>
  <c r="D696" i="1" s="1"/>
  <c r="D697" i="1"/>
  <c r="D698" i="1" s="1"/>
  <c r="D699" i="1"/>
  <c r="D700" i="1"/>
  <c r="D701" i="1"/>
  <c r="D702" i="1"/>
  <c r="D703" i="1"/>
  <c r="D704" i="1" s="1"/>
  <c r="D705" i="1" s="1"/>
  <c r="D706" i="1" s="1"/>
  <c r="D707" i="1" s="1"/>
  <c r="D708" i="1" s="1"/>
  <c r="D709" i="1" s="1"/>
  <c r="D710" i="1"/>
  <c r="D711" i="1"/>
  <c r="D712" i="1"/>
  <c r="D713" i="1"/>
  <c r="D714" i="1" s="1"/>
  <c r="D715" i="1" s="1"/>
  <c r="D716" i="1" s="1"/>
  <c r="D717" i="1" s="1"/>
  <c r="D718" i="1" s="1"/>
  <c r="D719" i="1"/>
  <c r="D720" i="1" s="1"/>
  <c r="D721" i="1" s="1"/>
  <c r="D722" i="1" s="1"/>
  <c r="D723" i="1" s="1"/>
  <c r="D724" i="1"/>
  <c r="D725" i="1" s="1"/>
  <c r="D726" i="1" s="1"/>
  <c r="D727" i="1" s="1"/>
  <c r="D728" i="1" s="1"/>
  <c r="D729" i="1"/>
  <c r="D730" i="1"/>
  <c r="D731" i="1" s="1"/>
  <c r="D732" i="1" s="1"/>
  <c r="D733" i="1" s="1"/>
  <c r="D734" i="1" s="1"/>
  <c r="D735" i="1"/>
  <c r="D736" i="1"/>
  <c r="D737" i="1"/>
  <c r="D738" i="1"/>
  <c r="D739" i="1"/>
  <c r="D740" i="1"/>
  <c r="D741" i="1"/>
  <c r="D742" i="1" s="1"/>
  <c r="D743" i="1" s="1"/>
  <c r="D744" i="1" s="1"/>
  <c r="D745" i="1" s="1"/>
  <c r="D746" i="1" s="1"/>
  <c r="D747" i="1" s="1"/>
  <c r="D748" i="1"/>
  <c r="D749" i="1" s="1"/>
  <c r="D750" i="1" s="1"/>
  <c r="D751" i="1" s="1"/>
  <c r="D752" i="1" s="1"/>
  <c r="D753" i="1" s="1"/>
  <c r="D754" i="1"/>
  <c r="D755" i="1" s="1"/>
  <c r="D756" i="1" s="1"/>
  <c r="D757" i="1" s="1"/>
  <c r="D758" i="1" s="1"/>
  <c r="D759" i="1"/>
  <c r="D760" i="1"/>
  <c r="D761" i="1" s="1"/>
  <c r="D762" i="1" s="1"/>
  <c r="D763" i="1"/>
  <c r="D764" i="1"/>
  <c r="D765" i="1" s="1"/>
  <c r="D766" i="1" s="1"/>
  <c r="D767" i="1"/>
  <c r="D768" i="1"/>
  <c r="D769" i="1"/>
  <c r="D770" i="1"/>
  <c r="D771" i="1"/>
  <c r="D772" i="1"/>
  <c r="D773" i="1"/>
  <c r="D774" i="1" s="1"/>
  <c r="D775" i="1"/>
  <c r="D776" i="1" s="1"/>
  <c r="D777" i="1" s="1"/>
  <c r="D778" i="1" s="1"/>
  <c r="D779" i="1" s="1"/>
  <c r="D780" i="1" s="1"/>
  <c r="D781" i="1"/>
  <c r="D782" i="1" s="1"/>
  <c r="D783" i="1" s="1"/>
  <c r="D784" i="1" s="1"/>
  <c r="D785" i="1" s="1"/>
  <c r="D786" i="1"/>
  <c r="D787" i="1"/>
  <c r="D788" i="1"/>
  <c r="D789" i="1"/>
  <c r="D790" i="1"/>
  <c r="D791" i="1"/>
  <c r="D792" i="1"/>
  <c r="D793" i="1"/>
  <c r="D794" i="1"/>
  <c r="D795" i="1" s="1"/>
  <c r="D796" i="1" s="1"/>
  <c r="D797" i="1"/>
  <c r="D798" i="1"/>
  <c r="D799" i="1" s="1"/>
  <c r="D800" i="1" s="1"/>
  <c r="D801" i="1" s="1"/>
  <c r="D802" i="1" s="1"/>
  <c r="D803" i="1"/>
  <c r="D804" i="1"/>
  <c r="D805" i="1" s="1"/>
  <c r="D806" i="1" s="1"/>
  <c r="D807" i="1" s="1"/>
  <c r="D808" i="1"/>
  <c r="D809" i="1" s="1"/>
  <c r="D810" i="1" s="1"/>
  <c r="D811" i="1" s="1"/>
  <c r="D812" i="1"/>
  <c r="D813" i="1" s="1"/>
  <c r="D814" i="1" s="1"/>
  <c r="D815" i="1" s="1"/>
  <c r="D816" i="1"/>
  <c r="D817" i="1"/>
  <c r="D818" i="1"/>
  <c r="D819" i="1"/>
  <c r="D820" i="1" s="1"/>
  <c r="D821" i="1" s="1"/>
  <c r="D822" i="1" s="1"/>
  <c r="D823" i="1"/>
  <c r="D824" i="1" s="1"/>
  <c r="D825" i="1" s="1"/>
  <c r="D826" i="1" s="1"/>
  <c r="D827" i="1" s="1"/>
  <c r="D828" i="1" s="1"/>
  <c r="D829" i="1" s="1"/>
  <c r="D830" i="1" s="1"/>
  <c r="D831" i="1"/>
  <c r="D832" i="1" s="1"/>
  <c r="D833" i="1" s="1"/>
  <c r="D834" i="1" s="1"/>
  <c r="D835" i="1"/>
  <c r="D836" i="1" s="1"/>
  <c r="D837" i="1" s="1"/>
  <c r="D838" i="1" s="1"/>
  <c r="D839" i="1"/>
  <c r="D840" i="1"/>
  <c r="D841" i="1"/>
  <c r="D842" i="1"/>
  <c r="D843" i="1"/>
  <c r="D844" i="1" s="1"/>
  <c r="D845" i="1" s="1"/>
  <c r="D846" i="1" s="1"/>
  <c r="D847" i="1" s="1"/>
  <c r="D848" i="1" s="1"/>
  <c r="D849" i="1" s="1"/>
  <c r="D850" i="1"/>
  <c r="D851" i="1"/>
  <c r="D852" i="1" s="1"/>
  <c r="D853" i="1" s="1"/>
  <c r="D854" i="1" s="1"/>
  <c r="D855" i="1"/>
  <c r="D856" i="1" s="1"/>
  <c r="D857" i="1"/>
  <c r="D858" i="1" s="1"/>
  <c r="D859" i="1"/>
  <c r="D860" i="1" s="1"/>
  <c r="D861" i="1" s="1"/>
  <c r="D862" i="1" s="1"/>
  <c r="D863" i="1"/>
  <c r="D864" i="1" s="1"/>
  <c r="D865" i="1" s="1"/>
  <c r="D866" i="1" s="1"/>
  <c r="D867" i="1"/>
  <c r="D868" i="1" s="1"/>
  <c r="D869" i="1" s="1"/>
  <c r="D870" i="1" s="1"/>
  <c r="D871" i="1"/>
  <c r="D872" i="1"/>
  <c r="D873" i="1"/>
  <c r="D874" i="1" s="1"/>
  <c r="D875" i="1" s="1"/>
  <c r="D876" i="1" s="1"/>
  <c r="D877" i="1"/>
  <c r="D878" i="1" s="1"/>
  <c r="D879" i="1" s="1"/>
  <c r="D880" i="1" s="1"/>
  <c r="D881" i="1" s="1"/>
  <c r="D882" i="1" s="1"/>
  <c r="D883" i="1" s="1"/>
  <c r="D884" i="1" s="1"/>
  <c r="D885" i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/>
  <c r="D899" i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/>
  <c r="D911" i="1"/>
  <c r="D912" i="1" s="1"/>
  <c r="D913" i="1" s="1"/>
  <c r="D914" i="1" s="1"/>
  <c r="D915" i="1" s="1"/>
  <c r="D916" i="1" s="1"/>
  <c r="D917" i="1" s="1"/>
  <c r="D918" i="1" s="1"/>
  <c r="D919" i="1"/>
  <c r="D920" i="1" s="1"/>
  <c r="D921" i="1" s="1"/>
  <c r="D922" i="1" s="1"/>
  <c r="D923" i="1" s="1"/>
  <c r="D924" i="1"/>
  <c r="D925" i="1"/>
  <c r="D926" i="1" s="1"/>
  <c r="D927" i="1"/>
  <c r="D928" i="1"/>
  <c r="D929" i="1"/>
  <c r="D930" i="1" s="1"/>
  <c r="D931" i="1" s="1"/>
  <c r="D932" i="1"/>
  <c r="D933" i="1"/>
  <c r="D934" i="1" s="1"/>
  <c r="D935" i="1" s="1"/>
  <c r="D936" i="1" s="1"/>
  <c r="D937" i="1" s="1"/>
  <c r="D938" i="1" s="1"/>
  <c r="D939" i="1" s="1"/>
  <c r="D940" i="1" s="1"/>
  <c r="D941" i="1"/>
  <c r="D942" i="1" s="1"/>
  <c r="D943" i="1" s="1"/>
  <c r="D944" i="1" s="1"/>
  <c r="D945" i="1" s="1"/>
  <c r="D946" i="1"/>
  <c r="D947" i="1"/>
  <c r="D948" i="1" s="1"/>
  <c r="D949" i="1" s="1"/>
  <c r="D950" i="1"/>
  <c r="D951" i="1"/>
  <c r="D952" i="1" s="1"/>
  <c r="D953" i="1" s="1"/>
  <c r="D954" i="1" s="1"/>
  <c r="D955" i="1" s="1"/>
  <c r="D956" i="1" s="1"/>
  <c r="D957" i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/>
  <c r="D969" i="1"/>
  <c r="D970" i="1" s="1"/>
  <c r="D971" i="1" s="1"/>
  <c r="D972" i="1"/>
  <c r="D973" i="1"/>
  <c r="D974" i="1" s="1"/>
  <c r="D975" i="1" s="1"/>
  <c r="D976" i="1" s="1"/>
  <c r="D977" i="1"/>
  <c r="D978" i="1" s="1"/>
  <c r="D979" i="1" s="1"/>
  <c r="D980" i="1" s="1"/>
  <c r="D981" i="1"/>
  <c r="D982" i="1" s="1"/>
  <c r="D983" i="1" s="1"/>
  <c r="D984" i="1" s="1"/>
  <c r="D985" i="1" s="1"/>
  <c r="D986" i="1" s="1"/>
  <c r="D987" i="1"/>
  <c r="D988" i="1" s="1"/>
  <c r="D989" i="1" s="1"/>
  <c r="D990" i="1" s="1"/>
  <c r="D991" i="1"/>
  <c r="D992" i="1" s="1"/>
  <c r="D993" i="1" s="1"/>
  <c r="D994" i="1" s="1"/>
  <c r="D995" i="1" s="1"/>
  <c r="D996" i="1"/>
  <c r="D997" i="1"/>
  <c r="D998" i="1" s="1"/>
  <c r="D999" i="1" s="1"/>
  <c r="D1000" i="1"/>
  <c r="D1001" i="1"/>
  <c r="D1002" i="1" s="1"/>
  <c r="D1003" i="1" s="1"/>
  <c r="D1004" i="1" s="1"/>
  <c r="D1005" i="1" s="1"/>
  <c r="D1006" i="1" s="1"/>
  <c r="D1007" i="1" s="1"/>
  <c r="D1008" i="1" s="1"/>
  <c r="D1009" i="1" s="1"/>
  <c r="D1010" i="1"/>
  <c r="D1011" i="1"/>
  <c r="D1012" i="1" s="1"/>
  <c r="D1013" i="1" s="1"/>
  <c r="D1014" i="1" s="1"/>
  <c r="D1015" i="1" s="1"/>
  <c r="D1016" i="1"/>
  <c r="D1017" i="1"/>
  <c r="D1018" i="1" s="1"/>
  <c r="D1019" i="1" s="1"/>
  <c r="D1020" i="1" s="1"/>
  <c r="D1021" i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/>
  <c r="D1034" i="1" s="1"/>
  <c r="D1035" i="1" s="1"/>
  <c r="D1036" i="1" s="1"/>
  <c r="D1037" i="1" s="1"/>
  <c r="D1038" i="1" s="1"/>
  <c r="D1039" i="1"/>
  <c r="D1040" i="1" s="1"/>
  <c r="D1041" i="1" s="1"/>
  <c r="D1042" i="1"/>
  <c r="D1043" i="1"/>
  <c r="D1044" i="1" s="1"/>
  <c r="D1045" i="1" s="1"/>
  <c r="D1046" i="1" s="1"/>
  <c r="D1047" i="1"/>
  <c r="D1048" i="1" s="1"/>
  <c r="D1049" i="1" s="1"/>
  <c r="D1050" i="1" s="1"/>
  <c r="D1051" i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/>
  <c r="D1064" i="1"/>
  <c r="D1065" i="1"/>
  <c r="D1066" i="1"/>
  <c r="D1067" i="1"/>
  <c r="D1068" i="1" s="1"/>
  <c r="D1069" i="1" s="1"/>
  <c r="D1070" i="1" s="1"/>
  <c r="D1071" i="1"/>
  <c r="D1072" i="1" s="1"/>
  <c r="D1073" i="1" s="1"/>
  <c r="D1074" i="1"/>
  <c r="D1075" i="1"/>
  <c r="D1076" i="1"/>
  <c r="D1077" i="1"/>
  <c r="D1078" i="1"/>
  <c r="D1079" i="1"/>
  <c r="D1080" i="1" s="1"/>
  <c r="D1081" i="1"/>
  <c r="D1082" i="1" s="1"/>
  <c r="D1083" i="1" s="1"/>
  <c r="D1084" i="1" s="1"/>
  <c r="D1085" i="1"/>
  <c r="D1086" i="1" s="1"/>
  <c r="D1087" i="1" s="1"/>
  <c r="D1088" i="1" s="1"/>
  <c r="D1089" i="1" s="1"/>
  <c r="D1090" i="1"/>
  <c r="D1091" i="1"/>
  <c r="D1092" i="1" s="1"/>
  <c r="D1093" i="1" s="1"/>
  <c r="D1094" i="1" s="1"/>
  <c r="D1095" i="1"/>
  <c r="D1096" i="1" s="1"/>
  <c r="D1097" i="1" s="1"/>
  <c r="D1098" i="1" s="1"/>
  <c r="D1099" i="1"/>
  <c r="D1100" i="1" s="1"/>
  <c r="D1101" i="1" s="1"/>
  <c r="D1102" i="1" s="1"/>
  <c r="D1103" i="1" s="1"/>
  <c r="D1104" i="1"/>
  <c r="D1105" i="1"/>
  <c r="D1106" i="1"/>
  <c r="D1107" i="1"/>
  <c r="D1108" i="1" s="1"/>
  <c r="D1109" i="1" s="1"/>
  <c r="D1110" i="1"/>
  <c r="D1111" i="1"/>
  <c r="D1112" i="1" s="1"/>
  <c r="D1113" i="1" s="1"/>
  <c r="D1114" i="1" s="1"/>
  <c r="D1115" i="1"/>
  <c r="D1116" i="1" s="1"/>
  <c r="D1117" i="1" s="1"/>
  <c r="D1118" i="1" s="1"/>
  <c r="D1119" i="1" s="1"/>
  <c r="D1120" i="1"/>
  <c r="D1121" i="1"/>
  <c r="D1122" i="1" s="1"/>
  <c r="D1123" i="1" s="1"/>
  <c r="D1124" i="1"/>
  <c r="D1125" i="1"/>
  <c r="D1126" i="1" s="1"/>
  <c r="D1127" i="1" s="1"/>
  <c r="D1128" i="1" s="1"/>
  <c r="D1129" i="1" s="1"/>
  <c r="D1130" i="1" s="1"/>
  <c r="D1131" i="1" s="1"/>
  <c r="D1132" i="1" s="1"/>
  <c r="D1133" i="1"/>
  <c r="D1134" i="1" s="1"/>
  <c r="D1135" i="1" s="1"/>
  <c r="D1136" i="1" s="1"/>
  <c r="D1137" i="1" s="1"/>
  <c r="D1138" i="1" s="1"/>
  <c r="D1139" i="1" s="1"/>
  <c r="D1140" i="1" s="1"/>
  <c r="D1141" i="1"/>
  <c r="D1142" i="1" s="1"/>
  <c r="D1143" i="1" s="1"/>
  <c r="D1144" i="1"/>
  <c r="D1145" i="1"/>
  <c r="D1146" i="1" s="1"/>
  <c r="D1147" i="1" s="1"/>
  <c r="D1148" i="1" s="1"/>
  <c r="D1149" i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/>
  <c r="D1160" i="1" s="1"/>
  <c r="D1161" i="1" s="1"/>
  <c r="D1162" i="1" s="1"/>
  <c r="D1163" i="1"/>
  <c r="D1164" i="1" s="1"/>
  <c r="D1165" i="1" s="1"/>
  <c r="D1166" i="1" s="1"/>
  <c r="D1167" i="1"/>
  <c r="D1168" i="1" s="1"/>
  <c r="D1169" i="1" s="1"/>
  <c r="D1170" i="1" s="1"/>
  <c r="D1171" i="1" s="1"/>
  <c r="D1172" i="1" s="1"/>
  <c r="D1173" i="1"/>
  <c r="D1174" i="1" s="1"/>
  <c r="D1175" i="1" s="1"/>
  <c r="D1176" i="1" s="1"/>
  <c r="D1177" i="1"/>
  <c r="D1178" i="1"/>
  <c r="D1179" i="1"/>
  <c r="D1180" i="1" s="1"/>
  <c r="D1181" i="1" s="1"/>
  <c r="D1182" i="1" s="1"/>
  <c r="D1183" i="1" s="1"/>
  <c r="D1184" i="1"/>
  <c r="D1185" i="1"/>
  <c r="D1186" i="1" s="1"/>
  <c r="D1187" i="1" s="1"/>
  <c r="D1188" i="1" s="1"/>
  <c r="D1189" i="1" s="1"/>
  <c r="D1190" i="1" s="1"/>
  <c r="D1191" i="1"/>
  <c r="D1192" i="1"/>
  <c r="D1193" i="1"/>
  <c r="D1194" i="1" s="1"/>
  <c r="D1195" i="1" s="1"/>
  <c r="D1196" i="1"/>
  <c r="D1197" i="1"/>
  <c r="D1198" i="1" s="1"/>
  <c r="D1199" i="1" s="1"/>
  <c r="D1200" i="1" s="1"/>
  <c r="D1201" i="1" s="1"/>
  <c r="D1202" i="1" s="1"/>
  <c r="D1203" i="1" s="1"/>
  <c r="D1204" i="1" s="1"/>
  <c r="D1205" i="1" s="1"/>
  <c r="D1206" i="1"/>
  <c r="D1207" i="1"/>
  <c r="D1208" i="1"/>
  <c r="D1209" i="1"/>
  <c r="D1210" i="1" s="1"/>
  <c r="D1211" i="1" s="1"/>
  <c r="D1212" i="1" s="1"/>
  <c r="D1213" i="1" s="1"/>
  <c r="D1214" i="1" s="1"/>
  <c r="D1215" i="1" s="1"/>
  <c r="D1216" i="1" s="1"/>
  <c r="D1217" i="1"/>
  <c r="D1218" i="1" s="1"/>
  <c r="D1219" i="1" s="1"/>
  <c r="D1220" i="1"/>
  <c r="D1221" i="1"/>
  <c r="D1222" i="1" s="1"/>
  <c r="D1223" i="1"/>
  <c r="D1224" i="1" s="1"/>
  <c r="D1225" i="1"/>
  <c r="D1226" i="1" s="1"/>
  <c r="D1227" i="1"/>
  <c r="D1228" i="1" s="1"/>
  <c r="D1229" i="1" s="1"/>
  <c r="D1230" i="1" s="1"/>
  <c r="D1231" i="1"/>
  <c r="D1232" i="1" s="1"/>
  <c r="D1233" i="1" s="1"/>
  <c r="D1234" i="1" s="1"/>
  <c r="D1235" i="1"/>
  <c r="D1236" i="1" s="1"/>
  <c r="D1237" i="1" s="1"/>
  <c r="D1238" i="1" s="1"/>
  <c r="D1239" i="1" s="1"/>
  <c r="D1240" i="1"/>
  <c r="D1241" i="1"/>
  <c r="D1242" i="1" s="1"/>
  <c r="D1243" i="1" s="1"/>
  <c r="D1244" i="1" s="1"/>
  <c r="D1245" i="1"/>
  <c r="D1246" i="1" s="1"/>
  <c r="D1247" i="1" s="1"/>
  <c r="D1248" i="1"/>
  <c r="D1249" i="1"/>
  <c r="D1250" i="1" s="1"/>
  <c r="D1251" i="1" s="1"/>
  <c r="D1252" i="1"/>
  <c r="D1253" i="1"/>
  <c r="D1254" i="1" s="1"/>
  <c r="D1255" i="1"/>
  <c r="D1256" i="1" s="1"/>
  <c r="D1257" i="1" s="1"/>
  <c r="D1258" i="1" s="1"/>
  <c r="D1259" i="1" s="1"/>
  <c r="D1260" i="1"/>
  <c r="D1261" i="1"/>
  <c r="D1262" i="1"/>
  <c r="D1263" i="1"/>
  <c r="D1264" i="1" s="1"/>
  <c r="D1265" i="1" s="1"/>
  <c r="D1266" i="1" s="1"/>
  <c r="D1267" i="1" s="1"/>
  <c r="D1268" i="1" s="1"/>
  <c r="D1269" i="1"/>
  <c r="D1270" i="1" s="1"/>
  <c r="D1271" i="1" s="1"/>
  <c r="D1272" i="1" s="1"/>
  <c r="D1273" i="1" s="1"/>
  <c r="D1274" i="1" s="1"/>
  <c r="D1275" i="1"/>
  <c r="D1276" i="1" s="1"/>
  <c r="D1277" i="1" s="1"/>
  <c r="D1278" i="1"/>
  <c r="D1279" i="1"/>
  <c r="D1280" i="1"/>
  <c r="D1281" i="1"/>
  <c r="D1282" i="1" s="1"/>
  <c r="D1283" i="1" s="1"/>
  <c r="D1284" i="1" s="1"/>
  <c r="D1285" i="1" s="1"/>
  <c r="D1286" i="1" s="1"/>
  <c r="D1287" i="1" s="1"/>
  <c r="D1288" i="1"/>
  <c r="D1289" i="1"/>
  <c r="D1290" i="1" s="1"/>
  <c r="D1291" i="1" s="1"/>
  <c r="D1292" i="1"/>
  <c r="D1293" i="1"/>
  <c r="D1294" i="1" s="1"/>
  <c r="D1295" i="1" s="1"/>
  <c r="D1296" i="1"/>
  <c r="D1297" i="1"/>
  <c r="D1298" i="1" s="1"/>
  <c r="D1299" i="1"/>
  <c r="D1300" i="1" s="1"/>
  <c r="D1301" i="1" s="1"/>
  <c r="D1302" i="1"/>
  <c r="D1303" i="1"/>
  <c r="D1304" i="1" s="1"/>
  <c r="D1305" i="1" s="1"/>
  <c r="D1306" i="1" s="1"/>
  <c r="D1307" i="1" s="1"/>
  <c r="D1308" i="1" s="1"/>
  <c r="D1309" i="1"/>
  <c r="D1310" i="1"/>
  <c r="D1311" i="1"/>
  <c r="D1312" i="1"/>
  <c r="D1313" i="1"/>
  <c r="D1314" i="1" s="1"/>
  <c r="D1315" i="1" s="1"/>
  <c r="D1316" i="1"/>
  <c r="D1317" i="1"/>
  <c r="D1318" i="1"/>
  <c r="D1319" i="1"/>
  <c r="D1320" i="1" s="1"/>
  <c r="D1321" i="1" s="1"/>
  <c r="D1322" i="1"/>
  <c r="D1323" i="1"/>
  <c r="D1324" i="1"/>
  <c r="D1325" i="1"/>
  <c r="D1326" i="1" s="1"/>
  <c r="D1327" i="1" s="1"/>
  <c r="D1328" i="1" s="1"/>
  <c r="D1329" i="1"/>
  <c r="D1330" i="1"/>
  <c r="D1331" i="1"/>
  <c r="D1332" i="1"/>
  <c r="D1333" i="1"/>
  <c r="D1334" i="1"/>
  <c r="D1335" i="1"/>
  <c r="D1336" i="1"/>
  <c r="D1337" i="1" s="1"/>
  <c r="D1338" i="1" s="1"/>
  <c r="D1339" i="1" s="1"/>
  <c r="D1340" i="1" s="1"/>
  <c r="D1341" i="1" s="1"/>
  <c r="D1342" i="1" s="1"/>
  <c r="D1343" i="1" s="1"/>
  <c r="D1344" i="1" s="1"/>
  <c r="D1345" i="1"/>
  <c r="D1346" i="1"/>
  <c r="D1347" i="1" s="1"/>
  <c r="D1348" i="1" s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 s="1"/>
  <c r="D1365" i="1" s="1"/>
  <c r="D1366" i="1"/>
  <c r="D1367" i="1"/>
  <c r="D1368" i="1"/>
  <c r="D1369" i="1"/>
  <c r="D1370" i="1" s="1"/>
  <c r="D1371" i="1" s="1"/>
  <c r="D1372" i="1" s="1"/>
  <c r="D1373" i="1"/>
  <c r="D1374" i="1" s="1"/>
  <c r="D1375" i="1" s="1"/>
  <c r="D1376" i="1" s="1"/>
  <c r="D1377" i="1"/>
  <c r="D1378" i="1" s="1"/>
  <c r="D1379" i="1" s="1"/>
  <c r="D1380" i="1" s="1"/>
  <c r="D1381" i="1"/>
  <c r="D1382" i="1" s="1"/>
  <c r="D1383" i="1" s="1"/>
  <c r="D1384" i="1" s="1"/>
  <c r="D1385" i="1" s="1"/>
  <c r="D1386" i="1" s="1"/>
  <c r="D1387" i="1" s="1"/>
  <c r="D1388" i="1" s="1"/>
  <c r="D1389" i="1" s="1"/>
  <c r="D1390" i="1"/>
  <c r="D1391" i="1" s="1"/>
  <c r="D1392" i="1" s="1"/>
  <c r="D1393" i="1" s="1"/>
  <c r="D1394" i="1" s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 s="1"/>
  <c r="D1407" i="1" s="1"/>
  <c r="D1408" i="1"/>
  <c r="D1409" i="1"/>
  <c r="D1410" i="1" s="1"/>
  <c r="D1411" i="1" s="1"/>
  <c r="D1412" i="1" s="1"/>
  <c r="D1413" i="1" s="1"/>
  <c r="D1414" i="1"/>
  <c r="D1415" i="1"/>
  <c r="D1416" i="1"/>
  <c r="D1417" i="1" s="1"/>
  <c r="D1418" i="1" s="1"/>
  <c r="D1419" i="1" s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 s="1"/>
  <c r="D1443" i="1" s="1"/>
  <c r="D1444" i="1" s="1"/>
  <c r="D1445" i="1" s="1"/>
  <c r="D1446" i="1"/>
  <c r="D1447" i="1"/>
  <c r="D1448" i="1"/>
  <c r="D1449" i="1"/>
  <c r="D1450" i="1" s="1"/>
  <c r="D1451" i="1" s="1"/>
  <c r="D1452" i="1" s="1"/>
  <c r="D1453" i="1"/>
  <c r="D1454" i="1" s="1"/>
  <c r="D1455" i="1" s="1"/>
  <c r="D1456" i="1" s="1"/>
  <c r="D1457" i="1"/>
  <c r="D1458" i="1" s="1"/>
  <c r="D1459" i="1" s="1"/>
  <c r="D1460" i="1" s="1"/>
  <c r="D1461" i="1"/>
  <c r="D1462" i="1" s="1"/>
  <c r="D1463" i="1"/>
  <c r="D1464" i="1" s="1"/>
  <c r="D1465" i="1"/>
  <c r="D1466" i="1" s="1"/>
  <c r="D1467" i="1" s="1"/>
  <c r="D1468" i="1" s="1"/>
  <c r="D1469" i="1" s="1"/>
  <c r="D1470" i="1" s="1"/>
  <c r="D1471" i="1"/>
  <c r="D1472" i="1" s="1"/>
  <c r="D1473" i="1" s="1"/>
  <c r="D1474" i="1" s="1"/>
  <c r="D1475" i="1"/>
  <c r="D1476" i="1"/>
  <c r="D1477" i="1"/>
  <c r="D1478" i="1" s="1"/>
  <c r="D1479" i="1"/>
  <c r="D1480" i="1" s="1"/>
  <c r="D1481" i="1" s="1"/>
  <c r="D1482" i="1" s="1"/>
  <c r="D1483" i="1" s="1"/>
  <c r="D1484" i="1" s="1"/>
  <c r="D1485" i="1"/>
  <c r="D1486" i="1"/>
  <c r="D1487" i="1"/>
  <c r="D1488" i="1"/>
  <c r="D1489" i="1"/>
  <c r="D1490" i="1" s="1"/>
  <c r="D1491" i="1" s="1"/>
  <c r="D1492" i="1"/>
  <c r="D1493" i="1"/>
  <c r="D1494" i="1" s="1"/>
  <c r="D1495" i="1" s="1"/>
  <c r="D1496" i="1" s="1"/>
  <c r="D1497" i="1"/>
  <c r="D1498" i="1" s="1"/>
  <c r="D1499" i="1" s="1"/>
  <c r="D1500" i="1" s="1"/>
  <c r="D1501" i="1" s="1"/>
  <c r="D1502" i="1" s="1"/>
  <c r="D1503" i="1" s="1"/>
  <c r="D1504" i="1"/>
  <c r="D1505" i="1"/>
  <c r="D1506" i="1"/>
  <c r="D1507" i="1"/>
  <c r="D1508" i="1" s="1"/>
  <c r="D1509" i="1" s="1"/>
  <c r="D1510" i="1"/>
  <c r="D1511" i="1"/>
  <c r="D1512" i="1" s="1"/>
  <c r="D1513" i="1" s="1"/>
  <c r="D1514" i="1" s="1"/>
  <c r="D1515" i="1"/>
  <c r="D1516" i="1"/>
  <c r="D1517" i="1"/>
  <c r="D1518" i="1"/>
  <c r="D1519" i="1"/>
  <c r="D1520" i="1" s="1"/>
  <c r="D1521" i="1" s="1"/>
  <c r="D1522" i="1"/>
  <c r="D1523" i="1"/>
  <c r="D1524" i="1"/>
  <c r="D1525" i="1"/>
  <c r="D1526" i="1"/>
  <c r="D1527" i="1"/>
  <c r="D1528" i="1"/>
  <c r="D1529" i="1" s="1"/>
  <c r="D1530" i="1" s="1"/>
  <c r="D1531" i="1" s="1"/>
  <c r="D1532" i="1" s="1"/>
  <c r="D1533" i="1" s="1"/>
  <c r="D1534" i="1" s="1"/>
  <c r="D1535" i="1"/>
  <c r="D1536" i="1" s="1"/>
  <c r="D1537" i="1" s="1"/>
  <c r="D1538" i="1"/>
  <c r="D1539" i="1"/>
  <c r="D1540" i="1" s="1"/>
  <c r="D1541" i="1"/>
  <c r="D1542" i="1" s="1"/>
  <c r="D1543" i="1" s="1"/>
  <c r="D1544" i="1" s="1"/>
  <c r="D1545" i="1"/>
  <c r="D1546" i="1" s="1"/>
  <c r="D1547" i="1" s="1"/>
  <c r="D1548" i="1"/>
  <c r="D1549" i="1"/>
  <c r="D1550" i="1" s="1"/>
  <c r="D1551" i="1"/>
  <c r="D1552" i="1"/>
  <c r="D1553" i="1"/>
  <c r="D1554" i="1" s="1"/>
  <c r="D1555" i="1"/>
  <c r="D1556" i="1" s="1"/>
  <c r="D1557" i="1" s="1"/>
  <c r="D1558" i="1"/>
  <c r="D1559" i="1"/>
  <c r="D1560" i="1" s="1"/>
  <c r="D1561" i="1" s="1"/>
  <c r="D1562" i="1" s="1"/>
  <c r="D1563" i="1" s="1"/>
  <c r="D1564" i="1" s="1"/>
  <c r="D1565" i="1" s="1"/>
  <c r="D1566" i="1" s="1"/>
  <c r="D1567" i="1"/>
  <c r="D1568" i="1" s="1"/>
  <c r="D1569" i="1" s="1"/>
  <c r="D1570" i="1"/>
  <c r="D1571" i="1"/>
  <c r="D1572" i="1" s="1"/>
  <c r="D1573" i="1"/>
  <c r="D1574" i="1" s="1"/>
  <c r="D1575" i="1"/>
  <c r="D1576" i="1" s="1"/>
  <c r="D1577" i="1" s="1"/>
  <c r="D1578" i="1" s="1"/>
  <c r="D1579" i="1" s="1"/>
  <c r="D1580" i="1"/>
  <c r="D1581" i="1"/>
  <c r="D1582" i="1" s="1"/>
  <c r="D1583" i="1" s="1"/>
  <c r="D1584" i="1"/>
  <c r="D1585" i="1"/>
  <c r="D1586" i="1" s="1"/>
  <c r="D1587" i="1" s="1"/>
  <c r="D1588" i="1" s="1"/>
  <c r="D1589" i="1" s="1"/>
  <c r="D1590" i="1"/>
  <c r="D1591" i="1"/>
  <c r="D1592" i="1"/>
  <c r="D1593" i="1"/>
  <c r="D1594" i="1"/>
  <c r="D1595" i="1"/>
  <c r="D1596" i="1"/>
  <c r="D1597" i="1"/>
  <c r="D1598" i="1" s="1"/>
  <c r="D1599" i="1"/>
  <c r="D1600" i="1" s="1"/>
  <c r="D1601" i="1" s="1"/>
  <c r="D1602" i="1" s="1"/>
  <c r="D1603" i="1"/>
  <c r="D1604" i="1" s="1"/>
  <c r="D1605" i="1" s="1"/>
  <c r="D1606" i="1" s="1"/>
  <c r="D1607" i="1" s="1"/>
  <c r="D1608" i="1" s="1"/>
  <c r="D1609" i="1" s="1"/>
  <c r="D1610" i="1"/>
  <c r="D1611" i="1"/>
  <c r="D1612" i="1" s="1"/>
  <c r="D1613" i="1" s="1"/>
  <c r="D1614" i="1" s="1"/>
  <c r="D1615" i="1"/>
  <c r="D1616" i="1" s="1"/>
  <c r="D1617" i="1"/>
  <c r="D1618" i="1"/>
  <c r="D1619" i="1"/>
  <c r="D1620" i="1"/>
  <c r="D1621" i="1"/>
  <c r="D1622" i="1"/>
  <c r="D1623" i="1"/>
  <c r="D1624" i="1"/>
  <c r="D1625" i="1"/>
  <c r="D1626" i="1"/>
  <c r="D1627" i="1" s="1"/>
  <c r="D1628" i="1" s="1"/>
  <c r="D1629" i="1" s="1"/>
  <c r="D1630" i="1" s="1"/>
  <c r="D1631" i="1"/>
  <c r="D1632" i="1" s="1"/>
  <c r="D1633" i="1" s="1"/>
  <c r="D1634" i="1"/>
  <c r="D1635" i="1"/>
  <c r="D1636" i="1"/>
  <c r="D1637" i="1"/>
  <c r="D1638" i="1" s="1"/>
  <c r="D1639" i="1" s="1"/>
  <c r="D1640" i="1" s="1"/>
  <c r="D1641" i="1"/>
  <c r="D1642" i="1" s="1"/>
  <c r="D1643" i="1" s="1"/>
  <c r="D1644" i="1" s="1"/>
  <c r="D1645" i="1" s="1"/>
  <c r="D1646" i="1"/>
  <c r="D1647" i="1"/>
  <c r="D1648" i="1" s="1"/>
  <c r="D1649" i="1" s="1"/>
  <c r="D1650" i="1" s="1"/>
  <c r="D1651" i="1" s="1"/>
  <c r="D1652" i="1"/>
  <c r="D1653" i="1"/>
  <c r="D1654" i="1" s="1"/>
  <c r="D1655" i="1" s="1"/>
  <c r="D1656" i="1" s="1"/>
  <c r="D1657" i="1"/>
  <c r="D1658" i="1" s="1"/>
  <c r="D1659" i="1" s="1"/>
  <c r="D1660" i="1" s="1"/>
  <c r="D1661" i="1" s="1"/>
  <c r="D1662" i="1"/>
  <c r="D1663" i="1"/>
  <c r="D1664" i="1" s="1"/>
  <c r="D1665" i="1" s="1"/>
  <c r="D1666" i="1" s="1"/>
  <c r="D1667" i="1" s="1"/>
  <c r="D1668" i="1" s="1"/>
  <c r="D1669" i="1"/>
  <c r="D1670" i="1" s="1"/>
  <c r="D1671" i="1"/>
  <c r="D1672" i="1"/>
  <c r="D1673" i="1"/>
  <c r="D1674" i="1" s="1"/>
  <c r="D1675" i="1"/>
  <c r="D1676" i="1" s="1"/>
  <c r="D1677" i="1" s="1"/>
  <c r="D1678" i="1" s="1"/>
  <c r="D1679" i="1"/>
  <c r="D1680" i="1" s="1"/>
  <c r="D1681" i="1"/>
  <c r="D1682" i="1" s="1"/>
  <c r="D1683" i="1" s="1"/>
  <c r="D1685" i="1"/>
  <c r="D1686" i="1" s="1"/>
  <c r="D1687" i="1" s="1"/>
  <c r="D1689" i="1"/>
  <c r="D1690" i="1" s="1"/>
  <c r="D1691" i="1" s="1"/>
  <c r="D1697" i="1"/>
  <c r="D1698" i="1"/>
  <c r="D1699" i="1"/>
  <c r="D1700" i="1"/>
  <c r="D1701" i="1"/>
  <c r="D1702" i="1" s="1"/>
  <c r="D1703" i="1" s="1"/>
  <c r="D1709" i="1"/>
  <c r="D1710" i="1" s="1"/>
  <c r="D1711" i="1" s="1"/>
  <c r="E1711" i="1" s="1"/>
  <c r="D1712" i="1"/>
  <c r="D1713" i="1"/>
  <c r="D1714" i="1" s="1"/>
  <c r="D1715" i="1" s="1"/>
  <c r="E1715" i="1" s="1"/>
  <c r="D1716" i="1"/>
  <c r="D1717" i="1"/>
  <c r="D1718" i="1" s="1"/>
  <c r="D1719" i="1" s="1"/>
  <c r="D1721" i="1"/>
  <c r="D1722" i="1" s="1"/>
  <c r="D1723" i="1" s="1"/>
  <c r="D1725" i="1"/>
  <c r="D1726" i="1" s="1"/>
  <c r="D1727" i="1" s="1"/>
  <c r="E1727" i="1" s="1"/>
  <c r="D1728" i="1"/>
  <c r="D1729" i="1"/>
  <c r="D1730" i="1" s="1"/>
  <c r="D1731" i="1" s="1"/>
  <c r="E1731" i="1" s="1"/>
  <c r="D1732" i="1"/>
  <c r="D1733" i="1"/>
  <c r="D1734" i="1" s="1"/>
  <c r="D1735" i="1" s="1"/>
  <c r="D1738" i="1"/>
  <c r="D1739" i="1"/>
  <c r="D1740" i="1"/>
  <c r="D1741" i="1"/>
  <c r="D1742" i="1" s="1"/>
  <c r="D1743" i="1" s="1"/>
  <c r="D1746" i="1"/>
  <c r="D1747" i="1"/>
  <c r="D1748" i="1" s="1"/>
  <c r="D1749" i="1"/>
  <c r="D1750" i="1"/>
  <c r="D1751" i="1"/>
  <c r="D1752" i="1" s="1"/>
  <c r="D1753" i="1"/>
  <c r="D1754" i="1" s="1"/>
  <c r="D1755" i="1" s="1"/>
  <c r="D1761" i="1"/>
  <c r="D1762" i="1"/>
  <c r="D1763" i="1"/>
  <c r="D1764" i="1" s="1"/>
  <c r="D1770" i="1"/>
  <c r="D1771" i="1"/>
  <c r="D1772" i="1" s="1"/>
  <c r="D1775" i="1"/>
  <c r="D1776" i="1" s="1"/>
  <c r="D1778" i="1"/>
  <c r="D1779" i="1"/>
  <c r="D1780" i="1" s="1"/>
  <c r="D1788" i="1"/>
  <c r="D1789" i="1"/>
  <c r="D1790" i="1"/>
  <c r="D1791" i="1"/>
  <c r="D1792" i="1"/>
  <c r="D1793" i="1"/>
  <c r="D1794" i="1" s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 s="1"/>
  <c r="D1818" i="1"/>
  <c r="D1819" i="1"/>
  <c r="D1820" i="1" s="1"/>
  <c r="E1820" i="1" s="1"/>
  <c r="D1821" i="1"/>
  <c r="D1822" i="1" s="1"/>
  <c r="D1825" i="1"/>
  <c r="D1826" i="1" s="1"/>
  <c r="E1826" i="1" s="1"/>
  <c r="D1827" i="1"/>
  <c r="D1828" i="1" s="1"/>
  <c r="D1832" i="1"/>
  <c r="D1833" i="1"/>
  <c r="D1834" i="1" s="1"/>
  <c r="D1837" i="1"/>
  <c r="D1838" i="1" s="1"/>
  <c r="D1843" i="1"/>
  <c r="D1844" i="1" s="1"/>
  <c r="E1844" i="1" s="1"/>
  <c r="D1845" i="1"/>
  <c r="D1846" i="1" s="1"/>
  <c r="D1851" i="1"/>
  <c r="D1852" i="1"/>
  <c r="D1853" i="1"/>
  <c r="D1854" i="1" s="1"/>
  <c r="D1857" i="1"/>
  <c r="D1858" i="1"/>
  <c r="D1859" i="1"/>
  <c r="D1860" i="1" s="1"/>
  <c r="D1862" i="1"/>
  <c r="D1863" i="1" s="1"/>
  <c r="E1863" i="1" s="1"/>
  <c r="D1864" i="1"/>
  <c r="D1865" i="1"/>
  <c r="D1866" i="1" s="1"/>
  <c r="E1866" i="1" s="1"/>
  <c r="D1867" i="1"/>
  <c r="D1868" i="1" s="1"/>
  <c r="E1868" i="1" s="1"/>
  <c r="D1869" i="1"/>
  <c r="D1870" i="1" s="1"/>
  <c r="D1876" i="1"/>
  <c r="D1877" i="1"/>
  <c r="D1878" i="1" s="1"/>
  <c r="D1885" i="1"/>
  <c r="D1886" i="1" s="1"/>
  <c r="D1889" i="1"/>
  <c r="D1890" i="1" s="1"/>
  <c r="D1893" i="1"/>
  <c r="D1894" i="1"/>
  <c r="D1895" i="1"/>
  <c r="D1896" i="1"/>
  <c r="D1897" i="1"/>
  <c r="D1898" i="1" s="1"/>
  <c r="D1900" i="1"/>
  <c r="D1901" i="1"/>
  <c r="D1902" i="1" s="1"/>
  <c r="D1905" i="1"/>
  <c r="D1906" i="1" s="1"/>
  <c r="D1912" i="1"/>
  <c r="D1913" i="1"/>
  <c r="D1914" i="1"/>
  <c r="D1915" i="1"/>
  <c r="D1916" i="1"/>
  <c r="D1917" i="1"/>
  <c r="D1918" i="1" s="1"/>
  <c r="D1921" i="1"/>
  <c r="D1922" i="1"/>
  <c r="D1923" i="1"/>
  <c r="D1924" i="1"/>
  <c r="D1925" i="1"/>
  <c r="D1926" i="1" s="1"/>
  <c r="D1929" i="1"/>
  <c r="D1930" i="1" s="1"/>
  <c r="D1932" i="1"/>
  <c r="D1933" i="1"/>
  <c r="D1934" i="1"/>
  <c r="D1935" i="1"/>
  <c r="D1936" i="1"/>
  <c r="D1937" i="1"/>
  <c r="D1938" i="1" s="1"/>
  <c r="D1940" i="1"/>
  <c r="D1941" i="1"/>
  <c r="D1942" i="1" s="1"/>
  <c r="D1944" i="1"/>
  <c r="D1945" i="1"/>
  <c r="D1946" i="1" s="1"/>
  <c r="D1949" i="1"/>
  <c r="D1950" i="1" s="1"/>
  <c r="D1952" i="1"/>
  <c r="D1953" i="1"/>
  <c r="D1954" i="1" s="1"/>
  <c r="D1959" i="1"/>
  <c r="D1960" i="1" s="1"/>
  <c r="D1962" i="1"/>
  <c r="D1963" i="1"/>
  <c r="D1964" i="1" s="1"/>
  <c r="D1968" i="1"/>
  <c r="D1969" i="1"/>
  <c r="D1970" i="1"/>
  <c r="D1971" i="1"/>
  <c r="D1972" i="1" s="1"/>
  <c r="D1975" i="1"/>
  <c r="D1976" i="1" s="1"/>
  <c r="E1976" i="1" s="1"/>
  <c r="D1977" i="1"/>
  <c r="D1978" i="1" s="1"/>
  <c r="D1983" i="1"/>
  <c r="D1984" i="1" s="1"/>
  <c r="D1986" i="1"/>
  <c r="D1987" i="1"/>
  <c r="D1988" i="1" s="1"/>
  <c r="E1988" i="1" s="1"/>
  <c r="D1989" i="1"/>
  <c r="D1990" i="1" s="1"/>
  <c r="D1995" i="1"/>
  <c r="D1996" i="1" s="1"/>
  <c r="E1996" i="1" s="1"/>
  <c r="D1997" i="1"/>
  <c r="D1998" i="1" s="1"/>
  <c r="E1998" i="1" s="1"/>
  <c r="D1999" i="1"/>
  <c r="D2000" i="1" s="1"/>
  <c r="E2000" i="1" s="1"/>
  <c r="D2001" i="1"/>
  <c r="D2002" i="1" s="1"/>
  <c r="D2004" i="1"/>
  <c r="D2005" i="1"/>
  <c r="D2006" i="1"/>
  <c r="D2007" i="1" s="1"/>
  <c r="D2009" i="1"/>
  <c r="D2010" i="1"/>
  <c r="D2011" i="1" s="1"/>
  <c r="D2017" i="1"/>
  <c r="D2018" i="1" s="1"/>
  <c r="E2017" i="1"/>
  <c r="E2010" i="1"/>
  <c r="E2009" i="1"/>
  <c r="E2006" i="1"/>
  <c r="E2005" i="1"/>
  <c r="E2004" i="1"/>
  <c r="E2001" i="1"/>
  <c r="E1999" i="1"/>
  <c r="E1997" i="1"/>
  <c r="E1995" i="1"/>
  <c r="E1989" i="1"/>
  <c r="E1987" i="1"/>
  <c r="E1986" i="1"/>
  <c r="E1983" i="1"/>
  <c r="E1977" i="1"/>
  <c r="E1975" i="1"/>
  <c r="E1971" i="1"/>
  <c r="E1970" i="1"/>
  <c r="E1969" i="1"/>
  <c r="E1968" i="1"/>
  <c r="E1963" i="1"/>
  <c r="E1962" i="1"/>
  <c r="E1959" i="1"/>
  <c r="E1953" i="1"/>
  <c r="E1952" i="1"/>
  <c r="E1949" i="1"/>
  <c r="E1945" i="1"/>
  <c r="E1944" i="1"/>
  <c r="E1941" i="1"/>
  <c r="E1940" i="1"/>
  <c r="E1937" i="1"/>
  <c r="E1936" i="1"/>
  <c r="E1935" i="1"/>
  <c r="E1934" i="1"/>
  <c r="E1933" i="1"/>
  <c r="E1932" i="1"/>
  <c r="E1929" i="1"/>
  <c r="E1925" i="1"/>
  <c r="E1924" i="1"/>
  <c r="E1923" i="1"/>
  <c r="E1922" i="1"/>
  <c r="E1921" i="1"/>
  <c r="E1917" i="1"/>
  <c r="E1916" i="1"/>
  <c r="E1915" i="1"/>
  <c r="E1914" i="1"/>
  <c r="E1913" i="1"/>
  <c r="E1912" i="1"/>
  <c r="E1905" i="1"/>
  <c r="E1901" i="1"/>
  <c r="E1900" i="1"/>
  <c r="E1897" i="1"/>
  <c r="E1896" i="1"/>
  <c r="E1895" i="1"/>
  <c r="E1894" i="1"/>
  <c r="E1893" i="1"/>
  <c r="E1889" i="1"/>
  <c r="E1885" i="1"/>
  <c r="E1877" i="1"/>
  <c r="E1876" i="1"/>
  <c r="E1869" i="1"/>
  <c r="E1867" i="1"/>
  <c r="E1865" i="1"/>
  <c r="E1864" i="1"/>
  <c r="E1862" i="1"/>
  <c r="E1859" i="1"/>
  <c r="E1858" i="1"/>
  <c r="E1857" i="1"/>
  <c r="E1853" i="1"/>
  <c r="E1852" i="1"/>
  <c r="E1851" i="1"/>
  <c r="E1845" i="1"/>
  <c r="E1843" i="1"/>
  <c r="E1837" i="1"/>
  <c r="E1833" i="1"/>
  <c r="E1832" i="1"/>
  <c r="E1827" i="1"/>
  <c r="E1825" i="1"/>
  <c r="E1821" i="1"/>
  <c r="E1819" i="1"/>
  <c r="E1818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3" i="1"/>
  <c r="E1792" i="1"/>
  <c r="E1791" i="1"/>
  <c r="E1790" i="1"/>
  <c r="E1789" i="1"/>
  <c r="E1788" i="1"/>
  <c r="E1779" i="1"/>
  <c r="E1778" i="1"/>
  <c r="E1775" i="1"/>
  <c r="E1771" i="1"/>
  <c r="E1770" i="1"/>
  <c r="E1763" i="1"/>
  <c r="E1762" i="1"/>
  <c r="E1761" i="1"/>
  <c r="E1754" i="1"/>
  <c r="E1753" i="1"/>
  <c r="E1752" i="1"/>
  <c r="E1751" i="1"/>
  <c r="E1750" i="1"/>
  <c r="E1749" i="1"/>
  <c r="E1748" i="1"/>
  <c r="E1747" i="1"/>
  <c r="E1746" i="1"/>
  <c r="E1742" i="1"/>
  <c r="E1741" i="1"/>
  <c r="E1740" i="1"/>
  <c r="E1739" i="1"/>
  <c r="E1738" i="1"/>
  <c r="E1734" i="1"/>
  <c r="E1733" i="1"/>
  <c r="E1732" i="1"/>
  <c r="E1730" i="1"/>
  <c r="E1729" i="1"/>
  <c r="E1728" i="1"/>
  <c r="E1726" i="1"/>
  <c r="E1725" i="1"/>
  <c r="E1722" i="1"/>
  <c r="E1721" i="1"/>
  <c r="E1718" i="1"/>
  <c r="E1717" i="1"/>
  <c r="E1716" i="1"/>
  <c r="E1714" i="1"/>
  <c r="E1713" i="1"/>
  <c r="E1712" i="1"/>
  <c r="E1710" i="1"/>
  <c r="E1709" i="1"/>
  <c r="E1702" i="1"/>
  <c r="E1701" i="1"/>
  <c r="E1700" i="1"/>
  <c r="E1699" i="1"/>
  <c r="E1698" i="1"/>
  <c r="E1697" i="1"/>
  <c r="E1690" i="1"/>
  <c r="E1689" i="1"/>
  <c r="E1686" i="1"/>
  <c r="E1685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D14" i="1"/>
  <c r="E14" i="1" s="1"/>
  <c r="D2025" i="1"/>
  <c r="D2026" i="1"/>
  <c r="D2027" i="1"/>
  <c r="D2028" i="1"/>
  <c r="D2029" i="1"/>
  <c r="D2030" i="1"/>
  <c r="D2031" i="1"/>
  <c r="D2032" i="1"/>
  <c r="D2033" i="1"/>
  <c r="D2034" i="1"/>
  <c r="D2035" i="1"/>
  <c r="D2024" i="1"/>
  <c r="F4" i="2"/>
  <c r="A4" i="2" s="1"/>
  <c r="F1" i="2"/>
  <c r="D2012" i="1" l="1"/>
  <c r="E2011" i="1"/>
  <c r="D2008" i="1"/>
  <c r="E2008" i="1" s="1"/>
  <c r="E2007" i="1"/>
  <c r="D1985" i="1"/>
  <c r="E1985" i="1" s="1"/>
  <c r="E1984" i="1"/>
  <c r="D1955" i="1"/>
  <c r="E1954" i="1"/>
  <c r="D1951" i="1"/>
  <c r="E1951" i="1" s="1"/>
  <c r="E1950" i="1"/>
  <c r="D1927" i="1"/>
  <c r="E1926" i="1"/>
  <c r="D1903" i="1"/>
  <c r="E1902" i="1"/>
  <c r="D1899" i="1"/>
  <c r="E1899" i="1" s="1"/>
  <c r="E1898" i="1"/>
  <c r="D1887" i="1"/>
  <c r="E1886" i="1"/>
  <c r="D1861" i="1"/>
  <c r="E1861" i="1" s="1"/>
  <c r="E1860" i="1"/>
  <c r="D1847" i="1"/>
  <c r="E1846" i="1"/>
  <c r="D1839" i="1"/>
  <c r="E1838" i="1"/>
  <c r="D1811" i="1"/>
  <c r="E1810" i="1"/>
  <c r="D1773" i="1"/>
  <c r="E1772" i="1"/>
  <c r="D1765" i="1"/>
  <c r="E1764" i="1"/>
  <c r="D1724" i="1"/>
  <c r="E1724" i="1" s="1"/>
  <c r="E1723" i="1"/>
  <c r="D1704" i="1"/>
  <c r="E1703" i="1"/>
  <c r="D1688" i="1"/>
  <c r="E1688" i="1" s="1"/>
  <c r="E1687" i="1"/>
  <c r="D2019" i="1"/>
  <c r="E2018" i="1"/>
  <c r="D2003" i="1"/>
  <c r="E2003" i="1" s="1"/>
  <c r="E2002" i="1"/>
  <c r="D1991" i="1"/>
  <c r="E1990" i="1"/>
  <c r="D1979" i="1"/>
  <c r="E1978" i="1"/>
  <c r="D1973" i="1"/>
  <c r="E1972" i="1"/>
  <c r="D1965" i="1"/>
  <c r="E1964" i="1"/>
  <c r="D1961" i="1"/>
  <c r="E1961" i="1" s="1"/>
  <c r="E1960" i="1"/>
  <c r="D1947" i="1"/>
  <c r="E1946" i="1"/>
  <c r="D1943" i="1"/>
  <c r="E1943" i="1" s="1"/>
  <c r="E1942" i="1"/>
  <c r="D1939" i="1"/>
  <c r="E1939" i="1" s="1"/>
  <c r="E1938" i="1"/>
  <c r="D1931" i="1"/>
  <c r="E1931" i="1" s="1"/>
  <c r="E1930" i="1"/>
  <c r="D1919" i="1"/>
  <c r="E1918" i="1"/>
  <c r="D1907" i="1"/>
  <c r="E1906" i="1"/>
  <c r="D1891" i="1"/>
  <c r="E1890" i="1"/>
  <c r="D1879" i="1"/>
  <c r="E1878" i="1"/>
  <c r="D1871" i="1"/>
  <c r="E1870" i="1"/>
  <c r="D1855" i="1"/>
  <c r="E1854" i="1"/>
  <c r="D1835" i="1"/>
  <c r="E1834" i="1"/>
  <c r="D1829" i="1"/>
  <c r="E1828" i="1"/>
  <c r="D1823" i="1"/>
  <c r="E1822" i="1"/>
  <c r="D1795" i="1"/>
  <c r="E1794" i="1"/>
  <c r="D1781" i="1"/>
  <c r="E1780" i="1"/>
  <c r="D1777" i="1"/>
  <c r="E1777" i="1" s="1"/>
  <c r="E1776" i="1"/>
  <c r="D1756" i="1"/>
  <c r="E1755" i="1"/>
  <c r="D1744" i="1"/>
  <c r="E1743" i="1"/>
  <c r="D1736" i="1"/>
  <c r="E1735" i="1"/>
  <c r="D1720" i="1"/>
  <c r="E1720" i="1" s="1"/>
  <c r="E1719" i="1"/>
  <c r="D1692" i="1"/>
  <c r="E1691" i="1"/>
  <c r="D1684" i="1"/>
  <c r="E1684" i="1" s="1"/>
  <c r="E1683" i="1"/>
  <c r="D1745" i="1" l="1"/>
  <c r="E1745" i="1" s="1"/>
  <c r="E1744" i="1"/>
  <c r="D1693" i="1"/>
  <c r="E1692" i="1"/>
  <c r="D1737" i="1"/>
  <c r="E1737" i="1" s="1"/>
  <c r="E1736" i="1"/>
  <c r="D1757" i="1"/>
  <c r="E1756" i="1"/>
  <c r="D1782" i="1"/>
  <c r="E1781" i="1"/>
  <c r="D1796" i="1"/>
  <c r="E1796" i="1" s="1"/>
  <c r="E1795" i="1"/>
  <c r="D1824" i="1"/>
  <c r="E1824" i="1" s="1"/>
  <c r="E1823" i="1"/>
  <c r="D1830" i="1"/>
  <c r="E1829" i="1"/>
  <c r="D1836" i="1"/>
  <c r="E1836" i="1" s="1"/>
  <c r="E1835" i="1"/>
  <c r="D1856" i="1"/>
  <c r="E1856" i="1" s="1"/>
  <c r="E1855" i="1"/>
  <c r="D1872" i="1"/>
  <c r="E1871" i="1"/>
  <c r="D1880" i="1"/>
  <c r="E1879" i="1"/>
  <c r="D1892" i="1"/>
  <c r="E1892" i="1" s="1"/>
  <c r="E1891" i="1"/>
  <c r="D1908" i="1"/>
  <c r="E1907" i="1"/>
  <c r="D1920" i="1"/>
  <c r="E1920" i="1" s="1"/>
  <c r="E1919" i="1"/>
  <c r="D1948" i="1"/>
  <c r="E1948" i="1" s="1"/>
  <c r="E1947" i="1"/>
  <c r="D1966" i="1"/>
  <c r="E1965" i="1"/>
  <c r="D1974" i="1"/>
  <c r="E1974" i="1" s="1"/>
  <c r="E1973" i="1"/>
  <c r="D1980" i="1"/>
  <c r="E1979" i="1"/>
  <c r="D1992" i="1"/>
  <c r="E1991" i="1"/>
  <c r="D2020" i="1"/>
  <c r="E2020" i="1" s="1"/>
  <c r="E2019" i="1"/>
  <c r="D1705" i="1"/>
  <c r="E1704" i="1"/>
  <c r="D1766" i="1"/>
  <c r="E1765" i="1"/>
  <c r="D1774" i="1"/>
  <c r="E1774" i="1" s="1"/>
  <c r="E1773" i="1"/>
  <c r="D1812" i="1"/>
  <c r="E1811" i="1"/>
  <c r="D1840" i="1"/>
  <c r="E1839" i="1"/>
  <c r="D1848" i="1"/>
  <c r="E1847" i="1"/>
  <c r="D1888" i="1"/>
  <c r="E1888" i="1" s="1"/>
  <c r="E1887" i="1"/>
  <c r="D1904" i="1"/>
  <c r="E1904" i="1" s="1"/>
  <c r="E1903" i="1"/>
  <c r="D1928" i="1"/>
  <c r="E1928" i="1" s="1"/>
  <c r="E1927" i="1"/>
  <c r="D1956" i="1"/>
  <c r="E1955" i="1"/>
  <c r="D2013" i="1"/>
  <c r="E2012" i="1"/>
  <c r="D2014" i="1" l="1"/>
  <c r="E2013" i="1"/>
  <c r="D1957" i="1"/>
  <c r="E1956" i="1"/>
  <c r="D1849" i="1"/>
  <c r="E1848" i="1"/>
  <c r="D1841" i="1"/>
  <c r="E1840" i="1"/>
  <c r="D1813" i="1"/>
  <c r="E1812" i="1"/>
  <c r="D1767" i="1"/>
  <c r="E1766" i="1"/>
  <c r="D1706" i="1"/>
  <c r="E1705" i="1"/>
  <c r="D1993" i="1"/>
  <c r="E1992" i="1"/>
  <c r="D1981" i="1"/>
  <c r="E1980" i="1"/>
  <c r="D1967" i="1"/>
  <c r="E1967" i="1" s="1"/>
  <c r="E1966" i="1"/>
  <c r="D1909" i="1"/>
  <c r="E1908" i="1"/>
  <c r="D1881" i="1"/>
  <c r="E1880" i="1"/>
  <c r="D1873" i="1"/>
  <c r="E1872" i="1"/>
  <c r="D1831" i="1"/>
  <c r="E1831" i="1" s="1"/>
  <c r="E1830" i="1"/>
  <c r="D1783" i="1"/>
  <c r="E1782" i="1"/>
  <c r="D1758" i="1"/>
  <c r="E1757" i="1"/>
  <c r="D1694" i="1"/>
  <c r="E1693" i="1"/>
  <c r="D1695" i="1" l="1"/>
  <c r="E1694" i="1"/>
  <c r="D1759" i="1"/>
  <c r="E1758" i="1"/>
  <c r="D1784" i="1"/>
  <c r="E1783" i="1"/>
  <c r="D1874" i="1"/>
  <c r="E1873" i="1"/>
  <c r="D1882" i="1"/>
  <c r="E1881" i="1"/>
  <c r="D1910" i="1"/>
  <c r="E1909" i="1"/>
  <c r="D1982" i="1"/>
  <c r="E1982" i="1" s="1"/>
  <c r="E1981" i="1"/>
  <c r="D1994" i="1"/>
  <c r="E1994" i="1" s="1"/>
  <c r="E1993" i="1"/>
  <c r="D1707" i="1"/>
  <c r="E1706" i="1"/>
  <c r="D1768" i="1"/>
  <c r="E1767" i="1"/>
  <c r="D1814" i="1"/>
  <c r="E1813" i="1"/>
  <c r="D1842" i="1"/>
  <c r="E1842" i="1" s="1"/>
  <c r="E1841" i="1"/>
  <c r="D1850" i="1"/>
  <c r="E1850" i="1" s="1"/>
  <c r="E1849" i="1"/>
  <c r="D1958" i="1"/>
  <c r="E1958" i="1" s="1"/>
  <c r="E1957" i="1"/>
  <c r="D2015" i="1"/>
  <c r="E2014" i="1"/>
  <c r="D2016" i="1" l="1"/>
  <c r="E2016" i="1" s="1"/>
  <c r="E2015" i="1"/>
  <c r="D1815" i="1"/>
  <c r="E1814" i="1"/>
  <c r="D1769" i="1"/>
  <c r="E1769" i="1" s="1"/>
  <c r="E1768" i="1"/>
  <c r="D1708" i="1"/>
  <c r="E1708" i="1" s="1"/>
  <c r="E1707" i="1"/>
  <c r="D1911" i="1"/>
  <c r="E1911" i="1" s="1"/>
  <c r="E1910" i="1"/>
  <c r="D1883" i="1"/>
  <c r="E1882" i="1"/>
  <c r="D1875" i="1"/>
  <c r="E1875" i="1" s="1"/>
  <c r="E1874" i="1"/>
  <c r="D1785" i="1"/>
  <c r="E1784" i="1"/>
  <c r="D1760" i="1"/>
  <c r="E1760" i="1" s="1"/>
  <c r="E1759" i="1"/>
  <c r="D1696" i="1"/>
  <c r="E1696" i="1" s="1"/>
  <c r="E1695" i="1"/>
  <c r="D1786" i="1" l="1"/>
  <c r="E1785" i="1"/>
  <c r="D1884" i="1"/>
  <c r="E1884" i="1" s="1"/>
  <c r="E1883" i="1"/>
  <c r="D1816" i="1"/>
  <c r="E1815" i="1"/>
  <c r="F13" i="2" l="1"/>
  <c r="D1817" i="1"/>
  <c r="E1817" i="1" s="1"/>
  <c r="E1816" i="1"/>
  <c r="D1787" i="1"/>
  <c r="E1787" i="1" s="1"/>
  <c r="E1786" i="1"/>
  <c r="F15" i="2" l="1"/>
  <c r="F17" i="2"/>
  <c r="F9" i="2"/>
  <c r="F25" i="2"/>
  <c r="F23" i="2"/>
  <c r="F19" i="2"/>
  <c r="F21" i="2"/>
  <c r="F20" i="2"/>
  <c r="F18" i="2"/>
  <c r="F16" i="2"/>
  <c r="F14" i="2"/>
  <c r="F11" i="2"/>
  <c r="F12" i="2"/>
  <c r="F10" i="2"/>
  <c r="F24" i="2"/>
  <c r="F22" i="2"/>
  <c r="F8" i="2"/>
  <c r="C13" i="2"/>
  <c r="A13" i="2"/>
  <c r="B13" i="2"/>
  <c r="C22" i="2" l="1"/>
  <c r="A22" i="2"/>
  <c r="B22" i="2"/>
  <c r="C10" i="2"/>
  <c r="A10" i="2"/>
  <c r="B10" i="2"/>
  <c r="C11" i="2"/>
  <c r="A11" i="2"/>
  <c r="B11" i="2"/>
  <c r="C16" i="2"/>
  <c r="A16" i="2"/>
  <c r="B16" i="2"/>
  <c r="C20" i="2"/>
  <c r="A20" i="2"/>
  <c r="B20" i="2"/>
  <c r="C19" i="2"/>
  <c r="A19" i="2"/>
  <c r="B19" i="2"/>
  <c r="B25" i="2"/>
  <c r="C25" i="2"/>
  <c r="A25" i="2"/>
  <c r="C17" i="2"/>
  <c r="A17" i="2"/>
  <c r="B17" i="2"/>
  <c r="F6" i="2"/>
  <c r="B8" i="2" s="1"/>
  <c r="C8" i="2"/>
  <c r="A8" i="2"/>
  <c r="C24" i="2"/>
  <c r="A24" i="2"/>
  <c r="B24" i="2"/>
  <c r="C12" i="2"/>
  <c r="A12" i="2"/>
  <c r="B12" i="2"/>
  <c r="C14" i="2"/>
  <c r="A14" i="2"/>
  <c r="B14" i="2"/>
  <c r="C18" i="2"/>
  <c r="A18" i="2"/>
  <c r="B18" i="2"/>
  <c r="C21" i="2"/>
  <c r="A21" i="2"/>
  <c r="B21" i="2"/>
  <c r="C23" i="2"/>
  <c r="A23" i="2"/>
  <c r="B23" i="2"/>
  <c r="C9" i="2"/>
  <c r="A9" i="2"/>
  <c r="B9" i="2"/>
  <c r="C15" i="2"/>
  <c r="A15" i="2"/>
  <c r="B15" i="2"/>
  <c r="C6" i="2" l="1"/>
</calcChain>
</file>

<file path=xl/sharedStrings.xml><?xml version="1.0" encoding="utf-8"?>
<sst xmlns="http://schemas.openxmlformats.org/spreadsheetml/2006/main" count="4587" uniqueCount="611">
  <si>
    <t>formattedOrganizationId</t>
  </si>
  <si>
    <t>organizationName</t>
  </si>
  <si>
    <t>UFARSFinanceCode</t>
  </si>
  <si>
    <t>title</t>
  </si>
  <si>
    <t xml:space="preserve"> allocationAmount </t>
  </si>
  <si>
    <t>AITKIN PUBLIC SCHOOL DISTRICT</t>
  </si>
  <si>
    <t>FORMULA - 470 - Title I, Part A: Improving the Academic Achievement of the Disadvantaged Stimulus</t>
  </si>
  <si>
    <t>MINNEAPOLIS PUBLIC SCHOOL DIST.</t>
  </si>
  <si>
    <t>FORMULA - 406 - Title I, Part D: Prevention and Intervention Programs for Children who are Neglected and Delinquent or At-Risk</t>
  </si>
  <si>
    <t>FORMULA - 414 - Title II, Part A: Teacher and Principal Training and Recruitment</t>
  </si>
  <si>
    <t>FORMULA - 419 - IDEA Special Education FY2010  Federal Part B Section 611 Regular Allocation</t>
  </si>
  <si>
    <t>FORMULA - 420 - IDEA Special Education FY2010  Federal Part B Section 619 Preschool Regular Allocation</t>
  </si>
  <si>
    <t>Formula - 422 - Part C IEIC, Ages 0-2, Phase 2 Materials</t>
  </si>
  <si>
    <t>FORMULA - 428 - Carl D. Perkins Career and Technical Education Act - Basic Grant</t>
  </si>
  <si>
    <t>Formula - 437 - Sec. 619 Preschool Incentive Personnel Development</t>
  </si>
  <si>
    <t>Formula - 438 - Federal Adult Basic Education (ABE) Formula Revenue</t>
  </si>
  <si>
    <t>Formula - 441 - Part B Section 619 Preschool Supplemental, IEIC, Ages 3-5, Phase 2 for SERVS</t>
  </si>
  <si>
    <t>FORMULA - 471 - Title I, Part D: Prevention and Intervention Programs for Children who are Neglected and Delinquent or At-Risk Targeted Stimulus</t>
  </si>
  <si>
    <t>COMPETITIVE - 478 - ARRA McKinney Vento: Education for Homeless Children and Youth</t>
  </si>
  <si>
    <t>FORMULA - 480 - Special Education FY2010  Federal Part B Section 611 Targeted Stimulus Allocation</t>
  </si>
  <si>
    <t>FORMULA - 484 - IDEA Special Education FY2010  Federal Part B Section 619 Preschool Targeted Stimulus Allocation</t>
  </si>
  <si>
    <t>FORMULA - 486 - Part C ARRA Federal Stimulus Funds Opportunity</t>
  </si>
  <si>
    <t>Competitive - 801 - English Literacy and Civics Education Program (EL/Civics)</t>
  </si>
  <si>
    <t>MINNESOTA TITLE I SCHOOL IMPROVEMENT GRANT, ROUND 3</t>
  </si>
  <si>
    <t>U OF M - MINNEAPOLIS CAMPUS</t>
  </si>
  <si>
    <t>Sole Source - 866 - Career and Technical Education Teacher Licensure Grant</t>
  </si>
  <si>
    <t>Sole Source - 880 - Library Services &amp; Technology Act State Grants - Statewide Initative - Minnesota Digital Library</t>
  </si>
  <si>
    <t>HILL CITY PUBLIC SCHOOL DISTRICT</t>
  </si>
  <si>
    <t>FORMULA - 151 - State Fiscal Stabilization Funds</t>
  </si>
  <si>
    <t>FORMULA - 401 - Title I, Part A, Improving the Academic Achievement of the Disadvantaged</t>
  </si>
  <si>
    <t>FORMULA - 433 - Title IV: Safe and Drug Free Schools and Communities</t>
  </si>
  <si>
    <t>MCGREGOR PUBLIC SCHOOL DISTRICT</t>
  </si>
  <si>
    <t>SOUTH ST. PAUL PUBLIC SCHOOL DIST.</t>
  </si>
  <si>
    <t>ANOKA-HENNEPIN PUBLIC SCHOOL DIST.</t>
  </si>
  <si>
    <t>FORMULA - 417 - Title III, Part A, English Language Acquisition, Language Enhancement and Academic Achievement</t>
  </si>
  <si>
    <t>435 - Continuous Improvement Monitoring Process (CIMP) 3-21</t>
  </si>
  <si>
    <t>CENTENNIAL PUBLIC SCHOOL DISTRICT</t>
  </si>
  <si>
    <t>COLUMBIA HEIGHTS PUBLIC SCHOOL DIST</t>
  </si>
  <si>
    <t>Enhancing Education through Technology Grants (E2T2) - Round V Part 2</t>
  </si>
  <si>
    <t>Competitive - 856 - IV Part B - 21st Century Community Learning Centers</t>
  </si>
  <si>
    <t>FRIDLEY PUBLIC SCHOOL DISTRICT</t>
  </si>
  <si>
    <t>ST. FRANCIS PUBLIC SCHOOL DISTRICT</t>
  </si>
  <si>
    <t>SPRING LAKE PARK PUBLIC SCHOOLS</t>
  </si>
  <si>
    <t>DETROIT LAKES PUBLIC SCHOOL DIST.</t>
  </si>
  <si>
    <t>FRAZEE-VERGAS PUBLIC SCHOOL DIST.</t>
  </si>
  <si>
    <t>BEMIDJI PUBLIC SCHOOL DISTRICT</t>
  </si>
  <si>
    <t>BLACKDUCK PUBLIC SCHOOL DISTRICT</t>
  </si>
  <si>
    <t>RED LAKE PUBLIC SCHOOL DISTRICT</t>
  </si>
  <si>
    <t>Formula - 424 - Title VI, Part B - Rural and Low-Income Schools</t>
  </si>
  <si>
    <t>FORMULA - 425 - IDEA Special Education FY2010  Federal Part B Section 611 CEIS Allocation</t>
  </si>
  <si>
    <t>SAUK RAPIDS PUBLIC SCHOOL DISTRICT</t>
  </si>
  <si>
    <t>FOLEY PUBLIC SCHOOL DISTRICT</t>
  </si>
  <si>
    <t>ST. CLAIR PUBLIC SCHOOL DISTRICT</t>
  </si>
  <si>
    <t>MANKATO PUBLIC SCHOOL DISTRICT</t>
  </si>
  <si>
    <t>COMFREY PUBLIC SCHOOL DISTRICT</t>
  </si>
  <si>
    <t>SLEEPY EYE PUBLIC SCHOOL DISTRICT</t>
  </si>
  <si>
    <t>NEW ULM PUBLIC SCHOOL DISTRICT</t>
  </si>
  <si>
    <t>BARNUM PUBLIC SCHOOL DISTRICT</t>
  </si>
  <si>
    <t>CARLTON PUBLIC SCHOOL DISTRICT</t>
  </si>
  <si>
    <t>CLOQUET PUBLIC SCHOOL DISTRICT</t>
  </si>
  <si>
    <t>CROMWELL-WRIGHT PUBLIC SCHOOLS</t>
  </si>
  <si>
    <t>WRENSHALL PUBLIC SCHOOL DISTRICT</t>
  </si>
  <si>
    <t>MINN LITERACY COUNCIL INC</t>
  </si>
  <si>
    <t>NORWOOD PUBLIC SCHOOL DISTRICT</t>
  </si>
  <si>
    <t>WACONIA PUBLIC SCHOOL DISTRICT</t>
  </si>
  <si>
    <t>WATERTOWN-MAYER PUBLIC SCHOOL DIST.</t>
  </si>
  <si>
    <t>WHITE EARTH RESERVATION TRIBAL COUN</t>
  </si>
  <si>
    <t>EASTERN CARVER COUNTY PUBLIC SCHOOL</t>
  </si>
  <si>
    <t>WALKER-HACKENSACK-AKELEY SCHL. DIST</t>
  </si>
  <si>
    <t>COMPETITIVE - 837 - State Personnel Development Grant (SPDG); Capacity Building for Local Education Agencies (LEA) - Year V</t>
  </si>
  <si>
    <t>CASS LAKE-BENA PUBLIC SCHOOLS</t>
  </si>
  <si>
    <t>INSTITUTE FOR NEW AMERICANS</t>
  </si>
  <si>
    <t>PILLAGER PUBLIC SCHOOL DISTRICT</t>
  </si>
  <si>
    <t>NORTHLAND COMMUNITY SCHOOLS</t>
  </si>
  <si>
    <t>MONTEVIDEO PUBLIC SCHOOL DISTRICT</t>
  </si>
  <si>
    <t>NORTH BRANCH PUBLIC SCHOOLS</t>
  </si>
  <si>
    <t>RUSH CITY PUBLIC SCHOOL DISTRICT</t>
  </si>
  <si>
    <t>BARNESVILLE PUBLIC SCHOOL DIST.</t>
  </si>
  <si>
    <t>HAWLEY PUBLIC SCHOOL DISTRICT</t>
  </si>
  <si>
    <t>MOORHEAD PUBLIC SCHOOL DISTRICT</t>
  </si>
  <si>
    <t>MINNESOTA STATE ACADEMIES</t>
  </si>
  <si>
    <t>BAGLEY PUBLIC SCHOOL DISTRICT</t>
  </si>
  <si>
    <t>COOK COUNTY PUBLIC SCHOOLS</t>
  </si>
  <si>
    <t>MOUNTAIN LAKE PUBLIC SCHOOLS</t>
  </si>
  <si>
    <t>BRAINERD PUBLIC SCHOOL DISTRICT</t>
  </si>
  <si>
    <t>CROSBY-IRONTON PUBLIC SCHOOL DIST.</t>
  </si>
  <si>
    <t>PEQUOT LAKES PUBLIC SCHOOLS</t>
  </si>
  <si>
    <t>BURNSVILLE PUBLIC SCHOOL DISTRICT</t>
  </si>
  <si>
    <t>FARMINGTON PUBLIC SCHOOL DISTRICT</t>
  </si>
  <si>
    <t>LAKEVILLE PUBLIC SCHOOL DISTRICT</t>
  </si>
  <si>
    <t>805 - Response to Intervention (RTI) - 3rd Cohort</t>
  </si>
  <si>
    <t>RANDOLPH PUBLIC SCHOOL DISTRICT</t>
  </si>
  <si>
    <t>ROSEMOUNT-APPLE VALLEY-EAGAN</t>
  </si>
  <si>
    <t>WEST ST. PAUL-MENDOTA HTS.-EAGAN</t>
  </si>
  <si>
    <t>INVER GROVE HEIGHTS SCHOOLS</t>
  </si>
  <si>
    <t>HASTINGS PUBLIC SCHOOL DISTRICT</t>
  </si>
  <si>
    <t>HAYFIELD PUBLIC SCHOOL DISTRICT</t>
  </si>
  <si>
    <t>KASSON-MANTORVILLE SCHOOL DISTRICT</t>
  </si>
  <si>
    <t>ALEXANDRIA PUBLIC SCHOOL DISTRICT</t>
  </si>
  <si>
    <t>EVANSVILLE PUBLIC SCHOOL DISTRICT</t>
  </si>
  <si>
    <t>OSAKIS PUBLIC SCHOOL DISTRICT</t>
  </si>
  <si>
    <t>CHATFIELD PUBLIC SCHOOLS</t>
  </si>
  <si>
    <t>LANESBORO PUBLIC SCHOOL DISTRICT</t>
  </si>
  <si>
    <t>RUSHFORD-PETERSON PUBLIC SCHOOLS</t>
  </si>
  <si>
    <t>ALBERT LEA PUBLIC SCHOOL DISTRICT</t>
  </si>
  <si>
    <t>ALDEN-CONGER PUBLIC SCHOOL DISTRICT</t>
  </si>
  <si>
    <t>CANNON FALLS PUBLIC SCHOOL DISTRICT</t>
  </si>
  <si>
    <t>GOODHUE PUBLIC SCHOOL DISTRICT</t>
  </si>
  <si>
    <t>PINE ISLAND PUBLIC SCHOOL DIST.</t>
  </si>
  <si>
    <t>ASHBY PUBLIC SCHOOL DISTRICT</t>
  </si>
  <si>
    <t>HERMAN-NORCROSS SCHOOL DISTRICT</t>
  </si>
  <si>
    <t>HOPKINS PUBLIC SCHOOL DISTRICT</t>
  </si>
  <si>
    <t>Formula - 442 - Phase 2 Title III Emergency Immigrant Program</t>
  </si>
  <si>
    <t>BLOOMINGTON PUBLIC SCHOOL DISTRICT</t>
  </si>
  <si>
    <t>Competitive - 706 - Fresh Fruit and Vegetable Program</t>
  </si>
  <si>
    <t>Competitive - 869 - Minnesota Reading First Statewide Model for Scaling Up K-3 Reading Instruction</t>
  </si>
  <si>
    <t>EDEN PRAIRIE PUBLIC SCHOOL DISTRICT</t>
  </si>
  <si>
    <t>EDINA PUBLIC SCHOOL DISTRICT</t>
  </si>
  <si>
    <t>MINNETONKA PUBLIC SCHOOL DISTRICT</t>
  </si>
  <si>
    <t>WESTONKA PUBLIC SCHOOL DISTRICT</t>
  </si>
  <si>
    <t>ORONO PUBLIC SCHOOL DISTRICT</t>
  </si>
  <si>
    <t>OSSEO PUBLIC SCHOOL DISTRICT</t>
  </si>
  <si>
    <t>RICHFIELD PUBLIC SCHOOL DISTRICT</t>
  </si>
  <si>
    <t>ROBBINSDALE PUBLIC SCHOOL DISTRICT</t>
  </si>
  <si>
    <t>Competitive - 861 - Library Services &amp; Technology Act State Grants - Competitive Grants</t>
  </si>
  <si>
    <t>Continuation - 871 - Even Start Family Literacy</t>
  </si>
  <si>
    <t>ST. ANTHONY-NEW BRIGHTON SCHOOLS</t>
  </si>
  <si>
    <t>ST. LOUIS PARK PUBLIC SCHOOL DIST.</t>
  </si>
  <si>
    <t>WAYZATA PUBLIC SCHOOL DISTRICT</t>
  </si>
  <si>
    <t>BROOKLYN CENTER SCHOOL DISTRICT</t>
  </si>
  <si>
    <t>INTERMEDIATE SCHOOL DISTRICT 287</t>
  </si>
  <si>
    <t>Competitive - 825 - Alternative to Suspension</t>
  </si>
  <si>
    <t>Competitive - 862 - Math &amp; Science</t>
  </si>
  <si>
    <t>HOUSTON PUBLIC SCHOOL DISTRICT</t>
  </si>
  <si>
    <t>SPRING GROVE SCHOOL DISTRICT</t>
  </si>
  <si>
    <t>CALEDONIA PUBLIC SCHOOL DISTRICT</t>
  </si>
  <si>
    <t>LACRESCENT-HOKAH SCHOOL DISTRICT</t>
  </si>
  <si>
    <t>LAPORTE PUBLIC SCHOOL DISTRICT</t>
  </si>
  <si>
    <t>NEVIS PUBLIC SCHOOL DISTRICT</t>
  </si>
  <si>
    <t>PARK RAPIDS PUBLIC SCHOOL DISTRICT</t>
  </si>
  <si>
    <t>BRAHAM PUBLIC SCHOOL DISTRICT</t>
  </si>
  <si>
    <t>GREENWAY PUBLIC SCHOOL DISTRICT</t>
  </si>
  <si>
    <t>GRAND RAPIDS PUBLIC SCHOOL DISTRICT</t>
  </si>
  <si>
    <t>NASHWAUK-KEEWATIN SCHOOL DISTRICT</t>
  </si>
  <si>
    <t>HERON LAKE-OKABENA SCHOOL DISTRICT</t>
  </si>
  <si>
    <t>OGILVIE PUBLIC SCHOOL DISTRICT</t>
  </si>
  <si>
    <t>NEW LONDON-SPICER SCHOOL DISTRICT</t>
  </si>
  <si>
    <t>WILLMAR PUBLIC SCHOOL DISTRICT</t>
  </si>
  <si>
    <t>LANCASTER PUBLIC SCHOOL DISTRICT</t>
  </si>
  <si>
    <t>INTERNATIONAL FALLS SCHOOL DISTRICT</t>
  </si>
  <si>
    <t>LITTLEFORK-BIG FALLS SCHOOL DIST.</t>
  </si>
  <si>
    <t>SOUTH KOOCHICHING SCHOOL DISTRICT</t>
  </si>
  <si>
    <t>DAWSON-BOYD PUBLIC SCHOOL DISTRICT</t>
  </si>
  <si>
    <t>LAKE SUPERIOR PUBLIC SCHOOL DIST.</t>
  </si>
  <si>
    <t>NW REGION INTERDISTRICT COUNCIL</t>
  </si>
  <si>
    <t>LAKE OF THE WOODS SCHOOL DISTRICT</t>
  </si>
  <si>
    <t>CLEVELAND PUBLIC SCHOOL DISTRICT</t>
  </si>
  <si>
    <t>LECENTER PUBLIC SCHOOL DISTRICT</t>
  </si>
  <si>
    <t>MONTGOMERY-LONSDALE SCHOOL DISTRICT</t>
  </si>
  <si>
    <t>LAKE AGASSIZ SPECIAL ED. COOP.</t>
  </si>
  <si>
    <t>MIDWEST SPECIAL EDUCATION COOP.</t>
  </si>
  <si>
    <t>HENDRICKS PUBLIC SCHOOL DISTRICT</t>
  </si>
  <si>
    <t>IVANHOE PUBLIC SCHOOL DISTRICT</t>
  </si>
  <si>
    <t>LAKE BENTON PUBLIC SCHOOL DISTRICT</t>
  </si>
  <si>
    <t>MARSHALL PUBLIC SCHOOL DISTRICT</t>
  </si>
  <si>
    <t>LYND PUBLIC SCHOOL DISTRICT</t>
  </si>
  <si>
    <t>HUTCHINSON PUBLIC SCHOOL DISTRICT</t>
  </si>
  <si>
    <t>LESTER PRAIRIE PUBLIC SCHOOL DIST.</t>
  </si>
  <si>
    <t>MAHNOMEN PUBLIC SCHOOL DISTRICT</t>
  </si>
  <si>
    <t>MARSHALL COUNTY CENTRAL SCHOOLS</t>
  </si>
  <si>
    <t>GRYGLA PUBLIC SCHOOL DISTRICT</t>
  </si>
  <si>
    <t>TRUMAN PUBLIC SCHOOL DISTRICT</t>
  </si>
  <si>
    <t>EDEN VALLEY-WATKINS SCHOOL DISTRICT</t>
  </si>
  <si>
    <t>LITCHFIELD PUBLIC SCHOOL DISTRICT</t>
  </si>
  <si>
    <t>DASSEL-COKATO PUBLIC SCHOOL DIST.</t>
  </si>
  <si>
    <t>ISLE PUBLIC SCHOOL DISTRICT</t>
  </si>
  <si>
    <t>PRINCETON PUBLIC SCHOOL DISTRICT</t>
  </si>
  <si>
    <t>ONAMIA PUBLIC SCHOOL DISTRICT</t>
  </si>
  <si>
    <t>LITTLE FALLS PUBLIC SCHOOL DISTRICT</t>
  </si>
  <si>
    <t>PIERZ PUBLIC SCHOOL DISTRICT</t>
  </si>
  <si>
    <t>ROYALTON PUBLIC SCHOOL DISTRICT</t>
  </si>
  <si>
    <t>SWANVILLE PUBLIC SCHOOL DISTRICT</t>
  </si>
  <si>
    <t>UPSALA PUBLIC SCHOOL DISTRICT</t>
  </si>
  <si>
    <t>AUSTIN PUBLIC SCHOOL DISTRICT</t>
  </si>
  <si>
    <t>GRAND MEADOW PUBLIC SCHOOL DISTRICT</t>
  </si>
  <si>
    <t>LYLE PUBLIC SCHOOL DISTRICT</t>
  </si>
  <si>
    <t>LEROY PUBLIC SCHOOL DISTRICT</t>
  </si>
  <si>
    <t>SOUTHLAND PUBLIC SCHOOL DISTRICT</t>
  </si>
  <si>
    <t>FULDA PUBLIC SCHOOL DISTRICT</t>
  </si>
  <si>
    <t>NICOLLET PUBLIC SCHOOL DISTRICT</t>
  </si>
  <si>
    <t>ST. PETER PUBLIC SCHOOL DISTRICT</t>
  </si>
  <si>
    <t>ADRIAN PUBLIC SCHOOL DISTRICT</t>
  </si>
  <si>
    <t>BREWSTER PUBLIC SCHOOL DISTRICT</t>
  </si>
  <si>
    <t>ELLSWORTH PUBLIC SCHOOL DISTRICT</t>
  </si>
  <si>
    <t>ROUND LAKE PUBLIC SCHOOL DISTRICT</t>
  </si>
  <si>
    <t>WORTHINGTON PUBLIC SCHOOL DISTRICT</t>
  </si>
  <si>
    <t>BYRON PUBLIC SCHOOL DISTRICT</t>
  </si>
  <si>
    <t>DOVER-EYOTA PUBLIC SCHOOL DISTRICT</t>
  </si>
  <si>
    <t>STEWARTVILLE PUBLIC SCHOOL DISTRICT</t>
  </si>
  <si>
    <t>ROCHESTER PUBLIC SCHOOL DISTRICT</t>
  </si>
  <si>
    <t>FERGUS FALLS PUBLIC SCHOOL DISTRICT</t>
  </si>
  <si>
    <t>HENNING PUBLIC SCHOOL DISTRICT</t>
  </si>
  <si>
    <t>PARKERS PRAIRIE PUBLIC SCHOOL DIST.</t>
  </si>
  <si>
    <t>PELICAN RAPIDS PUBLIC SCHOOL DIST.</t>
  </si>
  <si>
    <t>PERHAM PUBLIC SCHOOL DISTRICT</t>
  </si>
  <si>
    <t>UNDERWOOD PUBLIC SCHOOL DISTRICT</t>
  </si>
  <si>
    <t>NEW YORK MILLS PUBLIC SCHOOL DIST.</t>
  </si>
  <si>
    <t>GOODRIDGE PUBLIC SCHOOL DISTRICT</t>
  </si>
  <si>
    <t>THIEF RIVER FALLS SCHOOL DISTRICT</t>
  </si>
  <si>
    <t>WILLOW RIVER PUBLIC SCHOOL DISTRICT</t>
  </si>
  <si>
    <t>PINE CITY PUBLIC SCHOOL DISTRICT</t>
  </si>
  <si>
    <t>CLIMAX PUBLIC SCHOOL DISTRICT</t>
  </si>
  <si>
    <t>CROOKSTON PUBLIC SCHOOL DISTRICT</t>
  </si>
  <si>
    <t>EAST GRAND FORKS PUBLIC SCHOOL DIST</t>
  </si>
  <si>
    <t>FERTILE-BELTRAMI SCHOOL DISTRICT</t>
  </si>
  <si>
    <t>FISHER PUBLIC SCHOOL DISTRICT</t>
  </si>
  <si>
    <t>FOSSTON PUBLIC SCHOOL DISTRICT</t>
  </si>
  <si>
    <t>CYRUS PUBLIC SCHOOL DISTRICT</t>
  </si>
  <si>
    <t>MOUNDS VIEW PUBLIC SCHOOL DISTRICT</t>
  </si>
  <si>
    <t>NORTH ST PAUL-MAPLEWOOD SCHOOL DIST</t>
  </si>
  <si>
    <t>ROSEVILLE PUBLIC SCHOOL DISTRICT</t>
  </si>
  <si>
    <t>WHITE BEAR LAKE SCHOOL DISTRICT</t>
  </si>
  <si>
    <t>ST. PAUL PUBLIC SCHOOL DISTRICT</t>
  </si>
  <si>
    <t>Sole Source - 848 - AYP School Improvement</t>
  </si>
  <si>
    <t>PLUMMER PUBLIC SCHOOL DISTRICT</t>
  </si>
  <si>
    <t>MILROY PUBLIC SCHOOL DISTRICT</t>
  </si>
  <si>
    <t>WABASSO PUBLIC SCHOOL DISTRICT</t>
  </si>
  <si>
    <t>FARIBAULT PUBLIC SCHOOL DISTRICT</t>
  </si>
  <si>
    <t>NORTHFIELD PUBLIC SCHOOL DISTRICT</t>
  </si>
  <si>
    <t>HILLS-BEAVER CREEK SCHOOL DISTRICT</t>
  </si>
  <si>
    <t>BADGER PUBLIC SCHOOL DISTRICT</t>
  </si>
  <si>
    <t>ROSEAU PUBLIC SCHOOL DISTRICT</t>
  </si>
  <si>
    <t>WARROAD PUBLIC SCHOOL DISTRICT</t>
  </si>
  <si>
    <t>CHISHOLM PUBLIC SCHOOL DISTRICT</t>
  </si>
  <si>
    <t>ELY PUBLIC SCHOOL DISTRICT</t>
  </si>
  <si>
    <t>FLOODWOOD PUBLIC SCHOOL DISTRICT</t>
  </si>
  <si>
    <t>HIBBING PUBLIC SCHOOL DISTRICT</t>
  </si>
  <si>
    <t>PROCTOR PUBLIC SCHOOL DISTRICT</t>
  </si>
  <si>
    <t>VIRGINIA PUBLIC SCHOOL DISTRICT</t>
  </si>
  <si>
    <t>NETT LAKE PUBLIC SCHOOL DISTRICT</t>
  </si>
  <si>
    <t>DULUTH PUBLIC SCHOOL DISTRICT</t>
  </si>
  <si>
    <t>MOUNTAIN IRON-BUHL SCHOOL DISTRICT</t>
  </si>
  <si>
    <t>BELLE PLAINE PUBLIC SCHOOL DISTRICT</t>
  </si>
  <si>
    <t>JORDAN PUBLIC SCHOOL DISTRICT</t>
  </si>
  <si>
    <t>PRIOR LAKE-SAVAGE AREA SCHOOLS</t>
  </si>
  <si>
    <t>SHAKOPEE PUBLIC SCHOOL DISTRICT</t>
  </si>
  <si>
    <t>NEW PRAGUE AREA SCHOOLS</t>
  </si>
  <si>
    <t>BIG LAKE PUBLIC SCHOOL DISTRICT</t>
  </si>
  <si>
    <t>ELK RIVER PUBLIC SCHOOL DISTRICT</t>
  </si>
  <si>
    <t>HOLDINGFORD PUBLIC SCHOOL DISTRICT</t>
  </si>
  <si>
    <t>ST. CLOUD PUBLIC SCHOOL DISTRICT</t>
  </si>
  <si>
    <t>SARTELL-ST. STEPHEN SCHOOL DISTRICT</t>
  </si>
  <si>
    <t>ROCORI PUBLIC SCHOOL DISTRICT</t>
  </si>
  <si>
    <t>BLOOMING PRAIRIE PUBLIC SCHOOL DIST</t>
  </si>
  <si>
    <t>OWATONNA PUBLIC SCHOOL DISTRICT</t>
  </si>
  <si>
    <t>MEDFORD PUBLIC SCHOOL DISTRICT</t>
  </si>
  <si>
    <t>MORRIS PUBLIC SCHOOL DISTRICT</t>
  </si>
  <si>
    <t>CHOKIO-ALBERTA PUBLIC SCHOOL DIST.</t>
  </si>
  <si>
    <t>BERTHA-HEWITT PUBLIC SCHOOL DIST.</t>
  </si>
  <si>
    <t>BROWERVILLE PUBLIC SCHOOL DISTRICT</t>
  </si>
  <si>
    <t>BROWNS VALLEY PUBLIC SCHOOL DIST.</t>
  </si>
  <si>
    <t>WHEATON AREA PUBLIC SCHOOL DISTRICT</t>
  </si>
  <si>
    <t>WABASHA-KELLOGG PUBLIC SCHOOL DIST.</t>
  </si>
  <si>
    <t>LAKE CITY PUBLIC SCHOOL DISTRICT</t>
  </si>
  <si>
    <t>PRINSBURG PUBLIC SCHOOL DISTRICT</t>
  </si>
  <si>
    <t>VERNDALE PUBLIC SCHOOL DISTRICT</t>
  </si>
  <si>
    <t>SEBEKA PUBLIC SCHOOL DISTRICT</t>
  </si>
  <si>
    <t>MENAHGA PUBLIC SCHOOL DISTRICT</t>
  </si>
  <si>
    <t>WASECA PUBLIC SCHOOL DISTRICT</t>
  </si>
  <si>
    <t>FOREST LAKE PUBLIC SCHOOL DISTRICT</t>
  </si>
  <si>
    <t>MAHTOMEDI PUBLIC SCHOOL DISTRICT</t>
  </si>
  <si>
    <t>SOUTH WASHINGTON COUNTY SCHOOL DIST</t>
  </si>
  <si>
    <t>STILLWATER AREA PUBLIC SCHOOL DIST.</t>
  </si>
  <si>
    <t>BUTTERFIELD PUBLIC SCHOOL DISTRICT</t>
  </si>
  <si>
    <t>MADELIA PUBLIC SCHOOL DISTRICT</t>
  </si>
  <si>
    <t>BRECKENRIDGE PUBLIC SCHOOL DISTRICT</t>
  </si>
  <si>
    <t>ROTHSAY PUBLIC SCHOOL DISTRICT</t>
  </si>
  <si>
    <t>CAMPBELL-TINTAH PUBLIC SCHOOL DIST.</t>
  </si>
  <si>
    <t>LEWISTON-ALTURA PUBLIC SCHOOL DIST.</t>
  </si>
  <si>
    <t>ST. CHARLES PUBLIC SCHOOL DISTRICT</t>
  </si>
  <si>
    <t>WINONA AREA PUBLIC SCHOOL DISTRICT</t>
  </si>
  <si>
    <t>SOUTHERN MINN. SPECIAL SERVICE COOP</t>
  </si>
  <si>
    <t>ANNANDALE PUBLIC SCHOOL DISTRICT</t>
  </si>
  <si>
    <t>BUFFALO PUBLIC SCHOOL DISTRICT</t>
  </si>
  <si>
    <t>DELANO PUBLIC SCHOOL DISTRICT</t>
  </si>
  <si>
    <t>MAPLE LAKE PUBLIC SCHOOL DISTRICT</t>
  </si>
  <si>
    <t>MONTICELLO PUBLIC SCHOOL DISTRICT</t>
  </si>
  <si>
    <t>ROCKFORD PUBLIC SCHOOL DISTRICT</t>
  </si>
  <si>
    <t>CANBY PUBLIC SCHOOL DISTRICT</t>
  </si>
  <si>
    <t>NORTHERN LAKES SPECIAL ED. COOP</t>
  </si>
  <si>
    <t>CAMBRIDGE-ISANTI PUBLIC SCHOOL DIST</t>
  </si>
  <si>
    <t>MILACA PUBLIC SCHOOL DISTRICT</t>
  </si>
  <si>
    <t>ULEN-HITTERDAL PUBLIC SCHOOL DIST</t>
  </si>
  <si>
    <t>SOUTHERN PLAINS EDUCATION COOP.</t>
  </si>
  <si>
    <t>N.E. METRO INTERMEDIATE DIST. 916</t>
  </si>
  <si>
    <t>INTERMEDIATE SCHOOL DISTRICT 917</t>
  </si>
  <si>
    <t>NORTH COUNTRY VOC. COOP. CTR.</t>
  </si>
  <si>
    <t>REGION 11-METRO EDUC. SERVICE UNIT</t>
  </si>
  <si>
    <t>FORMULA - 487 - PART C ARRA Federal Stimulus Low-incidence Professional Development Project</t>
  </si>
  <si>
    <t>Competitive - 831 - Early Childhood Special Education (ECSE) Statewide Low Incidence Disabilities</t>
  </si>
  <si>
    <t>REGION 9-SOUTH CENTRAL SERVICE COOP</t>
  </si>
  <si>
    <t>Formula - 421 - Regional Low Incidence Discretionary</t>
  </si>
  <si>
    <t>Formula - 440 - Regional Low Incidence Discretionary Professional Development EC Autism Part B 619 (3-5)</t>
  </si>
  <si>
    <t>REGION 7-RESOURCE TRNG. &amp; SOLUTIONS</t>
  </si>
  <si>
    <t>REGION 5-NATIONAL JOINT POWERS</t>
  </si>
  <si>
    <t>REGION 4-LAKES COUNTRY SERVICE COOP</t>
  </si>
  <si>
    <t>432 - Regional Low Incidence CSPD Discretionary</t>
  </si>
  <si>
    <t>REGION 3 - NORTHEAST SERVICE COOP</t>
  </si>
  <si>
    <t>REGION 1 &amp; 2-NORTHWEST SVC. COOP</t>
  </si>
  <si>
    <t>CARVER-SCOTT EDUCATIONAL COOP.</t>
  </si>
  <si>
    <t>FERGUS FALLS AREA SP. ED. COOP.</t>
  </si>
  <si>
    <t>MEEKER &amp; WRIGHT SPECIAL EDUCATION</t>
  </si>
  <si>
    <t>MINNESOTA VALLEY COOPERATIVE</t>
  </si>
  <si>
    <t>REGN 6 &amp; 8-S.W/W.C. SRV COOPERATIVE</t>
  </si>
  <si>
    <t>AREA SPECIAL EDUCATION COOPERATIVE</t>
  </si>
  <si>
    <t>BEMIDJI REGIONAL INTERDIST. COUNCIL</t>
  </si>
  <si>
    <t>CIRCLE OF LIFE</t>
  </si>
  <si>
    <t>LAKE CRYSTAL-WELLCOME MEMORIAL</t>
  </si>
  <si>
    <t>TRITON SCHOOL DISTRICT</t>
  </si>
  <si>
    <t>UNITED SOUTH CENTRAL SCHOOL DIST.</t>
  </si>
  <si>
    <t>MAPLE RIVER SCHOOL DISTRICT</t>
  </si>
  <si>
    <t>KINGSLAND PUBLIC SCHOOL DISTRICT</t>
  </si>
  <si>
    <t>ST. LOUIS COUNTY SCHOOL DISTRICT</t>
  </si>
  <si>
    <t>WATERVILLE-ELYSIAN-MORRISTOWN</t>
  </si>
  <si>
    <t>CHISAGO LAKES SCHOOL DISTRICT</t>
  </si>
  <si>
    <t>EVELETH-GILBERT SCHOOL DISTRICT</t>
  </si>
  <si>
    <t>WADENA-DEER CREEK SCHOOL DISTRICT</t>
  </si>
  <si>
    <t>BUFFALO LAKE-HECTOR SCHOOL DISTRICT</t>
  </si>
  <si>
    <t>DILWORTH-GLYNDON-FELTON</t>
  </si>
  <si>
    <t>HINCKLEY-FINLAYSON SCHOOL DISTRICT</t>
  </si>
  <si>
    <t>LAKEVIEW SCHOOL DISTRICT</t>
  </si>
  <si>
    <t>MURRAY COUNTY CENTRAL SCHOOL DIST.</t>
  </si>
  <si>
    <t>STAPLES-MOTLEY SCHOOL DISTRICT</t>
  </si>
  <si>
    <t>KITTSON CENTRAL SCHOOL DISTRICT</t>
  </si>
  <si>
    <t>KENYON-WANAMINGO SCHOOL DISTRICT</t>
  </si>
  <si>
    <t>PINE RIVER-BACKUS SCHOOL DISTRICT</t>
  </si>
  <si>
    <t>WARREN-ALVARADO-OSLO SCHOOL DIST.</t>
  </si>
  <si>
    <t>M.A.C.C.R.A.Y. SCHOOL DISTRICT</t>
  </si>
  <si>
    <t>LUVERNE PUBLIC SCHOOL DISTRICT</t>
  </si>
  <si>
    <t>YELLOW MEDICINE EAST</t>
  </si>
  <si>
    <t>FILLMORE CENTRAL</t>
  </si>
  <si>
    <t>NORMAN COUNTY EAST SCHOOL DISTRICT</t>
  </si>
  <si>
    <t>SIBLEY EAST SCHOOL DISTRICT</t>
  </si>
  <si>
    <t>CLEARBROOK-GONVICK SCHOOL DISTRICT</t>
  </si>
  <si>
    <t>WEST CENTRAL AREA</t>
  </si>
  <si>
    <t>G.F.W.</t>
  </si>
  <si>
    <t>LESUEUR-HENDERSON SCHOOL DISTRICT</t>
  </si>
  <si>
    <t>NORMAN COUNTY WEST SCHOOL DISTRICT</t>
  </si>
  <si>
    <t>BIRD ISLAND-OLIVIA-LAKE LILLIAN</t>
  </si>
  <si>
    <t>GRANADA HUNTLEY-EAST CHAIN</t>
  </si>
  <si>
    <t>EAST CENTRAL SCHOOL DISTRICT</t>
  </si>
  <si>
    <t>WIN-E-MAC SCHOOL DISTRICT</t>
  </si>
  <si>
    <t>GREENBUSH-MIDDLE RIVER SCHOOL DIST.</t>
  </si>
  <si>
    <t>HOWARD LAKE-WAVERLY-WINSTED</t>
  </si>
  <si>
    <t>PIPESTONE AREA SCHOOL DISTRICT</t>
  </si>
  <si>
    <t>MESABI EAST SCHOOL DISTRICT</t>
  </si>
  <si>
    <t>LONG PRAIRIE-GREY EAGLE SCHOOL DIST</t>
  </si>
  <si>
    <t>CEDAR MOUNTAIN SCHOOL DISTRICT</t>
  </si>
  <si>
    <t>EAGLE VALLEY PUBLIC SCHOOL DISTRICT</t>
  </si>
  <si>
    <t>ZUMBROTA-MAZEPPA SCHOOL DISTRICT</t>
  </si>
  <si>
    <t>JANESVILLE-WALDORF-PEMBERTON</t>
  </si>
  <si>
    <t>LAC QUI PARLE VALLEY SCHOOL DIST.</t>
  </si>
  <si>
    <t>STEPHEN-ARGYLE CENTRAL SCHOOLS</t>
  </si>
  <si>
    <t>GLENCOE-SILVER LAKE SCHOOL DISTRICT</t>
  </si>
  <si>
    <t>BLUE EARTH AREA PUBLIC SCHOOL</t>
  </si>
  <si>
    <t>RED ROCK CENTRAL SCHOOL DISTRICT</t>
  </si>
  <si>
    <t>GLENVILLE-EMMONS SCHOOL DISTRICT</t>
  </si>
  <si>
    <t>CLINTON-GRACEVILLE-BEARDSLEY</t>
  </si>
  <si>
    <t>LAKE PARK AUDUBON SCHOOL DISTRICT</t>
  </si>
  <si>
    <t>RENVILLE COUNTY WEST SCHOOL DIST.</t>
  </si>
  <si>
    <t>REDWOOD AREA SCHOOL DISTRICT</t>
  </si>
  <si>
    <t>WESTBROOK-WALNUT GROVE SCHOOLS</t>
  </si>
  <si>
    <t>RTR PUBLIC SCHOOLS</t>
  </si>
  <si>
    <t>ORTONVILLE PUBLIC SCHOOLS</t>
  </si>
  <si>
    <t>TRACY AREA PUBLIC SCHOOL DISTRICT</t>
  </si>
  <si>
    <t>BLUFFVIEW MONTESSORI</t>
  </si>
  <si>
    <t>CEDAR RIVERSIDE COMMUNITY SCHOOL</t>
  </si>
  <si>
    <t>METRO DEAF SCH &amp; MN NORTH STAR ACAD</t>
  </si>
  <si>
    <t>SKILLS FOR TOMORROW CHARTER SCHOOL</t>
  </si>
  <si>
    <t>FORMULA - 481 - IDEA Special Education FY2010  Federal Part B Section 611 CEIS Targeted Stimulus Allocation</t>
  </si>
  <si>
    <t>MINNESOTA NEW COUNTRY SCHOOL</t>
  </si>
  <si>
    <t>PACT CHARTER SCHOOL</t>
  </si>
  <si>
    <t>NEW VISIONS CHARTER SCHOOL</t>
  </si>
  <si>
    <t>COMMUNITY OF PEACE ACADEMY</t>
  </si>
  <si>
    <t>WORLD LEARNER CHARTER SCHOOL</t>
  </si>
  <si>
    <t>MINNESOTA TRANSITIONS CHARTER SCH</t>
  </si>
  <si>
    <t>ACHIEVE LANGUAGE ACADEMY</t>
  </si>
  <si>
    <t>DULUTH PUBLIC SCHOOLS ACADEMY</t>
  </si>
  <si>
    <t>E.C.H.O. CHARTER SCHOOL</t>
  </si>
  <si>
    <t>HIGHER GROUND ACADEMY</t>
  </si>
  <si>
    <t>NEW SPIRIT SCHOOL</t>
  </si>
  <si>
    <t>ODYSSEY ACADEMY</t>
  </si>
  <si>
    <t>JENNINGS COMMUNITY LEARNING CENTER</t>
  </si>
  <si>
    <t>HARVEST PREP SCHOOL/SEED ACADEMY</t>
  </si>
  <si>
    <t>CONCORDIA CREATIVE LEARNING ACADEMY</t>
  </si>
  <si>
    <t>FACE TO FACE ACADEMY</t>
  </si>
  <si>
    <t>SOJOURNER TRUTH ACADEMY</t>
  </si>
  <si>
    <t>HIGH SCHOOL FOR RECORDING ARTS</t>
  </si>
  <si>
    <t>TWIN CITIES ACADEMY</t>
  </si>
  <si>
    <t>MATH &amp; SCIENCE ACADEMY</t>
  </si>
  <si>
    <t>LAKES AREA CHARTER SCHOOL</t>
  </si>
  <si>
    <t>LAKE SUPERIOR HIGH SCHOOL</t>
  </si>
  <si>
    <t>LAFAYETTE PUBLIC CHARTER SCHOOL</t>
  </si>
  <si>
    <t>FOUR DIRECTIONS CHARTER SCHOOLS</t>
  </si>
  <si>
    <t>NERSTRAND CHARTER SCHOOL</t>
  </si>
  <si>
    <t>ROCHESTER OFF-CAMPUS CHARTER HIGH</t>
  </si>
  <si>
    <t>EL COLEGIO CHARTER SCHOOL</t>
  </si>
  <si>
    <t>SCHOOLCRAFT LEARNING COMMUNITY CHTR</t>
  </si>
  <si>
    <t>CROSSLAKE COMMUNITY CHARTER SCHOOL</t>
  </si>
  <si>
    <t>STUDIO ACADEMY CHARTER SCHOOL</t>
  </si>
  <si>
    <t>RIVERWAY LEARNING COMMUNITY CHTR</t>
  </si>
  <si>
    <t>AURORA CHARTER SCHOOL</t>
  </si>
  <si>
    <t>EXCELL ACADEMY CHARTER</t>
  </si>
  <si>
    <t>HOPE COMMUNITY ACADEMY</t>
  </si>
  <si>
    <t>ACADEMIA CESAR CHAVEZ CHARTER SCH.</t>
  </si>
  <si>
    <t>AFSA HIGH SCHOOL</t>
  </si>
  <si>
    <t>AVALON SCHOOL</t>
  </si>
  <si>
    <t>TWIN CITIES INTERNATIONAL ELEM SCH.</t>
  </si>
  <si>
    <t>MN INTERNATIONAL MIDDLE CHARTER</t>
  </si>
  <si>
    <t>FRIENDSHIP ACDMY OF FINE ARTS CHTR.</t>
  </si>
  <si>
    <t>PILLAGER AREA CHARTER SCHOOL</t>
  </si>
  <si>
    <t>DISCOVERY PUBLIC SCHOOL FARIBAULT</t>
  </si>
  <si>
    <t>BLUESKY CHARTER SCHOOL</t>
  </si>
  <si>
    <t>RIDGEWAY COMMUNITY SCHOOL</t>
  </si>
  <si>
    <t>NORTH SHORE COMMUNITY SCHOOL</t>
  </si>
  <si>
    <t>HARBOR CITY INTERNATIONAL CHARTER</t>
  </si>
  <si>
    <t>WOODSON INSTITUTE FOR EXCELLENCE CH</t>
  </si>
  <si>
    <t>URBAN ACADEMY CHARTER SCHOOL</t>
  </si>
  <si>
    <t>NEW CITY SCHOOL</t>
  </si>
  <si>
    <t>PRAIRIE CREEK COMMUNITY SCHOOL</t>
  </si>
  <si>
    <t>ARTECH</t>
  </si>
  <si>
    <t>NEW CENTURY CHARTER SCHOOL</t>
  </si>
  <si>
    <t>TRIO WOLF CREEK DISTANCE LEARNING</t>
  </si>
  <si>
    <t>PARTNERSHIP ACADEMY, INC.</t>
  </si>
  <si>
    <t>NOVA CLASSICAL ACADEMY</t>
  </si>
  <si>
    <t>TAREK IBN ZIYAD ACADEMY</t>
  </si>
  <si>
    <t>GREAT EXPECTATIONS</t>
  </si>
  <si>
    <t>MINNESOTA INTERNSHIP CENTER</t>
  </si>
  <si>
    <t>HMONG COLLEGE PREP ACADEMY</t>
  </si>
  <si>
    <t>PALADIN ACADEMY</t>
  </si>
  <si>
    <t>VOYAGEURS EXPEDITIONARY</t>
  </si>
  <si>
    <t>GENERAL JOHN VESSEY JR LEADERSHIP</t>
  </si>
  <si>
    <t>SOBRIETY HIGH</t>
  </si>
  <si>
    <t>MAIN STREET SCHOOL PERFORMING ARTS</t>
  </si>
  <si>
    <t>AUGSBURG FAIRVIEW ACADEMY</t>
  </si>
  <si>
    <t>FRASER ACADEMY</t>
  </si>
  <si>
    <t>MINNEAPOLIS ACADEMY CHARTER SCHOOL</t>
  </si>
  <si>
    <t>LAKES INTERNATIONAL LANGUAGE ADMY</t>
  </si>
  <si>
    <t>KALEIDOSCOPE CHARTER SCHOOL</t>
  </si>
  <si>
    <t>RIVER HEIGHTS CHARTER SCHOOL</t>
  </si>
  <si>
    <t>ST. CROIX PREPARATORY ACADEMY</t>
  </si>
  <si>
    <t>UBAH MEDICAL ACADEMY CHARTER SCHOOL</t>
  </si>
  <si>
    <t>DAKOTA AREA COMMUNITY CHARTER SCH</t>
  </si>
  <si>
    <t>BEACON ACADEMY</t>
  </si>
  <si>
    <t>WORTHINGTON AREA LANGUAGE ACADEMY</t>
  </si>
  <si>
    <t>PRAIRIE SEEDS ACADEMY</t>
  </si>
  <si>
    <t>TEAM ACADEMY</t>
  </si>
  <si>
    <t>LIGHTHOUSE ACADEMY OF NATIONS</t>
  </si>
  <si>
    <t>BEACON PREPARATORY SCHOOL</t>
  </si>
  <si>
    <t>ROCHESTER MATH &amp; SCIENCE ACADEMY</t>
  </si>
  <si>
    <t>SWAN RIVER MONTESSORI CHARTER SCH</t>
  </si>
  <si>
    <t>MILROY AREA CHARTER SCHOOL</t>
  </si>
  <si>
    <t>LOVEWORKS ACADEMY FOR ARTS</t>
  </si>
  <si>
    <t>YINGHUA ACADEMY</t>
  </si>
  <si>
    <t>PAIDEIA ACADEMY CHARTER SCHOOL</t>
  </si>
  <si>
    <t>STRIDE ACADEMY CHARTER SCHOOL</t>
  </si>
  <si>
    <t>NEW MILLENNIUM ACADEMY CHARTER SCH</t>
  </si>
  <si>
    <t>GREEN ISLE COMMUNITY SCHOOL</t>
  </si>
  <si>
    <t>BIRCH GROVE COMMUNITY SCHOOL</t>
  </si>
  <si>
    <t>NORTHERN LIGHTS COMMUNITY SCHOOL</t>
  </si>
  <si>
    <t>EDVISIONS OFF CAMPUS SCHOOL</t>
  </si>
  <si>
    <t>TWIN CITIES GERMAN IMMERSION CHRTR</t>
  </si>
  <si>
    <t>DUGSI ACADEMY</t>
  </si>
  <si>
    <t>NAYTAHWAUSH COMMUNITY SCHOOL</t>
  </si>
  <si>
    <t>SEVEN HILLS CLASSICAL ACADEMY</t>
  </si>
  <si>
    <t>SPECTRUM HIGH SCHOOL</t>
  </si>
  <si>
    <t>NEW DISCOVERIES MONTESSORI ACADEMY</t>
  </si>
  <si>
    <t>SOUTHSIDE FAMILY CHARTER SCHOOL</t>
  </si>
  <si>
    <t>LAURA JEFFREY ACADEMY CHARTER</t>
  </si>
  <si>
    <t>EAST RANGE ACADEMY OF TECH &amp;SCIENCE</t>
  </si>
  <si>
    <t>INTERNATIONAL SPANISH LANGUAGE ACAD</t>
  </si>
  <si>
    <t>GLACIAL HILLS ELEMENTARY</t>
  </si>
  <si>
    <t>STONEBRIDGE COMMUNITY SCHOOL</t>
  </si>
  <si>
    <t>HIAWATHA LEADERSHIP ACADEMY</t>
  </si>
  <si>
    <t>NOBLE ACADEMY</t>
  </si>
  <si>
    <t>CLARKFIELD CHARTER SCHOOL</t>
  </si>
  <si>
    <t>DUNWOODY ACADEMY</t>
  </si>
  <si>
    <t>PINE GROVE LEADERSHIP ACADEMY</t>
  </si>
  <si>
    <t>LONG TIENG ACADEMY</t>
  </si>
  <si>
    <t>MINISINAAKWAANG LEADERSHIP ACADEMY</t>
  </si>
  <si>
    <t>LINCOLN INTERNATIONAL SCHOOL</t>
  </si>
  <si>
    <t>EMILY O. GOODRIDGE-GREY ACCELERATED</t>
  </si>
  <si>
    <t>COMMUNITY SCHOOL OF EXCELLENCE</t>
  </si>
  <si>
    <t>QUEST ACADEMY</t>
  </si>
  <si>
    <t>LIONSGATE ACADEMY</t>
  </si>
  <si>
    <t>ASPEN ACADEMY</t>
  </si>
  <si>
    <t>DAVINCI ACADEMY</t>
  </si>
  <si>
    <t>GLOBAL ACADEMY</t>
  </si>
  <si>
    <t>MICHAEL FROME ACADEMY</t>
  </si>
  <si>
    <t>BRIGHT WATER ELEMENTARY</t>
  </si>
  <si>
    <t>KIPP MINNESOTA CHARTER SCHOOL</t>
  </si>
  <si>
    <t>BEST ACADEMY</t>
  </si>
  <si>
    <t>COLLEGE PREPARATORY ELEMENTARY</t>
  </si>
  <si>
    <t>CANNON RIVER STEM SCHOOL</t>
  </si>
  <si>
    <t>OSHKI OGIMAAG CHARTER SCHOOL</t>
  </si>
  <si>
    <t>RICHARD ALLEN MATH&amp;SCIENCE ACADEMY</t>
  </si>
  <si>
    <t>FRESHWATER ED. DIST.</t>
  </si>
  <si>
    <t>ST. CROIX RIVER EDUCATION DISTRICT</t>
  </si>
  <si>
    <t>ZUMBRO EDUCATION DISTRICT</t>
  </si>
  <si>
    <t>HIAWATHA VALLEY ED. DISTRICT</t>
  </si>
  <si>
    <t>MN RIVER VALLEY EDUCATION DISTRICT</t>
  </si>
  <si>
    <t>WEST CENTRAL EDUCATION DISTRICT</t>
  </si>
  <si>
    <t>MN VALLEY EDUCATION DISTRICT</t>
  </si>
  <si>
    <t>RIVER BEND EDUCATION DISTRICT</t>
  </si>
  <si>
    <t>GOODHUE COUNTY EDUCATION  DIST.</t>
  </si>
  <si>
    <t>EAST METRO INTEGRATION DISTRICT</t>
  </si>
  <si>
    <t>WEST METRO EDUCATION PROGRAM</t>
  </si>
  <si>
    <t>Sole Source - 865 - Voluntary Public School Choice-Single Source</t>
  </si>
  <si>
    <t>VALLEY CROSSING COMMUNITY SCHOOL</t>
  </si>
  <si>
    <t>NORTHLAND LEARNING CENTER</t>
  </si>
  <si>
    <t>RUM RIVER SPECIAL EDUCATION COOP</t>
  </si>
  <si>
    <t>SOUTHERN MN EDUCATION CONSORTIUM</t>
  </si>
  <si>
    <t>BENTON-STEARNS ED. DISTRICT</t>
  </si>
  <si>
    <t>MID STATE EDUCATION DISTRICT</t>
  </si>
  <si>
    <t>Excluded from lookup range because of duplicate LEA number:</t>
  </si>
  <si>
    <t>Lookup range:</t>
  </si>
  <si>
    <t>FINS WITH APPROVED BUDGETS THAT HAVE NO SPENDING</t>
  </si>
  <si>
    <t>FINs with Approved budgets that have no spending</t>
  </si>
  <si>
    <t xml:space="preserve"> = LEA number (Enter 1.2 for Minneapolis)</t>
  </si>
  <si>
    <t>Total</t>
  </si>
  <si>
    <t>PINE POINT PUBLIC SCHOOL DISTRICT</t>
  </si>
  <si>
    <t>KELLIHER PUBLIC SCHOOL DISTRICT</t>
  </si>
  <si>
    <t>SPRINGFIELD PUBLIC SCHOOL DISTRICT</t>
  </si>
  <si>
    <t>MOOSE LAKE PUBLIC SCHOOL DISTRICT</t>
  </si>
  <si>
    <t>ESKO PUBLIC SCHOOL DISTRICT</t>
  </si>
  <si>
    <t>WINDOM PUBLIC SCHOOL DISTRICT</t>
  </si>
  <si>
    <t>BRANDON PUBLIC SCHOOL DISTRICT</t>
  </si>
  <si>
    <t>MABEL-CANTON PUBLIC SCHOOL DIST.</t>
  </si>
  <si>
    <t>RED WING PUBLIC SCHOOL DISTRICT</t>
  </si>
  <si>
    <t>DEER RIVER PUBLIC SCHOOL DISTRICT</t>
  </si>
  <si>
    <t>FRANCONIA PUBLIC SCHOOL DISTRICT</t>
  </si>
  <si>
    <t>MORA PUBLIC SCHOOL DISTRICT</t>
  </si>
  <si>
    <t>MINNEOTA PUBLIC SCHOOL DISTRICT</t>
  </si>
  <si>
    <t>WAUBUN PUBLIC SCHOOL DISTRICT</t>
  </si>
  <si>
    <t>BATTLE LAKE PUBLIC SCHOOL DISTRICT</t>
  </si>
  <si>
    <t>EDGERTON PUBLIC SCHOOL DISTRICT</t>
  </si>
  <si>
    <t>OKLEE PUBLIC SCHOOL DISTRICT</t>
  </si>
  <si>
    <t>RED LAKE FALLS PUBLIC SCHOOL DIST.</t>
  </si>
  <si>
    <t>HERMANTOWN PUBLIC SCHOOL DISTRICT</t>
  </si>
  <si>
    <t>BECKER PUBLIC SCHOOL DISTRICT</t>
  </si>
  <si>
    <t>KIMBALL PUBLIC SCHOOL DISTRICT</t>
  </si>
  <si>
    <t>MELROSE PUBLIC SCHOOL DISTRICT</t>
  </si>
  <si>
    <t>PAYNESVILLE PUBLIC SCHOOL DISTRICT</t>
  </si>
  <si>
    <t>SAUK CENTRE PUBLIC SCHOOL DISTRICT</t>
  </si>
  <si>
    <t>ALBANY PUBLIC SCHOOL DISTRICT</t>
  </si>
  <si>
    <t>HANCOCK PUBLIC SCHOOL DISTRICT</t>
  </si>
  <si>
    <t>KERKHOVEN-MURDOCK-SUNBURG</t>
  </si>
  <si>
    <t>BENSON PUBLIC SCHOOL DISTRICT</t>
  </si>
  <si>
    <t>ST. JAMES PUBLIC SCHOOL DISTRICT</t>
  </si>
  <si>
    <t>ST. MICHAEL-ALBERTVILLE SCHOOL DIST</t>
  </si>
  <si>
    <t>MINNEWASKA SCHOOL DISTRICT</t>
  </si>
  <si>
    <t>NRHEG SCHOOL DISTRICT</t>
  </si>
  <si>
    <t>TRI-COUNTY SCHOOL DISTRICT</t>
  </si>
  <si>
    <t>BELGRADE-BROOTEN-ELROSA SCHOOL DIST</t>
  </si>
  <si>
    <t>A.C.G.C.</t>
  </si>
  <si>
    <t>MARTIN COUNTY WEST SCHOOL DISTRICT</t>
  </si>
  <si>
    <t>FAIRMONT AREA SCHOOL DISTRICT</t>
  </si>
  <si>
    <t>ADA-BORUP PUBLIC SCHOOL DISTRICT</t>
  </si>
  <si>
    <t>JACKSON COUNTY CENTRAL SCHOOL DIST.</t>
  </si>
  <si>
    <t>PLAINVIEW-ELGIN-MILLVILLE</t>
  </si>
  <si>
    <t>CITY ACADEMY</t>
  </si>
  <si>
    <t>NEW HEIGHTS SCHOOL, INC.</t>
  </si>
  <si>
    <t>EMILY CHARTER SCHOOL</t>
  </si>
  <si>
    <t>CYBER VILLAGE ACADEMY</t>
  </si>
  <si>
    <t>ECI' NOMPA WOONSPE</t>
  </si>
  <si>
    <t>HEART OF THE EARTH CHARTER</t>
  </si>
  <si>
    <t>GREAT RIVER EDUCATION CENTER</t>
  </si>
  <si>
    <t>NORTHWEST PASSAGE HIGH SCHOOL</t>
  </si>
  <si>
    <t>NORTH LAKES ACADEMY</t>
  </si>
  <si>
    <t>LACRESCENT MONTESSORI ACADEMY</t>
  </si>
  <si>
    <t>RIVERBEND ACADEMY</t>
  </si>
  <si>
    <t>YANKTON COUNTRY CHARTER SCHOOL</t>
  </si>
  <si>
    <t>SAGE ACADEMY CHARTER SCHOOL</t>
  </si>
  <si>
    <t>WATERSHED HIGH SCHOOL</t>
  </si>
  <si>
    <t>MINNESOTA NORTH STAR ACADEMY</t>
  </si>
  <si>
    <t>GREAT RIVER SCHOOL</t>
  </si>
  <si>
    <t>TREKNORTH HIGH SCHOOL</t>
  </si>
  <si>
    <t>ST PAUL CONSERVATORY PERFORMING ART</t>
  </si>
  <si>
    <t>PRESTIGE ACADEMY CHARTER SCHOOL</t>
  </si>
  <si>
    <t>EAGLE RIDGE ACADEMY CHARTER SCHOOL</t>
  </si>
  <si>
    <t>TWIN CITIES ACADEMY HIGH SCHOOL</t>
  </si>
  <si>
    <t>SOUL ACADEMY CHARTER SCHOOL</t>
  </si>
  <si>
    <t>ACADEMY OF BIOSCIENCES</t>
  </si>
  <si>
    <t>CYGNUS ACADEMY</t>
  </si>
  <si>
    <t>MINNESOTA ONLINE HIGH SCHOOL</t>
  </si>
  <si>
    <t>RECOVERY SCHOOL OF SOUTHERN MN</t>
  </si>
  <si>
    <t>NEW SALEM ACADEMY</t>
  </si>
  <si>
    <t>DAKOTA ACADEMY</t>
  </si>
  <si>
    <t>LEARNING FOR LEADERSHIP CHARTER</t>
  </si>
  <si>
    <t>ELOM INTERNATIONAL SCHOOL</t>
  </si>
  <si>
    <t>WAYNEWOOD SCHOOL OF HOPE</t>
  </si>
  <si>
    <t>COLOGNE ACADEMY</t>
  </si>
  <si>
    <t>RIVER'S EDGE ACADEMY</t>
  </si>
  <si>
    <t>Not listed:</t>
  </si>
  <si>
    <t>TOTAL</t>
  </si>
  <si>
    <t>DISTRICTS</t>
  </si>
  <si>
    <t>CHARTERS</t>
  </si>
  <si>
    <t>OTHERS</t>
  </si>
  <si>
    <t>EXPENDITURES</t>
  </si>
  <si>
    <t># LEA'S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</si>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</sst>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 x14ac:knownFonts="1">
    <font>
      <sz val="10"/>
      <name val="Arial"/>
    </font>
    <font>
      <sz val="10"/>
      <name val="Arial"/>
    </font>
    <font>
      <sz val="10"/>
      <name val="Arial"/>
    </font>
    <font>
      <sz val="8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5">
    <xf numFmtId="0" fontId="0" fillId="0" borderId="0" xfId="0"/>
    <xf numFmtId="43" fontId="0" fillId="0" borderId="0" xfId="1" applyFont="1"/>
    <xf numFmtId="0" fontId="0" fillId="0" borderId="0" xfId="0" applyAlignment="1">
      <alignment horizontal="right"/>
    </xf>
    <xf numFmtId="4" fontId="0" fillId="0" borderId="0" xfId="0" applyNumberFormat="1"/>
    <xf numFmtId="0" fontId="0" fillId="0" borderId="0" xfId="0" quotePrefix="1"/>
    <xf numFmtId="14" fontId="0" fillId="0" borderId="0" xfId="0" applyNumberFormat="1"/>
    <xf numFmtId="1" fontId="0" fillId="0" borderId="0" xfId="0" applyNumberFormat="1" applyProtection="1"/>
    <xf numFmtId="0" fontId="0" fillId="0" borderId="0" xfId="0" applyAlignment="1" applyProtection="1">
      <alignment horizontal="left"/>
    </xf>
    <xf numFmtId="0" fontId="4" fillId="0" borderId="0" xfId="0" applyFont="1"/>
    <xf numFmtId="0" fontId="1" fillId="0" borderId="0" xfId="0" applyFont="1"/>
    <xf numFmtId="0" fontId="4" fillId="0" borderId="0" xfId="0" applyFont="1" applyFill="1"/>
    <xf numFmtId="0" fontId="0" fillId="0" borderId="0" xfId="0" quotePrefix="1" applyNumberFormat="1"/>
    <xf numFmtId="0" fontId="0" fillId="2" borderId="0" xfId="0" applyFill="1"/>
    <xf numFmtId="3" fontId="0" fillId="0" borderId="0" xfId="0" applyNumberFormat="1"/>
    <xf numFmtId="0" fontId="0" fillId="0" borderId="0" xfId="0" quotePrefix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2"/>
  <sheetViews>
    <sheetView tabSelected="1" workbookViewId="0"/>
  </sheetViews>
  <sheetFormatPr defaultRowHeight="12.75" x14ac:dyDescent="0.2"/>
  <cols>
    <col min="1" max="1" width="6.7109375" customWidth="1"/>
    <col min="2" max="2" width="100.7109375" customWidth="1"/>
    <col min="3" max="4" width="16.7109375" customWidth="1"/>
  </cols>
  <sheetData>
    <row r="1" spans="1:6" x14ac:dyDescent="0.2">
      <c r="A1" s="12">
        <v>1.2</v>
      </c>
      <c r="B1" t="s">
        <v>528</v>
      </c>
      <c r="F1">
        <f>COUNTIF(Inputs!A14:A2020,Report!A1)</f>
        <v>18</v>
      </c>
    </row>
    <row r="3" spans="1:6" x14ac:dyDescent="0.2">
      <c r="A3" t="s">
        <v>526</v>
      </c>
      <c r="C3" s="2" t="s">
        <v>527</v>
      </c>
    </row>
    <row r="4" spans="1:6" x14ac:dyDescent="0.2">
      <c r="A4" t="str">
        <f>IF(F4=0,"No such LEA is listed.",VLOOKUP(A1,Inputs!A14:C2092,3,FALSE)&amp;" #"&amp;FIXED(A1,0,TRUE))</f>
        <v>MINNEAPOLIS PUBLIC SCHOOL DIST. #1</v>
      </c>
      <c r="C4" s="5">
        <v>40182</v>
      </c>
      <c r="F4">
        <f>COUNTIF(Inputs!A14:A2092,A1)</f>
        <v>18</v>
      </c>
    </row>
    <row r="6" spans="1:6" x14ac:dyDescent="0.2">
      <c r="B6" t="s">
        <v>529</v>
      </c>
      <c r="C6" s="3">
        <f>SUM(C8:C25)</f>
        <v>48119406.350000001</v>
      </c>
      <c r="F6">
        <f>SUM(F8:F25)</f>
        <v>18</v>
      </c>
    </row>
    <row r="7" spans="1:6" x14ac:dyDescent="0.2">
      <c r="C7" s="3"/>
    </row>
    <row r="8" spans="1:6" x14ac:dyDescent="0.2">
      <c r="A8">
        <f>IF($F8=1,VLOOKUP(1000*$A$1+$E8,Inputs!$E$14:$H$2020,2),"")</f>
        <v>406</v>
      </c>
      <c r="B8" t="str">
        <f>IF(F6=0,"This LEA has already requested some reimbursement for all federal programs for which it has approved budgets.",IF($F8=1,VLOOKUP(1000*$A$1+$E8,Inputs!$E$14:$H$2020,3),""))</f>
        <v>FORMULA - 406 - Title I, Part D: Prevention and Intervention Programs for Children who are Neglected and Delinquent or At-Risk</v>
      </c>
      <c r="C8" s="3">
        <f>IF($F8=1,VLOOKUP(1000*$A$1+$E8,Inputs!$E$14:$H$2020,4),"")</f>
        <v>431923.45</v>
      </c>
      <c r="D8" s="3"/>
      <c r="E8" s="4">
        <v>1</v>
      </c>
      <c r="F8">
        <f>COUNTIF(Inputs!$E$14:$E$2020,1000*Report!$A$1+Report!E8)</f>
        <v>1</v>
      </c>
    </row>
    <row r="9" spans="1:6" x14ac:dyDescent="0.2">
      <c r="A9">
        <f>IF($F9=1,VLOOKUP(1000*$A$1+$E9,Inputs!$E$14:$H$2020,2),"")</f>
        <v>414</v>
      </c>
      <c r="B9" t="str">
        <f>IF($F9=1,VLOOKUP(1000*$A$1+$E9,Inputs!$E$14:$H$2020,3),"")</f>
        <v>FORMULA - 414 - Title II, Part A: Teacher and Principal Training and Recruitment</v>
      </c>
      <c r="C9" s="3">
        <f>IF($F9=1,VLOOKUP(1000*$A$1+$E9,Inputs!$E$14:$H$2020,4),"")</f>
        <v>4381705.37</v>
      </c>
      <c r="E9">
        <f>E8+1</f>
        <v>2</v>
      </c>
      <c r="F9">
        <f>COUNTIF(Inputs!$E$14:$E$2020,1000*Report!$A$1+Report!E9)</f>
        <v>1</v>
      </c>
    </row>
    <row r="10" spans="1:6" x14ac:dyDescent="0.2">
      <c r="A10">
        <f>IF($F10=1,VLOOKUP(1000*$A$1+$E10,Inputs!$E$14:$H$2020,2),"")</f>
        <v>417</v>
      </c>
      <c r="B10" t="str">
        <f>IF($F10=1,VLOOKUP(1000*$A$1+$E10,Inputs!$E$14:$H$2020,3),"")</f>
        <v>FORMULA - 417 - Title III, Part A, English Language Acquisition, Language Enhancement and Academic Achievement</v>
      </c>
      <c r="C10" s="3">
        <f>IF($F10=1,VLOOKUP(1000*$A$1+$E10,Inputs!$E$14:$H$2020,4),"")</f>
        <v>892808.37</v>
      </c>
      <c r="E10">
        <f t="shared" ref="E10:E24" si="0">E9+1</f>
        <v>3</v>
      </c>
      <c r="F10">
        <f>COUNTIF(Inputs!$E$14:$E$2020,1000*Report!$A$1+Report!E10)</f>
        <v>1</v>
      </c>
    </row>
    <row r="11" spans="1:6" x14ac:dyDescent="0.2">
      <c r="A11">
        <f>IF($F11=1,VLOOKUP(1000*$A$1+$E11,Inputs!$E$14:$H$2020,2),"")</f>
        <v>419</v>
      </c>
      <c r="B11" t="str">
        <f>IF($F11=1,VLOOKUP(1000*$A$1+$E11,Inputs!$E$14:$H$2020,3),"")</f>
        <v>FORMULA - 419 - IDEA Special Education FY2010  Federal Part B Section 611 Regular Allocation</v>
      </c>
      <c r="C11" s="3">
        <f>IF($F11=1,VLOOKUP(1000*$A$1+$E11,Inputs!$E$14:$H$2020,4),"")</f>
        <v>8739208.8200000003</v>
      </c>
      <c r="E11">
        <f t="shared" si="0"/>
        <v>4</v>
      </c>
      <c r="F11">
        <f>COUNTIF(Inputs!$E$14:$E$2020,1000*Report!$A$1+Report!E11)</f>
        <v>1</v>
      </c>
    </row>
    <row r="12" spans="1:6" x14ac:dyDescent="0.2">
      <c r="A12">
        <f>IF($F12=1,VLOOKUP(1000*$A$1+$E12,Inputs!$E$14:$H$2020,2),"")</f>
        <v>420</v>
      </c>
      <c r="B12" t="str">
        <f>IF($F12=1,VLOOKUP(1000*$A$1+$E12,Inputs!$E$14:$H$2020,3),"")</f>
        <v>FORMULA - 420 - IDEA Special Education FY2010  Federal Part B Section 619 Preschool Regular Allocation</v>
      </c>
      <c r="C12" s="3">
        <f>IF($F12=1,VLOOKUP(1000*$A$1+$E12,Inputs!$E$14:$H$2020,4),"")</f>
        <v>329028.09000000003</v>
      </c>
      <c r="E12">
        <f t="shared" si="0"/>
        <v>5</v>
      </c>
      <c r="F12">
        <f>COUNTIF(Inputs!$E$14:$E$2020,1000*Report!$A$1+Report!E12)</f>
        <v>1</v>
      </c>
    </row>
    <row r="13" spans="1:6" x14ac:dyDescent="0.2">
      <c r="A13">
        <f>IF($F13=1,VLOOKUP(1000*$A$1+$E13,Inputs!$E$14:$H$2020,2),"")</f>
        <v>422</v>
      </c>
      <c r="B13" t="str">
        <f>IF($F13=1,VLOOKUP(1000*$A$1+$E13,Inputs!$E$14:$H$2020,3),"")</f>
        <v>Formula - 422 - Part C IEIC, Ages 0-2, Phase 2 Materials</v>
      </c>
      <c r="C13" s="3">
        <f>IF($F13=1,VLOOKUP(1000*$A$1+$E13,Inputs!$E$14:$H$2020,4),"")</f>
        <v>505772.27</v>
      </c>
      <c r="E13">
        <f t="shared" si="0"/>
        <v>6</v>
      </c>
      <c r="F13">
        <f>COUNTIF(Inputs!$E$14:$E$2020,1000*Report!$A$1+Report!E13)</f>
        <v>1</v>
      </c>
    </row>
    <row r="14" spans="1:6" x14ac:dyDescent="0.2">
      <c r="A14">
        <f>IF($F14=1,VLOOKUP(1000*$A$1+$E14,Inputs!$E$14:$H$2020,2),"")</f>
        <v>428</v>
      </c>
      <c r="B14" t="str">
        <f>IF($F14=1,VLOOKUP(1000*$A$1+$E14,Inputs!$E$14:$H$2020,3),"")</f>
        <v>FORMULA - 428 - Carl D. Perkins Career and Technical Education Act - Basic Grant</v>
      </c>
      <c r="C14" s="3">
        <f>IF($F14=1,VLOOKUP(1000*$A$1+$E14,Inputs!$E$14:$H$2020,4),"")</f>
        <v>759165.6</v>
      </c>
      <c r="E14">
        <f t="shared" si="0"/>
        <v>7</v>
      </c>
      <c r="F14">
        <f>COUNTIF(Inputs!$E$14:$E$2020,1000*Report!$A$1+Report!E14)</f>
        <v>1</v>
      </c>
    </row>
    <row r="15" spans="1:6" x14ac:dyDescent="0.2">
      <c r="A15">
        <f>IF($F15=1,VLOOKUP(1000*$A$1+$E15,Inputs!$E$14:$H$2020,2),"")</f>
        <v>437</v>
      </c>
      <c r="B15" t="str">
        <f>IF($F15=1,VLOOKUP(1000*$A$1+$E15,Inputs!$E$14:$H$2020,3),"")</f>
        <v>Formula - 437 - Sec. 619 Preschool Incentive Personnel Development</v>
      </c>
      <c r="C15" s="3">
        <f>IF($F15=1,VLOOKUP(1000*$A$1+$E15,Inputs!$E$14:$H$2020,4),"")</f>
        <v>10920</v>
      </c>
      <c r="E15">
        <f t="shared" si="0"/>
        <v>8</v>
      </c>
      <c r="F15">
        <f>COUNTIF(Inputs!$E$14:$E$2020,1000*Report!$A$1+Report!E15)</f>
        <v>1</v>
      </c>
    </row>
    <row r="16" spans="1:6" x14ac:dyDescent="0.2">
      <c r="A16">
        <f>IF($F16=1,VLOOKUP(1000*$A$1+$E16,Inputs!$E$14:$H$2020,2),"")</f>
        <v>438</v>
      </c>
      <c r="B16" t="str">
        <f>IF($F16=1,VLOOKUP(1000*$A$1+$E16,Inputs!$E$14:$H$2020,3),"")</f>
        <v>Formula - 438 - Federal Adult Basic Education (ABE) Formula Revenue</v>
      </c>
      <c r="C16" s="3">
        <f>IF($F16=1,VLOOKUP(1000*$A$1+$E16,Inputs!$E$14:$H$2020,4),"")</f>
        <v>454140.29</v>
      </c>
      <c r="E16">
        <f t="shared" si="0"/>
        <v>9</v>
      </c>
      <c r="F16">
        <f>COUNTIF(Inputs!$E$14:$E$2020,1000*Report!$A$1+Report!E16)</f>
        <v>1</v>
      </c>
    </row>
    <row r="17" spans="1:6" x14ac:dyDescent="0.2">
      <c r="A17">
        <f>IF($F17=1,VLOOKUP(1000*$A$1+$E17,Inputs!$E$14:$H$2020,2),"")</f>
        <v>441</v>
      </c>
      <c r="B17" t="str">
        <f>IF($F17=1,VLOOKUP(1000*$A$1+$E17,Inputs!$E$14:$H$2020,3),"")</f>
        <v>Formula - 441 - Part B Section 619 Preschool Supplemental, IEIC, Ages 3-5, Phase 2 for SERVS</v>
      </c>
      <c r="C17" s="3">
        <f>IF($F17=1,VLOOKUP(1000*$A$1+$E17,Inputs!$E$14:$H$2020,4),"")</f>
        <v>18525</v>
      </c>
      <c r="E17">
        <f t="shared" si="0"/>
        <v>10</v>
      </c>
      <c r="F17">
        <f>COUNTIF(Inputs!$E$14:$E$2020,1000*Report!$A$1+Report!E17)</f>
        <v>1</v>
      </c>
    </row>
    <row r="18" spans="1:6" x14ac:dyDescent="0.2">
      <c r="A18">
        <f>IF($F18=1,VLOOKUP(1000*$A$1+$E18,Inputs!$E$14:$H$2020,2),"")</f>
        <v>470</v>
      </c>
      <c r="B18" t="str">
        <f>IF($F18=1,VLOOKUP(1000*$A$1+$E18,Inputs!$E$14:$H$2020,3),"")</f>
        <v>FORMULA - 470 - Title I, Part A: Improving the Academic Achievement of the Disadvantaged Stimulus</v>
      </c>
      <c r="C18" s="3">
        <f>IF($F18=1,VLOOKUP(1000*$A$1+$E18,Inputs!$E$14:$H$2020,4),"")</f>
        <v>19725158.600000001</v>
      </c>
      <c r="E18">
        <f t="shared" si="0"/>
        <v>11</v>
      </c>
      <c r="F18">
        <f>COUNTIF(Inputs!$E$14:$E$2020,1000*Report!$A$1+Report!E18)</f>
        <v>1</v>
      </c>
    </row>
    <row r="19" spans="1:6" x14ac:dyDescent="0.2">
      <c r="A19">
        <f>IF($F19=1,VLOOKUP(1000*$A$1+$E19,Inputs!$E$14:$H$2020,2),"")</f>
        <v>471</v>
      </c>
      <c r="B19" t="str">
        <f>IF($F19=1,VLOOKUP(1000*$A$1+$E19,Inputs!$E$14:$H$2020,3),"")</f>
        <v>FORMULA - 471 - Title I, Part D: Prevention and Intervention Programs for Children who are Neglected and Delinquent or At-Risk Targeted Stimulus</v>
      </c>
      <c r="C19" s="3">
        <f>IF($F19=1,VLOOKUP(1000*$A$1+$E19,Inputs!$E$14:$H$2020,4),"")</f>
        <v>270909.88</v>
      </c>
      <c r="E19">
        <f t="shared" si="0"/>
        <v>12</v>
      </c>
      <c r="F19">
        <f>COUNTIF(Inputs!$E$14:$E$2020,1000*Report!$A$1+Report!E19)</f>
        <v>1</v>
      </c>
    </row>
    <row r="20" spans="1:6" x14ac:dyDescent="0.2">
      <c r="A20">
        <f>IF($F20=1,VLOOKUP(1000*$A$1+$E20,Inputs!$E$14:$H$2020,2),"")</f>
        <v>478</v>
      </c>
      <c r="B20" t="str">
        <f>IF($F20=1,VLOOKUP(1000*$A$1+$E20,Inputs!$E$14:$H$2020,3),"")</f>
        <v>COMPETITIVE - 478 - ARRA McKinney Vento: Education for Homeless Children and Youth</v>
      </c>
      <c r="C20" s="3">
        <f>IF($F20=1,VLOOKUP(1000*$A$1+$E20,Inputs!$E$14:$H$2020,4),"")</f>
        <v>172626</v>
      </c>
      <c r="E20">
        <f t="shared" si="0"/>
        <v>13</v>
      </c>
      <c r="F20">
        <f>COUNTIF(Inputs!$E$14:$E$2020,1000*Report!$A$1+Report!E20)</f>
        <v>1</v>
      </c>
    </row>
    <row r="21" spans="1:6" x14ac:dyDescent="0.2">
      <c r="A21">
        <f>IF($F21=1,VLOOKUP(1000*$A$1+$E21,Inputs!$E$14:$H$2020,2),"")</f>
        <v>480</v>
      </c>
      <c r="B21" t="str">
        <f>IF($F21=1,VLOOKUP(1000*$A$1+$E21,Inputs!$E$14:$H$2020,3),"")</f>
        <v>FORMULA - 480 - Special Education FY2010  Federal Part B Section 611 Targeted Stimulus Allocation</v>
      </c>
      <c r="C21" s="3">
        <f>IF($F21=1,VLOOKUP(1000*$A$1+$E21,Inputs!$E$14:$H$2020,4),"")</f>
        <v>9413678.8800000008</v>
      </c>
      <c r="E21">
        <f t="shared" si="0"/>
        <v>14</v>
      </c>
      <c r="F21">
        <f>COUNTIF(Inputs!$E$14:$E$2020,1000*Report!$A$1+Report!E21)</f>
        <v>1</v>
      </c>
    </row>
    <row r="22" spans="1:6" x14ac:dyDescent="0.2">
      <c r="A22">
        <f>IF($F22=1,VLOOKUP(1000*$A$1+$E22,Inputs!$E$14:$H$2020,2),"")</f>
        <v>484</v>
      </c>
      <c r="B22" t="str">
        <f>IF($F22=1,VLOOKUP(1000*$A$1+$E22,Inputs!$E$14:$H$2020,3),"")</f>
        <v>FORMULA - 484 - IDEA Special Education FY2010  Federal Part B Section 619 Preschool Targeted Stimulus Allocation</v>
      </c>
      <c r="C22" s="3">
        <f>IF($F22=1,VLOOKUP(1000*$A$1+$E22,Inputs!$E$14:$H$2020,4),"")</f>
        <v>385750.04</v>
      </c>
      <c r="E22">
        <f t="shared" si="0"/>
        <v>15</v>
      </c>
      <c r="F22">
        <f>COUNTIF(Inputs!$E$14:$E$2020,1000*Report!$A$1+Report!E22)</f>
        <v>1</v>
      </c>
    </row>
    <row r="23" spans="1:6" x14ac:dyDescent="0.2">
      <c r="A23">
        <f>IF($F23=1,VLOOKUP(1000*$A$1+$E23,Inputs!$E$14:$H$2020,2),"")</f>
        <v>486</v>
      </c>
      <c r="B23" t="str">
        <f>IF($F23=1,VLOOKUP(1000*$A$1+$E23,Inputs!$E$14:$H$2020,3),"")</f>
        <v>FORMULA - 486 - Part C ARRA Federal Stimulus Funds Opportunity</v>
      </c>
      <c r="C23" s="3">
        <f>IF($F23=1,VLOOKUP(1000*$A$1+$E23,Inputs!$E$14:$H$2020,4),"")</f>
        <v>449928.69</v>
      </c>
      <c r="E23">
        <f t="shared" si="0"/>
        <v>16</v>
      </c>
      <c r="F23">
        <f>COUNTIF(Inputs!$E$14:$E$2020,1000*Report!$A$1+Report!E23)</f>
        <v>1</v>
      </c>
    </row>
    <row r="24" spans="1:6" x14ac:dyDescent="0.2">
      <c r="A24">
        <f>IF($F24=1,VLOOKUP(1000*$A$1+$E24,Inputs!$E$14:$H$2020,2),"")</f>
        <v>801</v>
      </c>
      <c r="B24" t="str">
        <f>IF($F24=1,VLOOKUP(1000*$A$1+$E24,Inputs!$E$14:$H$2020,3),"")</f>
        <v>Competitive - 801 - English Literacy and Civics Education Program (EL/Civics)</v>
      </c>
      <c r="C24" s="3">
        <f>IF($F24=1,VLOOKUP(1000*$A$1+$E24,Inputs!$E$14:$H$2020,4),"")</f>
        <v>78157</v>
      </c>
      <c r="E24">
        <f t="shared" si="0"/>
        <v>17</v>
      </c>
      <c r="F24">
        <f>COUNTIF(Inputs!$E$14:$E$2020,1000*Report!$A$1+Report!E24)</f>
        <v>1</v>
      </c>
    </row>
    <row r="25" spans="1:6" x14ac:dyDescent="0.2">
      <c r="A25">
        <f>IF($F25=1,VLOOKUP(1000*$A$1+$E25,Inputs!$E$14:$H$2020,2),"")</f>
        <v>849</v>
      </c>
      <c r="B25" t="str">
        <f>IF($F25=1,VLOOKUP(1000*$A$1+$E25,Inputs!$E$14:$H$2020,3),"")</f>
        <v>MINNESOTA TITLE I SCHOOL IMPROVEMENT GRANT, ROUND 3</v>
      </c>
      <c r="C25" s="3">
        <f>IF($F25=1,VLOOKUP(1000*$A$1+$E25,Inputs!$E$14:$H$2020,4),"")</f>
        <v>1100000</v>
      </c>
      <c r="E25">
        <f>E24+1</f>
        <v>18</v>
      </c>
      <c r="F25">
        <f>COUNTIF(Inputs!$E$14:$E$2020,1000*Report!$A$1+Report!E25)</f>
        <v>1</v>
      </c>
    </row>
    <row r="26" spans="1:6" x14ac:dyDescent="0.2">
      <c r="C26" s="3"/>
    </row>
    <row r="27" spans="1:6" x14ac:dyDescent="0.2">
      <c r="C27" s="3"/>
    </row>
    <row r="28" spans="1:6" x14ac:dyDescent="0.2">
      <c r="C28" s="3"/>
    </row>
    <row r="29" spans="1:6" x14ac:dyDescent="0.2">
      <c r="C29" s="3"/>
    </row>
    <row r="30" spans="1:6" x14ac:dyDescent="0.2">
      <c r="C30" s="3"/>
    </row>
    <row r="31" spans="1:6" x14ac:dyDescent="0.2">
      <c r="C31" s="3"/>
    </row>
    <row r="32" spans="1:6" x14ac:dyDescent="0.2">
      <c r="C32" s="3"/>
    </row>
    <row r="33" spans="3:3" x14ac:dyDescent="0.2">
      <c r="C33" s="3"/>
    </row>
    <row r="34" spans="3:3" x14ac:dyDescent="0.2">
      <c r="C34" s="3"/>
    </row>
    <row r="35" spans="3:3" x14ac:dyDescent="0.2">
      <c r="C35" s="3"/>
    </row>
    <row r="36" spans="3:3" x14ac:dyDescent="0.2">
      <c r="C36" s="3"/>
    </row>
    <row r="37" spans="3:3" x14ac:dyDescent="0.2">
      <c r="C37" s="3"/>
    </row>
    <row r="38" spans="3:3" x14ac:dyDescent="0.2">
      <c r="C38" s="3"/>
    </row>
    <row r="39" spans="3:3" x14ac:dyDescent="0.2">
      <c r="C39" s="3"/>
    </row>
    <row r="40" spans="3:3" x14ac:dyDescent="0.2">
      <c r="C40" s="3"/>
    </row>
    <row r="41" spans="3:3" x14ac:dyDescent="0.2">
      <c r="C41" s="3"/>
    </row>
    <row r="42" spans="3:3" x14ac:dyDescent="0.2">
      <c r="C42" s="3"/>
    </row>
    <row r="43" spans="3:3" x14ac:dyDescent="0.2">
      <c r="C43" s="3"/>
    </row>
    <row r="44" spans="3:3" x14ac:dyDescent="0.2">
      <c r="C44" s="3"/>
    </row>
    <row r="45" spans="3:3" x14ac:dyDescent="0.2">
      <c r="C45" s="3"/>
    </row>
    <row r="46" spans="3:3" x14ac:dyDescent="0.2">
      <c r="C46" s="3"/>
    </row>
    <row r="47" spans="3:3" x14ac:dyDescent="0.2">
      <c r="C47" s="3"/>
    </row>
    <row r="48" spans="3:3" x14ac:dyDescent="0.2">
      <c r="C48" s="3"/>
    </row>
    <row r="49" spans="3:3" x14ac:dyDescent="0.2">
      <c r="C49" s="3"/>
    </row>
    <row r="50" spans="3:3" x14ac:dyDescent="0.2">
      <c r="C50" s="3"/>
    </row>
    <row r="51" spans="3:3" x14ac:dyDescent="0.2">
      <c r="C51" s="3"/>
    </row>
    <row r="52" spans="3:3" x14ac:dyDescent="0.2">
      <c r="C52" s="3"/>
    </row>
  </sheetData>
  <phoneticPr fontId="3" type="noConversion"/>
  <pageMargins left="0.75" right="0.75" top="0.75" bottom="0.5" header="0.5" footer="0.5"/>
  <pageSetup scale="9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7"/>
  <sheetViews>
    <sheetView workbookViewId="0">
      <selection activeCell="D3" sqref="D3"/>
    </sheetView>
  </sheetViews>
  <sheetFormatPr defaultRowHeight="12.75" x14ac:dyDescent="0.2"/>
  <cols>
    <col min="1" max="1" width="6.7109375" customWidth="1"/>
    <col min="2" max="2" width="3.7109375" customWidth="1"/>
    <col min="3" max="3" width="32.7109375" customWidth="1"/>
    <col min="4" max="4" width="19.85546875" customWidth="1"/>
  </cols>
  <sheetData>
    <row r="1" spans="1:5" x14ac:dyDescent="0.2">
      <c r="A1" t="s">
        <v>610</v>
      </c>
    </row>
    <row r="3" spans="1:5" x14ac:dyDescent="0.2">
      <c r="D3" s="2" t="s">
        <v>608</v>
      </c>
      <c r="E3" s="14" t="s">
        <v>609</v>
      </c>
    </row>
    <row r="4" spans="1:5" x14ac:dyDescent="0.2">
      <c r="D4" s="13"/>
    </row>
    <row r="5" spans="1:5" x14ac:dyDescent="0.2">
      <c r="C5" t="s">
        <v>604</v>
      </c>
      <c r="D5" s="13">
        <f>SUM(D12:D483)</f>
        <v>321442859.20999998</v>
      </c>
      <c r="E5">
        <f>SUM(E7:E9)</f>
        <v>470</v>
      </c>
    </row>
    <row r="7" spans="1:5" x14ac:dyDescent="0.2">
      <c r="C7" t="s">
        <v>605</v>
      </c>
      <c r="D7" s="13">
        <f>SUM(D12:D306)</f>
        <v>276400938.09999955</v>
      </c>
      <c r="E7">
        <f>COUNT(D12:D306)</f>
        <v>295</v>
      </c>
    </row>
    <row r="8" spans="1:5" x14ac:dyDescent="0.2">
      <c r="C8" t="s">
        <v>606</v>
      </c>
      <c r="D8" s="13">
        <f>SUM(D308:D438)</f>
        <v>12794309.669999998</v>
      </c>
      <c r="E8">
        <f>COUNT(D308:D438)</f>
        <v>131</v>
      </c>
    </row>
    <row r="9" spans="1:5" x14ac:dyDescent="0.2">
      <c r="C9" t="s">
        <v>607</v>
      </c>
      <c r="D9" s="13">
        <f>SUM(D440:D483)</f>
        <v>32247611.440000005</v>
      </c>
      <c r="E9">
        <f>COUNT(D440:D483)</f>
        <v>44</v>
      </c>
    </row>
    <row r="12" spans="1:5" x14ac:dyDescent="0.2">
      <c r="A12" s="11">
        <v>1</v>
      </c>
      <c r="B12" s="11">
        <v>1</v>
      </c>
      <c r="C12" s="11" t="s">
        <v>5</v>
      </c>
      <c r="D12" s="13">
        <v>127249.67</v>
      </c>
    </row>
    <row r="13" spans="1:5" x14ac:dyDescent="0.2">
      <c r="A13" s="11">
        <v>1.2</v>
      </c>
      <c r="B13" s="11">
        <v>3</v>
      </c>
      <c r="C13" s="11" t="s">
        <v>7</v>
      </c>
      <c r="D13" s="13">
        <v>48119406.350000001</v>
      </c>
    </row>
    <row r="14" spans="1:5" x14ac:dyDescent="0.2">
      <c r="A14" s="11">
        <v>2</v>
      </c>
      <c r="B14" s="11">
        <v>1</v>
      </c>
      <c r="C14" s="11" t="s">
        <v>27</v>
      </c>
      <c r="D14" s="13">
        <v>325991.73</v>
      </c>
    </row>
    <row r="15" spans="1:5" x14ac:dyDescent="0.2">
      <c r="A15" s="11">
        <v>4</v>
      </c>
      <c r="B15" s="11">
        <v>1</v>
      </c>
      <c r="C15" s="11" t="s">
        <v>31</v>
      </c>
      <c r="D15" s="13">
        <v>538222.80000000005</v>
      </c>
    </row>
    <row r="16" spans="1:5" x14ac:dyDescent="0.2">
      <c r="A16" s="11">
        <v>6</v>
      </c>
      <c r="B16" s="11">
        <v>3</v>
      </c>
      <c r="C16" s="11" t="s">
        <v>32</v>
      </c>
      <c r="D16" s="13">
        <v>80352.289999999994</v>
      </c>
    </row>
    <row r="17" spans="1:4" x14ac:dyDescent="0.2">
      <c r="A17" s="11">
        <v>11</v>
      </c>
      <c r="B17" s="11">
        <v>1</v>
      </c>
      <c r="C17" s="11" t="s">
        <v>33</v>
      </c>
      <c r="D17" s="13">
        <v>19186278.109999999</v>
      </c>
    </row>
    <row r="18" spans="1:4" x14ac:dyDescent="0.2">
      <c r="A18" s="11">
        <v>12</v>
      </c>
      <c r="B18" s="11">
        <v>1</v>
      </c>
      <c r="C18" s="11" t="s">
        <v>36</v>
      </c>
      <c r="D18" s="13">
        <v>1453013.85</v>
      </c>
    </row>
    <row r="19" spans="1:4" x14ac:dyDescent="0.2">
      <c r="A19" s="11">
        <v>13</v>
      </c>
      <c r="B19" s="11">
        <v>1</v>
      </c>
      <c r="C19" s="11" t="s">
        <v>37</v>
      </c>
      <c r="D19" s="13">
        <v>4504146.6500000004</v>
      </c>
    </row>
    <row r="20" spans="1:4" x14ac:dyDescent="0.2">
      <c r="A20" s="11">
        <v>14</v>
      </c>
      <c r="B20" s="11">
        <v>1</v>
      </c>
      <c r="C20" s="11" t="s">
        <v>40</v>
      </c>
      <c r="D20" s="13">
        <v>1372502.12</v>
      </c>
    </row>
    <row r="21" spans="1:4" x14ac:dyDescent="0.2">
      <c r="A21" s="11">
        <v>15</v>
      </c>
      <c r="B21" s="11">
        <v>1</v>
      </c>
      <c r="C21" s="11" t="s">
        <v>41</v>
      </c>
      <c r="D21" s="13">
        <v>64148.91</v>
      </c>
    </row>
    <row r="22" spans="1:4" x14ac:dyDescent="0.2">
      <c r="A22" s="11">
        <v>16</v>
      </c>
      <c r="B22" s="11">
        <v>1</v>
      </c>
      <c r="C22" s="11" t="s">
        <v>42</v>
      </c>
      <c r="D22" s="13">
        <v>1125947.1200000001</v>
      </c>
    </row>
    <row r="23" spans="1:4" x14ac:dyDescent="0.2">
      <c r="A23" s="11">
        <v>22</v>
      </c>
      <c r="B23" s="11">
        <v>1</v>
      </c>
      <c r="C23" s="11" t="s">
        <v>43</v>
      </c>
      <c r="D23" s="13">
        <v>24010.42</v>
      </c>
    </row>
    <row r="24" spans="1:4" x14ac:dyDescent="0.2">
      <c r="A24" s="11">
        <v>23</v>
      </c>
      <c r="B24" s="11">
        <v>1</v>
      </c>
      <c r="C24" s="11" t="s">
        <v>44</v>
      </c>
      <c r="D24" s="13">
        <v>815216.13</v>
      </c>
    </row>
    <row r="25" spans="1:4" x14ac:dyDescent="0.2">
      <c r="A25" s="11">
        <v>31</v>
      </c>
      <c r="B25" s="11">
        <v>1</v>
      </c>
      <c r="C25" s="11" t="s">
        <v>45</v>
      </c>
      <c r="D25" s="13">
        <v>1732252.25</v>
      </c>
    </row>
    <row r="26" spans="1:4" x14ac:dyDescent="0.2">
      <c r="A26" s="11">
        <v>32</v>
      </c>
      <c r="B26" s="11">
        <v>1</v>
      </c>
      <c r="C26" s="11" t="s">
        <v>46</v>
      </c>
      <c r="D26" s="13">
        <v>2480.69</v>
      </c>
    </row>
    <row r="27" spans="1:4" x14ac:dyDescent="0.2">
      <c r="A27" s="11">
        <v>38</v>
      </c>
      <c r="B27" s="11">
        <v>1</v>
      </c>
      <c r="C27" s="11" t="s">
        <v>47</v>
      </c>
      <c r="D27" s="13">
        <v>145602.04999999999</v>
      </c>
    </row>
    <row r="28" spans="1:4" x14ac:dyDescent="0.2">
      <c r="A28" s="11">
        <v>47</v>
      </c>
      <c r="B28" s="11">
        <v>1</v>
      </c>
      <c r="C28" s="11" t="s">
        <v>50</v>
      </c>
      <c r="D28" s="13">
        <v>495214.22</v>
      </c>
    </row>
    <row r="29" spans="1:4" x14ac:dyDescent="0.2">
      <c r="A29" s="11">
        <v>51</v>
      </c>
      <c r="B29" s="11">
        <v>1</v>
      </c>
      <c r="C29" s="11" t="s">
        <v>51</v>
      </c>
      <c r="D29" s="13">
        <v>4722.67</v>
      </c>
    </row>
    <row r="30" spans="1:4" x14ac:dyDescent="0.2">
      <c r="A30" s="11">
        <v>75</v>
      </c>
      <c r="B30" s="11">
        <v>1</v>
      </c>
      <c r="C30" s="11" t="s">
        <v>52</v>
      </c>
      <c r="D30" s="13">
        <v>29472.32</v>
      </c>
    </row>
    <row r="31" spans="1:4" x14ac:dyDescent="0.2">
      <c r="A31" s="11">
        <v>77</v>
      </c>
      <c r="B31" s="11">
        <v>1</v>
      </c>
      <c r="C31" s="11" t="s">
        <v>53</v>
      </c>
      <c r="D31" s="13">
        <v>5116451.0999999996</v>
      </c>
    </row>
    <row r="32" spans="1:4" x14ac:dyDescent="0.2">
      <c r="A32" s="11">
        <v>81</v>
      </c>
      <c r="B32" s="11">
        <v>1</v>
      </c>
      <c r="C32" s="11" t="s">
        <v>54</v>
      </c>
      <c r="D32" s="13">
        <v>115674.75</v>
      </c>
    </row>
    <row r="33" spans="1:4" x14ac:dyDescent="0.2">
      <c r="A33" s="11">
        <v>84</v>
      </c>
      <c r="B33" s="11">
        <v>1</v>
      </c>
      <c r="C33" s="11" t="s">
        <v>55</v>
      </c>
      <c r="D33" s="13">
        <v>69464.56</v>
      </c>
    </row>
    <row r="34" spans="1:4" x14ac:dyDescent="0.2">
      <c r="A34" s="11">
        <v>88</v>
      </c>
      <c r="B34" s="11">
        <v>1</v>
      </c>
      <c r="C34" s="11" t="s">
        <v>56</v>
      </c>
      <c r="D34" s="13">
        <v>1350401.33</v>
      </c>
    </row>
    <row r="35" spans="1:4" x14ac:dyDescent="0.2">
      <c r="A35" s="11">
        <v>91</v>
      </c>
      <c r="B35" s="11">
        <v>1</v>
      </c>
      <c r="C35" s="11" t="s">
        <v>57</v>
      </c>
      <c r="D35" s="13">
        <v>417791.94</v>
      </c>
    </row>
    <row r="36" spans="1:4" x14ac:dyDescent="0.2">
      <c r="A36" s="11">
        <v>93</v>
      </c>
      <c r="B36" s="11">
        <v>1</v>
      </c>
      <c r="C36" s="11" t="s">
        <v>58</v>
      </c>
      <c r="D36" s="13">
        <v>386178.06</v>
      </c>
    </row>
    <row r="37" spans="1:4" x14ac:dyDescent="0.2">
      <c r="A37" s="11">
        <v>94</v>
      </c>
      <c r="B37" s="11">
        <v>1</v>
      </c>
      <c r="C37" s="11" t="s">
        <v>59</v>
      </c>
      <c r="D37" s="13">
        <v>340111.83</v>
      </c>
    </row>
    <row r="38" spans="1:4" x14ac:dyDescent="0.2">
      <c r="A38" s="11">
        <v>95</v>
      </c>
      <c r="B38" s="11">
        <v>1</v>
      </c>
      <c r="C38" s="11" t="s">
        <v>60</v>
      </c>
      <c r="D38" s="13">
        <v>78491.41</v>
      </c>
    </row>
    <row r="39" spans="1:4" x14ac:dyDescent="0.2">
      <c r="A39" s="11">
        <v>100</v>
      </c>
      <c r="B39" s="11">
        <v>1</v>
      </c>
      <c r="C39" s="11" t="s">
        <v>61</v>
      </c>
      <c r="D39" s="13">
        <v>200662.58</v>
      </c>
    </row>
    <row r="40" spans="1:4" x14ac:dyDescent="0.2">
      <c r="A40" s="11">
        <v>108</v>
      </c>
      <c r="B40" s="11">
        <v>1</v>
      </c>
      <c r="C40" s="11" t="s">
        <v>63</v>
      </c>
      <c r="D40" s="13">
        <v>301716.40999999997</v>
      </c>
    </row>
    <row r="41" spans="1:4" x14ac:dyDescent="0.2">
      <c r="A41" s="11">
        <v>110</v>
      </c>
      <c r="B41" s="11">
        <v>1</v>
      </c>
      <c r="C41" s="11" t="s">
        <v>64</v>
      </c>
      <c r="D41" s="13">
        <v>820035.13</v>
      </c>
    </row>
    <row r="42" spans="1:4" x14ac:dyDescent="0.2">
      <c r="A42" s="11">
        <v>111</v>
      </c>
      <c r="B42" s="11">
        <v>1</v>
      </c>
      <c r="C42" s="11" t="s">
        <v>65</v>
      </c>
      <c r="D42" s="13">
        <v>810078.28</v>
      </c>
    </row>
    <row r="43" spans="1:4" x14ac:dyDescent="0.2">
      <c r="A43" s="11">
        <v>112</v>
      </c>
      <c r="B43" s="11">
        <v>1</v>
      </c>
      <c r="C43" s="11" t="s">
        <v>67</v>
      </c>
      <c r="D43" s="13">
        <v>575593.14</v>
      </c>
    </row>
    <row r="44" spans="1:4" x14ac:dyDescent="0.2">
      <c r="A44" s="11">
        <v>113</v>
      </c>
      <c r="B44" s="11">
        <v>1</v>
      </c>
      <c r="C44" s="11" t="s">
        <v>68</v>
      </c>
      <c r="D44" s="13">
        <v>541576.13</v>
      </c>
    </row>
    <row r="45" spans="1:4" x14ac:dyDescent="0.2">
      <c r="A45" s="11">
        <v>115</v>
      </c>
      <c r="B45" s="11">
        <v>1</v>
      </c>
      <c r="C45" s="11" t="s">
        <v>70</v>
      </c>
      <c r="D45" s="13">
        <v>1398981.61</v>
      </c>
    </row>
    <row r="46" spans="1:4" x14ac:dyDescent="0.2">
      <c r="A46" s="11">
        <v>116</v>
      </c>
      <c r="B46" s="11">
        <v>1</v>
      </c>
      <c r="C46" s="11" t="s">
        <v>72</v>
      </c>
      <c r="D46" s="13">
        <v>172022.21</v>
      </c>
    </row>
    <row r="47" spans="1:4" x14ac:dyDescent="0.2">
      <c r="A47" s="11">
        <v>118</v>
      </c>
      <c r="B47" s="11">
        <v>1</v>
      </c>
      <c r="C47" s="11" t="s">
        <v>73</v>
      </c>
      <c r="D47" s="13">
        <v>485615.46</v>
      </c>
    </row>
    <row r="48" spans="1:4" x14ac:dyDescent="0.2">
      <c r="A48" s="11">
        <v>129</v>
      </c>
      <c r="B48" s="11">
        <v>1</v>
      </c>
      <c r="C48" s="11" t="s">
        <v>74</v>
      </c>
      <c r="D48" s="13">
        <v>312594.11</v>
      </c>
    </row>
    <row r="49" spans="1:4" x14ac:dyDescent="0.2">
      <c r="A49" s="11">
        <v>138</v>
      </c>
      <c r="B49" s="11">
        <v>1</v>
      </c>
      <c r="C49" s="11" t="s">
        <v>75</v>
      </c>
      <c r="D49" s="13">
        <v>1941492.78</v>
      </c>
    </row>
    <row r="50" spans="1:4" x14ac:dyDescent="0.2">
      <c r="A50" s="11">
        <v>139</v>
      </c>
      <c r="B50" s="11">
        <v>1</v>
      </c>
      <c r="C50" s="11" t="s">
        <v>76</v>
      </c>
      <c r="D50" s="13">
        <v>360172.2</v>
      </c>
    </row>
    <row r="51" spans="1:4" x14ac:dyDescent="0.2">
      <c r="A51" s="11">
        <v>146</v>
      </c>
      <c r="B51" s="11">
        <v>1</v>
      </c>
      <c r="C51" s="11" t="s">
        <v>77</v>
      </c>
      <c r="D51" s="13">
        <v>1844.01</v>
      </c>
    </row>
    <row r="52" spans="1:4" x14ac:dyDescent="0.2">
      <c r="A52" s="11">
        <v>150</v>
      </c>
      <c r="B52" s="11">
        <v>1</v>
      </c>
      <c r="C52" s="11" t="s">
        <v>78</v>
      </c>
      <c r="D52" s="13">
        <v>140294.99</v>
      </c>
    </row>
    <row r="53" spans="1:4" x14ac:dyDescent="0.2">
      <c r="A53" s="11">
        <v>152</v>
      </c>
      <c r="B53" s="11">
        <v>1</v>
      </c>
      <c r="C53" s="11" t="s">
        <v>79</v>
      </c>
      <c r="D53" s="13">
        <v>4397983.13</v>
      </c>
    </row>
    <row r="54" spans="1:4" x14ac:dyDescent="0.2">
      <c r="A54" s="11">
        <v>162</v>
      </c>
      <c r="B54" s="11">
        <v>1</v>
      </c>
      <c r="C54" s="11" t="s">
        <v>81</v>
      </c>
      <c r="D54" s="13">
        <v>1032128</v>
      </c>
    </row>
    <row r="55" spans="1:4" x14ac:dyDescent="0.2">
      <c r="A55" s="11">
        <v>166</v>
      </c>
      <c r="B55" s="11">
        <v>1</v>
      </c>
      <c r="C55" s="11" t="s">
        <v>82</v>
      </c>
      <c r="D55" s="13">
        <v>141432.13</v>
      </c>
    </row>
    <row r="56" spans="1:4" x14ac:dyDescent="0.2">
      <c r="A56" s="11">
        <v>173</v>
      </c>
      <c r="B56" s="11">
        <v>1</v>
      </c>
      <c r="C56" s="11" t="s">
        <v>83</v>
      </c>
      <c r="D56" s="13">
        <v>206739.51</v>
      </c>
    </row>
    <row r="57" spans="1:4" x14ac:dyDescent="0.2">
      <c r="A57" s="11">
        <v>181</v>
      </c>
      <c r="B57" s="11">
        <v>1</v>
      </c>
      <c r="C57" s="11" t="s">
        <v>84</v>
      </c>
      <c r="D57" s="13">
        <v>3412743.77</v>
      </c>
    </row>
    <row r="58" spans="1:4" x14ac:dyDescent="0.2">
      <c r="A58" s="11">
        <v>182</v>
      </c>
      <c r="B58" s="11">
        <v>1</v>
      </c>
      <c r="C58" s="11" t="s">
        <v>85</v>
      </c>
      <c r="D58" s="13">
        <v>504518.78</v>
      </c>
    </row>
    <row r="59" spans="1:4" x14ac:dyDescent="0.2">
      <c r="A59" s="11">
        <v>186</v>
      </c>
      <c r="B59" s="11">
        <v>1</v>
      </c>
      <c r="C59" s="11" t="s">
        <v>86</v>
      </c>
      <c r="D59" s="13">
        <v>87763.94</v>
      </c>
    </row>
    <row r="60" spans="1:4" x14ac:dyDescent="0.2">
      <c r="A60" s="11">
        <v>191</v>
      </c>
      <c r="B60" s="11">
        <v>1</v>
      </c>
      <c r="C60" s="11" t="s">
        <v>87</v>
      </c>
      <c r="D60" s="13">
        <v>2408038.16</v>
      </c>
    </row>
    <row r="61" spans="1:4" x14ac:dyDescent="0.2">
      <c r="A61" s="11">
        <v>192</v>
      </c>
      <c r="B61" s="11">
        <v>1</v>
      </c>
      <c r="C61" s="11" t="s">
        <v>88</v>
      </c>
      <c r="D61" s="13">
        <v>5107388.34</v>
      </c>
    </row>
    <row r="62" spans="1:4" x14ac:dyDescent="0.2">
      <c r="A62" s="11">
        <v>194</v>
      </c>
      <c r="B62" s="11">
        <v>1</v>
      </c>
      <c r="C62" s="11" t="s">
        <v>89</v>
      </c>
      <c r="D62" s="13">
        <v>4619177.62</v>
      </c>
    </row>
    <row r="63" spans="1:4" x14ac:dyDescent="0.2">
      <c r="A63" s="11">
        <v>195</v>
      </c>
      <c r="B63" s="11">
        <v>1</v>
      </c>
      <c r="C63" s="11" t="s">
        <v>91</v>
      </c>
      <c r="D63" s="13">
        <v>34268.269999999997</v>
      </c>
    </row>
    <row r="64" spans="1:4" x14ac:dyDescent="0.2">
      <c r="A64" s="11">
        <v>196</v>
      </c>
      <c r="B64" s="11">
        <v>1</v>
      </c>
      <c r="C64" s="11" t="s">
        <v>92</v>
      </c>
      <c r="D64" s="13">
        <v>12363015.189999999</v>
      </c>
    </row>
    <row r="65" spans="1:4" x14ac:dyDescent="0.2">
      <c r="A65" s="11">
        <v>197</v>
      </c>
      <c r="B65" s="11">
        <v>1</v>
      </c>
      <c r="C65" s="11" t="s">
        <v>93</v>
      </c>
      <c r="D65" s="13">
        <v>68080.97</v>
      </c>
    </row>
    <row r="66" spans="1:4" x14ac:dyDescent="0.2">
      <c r="A66" s="11">
        <v>199</v>
      </c>
      <c r="B66" s="11">
        <v>1</v>
      </c>
      <c r="C66" s="11" t="s">
        <v>94</v>
      </c>
      <c r="D66" s="13">
        <v>2393546.71</v>
      </c>
    </row>
    <row r="67" spans="1:4" x14ac:dyDescent="0.2">
      <c r="A67" s="11">
        <v>200</v>
      </c>
      <c r="B67" s="11">
        <v>1</v>
      </c>
      <c r="C67" s="11" t="s">
        <v>95</v>
      </c>
      <c r="D67" s="13">
        <v>1489187.19</v>
      </c>
    </row>
    <row r="68" spans="1:4" x14ac:dyDescent="0.2">
      <c r="A68" s="11">
        <v>203</v>
      </c>
      <c r="B68" s="11">
        <v>1</v>
      </c>
      <c r="C68" s="11" t="s">
        <v>96</v>
      </c>
      <c r="D68" s="13">
        <v>136080.92000000001</v>
      </c>
    </row>
    <row r="69" spans="1:4" x14ac:dyDescent="0.2">
      <c r="A69" s="11">
        <v>204</v>
      </c>
      <c r="B69" s="11">
        <v>1</v>
      </c>
      <c r="C69" s="11" t="s">
        <v>97</v>
      </c>
      <c r="D69" s="13">
        <v>93957.440000000002</v>
      </c>
    </row>
    <row r="70" spans="1:4" x14ac:dyDescent="0.2">
      <c r="A70" s="11">
        <v>206</v>
      </c>
      <c r="B70" s="11">
        <v>1</v>
      </c>
      <c r="C70" s="11" t="s">
        <v>98</v>
      </c>
      <c r="D70" s="13">
        <v>73100.55</v>
      </c>
    </row>
    <row r="71" spans="1:4" x14ac:dyDescent="0.2">
      <c r="A71" s="11">
        <v>208</v>
      </c>
      <c r="B71" s="11">
        <v>1</v>
      </c>
      <c r="C71" s="11" t="s">
        <v>99</v>
      </c>
      <c r="D71" s="13">
        <v>13279.72</v>
      </c>
    </row>
    <row r="72" spans="1:4" x14ac:dyDescent="0.2">
      <c r="A72" s="11">
        <v>213</v>
      </c>
      <c r="B72" s="11">
        <v>1</v>
      </c>
      <c r="C72" s="11" t="s">
        <v>100</v>
      </c>
      <c r="D72" s="13">
        <v>146843.17000000001</v>
      </c>
    </row>
    <row r="73" spans="1:4" x14ac:dyDescent="0.2">
      <c r="A73" s="11">
        <v>227</v>
      </c>
      <c r="B73" s="11">
        <v>1</v>
      </c>
      <c r="C73" s="11" t="s">
        <v>101</v>
      </c>
      <c r="D73" s="13">
        <v>144070.32</v>
      </c>
    </row>
    <row r="74" spans="1:4" x14ac:dyDescent="0.2">
      <c r="A74" s="11">
        <v>229</v>
      </c>
      <c r="B74" s="11">
        <v>1</v>
      </c>
      <c r="C74" s="11" t="s">
        <v>102</v>
      </c>
      <c r="D74" s="13">
        <v>1122.97</v>
      </c>
    </row>
    <row r="75" spans="1:4" x14ac:dyDescent="0.2">
      <c r="A75" s="11">
        <v>239</v>
      </c>
      <c r="B75" s="11">
        <v>1</v>
      </c>
      <c r="C75" s="11" t="s">
        <v>103</v>
      </c>
      <c r="D75" s="13">
        <v>399474.6</v>
      </c>
    </row>
    <row r="76" spans="1:4" x14ac:dyDescent="0.2">
      <c r="A76" s="11">
        <v>241</v>
      </c>
      <c r="B76" s="11">
        <v>1</v>
      </c>
      <c r="C76" s="11" t="s">
        <v>104</v>
      </c>
      <c r="D76" s="13">
        <v>832795.3</v>
      </c>
    </row>
    <row r="77" spans="1:4" x14ac:dyDescent="0.2">
      <c r="A77" s="11">
        <v>242</v>
      </c>
      <c r="B77" s="11">
        <v>1</v>
      </c>
      <c r="C77" s="11" t="s">
        <v>105</v>
      </c>
      <c r="D77" s="13">
        <v>11458.4</v>
      </c>
    </row>
    <row r="78" spans="1:4" x14ac:dyDescent="0.2">
      <c r="A78" s="11">
        <v>252</v>
      </c>
      <c r="B78" s="11">
        <v>1</v>
      </c>
      <c r="C78" s="11" t="s">
        <v>106</v>
      </c>
      <c r="D78" s="13">
        <v>178627.13</v>
      </c>
    </row>
    <row r="79" spans="1:4" x14ac:dyDescent="0.2">
      <c r="A79" s="11">
        <v>253</v>
      </c>
      <c r="B79" s="11">
        <v>1</v>
      </c>
      <c r="C79" s="11" t="s">
        <v>107</v>
      </c>
      <c r="D79" s="13">
        <v>94843.5</v>
      </c>
    </row>
    <row r="80" spans="1:4" x14ac:dyDescent="0.2">
      <c r="A80" s="11">
        <v>255</v>
      </c>
      <c r="B80" s="11">
        <v>1</v>
      </c>
      <c r="C80" s="11" t="s">
        <v>108</v>
      </c>
      <c r="D80" s="13">
        <v>184283.91</v>
      </c>
    </row>
    <row r="81" spans="1:4" x14ac:dyDescent="0.2">
      <c r="A81" s="11">
        <v>261</v>
      </c>
      <c r="B81" s="11">
        <v>1</v>
      </c>
      <c r="C81" s="11" t="s">
        <v>109</v>
      </c>
      <c r="D81" s="13">
        <v>8818.66</v>
      </c>
    </row>
    <row r="82" spans="1:4" x14ac:dyDescent="0.2">
      <c r="A82" s="11">
        <v>264</v>
      </c>
      <c r="B82" s="11">
        <v>1</v>
      </c>
      <c r="C82" s="11" t="s">
        <v>110</v>
      </c>
      <c r="D82" s="13">
        <v>79620.710000000006</v>
      </c>
    </row>
    <row r="83" spans="1:4" x14ac:dyDescent="0.2">
      <c r="A83" s="11">
        <v>270</v>
      </c>
      <c r="B83" s="11">
        <v>1</v>
      </c>
      <c r="C83" s="11" t="s">
        <v>111</v>
      </c>
      <c r="D83" s="13">
        <v>2305763.66</v>
      </c>
    </row>
    <row r="84" spans="1:4" x14ac:dyDescent="0.2">
      <c r="A84" s="11">
        <v>271</v>
      </c>
      <c r="B84" s="11">
        <v>1</v>
      </c>
      <c r="C84" s="11" t="s">
        <v>113</v>
      </c>
      <c r="D84" s="13">
        <v>329081.68</v>
      </c>
    </row>
    <row r="85" spans="1:4" x14ac:dyDescent="0.2">
      <c r="A85" s="11">
        <v>272</v>
      </c>
      <c r="B85" s="11">
        <v>1</v>
      </c>
      <c r="C85" s="11" t="s">
        <v>116</v>
      </c>
      <c r="D85" s="13">
        <v>4940619.45</v>
      </c>
    </row>
    <row r="86" spans="1:4" x14ac:dyDescent="0.2">
      <c r="A86" s="11">
        <v>273</v>
      </c>
      <c r="B86" s="11">
        <v>1</v>
      </c>
      <c r="C86" s="11" t="s">
        <v>117</v>
      </c>
      <c r="D86" s="13">
        <v>1538501.56</v>
      </c>
    </row>
    <row r="87" spans="1:4" x14ac:dyDescent="0.2">
      <c r="A87" s="11">
        <v>276</v>
      </c>
      <c r="B87" s="11">
        <v>1</v>
      </c>
      <c r="C87" s="11" t="s">
        <v>118</v>
      </c>
      <c r="D87" s="13">
        <v>1935837.3</v>
      </c>
    </row>
    <row r="88" spans="1:4" x14ac:dyDescent="0.2">
      <c r="A88" s="11">
        <v>277</v>
      </c>
      <c r="B88" s="11">
        <v>1</v>
      </c>
      <c r="C88" s="11" t="s">
        <v>119</v>
      </c>
      <c r="D88" s="13">
        <v>1290621.97</v>
      </c>
    </row>
    <row r="89" spans="1:4" x14ac:dyDescent="0.2">
      <c r="A89" s="11">
        <v>278</v>
      </c>
      <c r="B89" s="11">
        <v>1</v>
      </c>
      <c r="C89" s="11" t="s">
        <v>120</v>
      </c>
      <c r="D89" s="13">
        <v>25489.58</v>
      </c>
    </row>
    <row r="90" spans="1:4" x14ac:dyDescent="0.2">
      <c r="A90" s="11">
        <v>279</v>
      </c>
      <c r="B90" s="11">
        <v>1</v>
      </c>
      <c r="C90" s="11" t="s">
        <v>121</v>
      </c>
      <c r="D90" s="13">
        <v>1330027.45</v>
      </c>
    </row>
    <row r="91" spans="1:4" x14ac:dyDescent="0.2">
      <c r="A91" s="11">
        <v>280</v>
      </c>
      <c r="B91" s="11">
        <v>1</v>
      </c>
      <c r="C91" s="11" t="s">
        <v>122</v>
      </c>
      <c r="D91" s="13">
        <v>26093.53</v>
      </c>
    </row>
    <row r="92" spans="1:4" x14ac:dyDescent="0.2">
      <c r="A92" s="11">
        <v>281</v>
      </c>
      <c r="B92" s="11">
        <v>1</v>
      </c>
      <c r="C92" s="11" t="s">
        <v>123</v>
      </c>
      <c r="D92" s="13">
        <v>10103312.859999999</v>
      </c>
    </row>
    <row r="93" spans="1:4" x14ac:dyDescent="0.2">
      <c r="A93" s="11">
        <v>282</v>
      </c>
      <c r="B93" s="11">
        <v>1</v>
      </c>
      <c r="C93" s="11" t="s">
        <v>126</v>
      </c>
      <c r="D93" s="13">
        <v>457377.76</v>
      </c>
    </row>
    <row r="94" spans="1:4" x14ac:dyDescent="0.2">
      <c r="A94" s="11">
        <v>283</v>
      </c>
      <c r="B94" s="11">
        <v>1</v>
      </c>
      <c r="C94" s="11" t="s">
        <v>127</v>
      </c>
      <c r="D94" s="13">
        <v>3434783.8</v>
      </c>
    </row>
    <row r="95" spans="1:4" x14ac:dyDescent="0.2">
      <c r="A95" s="11">
        <v>284</v>
      </c>
      <c r="B95" s="11">
        <v>1</v>
      </c>
      <c r="C95" s="11" t="s">
        <v>128</v>
      </c>
      <c r="D95" s="13">
        <v>9286360.6999999993</v>
      </c>
    </row>
    <row r="96" spans="1:4" x14ac:dyDescent="0.2">
      <c r="A96" s="11">
        <v>286</v>
      </c>
      <c r="B96" s="11">
        <v>1</v>
      </c>
      <c r="C96" s="11" t="s">
        <v>129</v>
      </c>
      <c r="D96" s="13">
        <v>242973.23</v>
      </c>
    </row>
    <row r="97" spans="1:4" x14ac:dyDescent="0.2">
      <c r="A97" s="11">
        <v>294</v>
      </c>
      <c r="B97" s="11">
        <v>1</v>
      </c>
      <c r="C97" s="11" t="s">
        <v>133</v>
      </c>
      <c r="D97" s="13">
        <v>640267.6</v>
      </c>
    </row>
    <row r="98" spans="1:4" x14ac:dyDescent="0.2">
      <c r="A98" s="11">
        <v>297</v>
      </c>
      <c r="B98" s="11">
        <v>1</v>
      </c>
      <c r="C98" s="11" t="s">
        <v>134</v>
      </c>
      <c r="D98" s="13">
        <v>69822</v>
      </c>
    </row>
    <row r="99" spans="1:4" x14ac:dyDescent="0.2">
      <c r="A99" s="11">
        <v>299</v>
      </c>
      <c r="B99" s="11">
        <v>1</v>
      </c>
      <c r="C99" s="11" t="s">
        <v>135</v>
      </c>
      <c r="D99" s="13">
        <v>240229.54</v>
      </c>
    </row>
    <row r="100" spans="1:4" x14ac:dyDescent="0.2">
      <c r="A100" s="11">
        <v>300</v>
      </c>
      <c r="B100" s="11">
        <v>1</v>
      </c>
      <c r="C100" s="11" t="s">
        <v>136</v>
      </c>
      <c r="D100" s="13">
        <v>70678.259999999995</v>
      </c>
    </row>
    <row r="101" spans="1:4" x14ac:dyDescent="0.2">
      <c r="A101" s="11">
        <v>306</v>
      </c>
      <c r="B101" s="11">
        <v>1</v>
      </c>
      <c r="C101" s="11" t="s">
        <v>137</v>
      </c>
      <c r="D101" s="13">
        <v>150240.13</v>
      </c>
    </row>
    <row r="102" spans="1:4" x14ac:dyDescent="0.2">
      <c r="A102" s="11">
        <v>308</v>
      </c>
      <c r="B102" s="11">
        <v>1</v>
      </c>
      <c r="C102" s="11" t="s">
        <v>138</v>
      </c>
      <c r="D102" s="13">
        <v>20025</v>
      </c>
    </row>
    <row r="103" spans="1:4" x14ac:dyDescent="0.2">
      <c r="A103" s="11">
        <v>309</v>
      </c>
      <c r="B103" s="11">
        <v>1</v>
      </c>
      <c r="C103" s="11" t="s">
        <v>139</v>
      </c>
      <c r="D103" s="13">
        <v>86448.81</v>
      </c>
    </row>
    <row r="104" spans="1:4" x14ac:dyDescent="0.2">
      <c r="A104" s="11">
        <v>314</v>
      </c>
      <c r="B104" s="11">
        <v>1</v>
      </c>
      <c r="C104" s="11" t="s">
        <v>140</v>
      </c>
      <c r="D104" s="13">
        <v>420989.37</v>
      </c>
    </row>
    <row r="105" spans="1:4" x14ac:dyDescent="0.2">
      <c r="A105" s="11">
        <v>316</v>
      </c>
      <c r="B105" s="11">
        <v>1</v>
      </c>
      <c r="C105" s="11" t="s">
        <v>141</v>
      </c>
      <c r="D105" s="13">
        <v>479566.39</v>
      </c>
    </row>
    <row r="106" spans="1:4" x14ac:dyDescent="0.2">
      <c r="A106" s="11">
        <v>317</v>
      </c>
      <c r="B106" s="11">
        <v>1</v>
      </c>
      <c r="C106" s="11" t="s">
        <v>539</v>
      </c>
      <c r="D106" s="13">
        <v>23275.03</v>
      </c>
    </row>
    <row r="107" spans="1:4" x14ac:dyDescent="0.2">
      <c r="A107" s="11">
        <v>318</v>
      </c>
      <c r="B107" s="11">
        <v>1</v>
      </c>
      <c r="C107" s="11" t="s">
        <v>142</v>
      </c>
      <c r="D107" s="13">
        <v>1048881.44</v>
      </c>
    </row>
    <row r="108" spans="1:4" x14ac:dyDescent="0.2">
      <c r="A108" s="11">
        <v>319</v>
      </c>
      <c r="B108" s="11">
        <v>1</v>
      </c>
      <c r="C108" s="11" t="s">
        <v>143</v>
      </c>
      <c r="D108" s="13">
        <v>452350.55</v>
      </c>
    </row>
    <row r="109" spans="1:4" x14ac:dyDescent="0.2">
      <c r="A109" s="11">
        <v>330</v>
      </c>
      <c r="B109" s="11">
        <v>1</v>
      </c>
      <c r="C109" s="11" t="s">
        <v>144</v>
      </c>
      <c r="D109" s="13">
        <v>88585.23</v>
      </c>
    </row>
    <row r="110" spans="1:4" x14ac:dyDescent="0.2">
      <c r="A110" s="11">
        <v>333</v>
      </c>
      <c r="B110" s="11">
        <v>1</v>
      </c>
      <c r="C110" s="11" t="s">
        <v>145</v>
      </c>
      <c r="D110" s="13">
        <v>244721.6</v>
      </c>
    </row>
    <row r="111" spans="1:4" x14ac:dyDescent="0.2">
      <c r="A111" s="11">
        <v>345</v>
      </c>
      <c r="B111" s="11">
        <v>1</v>
      </c>
      <c r="C111" s="11" t="s">
        <v>146</v>
      </c>
      <c r="D111" s="13">
        <v>3559.22</v>
      </c>
    </row>
    <row r="112" spans="1:4" x14ac:dyDescent="0.2">
      <c r="A112" s="11">
        <v>347</v>
      </c>
      <c r="B112" s="11">
        <v>1</v>
      </c>
      <c r="C112" s="11" t="s">
        <v>147</v>
      </c>
      <c r="D112" s="13">
        <v>148878.9</v>
      </c>
    </row>
    <row r="113" spans="1:4" x14ac:dyDescent="0.2">
      <c r="A113" s="11">
        <v>356</v>
      </c>
      <c r="B113" s="11">
        <v>1</v>
      </c>
      <c r="C113" s="11" t="s">
        <v>148</v>
      </c>
      <c r="D113" s="13">
        <v>35771.39</v>
      </c>
    </row>
    <row r="114" spans="1:4" x14ac:dyDescent="0.2">
      <c r="A114" s="11">
        <v>361</v>
      </c>
      <c r="B114" s="11">
        <v>1</v>
      </c>
      <c r="C114" s="11" t="s">
        <v>149</v>
      </c>
      <c r="D114" s="13">
        <v>159215.88</v>
      </c>
    </row>
    <row r="115" spans="1:4" x14ac:dyDescent="0.2">
      <c r="A115" s="11">
        <v>362</v>
      </c>
      <c r="B115" s="11">
        <v>1</v>
      </c>
      <c r="C115" s="11" t="s">
        <v>150</v>
      </c>
      <c r="D115" s="13">
        <v>80172.17</v>
      </c>
    </row>
    <row r="116" spans="1:4" x14ac:dyDescent="0.2">
      <c r="A116" s="11">
        <v>363</v>
      </c>
      <c r="B116" s="11">
        <v>1</v>
      </c>
      <c r="C116" s="11" t="s">
        <v>151</v>
      </c>
      <c r="D116" s="13">
        <v>133544.17000000001</v>
      </c>
    </row>
    <row r="117" spans="1:4" x14ac:dyDescent="0.2">
      <c r="A117" s="11">
        <v>378</v>
      </c>
      <c r="B117" s="11">
        <v>1</v>
      </c>
      <c r="C117" s="11" t="s">
        <v>152</v>
      </c>
      <c r="D117" s="13">
        <v>313926.78999999998</v>
      </c>
    </row>
    <row r="118" spans="1:4" x14ac:dyDescent="0.2">
      <c r="A118" s="11">
        <v>381</v>
      </c>
      <c r="B118" s="11">
        <v>1</v>
      </c>
      <c r="C118" s="11" t="s">
        <v>153</v>
      </c>
      <c r="D118" s="13">
        <v>385944.04</v>
      </c>
    </row>
    <row r="119" spans="1:4" x14ac:dyDescent="0.2">
      <c r="A119" s="11">
        <v>390</v>
      </c>
      <c r="B119" s="11">
        <v>1</v>
      </c>
      <c r="C119" s="11" t="s">
        <v>155</v>
      </c>
      <c r="D119" s="13">
        <v>400839.7</v>
      </c>
    </row>
    <row r="120" spans="1:4" x14ac:dyDescent="0.2">
      <c r="A120" s="11">
        <v>391</v>
      </c>
      <c r="B120" s="11">
        <v>1</v>
      </c>
      <c r="C120" s="11" t="s">
        <v>156</v>
      </c>
      <c r="D120" s="13">
        <v>708.15</v>
      </c>
    </row>
    <row r="121" spans="1:4" x14ac:dyDescent="0.2">
      <c r="A121" s="11">
        <v>392</v>
      </c>
      <c r="B121" s="11">
        <v>1</v>
      </c>
      <c r="C121" s="11" t="s">
        <v>157</v>
      </c>
      <c r="D121" s="13">
        <v>63697.99</v>
      </c>
    </row>
    <row r="122" spans="1:4" x14ac:dyDescent="0.2">
      <c r="A122" s="11">
        <v>394</v>
      </c>
      <c r="B122" s="11">
        <v>1</v>
      </c>
      <c r="C122" s="11" t="s">
        <v>158</v>
      </c>
      <c r="D122" s="13">
        <v>627633.75</v>
      </c>
    </row>
    <row r="123" spans="1:4" x14ac:dyDescent="0.2">
      <c r="A123" s="11">
        <v>402</v>
      </c>
      <c r="B123" s="11">
        <v>1</v>
      </c>
      <c r="C123" s="11" t="s">
        <v>161</v>
      </c>
      <c r="D123" s="13">
        <v>21465.17</v>
      </c>
    </row>
    <row r="124" spans="1:4" x14ac:dyDescent="0.2">
      <c r="A124" s="11">
        <v>403</v>
      </c>
      <c r="B124" s="11">
        <v>1</v>
      </c>
      <c r="C124" s="11" t="s">
        <v>162</v>
      </c>
      <c r="D124" s="13">
        <v>581.29999999999995</v>
      </c>
    </row>
    <row r="125" spans="1:4" x14ac:dyDescent="0.2">
      <c r="A125" s="11">
        <v>404</v>
      </c>
      <c r="B125" s="11">
        <v>1</v>
      </c>
      <c r="C125" s="11" t="s">
        <v>163</v>
      </c>
      <c r="D125" s="13">
        <v>39006.480000000003</v>
      </c>
    </row>
    <row r="126" spans="1:4" x14ac:dyDescent="0.2">
      <c r="A126" s="11">
        <v>413</v>
      </c>
      <c r="B126" s="11">
        <v>1</v>
      </c>
      <c r="C126" s="11" t="s">
        <v>164</v>
      </c>
      <c r="D126" s="13">
        <v>108382.62</v>
      </c>
    </row>
    <row r="127" spans="1:4" x14ac:dyDescent="0.2">
      <c r="A127" s="11">
        <v>415</v>
      </c>
      <c r="B127" s="11">
        <v>1</v>
      </c>
      <c r="C127" s="11" t="s">
        <v>165</v>
      </c>
      <c r="D127" s="13">
        <v>30198.57</v>
      </c>
    </row>
    <row r="128" spans="1:4" x14ac:dyDescent="0.2">
      <c r="A128" s="11">
        <v>423</v>
      </c>
      <c r="B128" s="11">
        <v>1</v>
      </c>
      <c r="C128" s="11" t="s">
        <v>166</v>
      </c>
      <c r="D128" s="13">
        <v>52832.51</v>
      </c>
    </row>
    <row r="129" spans="1:4" x14ac:dyDescent="0.2">
      <c r="A129" s="11">
        <v>424</v>
      </c>
      <c r="B129" s="11">
        <v>1</v>
      </c>
      <c r="C129" s="11" t="s">
        <v>167</v>
      </c>
      <c r="D129" s="13">
        <v>122249.45</v>
      </c>
    </row>
    <row r="130" spans="1:4" x14ac:dyDescent="0.2">
      <c r="A130" s="11">
        <v>432</v>
      </c>
      <c r="B130" s="11">
        <v>1</v>
      </c>
      <c r="C130" s="11" t="s">
        <v>168</v>
      </c>
      <c r="D130" s="13">
        <v>882877.9</v>
      </c>
    </row>
    <row r="131" spans="1:4" x14ac:dyDescent="0.2">
      <c r="A131" s="11">
        <v>441</v>
      </c>
      <c r="B131" s="11">
        <v>1</v>
      </c>
      <c r="C131" s="11" t="s">
        <v>169</v>
      </c>
      <c r="D131" s="13">
        <v>76511</v>
      </c>
    </row>
    <row r="132" spans="1:4" x14ac:dyDescent="0.2">
      <c r="A132" s="11">
        <v>447</v>
      </c>
      <c r="B132" s="11">
        <v>1</v>
      </c>
      <c r="C132" s="11" t="s">
        <v>170</v>
      </c>
      <c r="D132" s="13">
        <v>61286.06</v>
      </c>
    </row>
    <row r="133" spans="1:4" x14ac:dyDescent="0.2">
      <c r="A133" s="11">
        <v>458</v>
      </c>
      <c r="B133" s="11">
        <v>1</v>
      </c>
      <c r="C133" s="11" t="s">
        <v>171</v>
      </c>
      <c r="D133" s="13">
        <v>32077.16</v>
      </c>
    </row>
    <row r="134" spans="1:4" x14ac:dyDescent="0.2">
      <c r="A134" s="11">
        <v>465</v>
      </c>
      <c r="B134" s="11">
        <v>1</v>
      </c>
      <c r="C134" s="11" t="s">
        <v>173</v>
      </c>
      <c r="D134" s="13">
        <v>130260.07</v>
      </c>
    </row>
    <row r="135" spans="1:4" x14ac:dyDescent="0.2">
      <c r="A135" s="11">
        <v>466</v>
      </c>
      <c r="B135" s="11">
        <v>1</v>
      </c>
      <c r="C135" s="11" t="s">
        <v>174</v>
      </c>
      <c r="D135" s="13">
        <v>56069.45</v>
      </c>
    </row>
    <row r="136" spans="1:4" x14ac:dyDescent="0.2">
      <c r="A136" s="11">
        <v>473</v>
      </c>
      <c r="B136" s="11">
        <v>1</v>
      </c>
      <c r="C136" s="11" t="s">
        <v>175</v>
      </c>
      <c r="D136" s="13">
        <v>50025.62</v>
      </c>
    </row>
    <row r="137" spans="1:4" x14ac:dyDescent="0.2">
      <c r="A137" s="11">
        <v>477</v>
      </c>
      <c r="B137" s="11">
        <v>1</v>
      </c>
      <c r="C137" s="11" t="s">
        <v>176</v>
      </c>
      <c r="D137" s="13">
        <v>157301.45000000001</v>
      </c>
    </row>
    <row r="138" spans="1:4" x14ac:dyDescent="0.2">
      <c r="A138" s="11">
        <v>480</v>
      </c>
      <c r="B138" s="11">
        <v>1</v>
      </c>
      <c r="C138" s="11" t="s">
        <v>177</v>
      </c>
      <c r="D138" s="13">
        <v>1269854.55</v>
      </c>
    </row>
    <row r="139" spans="1:4" x14ac:dyDescent="0.2">
      <c r="A139" s="11">
        <v>482</v>
      </c>
      <c r="B139" s="11">
        <v>1</v>
      </c>
      <c r="C139" s="11" t="s">
        <v>178</v>
      </c>
      <c r="D139" s="13">
        <v>2035444.42</v>
      </c>
    </row>
    <row r="140" spans="1:4" x14ac:dyDescent="0.2">
      <c r="A140" s="11">
        <v>484</v>
      </c>
      <c r="B140" s="11">
        <v>1</v>
      </c>
      <c r="C140" s="11" t="s">
        <v>179</v>
      </c>
      <c r="D140" s="13">
        <v>658689</v>
      </c>
    </row>
    <row r="141" spans="1:4" x14ac:dyDescent="0.2">
      <c r="A141" s="11">
        <v>485</v>
      </c>
      <c r="B141" s="11">
        <v>1</v>
      </c>
      <c r="C141" s="11" t="s">
        <v>180</v>
      </c>
      <c r="D141" s="13">
        <v>440173.2</v>
      </c>
    </row>
    <row r="142" spans="1:4" x14ac:dyDescent="0.2">
      <c r="A142" s="11">
        <v>486</v>
      </c>
      <c r="B142" s="11">
        <v>1</v>
      </c>
      <c r="C142" s="11" t="s">
        <v>181</v>
      </c>
      <c r="D142" s="13">
        <v>340045.05</v>
      </c>
    </row>
    <row r="143" spans="1:4" x14ac:dyDescent="0.2">
      <c r="A143" s="11">
        <v>487</v>
      </c>
      <c r="B143" s="11">
        <v>1</v>
      </c>
      <c r="C143" s="11" t="s">
        <v>182</v>
      </c>
      <c r="D143" s="13">
        <v>87204.4</v>
      </c>
    </row>
    <row r="144" spans="1:4" x14ac:dyDescent="0.2">
      <c r="A144" s="11">
        <v>492</v>
      </c>
      <c r="B144" s="11">
        <v>1</v>
      </c>
      <c r="C144" s="11" t="s">
        <v>183</v>
      </c>
      <c r="D144" s="13">
        <v>1740790.86</v>
      </c>
    </row>
    <row r="145" spans="1:4" x14ac:dyDescent="0.2">
      <c r="A145" s="11">
        <v>495</v>
      </c>
      <c r="B145" s="11">
        <v>1</v>
      </c>
      <c r="C145" s="11" t="s">
        <v>184</v>
      </c>
      <c r="D145" s="13">
        <v>67762.48</v>
      </c>
    </row>
    <row r="146" spans="1:4" x14ac:dyDescent="0.2">
      <c r="A146" s="11">
        <v>497</v>
      </c>
      <c r="B146" s="11">
        <v>1</v>
      </c>
      <c r="C146" s="11" t="s">
        <v>185</v>
      </c>
      <c r="D146" s="13">
        <v>161462.22</v>
      </c>
    </row>
    <row r="147" spans="1:4" x14ac:dyDescent="0.2">
      <c r="A147" s="11">
        <v>499</v>
      </c>
      <c r="B147" s="11">
        <v>1</v>
      </c>
      <c r="C147" s="11" t="s">
        <v>186</v>
      </c>
      <c r="D147" s="13">
        <v>78342.78</v>
      </c>
    </row>
    <row r="148" spans="1:4" x14ac:dyDescent="0.2">
      <c r="A148" s="11">
        <v>500</v>
      </c>
      <c r="B148" s="11">
        <v>1</v>
      </c>
      <c r="C148" s="11" t="s">
        <v>187</v>
      </c>
      <c r="D148" s="13">
        <v>119787.93</v>
      </c>
    </row>
    <row r="149" spans="1:4" x14ac:dyDescent="0.2">
      <c r="A149" s="11">
        <v>505</v>
      </c>
      <c r="B149" s="11">
        <v>1</v>
      </c>
      <c r="C149" s="11" t="s">
        <v>188</v>
      </c>
      <c r="D149" s="13">
        <v>99613.27</v>
      </c>
    </row>
    <row r="150" spans="1:4" x14ac:dyDescent="0.2">
      <c r="A150" s="11">
        <v>507</v>
      </c>
      <c r="B150" s="11">
        <v>1</v>
      </c>
      <c r="C150" s="11" t="s">
        <v>189</v>
      </c>
      <c r="D150" s="13">
        <v>65890.039999999994</v>
      </c>
    </row>
    <row r="151" spans="1:4" x14ac:dyDescent="0.2">
      <c r="A151" s="11">
        <v>508</v>
      </c>
      <c r="B151" s="11">
        <v>1</v>
      </c>
      <c r="C151" s="11" t="s">
        <v>190</v>
      </c>
      <c r="D151" s="13">
        <v>509071.59</v>
      </c>
    </row>
    <row r="152" spans="1:4" x14ac:dyDescent="0.2">
      <c r="A152" s="11">
        <v>511</v>
      </c>
      <c r="B152" s="11">
        <v>1</v>
      </c>
      <c r="C152" s="11" t="s">
        <v>191</v>
      </c>
      <c r="D152" s="13">
        <v>419403.35</v>
      </c>
    </row>
    <row r="153" spans="1:4" x14ac:dyDescent="0.2">
      <c r="A153" s="11">
        <v>513</v>
      </c>
      <c r="B153" s="11">
        <v>1</v>
      </c>
      <c r="C153" s="11" t="s">
        <v>192</v>
      </c>
      <c r="D153" s="13">
        <v>151696.38</v>
      </c>
    </row>
    <row r="154" spans="1:4" x14ac:dyDescent="0.2">
      <c r="A154" s="11">
        <v>514</v>
      </c>
      <c r="B154" s="11">
        <v>1</v>
      </c>
      <c r="C154" s="11" t="s">
        <v>193</v>
      </c>
      <c r="D154" s="13">
        <v>571.82000000000005</v>
      </c>
    </row>
    <row r="155" spans="1:4" x14ac:dyDescent="0.2">
      <c r="A155" s="11">
        <v>516</v>
      </c>
      <c r="B155" s="11">
        <v>1</v>
      </c>
      <c r="C155" s="11" t="s">
        <v>194</v>
      </c>
      <c r="D155" s="13">
        <v>46705.41</v>
      </c>
    </row>
    <row r="156" spans="1:4" x14ac:dyDescent="0.2">
      <c r="A156" s="11">
        <v>518</v>
      </c>
      <c r="B156" s="11">
        <v>1</v>
      </c>
      <c r="C156" s="11" t="s">
        <v>195</v>
      </c>
      <c r="D156" s="13">
        <v>628958.57999999996</v>
      </c>
    </row>
    <row r="157" spans="1:4" x14ac:dyDescent="0.2">
      <c r="A157" s="11">
        <v>531</v>
      </c>
      <c r="B157" s="11">
        <v>1</v>
      </c>
      <c r="C157" s="11" t="s">
        <v>196</v>
      </c>
      <c r="D157" s="13">
        <v>3179.93</v>
      </c>
    </row>
    <row r="158" spans="1:4" x14ac:dyDescent="0.2">
      <c r="A158" s="11">
        <v>533</v>
      </c>
      <c r="B158" s="11">
        <v>1</v>
      </c>
      <c r="C158" s="11" t="s">
        <v>197</v>
      </c>
      <c r="D158" s="13">
        <v>580775.49</v>
      </c>
    </row>
    <row r="159" spans="1:4" x14ac:dyDescent="0.2">
      <c r="A159" s="11">
        <v>534</v>
      </c>
      <c r="B159" s="11">
        <v>1</v>
      </c>
      <c r="C159" s="11" t="s">
        <v>198</v>
      </c>
      <c r="D159" s="13">
        <v>908522.66</v>
      </c>
    </row>
    <row r="160" spans="1:4" x14ac:dyDescent="0.2">
      <c r="A160" s="11">
        <v>535</v>
      </c>
      <c r="B160" s="11">
        <v>1</v>
      </c>
      <c r="C160" s="11" t="s">
        <v>199</v>
      </c>
      <c r="D160" s="13">
        <v>530472.55000000005</v>
      </c>
    </row>
    <row r="161" spans="1:4" x14ac:dyDescent="0.2">
      <c r="A161" s="11">
        <v>544</v>
      </c>
      <c r="B161" s="11">
        <v>1</v>
      </c>
      <c r="C161" s="11" t="s">
        <v>200</v>
      </c>
      <c r="D161" s="13">
        <v>8249.16</v>
      </c>
    </row>
    <row r="162" spans="1:4" x14ac:dyDescent="0.2">
      <c r="A162" s="11">
        <v>545</v>
      </c>
      <c r="B162" s="11">
        <v>1</v>
      </c>
      <c r="C162" s="11" t="s">
        <v>201</v>
      </c>
      <c r="D162" s="13">
        <v>1222.52</v>
      </c>
    </row>
    <row r="163" spans="1:4" x14ac:dyDescent="0.2">
      <c r="A163" s="11">
        <v>547</v>
      </c>
      <c r="B163" s="11">
        <v>1</v>
      </c>
      <c r="C163" s="11" t="s">
        <v>202</v>
      </c>
      <c r="D163" s="13">
        <v>375106.31</v>
      </c>
    </row>
    <row r="164" spans="1:4" x14ac:dyDescent="0.2">
      <c r="A164" s="11">
        <v>548</v>
      </c>
      <c r="B164" s="11">
        <v>1</v>
      </c>
      <c r="C164" s="11" t="s">
        <v>203</v>
      </c>
      <c r="D164" s="13">
        <v>1374398.38</v>
      </c>
    </row>
    <row r="165" spans="1:4" x14ac:dyDescent="0.2">
      <c r="A165" s="11">
        <v>549</v>
      </c>
      <c r="B165" s="11">
        <v>1</v>
      </c>
      <c r="C165" s="11" t="s">
        <v>204</v>
      </c>
      <c r="D165" s="13">
        <v>396455.91</v>
      </c>
    </row>
    <row r="166" spans="1:4" x14ac:dyDescent="0.2">
      <c r="A166" s="11">
        <v>550</v>
      </c>
      <c r="B166" s="11">
        <v>1</v>
      </c>
      <c r="C166" s="11" t="s">
        <v>205</v>
      </c>
      <c r="D166" s="13">
        <v>99475.72</v>
      </c>
    </row>
    <row r="167" spans="1:4" x14ac:dyDescent="0.2">
      <c r="A167" s="11">
        <v>553</v>
      </c>
      <c r="B167" s="11">
        <v>1</v>
      </c>
      <c r="C167" s="11" t="s">
        <v>206</v>
      </c>
      <c r="D167" s="13">
        <v>100000</v>
      </c>
    </row>
    <row r="168" spans="1:4" x14ac:dyDescent="0.2">
      <c r="A168" s="11">
        <v>561</v>
      </c>
      <c r="B168" s="11">
        <v>1</v>
      </c>
      <c r="C168" s="11" t="s">
        <v>207</v>
      </c>
      <c r="D168" s="13">
        <v>60041.06</v>
      </c>
    </row>
    <row r="169" spans="1:4" x14ac:dyDescent="0.2">
      <c r="A169" s="11">
        <v>564</v>
      </c>
      <c r="B169" s="11">
        <v>1</v>
      </c>
      <c r="C169" s="11" t="s">
        <v>208</v>
      </c>
      <c r="D169" s="13">
        <v>512183.81</v>
      </c>
    </row>
    <row r="170" spans="1:4" x14ac:dyDescent="0.2">
      <c r="A170" s="11">
        <v>578</v>
      </c>
      <c r="B170" s="11">
        <v>1</v>
      </c>
      <c r="C170" s="11" t="s">
        <v>210</v>
      </c>
      <c r="D170" s="13">
        <v>1067489.7</v>
      </c>
    </row>
    <row r="171" spans="1:4" x14ac:dyDescent="0.2">
      <c r="A171" s="11">
        <v>592</v>
      </c>
      <c r="B171" s="11">
        <v>1</v>
      </c>
      <c r="C171" s="11" t="s">
        <v>211</v>
      </c>
      <c r="D171" s="13">
        <v>7816.77</v>
      </c>
    </row>
    <row r="172" spans="1:4" x14ac:dyDescent="0.2">
      <c r="A172" s="11">
        <v>593</v>
      </c>
      <c r="B172" s="11">
        <v>1</v>
      </c>
      <c r="C172" s="11" t="s">
        <v>212</v>
      </c>
      <c r="D172" s="13">
        <v>25197.66</v>
      </c>
    </row>
    <row r="173" spans="1:4" x14ac:dyDescent="0.2">
      <c r="A173" s="11">
        <v>595</v>
      </c>
      <c r="B173" s="11">
        <v>1</v>
      </c>
      <c r="C173" s="11" t="s">
        <v>213</v>
      </c>
      <c r="D173" s="13">
        <v>427088.82</v>
      </c>
    </row>
    <row r="174" spans="1:4" x14ac:dyDescent="0.2">
      <c r="A174" s="11">
        <v>599</v>
      </c>
      <c r="B174" s="11">
        <v>1</v>
      </c>
      <c r="C174" s="11" t="s">
        <v>214</v>
      </c>
      <c r="D174" s="13">
        <v>160150.37</v>
      </c>
    </row>
    <row r="175" spans="1:4" x14ac:dyDescent="0.2">
      <c r="A175" s="11">
        <v>600</v>
      </c>
      <c r="B175" s="11">
        <v>1</v>
      </c>
      <c r="C175" s="11" t="s">
        <v>215</v>
      </c>
      <c r="D175" s="13">
        <v>46048.36</v>
      </c>
    </row>
    <row r="176" spans="1:4" x14ac:dyDescent="0.2">
      <c r="A176" s="11">
        <v>601</v>
      </c>
      <c r="B176" s="11">
        <v>1</v>
      </c>
      <c r="C176" s="11" t="s">
        <v>216</v>
      </c>
      <c r="D176" s="13">
        <v>2500.87</v>
      </c>
    </row>
    <row r="177" spans="1:4" x14ac:dyDescent="0.2">
      <c r="A177" s="11">
        <v>611</v>
      </c>
      <c r="B177" s="11">
        <v>1</v>
      </c>
      <c r="C177" s="11" t="s">
        <v>217</v>
      </c>
      <c r="D177" s="13">
        <v>80437.149999999994</v>
      </c>
    </row>
    <row r="178" spans="1:4" x14ac:dyDescent="0.2">
      <c r="A178" s="11">
        <v>621</v>
      </c>
      <c r="B178" s="11">
        <v>1</v>
      </c>
      <c r="C178" s="11" t="s">
        <v>218</v>
      </c>
      <c r="D178" s="13">
        <v>6227642.2100000009</v>
      </c>
    </row>
    <row r="179" spans="1:4" x14ac:dyDescent="0.2">
      <c r="A179" s="11">
        <v>622</v>
      </c>
      <c r="B179" s="11">
        <v>1</v>
      </c>
      <c r="C179" s="11" t="s">
        <v>219</v>
      </c>
      <c r="D179" s="13">
        <v>8183421.9000000004</v>
      </c>
    </row>
    <row r="180" spans="1:4" x14ac:dyDescent="0.2">
      <c r="A180" s="11">
        <v>623</v>
      </c>
      <c r="B180" s="11">
        <v>1</v>
      </c>
      <c r="C180" s="11" t="s">
        <v>220</v>
      </c>
      <c r="D180" s="13">
        <v>3681609.84</v>
      </c>
    </row>
    <row r="181" spans="1:4" x14ac:dyDescent="0.2">
      <c r="A181" s="11">
        <v>624</v>
      </c>
      <c r="B181" s="11">
        <v>1</v>
      </c>
      <c r="C181" s="11" t="s">
        <v>221</v>
      </c>
      <c r="D181" s="13">
        <v>53633.88</v>
      </c>
    </row>
    <row r="182" spans="1:4" x14ac:dyDescent="0.2">
      <c r="A182" s="11">
        <v>625</v>
      </c>
      <c r="B182" s="11">
        <v>1</v>
      </c>
      <c r="C182" s="11" t="s">
        <v>222</v>
      </c>
      <c r="D182" s="13">
        <v>2788898.27</v>
      </c>
    </row>
    <row r="183" spans="1:4" x14ac:dyDescent="0.2">
      <c r="A183" s="11">
        <v>628</v>
      </c>
      <c r="B183" s="11">
        <v>1</v>
      </c>
      <c r="C183" s="11" t="s">
        <v>224</v>
      </c>
      <c r="D183" s="13">
        <v>100816.01</v>
      </c>
    </row>
    <row r="184" spans="1:4" x14ac:dyDescent="0.2">
      <c r="A184" s="11">
        <v>635</v>
      </c>
      <c r="B184" s="11">
        <v>1</v>
      </c>
      <c r="C184" s="11" t="s">
        <v>225</v>
      </c>
      <c r="D184" s="13">
        <v>22363.45</v>
      </c>
    </row>
    <row r="185" spans="1:4" x14ac:dyDescent="0.2">
      <c r="A185" s="11">
        <v>640</v>
      </c>
      <c r="B185" s="11">
        <v>1</v>
      </c>
      <c r="C185" s="11" t="s">
        <v>226</v>
      </c>
      <c r="D185" s="13">
        <v>34544.639999999999</v>
      </c>
    </row>
    <row r="186" spans="1:4" x14ac:dyDescent="0.2">
      <c r="A186" s="11">
        <v>656</v>
      </c>
      <c r="B186" s="11">
        <v>1</v>
      </c>
      <c r="C186" s="11" t="s">
        <v>227</v>
      </c>
      <c r="D186" s="13">
        <v>149172.06</v>
      </c>
    </row>
    <row r="187" spans="1:4" x14ac:dyDescent="0.2">
      <c r="A187" s="11">
        <v>659</v>
      </c>
      <c r="B187" s="11">
        <v>1</v>
      </c>
      <c r="C187" s="11" t="s">
        <v>228</v>
      </c>
      <c r="D187" s="13">
        <v>1333771.1599999999</v>
      </c>
    </row>
    <row r="188" spans="1:4" x14ac:dyDescent="0.2">
      <c r="A188" s="11">
        <v>671</v>
      </c>
      <c r="B188" s="11">
        <v>1</v>
      </c>
      <c r="C188" s="11" t="s">
        <v>229</v>
      </c>
      <c r="D188" s="13">
        <v>196602.93</v>
      </c>
    </row>
    <row r="189" spans="1:4" x14ac:dyDescent="0.2">
      <c r="A189" s="11">
        <v>676</v>
      </c>
      <c r="B189" s="11">
        <v>1</v>
      </c>
      <c r="C189" s="11" t="s">
        <v>230</v>
      </c>
      <c r="D189" s="13">
        <v>57807.59</v>
      </c>
    </row>
    <row r="190" spans="1:4" x14ac:dyDescent="0.2">
      <c r="A190" s="11">
        <v>682</v>
      </c>
      <c r="B190" s="11">
        <v>1</v>
      </c>
      <c r="C190" s="11" t="s">
        <v>231</v>
      </c>
      <c r="D190" s="13">
        <v>705396.78</v>
      </c>
    </row>
    <row r="191" spans="1:4" x14ac:dyDescent="0.2">
      <c r="A191" s="11">
        <v>690</v>
      </c>
      <c r="B191" s="11">
        <v>1</v>
      </c>
      <c r="C191" s="11" t="s">
        <v>232</v>
      </c>
      <c r="D191" s="13">
        <v>1227729.29</v>
      </c>
    </row>
    <row r="192" spans="1:4" x14ac:dyDescent="0.2">
      <c r="A192" s="11">
        <v>695</v>
      </c>
      <c r="B192" s="11">
        <v>1</v>
      </c>
      <c r="C192" s="11" t="s">
        <v>233</v>
      </c>
      <c r="D192" s="13">
        <v>360894.38</v>
      </c>
    </row>
    <row r="193" spans="1:4" x14ac:dyDescent="0.2">
      <c r="A193" s="11">
        <v>696</v>
      </c>
      <c r="B193" s="11">
        <v>1</v>
      </c>
      <c r="C193" s="11" t="s">
        <v>234</v>
      </c>
      <c r="D193" s="13">
        <v>466955.57</v>
      </c>
    </row>
    <row r="194" spans="1:4" x14ac:dyDescent="0.2">
      <c r="A194" s="11">
        <v>698</v>
      </c>
      <c r="B194" s="11">
        <v>1</v>
      </c>
      <c r="C194" s="11" t="s">
        <v>235</v>
      </c>
      <c r="D194" s="13">
        <v>136146.14000000001</v>
      </c>
    </row>
    <row r="195" spans="1:4" x14ac:dyDescent="0.2">
      <c r="A195" s="11">
        <v>701</v>
      </c>
      <c r="B195" s="11">
        <v>1</v>
      </c>
      <c r="C195" s="11" t="s">
        <v>236</v>
      </c>
      <c r="D195" s="13">
        <v>356230.45</v>
      </c>
    </row>
    <row r="196" spans="1:4" x14ac:dyDescent="0.2">
      <c r="A196" s="11">
        <v>704</v>
      </c>
      <c r="B196" s="11">
        <v>1</v>
      </c>
      <c r="C196" s="11" t="s">
        <v>237</v>
      </c>
      <c r="D196" s="13">
        <v>294428.02</v>
      </c>
    </row>
    <row r="197" spans="1:4" x14ac:dyDescent="0.2">
      <c r="A197" s="11">
        <v>706</v>
      </c>
      <c r="B197" s="11">
        <v>1</v>
      </c>
      <c r="C197" s="11" t="s">
        <v>238</v>
      </c>
      <c r="D197" s="13">
        <v>1174514.96</v>
      </c>
    </row>
    <row r="198" spans="1:4" x14ac:dyDescent="0.2">
      <c r="A198" s="11">
        <v>707</v>
      </c>
      <c r="B198" s="11">
        <v>1</v>
      </c>
      <c r="C198" s="11" t="s">
        <v>239</v>
      </c>
      <c r="D198" s="13">
        <v>692.65</v>
      </c>
    </row>
    <row r="199" spans="1:4" x14ac:dyDescent="0.2">
      <c r="A199" s="11">
        <v>709</v>
      </c>
      <c r="B199" s="11">
        <v>1</v>
      </c>
      <c r="C199" s="11" t="s">
        <v>240</v>
      </c>
      <c r="D199" s="13">
        <v>126191.48</v>
      </c>
    </row>
    <row r="200" spans="1:4" x14ac:dyDescent="0.2">
      <c r="A200" s="11">
        <v>712</v>
      </c>
      <c r="B200" s="11">
        <v>1</v>
      </c>
      <c r="C200" s="11" t="s">
        <v>241</v>
      </c>
      <c r="D200" s="13">
        <v>3938.48</v>
      </c>
    </row>
    <row r="201" spans="1:4" x14ac:dyDescent="0.2">
      <c r="A201" s="11">
        <v>716</v>
      </c>
      <c r="B201" s="11">
        <v>1</v>
      </c>
      <c r="C201" s="11" t="s">
        <v>242</v>
      </c>
      <c r="D201" s="13">
        <v>728532.4</v>
      </c>
    </row>
    <row r="202" spans="1:4" x14ac:dyDescent="0.2">
      <c r="A202" s="11">
        <v>717</v>
      </c>
      <c r="B202" s="11">
        <v>1</v>
      </c>
      <c r="C202" s="11" t="s">
        <v>243</v>
      </c>
      <c r="D202" s="13">
        <v>392348.44</v>
      </c>
    </row>
    <row r="203" spans="1:4" x14ac:dyDescent="0.2">
      <c r="A203" s="11">
        <v>719</v>
      </c>
      <c r="B203" s="11">
        <v>1</v>
      </c>
      <c r="C203" s="11" t="s">
        <v>244</v>
      </c>
      <c r="D203" s="13">
        <v>121209.55</v>
      </c>
    </row>
    <row r="204" spans="1:4" x14ac:dyDescent="0.2">
      <c r="A204" s="11">
        <v>720</v>
      </c>
      <c r="B204" s="11">
        <v>1</v>
      </c>
      <c r="C204" s="11" t="s">
        <v>245</v>
      </c>
      <c r="D204" s="13">
        <v>3475672.19</v>
      </c>
    </row>
    <row r="205" spans="1:4" x14ac:dyDescent="0.2">
      <c r="A205" s="11">
        <v>721</v>
      </c>
      <c r="B205" s="11">
        <v>1</v>
      </c>
      <c r="C205" s="11" t="s">
        <v>246</v>
      </c>
      <c r="D205" s="13">
        <v>1259338.75</v>
      </c>
    </row>
    <row r="206" spans="1:4" x14ac:dyDescent="0.2">
      <c r="A206" s="11">
        <v>727</v>
      </c>
      <c r="B206" s="11">
        <v>1</v>
      </c>
      <c r="C206" s="11" t="s">
        <v>247</v>
      </c>
      <c r="D206" s="13">
        <v>170704.2</v>
      </c>
    </row>
    <row r="207" spans="1:4" x14ac:dyDescent="0.2">
      <c r="A207" s="11">
        <v>728</v>
      </c>
      <c r="B207" s="11">
        <v>1</v>
      </c>
      <c r="C207" s="11" t="s">
        <v>248</v>
      </c>
      <c r="D207" s="13">
        <v>2778800.14</v>
      </c>
    </row>
    <row r="208" spans="1:4" x14ac:dyDescent="0.2">
      <c r="A208" s="11">
        <v>738</v>
      </c>
      <c r="B208" s="11">
        <v>1</v>
      </c>
      <c r="C208" s="11" t="s">
        <v>249</v>
      </c>
      <c r="D208" s="13">
        <v>198985.49</v>
      </c>
    </row>
    <row r="209" spans="1:4" x14ac:dyDescent="0.2">
      <c r="A209" s="11">
        <v>742</v>
      </c>
      <c r="B209" s="11">
        <v>1</v>
      </c>
      <c r="C209" s="11" t="s">
        <v>250</v>
      </c>
      <c r="D209" s="13">
        <v>1841205.45</v>
      </c>
    </row>
    <row r="210" spans="1:4" x14ac:dyDescent="0.2">
      <c r="A210" s="11">
        <v>748</v>
      </c>
      <c r="B210" s="11">
        <v>1</v>
      </c>
      <c r="C210" s="11" t="s">
        <v>251</v>
      </c>
      <c r="D210" s="13">
        <v>6757.19</v>
      </c>
    </row>
    <row r="211" spans="1:4" x14ac:dyDescent="0.2">
      <c r="A211" s="11">
        <v>750</v>
      </c>
      <c r="B211" s="11">
        <v>1</v>
      </c>
      <c r="C211" s="11" t="s">
        <v>252</v>
      </c>
      <c r="D211" s="13">
        <v>69036</v>
      </c>
    </row>
    <row r="212" spans="1:4" x14ac:dyDescent="0.2">
      <c r="A212" s="11">
        <v>756</v>
      </c>
      <c r="B212" s="11">
        <v>1</v>
      </c>
      <c r="C212" s="11" t="s">
        <v>253</v>
      </c>
      <c r="D212" s="13">
        <v>459345.82</v>
      </c>
    </row>
    <row r="213" spans="1:4" x14ac:dyDescent="0.2">
      <c r="A213" s="11">
        <v>761</v>
      </c>
      <c r="B213" s="11">
        <v>1</v>
      </c>
      <c r="C213" s="11" t="s">
        <v>254</v>
      </c>
      <c r="D213" s="13">
        <v>114335.84</v>
      </c>
    </row>
    <row r="214" spans="1:4" x14ac:dyDescent="0.2">
      <c r="A214" s="11">
        <v>763</v>
      </c>
      <c r="B214" s="11">
        <v>1</v>
      </c>
      <c r="C214" s="11" t="s">
        <v>255</v>
      </c>
      <c r="D214" s="13">
        <v>37149.01</v>
      </c>
    </row>
    <row r="215" spans="1:4" x14ac:dyDescent="0.2">
      <c r="A215" s="11">
        <v>769</v>
      </c>
      <c r="B215" s="11">
        <v>1</v>
      </c>
      <c r="C215" s="11" t="s">
        <v>256</v>
      </c>
      <c r="D215" s="13">
        <v>38359.81</v>
      </c>
    </row>
    <row r="216" spans="1:4" x14ac:dyDescent="0.2">
      <c r="A216" s="11">
        <v>771</v>
      </c>
      <c r="B216" s="11">
        <v>1</v>
      </c>
      <c r="C216" s="11" t="s">
        <v>257</v>
      </c>
      <c r="D216" s="13">
        <v>35570.01</v>
      </c>
    </row>
    <row r="217" spans="1:4" x14ac:dyDescent="0.2">
      <c r="A217" s="11">
        <v>786</v>
      </c>
      <c r="B217" s="11">
        <v>1</v>
      </c>
      <c r="C217" s="11" t="s">
        <v>258</v>
      </c>
      <c r="D217" s="13">
        <v>292632.28000000003</v>
      </c>
    </row>
    <row r="218" spans="1:4" x14ac:dyDescent="0.2">
      <c r="A218" s="11">
        <v>787</v>
      </c>
      <c r="B218" s="11">
        <v>1</v>
      </c>
      <c r="C218" s="11" t="s">
        <v>259</v>
      </c>
      <c r="D218" s="13">
        <v>373954.26</v>
      </c>
    </row>
    <row r="219" spans="1:4" x14ac:dyDescent="0.2">
      <c r="A219" s="11">
        <v>801</v>
      </c>
      <c r="B219" s="11">
        <v>1</v>
      </c>
      <c r="C219" s="11" t="s">
        <v>260</v>
      </c>
      <c r="D219" s="13">
        <v>121593.01</v>
      </c>
    </row>
    <row r="220" spans="1:4" x14ac:dyDescent="0.2">
      <c r="A220" s="11">
        <v>803</v>
      </c>
      <c r="B220" s="11">
        <v>1</v>
      </c>
      <c r="C220" s="11" t="s">
        <v>261</v>
      </c>
      <c r="D220" s="13">
        <v>85783.2</v>
      </c>
    </row>
    <row r="221" spans="1:4" x14ac:dyDescent="0.2">
      <c r="A221" s="11">
        <v>811</v>
      </c>
      <c r="B221" s="11">
        <v>1</v>
      </c>
      <c r="C221" s="11" t="s">
        <v>262</v>
      </c>
      <c r="D221" s="13">
        <v>388078.4</v>
      </c>
    </row>
    <row r="222" spans="1:4" x14ac:dyDescent="0.2">
      <c r="A222" s="11">
        <v>813</v>
      </c>
      <c r="B222" s="11">
        <v>1</v>
      </c>
      <c r="C222" s="11" t="s">
        <v>263</v>
      </c>
      <c r="D222" s="13">
        <v>74328.990000000005</v>
      </c>
    </row>
    <row r="223" spans="1:4" x14ac:dyDescent="0.2">
      <c r="A223" s="11">
        <v>815</v>
      </c>
      <c r="B223" s="11">
        <v>2</v>
      </c>
      <c r="C223" s="11" t="s">
        <v>264</v>
      </c>
      <c r="D223" s="13">
        <v>34342.550000000003</v>
      </c>
    </row>
    <row r="224" spans="1:4" x14ac:dyDescent="0.2">
      <c r="A224" s="11">
        <v>818</v>
      </c>
      <c r="B224" s="11">
        <v>1</v>
      </c>
      <c r="C224" s="11" t="s">
        <v>265</v>
      </c>
      <c r="D224" s="13">
        <v>297456.38</v>
      </c>
    </row>
    <row r="225" spans="1:4" x14ac:dyDescent="0.2">
      <c r="A225" s="11">
        <v>820</v>
      </c>
      <c r="B225" s="11">
        <v>1</v>
      </c>
      <c r="C225" s="11" t="s">
        <v>266</v>
      </c>
      <c r="D225" s="13">
        <v>446396.32</v>
      </c>
    </row>
    <row r="226" spans="1:4" x14ac:dyDescent="0.2">
      <c r="A226" s="11">
        <v>821</v>
      </c>
      <c r="B226" s="11">
        <v>1</v>
      </c>
      <c r="C226" s="11" t="s">
        <v>267</v>
      </c>
      <c r="D226" s="13">
        <v>308702.21999999997</v>
      </c>
    </row>
    <row r="227" spans="1:4" x14ac:dyDescent="0.2">
      <c r="A227" s="11">
        <v>829</v>
      </c>
      <c r="B227" s="11">
        <v>1</v>
      </c>
      <c r="C227" s="11" t="s">
        <v>268</v>
      </c>
      <c r="D227" s="13">
        <v>1541747.68</v>
      </c>
    </row>
    <row r="228" spans="1:4" x14ac:dyDescent="0.2">
      <c r="A228" s="11">
        <v>831</v>
      </c>
      <c r="B228" s="11">
        <v>1</v>
      </c>
      <c r="C228" s="11" t="s">
        <v>269</v>
      </c>
      <c r="D228" s="13">
        <v>2145031.63</v>
      </c>
    </row>
    <row r="229" spans="1:4" x14ac:dyDescent="0.2">
      <c r="A229" s="11">
        <v>832</v>
      </c>
      <c r="B229" s="11">
        <v>1</v>
      </c>
      <c r="C229" s="11" t="s">
        <v>270</v>
      </c>
      <c r="D229" s="13">
        <v>11514.32</v>
      </c>
    </row>
    <row r="230" spans="1:4" x14ac:dyDescent="0.2">
      <c r="A230" s="11">
        <v>833</v>
      </c>
      <c r="B230" s="11">
        <v>1</v>
      </c>
      <c r="C230" s="11" t="s">
        <v>271</v>
      </c>
      <c r="D230" s="13">
        <v>3538199.68</v>
      </c>
    </row>
    <row r="231" spans="1:4" x14ac:dyDescent="0.2">
      <c r="A231" s="11">
        <v>834</v>
      </c>
      <c r="B231" s="11">
        <v>1</v>
      </c>
      <c r="C231" s="11" t="s">
        <v>272</v>
      </c>
      <c r="D231" s="13">
        <v>7266265.4299999997</v>
      </c>
    </row>
    <row r="232" spans="1:4" x14ac:dyDescent="0.2">
      <c r="A232" s="11">
        <v>836</v>
      </c>
      <c r="B232" s="11">
        <v>1</v>
      </c>
      <c r="C232" s="11" t="s">
        <v>273</v>
      </c>
      <c r="D232" s="13">
        <v>47794.23</v>
      </c>
    </row>
    <row r="233" spans="1:4" x14ac:dyDescent="0.2">
      <c r="A233" s="11">
        <v>837</v>
      </c>
      <c r="B233" s="11">
        <v>1</v>
      </c>
      <c r="C233" s="11" t="s">
        <v>274</v>
      </c>
      <c r="D233" s="13">
        <v>148522.41</v>
      </c>
    </row>
    <row r="234" spans="1:4" x14ac:dyDescent="0.2">
      <c r="A234" s="11">
        <v>846</v>
      </c>
      <c r="B234" s="11">
        <v>1</v>
      </c>
      <c r="C234" s="11" t="s">
        <v>275</v>
      </c>
      <c r="D234" s="13">
        <v>220942.19</v>
      </c>
    </row>
    <row r="235" spans="1:4" x14ac:dyDescent="0.2">
      <c r="A235" s="11">
        <v>850</v>
      </c>
      <c r="B235" s="11">
        <v>1</v>
      </c>
      <c r="C235" s="11" t="s">
        <v>276</v>
      </c>
      <c r="D235" s="13">
        <v>46012.54</v>
      </c>
    </row>
    <row r="236" spans="1:4" x14ac:dyDescent="0.2">
      <c r="A236" s="11">
        <v>852</v>
      </c>
      <c r="B236" s="11">
        <v>1</v>
      </c>
      <c r="C236" s="11" t="s">
        <v>277</v>
      </c>
      <c r="D236" s="13">
        <v>330.72</v>
      </c>
    </row>
    <row r="237" spans="1:4" x14ac:dyDescent="0.2">
      <c r="A237" s="11">
        <v>857</v>
      </c>
      <c r="B237" s="11">
        <v>1</v>
      </c>
      <c r="C237" s="11" t="s">
        <v>278</v>
      </c>
      <c r="D237" s="13">
        <v>2406.31</v>
      </c>
    </row>
    <row r="238" spans="1:4" x14ac:dyDescent="0.2">
      <c r="A238" s="11">
        <v>858</v>
      </c>
      <c r="B238" s="11">
        <v>1</v>
      </c>
      <c r="C238" s="11" t="s">
        <v>279</v>
      </c>
      <c r="D238" s="13">
        <v>736607.34</v>
      </c>
    </row>
    <row r="239" spans="1:4" x14ac:dyDescent="0.2">
      <c r="A239" s="11">
        <v>861</v>
      </c>
      <c r="B239" s="11">
        <v>1</v>
      </c>
      <c r="C239" s="11" t="s">
        <v>280</v>
      </c>
      <c r="D239" s="13">
        <v>2465413.15</v>
      </c>
    </row>
    <row r="240" spans="1:4" x14ac:dyDescent="0.2">
      <c r="A240" s="11">
        <v>876</v>
      </c>
      <c r="B240" s="11">
        <v>1</v>
      </c>
      <c r="C240" s="11" t="s">
        <v>282</v>
      </c>
      <c r="D240" s="13">
        <v>407279.09</v>
      </c>
    </row>
    <row r="241" spans="1:4" x14ac:dyDescent="0.2">
      <c r="A241" s="11">
        <v>877</v>
      </c>
      <c r="B241" s="11">
        <v>1</v>
      </c>
      <c r="C241" s="11" t="s">
        <v>283</v>
      </c>
      <c r="D241" s="13">
        <v>2740856.9</v>
      </c>
    </row>
    <row r="242" spans="1:4" x14ac:dyDescent="0.2">
      <c r="A242" s="11">
        <v>879</v>
      </c>
      <c r="B242" s="11">
        <v>1</v>
      </c>
      <c r="C242" s="11" t="s">
        <v>284</v>
      </c>
      <c r="D242" s="13">
        <v>3892.55</v>
      </c>
    </row>
    <row r="243" spans="1:4" x14ac:dyDescent="0.2">
      <c r="A243" s="11">
        <v>881</v>
      </c>
      <c r="B243" s="11">
        <v>1</v>
      </c>
      <c r="C243" s="11" t="s">
        <v>285</v>
      </c>
      <c r="D243" s="13">
        <v>1849.17</v>
      </c>
    </row>
    <row r="244" spans="1:4" x14ac:dyDescent="0.2">
      <c r="A244" s="11">
        <v>882</v>
      </c>
      <c r="B244" s="11">
        <v>1</v>
      </c>
      <c r="C244" s="11" t="s">
        <v>286</v>
      </c>
      <c r="D244" s="13">
        <v>711201.66</v>
      </c>
    </row>
    <row r="245" spans="1:4" x14ac:dyDescent="0.2">
      <c r="A245" s="11">
        <v>883</v>
      </c>
      <c r="B245" s="11">
        <v>1</v>
      </c>
      <c r="C245" s="11" t="s">
        <v>287</v>
      </c>
      <c r="D245" s="13">
        <v>118986.45</v>
      </c>
    </row>
    <row r="246" spans="1:4" x14ac:dyDescent="0.2">
      <c r="A246" s="11">
        <v>891</v>
      </c>
      <c r="B246" s="11">
        <v>1</v>
      </c>
      <c r="C246" s="11" t="s">
        <v>288</v>
      </c>
      <c r="D246" s="13">
        <v>391173.04</v>
      </c>
    </row>
    <row r="247" spans="1:4" x14ac:dyDescent="0.2">
      <c r="A247" s="11">
        <v>911</v>
      </c>
      <c r="B247" s="11">
        <v>1</v>
      </c>
      <c r="C247" s="11" t="s">
        <v>290</v>
      </c>
      <c r="D247" s="13">
        <v>886016.93</v>
      </c>
    </row>
    <row r="248" spans="1:4" x14ac:dyDescent="0.2">
      <c r="A248" s="11">
        <v>912</v>
      </c>
      <c r="B248" s="11">
        <v>1</v>
      </c>
      <c r="C248" s="11" t="s">
        <v>291</v>
      </c>
      <c r="D248" s="13">
        <v>1192740</v>
      </c>
    </row>
    <row r="249" spans="1:4" x14ac:dyDescent="0.2">
      <c r="A249" s="11">
        <v>914</v>
      </c>
      <c r="B249" s="11">
        <v>1</v>
      </c>
      <c r="C249" s="11" t="s">
        <v>292</v>
      </c>
      <c r="D249" s="13">
        <v>983.13</v>
      </c>
    </row>
    <row r="250" spans="1:4" x14ac:dyDescent="0.2">
      <c r="A250" s="11">
        <v>2071</v>
      </c>
      <c r="B250" s="11">
        <v>1</v>
      </c>
      <c r="C250" s="11" t="s">
        <v>317</v>
      </c>
      <c r="D250" s="13">
        <v>45807.07</v>
      </c>
    </row>
    <row r="251" spans="1:4" x14ac:dyDescent="0.2">
      <c r="A251" s="11">
        <v>2125</v>
      </c>
      <c r="B251" s="11">
        <v>1</v>
      </c>
      <c r="C251" s="11" t="s">
        <v>318</v>
      </c>
      <c r="D251" s="13">
        <v>270978.49</v>
      </c>
    </row>
    <row r="252" spans="1:4" x14ac:dyDescent="0.2">
      <c r="A252" s="11">
        <v>2134</v>
      </c>
      <c r="B252" s="11">
        <v>1</v>
      </c>
      <c r="C252" s="11" t="s">
        <v>319</v>
      </c>
      <c r="D252" s="13">
        <v>2772.29</v>
      </c>
    </row>
    <row r="253" spans="1:4" x14ac:dyDescent="0.2">
      <c r="A253" s="11">
        <v>2135</v>
      </c>
      <c r="B253" s="11">
        <v>1</v>
      </c>
      <c r="C253" s="11" t="s">
        <v>320</v>
      </c>
      <c r="D253" s="13">
        <v>3526.69</v>
      </c>
    </row>
    <row r="254" spans="1:4" x14ac:dyDescent="0.2">
      <c r="A254" s="11">
        <v>2137</v>
      </c>
      <c r="B254" s="11">
        <v>1</v>
      </c>
      <c r="C254" s="11" t="s">
        <v>321</v>
      </c>
      <c r="D254" s="13">
        <v>195751.25</v>
      </c>
    </row>
    <row r="255" spans="1:4" x14ac:dyDescent="0.2">
      <c r="A255" s="11">
        <v>2142</v>
      </c>
      <c r="B255" s="11">
        <v>1</v>
      </c>
      <c r="C255" s="11" t="s">
        <v>322</v>
      </c>
      <c r="D255" s="13">
        <v>302968.05</v>
      </c>
    </row>
    <row r="256" spans="1:4" x14ac:dyDescent="0.2">
      <c r="A256" s="11">
        <v>2143</v>
      </c>
      <c r="B256" s="11">
        <v>1</v>
      </c>
      <c r="C256" s="11" t="s">
        <v>323</v>
      </c>
      <c r="D256" s="13">
        <v>2782.18</v>
      </c>
    </row>
    <row r="257" spans="1:4" x14ac:dyDescent="0.2">
      <c r="A257" s="11">
        <v>2144</v>
      </c>
      <c r="B257" s="11">
        <v>1</v>
      </c>
      <c r="C257" s="11" t="s">
        <v>324</v>
      </c>
      <c r="D257" s="13">
        <v>448856.14</v>
      </c>
    </row>
    <row r="258" spans="1:4" x14ac:dyDescent="0.2">
      <c r="A258" s="11">
        <v>2154</v>
      </c>
      <c r="B258" s="11">
        <v>1</v>
      </c>
      <c r="C258" s="11" t="s">
        <v>325</v>
      </c>
      <c r="D258" s="13">
        <v>4499.09</v>
      </c>
    </row>
    <row r="259" spans="1:4" x14ac:dyDescent="0.2">
      <c r="A259" s="11">
        <v>2155</v>
      </c>
      <c r="B259" s="11">
        <v>1</v>
      </c>
      <c r="C259" s="11" t="s">
        <v>326</v>
      </c>
      <c r="D259" s="13">
        <v>136028.74</v>
      </c>
    </row>
    <row r="260" spans="1:4" x14ac:dyDescent="0.2">
      <c r="A260" s="11">
        <v>2159</v>
      </c>
      <c r="B260" s="11">
        <v>1</v>
      </c>
      <c r="C260" s="11" t="s">
        <v>327</v>
      </c>
      <c r="D260" s="13">
        <v>54901.3</v>
      </c>
    </row>
    <row r="261" spans="1:4" x14ac:dyDescent="0.2">
      <c r="A261" s="11">
        <v>2164</v>
      </c>
      <c r="B261" s="11">
        <v>1</v>
      </c>
      <c r="C261" s="11" t="s">
        <v>328</v>
      </c>
      <c r="D261" s="13">
        <v>1400405.83</v>
      </c>
    </row>
    <row r="262" spans="1:4" x14ac:dyDescent="0.2">
      <c r="A262" s="11">
        <v>2165</v>
      </c>
      <c r="B262" s="11">
        <v>1</v>
      </c>
      <c r="C262" s="11" t="s">
        <v>329</v>
      </c>
      <c r="D262" s="13">
        <v>494950.48</v>
      </c>
    </row>
    <row r="263" spans="1:4" x14ac:dyDescent="0.2">
      <c r="A263" s="11">
        <v>2167</v>
      </c>
      <c r="B263" s="11">
        <v>1</v>
      </c>
      <c r="C263" s="11" t="s">
        <v>330</v>
      </c>
      <c r="D263" s="13">
        <v>1308.93</v>
      </c>
    </row>
    <row r="264" spans="1:4" x14ac:dyDescent="0.2">
      <c r="A264" s="11">
        <v>2169</v>
      </c>
      <c r="B264" s="11">
        <v>1</v>
      </c>
      <c r="C264" s="11" t="s">
        <v>331</v>
      </c>
      <c r="D264" s="13">
        <v>7072.29</v>
      </c>
    </row>
    <row r="265" spans="1:4" x14ac:dyDescent="0.2">
      <c r="A265" s="11">
        <v>2170</v>
      </c>
      <c r="B265" s="11">
        <v>1</v>
      </c>
      <c r="C265" s="11" t="s">
        <v>332</v>
      </c>
      <c r="D265" s="13">
        <v>1277742.07</v>
      </c>
    </row>
    <row r="266" spans="1:4" x14ac:dyDescent="0.2">
      <c r="A266" s="11">
        <v>2171</v>
      </c>
      <c r="B266" s="11">
        <v>1</v>
      </c>
      <c r="C266" s="11" t="s">
        <v>333</v>
      </c>
      <c r="D266" s="13">
        <v>205148.62</v>
      </c>
    </row>
    <row r="267" spans="1:4" x14ac:dyDescent="0.2">
      <c r="A267" s="11">
        <v>2172</v>
      </c>
      <c r="B267" s="11">
        <v>1</v>
      </c>
      <c r="C267" s="11" t="s">
        <v>334</v>
      </c>
      <c r="D267" s="13">
        <v>154219.45000000001</v>
      </c>
    </row>
    <row r="268" spans="1:4" x14ac:dyDescent="0.2">
      <c r="A268" s="11">
        <v>2174</v>
      </c>
      <c r="B268" s="11">
        <v>1</v>
      </c>
      <c r="C268" s="11" t="s">
        <v>335</v>
      </c>
      <c r="D268" s="13">
        <v>4974.72</v>
      </c>
    </row>
    <row r="269" spans="1:4" x14ac:dyDescent="0.2">
      <c r="A269" s="11">
        <v>2176</v>
      </c>
      <c r="B269" s="11">
        <v>1</v>
      </c>
      <c r="C269" s="11" t="s">
        <v>336</v>
      </c>
      <c r="D269" s="13">
        <v>1513.02</v>
      </c>
    </row>
    <row r="270" spans="1:4" x14ac:dyDescent="0.2">
      <c r="A270" s="11">
        <v>2180</v>
      </c>
      <c r="B270" s="11">
        <v>1</v>
      </c>
      <c r="C270" s="11" t="s">
        <v>337</v>
      </c>
      <c r="D270" s="13">
        <v>472294.03</v>
      </c>
    </row>
    <row r="271" spans="1:4" x14ac:dyDescent="0.2">
      <c r="A271" s="11">
        <v>2184</v>
      </c>
      <c r="B271" s="11">
        <v>1</v>
      </c>
      <c r="C271" s="11" t="s">
        <v>338</v>
      </c>
      <c r="D271" s="13">
        <v>120828.14</v>
      </c>
    </row>
    <row r="272" spans="1:4" x14ac:dyDescent="0.2">
      <c r="A272" s="11">
        <v>2190</v>
      </c>
      <c r="B272" s="11">
        <v>1</v>
      </c>
      <c r="C272" s="11" t="s">
        <v>339</v>
      </c>
      <c r="D272" s="13">
        <v>245063.44</v>
      </c>
    </row>
    <row r="273" spans="1:4" x14ac:dyDescent="0.2">
      <c r="A273" s="11">
        <v>2198</v>
      </c>
      <c r="B273" s="11">
        <v>1</v>
      </c>
      <c r="C273" s="11" t="s">
        <v>340</v>
      </c>
      <c r="D273" s="13">
        <v>362643.62</v>
      </c>
    </row>
    <row r="274" spans="1:4" x14ac:dyDescent="0.2">
      <c r="A274" s="11">
        <v>2215</v>
      </c>
      <c r="B274" s="11">
        <v>1</v>
      </c>
      <c r="C274" s="11" t="s">
        <v>341</v>
      </c>
      <c r="D274" s="13">
        <v>264098.5</v>
      </c>
    </row>
    <row r="275" spans="1:4" x14ac:dyDescent="0.2">
      <c r="A275" s="11">
        <v>2310</v>
      </c>
      <c r="B275" s="11">
        <v>1</v>
      </c>
      <c r="C275" s="11" t="s">
        <v>342</v>
      </c>
      <c r="D275" s="13">
        <v>233621.59</v>
      </c>
    </row>
    <row r="276" spans="1:4" x14ac:dyDescent="0.2">
      <c r="A276" s="11">
        <v>2311</v>
      </c>
      <c r="B276" s="11">
        <v>1</v>
      </c>
      <c r="C276" s="11" t="s">
        <v>343</v>
      </c>
      <c r="D276" s="13">
        <v>295247.64</v>
      </c>
    </row>
    <row r="277" spans="1:4" x14ac:dyDescent="0.2">
      <c r="A277" s="11">
        <v>2342</v>
      </c>
      <c r="B277" s="11">
        <v>1</v>
      </c>
      <c r="C277" s="11" t="s">
        <v>344</v>
      </c>
      <c r="D277" s="13">
        <v>47969.55</v>
      </c>
    </row>
    <row r="278" spans="1:4" x14ac:dyDescent="0.2">
      <c r="A278" s="11">
        <v>2364</v>
      </c>
      <c r="B278" s="11">
        <v>1</v>
      </c>
      <c r="C278" s="11" t="s">
        <v>563</v>
      </c>
      <c r="D278" s="13">
        <v>17993.34</v>
      </c>
    </row>
    <row r="279" spans="1:4" x14ac:dyDescent="0.2">
      <c r="A279" s="11">
        <v>2365</v>
      </c>
      <c r="B279" s="11">
        <v>1</v>
      </c>
      <c r="C279" s="11" t="s">
        <v>345</v>
      </c>
      <c r="D279" s="13">
        <v>222516.5</v>
      </c>
    </row>
    <row r="280" spans="1:4" x14ac:dyDescent="0.2">
      <c r="A280" s="11">
        <v>2397</v>
      </c>
      <c r="B280" s="11">
        <v>1</v>
      </c>
      <c r="C280" s="11" t="s">
        <v>346</v>
      </c>
      <c r="D280" s="13">
        <v>336915.76</v>
      </c>
    </row>
    <row r="281" spans="1:4" x14ac:dyDescent="0.2">
      <c r="A281" s="11">
        <v>2527</v>
      </c>
      <c r="B281" s="11">
        <v>1</v>
      </c>
      <c r="C281" s="11" t="s">
        <v>347</v>
      </c>
      <c r="D281" s="13">
        <v>844.53</v>
      </c>
    </row>
    <row r="282" spans="1:4" x14ac:dyDescent="0.2">
      <c r="A282" s="11">
        <v>2534</v>
      </c>
      <c r="B282" s="11">
        <v>1</v>
      </c>
      <c r="C282" s="11" t="s">
        <v>348</v>
      </c>
      <c r="D282" s="13">
        <v>549237.04</v>
      </c>
    </row>
    <row r="283" spans="1:4" x14ac:dyDescent="0.2">
      <c r="A283" s="11">
        <v>2536</v>
      </c>
      <c r="B283" s="11">
        <v>1</v>
      </c>
      <c r="C283" s="11" t="s">
        <v>349</v>
      </c>
      <c r="D283" s="13">
        <v>73879.47</v>
      </c>
    </row>
    <row r="284" spans="1:4" x14ac:dyDescent="0.2">
      <c r="A284" s="11">
        <v>2580</v>
      </c>
      <c r="B284" s="11">
        <v>1</v>
      </c>
      <c r="C284" s="11" t="s">
        <v>350</v>
      </c>
      <c r="D284" s="13">
        <v>791535.68</v>
      </c>
    </row>
    <row r="285" spans="1:4" x14ac:dyDescent="0.2">
      <c r="A285" s="11">
        <v>2609</v>
      </c>
      <c r="B285" s="11">
        <v>1</v>
      </c>
      <c r="C285" s="11" t="s">
        <v>351</v>
      </c>
      <c r="D285" s="13">
        <v>43637.34</v>
      </c>
    </row>
    <row r="286" spans="1:4" x14ac:dyDescent="0.2">
      <c r="A286" s="11">
        <v>2683</v>
      </c>
      <c r="B286" s="11">
        <v>1</v>
      </c>
      <c r="C286" s="11" t="s">
        <v>352</v>
      </c>
      <c r="D286" s="13">
        <v>99263.53</v>
      </c>
    </row>
    <row r="287" spans="1:4" x14ac:dyDescent="0.2">
      <c r="A287" s="11">
        <v>2687</v>
      </c>
      <c r="B287" s="11">
        <v>1</v>
      </c>
      <c r="C287" s="11" t="s">
        <v>353</v>
      </c>
      <c r="D287" s="13">
        <v>47452.46</v>
      </c>
    </row>
    <row r="288" spans="1:4" x14ac:dyDescent="0.2">
      <c r="A288" s="11">
        <v>2689</v>
      </c>
      <c r="B288" s="11">
        <v>1</v>
      </c>
      <c r="C288" s="11" t="s">
        <v>354</v>
      </c>
      <c r="D288" s="13">
        <v>228577.7</v>
      </c>
    </row>
    <row r="289" spans="1:4" x14ac:dyDescent="0.2">
      <c r="A289" s="11">
        <v>2711</v>
      </c>
      <c r="B289" s="11">
        <v>1</v>
      </c>
      <c r="C289" s="11" t="s">
        <v>355</v>
      </c>
      <c r="D289" s="13">
        <v>5582.85</v>
      </c>
    </row>
    <row r="290" spans="1:4" x14ac:dyDescent="0.2">
      <c r="A290" s="11">
        <v>2753</v>
      </c>
      <c r="B290" s="11">
        <v>1</v>
      </c>
      <c r="C290" s="11" t="s">
        <v>356</v>
      </c>
      <c r="D290" s="13">
        <v>518972.28</v>
      </c>
    </row>
    <row r="291" spans="1:4" x14ac:dyDescent="0.2">
      <c r="A291" s="11">
        <v>2754</v>
      </c>
      <c r="B291" s="11">
        <v>1</v>
      </c>
      <c r="C291" s="11" t="s">
        <v>357</v>
      </c>
      <c r="D291" s="13">
        <v>1001.85</v>
      </c>
    </row>
    <row r="292" spans="1:4" x14ac:dyDescent="0.2">
      <c r="A292" s="11">
        <v>2759</v>
      </c>
      <c r="B292" s="11">
        <v>1</v>
      </c>
      <c r="C292" s="11" t="s">
        <v>358</v>
      </c>
      <c r="D292" s="13">
        <v>1326.99</v>
      </c>
    </row>
    <row r="293" spans="1:4" x14ac:dyDescent="0.2">
      <c r="A293" s="11">
        <v>2805</v>
      </c>
      <c r="B293" s="11">
        <v>1</v>
      </c>
      <c r="C293" s="11" t="s">
        <v>359</v>
      </c>
      <c r="D293" s="13">
        <v>2917.67</v>
      </c>
    </row>
    <row r="294" spans="1:4" x14ac:dyDescent="0.2">
      <c r="A294" s="11">
        <v>2835</v>
      </c>
      <c r="B294" s="11">
        <v>1</v>
      </c>
      <c r="C294" s="11" t="s">
        <v>360</v>
      </c>
      <c r="D294" s="13">
        <v>140042.29</v>
      </c>
    </row>
    <row r="295" spans="1:4" x14ac:dyDescent="0.2">
      <c r="A295" s="11">
        <v>2856</v>
      </c>
      <c r="B295" s="11">
        <v>1</v>
      </c>
      <c r="C295" s="11" t="s">
        <v>362</v>
      </c>
      <c r="D295" s="13">
        <v>93699.8</v>
      </c>
    </row>
    <row r="296" spans="1:4" x14ac:dyDescent="0.2">
      <c r="A296" s="11">
        <v>2859</v>
      </c>
      <c r="B296" s="11">
        <v>1</v>
      </c>
      <c r="C296" s="11" t="s">
        <v>363</v>
      </c>
      <c r="D296" s="13">
        <v>295028</v>
      </c>
    </row>
    <row r="297" spans="1:4" x14ac:dyDescent="0.2">
      <c r="A297" s="11">
        <v>2860</v>
      </c>
      <c r="B297" s="11">
        <v>1</v>
      </c>
      <c r="C297" s="11" t="s">
        <v>364</v>
      </c>
      <c r="D297" s="13">
        <v>303277.40000000002</v>
      </c>
    </row>
    <row r="298" spans="1:4" x14ac:dyDescent="0.2">
      <c r="A298" s="11">
        <v>2884</v>
      </c>
      <c r="B298" s="11">
        <v>1</v>
      </c>
      <c r="C298" s="11" t="s">
        <v>365</v>
      </c>
      <c r="D298" s="13">
        <v>36320.36</v>
      </c>
    </row>
    <row r="299" spans="1:4" x14ac:dyDescent="0.2">
      <c r="A299" s="11">
        <v>2886</v>
      </c>
      <c r="B299" s="11">
        <v>1</v>
      </c>
      <c r="C299" s="11" t="s">
        <v>366</v>
      </c>
      <c r="D299" s="13">
        <v>394082.45</v>
      </c>
    </row>
    <row r="300" spans="1:4" x14ac:dyDescent="0.2">
      <c r="A300" s="11">
        <v>2888</v>
      </c>
      <c r="B300" s="11">
        <v>1</v>
      </c>
      <c r="C300" s="11" t="s">
        <v>367</v>
      </c>
      <c r="D300" s="13">
        <v>140326.22</v>
      </c>
    </row>
    <row r="301" spans="1:4" x14ac:dyDescent="0.2">
      <c r="A301" s="11">
        <v>2890</v>
      </c>
      <c r="B301" s="11">
        <v>1</v>
      </c>
      <c r="C301" s="11" t="s">
        <v>369</v>
      </c>
      <c r="D301" s="13">
        <v>1967</v>
      </c>
    </row>
    <row r="302" spans="1:4" x14ac:dyDescent="0.2">
      <c r="A302" s="11">
        <v>2897</v>
      </c>
      <c r="B302" s="11">
        <v>1</v>
      </c>
      <c r="C302" s="11" t="s">
        <v>370</v>
      </c>
      <c r="D302" s="13">
        <v>215503.12</v>
      </c>
    </row>
    <row r="303" spans="1:4" x14ac:dyDescent="0.2">
      <c r="A303" s="11">
        <v>2898</v>
      </c>
      <c r="B303" s="11">
        <v>1</v>
      </c>
      <c r="C303" s="11" t="s">
        <v>371</v>
      </c>
      <c r="D303" s="13">
        <v>420110.51</v>
      </c>
    </row>
    <row r="304" spans="1:4" x14ac:dyDescent="0.2">
      <c r="A304" s="11">
        <v>2902</v>
      </c>
      <c r="B304" s="11">
        <v>1</v>
      </c>
      <c r="C304" s="11" t="s">
        <v>372</v>
      </c>
      <c r="D304" s="13">
        <v>1651.77</v>
      </c>
    </row>
    <row r="305" spans="1:4" x14ac:dyDescent="0.2">
      <c r="A305" s="11">
        <v>2903</v>
      </c>
      <c r="B305" s="11">
        <v>1</v>
      </c>
      <c r="C305" s="11" t="s">
        <v>373</v>
      </c>
      <c r="D305" s="13">
        <v>2195.52</v>
      </c>
    </row>
    <row r="306" spans="1:4" x14ac:dyDescent="0.2">
      <c r="A306" s="11">
        <v>2904</v>
      </c>
      <c r="B306" s="11">
        <v>1</v>
      </c>
      <c r="C306" s="11" t="s">
        <v>374</v>
      </c>
      <c r="D306" s="13">
        <v>3232.52</v>
      </c>
    </row>
    <row r="307" spans="1:4" x14ac:dyDescent="0.2">
      <c r="D307" s="13"/>
    </row>
    <row r="308" spans="1:4" x14ac:dyDescent="0.2">
      <c r="A308" s="11">
        <v>4001</v>
      </c>
      <c r="B308" s="11">
        <v>7</v>
      </c>
      <c r="C308" s="11" t="s">
        <v>375</v>
      </c>
      <c r="D308" s="13">
        <v>3739.48</v>
      </c>
    </row>
    <row r="309" spans="1:4" x14ac:dyDescent="0.2">
      <c r="A309" s="11">
        <v>4004</v>
      </c>
      <c r="B309" s="11">
        <v>7</v>
      </c>
      <c r="C309" s="11" t="s">
        <v>376</v>
      </c>
      <c r="D309" s="13">
        <v>12828.46</v>
      </c>
    </row>
    <row r="310" spans="1:4" x14ac:dyDescent="0.2">
      <c r="A310" s="11">
        <v>4005</v>
      </c>
      <c r="B310" s="11">
        <v>7</v>
      </c>
      <c r="C310" s="11" t="s">
        <v>377</v>
      </c>
      <c r="D310" s="13">
        <v>58515.41</v>
      </c>
    </row>
    <row r="311" spans="1:4" x14ac:dyDescent="0.2">
      <c r="A311" s="11">
        <v>4006</v>
      </c>
      <c r="B311" s="11">
        <v>7</v>
      </c>
      <c r="C311" s="11" t="s">
        <v>378</v>
      </c>
      <c r="D311" s="13">
        <v>51590.45</v>
      </c>
    </row>
    <row r="312" spans="1:4" x14ac:dyDescent="0.2">
      <c r="A312" s="11">
        <v>4007</v>
      </c>
      <c r="B312" s="11">
        <v>7</v>
      </c>
      <c r="C312" s="11" t="s">
        <v>380</v>
      </c>
      <c r="D312" s="13">
        <v>15062.21</v>
      </c>
    </row>
    <row r="313" spans="1:4" x14ac:dyDescent="0.2">
      <c r="A313" s="11">
        <v>4008</v>
      </c>
      <c r="B313" s="11">
        <v>7</v>
      </c>
      <c r="C313" s="11" t="s">
        <v>381</v>
      </c>
      <c r="D313" s="13">
        <v>4412.09</v>
      </c>
    </row>
    <row r="314" spans="1:4" x14ac:dyDescent="0.2">
      <c r="A314" s="11">
        <v>4011</v>
      </c>
      <c r="B314" s="11">
        <v>7</v>
      </c>
      <c r="C314" s="11" t="s">
        <v>382</v>
      </c>
      <c r="D314" s="13">
        <v>52126.16</v>
      </c>
    </row>
    <row r="315" spans="1:4" x14ac:dyDescent="0.2">
      <c r="A315" s="11">
        <v>4015</v>
      </c>
      <c r="B315" s="11">
        <v>7</v>
      </c>
      <c r="C315" s="11" t="s">
        <v>383</v>
      </c>
      <c r="D315" s="13">
        <v>466217.02</v>
      </c>
    </row>
    <row r="316" spans="1:4" x14ac:dyDescent="0.2">
      <c r="A316" s="11">
        <v>4016</v>
      </c>
      <c r="B316" s="11">
        <v>7</v>
      </c>
      <c r="C316" s="11" t="s">
        <v>384</v>
      </c>
      <c r="D316" s="13">
        <v>34556.120000000003</v>
      </c>
    </row>
    <row r="317" spans="1:4" x14ac:dyDescent="0.2">
      <c r="A317" s="11">
        <v>4017</v>
      </c>
      <c r="B317" s="11">
        <v>7</v>
      </c>
      <c r="C317" s="11" t="s">
        <v>385</v>
      </c>
      <c r="D317" s="13">
        <v>1144448.6200000001</v>
      </c>
    </row>
    <row r="318" spans="1:4" x14ac:dyDescent="0.2">
      <c r="A318" s="11">
        <v>4018</v>
      </c>
      <c r="B318" s="11">
        <v>7</v>
      </c>
      <c r="C318" s="11" t="s">
        <v>386</v>
      </c>
      <c r="D318" s="13">
        <v>132118.20000000001</v>
      </c>
    </row>
    <row r="319" spans="1:4" x14ac:dyDescent="0.2">
      <c r="A319" s="11">
        <v>4020</v>
      </c>
      <c r="B319" s="11">
        <v>7</v>
      </c>
      <c r="C319" s="11" t="s">
        <v>387</v>
      </c>
      <c r="D319" s="13">
        <v>1149918.68</v>
      </c>
    </row>
    <row r="320" spans="1:4" x14ac:dyDescent="0.2">
      <c r="A320" s="11">
        <v>4026</v>
      </c>
      <c r="B320" s="11">
        <v>7</v>
      </c>
      <c r="C320" s="11" t="s">
        <v>388</v>
      </c>
      <c r="D320" s="13">
        <v>80426.45</v>
      </c>
    </row>
    <row r="321" spans="1:4" x14ac:dyDescent="0.2">
      <c r="A321" s="11">
        <v>4027</v>
      </c>
      <c r="B321" s="11">
        <v>7</v>
      </c>
      <c r="C321" s="11" t="s">
        <v>389</v>
      </c>
      <c r="D321" s="13">
        <v>209763.33</v>
      </c>
    </row>
    <row r="322" spans="1:4" x14ac:dyDescent="0.2">
      <c r="A322" s="11">
        <v>4029</v>
      </c>
      <c r="B322" s="11">
        <v>7</v>
      </c>
      <c r="C322" s="11" t="s">
        <v>390</v>
      </c>
      <c r="D322" s="13">
        <v>26751.57</v>
      </c>
    </row>
    <row r="323" spans="1:4" x14ac:dyDescent="0.2">
      <c r="A323" s="11">
        <v>4030</v>
      </c>
      <c r="B323" s="11">
        <v>7</v>
      </c>
      <c r="C323" s="11" t="s">
        <v>391</v>
      </c>
      <c r="D323" s="13">
        <v>60419.54</v>
      </c>
    </row>
    <row r="324" spans="1:4" x14ac:dyDescent="0.2">
      <c r="A324" s="11">
        <v>4031</v>
      </c>
      <c r="B324" s="11">
        <v>7</v>
      </c>
      <c r="C324" s="11" t="s">
        <v>392</v>
      </c>
      <c r="D324" s="13">
        <v>4498.75</v>
      </c>
    </row>
    <row r="325" spans="1:4" x14ac:dyDescent="0.2">
      <c r="A325" s="11">
        <v>4032</v>
      </c>
      <c r="B325" s="11">
        <v>7</v>
      </c>
      <c r="C325" s="11" t="s">
        <v>393</v>
      </c>
      <c r="D325" s="13">
        <v>24817.86</v>
      </c>
    </row>
    <row r="326" spans="1:4" x14ac:dyDescent="0.2">
      <c r="A326" s="11">
        <v>4035</v>
      </c>
      <c r="B326" s="11">
        <v>7</v>
      </c>
      <c r="C326" s="11" t="s">
        <v>394</v>
      </c>
      <c r="D326" s="13">
        <v>15.25</v>
      </c>
    </row>
    <row r="327" spans="1:4" x14ac:dyDescent="0.2">
      <c r="A327" s="11">
        <v>4036</v>
      </c>
      <c r="B327" s="11">
        <v>7</v>
      </c>
      <c r="C327" s="11" t="s">
        <v>395</v>
      </c>
      <c r="D327" s="13">
        <v>45831.48</v>
      </c>
    </row>
    <row r="328" spans="1:4" x14ac:dyDescent="0.2">
      <c r="A328" s="11">
        <v>4038</v>
      </c>
      <c r="B328" s="11">
        <v>7</v>
      </c>
      <c r="C328" s="11" t="s">
        <v>396</v>
      </c>
      <c r="D328" s="13">
        <v>13966.03</v>
      </c>
    </row>
    <row r="329" spans="1:4" x14ac:dyDescent="0.2">
      <c r="A329" s="11">
        <v>4039</v>
      </c>
      <c r="B329" s="11">
        <v>7</v>
      </c>
      <c r="C329" s="11" t="s">
        <v>397</v>
      </c>
      <c r="D329" s="13">
        <v>383161.22</v>
      </c>
    </row>
    <row r="330" spans="1:4" x14ac:dyDescent="0.2">
      <c r="A330" s="11">
        <v>4042</v>
      </c>
      <c r="B330" s="11">
        <v>7</v>
      </c>
      <c r="C330" s="11" t="s">
        <v>398</v>
      </c>
      <c r="D330" s="13">
        <v>16378.98</v>
      </c>
    </row>
    <row r="331" spans="1:4" x14ac:dyDescent="0.2">
      <c r="A331" s="11">
        <v>4043</v>
      </c>
      <c r="B331" s="11">
        <v>7</v>
      </c>
      <c r="C331" s="11" t="s">
        <v>399</v>
      </c>
      <c r="D331" s="13">
        <v>192741.62</v>
      </c>
    </row>
    <row r="332" spans="1:4" x14ac:dyDescent="0.2">
      <c r="A332" s="11">
        <v>4045</v>
      </c>
      <c r="B332" s="11">
        <v>7</v>
      </c>
      <c r="C332" s="11" t="s">
        <v>400</v>
      </c>
      <c r="D332" s="13">
        <v>17066.41</v>
      </c>
    </row>
    <row r="333" spans="1:4" x14ac:dyDescent="0.2">
      <c r="A333" s="11">
        <v>4046</v>
      </c>
      <c r="B333" s="11">
        <v>7</v>
      </c>
      <c r="C333" s="11" t="s">
        <v>401</v>
      </c>
      <c r="D333" s="13">
        <v>60382.9</v>
      </c>
    </row>
    <row r="334" spans="1:4" x14ac:dyDescent="0.2">
      <c r="A334" s="11">
        <v>4050</v>
      </c>
      <c r="B334" s="11">
        <v>7</v>
      </c>
      <c r="C334" s="11" t="s">
        <v>402</v>
      </c>
      <c r="D334" s="13">
        <v>4125</v>
      </c>
    </row>
    <row r="335" spans="1:4" x14ac:dyDescent="0.2">
      <c r="A335" s="11">
        <v>4052</v>
      </c>
      <c r="B335" s="11">
        <v>7</v>
      </c>
      <c r="C335" s="11" t="s">
        <v>403</v>
      </c>
      <c r="D335" s="13">
        <v>79996.05</v>
      </c>
    </row>
    <row r="336" spans="1:4" x14ac:dyDescent="0.2">
      <c r="A336" s="11">
        <v>4055</v>
      </c>
      <c r="B336" s="11">
        <v>7</v>
      </c>
      <c r="C336" s="11" t="s">
        <v>404</v>
      </c>
      <c r="D336" s="13">
        <v>37565.56</v>
      </c>
    </row>
    <row r="337" spans="1:4" x14ac:dyDescent="0.2">
      <c r="A337" s="11">
        <v>4056</v>
      </c>
      <c r="B337" s="11">
        <v>7</v>
      </c>
      <c r="C337" s="11" t="s">
        <v>405</v>
      </c>
      <c r="D337" s="13">
        <v>8538.77</v>
      </c>
    </row>
    <row r="338" spans="1:4" x14ac:dyDescent="0.2">
      <c r="A338" s="11">
        <v>4057</v>
      </c>
      <c r="B338" s="11">
        <v>7</v>
      </c>
      <c r="C338" s="11" t="s">
        <v>406</v>
      </c>
      <c r="D338" s="13">
        <v>26993.55</v>
      </c>
    </row>
    <row r="339" spans="1:4" x14ac:dyDescent="0.2">
      <c r="A339" s="11">
        <v>4058</v>
      </c>
      <c r="B339" s="11">
        <v>7</v>
      </c>
      <c r="C339" s="11" t="s">
        <v>407</v>
      </c>
      <c r="D339" s="13">
        <v>737.96</v>
      </c>
    </row>
    <row r="340" spans="1:4" x14ac:dyDescent="0.2">
      <c r="A340" s="11">
        <v>4059</v>
      </c>
      <c r="B340" s="11">
        <v>7</v>
      </c>
      <c r="C340" s="11" t="s">
        <v>408</v>
      </c>
      <c r="D340" s="13">
        <v>22652.45</v>
      </c>
    </row>
    <row r="341" spans="1:4" x14ac:dyDescent="0.2">
      <c r="A341" s="11">
        <v>4061</v>
      </c>
      <c r="B341" s="11">
        <v>7</v>
      </c>
      <c r="C341" s="11" t="s">
        <v>409</v>
      </c>
      <c r="D341" s="13">
        <v>9614.73</v>
      </c>
    </row>
    <row r="342" spans="1:4" x14ac:dyDescent="0.2">
      <c r="A342" s="11">
        <v>4064</v>
      </c>
      <c r="B342" s="11">
        <v>7</v>
      </c>
      <c r="C342" s="11" t="s">
        <v>410</v>
      </c>
      <c r="D342" s="13">
        <v>43740.12</v>
      </c>
    </row>
    <row r="343" spans="1:4" x14ac:dyDescent="0.2">
      <c r="A343" s="11">
        <v>4067</v>
      </c>
      <c r="B343" s="11">
        <v>7</v>
      </c>
      <c r="C343" s="11" t="s">
        <v>411</v>
      </c>
      <c r="D343" s="13">
        <v>336261.43</v>
      </c>
    </row>
    <row r="344" spans="1:4" x14ac:dyDescent="0.2">
      <c r="A344" s="11">
        <v>4068</v>
      </c>
      <c r="B344" s="11">
        <v>7</v>
      </c>
      <c r="C344" s="11" t="s">
        <v>412</v>
      </c>
      <c r="D344" s="13">
        <v>210619.92</v>
      </c>
    </row>
    <row r="345" spans="1:4" x14ac:dyDescent="0.2">
      <c r="A345" s="11">
        <v>4070</v>
      </c>
      <c r="B345" s="11">
        <v>7</v>
      </c>
      <c r="C345" s="11" t="s">
        <v>413</v>
      </c>
      <c r="D345" s="13">
        <v>38365.18</v>
      </c>
    </row>
    <row r="346" spans="1:4" x14ac:dyDescent="0.2">
      <c r="A346" s="11">
        <v>4073</v>
      </c>
      <c r="B346" s="11">
        <v>7</v>
      </c>
      <c r="C346" s="11" t="s">
        <v>414</v>
      </c>
      <c r="D346" s="13">
        <v>26282.45</v>
      </c>
    </row>
    <row r="347" spans="1:4" x14ac:dyDescent="0.2">
      <c r="A347" s="11">
        <v>4074</v>
      </c>
      <c r="B347" s="11">
        <v>7</v>
      </c>
      <c r="C347" s="11" t="s">
        <v>415</v>
      </c>
      <c r="D347" s="13">
        <v>9357.9599999999991</v>
      </c>
    </row>
    <row r="348" spans="1:4" x14ac:dyDescent="0.2">
      <c r="A348" s="11">
        <v>4075</v>
      </c>
      <c r="B348" s="11">
        <v>7</v>
      </c>
      <c r="C348" s="11" t="s">
        <v>416</v>
      </c>
      <c r="D348" s="13">
        <v>31649.64</v>
      </c>
    </row>
    <row r="349" spans="1:4" x14ac:dyDescent="0.2">
      <c r="A349" s="11">
        <v>4077</v>
      </c>
      <c r="B349" s="11">
        <v>7</v>
      </c>
      <c r="C349" s="11" t="s">
        <v>417</v>
      </c>
      <c r="D349" s="13">
        <v>542870.81999999995</v>
      </c>
    </row>
    <row r="350" spans="1:4" x14ac:dyDescent="0.2">
      <c r="A350" s="11">
        <v>4078</v>
      </c>
      <c r="B350" s="11">
        <v>7</v>
      </c>
      <c r="C350" s="11" t="s">
        <v>418</v>
      </c>
      <c r="D350" s="13">
        <v>242251.67</v>
      </c>
    </row>
    <row r="351" spans="1:4" x14ac:dyDescent="0.2">
      <c r="A351" s="11">
        <v>4079</v>
      </c>
      <c r="B351" s="11">
        <v>7</v>
      </c>
      <c r="C351" s="11" t="s">
        <v>419</v>
      </c>
      <c r="D351" s="13">
        <v>47674.32</v>
      </c>
    </row>
    <row r="352" spans="1:4" x14ac:dyDescent="0.2">
      <c r="A352" s="11">
        <v>4080</v>
      </c>
      <c r="B352" s="11">
        <v>7</v>
      </c>
      <c r="C352" s="11" t="s">
        <v>420</v>
      </c>
      <c r="D352" s="13">
        <v>296.23</v>
      </c>
    </row>
    <row r="353" spans="1:4" x14ac:dyDescent="0.2">
      <c r="A353" s="11">
        <v>4081</v>
      </c>
      <c r="B353" s="11">
        <v>7</v>
      </c>
      <c r="C353" s="11" t="s">
        <v>421</v>
      </c>
      <c r="D353" s="13">
        <v>22026.720000000001</v>
      </c>
    </row>
    <row r="354" spans="1:4" x14ac:dyDescent="0.2">
      <c r="A354" s="11">
        <v>4082</v>
      </c>
      <c r="B354" s="11">
        <v>7</v>
      </c>
      <c r="C354" s="11" t="s">
        <v>422</v>
      </c>
      <c r="D354" s="13">
        <v>619971.18000000005</v>
      </c>
    </row>
    <row r="355" spans="1:4" x14ac:dyDescent="0.2">
      <c r="A355" s="11">
        <v>4083</v>
      </c>
      <c r="B355" s="11">
        <v>7</v>
      </c>
      <c r="C355" s="11" t="s">
        <v>423</v>
      </c>
      <c r="D355" s="13">
        <v>688.32</v>
      </c>
    </row>
    <row r="356" spans="1:4" x14ac:dyDescent="0.2">
      <c r="A356" s="11">
        <v>4084</v>
      </c>
      <c r="B356" s="11">
        <v>7</v>
      </c>
      <c r="C356" s="11" t="s">
        <v>424</v>
      </c>
      <c r="D356" s="13">
        <v>53357.58</v>
      </c>
    </row>
    <row r="357" spans="1:4" x14ac:dyDescent="0.2">
      <c r="A357" s="11">
        <v>4085</v>
      </c>
      <c r="B357" s="11">
        <v>7</v>
      </c>
      <c r="C357" s="11" t="s">
        <v>425</v>
      </c>
      <c r="D357" s="13">
        <v>187539.11</v>
      </c>
    </row>
    <row r="358" spans="1:4" x14ac:dyDescent="0.2">
      <c r="A358" s="11">
        <v>4086</v>
      </c>
      <c r="B358" s="11">
        <v>7</v>
      </c>
      <c r="C358" s="11" t="s">
        <v>426</v>
      </c>
      <c r="D358" s="13">
        <v>149947.31</v>
      </c>
    </row>
    <row r="359" spans="1:4" x14ac:dyDescent="0.2">
      <c r="A359" s="11">
        <v>4088</v>
      </c>
      <c r="B359" s="11">
        <v>7</v>
      </c>
      <c r="C359" s="11" t="s">
        <v>427</v>
      </c>
      <c r="D359" s="13">
        <v>289334.71999999997</v>
      </c>
    </row>
    <row r="360" spans="1:4" x14ac:dyDescent="0.2">
      <c r="A360" s="11">
        <v>4089</v>
      </c>
      <c r="B360" s="11">
        <v>7</v>
      </c>
      <c r="C360" s="11" t="s">
        <v>428</v>
      </c>
      <c r="D360" s="13">
        <v>1651.94</v>
      </c>
    </row>
    <row r="361" spans="1:4" x14ac:dyDescent="0.2">
      <c r="A361" s="11">
        <v>4090</v>
      </c>
      <c r="B361" s="11">
        <v>7</v>
      </c>
      <c r="C361" s="11" t="s">
        <v>429</v>
      </c>
      <c r="D361" s="13">
        <v>38069.79</v>
      </c>
    </row>
    <row r="362" spans="1:4" x14ac:dyDescent="0.2">
      <c r="A362" s="11">
        <v>4091</v>
      </c>
      <c r="B362" s="11">
        <v>7</v>
      </c>
      <c r="C362" s="11" t="s">
        <v>430</v>
      </c>
      <c r="D362" s="13">
        <v>22264.2</v>
      </c>
    </row>
    <row r="363" spans="1:4" x14ac:dyDescent="0.2">
      <c r="A363" s="11">
        <v>4093</v>
      </c>
      <c r="B363" s="11">
        <v>7</v>
      </c>
      <c r="C363" s="11" t="s">
        <v>431</v>
      </c>
      <c r="D363" s="13">
        <v>25464.04</v>
      </c>
    </row>
    <row r="364" spans="1:4" x14ac:dyDescent="0.2">
      <c r="A364" s="11">
        <v>4095</v>
      </c>
      <c r="B364" s="11">
        <v>7</v>
      </c>
      <c r="C364" s="11" t="s">
        <v>432</v>
      </c>
      <c r="D364" s="13">
        <v>1818.24</v>
      </c>
    </row>
    <row r="365" spans="1:4" x14ac:dyDescent="0.2">
      <c r="A365" s="11">
        <v>4097</v>
      </c>
      <c r="B365" s="11">
        <v>7</v>
      </c>
      <c r="C365" s="11" t="s">
        <v>433</v>
      </c>
      <c r="D365" s="13">
        <v>31491.43</v>
      </c>
    </row>
    <row r="366" spans="1:4" x14ac:dyDescent="0.2">
      <c r="A366" s="11">
        <v>4098</v>
      </c>
      <c r="B366" s="11">
        <v>7</v>
      </c>
      <c r="C366" s="11" t="s">
        <v>434</v>
      </c>
      <c r="D366" s="13">
        <v>249529.04</v>
      </c>
    </row>
    <row r="367" spans="1:4" x14ac:dyDescent="0.2">
      <c r="A367" s="11">
        <v>4099</v>
      </c>
      <c r="B367" s="11">
        <v>7</v>
      </c>
      <c r="C367" s="11" t="s">
        <v>435</v>
      </c>
      <c r="D367" s="13">
        <v>350381.92</v>
      </c>
    </row>
    <row r="368" spans="1:4" x14ac:dyDescent="0.2">
      <c r="A368" s="11">
        <v>4100</v>
      </c>
      <c r="B368" s="11">
        <v>7</v>
      </c>
      <c r="C368" s="11" t="s">
        <v>436</v>
      </c>
      <c r="D368" s="13">
        <v>14968.14</v>
      </c>
    </row>
    <row r="369" spans="1:4" x14ac:dyDescent="0.2">
      <c r="A369" s="11">
        <v>4102</v>
      </c>
      <c r="B369" s="11">
        <v>7</v>
      </c>
      <c r="C369" s="11" t="s">
        <v>437</v>
      </c>
      <c r="D369" s="13">
        <v>119733.16</v>
      </c>
    </row>
    <row r="370" spans="1:4" x14ac:dyDescent="0.2">
      <c r="A370" s="11">
        <v>4103</v>
      </c>
      <c r="B370" s="11">
        <v>7</v>
      </c>
      <c r="C370" s="11" t="s">
        <v>438</v>
      </c>
      <c r="D370" s="13">
        <v>636023.98</v>
      </c>
    </row>
    <row r="371" spans="1:4" x14ac:dyDescent="0.2">
      <c r="A371" s="11">
        <v>4104</v>
      </c>
      <c r="B371" s="11">
        <v>7</v>
      </c>
      <c r="C371" s="11" t="s">
        <v>439</v>
      </c>
      <c r="D371" s="13">
        <v>32969.269999999997</v>
      </c>
    </row>
    <row r="372" spans="1:4" x14ac:dyDescent="0.2">
      <c r="A372" s="11">
        <v>4105</v>
      </c>
      <c r="B372" s="11">
        <v>7</v>
      </c>
      <c r="C372" s="11" t="s">
        <v>585</v>
      </c>
      <c r="D372" s="13">
        <v>164302.87</v>
      </c>
    </row>
    <row r="373" spans="1:4" x14ac:dyDescent="0.2">
      <c r="A373" s="11">
        <v>4107</v>
      </c>
      <c r="B373" s="11">
        <v>7</v>
      </c>
      <c r="C373" s="11" t="s">
        <v>440</v>
      </c>
      <c r="D373" s="13">
        <v>57679.88</v>
      </c>
    </row>
    <row r="374" spans="1:4" x14ac:dyDescent="0.2">
      <c r="A374" s="11">
        <v>4108</v>
      </c>
      <c r="B374" s="11">
        <v>7</v>
      </c>
      <c r="C374" s="11" t="s">
        <v>441</v>
      </c>
      <c r="D374" s="13">
        <v>55221.88</v>
      </c>
    </row>
    <row r="375" spans="1:4" x14ac:dyDescent="0.2">
      <c r="A375" s="11">
        <v>4109</v>
      </c>
      <c r="B375" s="11">
        <v>7</v>
      </c>
      <c r="C375" s="11" t="s">
        <v>442</v>
      </c>
      <c r="D375" s="13">
        <v>30489.91</v>
      </c>
    </row>
    <row r="376" spans="1:4" x14ac:dyDescent="0.2">
      <c r="A376" s="11">
        <v>4110</v>
      </c>
      <c r="B376" s="11">
        <v>7</v>
      </c>
      <c r="C376" s="11" t="s">
        <v>443</v>
      </c>
      <c r="D376" s="13">
        <v>6409.3</v>
      </c>
    </row>
    <row r="377" spans="1:4" x14ac:dyDescent="0.2">
      <c r="A377" s="11">
        <v>4111</v>
      </c>
      <c r="B377" s="11">
        <v>7</v>
      </c>
      <c r="C377" s="11" t="s">
        <v>444</v>
      </c>
      <c r="D377" s="13">
        <v>36008.36</v>
      </c>
    </row>
    <row r="378" spans="1:4" x14ac:dyDescent="0.2">
      <c r="A378" s="11">
        <v>4112</v>
      </c>
      <c r="B378" s="11">
        <v>7</v>
      </c>
      <c r="C378" s="11" t="s">
        <v>587</v>
      </c>
      <c r="D378" s="13">
        <v>59717.120000000003</v>
      </c>
    </row>
    <row r="379" spans="1:4" x14ac:dyDescent="0.2">
      <c r="A379" s="11">
        <v>4113</v>
      </c>
      <c r="B379" s="11">
        <v>7</v>
      </c>
      <c r="C379" s="11" t="s">
        <v>445</v>
      </c>
      <c r="D379" s="13">
        <v>10396.93</v>
      </c>
    </row>
    <row r="380" spans="1:4" x14ac:dyDescent="0.2">
      <c r="A380" s="11">
        <v>4115</v>
      </c>
      <c r="B380" s="11">
        <v>7</v>
      </c>
      <c r="C380" s="11" t="s">
        <v>446</v>
      </c>
      <c r="D380" s="13">
        <v>62178.87</v>
      </c>
    </row>
    <row r="381" spans="1:4" x14ac:dyDescent="0.2">
      <c r="A381" s="11">
        <v>4116</v>
      </c>
      <c r="B381" s="11">
        <v>7</v>
      </c>
      <c r="C381" s="11" t="s">
        <v>447</v>
      </c>
      <c r="D381" s="13">
        <v>73028.06</v>
      </c>
    </row>
    <row r="382" spans="1:4" x14ac:dyDescent="0.2">
      <c r="A382" s="11">
        <v>4118</v>
      </c>
      <c r="B382" s="11">
        <v>7</v>
      </c>
      <c r="C382" s="11" t="s">
        <v>448</v>
      </c>
      <c r="D382" s="13">
        <v>65668.5</v>
      </c>
    </row>
    <row r="383" spans="1:4" x14ac:dyDescent="0.2">
      <c r="A383" s="11">
        <v>4119</v>
      </c>
      <c r="B383" s="11">
        <v>7</v>
      </c>
      <c r="C383" s="11" t="s">
        <v>449</v>
      </c>
      <c r="D383" s="13">
        <v>14935.22</v>
      </c>
    </row>
    <row r="384" spans="1:4" x14ac:dyDescent="0.2">
      <c r="A384" s="11">
        <v>4120</v>
      </c>
      <c r="B384" s="11">
        <v>7</v>
      </c>
      <c r="C384" s="11" t="s">
        <v>450</v>
      </c>
      <c r="D384" s="13">
        <v>25074.52</v>
      </c>
    </row>
    <row r="385" spans="1:4" x14ac:dyDescent="0.2">
      <c r="A385" s="11">
        <v>4121</v>
      </c>
      <c r="B385" s="11">
        <v>7</v>
      </c>
      <c r="C385" s="11" t="s">
        <v>451</v>
      </c>
      <c r="D385" s="13">
        <v>322987.28999999998</v>
      </c>
    </row>
    <row r="386" spans="1:4" x14ac:dyDescent="0.2">
      <c r="A386" s="11">
        <v>4123</v>
      </c>
      <c r="B386" s="11">
        <v>7</v>
      </c>
      <c r="C386" s="11" t="s">
        <v>452</v>
      </c>
      <c r="D386" s="13">
        <v>56.94</v>
      </c>
    </row>
    <row r="387" spans="1:4" x14ac:dyDescent="0.2">
      <c r="A387" s="11">
        <v>4124</v>
      </c>
      <c r="B387" s="11">
        <v>7</v>
      </c>
      <c r="C387" s="11" t="s">
        <v>453</v>
      </c>
      <c r="D387" s="13">
        <v>123695.45</v>
      </c>
    </row>
    <row r="388" spans="1:4" x14ac:dyDescent="0.2">
      <c r="A388" s="11">
        <v>4125</v>
      </c>
      <c r="B388" s="11">
        <v>7</v>
      </c>
      <c r="C388" s="11" t="s">
        <v>454</v>
      </c>
      <c r="D388" s="13">
        <v>27526.25</v>
      </c>
    </row>
    <row r="389" spans="1:4" x14ac:dyDescent="0.2">
      <c r="A389" s="11">
        <v>4126</v>
      </c>
      <c r="B389" s="11">
        <v>7</v>
      </c>
      <c r="C389" s="11" t="s">
        <v>455</v>
      </c>
      <c r="D389" s="13">
        <v>7554.73</v>
      </c>
    </row>
    <row r="390" spans="1:4" x14ac:dyDescent="0.2">
      <c r="A390" s="11">
        <v>4127</v>
      </c>
      <c r="B390" s="11">
        <v>7</v>
      </c>
      <c r="C390" s="11" t="s">
        <v>456</v>
      </c>
      <c r="D390" s="13">
        <v>20453.189999999999</v>
      </c>
    </row>
    <row r="391" spans="1:4" x14ac:dyDescent="0.2">
      <c r="A391" s="11">
        <v>4131</v>
      </c>
      <c r="B391" s="11">
        <v>7</v>
      </c>
      <c r="C391" s="11" t="s">
        <v>457</v>
      </c>
      <c r="D391" s="13">
        <v>415040.99</v>
      </c>
    </row>
    <row r="392" spans="1:4" x14ac:dyDescent="0.2">
      <c r="A392" s="11">
        <v>4133</v>
      </c>
      <c r="B392" s="11">
        <v>7</v>
      </c>
      <c r="C392" s="11" t="s">
        <v>458</v>
      </c>
      <c r="D392" s="13">
        <v>36025.699999999997</v>
      </c>
    </row>
    <row r="393" spans="1:4" x14ac:dyDescent="0.2">
      <c r="A393" s="11">
        <v>4135</v>
      </c>
      <c r="B393" s="11">
        <v>7</v>
      </c>
      <c r="C393" s="11" t="s">
        <v>459</v>
      </c>
      <c r="D393" s="13">
        <v>45728.05</v>
      </c>
    </row>
    <row r="394" spans="1:4" x14ac:dyDescent="0.2">
      <c r="A394" s="11">
        <v>4137</v>
      </c>
      <c r="B394" s="11">
        <v>7</v>
      </c>
      <c r="C394" s="11" t="s">
        <v>460</v>
      </c>
      <c r="D394" s="13">
        <v>27573.03</v>
      </c>
    </row>
    <row r="395" spans="1:4" x14ac:dyDescent="0.2">
      <c r="A395" s="11">
        <v>4138</v>
      </c>
      <c r="B395" s="11">
        <v>7</v>
      </c>
      <c r="C395" s="11" t="s">
        <v>461</v>
      </c>
      <c r="D395" s="13">
        <v>3339.32</v>
      </c>
    </row>
    <row r="396" spans="1:4" x14ac:dyDescent="0.2">
      <c r="A396" s="11">
        <v>4139</v>
      </c>
      <c r="B396" s="11">
        <v>7</v>
      </c>
      <c r="C396" s="11" t="s">
        <v>462</v>
      </c>
      <c r="D396" s="13">
        <v>24767.97</v>
      </c>
    </row>
    <row r="397" spans="1:4" x14ac:dyDescent="0.2">
      <c r="A397" s="11">
        <v>4140</v>
      </c>
      <c r="B397" s="11">
        <v>7</v>
      </c>
      <c r="C397" s="11" t="s">
        <v>463</v>
      </c>
      <c r="D397" s="13">
        <v>8079.27</v>
      </c>
    </row>
    <row r="398" spans="1:4" x14ac:dyDescent="0.2">
      <c r="A398" s="11">
        <v>4142</v>
      </c>
      <c r="B398" s="11">
        <v>7</v>
      </c>
      <c r="C398" s="11" t="s">
        <v>465</v>
      </c>
      <c r="D398" s="13">
        <v>2255.3000000000002</v>
      </c>
    </row>
    <row r="399" spans="1:4" x14ac:dyDescent="0.2">
      <c r="A399" s="11">
        <v>4143</v>
      </c>
      <c r="B399" s="11">
        <v>7</v>
      </c>
      <c r="C399" s="11" t="s">
        <v>466</v>
      </c>
      <c r="D399" s="13">
        <v>391052.29</v>
      </c>
    </row>
    <row r="400" spans="1:4" x14ac:dyDescent="0.2">
      <c r="A400" s="11">
        <v>4144</v>
      </c>
      <c r="B400" s="11">
        <v>7</v>
      </c>
      <c r="C400" s="11" t="s">
        <v>467</v>
      </c>
      <c r="D400" s="13">
        <v>25093.759999999998</v>
      </c>
    </row>
    <row r="401" spans="1:4" x14ac:dyDescent="0.2">
      <c r="A401" s="11">
        <v>4145</v>
      </c>
      <c r="B401" s="11">
        <v>7</v>
      </c>
      <c r="C401" s="11" t="s">
        <v>468</v>
      </c>
      <c r="D401" s="13">
        <v>21715.68</v>
      </c>
    </row>
    <row r="402" spans="1:4" x14ac:dyDescent="0.2">
      <c r="A402" s="11">
        <v>4146</v>
      </c>
      <c r="B402" s="11">
        <v>7</v>
      </c>
      <c r="C402" s="11" t="s">
        <v>469</v>
      </c>
      <c r="D402" s="13">
        <v>5695.69</v>
      </c>
    </row>
    <row r="403" spans="1:4" x14ac:dyDescent="0.2">
      <c r="A403" s="11">
        <v>4151</v>
      </c>
      <c r="B403" s="11">
        <v>7</v>
      </c>
      <c r="C403" s="11" t="s">
        <v>470</v>
      </c>
      <c r="D403" s="13">
        <v>63681.16</v>
      </c>
    </row>
    <row r="404" spans="1:4" x14ac:dyDescent="0.2">
      <c r="A404" s="11">
        <v>4152</v>
      </c>
      <c r="B404" s="11">
        <v>7</v>
      </c>
      <c r="C404" s="11" t="s">
        <v>471</v>
      </c>
      <c r="D404" s="13">
        <v>71894.080000000002</v>
      </c>
    </row>
    <row r="405" spans="1:4" x14ac:dyDescent="0.2">
      <c r="A405" s="11">
        <v>4153</v>
      </c>
      <c r="B405" s="11">
        <v>7</v>
      </c>
      <c r="C405" s="11" t="s">
        <v>472</v>
      </c>
      <c r="D405" s="13">
        <v>85678.05</v>
      </c>
    </row>
    <row r="406" spans="1:4" x14ac:dyDescent="0.2">
      <c r="A406" s="11">
        <v>4155</v>
      </c>
      <c r="B406" s="11">
        <v>7</v>
      </c>
      <c r="C406" s="11" t="s">
        <v>473</v>
      </c>
      <c r="D406" s="13">
        <v>1585.66</v>
      </c>
    </row>
    <row r="407" spans="1:4" x14ac:dyDescent="0.2">
      <c r="A407" s="11">
        <v>4159</v>
      </c>
      <c r="B407" s="11">
        <v>7</v>
      </c>
      <c r="C407" s="11" t="s">
        <v>474</v>
      </c>
      <c r="D407" s="13">
        <v>163991.43</v>
      </c>
    </row>
    <row r="408" spans="1:4" x14ac:dyDescent="0.2">
      <c r="A408" s="11">
        <v>4160</v>
      </c>
      <c r="B408" s="11">
        <v>7</v>
      </c>
      <c r="C408" s="11" t="s">
        <v>475</v>
      </c>
      <c r="D408" s="13">
        <v>2385.9699999999998</v>
      </c>
    </row>
    <row r="409" spans="1:4" x14ac:dyDescent="0.2">
      <c r="A409" s="11">
        <v>4161</v>
      </c>
      <c r="B409" s="11">
        <v>7</v>
      </c>
      <c r="C409" s="11" t="s">
        <v>476</v>
      </c>
      <c r="D409" s="13">
        <v>16995.490000000002</v>
      </c>
    </row>
    <row r="410" spans="1:4" x14ac:dyDescent="0.2">
      <c r="A410" s="11">
        <v>4162</v>
      </c>
      <c r="B410" s="11">
        <v>7</v>
      </c>
      <c r="C410" s="11" t="s">
        <v>477</v>
      </c>
      <c r="D410" s="13">
        <v>3231.19</v>
      </c>
    </row>
    <row r="411" spans="1:4" x14ac:dyDescent="0.2">
      <c r="A411" s="11">
        <v>4164</v>
      </c>
      <c r="B411" s="11">
        <v>7</v>
      </c>
      <c r="C411" s="11" t="s">
        <v>478</v>
      </c>
      <c r="D411" s="13">
        <v>24331.62</v>
      </c>
    </row>
    <row r="412" spans="1:4" x14ac:dyDescent="0.2">
      <c r="A412" s="11">
        <v>4166</v>
      </c>
      <c r="B412" s="11">
        <v>7</v>
      </c>
      <c r="C412" s="11" t="s">
        <v>479</v>
      </c>
      <c r="D412" s="13">
        <v>7362.79</v>
      </c>
    </row>
    <row r="413" spans="1:4" x14ac:dyDescent="0.2">
      <c r="A413" s="11">
        <v>4167</v>
      </c>
      <c r="B413" s="11">
        <v>7</v>
      </c>
      <c r="C413" s="11" t="s">
        <v>480</v>
      </c>
      <c r="D413" s="13">
        <v>899.22</v>
      </c>
    </row>
    <row r="414" spans="1:4" x14ac:dyDescent="0.2">
      <c r="A414" s="11">
        <v>4168</v>
      </c>
      <c r="B414" s="11">
        <v>7</v>
      </c>
      <c r="C414" s="11" t="s">
        <v>481</v>
      </c>
      <c r="D414" s="13">
        <v>16264.55</v>
      </c>
    </row>
    <row r="415" spans="1:4" x14ac:dyDescent="0.2">
      <c r="A415" s="11">
        <v>4169</v>
      </c>
      <c r="B415" s="11">
        <v>7</v>
      </c>
      <c r="C415" s="11" t="s">
        <v>482</v>
      </c>
      <c r="D415" s="13">
        <v>27084.13</v>
      </c>
    </row>
    <row r="416" spans="1:4" x14ac:dyDescent="0.2">
      <c r="A416" s="11">
        <v>4170</v>
      </c>
      <c r="B416" s="11">
        <v>7</v>
      </c>
      <c r="C416" s="11" t="s">
        <v>483</v>
      </c>
      <c r="D416" s="13">
        <v>47551.32</v>
      </c>
    </row>
    <row r="417" spans="1:4" x14ac:dyDescent="0.2">
      <c r="A417" s="11">
        <v>4171</v>
      </c>
      <c r="B417" s="11">
        <v>7</v>
      </c>
      <c r="C417" s="11" t="s">
        <v>484</v>
      </c>
      <c r="D417" s="13">
        <v>478665.58</v>
      </c>
    </row>
    <row r="418" spans="1:4" x14ac:dyDescent="0.2">
      <c r="A418" s="11">
        <v>4172</v>
      </c>
      <c r="B418" s="11">
        <v>7</v>
      </c>
      <c r="C418" s="11" t="s">
        <v>485</v>
      </c>
      <c r="D418" s="13">
        <v>42601.17</v>
      </c>
    </row>
    <row r="419" spans="1:4" x14ac:dyDescent="0.2">
      <c r="A419" s="11">
        <v>4173</v>
      </c>
      <c r="B419" s="11">
        <v>7</v>
      </c>
      <c r="C419" s="11" t="s">
        <v>486</v>
      </c>
      <c r="D419" s="13">
        <v>59388.93</v>
      </c>
    </row>
    <row r="420" spans="1:4" x14ac:dyDescent="0.2">
      <c r="A420" s="11">
        <v>4174</v>
      </c>
      <c r="B420" s="11">
        <v>7</v>
      </c>
      <c r="C420" s="11" t="s">
        <v>487</v>
      </c>
      <c r="D420" s="13">
        <v>3514.66</v>
      </c>
    </row>
    <row r="421" spans="1:4" x14ac:dyDescent="0.2">
      <c r="A421" s="11">
        <v>4175</v>
      </c>
      <c r="B421" s="11">
        <v>7</v>
      </c>
      <c r="C421" s="11" t="s">
        <v>488</v>
      </c>
      <c r="D421" s="13">
        <v>27957.1</v>
      </c>
    </row>
    <row r="422" spans="1:4" x14ac:dyDescent="0.2">
      <c r="A422" s="11">
        <v>4177</v>
      </c>
      <c r="B422" s="11">
        <v>7</v>
      </c>
      <c r="C422" s="11" t="s">
        <v>489</v>
      </c>
      <c r="D422" s="13">
        <v>3134.67</v>
      </c>
    </row>
    <row r="423" spans="1:4" x14ac:dyDescent="0.2">
      <c r="A423" s="11">
        <v>4178</v>
      </c>
      <c r="B423" s="11">
        <v>7</v>
      </c>
      <c r="C423" s="11" t="s">
        <v>490</v>
      </c>
      <c r="D423" s="13">
        <v>21344.71</v>
      </c>
    </row>
    <row r="424" spans="1:4" x14ac:dyDescent="0.2">
      <c r="A424" s="11">
        <v>4180</v>
      </c>
      <c r="B424" s="11">
        <v>7</v>
      </c>
      <c r="C424" s="11" t="s">
        <v>491</v>
      </c>
      <c r="D424" s="13">
        <v>25783.52</v>
      </c>
    </row>
    <row r="425" spans="1:4" x14ac:dyDescent="0.2">
      <c r="A425" s="11">
        <v>4181</v>
      </c>
      <c r="B425" s="11">
        <v>7</v>
      </c>
      <c r="C425" s="11" t="s">
        <v>492</v>
      </c>
      <c r="D425" s="13">
        <v>171066.08</v>
      </c>
    </row>
    <row r="426" spans="1:4" x14ac:dyDescent="0.2">
      <c r="A426" s="11">
        <v>4182</v>
      </c>
      <c r="B426" s="11">
        <v>7</v>
      </c>
      <c r="C426" s="11" t="s">
        <v>493</v>
      </c>
      <c r="D426" s="13">
        <v>10000</v>
      </c>
    </row>
    <row r="427" spans="1:4" x14ac:dyDescent="0.2">
      <c r="A427" s="11">
        <v>4183</v>
      </c>
      <c r="B427" s="11">
        <v>7</v>
      </c>
      <c r="C427" s="11" t="s">
        <v>494</v>
      </c>
      <c r="D427" s="13">
        <v>49797</v>
      </c>
    </row>
    <row r="428" spans="1:4" x14ac:dyDescent="0.2">
      <c r="A428" s="11">
        <v>4184</v>
      </c>
      <c r="B428" s="11">
        <v>7</v>
      </c>
      <c r="C428" s="11" t="s">
        <v>495</v>
      </c>
      <c r="D428" s="13">
        <v>27796.84</v>
      </c>
    </row>
    <row r="429" spans="1:4" x14ac:dyDescent="0.2">
      <c r="A429" s="11">
        <v>4185</v>
      </c>
      <c r="B429" s="11">
        <v>7</v>
      </c>
      <c r="C429" s="11" t="s">
        <v>496</v>
      </c>
      <c r="D429" s="13">
        <v>60962.05</v>
      </c>
    </row>
    <row r="430" spans="1:4" x14ac:dyDescent="0.2">
      <c r="A430" s="11">
        <v>4186</v>
      </c>
      <c r="B430" s="11">
        <v>7</v>
      </c>
      <c r="C430" s="11" t="s">
        <v>497</v>
      </c>
      <c r="D430" s="13">
        <v>97264.47</v>
      </c>
    </row>
    <row r="431" spans="1:4" x14ac:dyDescent="0.2">
      <c r="A431" s="11">
        <v>4187</v>
      </c>
      <c r="B431" s="11">
        <v>7</v>
      </c>
      <c r="C431" s="11" t="s">
        <v>498</v>
      </c>
      <c r="D431" s="13">
        <v>1832.02</v>
      </c>
    </row>
    <row r="432" spans="1:4" x14ac:dyDescent="0.2">
      <c r="A432" s="11">
        <v>4189</v>
      </c>
      <c r="B432" s="11">
        <v>7</v>
      </c>
      <c r="C432" s="11" t="s">
        <v>499</v>
      </c>
      <c r="D432" s="13">
        <v>17275.95</v>
      </c>
    </row>
    <row r="433" spans="1:4" x14ac:dyDescent="0.2">
      <c r="A433" s="11">
        <v>4191</v>
      </c>
      <c r="B433" s="11">
        <v>7</v>
      </c>
      <c r="C433" s="11" t="s">
        <v>500</v>
      </c>
      <c r="D433" s="13">
        <v>56294.13</v>
      </c>
    </row>
    <row r="434" spans="1:4" x14ac:dyDescent="0.2">
      <c r="A434" s="11">
        <v>4192</v>
      </c>
      <c r="B434" s="11">
        <v>7</v>
      </c>
      <c r="C434" s="11" t="s">
        <v>501</v>
      </c>
      <c r="D434" s="13">
        <v>1658.92</v>
      </c>
    </row>
    <row r="435" spans="1:4" x14ac:dyDescent="0.2">
      <c r="A435" s="11">
        <v>4193</v>
      </c>
      <c r="B435" s="11">
        <v>7</v>
      </c>
      <c r="C435" s="11" t="s">
        <v>502</v>
      </c>
      <c r="D435" s="13">
        <v>42365.51</v>
      </c>
    </row>
    <row r="436" spans="1:4" x14ac:dyDescent="0.2">
      <c r="A436" s="11">
        <v>4194</v>
      </c>
      <c r="B436" s="11">
        <v>7</v>
      </c>
      <c r="C436" s="11" t="s">
        <v>503</v>
      </c>
      <c r="D436" s="13">
        <v>34670.19</v>
      </c>
    </row>
    <row r="437" spans="1:4" x14ac:dyDescent="0.2">
      <c r="A437" s="11">
        <v>4195</v>
      </c>
      <c r="B437" s="11">
        <v>7</v>
      </c>
      <c r="C437" s="11" t="s">
        <v>504</v>
      </c>
      <c r="D437" s="13">
        <v>20961.41</v>
      </c>
    </row>
    <row r="438" spans="1:4" x14ac:dyDescent="0.2">
      <c r="A438" s="11">
        <v>4196</v>
      </c>
      <c r="B438" s="11">
        <v>7</v>
      </c>
      <c r="C438" s="11" t="s">
        <v>505</v>
      </c>
      <c r="D438" s="13">
        <v>8707.59</v>
      </c>
    </row>
    <row r="439" spans="1:4" x14ac:dyDescent="0.2">
      <c r="A439" s="11"/>
      <c r="B439" s="11"/>
      <c r="C439" s="11"/>
      <c r="D439" s="13"/>
    </row>
    <row r="440" spans="1:4" x14ac:dyDescent="0.2">
      <c r="A440" s="11">
        <v>287</v>
      </c>
      <c r="B440" s="11">
        <v>6</v>
      </c>
      <c r="C440" s="11" t="s">
        <v>130</v>
      </c>
      <c r="D440" s="13">
        <v>722359.86</v>
      </c>
    </row>
    <row r="441" spans="1:4" x14ac:dyDescent="0.2">
      <c r="A441" s="11">
        <v>916</v>
      </c>
      <c r="B441" s="11">
        <v>6</v>
      </c>
      <c r="C441" s="11" t="s">
        <v>294</v>
      </c>
      <c r="D441" s="13">
        <v>624360.97</v>
      </c>
    </row>
    <row r="442" spans="1:4" x14ac:dyDescent="0.2">
      <c r="A442" s="11">
        <v>917</v>
      </c>
      <c r="B442" s="11">
        <v>6</v>
      </c>
      <c r="C442" s="11" t="s">
        <v>295</v>
      </c>
      <c r="D442" s="13">
        <v>487271.71</v>
      </c>
    </row>
    <row r="443" spans="1:4" x14ac:dyDescent="0.2">
      <c r="A443" s="11">
        <v>1435</v>
      </c>
      <c r="B443" s="11">
        <v>34</v>
      </c>
      <c r="C443" s="11" t="s">
        <v>316</v>
      </c>
      <c r="D443" s="13">
        <v>3975</v>
      </c>
    </row>
    <row r="444" spans="1:4" x14ac:dyDescent="0.2">
      <c r="A444" s="11">
        <v>6076</v>
      </c>
      <c r="B444" s="11">
        <v>50</v>
      </c>
      <c r="C444" s="11" t="s">
        <v>519</v>
      </c>
      <c r="D444" s="13">
        <v>1802492.35</v>
      </c>
    </row>
    <row r="445" spans="1:4" x14ac:dyDescent="0.2">
      <c r="A445" s="11">
        <v>919</v>
      </c>
      <c r="B445" s="11">
        <v>51</v>
      </c>
      <c r="C445" s="11" t="s">
        <v>296</v>
      </c>
      <c r="D445" s="13">
        <v>184389.32</v>
      </c>
    </row>
    <row r="446" spans="1:4" x14ac:dyDescent="0.2">
      <c r="A446" s="11">
        <v>382</v>
      </c>
      <c r="B446" s="11">
        <v>52</v>
      </c>
      <c r="C446" s="11" t="s">
        <v>154</v>
      </c>
      <c r="D446" s="13">
        <v>36427.06</v>
      </c>
    </row>
    <row r="447" spans="1:4" x14ac:dyDescent="0.2">
      <c r="A447" s="11">
        <v>397</v>
      </c>
      <c r="B447" s="11">
        <v>52</v>
      </c>
      <c r="C447" s="11" t="s">
        <v>159</v>
      </c>
      <c r="D447" s="13">
        <v>5900</v>
      </c>
    </row>
    <row r="448" spans="1:4" x14ac:dyDescent="0.2">
      <c r="A448" s="11">
        <v>398</v>
      </c>
      <c r="B448" s="11">
        <v>52</v>
      </c>
      <c r="C448" s="11" t="s">
        <v>160</v>
      </c>
      <c r="D448" s="13">
        <v>56929.43</v>
      </c>
    </row>
    <row r="449" spans="1:4" x14ac:dyDescent="0.2">
      <c r="A449" s="11">
        <v>870</v>
      </c>
      <c r="B449" s="11">
        <v>52</v>
      </c>
      <c r="C449" s="11" t="s">
        <v>281</v>
      </c>
      <c r="D449" s="13">
        <v>17236.849999999999</v>
      </c>
    </row>
    <row r="450" spans="1:4" x14ac:dyDescent="0.2">
      <c r="A450" s="11">
        <v>901</v>
      </c>
      <c r="B450" s="11">
        <v>52</v>
      </c>
      <c r="C450" s="11" t="s">
        <v>289</v>
      </c>
      <c r="D450" s="13">
        <v>1617663.77</v>
      </c>
    </row>
    <row r="451" spans="1:4" x14ac:dyDescent="0.2">
      <c r="A451" s="11">
        <v>915</v>
      </c>
      <c r="B451" s="11">
        <v>52</v>
      </c>
      <c r="C451" s="11" t="s">
        <v>293</v>
      </c>
      <c r="D451" s="13">
        <v>1070640.99</v>
      </c>
    </row>
    <row r="452" spans="1:4" x14ac:dyDescent="0.2">
      <c r="A452" s="11">
        <v>935</v>
      </c>
      <c r="B452" s="11">
        <v>52</v>
      </c>
      <c r="C452" s="11" t="s">
        <v>310</v>
      </c>
      <c r="D452" s="13">
        <v>2922363.02</v>
      </c>
    </row>
    <row r="453" spans="1:4" x14ac:dyDescent="0.2">
      <c r="A453" s="11">
        <v>938</v>
      </c>
      <c r="B453" s="11">
        <v>52</v>
      </c>
      <c r="C453" s="11" t="s">
        <v>311</v>
      </c>
      <c r="D453" s="13">
        <v>204361.34</v>
      </c>
    </row>
    <row r="454" spans="1:4" x14ac:dyDescent="0.2">
      <c r="A454" s="11">
        <v>978</v>
      </c>
      <c r="B454" s="11">
        <v>52</v>
      </c>
      <c r="C454" s="11" t="s">
        <v>312</v>
      </c>
      <c r="D454" s="13">
        <v>465515.07</v>
      </c>
    </row>
    <row r="455" spans="1:4" x14ac:dyDescent="0.2">
      <c r="A455" s="11">
        <v>997</v>
      </c>
      <c r="B455" s="11">
        <v>52</v>
      </c>
      <c r="C455" s="11" t="s">
        <v>314</v>
      </c>
      <c r="D455" s="13">
        <v>12043.13</v>
      </c>
    </row>
    <row r="456" spans="1:4" x14ac:dyDescent="0.2">
      <c r="A456" s="11">
        <v>998</v>
      </c>
      <c r="B456" s="11">
        <v>52</v>
      </c>
      <c r="C456" s="11" t="s">
        <v>315</v>
      </c>
      <c r="D456" s="13">
        <v>239702.08</v>
      </c>
    </row>
    <row r="457" spans="1:4" x14ac:dyDescent="0.2">
      <c r="A457" s="11">
        <v>6079</v>
      </c>
      <c r="B457" s="11">
        <v>52</v>
      </c>
      <c r="C457" s="11" t="s">
        <v>520</v>
      </c>
      <c r="D457" s="13">
        <v>5451758.0800000001</v>
      </c>
    </row>
    <row r="458" spans="1:4" x14ac:dyDescent="0.2">
      <c r="A458" s="11">
        <v>6083</v>
      </c>
      <c r="B458" s="11">
        <v>52</v>
      </c>
      <c r="C458" s="11" t="s">
        <v>521</v>
      </c>
      <c r="D458" s="13">
        <v>30129.97</v>
      </c>
    </row>
    <row r="459" spans="1:4" x14ac:dyDescent="0.2">
      <c r="A459" s="11">
        <v>930</v>
      </c>
      <c r="B459" s="11">
        <v>53</v>
      </c>
      <c r="C459" s="11" t="s">
        <v>309</v>
      </c>
      <c r="D459" s="13">
        <v>405116.1</v>
      </c>
    </row>
    <row r="460" spans="1:4" x14ac:dyDescent="0.2">
      <c r="A460" s="11">
        <v>6004</v>
      </c>
      <c r="B460" s="11">
        <v>61</v>
      </c>
      <c r="C460" s="11" t="s">
        <v>506</v>
      </c>
      <c r="D460" s="13">
        <v>2189562.41</v>
      </c>
    </row>
    <row r="461" spans="1:4" x14ac:dyDescent="0.2">
      <c r="A461" s="11">
        <v>6009</v>
      </c>
      <c r="B461" s="11">
        <v>61</v>
      </c>
      <c r="C461" s="11" t="s">
        <v>507</v>
      </c>
      <c r="D461" s="13">
        <v>91476.72</v>
      </c>
    </row>
    <row r="462" spans="1:4" x14ac:dyDescent="0.2">
      <c r="A462" s="11">
        <v>6012</v>
      </c>
      <c r="B462" s="11">
        <v>61</v>
      </c>
      <c r="C462" s="11" t="s">
        <v>508</v>
      </c>
      <c r="D462" s="13">
        <v>264843.3</v>
      </c>
    </row>
    <row r="463" spans="1:4" x14ac:dyDescent="0.2">
      <c r="A463" s="11">
        <v>6013</v>
      </c>
      <c r="B463" s="11">
        <v>61</v>
      </c>
      <c r="C463" s="11" t="s">
        <v>509</v>
      </c>
      <c r="D463" s="13">
        <v>137060.28</v>
      </c>
    </row>
    <row r="464" spans="1:4" x14ac:dyDescent="0.2">
      <c r="A464" s="11">
        <v>6018</v>
      </c>
      <c r="B464" s="11">
        <v>61</v>
      </c>
      <c r="C464" s="11" t="s">
        <v>510</v>
      </c>
      <c r="D464" s="13">
        <v>531877.15</v>
      </c>
    </row>
    <row r="465" spans="1:4" x14ac:dyDescent="0.2">
      <c r="A465" s="11">
        <v>6026</v>
      </c>
      <c r="B465" s="11">
        <v>61</v>
      </c>
      <c r="C465" s="11" t="s">
        <v>511</v>
      </c>
      <c r="D465" s="13">
        <v>1187056.8799999999</v>
      </c>
    </row>
    <row r="466" spans="1:4" x14ac:dyDescent="0.2">
      <c r="A466" s="11">
        <v>6027</v>
      </c>
      <c r="B466" s="11">
        <v>61</v>
      </c>
      <c r="C466" s="11" t="s">
        <v>512</v>
      </c>
      <c r="D466" s="13">
        <v>1442481.78</v>
      </c>
    </row>
    <row r="467" spans="1:4" x14ac:dyDescent="0.2">
      <c r="A467" s="11">
        <v>6049</v>
      </c>
      <c r="B467" s="11">
        <v>61</v>
      </c>
      <c r="C467" s="11" t="s">
        <v>513</v>
      </c>
      <c r="D467" s="13">
        <v>179287.7</v>
      </c>
    </row>
    <row r="468" spans="1:4" x14ac:dyDescent="0.2">
      <c r="A468" s="11">
        <v>6051</v>
      </c>
      <c r="B468" s="11">
        <v>61</v>
      </c>
      <c r="C468" s="11" t="s">
        <v>514</v>
      </c>
      <c r="D468" s="13">
        <v>112221.26</v>
      </c>
    </row>
    <row r="469" spans="1:4" x14ac:dyDescent="0.2">
      <c r="A469" s="11">
        <v>6383</v>
      </c>
      <c r="B469" s="11">
        <v>61</v>
      </c>
      <c r="C469" s="11" t="s">
        <v>522</v>
      </c>
      <c r="D469" s="13">
        <v>3150722.87</v>
      </c>
    </row>
    <row r="470" spans="1:4" x14ac:dyDescent="0.2">
      <c r="A470" s="11">
        <v>6979</v>
      </c>
      <c r="B470" s="11">
        <v>61</v>
      </c>
      <c r="C470" s="11" t="s">
        <v>523</v>
      </c>
      <c r="D470" s="13">
        <v>1504383.97</v>
      </c>
    </row>
    <row r="471" spans="1:4" x14ac:dyDescent="0.2">
      <c r="A471" s="11">
        <v>6067</v>
      </c>
      <c r="B471" s="11">
        <v>62</v>
      </c>
      <c r="C471" s="11" t="s">
        <v>515</v>
      </c>
      <c r="D471" s="13">
        <v>445157.82</v>
      </c>
    </row>
    <row r="472" spans="1:4" x14ac:dyDescent="0.2">
      <c r="A472" s="11">
        <v>6069</v>
      </c>
      <c r="B472" s="11">
        <v>62</v>
      </c>
      <c r="C472" s="11" t="s">
        <v>516</v>
      </c>
      <c r="D472" s="13">
        <v>472181.01</v>
      </c>
    </row>
    <row r="473" spans="1:4" x14ac:dyDescent="0.2">
      <c r="A473" s="11">
        <v>6072</v>
      </c>
      <c r="B473" s="11">
        <v>62</v>
      </c>
      <c r="C473" s="11" t="s">
        <v>518</v>
      </c>
      <c r="D473" s="13">
        <v>11418.6</v>
      </c>
    </row>
    <row r="474" spans="1:4" x14ac:dyDescent="0.2">
      <c r="A474" s="11">
        <v>160</v>
      </c>
      <c r="B474" s="11">
        <v>70</v>
      </c>
      <c r="C474" s="11" t="s">
        <v>80</v>
      </c>
      <c r="D474" s="13">
        <v>174840.51</v>
      </c>
    </row>
    <row r="475" spans="1:4" x14ac:dyDescent="0.2">
      <c r="A475" s="11">
        <v>106</v>
      </c>
      <c r="B475" s="11">
        <v>80</v>
      </c>
      <c r="C475" s="11" t="s">
        <v>62</v>
      </c>
      <c r="D475" s="13">
        <v>40000</v>
      </c>
    </row>
    <row r="476" spans="1:4" x14ac:dyDescent="0.2">
      <c r="A476" s="11">
        <v>920</v>
      </c>
      <c r="B476" s="11">
        <v>83</v>
      </c>
      <c r="C476" s="11" t="s">
        <v>297</v>
      </c>
      <c r="D476" s="13">
        <v>637059</v>
      </c>
    </row>
    <row r="477" spans="1:4" x14ac:dyDescent="0.2">
      <c r="A477" s="11">
        <v>922</v>
      </c>
      <c r="B477" s="11">
        <v>83</v>
      </c>
      <c r="C477" s="11" t="s">
        <v>300</v>
      </c>
      <c r="D477" s="13">
        <v>742167.7</v>
      </c>
    </row>
    <row r="478" spans="1:4" x14ac:dyDescent="0.2">
      <c r="A478" s="11">
        <v>923</v>
      </c>
      <c r="B478" s="11">
        <v>83</v>
      </c>
      <c r="C478" s="11" t="s">
        <v>303</v>
      </c>
      <c r="D478" s="13">
        <v>131828</v>
      </c>
    </row>
    <row r="479" spans="1:4" x14ac:dyDescent="0.2">
      <c r="A479" s="11">
        <v>924</v>
      </c>
      <c r="B479" s="11">
        <v>83</v>
      </c>
      <c r="C479" s="11" t="s">
        <v>304</v>
      </c>
      <c r="D479" s="13">
        <v>10000</v>
      </c>
    </row>
    <row r="480" spans="1:4" x14ac:dyDescent="0.2">
      <c r="A480" s="11">
        <v>926</v>
      </c>
      <c r="B480" s="11">
        <v>83</v>
      </c>
      <c r="C480" s="11" t="s">
        <v>305</v>
      </c>
      <c r="D480" s="13">
        <v>1026993.22</v>
      </c>
    </row>
    <row r="481" spans="1:4" x14ac:dyDescent="0.2">
      <c r="A481" s="11">
        <v>927</v>
      </c>
      <c r="B481" s="11">
        <v>83</v>
      </c>
      <c r="C481" s="11" t="s">
        <v>307</v>
      </c>
      <c r="D481" s="13">
        <v>653699</v>
      </c>
    </row>
    <row r="482" spans="1:4" x14ac:dyDescent="0.2">
      <c r="A482" s="11">
        <v>928</v>
      </c>
      <c r="B482" s="11">
        <v>83</v>
      </c>
      <c r="C482" s="11" t="s">
        <v>308</v>
      </c>
      <c r="D482" s="13">
        <v>396092.7</v>
      </c>
    </row>
    <row r="483" spans="1:4" x14ac:dyDescent="0.2">
      <c r="A483" s="11">
        <v>991</v>
      </c>
      <c r="B483" s="11">
        <v>83</v>
      </c>
      <c r="C483" s="11" t="s">
        <v>313</v>
      </c>
      <c r="D483" s="13">
        <v>354563.46</v>
      </c>
    </row>
    <row r="484" spans="1:4" x14ac:dyDescent="0.2">
      <c r="A484" s="11"/>
      <c r="B484" s="11"/>
      <c r="C484" s="11"/>
    </row>
    <row r="485" spans="1:4" x14ac:dyDescent="0.2">
      <c r="A485" s="11"/>
      <c r="B485" s="11"/>
      <c r="C485" s="11"/>
    </row>
    <row r="486" spans="1:4" x14ac:dyDescent="0.2">
      <c r="A486" s="11"/>
      <c r="B486" s="11"/>
      <c r="C486" s="11"/>
    </row>
    <row r="487" spans="1:4" x14ac:dyDescent="0.2">
      <c r="A487" s="11"/>
      <c r="B487" s="11"/>
      <c r="C487" s="11"/>
    </row>
    <row r="488" spans="1:4" x14ac:dyDescent="0.2">
      <c r="A488" s="11"/>
      <c r="B488" s="11"/>
      <c r="C488" s="11"/>
    </row>
    <row r="489" spans="1:4" x14ac:dyDescent="0.2">
      <c r="A489" s="11"/>
      <c r="B489" s="11"/>
      <c r="C489" s="11"/>
    </row>
    <row r="490" spans="1:4" x14ac:dyDescent="0.2">
      <c r="A490" s="11"/>
      <c r="B490" s="11"/>
      <c r="C490" s="11"/>
    </row>
    <row r="491" spans="1:4" x14ac:dyDescent="0.2">
      <c r="A491" s="11"/>
      <c r="B491" s="11"/>
      <c r="C491" s="11"/>
    </row>
    <row r="492" spans="1:4" x14ac:dyDescent="0.2">
      <c r="A492" s="11"/>
      <c r="B492" s="11"/>
      <c r="C492" s="11"/>
    </row>
    <row r="493" spans="1:4" x14ac:dyDescent="0.2">
      <c r="A493" s="11"/>
      <c r="B493" s="11"/>
      <c r="C493" s="11"/>
    </row>
    <row r="494" spans="1:4" x14ac:dyDescent="0.2">
      <c r="A494" s="11"/>
      <c r="B494" s="11"/>
      <c r="C494" s="11"/>
    </row>
    <row r="495" spans="1:4" x14ac:dyDescent="0.2">
      <c r="A495" s="11"/>
      <c r="B495" s="11"/>
      <c r="C495" s="11"/>
    </row>
    <row r="496" spans="1:4" x14ac:dyDescent="0.2">
      <c r="A496" s="11"/>
      <c r="B496" s="11"/>
      <c r="C496" s="11"/>
    </row>
    <row r="497" spans="1:3" x14ac:dyDescent="0.2">
      <c r="A497" s="11"/>
      <c r="B497" s="11"/>
      <c r="C497" s="11"/>
    </row>
    <row r="498" spans="1:3" x14ac:dyDescent="0.2">
      <c r="A498" s="11"/>
      <c r="B498" s="11"/>
      <c r="C498" s="11"/>
    </row>
    <row r="499" spans="1:3" x14ac:dyDescent="0.2">
      <c r="A499" s="11"/>
      <c r="B499" s="11"/>
      <c r="C499" s="11"/>
    </row>
    <row r="500" spans="1:3" x14ac:dyDescent="0.2">
      <c r="A500" s="11"/>
      <c r="B500" s="11"/>
      <c r="C500" s="11"/>
    </row>
    <row r="501" spans="1:3" x14ac:dyDescent="0.2">
      <c r="A501" s="11"/>
      <c r="B501" s="11"/>
      <c r="C501" s="11"/>
    </row>
    <row r="502" spans="1:3" x14ac:dyDescent="0.2">
      <c r="A502" s="11"/>
      <c r="B502" s="11"/>
      <c r="C502" s="11"/>
    </row>
    <row r="503" spans="1:3" x14ac:dyDescent="0.2">
      <c r="A503" s="11"/>
      <c r="B503" s="11"/>
      <c r="C503" s="11"/>
    </row>
    <row r="504" spans="1:3" x14ac:dyDescent="0.2">
      <c r="A504" s="11"/>
      <c r="B504" s="11"/>
      <c r="C504" s="11"/>
    </row>
    <row r="505" spans="1:3" x14ac:dyDescent="0.2">
      <c r="A505" s="11"/>
      <c r="B505" s="11"/>
      <c r="C505" s="11"/>
    </row>
    <row r="506" spans="1:3" x14ac:dyDescent="0.2">
      <c r="A506" s="11"/>
      <c r="B506" s="11"/>
      <c r="C506" s="11"/>
    </row>
    <row r="507" spans="1:3" x14ac:dyDescent="0.2">
      <c r="A507" s="11"/>
      <c r="B507" s="11"/>
      <c r="C507" s="11"/>
    </row>
    <row r="508" spans="1:3" x14ac:dyDescent="0.2">
      <c r="A508" s="11"/>
      <c r="B508" s="11"/>
      <c r="C508" s="11"/>
    </row>
    <row r="509" spans="1:3" x14ac:dyDescent="0.2">
      <c r="A509" s="11"/>
      <c r="B509" s="11"/>
      <c r="C509" s="11"/>
    </row>
    <row r="510" spans="1:3" x14ac:dyDescent="0.2">
      <c r="A510" s="11"/>
      <c r="B510" s="11"/>
      <c r="C510" s="11"/>
    </row>
    <row r="511" spans="1:3" x14ac:dyDescent="0.2">
      <c r="A511" s="11"/>
      <c r="B511" s="11"/>
      <c r="C511" s="11"/>
    </row>
    <row r="512" spans="1:3" x14ac:dyDescent="0.2">
      <c r="A512" s="11"/>
      <c r="B512" s="11"/>
      <c r="C512" s="11"/>
    </row>
    <row r="513" spans="1:3" x14ac:dyDescent="0.2">
      <c r="A513" s="11"/>
      <c r="B513" s="11"/>
      <c r="C513" s="11"/>
    </row>
    <row r="514" spans="1:3" x14ac:dyDescent="0.2">
      <c r="A514" s="11"/>
      <c r="B514" s="11"/>
      <c r="C514" s="11"/>
    </row>
    <row r="515" spans="1:3" x14ac:dyDescent="0.2">
      <c r="A515" s="11"/>
      <c r="B515" s="11"/>
      <c r="C515" s="11"/>
    </row>
    <row r="516" spans="1:3" x14ac:dyDescent="0.2">
      <c r="A516" s="11"/>
      <c r="B516" s="11"/>
      <c r="C516" s="11"/>
    </row>
    <row r="517" spans="1:3" x14ac:dyDescent="0.2">
      <c r="A517" s="11"/>
      <c r="B517" s="11"/>
      <c r="C517" s="11"/>
    </row>
    <row r="518" spans="1:3" x14ac:dyDescent="0.2">
      <c r="A518" s="11"/>
      <c r="B518" s="11"/>
      <c r="C518" s="11"/>
    </row>
    <row r="519" spans="1:3" x14ac:dyDescent="0.2">
      <c r="A519" s="11"/>
      <c r="B519" s="11"/>
      <c r="C519" s="11"/>
    </row>
    <row r="520" spans="1:3" x14ac:dyDescent="0.2">
      <c r="A520" s="11"/>
      <c r="B520" s="11"/>
      <c r="C520" s="11"/>
    </row>
    <row r="521" spans="1:3" x14ac:dyDescent="0.2">
      <c r="A521" s="11"/>
      <c r="B521" s="11"/>
      <c r="C521" s="11"/>
    </row>
    <row r="522" spans="1:3" x14ac:dyDescent="0.2">
      <c r="A522" s="11"/>
      <c r="B522" s="11"/>
      <c r="C522" s="11"/>
    </row>
    <row r="523" spans="1:3" x14ac:dyDescent="0.2">
      <c r="A523" s="11"/>
      <c r="B523" s="11"/>
      <c r="C523" s="11"/>
    </row>
    <row r="524" spans="1:3" x14ac:dyDescent="0.2">
      <c r="A524" s="11"/>
      <c r="B524" s="11"/>
      <c r="C524" s="11"/>
    </row>
    <row r="525" spans="1:3" x14ac:dyDescent="0.2">
      <c r="A525" s="11"/>
      <c r="B525" s="11"/>
      <c r="C525" s="11"/>
    </row>
    <row r="526" spans="1:3" x14ac:dyDescent="0.2">
      <c r="A526" s="11"/>
      <c r="B526" s="11"/>
      <c r="C526" s="11"/>
    </row>
    <row r="527" spans="1:3" x14ac:dyDescent="0.2">
      <c r="A527" s="11"/>
      <c r="B527" s="11"/>
      <c r="C527" s="11"/>
    </row>
    <row r="528" spans="1:3" x14ac:dyDescent="0.2">
      <c r="A528" s="11"/>
      <c r="B528" s="11"/>
      <c r="C528" s="11"/>
    </row>
    <row r="529" spans="1:3" x14ac:dyDescent="0.2">
      <c r="A529" s="11"/>
      <c r="B529" s="11"/>
      <c r="C529" s="11"/>
    </row>
    <row r="530" spans="1:3" x14ac:dyDescent="0.2">
      <c r="A530" s="11"/>
      <c r="B530" s="11"/>
      <c r="C530" s="11"/>
    </row>
    <row r="531" spans="1:3" x14ac:dyDescent="0.2">
      <c r="A531" s="11"/>
      <c r="B531" s="11"/>
      <c r="C531" s="11"/>
    </row>
    <row r="532" spans="1:3" x14ac:dyDescent="0.2">
      <c r="A532" s="11"/>
      <c r="B532" s="11"/>
      <c r="C532" s="11"/>
    </row>
    <row r="533" spans="1:3" x14ac:dyDescent="0.2">
      <c r="A533" s="11"/>
      <c r="B533" s="11"/>
      <c r="C533" s="11"/>
    </row>
    <row r="534" spans="1:3" x14ac:dyDescent="0.2">
      <c r="A534" s="11"/>
      <c r="B534" s="11"/>
      <c r="C534" s="11"/>
    </row>
    <row r="535" spans="1:3" x14ac:dyDescent="0.2">
      <c r="A535" s="11"/>
      <c r="B535" s="11"/>
      <c r="C535" s="11"/>
    </row>
    <row r="536" spans="1:3" x14ac:dyDescent="0.2">
      <c r="A536" s="11"/>
      <c r="B536" s="11"/>
      <c r="C536" s="11"/>
    </row>
    <row r="537" spans="1:3" x14ac:dyDescent="0.2">
      <c r="A537" s="11"/>
      <c r="B537" s="11"/>
      <c r="C537" s="11"/>
    </row>
    <row r="538" spans="1:3" x14ac:dyDescent="0.2">
      <c r="A538" s="11"/>
      <c r="B538" s="11"/>
      <c r="C538" s="11"/>
    </row>
    <row r="539" spans="1:3" x14ac:dyDescent="0.2">
      <c r="A539" s="11"/>
      <c r="B539" s="11"/>
      <c r="C539" s="11"/>
    </row>
    <row r="540" spans="1:3" x14ac:dyDescent="0.2">
      <c r="A540" s="11"/>
      <c r="B540" s="11"/>
      <c r="C540" s="11"/>
    </row>
    <row r="541" spans="1:3" x14ac:dyDescent="0.2">
      <c r="A541" s="11"/>
      <c r="B541" s="11"/>
      <c r="C541" s="11"/>
    </row>
    <row r="542" spans="1:3" x14ac:dyDescent="0.2">
      <c r="A542" s="11"/>
      <c r="B542" s="11"/>
      <c r="C542" s="11"/>
    </row>
    <row r="543" spans="1:3" x14ac:dyDescent="0.2">
      <c r="A543" s="11"/>
      <c r="B543" s="11"/>
      <c r="C543" s="11"/>
    </row>
    <row r="544" spans="1:3" x14ac:dyDescent="0.2">
      <c r="A544" s="11"/>
      <c r="B544" s="11"/>
      <c r="C544" s="11"/>
    </row>
    <row r="545" spans="1:3" x14ac:dyDescent="0.2">
      <c r="A545" s="11"/>
      <c r="B545" s="11"/>
      <c r="C545" s="11"/>
    </row>
    <row r="546" spans="1:3" x14ac:dyDescent="0.2">
      <c r="A546" s="11"/>
      <c r="B546" s="11"/>
      <c r="C546" s="11"/>
    </row>
    <row r="547" spans="1:3" x14ac:dyDescent="0.2">
      <c r="A547" s="11"/>
      <c r="B547" s="11"/>
      <c r="C547" s="11"/>
    </row>
    <row r="548" spans="1:3" x14ac:dyDescent="0.2">
      <c r="A548" s="11"/>
      <c r="B548" s="11"/>
      <c r="C548" s="11"/>
    </row>
    <row r="549" spans="1:3" x14ac:dyDescent="0.2">
      <c r="A549" s="11"/>
      <c r="B549" s="11"/>
      <c r="C549" s="11"/>
    </row>
    <row r="550" spans="1:3" x14ac:dyDescent="0.2">
      <c r="A550" s="11"/>
      <c r="B550" s="11"/>
      <c r="C550" s="11"/>
    </row>
    <row r="551" spans="1:3" x14ac:dyDescent="0.2">
      <c r="A551" s="11"/>
      <c r="B551" s="11"/>
      <c r="C551" s="11"/>
    </row>
    <row r="552" spans="1:3" x14ac:dyDescent="0.2">
      <c r="A552" s="11"/>
      <c r="B552" s="11"/>
      <c r="C552" s="11"/>
    </row>
    <row r="553" spans="1:3" x14ac:dyDescent="0.2">
      <c r="A553" s="11"/>
      <c r="B553" s="11"/>
      <c r="C553" s="11"/>
    </row>
    <row r="554" spans="1:3" x14ac:dyDescent="0.2">
      <c r="A554" s="11"/>
      <c r="B554" s="11"/>
      <c r="C554" s="11"/>
    </row>
    <row r="555" spans="1:3" x14ac:dyDescent="0.2">
      <c r="A555" s="11"/>
      <c r="B555" s="11"/>
      <c r="C555" s="11"/>
    </row>
    <row r="556" spans="1:3" x14ac:dyDescent="0.2">
      <c r="A556" s="11"/>
      <c r="B556" s="11"/>
      <c r="C556" s="11"/>
    </row>
    <row r="557" spans="1:3" x14ac:dyDescent="0.2">
      <c r="A557" s="11"/>
      <c r="B557" s="11"/>
      <c r="C557" s="11"/>
    </row>
    <row r="558" spans="1:3" x14ac:dyDescent="0.2">
      <c r="A558" s="11"/>
      <c r="B558" s="11"/>
      <c r="C558" s="11"/>
    </row>
    <row r="559" spans="1:3" x14ac:dyDescent="0.2">
      <c r="A559" s="11"/>
      <c r="B559" s="11"/>
      <c r="C559" s="11"/>
    </row>
    <row r="560" spans="1:3" x14ac:dyDescent="0.2">
      <c r="A560" s="11"/>
      <c r="B560" s="11"/>
      <c r="C560" s="11"/>
    </row>
    <row r="561" spans="1:3" x14ac:dyDescent="0.2">
      <c r="A561" s="11"/>
      <c r="B561" s="11"/>
      <c r="C561" s="11"/>
    </row>
    <row r="562" spans="1:3" x14ac:dyDescent="0.2">
      <c r="A562" s="11"/>
      <c r="B562" s="11"/>
      <c r="C562" s="11"/>
    </row>
    <row r="563" spans="1:3" x14ac:dyDescent="0.2">
      <c r="A563" s="11"/>
      <c r="B563" s="11"/>
      <c r="C563" s="11"/>
    </row>
    <row r="564" spans="1:3" x14ac:dyDescent="0.2">
      <c r="A564" s="11"/>
      <c r="B564" s="11"/>
      <c r="C564" s="11"/>
    </row>
    <row r="565" spans="1:3" x14ac:dyDescent="0.2">
      <c r="A565" s="11"/>
      <c r="B565" s="11"/>
      <c r="C565" s="11"/>
    </row>
    <row r="566" spans="1:3" x14ac:dyDescent="0.2">
      <c r="A566" s="11"/>
      <c r="B566" s="11"/>
      <c r="C566" s="11"/>
    </row>
    <row r="567" spans="1:3" x14ac:dyDescent="0.2">
      <c r="A567" s="11"/>
      <c r="B567" s="11"/>
      <c r="C567" s="11"/>
    </row>
    <row r="568" spans="1:3" x14ac:dyDescent="0.2">
      <c r="A568" s="11"/>
      <c r="B568" s="11"/>
      <c r="C568" s="11"/>
    </row>
    <row r="569" spans="1:3" x14ac:dyDescent="0.2">
      <c r="A569" s="11"/>
      <c r="B569" s="11"/>
      <c r="C569" s="11"/>
    </row>
    <row r="570" spans="1:3" x14ac:dyDescent="0.2">
      <c r="A570" s="11"/>
      <c r="B570" s="11"/>
      <c r="C570" s="11"/>
    </row>
    <row r="571" spans="1:3" x14ac:dyDescent="0.2">
      <c r="A571" s="11"/>
      <c r="B571" s="11"/>
      <c r="C571" s="11"/>
    </row>
    <row r="572" spans="1:3" x14ac:dyDescent="0.2">
      <c r="A572" s="11"/>
      <c r="B572" s="11"/>
      <c r="C572" s="11"/>
    </row>
    <row r="573" spans="1:3" x14ac:dyDescent="0.2">
      <c r="A573" s="11"/>
      <c r="B573" s="11"/>
      <c r="C573" s="11"/>
    </row>
    <row r="574" spans="1:3" x14ac:dyDescent="0.2">
      <c r="A574" s="11"/>
      <c r="B574" s="11"/>
      <c r="C574" s="11"/>
    </row>
    <row r="575" spans="1:3" x14ac:dyDescent="0.2">
      <c r="A575" s="11"/>
      <c r="B575" s="11"/>
      <c r="C575" s="11"/>
    </row>
    <row r="576" spans="1:3" x14ac:dyDescent="0.2">
      <c r="A576" s="11"/>
      <c r="B576" s="11"/>
      <c r="C576" s="11"/>
    </row>
    <row r="577" spans="1:3" x14ac:dyDescent="0.2">
      <c r="A577" s="11"/>
      <c r="B577" s="11"/>
      <c r="C577" s="11"/>
    </row>
    <row r="578" spans="1:3" x14ac:dyDescent="0.2">
      <c r="A578" s="11"/>
      <c r="B578" s="11"/>
      <c r="C578" s="11"/>
    </row>
    <row r="579" spans="1:3" x14ac:dyDescent="0.2">
      <c r="A579" s="11"/>
      <c r="B579" s="11"/>
      <c r="C579" s="11"/>
    </row>
    <row r="580" spans="1:3" x14ac:dyDescent="0.2">
      <c r="A580" s="11"/>
      <c r="B580" s="11"/>
      <c r="C580" s="11"/>
    </row>
    <row r="581" spans="1:3" x14ac:dyDescent="0.2">
      <c r="A581" s="11"/>
      <c r="B581" s="11"/>
      <c r="C581" s="11"/>
    </row>
    <row r="582" spans="1:3" x14ac:dyDescent="0.2">
      <c r="A582" s="11"/>
      <c r="B582" s="11"/>
      <c r="C582" s="11"/>
    </row>
    <row r="583" spans="1:3" x14ac:dyDescent="0.2">
      <c r="A583" s="11"/>
      <c r="B583" s="11"/>
      <c r="C583" s="11"/>
    </row>
    <row r="584" spans="1:3" x14ac:dyDescent="0.2">
      <c r="A584" s="11"/>
      <c r="B584" s="11"/>
      <c r="C584" s="11"/>
    </row>
    <row r="585" spans="1:3" x14ac:dyDescent="0.2">
      <c r="A585" s="11"/>
      <c r="B585" s="11"/>
      <c r="C585" s="11"/>
    </row>
    <row r="586" spans="1:3" x14ac:dyDescent="0.2">
      <c r="A586" s="11"/>
      <c r="B586" s="11"/>
      <c r="C586" s="11"/>
    </row>
    <row r="587" spans="1:3" x14ac:dyDescent="0.2">
      <c r="A587" s="11"/>
      <c r="B587" s="11"/>
      <c r="C587" s="11"/>
    </row>
    <row r="588" spans="1:3" x14ac:dyDescent="0.2">
      <c r="A588" s="11"/>
      <c r="B588" s="11"/>
      <c r="C588" s="11"/>
    </row>
    <row r="589" spans="1:3" x14ac:dyDescent="0.2">
      <c r="A589" s="11"/>
      <c r="B589" s="11"/>
      <c r="C589" s="11"/>
    </row>
    <row r="590" spans="1:3" x14ac:dyDescent="0.2">
      <c r="A590" s="11"/>
      <c r="B590" s="11"/>
      <c r="C590" s="11"/>
    </row>
    <row r="591" spans="1:3" x14ac:dyDescent="0.2">
      <c r="A591" s="11"/>
      <c r="B591" s="11"/>
      <c r="C591" s="11"/>
    </row>
    <row r="592" spans="1:3" x14ac:dyDescent="0.2">
      <c r="A592" s="11"/>
      <c r="B592" s="11"/>
      <c r="C592" s="11"/>
    </row>
    <row r="593" spans="1:3" x14ac:dyDescent="0.2">
      <c r="A593" s="11"/>
      <c r="B593" s="11"/>
      <c r="C593" s="11"/>
    </row>
    <row r="594" spans="1:3" x14ac:dyDescent="0.2">
      <c r="A594" s="11"/>
      <c r="B594" s="11"/>
      <c r="C594" s="11"/>
    </row>
    <row r="595" spans="1:3" x14ac:dyDescent="0.2">
      <c r="A595" s="11"/>
      <c r="B595" s="11"/>
      <c r="C595" s="11"/>
    </row>
    <row r="596" spans="1:3" x14ac:dyDescent="0.2">
      <c r="A596" s="11"/>
      <c r="B596" s="11"/>
      <c r="C596" s="11"/>
    </row>
    <row r="597" spans="1:3" x14ac:dyDescent="0.2">
      <c r="A597" s="11"/>
      <c r="B597" s="11"/>
      <c r="C597" s="11"/>
    </row>
    <row r="598" spans="1:3" x14ac:dyDescent="0.2">
      <c r="A598" s="11"/>
      <c r="B598" s="11"/>
      <c r="C598" s="11"/>
    </row>
    <row r="599" spans="1:3" x14ac:dyDescent="0.2">
      <c r="A599" s="11"/>
      <c r="B599" s="11"/>
      <c r="C599" s="11"/>
    </row>
    <row r="600" spans="1:3" x14ac:dyDescent="0.2">
      <c r="A600" s="11"/>
      <c r="B600" s="11"/>
      <c r="C600" s="11"/>
    </row>
    <row r="601" spans="1:3" x14ac:dyDescent="0.2">
      <c r="A601" s="11"/>
      <c r="B601" s="11"/>
      <c r="C601" s="11"/>
    </row>
    <row r="602" spans="1:3" x14ac:dyDescent="0.2">
      <c r="A602" s="11"/>
      <c r="B602" s="11"/>
      <c r="C602" s="11"/>
    </row>
    <row r="603" spans="1:3" x14ac:dyDescent="0.2">
      <c r="A603" s="11"/>
      <c r="B603" s="11"/>
      <c r="C603" s="11"/>
    </row>
    <row r="604" spans="1:3" x14ac:dyDescent="0.2">
      <c r="A604" s="11"/>
      <c r="B604" s="11"/>
      <c r="C604" s="11"/>
    </row>
    <row r="605" spans="1:3" x14ac:dyDescent="0.2">
      <c r="A605" s="11"/>
      <c r="B605" s="11"/>
      <c r="C605" s="11"/>
    </row>
    <row r="606" spans="1:3" x14ac:dyDescent="0.2">
      <c r="A606" s="11"/>
      <c r="B606" s="11"/>
      <c r="C606" s="11"/>
    </row>
    <row r="607" spans="1:3" x14ac:dyDescent="0.2">
      <c r="A607" s="11"/>
      <c r="B607" s="11"/>
      <c r="C607" s="11"/>
    </row>
    <row r="608" spans="1:3" x14ac:dyDescent="0.2">
      <c r="A608" s="11"/>
      <c r="B608" s="11"/>
      <c r="C608" s="11"/>
    </row>
    <row r="609" spans="1:3" x14ac:dyDescent="0.2">
      <c r="A609" s="11"/>
      <c r="B609" s="11"/>
      <c r="C609" s="11"/>
    </row>
    <row r="610" spans="1:3" x14ac:dyDescent="0.2">
      <c r="A610" s="11"/>
      <c r="B610" s="11"/>
      <c r="C610" s="11"/>
    </row>
    <row r="611" spans="1:3" x14ac:dyDescent="0.2">
      <c r="A611" s="11"/>
      <c r="B611" s="11"/>
      <c r="C611" s="11"/>
    </row>
    <row r="612" spans="1:3" x14ac:dyDescent="0.2">
      <c r="A612" s="11"/>
      <c r="B612" s="11"/>
      <c r="C612" s="11"/>
    </row>
    <row r="613" spans="1:3" x14ac:dyDescent="0.2">
      <c r="A613" s="11"/>
      <c r="B613" s="11"/>
      <c r="C613" s="11"/>
    </row>
    <row r="614" spans="1:3" x14ac:dyDescent="0.2">
      <c r="A614" s="11"/>
      <c r="B614" s="11"/>
      <c r="C614" s="11"/>
    </row>
    <row r="615" spans="1:3" x14ac:dyDescent="0.2">
      <c r="A615" s="11"/>
      <c r="B615" s="11"/>
      <c r="C615" s="11"/>
    </row>
    <row r="616" spans="1:3" x14ac:dyDescent="0.2">
      <c r="A616" s="11"/>
      <c r="B616" s="11"/>
      <c r="C616" s="11"/>
    </row>
    <row r="617" spans="1:3" x14ac:dyDescent="0.2">
      <c r="A617" s="11"/>
      <c r="B617" s="11"/>
      <c r="C617" s="11"/>
    </row>
    <row r="618" spans="1:3" x14ac:dyDescent="0.2">
      <c r="A618" s="11"/>
      <c r="B618" s="11"/>
      <c r="C618" s="11"/>
    </row>
    <row r="619" spans="1:3" x14ac:dyDescent="0.2">
      <c r="A619" s="11"/>
      <c r="B619" s="11"/>
      <c r="C619" s="11"/>
    </row>
    <row r="620" spans="1:3" x14ac:dyDescent="0.2">
      <c r="A620" s="11"/>
      <c r="B620" s="11"/>
      <c r="C620" s="11"/>
    </row>
    <row r="621" spans="1:3" x14ac:dyDescent="0.2">
      <c r="A621" s="11"/>
      <c r="B621" s="11"/>
      <c r="C621" s="11"/>
    </row>
    <row r="622" spans="1:3" x14ac:dyDescent="0.2">
      <c r="A622" s="11"/>
      <c r="B622" s="11"/>
      <c r="C622" s="11"/>
    </row>
    <row r="623" spans="1:3" x14ac:dyDescent="0.2">
      <c r="A623" s="11"/>
      <c r="B623" s="11"/>
      <c r="C623" s="11"/>
    </row>
    <row r="624" spans="1:3" x14ac:dyDescent="0.2">
      <c r="A624" s="11"/>
      <c r="B624" s="11"/>
      <c r="C624" s="11"/>
    </row>
    <row r="625" spans="1:3" x14ac:dyDescent="0.2">
      <c r="A625" s="11"/>
      <c r="B625" s="11"/>
      <c r="C625" s="11"/>
    </row>
    <row r="626" spans="1:3" x14ac:dyDescent="0.2">
      <c r="A626" s="11"/>
      <c r="B626" s="11"/>
      <c r="C626" s="11"/>
    </row>
    <row r="627" spans="1:3" x14ac:dyDescent="0.2">
      <c r="A627" s="11"/>
      <c r="B627" s="11"/>
      <c r="C627" s="11"/>
    </row>
    <row r="628" spans="1:3" x14ac:dyDescent="0.2">
      <c r="A628" s="11"/>
      <c r="B628" s="11"/>
      <c r="C628" s="11"/>
    </row>
    <row r="629" spans="1:3" x14ac:dyDescent="0.2">
      <c r="A629" s="11"/>
      <c r="B629" s="11"/>
      <c r="C629" s="11"/>
    </row>
    <row r="630" spans="1:3" x14ac:dyDescent="0.2">
      <c r="A630" s="11"/>
      <c r="B630" s="11"/>
      <c r="C630" s="11"/>
    </row>
    <row r="631" spans="1:3" x14ac:dyDescent="0.2">
      <c r="A631" s="11"/>
      <c r="B631" s="11"/>
      <c r="C631" s="11"/>
    </row>
    <row r="632" spans="1:3" x14ac:dyDescent="0.2">
      <c r="A632" s="11"/>
      <c r="B632" s="11"/>
      <c r="C632" s="11"/>
    </row>
    <row r="633" spans="1:3" x14ac:dyDescent="0.2">
      <c r="A633" s="11"/>
      <c r="B633" s="11"/>
      <c r="C633" s="11"/>
    </row>
    <row r="634" spans="1:3" x14ac:dyDescent="0.2">
      <c r="A634" s="11"/>
      <c r="B634" s="11"/>
      <c r="C634" s="11"/>
    </row>
    <row r="635" spans="1:3" x14ac:dyDescent="0.2">
      <c r="A635" s="11"/>
      <c r="B635" s="11"/>
      <c r="C635" s="11"/>
    </row>
    <row r="636" spans="1:3" x14ac:dyDescent="0.2">
      <c r="A636" s="11"/>
      <c r="B636" s="11"/>
      <c r="C636" s="11"/>
    </row>
    <row r="637" spans="1:3" x14ac:dyDescent="0.2">
      <c r="A637" s="11"/>
      <c r="B637" s="11"/>
      <c r="C637" s="11"/>
    </row>
    <row r="638" spans="1:3" x14ac:dyDescent="0.2">
      <c r="A638" s="11"/>
      <c r="B638" s="11"/>
      <c r="C638" s="11"/>
    </row>
    <row r="639" spans="1:3" x14ac:dyDescent="0.2">
      <c r="A639" s="11"/>
      <c r="B639" s="11"/>
      <c r="C639" s="11"/>
    </row>
    <row r="640" spans="1:3" x14ac:dyDescent="0.2">
      <c r="A640" s="11"/>
      <c r="B640" s="11"/>
      <c r="C640" s="11"/>
    </row>
    <row r="641" spans="1:3" x14ac:dyDescent="0.2">
      <c r="A641" s="11"/>
      <c r="B641" s="11"/>
      <c r="C641" s="11"/>
    </row>
    <row r="642" spans="1:3" x14ac:dyDescent="0.2">
      <c r="A642" s="11"/>
      <c r="B642" s="11"/>
      <c r="C642" s="11"/>
    </row>
    <row r="643" spans="1:3" x14ac:dyDescent="0.2">
      <c r="A643" s="11"/>
      <c r="B643" s="11"/>
      <c r="C643" s="11"/>
    </row>
    <row r="644" spans="1:3" x14ac:dyDescent="0.2">
      <c r="A644" s="11"/>
      <c r="B644" s="11"/>
      <c r="C644" s="11"/>
    </row>
    <row r="645" spans="1:3" x14ac:dyDescent="0.2">
      <c r="A645" s="11"/>
      <c r="B645" s="11"/>
      <c r="C645" s="11"/>
    </row>
    <row r="646" spans="1:3" x14ac:dyDescent="0.2">
      <c r="A646" s="11"/>
      <c r="B646" s="11"/>
      <c r="C646" s="11"/>
    </row>
    <row r="647" spans="1:3" x14ac:dyDescent="0.2">
      <c r="A647" s="11"/>
      <c r="B647" s="11"/>
      <c r="C647" s="11"/>
    </row>
    <row r="648" spans="1:3" x14ac:dyDescent="0.2">
      <c r="A648" s="11"/>
      <c r="B648" s="11"/>
      <c r="C648" s="11"/>
    </row>
    <row r="649" spans="1:3" x14ac:dyDescent="0.2">
      <c r="A649" s="11"/>
      <c r="B649" s="11"/>
      <c r="C649" s="11"/>
    </row>
    <row r="650" spans="1:3" x14ac:dyDescent="0.2">
      <c r="A650" s="11"/>
      <c r="B650" s="11"/>
      <c r="C650" s="11"/>
    </row>
    <row r="651" spans="1:3" x14ac:dyDescent="0.2">
      <c r="A651" s="11"/>
      <c r="B651" s="11"/>
      <c r="C651" s="11"/>
    </row>
    <row r="652" spans="1:3" x14ac:dyDescent="0.2">
      <c r="A652" s="11"/>
      <c r="B652" s="11"/>
      <c r="C652" s="11"/>
    </row>
    <row r="653" spans="1:3" x14ac:dyDescent="0.2">
      <c r="A653" s="11"/>
      <c r="B653" s="11"/>
      <c r="C653" s="11"/>
    </row>
    <row r="654" spans="1:3" x14ac:dyDescent="0.2">
      <c r="A654" s="11"/>
      <c r="B654" s="11"/>
      <c r="C654" s="11"/>
    </row>
    <row r="655" spans="1:3" x14ac:dyDescent="0.2">
      <c r="A655" s="11"/>
      <c r="B655" s="11"/>
      <c r="C655" s="11"/>
    </row>
    <row r="656" spans="1:3" x14ac:dyDescent="0.2">
      <c r="A656" s="11"/>
      <c r="B656" s="11"/>
      <c r="C656" s="11"/>
    </row>
    <row r="657" spans="1:3" x14ac:dyDescent="0.2">
      <c r="A657" s="11"/>
      <c r="B657" s="11"/>
      <c r="C657" s="11"/>
    </row>
    <row r="658" spans="1:3" x14ac:dyDescent="0.2">
      <c r="A658" s="11"/>
      <c r="B658" s="11"/>
      <c r="C658" s="11"/>
    </row>
    <row r="659" spans="1:3" x14ac:dyDescent="0.2">
      <c r="A659" s="11"/>
      <c r="B659" s="11"/>
      <c r="C659" s="11"/>
    </row>
    <row r="660" spans="1:3" x14ac:dyDescent="0.2">
      <c r="A660" s="11"/>
      <c r="B660" s="11"/>
      <c r="C660" s="11"/>
    </row>
    <row r="661" spans="1:3" x14ac:dyDescent="0.2">
      <c r="A661" s="11"/>
      <c r="B661" s="11"/>
      <c r="C661" s="11"/>
    </row>
    <row r="662" spans="1:3" x14ac:dyDescent="0.2">
      <c r="A662" s="11"/>
      <c r="B662" s="11"/>
      <c r="C662" s="11"/>
    </row>
    <row r="663" spans="1:3" x14ac:dyDescent="0.2">
      <c r="A663" s="11"/>
      <c r="B663" s="11"/>
      <c r="C663" s="11"/>
    </row>
    <row r="664" spans="1:3" x14ac:dyDescent="0.2">
      <c r="A664" s="11"/>
      <c r="B664" s="11"/>
      <c r="C664" s="11"/>
    </row>
    <row r="665" spans="1:3" x14ac:dyDescent="0.2">
      <c r="A665" s="11"/>
      <c r="B665" s="11"/>
      <c r="C665" s="11"/>
    </row>
    <row r="666" spans="1:3" x14ac:dyDescent="0.2">
      <c r="A666" s="11"/>
      <c r="B666" s="11"/>
      <c r="C666" s="11"/>
    </row>
    <row r="667" spans="1:3" x14ac:dyDescent="0.2">
      <c r="A667" s="11"/>
      <c r="B667" s="11"/>
      <c r="C667" s="11"/>
    </row>
    <row r="668" spans="1:3" x14ac:dyDescent="0.2">
      <c r="A668" s="11"/>
      <c r="B668" s="11"/>
      <c r="C668" s="11"/>
    </row>
    <row r="669" spans="1:3" x14ac:dyDescent="0.2">
      <c r="A669" s="11"/>
      <c r="B669" s="11"/>
      <c r="C669" s="11"/>
    </row>
    <row r="670" spans="1:3" x14ac:dyDescent="0.2">
      <c r="A670" s="11"/>
      <c r="B670" s="11"/>
      <c r="C670" s="11"/>
    </row>
    <row r="671" spans="1:3" x14ac:dyDescent="0.2">
      <c r="A671" s="11"/>
      <c r="B671" s="11"/>
      <c r="C671" s="11"/>
    </row>
    <row r="672" spans="1:3" x14ac:dyDescent="0.2">
      <c r="A672" s="11"/>
      <c r="B672" s="11"/>
      <c r="C672" s="11"/>
    </row>
    <row r="673" spans="1:3" x14ac:dyDescent="0.2">
      <c r="A673" s="11"/>
      <c r="B673" s="11"/>
      <c r="C673" s="11"/>
    </row>
    <row r="674" spans="1:3" x14ac:dyDescent="0.2">
      <c r="A674" s="11"/>
      <c r="B674" s="11"/>
      <c r="C674" s="11"/>
    </row>
    <row r="675" spans="1:3" x14ac:dyDescent="0.2">
      <c r="A675" s="11"/>
      <c r="B675" s="11"/>
      <c r="C675" s="11"/>
    </row>
    <row r="676" spans="1:3" x14ac:dyDescent="0.2">
      <c r="A676" s="11"/>
      <c r="B676" s="11"/>
      <c r="C676" s="11"/>
    </row>
    <row r="677" spans="1:3" x14ac:dyDescent="0.2">
      <c r="A677" s="11"/>
      <c r="B677" s="11"/>
      <c r="C677" s="11"/>
    </row>
    <row r="678" spans="1:3" x14ac:dyDescent="0.2">
      <c r="A678" s="11"/>
      <c r="B678" s="11"/>
      <c r="C678" s="11"/>
    </row>
    <row r="679" spans="1:3" x14ac:dyDescent="0.2">
      <c r="A679" s="11"/>
      <c r="B679" s="11"/>
      <c r="C679" s="11"/>
    </row>
    <row r="680" spans="1:3" x14ac:dyDescent="0.2">
      <c r="A680" s="11"/>
      <c r="B680" s="11"/>
      <c r="C680" s="11"/>
    </row>
    <row r="681" spans="1:3" x14ac:dyDescent="0.2">
      <c r="A681" s="11"/>
      <c r="B681" s="11"/>
      <c r="C681" s="11"/>
    </row>
    <row r="682" spans="1:3" x14ac:dyDescent="0.2">
      <c r="A682" s="11"/>
      <c r="B682" s="11"/>
      <c r="C682" s="11"/>
    </row>
    <row r="683" spans="1:3" x14ac:dyDescent="0.2">
      <c r="A683" s="11"/>
      <c r="B683" s="11"/>
      <c r="C683" s="11"/>
    </row>
    <row r="684" spans="1:3" x14ac:dyDescent="0.2">
      <c r="A684" s="11"/>
      <c r="B684" s="11"/>
      <c r="C684" s="11"/>
    </row>
    <row r="685" spans="1:3" x14ac:dyDescent="0.2">
      <c r="A685" s="11"/>
      <c r="B685" s="11"/>
      <c r="C685" s="11"/>
    </row>
    <row r="686" spans="1:3" x14ac:dyDescent="0.2">
      <c r="A686" s="11"/>
      <c r="B686" s="11"/>
      <c r="C686" s="11"/>
    </row>
    <row r="687" spans="1:3" x14ac:dyDescent="0.2">
      <c r="A687" s="11"/>
      <c r="B687" s="11"/>
      <c r="C687" s="11"/>
    </row>
    <row r="688" spans="1:3" x14ac:dyDescent="0.2">
      <c r="A688" s="11"/>
      <c r="B688" s="11"/>
      <c r="C688" s="11"/>
    </row>
    <row r="689" spans="1:3" x14ac:dyDescent="0.2">
      <c r="A689" s="11"/>
      <c r="B689" s="11"/>
      <c r="C689" s="11"/>
    </row>
    <row r="690" spans="1:3" x14ac:dyDescent="0.2">
      <c r="A690" s="11"/>
      <c r="B690" s="11"/>
      <c r="C690" s="11"/>
    </row>
    <row r="691" spans="1:3" x14ac:dyDescent="0.2">
      <c r="A691" s="11"/>
      <c r="B691" s="11"/>
      <c r="C691" s="11"/>
    </row>
    <row r="692" spans="1:3" x14ac:dyDescent="0.2">
      <c r="A692" s="11"/>
      <c r="B692" s="11"/>
      <c r="C692" s="11"/>
    </row>
    <row r="693" spans="1:3" x14ac:dyDescent="0.2">
      <c r="A693" s="11"/>
      <c r="B693" s="11"/>
      <c r="C693" s="11"/>
    </row>
    <row r="694" spans="1:3" x14ac:dyDescent="0.2">
      <c r="A694" s="11"/>
      <c r="B694" s="11"/>
      <c r="C694" s="11"/>
    </row>
    <row r="695" spans="1:3" x14ac:dyDescent="0.2">
      <c r="A695" s="11"/>
      <c r="B695" s="11"/>
      <c r="C695" s="11"/>
    </row>
    <row r="696" spans="1:3" x14ac:dyDescent="0.2">
      <c r="A696" s="11"/>
      <c r="B696" s="11"/>
      <c r="C696" s="11"/>
    </row>
    <row r="697" spans="1:3" x14ac:dyDescent="0.2">
      <c r="A697" s="11"/>
      <c r="B697" s="11"/>
      <c r="C697" s="11"/>
    </row>
    <row r="698" spans="1:3" x14ac:dyDescent="0.2">
      <c r="A698" s="11"/>
      <c r="B698" s="11"/>
      <c r="C698" s="11"/>
    </row>
    <row r="699" spans="1:3" x14ac:dyDescent="0.2">
      <c r="A699" s="11"/>
      <c r="B699" s="11"/>
      <c r="C699" s="11"/>
    </row>
    <row r="700" spans="1:3" x14ac:dyDescent="0.2">
      <c r="A700" s="11"/>
      <c r="B700" s="11"/>
      <c r="C700" s="11"/>
    </row>
    <row r="701" spans="1:3" x14ac:dyDescent="0.2">
      <c r="A701" s="11"/>
      <c r="B701" s="11"/>
      <c r="C701" s="11"/>
    </row>
    <row r="702" spans="1:3" x14ac:dyDescent="0.2">
      <c r="A702" s="11"/>
      <c r="B702" s="11"/>
      <c r="C702" s="11"/>
    </row>
    <row r="703" spans="1:3" x14ac:dyDescent="0.2">
      <c r="A703" s="11"/>
      <c r="B703" s="11"/>
      <c r="C703" s="11"/>
    </row>
    <row r="704" spans="1:3" x14ac:dyDescent="0.2">
      <c r="A704" s="11"/>
      <c r="B704" s="11"/>
      <c r="C704" s="11"/>
    </row>
    <row r="705" spans="1:3" x14ac:dyDescent="0.2">
      <c r="A705" s="11"/>
      <c r="B705" s="11"/>
      <c r="C705" s="11"/>
    </row>
    <row r="706" spans="1:3" x14ac:dyDescent="0.2">
      <c r="A706" s="11"/>
      <c r="B706" s="11"/>
      <c r="C706" s="11"/>
    </row>
    <row r="707" spans="1:3" x14ac:dyDescent="0.2">
      <c r="A707" s="11"/>
      <c r="B707" s="11"/>
      <c r="C707" s="11"/>
    </row>
    <row r="708" spans="1:3" x14ac:dyDescent="0.2">
      <c r="A708" s="11"/>
      <c r="B708" s="11"/>
      <c r="C708" s="11"/>
    </row>
    <row r="709" spans="1:3" x14ac:dyDescent="0.2">
      <c r="A709" s="11"/>
      <c r="B709" s="11"/>
      <c r="C709" s="11"/>
    </row>
    <row r="710" spans="1:3" x14ac:dyDescent="0.2">
      <c r="A710" s="11"/>
      <c r="B710" s="11"/>
      <c r="C710" s="11"/>
    </row>
    <row r="711" spans="1:3" x14ac:dyDescent="0.2">
      <c r="A711" s="11"/>
      <c r="B711" s="11"/>
      <c r="C711" s="11"/>
    </row>
    <row r="712" spans="1:3" x14ac:dyDescent="0.2">
      <c r="A712" s="11"/>
      <c r="B712" s="11"/>
      <c r="C712" s="11"/>
    </row>
    <row r="713" spans="1:3" x14ac:dyDescent="0.2">
      <c r="A713" s="11"/>
      <c r="B713" s="11"/>
      <c r="C713" s="11"/>
    </row>
    <row r="714" spans="1:3" x14ac:dyDescent="0.2">
      <c r="A714" s="11"/>
      <c r="B714" s="11"/>
      <c r="C714" s="11"/>
    </row>
    <row r="715" spans="1:3" x14ac:dyDescent="0.2">
      <c r="A715" s="11"/>
      <c r="B715" s="11"/>
      <c r="C715" s="11"/>
    </row>
    <row r="716" spans="1:3" x14ac:dyDescent="0.2">
      <c r="A716" s="11"/>
      <c r="B716" s="11"/>
      <c r="C716" s="11"/>
    </row>
    <row r="717" spans="1:3" x14ac:dyDescent="0.2">
      <c r="A717" s="11"/>
      <c r="B717" s="11"/>
      <c r="C717" s="11"/>
    </row>
    <row r="718" spans="1:3" x14ac:dyDescent="0.2">
      <c r="A718" s="11"/>
      <c r="B718" s="11"/>
      <c r="C718" s="11"/>
    </row>
    <row r="719" spans="1:3" x14ac:dyDescent="0.2">
      <c r="A719" s="11"/>
      <c r="B719" s="11"/>
      <c r="C719" s="11"/>
    </row>
    <row r="720" spans="1:3" x14ac:dyDescent="0.2">
      <c r="A720" s="11"/>
      <c r="B720" s="11"/>
      <c r="C720" s="11"/>
    </row>
    <row r="721" spans="1:3" x14ac:dyDescent="0.2">
      <c r="A721" s="11"/>
      <c r="B721" s="11"/>
      <c r="C721" s="11"/>
    </row>
    <row r="722" spans="1:3" x14ac:dyDescent="0.2">
      <c r="A722" s="11"/>
      <c r="B722" s="11"/>
      <c r="C722" s="11"/>
    </row>
    <row r="723" spans="1:3" x14ac:dyDescent="0.2">
      <c r="A723" s="11"/>
      <c r="B723" s="11"/>
      <c r="C723" s="11"/>
    </row>
    <row r="724" spans="1:3" x14ac:dyDescent="0.2">
      <c r="A724" s="11"/>
      <c r="B724" s="11"/>
      <c r="C724" s="11"/>
    </row>
    <row r="725" spans="1:3" x14ac:dyDescent="0.2">
      <c r="A725" s="11"/>
      <c r="B725" s="11"/>
      <c r="C725" s="11"/>
    </row>
    <row r="726" spans="1:3" x14ac:dyDescent="0.2">
      <c r="A726" s="11"/>
      <c r="B726" s="11"/>
      <c r="C726" s="11"/>
    </row>
    <row r="727" spans="1:3" x14ac:dyDescent="0.2">
      <c r="A727" s="11"/>
      <c r="B727" s="11"/>
      <c r="C727" s="11"/>
    </row>
    <row r="728" spans="1:3" x14ac:dyDescent="0.2">
      <c r="A728" s="11"/>
      <c r="B728" s="11"/>
      <c r="C728" s="11"/>
    </row>
    <row r="729" spans="1:3" x14ac:dyDescent="0.2">
      <c r="A729" s="11"/>
      <c r="B729" s="11"/>
      <c r="C729" s="11"/>
    </row>
    <row r="730" spans="1:3" x14ac:dyDescent="0.2">
      <c r="A730" s="11"/>
      <c r="B730" s="11"/>
      <c r="C730" s="11"/>
    </row>
    <row r="731" spans="1:3" x14ac:dyDescent="0.2">
      <c r="A731" s="11"/>
      <c r="B731" s="11"/>
      <c r="C731" s="11"/>
    </row>
    <row r="732" spans="1:3" x14ac:dyDescent="0.2">
      <c r="A732" s="11"/>
      <c r="B732" s="11"/>
      <c r="C732" s="11"/>
    </row>
    <row r="733" spans="1:3" x14ac:dyDescent="0.2">
      <c r="A733" s="11"/>
      <c r="B733" s="11"/>
      <c r="C733" s="11"/>
    </row>
    <row r="734" spans="1:3" x14ac:dyDescent="0.2">
      <c r="A734" s="11"/>
      <c r="B734" s="11"/>
      <c r="C734" s="11"/>
    </row>
    <row r="735" spans="1:3" x14ac:dyDescent="0.2">
      <c r="A735" s="11"/>
      <c r="B735" s="11"/>
      <c r="C735" s="11"/>
    </row>
    <row r="736" spans="1:3" x14ac:dyDescent="0.2">
      <c r="A736" s="11"/>
      <c r="B736" s="11"/>
      <c r="C736" s="11"/>
    </row>
    <row r="737" spans="1:3" x14ac:dyDescent="0.2">
      <c r="A737" s="11"/>
      <c r="B737" s="11"/>
      <c r="C737" s="11"/>
    </row>
    <row r="738" spans="1:3" x14ac:dyDescent="0.2">
      <c r="A738" s="11"/>
      <c r="B738" s="11"/>
      <c r="C738" s="11"/>
    </row>
    <row r="739" spans="1:3" x14ac:dyDescent="0.2">
      <c r="A739" s="11"/>
      <c r="B739" s="11"/>
      <c r="C739" s="11"/>
    </row>
    <row r="740" spans="1:3" x14ac:dyDescent="0.2">
      <c r="A740" s="11"/>
      <c r="B740" s="11"/>
      <c r="C740" s="11"/>
    </row>
    <row r="741" spans="1:3" x14ac:dyDescent="0.2">
      <c r="A741" s="11"/>
      <c r="B741" s="11"/>
      <c r="C741" s="11"/>
    </row>
    <row r="742" spans="1:3" x14ac:dyDescent="0.2">
      <c r="A742" s="11"/>
      <c r="B742" s="11"/>
      <c r="C742" s="11"/>
    </row>
    <row r="743" spans="1:3" x14ac:dyDescent="0.2">
      <c r="A743" s="11"/>
      <c r="B743" s="11"/>
      <c r="C743" s="11"/>
    </row>
    <row r="744" spans="1:3" x14ac:dyDescent="0.2">
      <c r="A744" s="11"/>
      <c r="B744" s="11"/>
      <c r="C744" s="11"/>
    </row>
    <row r="745" spans="1:3" x14ac:dyDescent="0.2">
      <c r="A745" s="11"/>
      <c r="B745" s="11"/>
      <c r="C745" s="11"/>
    </row>
    <row r="746" spans="1:3" x14ac:dyDescent="0.2">
      <c r="A746" s="11"/>
      <c r="B746" s="11"/>
      <c r="C746" s="11"/>
    </row>
    <row r="747" spans="1:3" x14ac:dyDescent="0.2">
      <c r="A747" s="11"/>
      <c r="B747" s="11"/>
      <c r="C747" s="11"/>
    </row>
    <row r="748" spans="1:3" x14ac:dyDescent="0.2">
      <c r="A748" s="11"/>
      <c r="B748" s="11"/>
      <c r="C748" s="11"/>
    </row>
    <row r="749" spans="1:3" x14ac:dyDescent="0.2">
      <c r="A749" s="11"/>
      <c r="B749" s="11"/>
      <c r="C749" s="11"/>
    </row>
    <row r="750" spans="1:3" x14ac:dyDescent="0.2">
      <c r="A750" s="11"/>
      <c r="B750" s="11"/>
      <c r="C750" s="11"/>
    </row>
    <row r="751" spans="1:3" x14ac:dyDescent="0.2">
      <c r="A751" s="11"/>
      <c r="B751" s="11"/>
      <c r="C751" s="11"/>
    </row>
    <row r="752" spans="1:3" x14ac:dyDescent="0.2">
      <c r="A752" s="11"/>
      <c r="B752" s="11"/>
      <c r="C752" s="11"/>
    </row>
    <row r="753" spans="1:3" x14ac:dyDescent="0.2">
      <c r="A753" s="11"/>
      <c r="B753" s="11"/>
      <c r="C753" s="11"/>
    </row>
    <row r="754" spans="1:3" x14ac:dyDescent="0.2">
      <c r="A754" s="11"/>
      <c r="B754" s="11"/>
      <c r="C754" s="11"/>
    </row>
    <row r="755" spans="1:3" x14ac:dyDescent="0.2">
      <c r="A755" s="11"/>
      <c r="B755" s="11"/>
      <c r="C755" s="11"/>
    </row>
    <row r="756" spans="1:3" x14ac:dyDescent="0.2">
      <c r="A756" s="11"/>
      <c r="B756" s="11"/>
      <c r="C756" s="11"/>
    </row>
    <row r="757" spans="1:3" x14ac:dyDescent="0.2">
      <c r="A757" s="11"/>
      <c r="B757" s="11"/>
      <c r="C757" s="11"/>
    </row>
    <row r="758" spans="1:3" x14ac:dyDescent="0.2">
      <c r="A758" s="11"/>
      <c r="B758" s="11"/>
      <c r="C758" s="11"/>
    </row>
    <row r="759" spans="1:3" x14ac:dyDescent="0.2">
      <c r="A759" s="11"/>
      <c r="B759" s="11"/>
      <c r="C759" s="11"/>
    </row>
    <row r="760" spans="1:3" x14ac:dyDescent="0.2">
      <c r="A760" s="11"/>
      <c r="B760" s="11"/>
      <c r="C760" s="11"/>
    </row>
    <row r="761" spans="1:3" x14ac:dyDescent="0.2">
      <c r="A761" s="11"/>
      <c r="B761" s="11"/>
      <c r="C761" s="11"/>
    </row>
    <row r="762" spans="1:3" x14ac:dyDescent="0.2">
      <c r="A762" s="11"/>
      <c r="B762" s="11"/>
      <c r="C762" s="11"/>
    </row>
    <row r="763" spans="1:3" x14ac:dyDescent="0.2">
      <c r="A763" s="11"/>
      <c r="B763" s="11"/>
      <c r="C763" s="11"/>
    </row>
    <row r="764" spans="1:3" x14ac:dyDescent="0.2">
      <c r="A764" s="11"/>
      <c r="B764" s="11"/>
      <c r="C764" s="11"/>
    </row>
    <row r="765" spans="1:3" x14ac:dyDescent="0.2">
      <c r="A765" s="11"/>
      <c r="B765" s="11"/>
      <c r="C765" s="11"/>
    </row>
    <row r="766" spans="1:3" x14ac:dyDescent="0.2">
      <c r="A766" s="11"/>
      <c r="B766" s="11"/>
      <c r="C766" s="11"/>
    </row>
    <row r="767" spans="1:3" x14ac:dyDescent="0.2">
      <c r="A767" s="11"/>
      <c r="B767" s="11"/>
      <c r="C767" s="11"/>
    </row>
    <row r="768" spans="1:3" x14ac:dyDescent="0.2">
      <c r="A768" s="11"/>
      <c r="B768" s="11"/>
      <c r="C768" s="11"/>
    </row>
    <row r="769" spans="1:3" x14ac:dyDescent="0.2">
      <c r="A769" s="11"/>
      <c r="B769" s="11"/>
      <c r="C769" s="11"/>
    </row>
    <row r="770" spans="1:3" x14ac:dyDescent="0.2">
      <c r="A770" s="11"/>
      <c r="B770" s="11"/>
      <c r="C770" s="11"/>
    </row>
    <row r="771" spans="1:3" x14ac:dyDescent="0.2">
      <c r="A771" s="11"/>
      <c r="B771" s="11"/>
      <c r="C771" s="11"/>
    </row>
    <row r="772" spans="1:3" x14ac:dyDescent="0.2">
      <c r="A772" s="11"/>
      <c r="B772" s="11"/>
      <c r="C772" s="11"/>
    </row>
    <row r="773" spans="1:3" x14ac:dyDescent="0.2">
      <c r="A773" s="11"/>
      <c r="B773" s="11"/>
      <c r="C773" s="11"/>
    </row>
    <row r="774" spans="1:3" x14ac:dyDescent="0.2">
      <c r="A774" s="11"/>
      <c r="B774" s="11"/>
      <c r="C774" s="11"/>
    </row>
    <row r="775" spans="1:3" x14ac:dyDescent="0.2">
      <c r="A775" s="11"/>
      <c r="B775" s="11"/>
      <c r="C775" s="11"/>
    </row>
    <row r="776" spans="1:3" x14ac:dyDescent="0.2">
      <c r="A776" s="11"/>
      <c r="B776" s="11"/>
      <c r="C776" s="11"/>
    </row>
    <row r="777" spans="1:3" x14ac:dyDescent="0.2">
      <c r="A777" s="11"/>
      <c r="B777" s="11"/>
      <c r="C777" s="11"/>
    </row>
    <row r="778" spans="1:3" x14ac:dyDescent="0.2">
      <c r="A778" s="11"/>
      <c r="B778" s="11"/>
      <c r="C778" s="11"/>
    </row>
    <row r="779" spans="1:3" x14ac:dyDescent="0.2">
      <c r="A779" s="11"/>
      <c r="B779" s="11"/>
      <c r="C779" s="11"/>
    </row>
    <row r="780" spans="1:3" x14ac:dyDescent="0.2">
      <c r="A780" s="11"/>
      <c r="B780" s="11"/>
      <c r="C780" s="11"/>
    </row>
    <row r="781" spans="1:3" x14ac:dyDescent="0.2">
      <c r="A781" s="11"/>
      <c r="B781" s="11"/>
      <c r="C781" s="11"/>
    </row>
    <row r="782" spans="1:3" x14ac:dyDescent="0.2">
      <c r="A782" s="11"/>
      <c r="B782" s="11"/>
      <c r="C782" s="11"/>
    </row>
    <row r="783" spans="1:3" x14ac:dyDescent="0.2">
      <c r="A783" s="11"/>
      <c r="B783" s="11"/>
      <c r="C783" s="11"/>
    </row>
    <row r="784" spans="1:3" x14ac:dyDescent="0.2">
      <c r="A784" s="11"/>
      <c r="B784" s="11"/>
      <c r="C784" s="11"/>
    </row>
    <row r="785" spans="1:3" x14ac:dyDescent="0.2">
      <c r="A785" s="11"/>
      <c r="B785" s="11"/>
      <c r="C785" s="11"/>
    </row>
    <row r="786" spans="1:3" x14ac:dyDescent="0.2">
      <c r="A786" s="11"/>
      <c r="B786" s="11"/>
      <c r="C786" s="11"/>
    </row>
    <row r="787" spans="1:3" x14ac:dyDescent="0.2">
      <c r="A787" s="11"/>
      <c r="B787" s="11"/>
      <c r="C787" s="11"/>
    </row>
    <row r="788" spans="1:3" x14ac:dyDescent="0.2">
      <c r="A788" s="11"/>
      <c r="B788" s="11"/>
      <c r="C788" s="11"/>
    </row>
    <row r="789" spans="1:3" x14ac:dyDescent="0.2">
      <c r="A789" s="11"/>
      <c r="B789" s="11"/>
      <c r="C789" s="11"/>
    </row>
    <row r="790" spans="1:3" x14ac:dyDescent="0.2">
      <c r="A790" s="11"/>
      <c r="B790" s="11"/>
      <c r="C790" s="11"/>
    </row>
    <row r="791" spans="1:3" x14ac:dyDescent="0.2">
      <c r="A791" s="11"/>
      <c r="B791" s="11"/>
      <c r="C791" s="11"/>
    </row>
    <row r="792" spans="1:3" x14ac:dyDescent="0.2">
      <c r="A792" s="11"/>
      <c r="B792" s="11"/>
      <c r="C792" s="11"/>
    </row>
    <row r="793" spans="1:3" x14ac:dyDescent="0.2">
      <c r="A793" s="11"/>
      <c r="B793" s="11"/>
      <c r="C793" s="11"/>
    </row>
    <row r="794" spans="1:3" x14ac:dyDescent="0.2">
      <c r="A794" s="11"/>
      <c r="B794" s="11"/>
      <c r="C794" s="11"/>
    </row>
    <row r="795" spans="1:3" x14ac:dyDescent="0.2">
      <c r="A795" s="11"/>
      <c r="B795" s="11"/>
      <c r="C795" s="11"/>
    </row>
    <row r="796" spans="1:3" x14ac:dyDescent="0.2">
      <c r="A796" s="11"/>
      <c r="B796" s="11"/>
      <c r="C796" s="11"/>
    </row>
    <row r="797" spans="1:3" x14ac:dyDescent="0.2">
      <c r="A797" s="11"/>
      <c r="B797" s="11"/>
      <c r="C797" s="11"/>
    </row>
    <row r="798" spans="1:3" x14ac:dyDescent="0.2">
      <c r="A798" s="11"/>
      <c r="B798" s="11"/>
      <c r="C798" s="11"/>
    </row>
    <row r="799" spans="1:3" x14ac:dyDescent="0.2">
      <c r="A799" s="11"/>
      <c r="B799" s="11"/>
      <c r="C799" s="11"/>
    </row>
    <row r="800" spans="1:3" x14ac:dyDescent="0.2">
      <c r="A800" s="11"/>
      <c r="B800" s="11"/>
      <c r="C800" s="11"/>
    </row>
    <row r="801" spans="1:3" x14ac:dyDescent="0.2">
      <c r="A801" s="11"/>
      <c r="B801" s="11"/>
      <c r="C801" s="11"/>
    </row>
    <row r="802" spans="1:3" x14ac:dyDescent="0.2">
      <c r="A802" s="11"/>
      <c r="B802" s="11"/>
      <c r="C802" s="11"/>
    </row>
    <row r="803" spans="1:3" x14ac:dyDescent="0.2">
      <c r="A803" s="11"/>
      <c r="B803" s="11"/>
      <c r="C803" s="11"/>
    </row>
    <row r="804" spans="1:3" x14ac:dyDescent="0.2">
      <c r="A804" s="11"/>
      <c r="B804" s="11"/>
      <c r="C804" s="11"/>
    </row>
    <row r="805" spans="1:3" x14ac:dyDescent="0.2">
      <c r="A805" s="11"/>
      <c r="B805" s="11"/>
      <c r="C805" s="11"/>
    </row>
    <row r="806" spans="1:3" x14ac:dyDescent="0.2">
      <c r="A806" s="11"/>
      <c r="B806" s="11"/>
      <c r="C806" s="11"/>
    </row>
    <row r="807" spans="1:3" x14ac:dyDescent="0.2">
      <c r="A807" s="11"/>
      <c r="B807" s="11"/>
      <c r="C807" s="11"/>
    </row>
    <row r="808" spans="1:3" x14ac:dyDescent="0.2">
      <c r="A808" s="11"/>
      <c r="B808" s="11"/>
      <c r="C808" s="11"/>
    </row>
    <row r="809" spans="1:3" x14ac:dyDescent="0.2">
      <c r="A809" s="11"/>
      <c r="B809" s="11"/>
      <c r="C809" s="11"/>
    </row>
    <row r="810" spans="1:3" x14ac:dyDescent="0.2">
      <c r="A810" s="11"/>
      <c r="B810" s="11"/>
      <c r="C810" s="11"/>
    </row>
    <row r="811" spans="1:3" x14ac:dyDescent="0.2">
      <c r="A811" s="11"/>
      <c r="B811" s="11"/>
      <c r="C811" s="11"/>
    </row>
    <row r="812" spans="1:3" x14ac:dyDescent="0.2">
      <c r="A812" s="11"/>
      <c r="B812" s="11"/>
      <c r="C812" s="11"/>
    </row>
    <row r="813" spans="1:3" x14ac:dyDescent="0.2">
      <c r="A813" s="11"/>
      <c r="B813" s="11"/>
      <c r="C813" s="11"/>
    </row>
    <row r="814" spans="1:3" x14ac:dyDescent="0.2">
      <c r="A814" s="11"/>
      <c r="B814" s="11"/>
      <c r="C814" s="11"/>
    </row>
    <row r="815" spans="1:3" x14ac:dyDescent="0.2">
      <c r="A815" s="11"/>
      <c r="B815" s="11"/>
      <c r="C815" s="11"/>
    </row>
    <row r="816" spans="1:3" x14ac:dyDescent="0.2">
      <c r="A816" s="11"/>
      <c r="B816" s="11"/>
      <c r="C816" s="11"/>
    </row>
    <row r="817" spans="1:3" x14ac:dyDescent="0.2">
      <c r="A817" s="11"/>
      <c r="B817" s="11"/>
      <c r="C817" s="11"/>
    </row>
    <row r="818" spans="1:3" x14ac:dyDescent="0.2">
      <c r="A818" s="11"/>
      <c r="B818" s="11"/>
      <c r="C818" s="11"/>
    </row>
    <row r="819" spans="1:3" x14ac:dyDescent="0.2">
      <c r="A819" s="11"/>
      <c r="B819" s="11"/>
      <c r="C819" s="11"/>
    </row>
    <row r="820" spans="1:3" x14ac:dyDescent="0.2">
      <c r="A820" s="11"/>
      <c r="B820" s="11"/>
      <c r="C820" s="11"/>
    </row>
    <row r="821" spans="1:3" x14ac:dyDescent="0.2">
      <c r="A821" s="11"/>
      <c r="B821" s="11"/>
      <c r="C821" s="11"/>
    </row>
    <row r="822" spans="1:3" x14ac:dyDescent="0.2">
      <c r="A822" s="11"/>
      <c r="B822" s="11"/>
      <c r="C822" s="11"/>
    </row>
    <row r="823" spans="1:3" x14ac:dyDescent="0.2">
      <c r="A823" s="11"/>
      <c r="B823" s="11"/>
      <c r="C823" s="11"/>
    </row>
    <row r="824" spans="1:3" x14ac:dyDescent="0.2">
      <c r="A824" s="11"/>
      <c r="B824" s="11"/>
      <c r="C824" s="11"/>
    </row>
    <row r="825" spans="1:3" x14ac:dyDescent="0.2">
      <c r="A825" s="11"/>
      <c r="B825" s="11"/>
      <c r="C825" s="11"/>
    </row>
    <row r="826" spans="1:3" x14ac:dyDescent="0.2">
      <c r="A826" s="11"/>
      <c r="B826" s="11"/>
      <c r="C826" s="11"/>
    </row>
    <row r="827" spans="1:3" x14ac:dyDescent="0.2">
      <c r="A827" s="11"/>
      <c r="B827" s="11"/>
      <c r="C827" s="11"/>
    </row>
    <row r="828" spans="1:3" x14ac:dyDescent="0.2">
      <c r="A828" s="11"/>
      <c r="B828" s="11"/>
      <c r="C828" s="11"/>
    </row>
    <row r="829" spans="1:3" x14ac:dyDescent="0.2">
      <c r="A829" s="11"/>
      <c r="B829" s="11"/>
      <c r="C829" s="11"/>
    </row>
    <row r="830" spans="1:3" x14ac:dyDescent="0.2">
      <c r="A830" s="11"/>
      <c r="B830" s="11"/>
      <c r="C830" s="11"/>
    </row>
    <row r="831" spans="1:3" x14ac:dyDescent="0.2">
      <c r="A831" s="11"/>
      <c r="B831" s="11"/>
      <c r="C831" s="11"/>
    </row>
    <row r="832" spans="1:3" x14ac:dyDescent="0.2">
      <c r="A832" s="11"/>
      <c r="B832" s="11"/>
      <c r="C832" s="11"/>
    </row>
    <row r="833" spans="1:3" x14ac:dyDescent="0.2">
      <c r="A833" s="11"/>
      <c r="B833" s="11"/>
      <c r="C833" s="11"/>
    </row>
    <row r="834" spans="1:3" x14ac:dyDescent="0.2">
      <c r="A834" s="11"/>
      <c r="B834" s="11"/>
      <c r="C834" s="11"/>
    </row>
    <row r="835" spans="1:3" x14ac:dyDescent="0.2">
      <c r="A835" s="11"/>
      <c r="B835" s="11"/>
      <c r="C835" s="11"/>
    </row>
    <row r="836" spans="1:3" x14ac:dyDescent="0.2">
      <c r="A836" s="11"/>
      <c r="B836" s="11"/>
      <c r="C836" s="11"/>
    </row>
    <row r="837" spans="1:3" x14ac:dyDescent="0.2">
      <c r="A837" s="11"/>
      <c r="B837" s="11"/>
      <c r="C837" s="11"/>
    </row>
    <row r="838" spans="1:3" x14ac:dyDescent="0.2">
      <c r="A838" s="11"/>
      <c r="B838" s="11"/>
      <c r="C838" s="11"/>
    </row>
    <row r="839" spans="1:3" x14ac:dyDescent="0.2">
      <c r="A839" s="11"/>
      <c r="B839" s="11"/>
      <c r="C839" s="11"/>
    </row>
    <row r="840" spans="1:3" x14ac:dyDescent="0.2">
      <c r="A840" s="11"/>
      <c r="B840" s="11"/>
      <c r="C840" s="11"/>
    </row>
    <row r="841" spans="1:3" x14ac:dyDescent="0.2">
      <c r="A841" s="11"/>
      <c r="B841" s="11"/>
      <c r="C841" s="11"/>
    </row>
    <row r="842" spans="1:3" x14ac:dyDescent="0.2">
      <c r="A842" s="11"/>
      <c r="B842" s="11"/>
      <c r="C842" s="11"/>
    </row>
    <row r="843" spans="1:3" x14ac:dyDescent="0.2">
      <c r="A843" s="11"/>
      <c r="B843" s="11"/>
      <c r="C843" s="11"/>
    </row>
    <row r="844" spans="1:3" x14ac:dyDescent="0.2">
      <c r="A844" s="11"/>
      <c r="B844" s="11"/>
      <c r="C844" s="11"/>
    </row>
    <row r="845" spans="1:3" x14ac:dyDescent="0.2">
      <c r="A845" s="11"/>
      <c r="B845" s="11"/>
      <c r="C845" s="11"/>
    </row>
    <row r="846" spans="1:3" x14ac:dyDescent="0.2">
      <c r="A846" s="11"/>
      <c r="B846" s="11"/>
      <c r="C846" s="11"/>
    </row>
    <row r="847" spans="1:3" x14ac:dyDescent="0.2">
      <c r="A847" s="11"/>
      <c r="B847" s="11"/>
      <c r="C847" s="11"/>
    </row>
    <row r="848" spans="1:3" x14ac:dyDescent="0.2">
      <c r="A848" s="11"/>
      <c r="B848" s="11"/>
      <c r="C848" s="11"/>
    </row>
    <row r="849" spans="1:3" x14ac:dyDescent="0.2">
      <c r="A849" s="11"/>
      <c r="B849" s="11"/>
      <c r="C849" s="11"/>
    </row>
    <row r="850" spans="1:3" x14ac:dyDescent="0.2">
      <c r="A850" s="11"/>
      <c r="B850" s="11"/>
      <c r="C850" s="11"/>
    </row>
    <row r="851" spans="1:3" x14ac:dyDescent="0.2">
      <c r="A851" s="11"/>
      <c r="B851" s="11"/>
      <c r="C851" s="11"/>
    </row>
    <row r="852" spans="1:3" x14ac:dyDescent="0.2">
      <c r="A852" s="11"/>
      <c r="B852" s="11"/>
      <c r="C852" s="11"/>
    </row>
    <row r="853" spans="1:3" x14ac:dyDescent="0.2">
      <c r="A853" s="11"/>
      <c r="B853" s="11"/>
      <c r="C853" s="11"/>
    </row>
    <row r="854" spans="1:3" x14ac:dyDescent="0.2">
      <c r="A854" s="11"/>
      <c r="B854" s="11"/>
      <c r="C854" s="11"/>
    </row>
    <row r="855" spans="1:3" x14ac:dyDescent="0.2">
      <c r="A855" s="11"/>
      <c r="B855" s="11"/>
      <c r="C855" s="11"/>
    </row>
    <row r="856" spans="1:3" x14ac:dyDescent="0.2">
      <c r="A856" s="11"/>
      <c r="B856" s="11"/>
      <c r="C856" s="11"/>
    </row>
    <row r="857" spans="1:3" x14ac:dyDescent="0.2">
      <c r="A857" s="11"/>
      <c r="B857" s="11"/>
      <c r="C857" s="11"/>
    </row>
    <row r="858" spans="1:3" x14ac:dyDescent="0.2">
      <c r="A858" s="11"/>
      <c r="B858" s="11"/>
      <c r="C858" s="11"/>
    </row>
    <row r="859" spans="1:3" x14ac:dyDescent="0.2">
      <c r="A859" s="11"/>
      <c r="B859" s="11"/>
      <c r="C859" s="11"/>
    </row>
    <row r="860" spans="1:3" x14ac:dyDescent="0.2">
      <c r="A860" s="11"/>
      <c r="B860" s="11"/>
      <c r="C860" s="11"/>
    </row>
    <row r="861" spans="1:3" x14ac:dyDescent="0.2">
      <c r="A861" s="11"/>
      <c r="B861" s="11"/>
      <c r="C861" s="11"/>
    </row>
    <row r="862" spans="1:3" x14ac:dyDescent="0.2">
      <c r="A862" s="11"/>
      <c r="B862" s="11"/>
      <c r="C862" s="11"/>
    </row>
    <row r="863" spans="1:3" x14ac:dyDescent="0.2">
      <c r="A863" s="11"/>
      <c r="B863" s="11"/>
      <c r="C863" s="11"/>
    </row>
    <row r="864" spans="1:3" x14ac:dyDescent="0.2">
      <c r="A864" s="11"/>
      <c r="B864" s="11"/>
      <c r="C864" s="11"/>
    </row>
    <row r="865" spans="1:3" x14ac:dyDescent="0.2">
      <c r="A865" s="11"/>
      <c r="B865" s="11"/>
      <c r="C865" s="11"/>
    </row>
    <row r="866" spans="1:3" x14ac:dyDescent="0.2">
      <c r="A866" s="11"/>
      <c r="B866" s="11"/>
      <c r="C866" s="11"/>
    </row>
    <row r="867" spans="1:3" x14ac:dyDescent="0.2">
      <c r="A867" s="11"/>
      <c r="B867" s="11"/>
      <c r="C867" s="11"/>
    </row>
    <row r="868" spans="1:3" x14ac:dyDescent="0.2">
      <c r="A868" s="11"/>
      <c r="B868" s="11"/>
      <c r="C868" s="11"/>
    </row>
    <row r="869" spans="1:3" x14ac:dyDescent="0.2">
      <c r="A869" s="11"/>
      <c r="B869" s="11"/>
      <c r="C869" s="11"/>
    </row>
    <row r="870" spans="1:3" x14ac:dyDescent="0.2">
      <c r="A870" s="11"/>
      <c r="B870" s="11"/>
      <c r="C870" s="11"/>
    </row>
    <row r="871" spans="1:3" x14ac:dyDescent="0.2">
      <c r="A871" s="11"/>
      <c r="B871" s="11"/>
      <c r="C871" s="11"/>
    </row>
    <row r="872" spans="1:3" x14ac:dyDescent="0.2">
      <c r="A872" s="11"/>
      <c r="B872" s="11"/>
      <c r="C872" s="11"/>
    </row>
    <row r="873" spans="1:3" x14ac:dyDescent="0.2">
      <c r="A873" s="11"/>
      <c r="B873" s="11"/>
      <c r="C873" s="11"/>
    </row>
    <row r="874" spans="1:3" x14ac:dyDescent="0.2">
      <c r="A874" s="11"/>
      <c r="B874" s="11"/>
      <c r="C874" s="11"/>
    </row>
    <row r="875" spans="1:3" x14ac:dyDescent="0.2">
      <c r="A875" s="11"/>
      <c r="B875" s="11"/>
      <c r="C875" s="11"/>
    </row>
    <row r="876" spans="1:3" x14ac:dyDescent="0.2">
      <c r="A876" s="11"/>
      <c r="B876" s="11"/>
      <c r="C876" s="11"/>
    </row>
    <row r="877" spans="1:3" x14ac:dyDescent="0.2">
      <c r="A877" s="11"/>
      <c r="B877" s="11"/>
      <c r="C877" s="11"/>
    </row>
    <row r="878" spans="1:3" x14ac:dyDescent="0.2">
      <c r="A878" s="11"/>
      <c r="B878" s="11"/>
      <c r="C878" s="11"/>
    </row>
    <row r="879" spans="1:3" x14ac:dyDescent="0.2">
      <c r="A879" s="11"/>
      <c r="B879" s="11"/>
      <c r="C879" s="11"/>
    </row>
    <row r="880" spans="1:3" x14ac:dyDescent="0.2">
      <c r="A880" s="11"/>
      <c r="B880" s="11"/>
      <c r="C880" s="11"/>
    </row>
    <row r="881" spans="1:3" x14ac:dyDescent="0.2">
      <c r="A881" s="11"/>
      <c r="B881" s="11"/>
      <c r="C881" s="11"/>
    </row>
    <row r="882" spans="1:3" x14ac:dyDescent="0.2">
      <c r="A882" s="11"/>
      <c r="B882" s="11"/>
      <c r="C882" s="11"/>
    </row>
    <row r="883" spans="1:3" x14ac:dyDescent="0.2">
      <c r="A883" s="11"/>
      <c r="B883" s="11"/>
      <c r="C883" s="11"/>
    </row>
    <row r="884" spans="1:3" x14ac:dyDescent="0.2">
      <c r="A884" s="11"/>
      <c r="B884" s="11"/>
      <c r="C884" s="11"/>
    </row>
    <row r="885" spans="1:3" x14ac:dyDescent="0.2">
      <c r="A885" s="11"/>
      <c r="B885" s="11"/>
      <c r="C885" s="11"/>
    </row>
    <row r="886" spans="1:3" x14ac:dyDescent="0.2">
      <c r="A886" s="11"/>
      <c r="B886" s="11"/>
      <c r="C886" s="11"/>
    </row>
    <row r="887" spans="1:3" x14ac:dyDescent="0.2">
      <c r="A887" s="11"/>
      <c r="B887" s="11"/>
      <c r="C887" s="11"/>
    </row>
    <row r="888" spans="1:3" x14ac:dyDescent="0.2">
      <c r="A888" s="11"/>
      <c r="B888" s="11"/>
      <c r="C888" s="11"/>
    </row>
    <row r="889" spans="1:3" x14ac:dyDescent="0.2">
      <c r="A889" s="11"/>
      <c r="B889" s="11"/>
      <c r="C889" s="11"/>
    </row>
    <row r="890" spans="1:3" x14ac:dyDescent="0.2">
      <c r="A890" s="11"/>
      <c r="B890" s="11"/>
      <c r="C890" s="11"/>
    </row>
    <row r="891" spans="1:3" x14ac:dyDescent="0.2">
      <c r="A891" s="11"/>
      <c r="B891" s="11"/>
      <c r="C891" s="11"/>
    </row>
    <row r="892" spans="1:3" x14ac:dyDescent="0.2">
      <c r="A892" s="11"/>
      <c r="B892" s="11"/>
      <c r="C892" s="11"/>
    </row>
    <row r="893" spans="1:3" x14ac:dyDescent="0.2">
      <c r="A893" s="11"/>
      <c r="B893" s="11"/>
      <c r="C893" s="11"/>
    </row>
    <row r="894" spans="1:3" x14ac:dyDescent="0.2">
      <c r="A894" s="11"/>
      <c r="B894" s="11"/>
      <c r="C894" s="11"/>
    </row>
    <row r="895" spans="1:3" x14ac:dyDescent="0.2">
      <c r="A895" s="11"/>
      <c r="B895" s="11"/>
      <c r="C895" s="11"/>
    </row>
    <row r="896" spans="1:3" x14ac:dyDescent="0.2">
      <c r="A896" s="11"/>
      <c r="B896" s="11"/>
      <c r="C896" s="11"/>
    </row>
    <row r="897" spans="1:3" x14ac:dyDescent="0.2">
      <c r="A897" s="11"/>
      <c r="B897" s="11"/>
      <c r="C897" s="11"/>
    </row>
    <row r="898" spans="1:3" x14ac:dyDescent="0.2">
      <c r="A898" s="11"/>
      <c r="B898" s="11"/>
      <c r="C898" s="11"/>
    </row>
    <row r="899" spans="1:3" x14ac:dyDescent="0.2">
      <c r="A899" s="11"/>
      <c r="B899" s="11"/>
      <c r="C899" s="11"/>
    </row>
    <row r="900" spans="1:3" x14ac:dyDescent="0.2">
      <c r="A900" s="11"/>
      <c r="B900" s="11"/>
      <c r="C900" s="11"/>
    </row>
    <row r="901" spans="1:3" x14ac:dyDescent="0.2">
      <c r="A901" s="11"/>
      <c r="B901" s="11"/>
      <c r="C901" s="11"/>
    </row>
    <row r="902" spans="1:3" x14ac:dyDescent="0.2">
      <c r="A902" s="11"/>
      <c r="B902" s="11"/>
      <c r="C902" s="11"/>
    </row>
    <row r="903" spans="1:3" x14ac:dyDescent="0.2">
      <c r="A903" s="11"/>
      <c r="B903" s="11"/>
      <c r="C903" s="11"/>
    </row>
    <row r="904" spans="1:3" x14ac:dyDescent="0.2">
      <c r="A904" s="11"/>
      <c r="B904" s="11"/>
      <c r="C904" s="11"/>
    </row>
    <row r="905" spans="1:3" x14ac:dyDescent="0.2">
      <c r="A905" s="11"/>
      <c r="B905" s="11"/>
      <c r="C905" s="11"/>
    </row>
    <row r="906" spans="1:3" x14ac:dyDescent="0.2">
      <c r="A906" s="11"/>
      <c r="B906" s="11"/>
      <c r="C906" s="11"/>
    </row>
    <row r="907" spans="1:3" x14ac:dyDescent="0.2">
      <c r="A907" s="11"/>
      <c r="B907" s="11"/>
      <c r="C907" s="11"/>
    </row>
    <row r="908" spans="1:3" x14ac:dyDescent="0.2">
      <c r="A908" s="11"/>
      <c r="B908" s="11"/>
      <c r="C908" s="11"/>
    </row>
    <row r="909" spans="1:3" x14ac:dyDescent="0.2">
      <c r="A909" s="11"/>
      <c r="B909" s="11"/>
      <c r="C909" s="11"/>
    </row>
    <row r="910" spans="1:3" x14ac:dyDescent="0.2">
      <c r="A910" s="11"/>
      <c r="B910" s="11"/>
      <c r="C910" s="11"/>
    </row>
    <row r="911" spans="1:3" x14ac:dyDescent="0.2">
      <c r="A911" s="11"/>
      <c r="B911" s="11"/>
      <c r="C911" s="11"/>
    </row>
    <row r="912" spans="1:3" x14ac:dyDescent="0.2">
      <c r="A912" s="11"/>
      <c r="B912" s="11"/>
      <c r="C912" s="11"/>
    </row>
    <row r="913" spans="1:3" x14ac:dyDescent="0.2">
      <c r="A913" s="11"/>
      <c r="B913" s="11"/>
      <c r="C913" s="11"/>
    </row>
    <row r="914" spans="1:3" x14ac:dyDescent="0.2">
      <c r="A914" s="11"/>
      <c r="B914" s="11"/>
      <c r="C914" s="11"/>
    </row>
    <row r="915" spans="1:3" x14ac:dyDescent="0.2">
      <c r="A915" s="11"/>
      <c r="B915" s="11"/>
      <c r="C915" s="11"/>
    </row>
    <row r="916" spans="1:3" x14ac:dyDescent="0.2">
      <c r="A916" s="11"/>
      <c r="B916" s="11"/>
      <c r="C916" s="11"/>
    </row>
    <row r="917" spans="1:3" x14ac:dyDescent="0.2">
      <c r="A917" s="11"/>
      <c r="B917" s="11"/>
      <c r="C917" s="11"/>
    </row>
    <row r="918" spans="1:3" x14ac:dyDescent="0.2">
      <c r="A918" s="11"/>
      <c r="B918" s="11"/>
      <c r="C918" s="11"/>
    </row>
    <row r="919" spans="1:3" x14ac:dyDescent="0.2">
      <c r="A919" s="11"/>
      <c r="B919" s="11"/>
      <c r="C919" s="11"/>
    </row>
    <row r="920" spans="1:3" x14ac:dyDescent="0.2">
      <c r="A920" s="11"/>
      <c r="B920" s="11"/>
      <c r="C920" s="11"/>
    </row>
    <row r="921" spans="1:3" x14ac:dyDescent="0.2">
      <c r="A921" s="11"/>
      <c r="B921" s="11"/>
      <c r="C921" s="11"/>
    </row>
    <row r="922" spans="1:3" x14ac:dyDescent="0.2">
      <c r="A922" s="11"/>
      <c r="B922" s="11"/>
      <c r="C922" s="11"/>
    </row>
    <row r="923" spans="1:3" x14ac:dyDescent="0.2">
      <c r="A923" s="11"/>
      <c r="B923" s="11"/>
      <c r="C923" s="11"/>
    </row>
    <row r="924" spans="1:3" x14ac:dyDescent="0.2">
      <c r="A924" s="11"/>
      <c r="B924" s="11"/>
      <c r="C924" s="11"/>
    </row>
    <row r="925" spans="1:3" x14ac:dyDescent="0.2">
      <c r="A925" s="11"/>
      <c r="B925" s="11"/>
      <c r="C925" s="11"/>
    </row>
    <row r="926" spans="1:3" x14ac:dyDescent="0.2">
      <c r="A926" s="11"/>
      <c r="B926" s="11"/>
      <c r="C926" s="11"/>
    </row>
    <row r="927" spans="1:3" x14ac:dyDescent="0.2">
      <c r="A927" s="11"/>
      <c r="B927" s="11"/>
      <c r="C927" s="11"/>
    </row>
    <row r="928" spans="1:3" x14ac:dyDescent="0.2">
      <c r="A928" s="11"/>
      <c r="B928" s="11"/>
      <c r="C928" s="11"/>
    </row>
    <row r="929" spans="1:3" x14ac:dyDescent="0.2">
      <c r="A929" s="11"/>
      <c r="B929" s="11"/>
      <c r="C929" s="11"/>
    </row>
    <row r="930" spans="1:3" x14ac:dyDescent="0.2">
      <c r="A930" s="11"/>
      <c r="B930" s="11"/>
      <c r="C930" s="11"/>
    </row>
    <row r="931" spans="1:3" x14ac:dyDescent="0.2">
      <c r="A931" s="11"/>
      <c r="B931" s="11"/>
      <c r="C931" s="11"/>
    </row>
    <row r="932" spans="1:3" x14ac:dyDescent="0.2">
      <c r="A932" s="11"/>
      <c r="B932" s="11"/>
      <c r="C932" s="11"/>
    </row>
    <row r="933" spans="1:3" x14ac:dyDescent="0.2">
      <c r="A933" s="11"/>
      <c r="B933" s="11"/>
      <c r="C933" s="11"/>
    </row>
    <row r="934" spans="1:3" x14ac:dyDescent="0.2">
      <c r="A934" s="11"/>
      <c r="B934" s="11"/>
      <c r="C934" s="11"/>
    </row>
    <row r="935" spans="1:3" x14ac:dyDescent="0.2">
      <c r="A935" s="11"/>
      <c r="B935" s="11"/>
      <c r="C935" s="11"/>
    </row>
    <row r="936" spans="1:3" x14ac:dyDescent="0.2">
      <c r="A936" s="11"/>
      <c r="B936" s="11"/>
      <c r="C936" s="11"/>
    </row>
    <row r="937" spans="1:3" x14ac:dyDescent="0.2">
      <c r="A937" s="11"/>
      <c r="B937" s="11"/>
      <c r="C937" s="11"/>
    </row>
    <row r="938" spans="1:3" x14ac:dyDescent="0.2">
      <c r="A938" s="11"/>
      <c r="B938" s="11"/>
      <c r="C938" s="11"/>
    </row>
    <row r="939" spans="1:3" x14ac:dyDescent="0.2">
      <c r="A939" s="11"/>
      <c r="B939" s="11"/>
      <c r="C939" s="11"/>
    </row>
    <row r="940" spans="1:3" x14ac:dyDescent="0.2">
      <c r="A940" s="11"/>
      <c r="B940" s="11"/>
      <c r="C940" s="11"/>
    </row>
    <row r="941" spans="1:3" x14ac:dyDescent="0.2">
      <c r="A941" s="11"/>
      <c r="B941" s="11"/>
      <c r="C941" s="11"/>
    </row>
    <row r="942" spans="1:3" x14ac:dyDescent="0.2">
      <c r="A942" s="11"/>
      <c r="B942" s="11"/>
      <c r="C942" s="11"/>
    </row>
    <row r="943" spans="1:3" x14ac:dyDescent="0.2">
      <c r="A943" s="11"/>
      <c r="B943" s="11"/>
      <c r="C943" s="11"/>
    </row>
    <row r="944" spans="1:3" x14ac:dyDescent="0.2">
      <c r="A944" s="11"/>
      <c r="B944" s="11"/>
      <c r="C944" s="11"/>
    </row>
    <row r="945" spans="1:3" x14ac:dyDescent="0.2">
      <c r="A945" s="11"/>
      <c r="B945" s="11"/>
      <c r="C945" s="11"/>
    </row>
    <row r="946" spans="1:3" x14ac:dyDescent="0.2">
      <c r="A946" s="11"/>
      <c r="B946" s="11"/>
      <c r="C946" s="11"/>
    </row>
    <row r="947" spans="1:3" x14ac:dyDescent="0.2">
      <c r="A947" s="11"/>
      <c r="B947" s="11"/>
      <c r="C947" s="11"/>
    </row>
    <row r="948" spans="1:3" x14ac:dyDescent="0.2">
      <c r="A948" s="11"/>
      <c r="B948" s="11"/>
      <c r="C948" s="11"/>
    </row>
    <row r="949" spans="1:3" x14ac:dyDescent="0.2">
      <c r="A949" s="11"/>
      <c r="B949" s="11"/>
      <c r="C949" s="11"/>
    </row>
    <row r="950" spans="1:3" x14ac:dyDescent="0.2">
      <c r="A950" s="11"/>
      <c r="B950" s="11"/>
      <c r="C950" s="11"/>
    </row>
    <row r="951" spans="1:3" x14ac:dyDescent="0.2">
      <c r="A951" s="11"/>
      <c r="B951" s="11"/>
      <c r="C951" s="11"/>
    </row>
    <row r="952" spans="1:3" x14ac:dyDescent="0.2">
      <c r="A952" s="11"/>
      <c r="B952" s="11"/>
      <c r="C952" s="11"/>
    </row>
    <row r="953" spans="1:3" x14ac:dyDescent="0.2">
      <c r="A953" s="11"/>
      <c r="B953" s="11"/>
      <c r="C953" s="11"/>
    </row>
    <row r="954" spans="1:3" x14ac:dyDescent="0.2">
      <c r="A954" s="11"/>
      <c r="B954" s="11"/>
      <c r="C954" s="11"/>
    </row>
    <row r="955" spans="1:3" x14ac:dyDescent="0.2">
      <c r="A955" s="11"/>
      <c r="B955" s="11"/>
      <c r="C955" s="11"/>
    </row>
    <row r="956" spans="1:3" x14ac:dyDescent="0.2">
      <c r="A956" s="11"/>
      <c r="B956" s="11"/>
      <c r="C956" s="11"/>
    </row>
    <row r="957" spans="1:3" x14ac:dyDescent="0.2">
      <c r="A957" s="11"/>
      <c r="B957" s="11"/>
      <c r="C957" s="11"/>
    </row>
    <row r="958" spans="1:3" x14ac:dyDescent="0.2">
      <c r="A958" s="11"/>
      <c r="B958" s="11"/>
      <c r="C958" s="11"/>
    </row>
    <row r="959" spans="1:3" x14ac:dyDescent="0.2">
      <c r="A959" s="11"/>
      <c r="B959" s="11"/>
      <c r="C959" s="11"/>
    </row>
    <row r="960" spans="1:3" x14ac:dyDescent="0.2">
      <c r="A960" s="11"/>
      <c r="B960" s="11"/>
      <c r="C960" s="11"/>
    </row>
    <row r="961" spans="1:3" x14ac:dyDescent="0.2">
      <c r="A961" s="11"/>
      <c r="B961" s="11"/>
      <c r="C961" s="11"/>
    </row>
    <row r="962" spans="1:3" x14ac:dyDescent="0.2">
      <c r="A962" s="11"/>
      <c r="B962" s="11"/>
      <c r="C962" s="11"/>
    </row>
    <row r="963" spans="1:3" x14ac:dyDescent="0.2">
      <c r="A963" s="11"/>
      <c r="B963" s="11"/>
      <c r="C963" s="11"/>
    </row>
    <row r="964" spans="1:3" x14ac:dyDescent="0.2">
      <c r="A964" s="11"/>
      <c r="B964" s="11"/>
      <c r="C964" s="11"/>
    </row>
    <row r="965" spans="1:3" x14ac:dyDescent="0.2">
      <c r="A965" s="11"/>
      <c r="B965" s="11"/>
      <c r="C965" s="11"/>
    </row>
    <row r="966" spans="1:3" x14ac:dyDescent="0.2">
      <c r="A966" s="11"/>
      <c r="B966" s="11"/>
      <c r="C966" s="11"/>
    </row>
    <row r="967" spans="1:3" x14ac:dyDescent="0.2">
      <c r="A967" s="11"/>
      <c r="B967" s="11"/>
      <c r="C967" s="11"/>
    </row>
    <row r="968" spans="1:3" x14ac:dyDescent="0.2">
      <c r="A968" s="11"/>
      <c r="B968" s="11"/>
      <c r="C968" s="11"/>
    </row>
    <row r="969" spans="1:3" x14ac:dyDescent="0.2">
      <c r="A969" s="11"/>
      <c r="B969" s="11"/>
      <c r="C969" s="11"/>
    </row>
    <row r="970" spans="1:3" x14ac:dyDescent="0.2">
      <c r="A970" s="11"/>
      <c r="B970" s="11"/>
      <c r="C970" s="11"/>
    </row>
    <row r="971" spans="1:3" x14ac:dyDescent="0.2">
      <c r="A971" s="11"/>
      <c r="B971" s="11"/>
      <c r="C971" s="11"/>
    </row>
    <row r="972" spans="1:3" x14ac:dyDescent="0.2">
      <c r="A972" s="11"/>
      <c r="B972" s="11"/>
      <c r="C972" s="11"/>
    </row>
    <row r="973" spans="1:3" x14ac:dyDescent="0.2">
      <c r="A973" s="11"/>
      <c r="B973" s="11"/>
      <c r="C973" s="11"/>
    </row>
    <row r="974" spans="1:3" x14ac:dyDescent="0.2">
      <c r="A974" s="11"/>
      <c r="B974" s="11"/>
      <c r="C974" s="11"/>
    </row>
    <row r="975" spans="1:3" x14ac:dyDescent="0.2">
      <c r="A975" s="11"/>
      <c r="B975" s="11"/>
      <c r="C975" s="11"/>
    </row>
    <row r="976" spans="1:3" x14ac:dyDescent="0.2">
      <c r="A976" s="11"/>
      <c r="B976" s="11"/>
      <c r="C976" s="11"/>
    </row>
    <row r="977" spans="1:3" x14ac:dyDescent="0.2">
      <c r="A977" s="11"/>
      <c r="B977" s="11"/>
      <c r="C977" s="11"/>
    </row>
    <row r="978" spans="1:3" x14ac:dyDescent="0.2">
      <c r="A978" s="11"/>
      <c r="B978" s="11"/>
      <c r="C978" s="11"/>
    </row>
    <row r="979" spans="1:3" x14ac:dyDescent="0.2">
      <c r="A979" s="11"/>
      <c r="B979" s="11"/>
      <c r="C979" s="11"/>
    </row>
    <row r="980" spans="1:3" x14ac:dyDescent="0.2">
      <c r="A980" s="11"/>
      <c r="B980" s="11"/>
      <c r="C980" s="11"/>
    </row>
    <row r="981" spans="1:3" x14ac:dyDescent="0.2">
      <c r="A981" s="11"/>
      <c r="B981" s="11"/>
      <c r="C981" s="11"/>
    </row>
    <row r="982" spans="1:3" x14ac:dyDescent="0.2">
      <c r="A982" s="11"/>
      <c r="B982" s="11"/>
      <c r="C982" s="11"/>
    </row>
    <row r="983" spans="1:3" x14ac:dyDescent="0.2">
      <c r="A983" s="11"/>
      <c r="B983" s="11"/>
      <c r="C983" s="11"/>
    </row>
    <row r="984" spans="1:3" x14ac:dyDescent="0.2">
      <c r="A984" s="11"/>
      <c r="B984" s="11"/>
      <c r="C984" s="11"/>
    </row>
    <row r="985" spans="1:3" x14ac:dyDescent="0.2">
      <c r="A985" s="11"/>
      <c r="B985" s="11"/>
      <c r="C985" s="11"/>
    </row>
    <row r="986" spans="1:3" x14ac:dyDescent="0.2">
      <c r="A986" s="11"/>
      <c r="B986" s="11"/>
      <c r="C986" s="11"/>
    </row>
    <row r="987" spans="1:3" x14ac:dyDescent="0.2">
      <c r="A987" s="11"/>
      <c r="B987" s="11"/>
      <c r="C987" s="11"/>
    </row>
    <row r="988" spans="1:3" x14ac:dyDescent="0.2">
      <c r="A988" s="11"/>
      <c r="B988" s="11"/>
      <c r="C988" s="11"/>
    </row>
    <row r="989" spans="1:3" x14ac:dyDescent="0.2">
      <c r="A989" s="11"/>
      <c r="B989" s="11"/>
      <c r="C989" s="11"/>
    </row>
    <row r="990" spans="1:3" x14ac:dyDescent="0.2">
      <c r="A990" s="11"/>
      <c r="B990" s="11"/>
      <c r="C990" s="11"/>
    </row>
    <row r="991" spans="1:3" x14ac:dyDescent="0.2">
      <c r="A991" s="11"/>
      <c r="B991" s="11"/>
      <c r="C991" s="11"/>
    </row>
    <row r="992" spans="1:3" x14ac:dyDescent="0.2">
      <c r="A992" s="11"/>
      <c r="B992" s="11"/>
      <c r="C992" s="11"/>
    </row>
    <row r="993" spans="1:3" x14ac:dyDescent="0.2">
      <c r="A993" s="11"/>
      <c r="B993" s="11"/>
      <c r="C993" s="11"/>
    </row>
    <row r="994" spans="1:3" x14ac:dyDescent="0.2">
      <c r="A994" s="11"/>
      <c r="B994" s="11"/>
      <c r="C994" s="11"/>
    </row>
    <row r="995" spans="1:3" x14ac:dyDescent="0.2">
      <c r="A995" s="11"/>
      <c r="B995" s="11"/>
      <c r="C995" s="11"/>
    </row>
    <row r="996" spans="1:3" x14ac:dyDescent="0.2">
      <c r="A996" s="11"/>
      <c r="B996" s="11"/>
      <c r="C996" s="11"/>
    </row>
    <row r="997" spans="1:3" x14ac:dyDescent="0.2">
      <c r="A997" s="11"/>
      <c r="B997" s="11"/>
      <c r="C997" s="11"/>
    </row>
    <row r="998" spans="1:3" x14ac:dyDescent="0.2">
      <c r="A998" s="11"/>
      <c r="B998" s="11"/>
      <c r="C998" s="11"/>
    </row>
    <row r="999" spans="1:3" x14ac:dyDescent="0.2">
      <c r="A999" s="11"/>
      <c r="B999" s="11"/>
      <c r="C999" s="11"/>
    </row>
    <row r="1000" spans="1:3" x14ac:dyDescent="0.2">
      <c r="A1000" s="11"/>
      <c r="B1000" s="11"/>
      <c r="C1000" s="11"/>
    </row>
    <row r="1001" spans="1:3" x14ac:dyDescent="0.2">
      <c r="A1001" s="11"/>
      <c r="B1001" s="11"/>
      <c r="C1001" s="11"/>
    </row>
    <row r="1002" spans="1:3" x14ac:dyDescent="0.2">
      <c r="A1002" s="11"/>
      <c r="B1002" s="11"/>
      <c r="C1002" s="11"/>
    </row>
    <row r="1003" spans="1:3" x14ac:dyDescent="0.2">
      <c r="A1003" s="11"/>
      <c r="B1003" s="11"/>
      <c r="C1003" s="11"/>
    </row>
    <row r="1004" spans="1:3" x14ac:dyDescent="0.2">
      <c r="A1004" s="11"/>
      <c r="B1004" s="11"/>
      <c r="C1004" s="11"/>
    </row>
    <row r="1005" spans="1:3" x14ac:dyDescent="0.2">
      <c r="A1005" s="11"/>
      <c r="B1005" s="11"/>
      <c r="C1005" s="11"/>
    </row>
    <row r="1006" spans="1:3" x14ac:dyDescent="0.2">
      <c r="A1006" s="11"/>
      <c r="B1006" s="11"/>
      <c r="C1006" s="11"/>
    </row>
    <row r="1007" spans="1:3" x14ac:dyDescent="0.2">
      <c r="A1007" s="11"/>
      <c r="B1007" s="11"/>
      <c r="C1007" s="11"/>
    </row>
    <row r="1008" spans="1:3" x14ac:dyDescent="0.2">
      <c r="A1008" s="11"/>
      <c r="B1008" s="11"/>
      <c r="C1008" s="11"/>
    </row>
    <row r="1009" spans="1:3" x14ac:dyDescent="0.2">
      <c r="A1009" s="11"/>
      <c r="B1009" s="11"/>
      <c r="C1009" s="11"/>
    </row>
    <row r="1010" spans="1:3" x14ac:dyDescent="0.2">
      <c r="A1010" s="11"/>
      <c r="B1010" s="11"/>
      <c r="C1010" s="11"/>
    </row>
    <row r="1011" spans="1:3" x14ac:dyDescent="0.2">
      <c r="A1011" s="11"/>
      <c r="B1011" s="11"/>
      <c r="C1011" s="11"/>
    </row>
    <row r="1012" spans="1:3" x14ac:dyDescent="0.2">
      <c r="A1012" s="11"/>
      <c r="B1012" s="11"/>
      <c r="C1012" s="11"/>
    </row>
    <row r="1013" spans="1:3" x14ac:dyDescent="0.2">
      <c r="A1013" s="11"/>
      <c r="B1013" s="11"/>
      <c r="C1013" s="11"/>
    </row>
    <row r="1014" spans="1:3" x14ac:dyDescent="0.2">
      <c r="A1014" s="11"/>
      <c r="B1014" s="11"/>
      <c r="C1014" s="11"/>
    </row>
    <row r="1015" spans="1:3" x14ac:dyDescent="0.2">
      <c r="A1015" s="11"/>
      <c r="B1015" s="11"/>
      <c r="C1015" s="11"/>
    </row>
    <row r="1016" spans="1:3" x14ac:dyDescent="0.2">
      <c r="A1016" s="11"/>
      <c r="B1016" s="11"/>
      <c r="C1016" s="11"/>
    </row>
    <row r="1017" spans="1:3" x14ac:dyDescent="0.2">
      <c r="A1017" s="11"/>
      <c r="B1017" s="11"/>
      <c r="C1017" s="11"/>
    </row>
    <row r="1018" spans="1:3" x14ac:dyDescent="0.2">
      <c r="A1018" s="11"/>
      <c r="B1018" s="11"/>
      <c r="C1018" s="11"/>
    </row>
    <row r="1019" spans="1:3" x14ac:dyDescent="0.2">
      <c r="A1019" s="11"/>
      <c r="B1019" s="11"/>
      <c r="C1019" s="11"/>
    </row>
    <row r="1020" spans="1:3" x14ac:dyDescent="0.2">
      <c r="A1020" s="11"/>
      <c r="B1020" s="11"/>
      <c r="C1020" s="11"/>
    </row>
    <row r="1021" spans="1:3" x14ac:dyDescent="0.2">
      <c r="A1021" s="11"/>
      <c r="B1021" s="11"/>
      <c r="C1021" s="11"/>
    </row>
    <row r="1022" spans="1:3" x14ac:dyDescent="0.2">
      <c r="A1022" s="11"/>
      <c r="B1022" s="11"/>
      <c r="C1022" s="11"/>
    </row>
    <row r="1023" spans="1:3" x14ac:dyDescent="0.2">
      <c r="A1023" s="11"/>
      <c r="B1023" s="11"/>
      <c r="C1023" s="11"/>
    </row>
    <row r="1024" spans="1:3" x14ac:dyDescent="0.2">
      <c r="A1024" s="11"/>
      <c r="B1024" s="11"/>
      <c r="C1024" s="11"/>
    </row>
    <row r="1025" spans="1:3" x14ac:dyDescent="0.2">
      <c r="A1025" s="11"/>
      <c r="B1025" s="11"/>
      <c r="C1025" s="11"/>
    </row>
    <row r="1026" spans="1:3" x14ac:dyDescent="0.2">
      <c r="A1026" s="11"/>
      <c r="B1026" s="11"/>
      <c r="C1026" s="11"/>
    </row>
    <row r="1027" spans="1:3" x14ac:dyDescent="0.2">
      <c r="A1027" s="11"/>
      <c r="B1027" s="11"/>
      <c r="C1027" s="11"/>
    </row>
    <row r="1028" spans="1:3" x14ac:dyDescent="0.2">
      <c r="A1028" s="11"/>
      <c r="B1028" s="11"/>
      <c r="C1028" s="11"/>
    </row>
    <row r="1029" spans="1:3" x14ac:dyDescent="0.2">
      <c r="A1029" s="11"/>
      <c r="B1029" s="11"/>
      <c r="C1029" s="11"/>
    </row>
    <row r="1030" spans="1:3" x14ac:dyDescent="0.2">
      <c r="A1030" s="11"/>
      <c r="B1030" s="11"/>
      <c r="C1030" s="11"/>
    </row>
    <row r="1031" spans="1:3" x14ac:dyDescent="0.2">
      <c r="A1031" s="11"/>
      <c r="B1031" s="11"/>
      <c r="C1031" s="11"/>
    </row>
    <row r="1032" spans="1:3" x14ac:dyDescent="0.2">
      <c r="A1032" s="11"/>
      <c r="B1032" s="11"/>
      <c r="C1032" s="11"/>
    </row>
    <row r="1033" spans="1:3" x14ac:dyDescent="0.2">
      <c r="A1033" s="11"/>
      <c r="B1033" s="11"/>
      <c r="C1033" s="11"/>
    </row>
    <row r="1034" spans="1:3" x14ac:dyDescent="0.2">
      <c r="A1034" s="11"/>
      <c r="B1034" s="11"/>
      <c r="C1034" s="11"/>
    </row>
    <row r="1035" spans="1:3" x14ac:dyDescent="0.2">
      <c r="A1035" s="11"/>
      <c r="B1035" s="11"/>
      <c r="C1035" s="11"/>
    </row>
    <row r="1036" spans="1:3" x14ac:dyDescent="0.2">
      <c r="A1036" s="11"/>
      <c r="B1036" s="11"/>
      <c r="C1036" s="11"/>
    </row>
    <row r="1037" spans="1:3" x14ac:dyDescent="0.2">
      <c r="A1037" s="11"/>
      <c r="B1037" s="11"/>
      <c r="C1037" s="11"/>
    </row>
    <row r="1038" spans="1:3" x14ac:dyDescent="0.2">
      <c r="A1038" s="11"/>
      <c r="B1038" s="11"/>
      <c r="C1038" s="11"/>
    </row>
    <row r="1039" spans="1:3" x14ac:dyDescent="0.2">
      <c r="A1039" s="11"/>
      <c r="B1039" s="11"/>
      <c r="C1039" s="11"/>
    </row>
    <row r="1040" spans="1:3" x14ac:dyDescent="0.2">
      <c r="A1040" s="11"/>
      <c r="B1040" s="11"/>
      <c r="C1040" s="11"/>
    </row>
    <row r="1041" spans="1:3" x14ac:dyDescent="0.2">
      <c r="A1041" s="11"/>
      <c r="B1041" s="11"/>
      <c r="C1041" s="11"/>
    </row>
    <row r="1042" spans="1:3" x14ac:dyDescent="0.2">
      <c r="A1042" s="11"/>
      <c r="B1042" s="11"/>
      <c r="C1042" s="11"/>
    </row>
    <row r="1043" spans="1:3" x14ac:dyDescent="0.2">
      <c r="A1043" s="11"/>
      <c r="B1043" s="11"/>
      <c r="C1043" s="11"/>
    </row>
    <row r="1044" spans="1:3" x14ac:dyDescent="0.2">
      <c r="A1044" s="11"/>
      <c r="B1044" s="11"/>
      <c r="C1044" s="11"/>
    </row>
    <row r="1045" spans="1:3" x14ac:dyDescent="0.2">
      <c r="A1045" s="11"/>
      <c r="B1045" s="11"/>
      <c r="C1045" s="11"/>
    </row>
    <row r="1046" spans="1:3" x14ac:dyDescent="0.2">
      <c r="A1046" s="11"/>
      <c r="B1046" s="11"/>
      <c r="C1046" s="11"/>
    </row>
    <row r="1047" spans="1:3" x14ac:dyDescent="0.2">
      <c r="A1047" s="11"/>
      <c r="B1047" s="11"/>
      <c r="C1047" s="11"/>
    </row>
    <row r="1048" spans="1:3" x14ac:dyDescent="0.2">
      <c r="A1048" s="11"/>
      <c r="B1048" s="11"/>
      <c r="C1048" s="11"/>
    </row>
    <row r="1049" spans="1:3" x14ac:dyDescent="0.2">
      <c r="A1049" s="11"/>
      <c r="B1049" s="11"/>
      <c r="C1049" s="11"/>
    </row>
    <row r="1050" spans="1:3" x14ac:dyDescent="0.2">
      <c r="A1050" s="11"/>
      <c r="B1050" s="11"/>
      <c r="C1050" s="11"/>
    </row>
    <row r="1051" spans="1:3" x14ac:dyDescent="0.2">
      <c r="A1051" s="11"/>
      <c r="B1051" s="11"/>
      <c r="C1051" s="11"/>
    </row>
    <row r="1052" spans="1:3" x14ac:dyDescent="0.2">
      <c r="A1052" s="11"/>
      <c r="B1052" s="11"/>
      <c r="C1052" s="11"/>
    </row>
    <row r="1053" spans="1:3" x14ac:dyDescent="0.2">
      <c r="A1053" s="11"/>
      <c r="B1053" s="11"/>
      <c r="C1053" s="11"/>
    </row>
    <row r="1054" spans="1:3" x14ac:dyDescent="0.2">
      <c r="A1054" s="11"/>
      <c r="B1054" s="11"/>
      <c r="C1054" s="11"/>
    </row>
    <row r="1055" spans="1:3" x14ac:dyDescent="0.2">
      <c r="A1055" s="11"/>
      <c r="B1055" s="11"/>
      <c r="C1055" s="11"/>
    </row>
    <row r="1056" spans="1:3" x14ac:dyDescent="0.2">
      <c r="A1056" s="11"/>
      <c r="B1056" s="11"/>
      <c r="C1056" s="11"/>
    </row>
    <row r="1057" spans="1:3" x14ac:dyDescent="0.2">
      <c r="A1057" s="11"/>
      <c r="B1057" s="11"/>
      <c r="C1057" s="11"/>
    </row>
    <row r="1058" spans="1:3" x14ac:dyDescent="0.2">
      <c r="A1058" s="11"/>
      <c r="B1058" s="11"/>
      <c r="C1058" s="11"/>
    </row>
    <row r="1059" spans="1:3" x14ac:dyDescent="0.2">
      <c r="A1059" s="11"/>
      <c r="B1059" s="11"/>
      <c r="C1059" s="11"/>
    </row>
    <row r="1060" spans="1:3" x14ac:dyDescent="0.2">
      <c r="A1060" s="11"/>
      <c r="B1060" s="11"/>
      <c r="C1060" s="11"/>
    </row>
    <row r="1061" spans="1:3" x14ac:dyDescent="0.2">
      <c r="A1061" s="11"/>
      <c r="B1061" s="11"/>
      <c r="C1061" s="11"/>
    </row>
    <row r="1062" spans="1:3" x14ac:dyDescent="0.2">
      <c r="A1062" s="11"/>
      <c r="B1062" s="11"/>
      <c r="C1062" s="11"/>
    </row>
    <row r="1063" spans="1:3" x14ac:dyDescent="0.2">
      <c r="A1063" s="11"/>
      <c r="B1063" s="11"/>
      <c r="C1063" s="11"/>
    </row>
    <row r="1064" spans="1:3" x14ac:dyDescent="0.2">
      <c r="A1064" s="11"/>
      <c r="B1064" s="11"/>
      <c r="C1064" s="11"/>
    </row>
    <row r="1065" spans="1:3" x14ac:dyDescent="0.2">
      <c r="A1065" s="11"/>
      <c r="B1065" s="11"/>
      <c r="C1065" s="11"/>
    </row>
    <row r="1066" spans="1:3" x14ac:dyDescent="0.2">
      <c r="A1066" s="11"/>
      <c r="B1066" s="11"/>
      <c r="C1066" s="11"/>
    </row>
    <row r="1067" spans="1:3" x14ac:dyDescent="0.2">
      <c r="A1067" s="11"/>
      <c r="B1067" s="11"/>
      <c r="C1067" s="11"/>
    </row>
    <row r="1068" spans="1:3" x14ac:dyDescent="0.2">
      <c r="A1068" s="11"/>
      <c r="B1068" s="11"/>
      <c r="C1068" s="11"/>
    </row>
    <row r="1069" spans="1:3" x14ac:dyDescent="0.2">
      <c r="A1069" s="11"/>
      <c r="B1069" s="11"/>
      <c r="C1069" s="11"/>
    </row>
    <row r="1070" spans="1:3" x14ac:dyDescent="0.2">
      <c r="A1070" s="11"/>
      <c r="B1070" s="11"/>
      <c r="C1070" s="11"/>
    </row>
    <row r="1071" spans="1:3" x14ac:dyDescent="0.2">
      <c r="A1071" s="11"/>
      <c r="B1071" s="11"/>
      <c r="C1071" s="11"/>
    </row>
    <row r="1072" spans="1:3" x14ac:dyDescent="0.2">
      <c r="A1072" s="11"/>
      <c r="B1072" s="11"/>
      <c r="C1072" s="11"/>
    </row>
    <row r="1073" spans="1:3" x14ac:dyDescent="0.2">
      <c r="A1073" s="11"/>
      <c r="B1073" s="11"/>
      <c r="C1073" s="11"/>
    </row>
    <row r="1074" spans="1:3" x14ac:dyDescent="0.2">
      <c r="A1074" s="11"/>
      <c r="B1074" s="11"/>
      <c r="C1074" s="11"/>
    </row>
    <row r="1075" spans="1:3" x14ac:dyDescent="0.2">
      <c r="A1075" s="11"/>
      <c r="B1075" s="11"/>
      <c r="C1075" s="11"/>
    </row>
    <row r="1076" spans="1:3" x14ac:dyDescent="0.2">
      <c r="A1076" s="11"/>
      <c r="B1076" s="11"/>
      <c r="C1076" s="11"/>
    </row>
    <row r="1077" spans="1:3" x14ac:dyDescent="0.2">
      <c r="A1077" s="11"/>
      <c r="B1077" s="11"/>
      <c r="C1077" s="11"/>
    </row>
    <row r="1078" spans="1:3" x14ac:dyDescent="0.2">
      <c r="A1078" s="11"/>
      <c r="B1078" s="11"/>
      <c r="C1078" s="11"/>
    </row>
    <row r="1079" spans="1:3" x14ac:dyDescent="0.2">
      <c r="A1079" s="11"/>
      <c r="B1079" s="11"/>
      <c r="C1079" s="11"/>
    </row>
    <row r="1080" spans="1:3" x14ac:dyDescent="0.2">
      <c r="A1080" s="11"/>
      <c r="B1080" s="11"/>
      <c r="C1080" s="11"/>
    </row>
    <row r="1081" spans="1:3" x14ac:dyDescent="0.2">
      <c r="A1081" s="11"/>
      <c r="B1081" s="11"/>
      <c r="C1081" s="11"/>
    </row>
    <row r="1082" spans="1:3" x14ac:dyDescent="0.2">
      <c r="A1082" s="11"/>
      <c r="B1082" s="11"/>
      <c r="C1082" s="11"/>
    </row>
    <row r="1083" spans="1:3" x14ac:dyDescent="0.2">
      <c r="A1083" s="11"/>
      <c r="B1083" s="11"/>
      <c r="C1083" s="11"/>
    </row>
    <row r="1084" spans="1:3" x14ac:dyDescent="0.2">
      <c r="A1084" s="11"/>
      <c r="B1084" s="11"/>
      <c r="C1084" s="11"/>
    </row>
    <row r="1085" spans="1:3" x14ac:dyDescent="0.2">
      <c r="A1085" s="11"/>
      <c r="B1085" s="11"/>
      <c r="C1085" s="11"/>
    </row>
    <row r="1086" spans="1:3" x14ac:dyDescent="0.2">
      <c r="A1086" s="11"/>
      <c r="B1086" s="11"/>
      <c r="C1086" s="11"/>
    </row>
    <row r="1087" spans="1:3" x14ac:dyDescent="0.2">
      <c r="A1087" s="11"/>
      <c r="B1087" s="11"/>
      <c r="C1087" s="11"/>
    </row>
    <row r="1088" spans="1:3" x14ac:dyDescent="0.2">
      <c r="A1088" s="11"/>
      <c r="B1088" s="11"/>
      <c r="C1088" s="11"/>
    </row>
    <row r="1089" spans="1:3" x14ac:dyDescent="0.2">
      <c r="A1089" s="11"/>
      <c r="B1089" s="11"/>
      <c r="C1089" s="11"/>
    </row>
    <row r="1090" spans="1:3" x14ac:dyDescent="0.2">
      <c r="A1090" s="11"/>
      <c r="B1090" s="11"/>
      <c r="C1090" s="11"/>
    </row>
    <row r="1091" spans="1:3" x14ac:dyDescent="0.2">
      <c r="A1091" s="11"/>
      <c r="B1091" s="11"/>
      <c r="C1091" s="11"/>
    </row>
    <row r="1092" spans="1:3" x14ac:dyDescent="0.2">
      <c r="A1092" s="11"/>
      <c r="B1092" s="11"/>
      <c r="C1092" s="11"/>
    </row>
    <row r="1093" spans="1:3" x14ac:dyDescent="0.2">
      <c r="A1093" s="11"/>
      <c r="B1093" s="11"/>
      <c r="C1093" s="11"/>
    </row>
    <row r="1094" spans="1:3" x14ac:dyDescent="0.2">
      <c r="A1094" s="11"/>
      <c r="B1094" s="11"/>
      <c r="C1094" s="11"/>
    </row>
    <row r="1095" spans="1:3" x14ac:dyDescent="0.2">
      <c r="A1095" s="11"/>
      <c r="B1095" s="11"/>
      <c r="C1095" s="11"/>
    </row>
    <row r="1096" spans="1:3" x14ac:dyDescent="0.2">
      <c r="A1096" s="11"/>
      <c r="B1096" s="11"/>
      <c r="C1096" s="11"/>
    </row>
    <row r="1097" spans="1:3" x14ac:dyDescent="0.2">
      <c r="A1097" s="11"/>
      <c r="B1097" s="11"/>
      <c r="C1097" s="11"/>
    </row>
    <row r="1098" spans="1:3" x14ac:dyDescent="0.2">
      <c r="A1098" s="11"/>
      <c r="B1098" s="11"/>
      <c r="C1098" s="11"/>
    </row>
    <row r="1099" spans="1:3" x14ac:dyDescent="0.2">
      <c r="A1099" s="11"/>
      <c r="B1099" s="11"/>
      <c r="C1099" s="11"/>
    </row>
    <row r="1100" spans="1:3" x14ac:dyDescent="0.2">
      <c r="A1100" s="11"/>
      <c r="B1100" s="11"/>
      <c r="C1100" s="11"/>
    </row>
    <row r="1101" spans="1:3" x14ac:dyDescent="0.2">
      <c r="A1101" s="11"/>
      <c r="B1101" s="11"/>
      <c r="C1101" s="11"/>
    </row>
    <row r="1102" spans="1:3" x14ac:dyDescent="0.2">
      <c r="A1102" s="11"/>
      <c r="B1102" s="11"/>
      <c r="C1102" s="11"/>
    </row>
    <row r="1103" spans="1:3" x14ac:dyDescent="0.2">
      <c r="A1103" s="11"/>
      <c r="B1103" s="11"/>
      <c r="C1103" s="11"/>
    </row>
    <row r="1104" spans="1:3" x14ac:dyDescent="0.2">
      <c r="A1104" s="11"/>
      <c r="B1104" s="11"/>
      <c r="C1104" s="11"/>
    </row>
    <row r="1105" spans="1:3" x14ac:dyDescent="0.2">
      <c r="A1105" s="11"/>
      <c r="B1105" s="11"/>
      <c r="C1105" s="11"/>
    </row>
    <row r="1106" spans="1:3" x14ac:dyDescent="0.2">
      <c r="A1106" s="11"/>
      <c r="B1106" s="11"/>
      <c r="C1106" s="11"/>
    </row>
    <row r="1107" spans="1:3" x14ac:dyDescent="0.2">
      <c r="A1107" s="11"/>
      <c r="B1107" s="11"/>
      <c r="C1107" s="11"/>
    </row>
    <row r="1108" spans="1:3" x14ac:dyDescent="0.2">
      <c r="A1108" s="11"/>
      <c r="B1108" s="11"/>
      <c r="C1108" s="11"/>
    </row>
    <row r="1109" spans="1:3" x14ac:dyDescent="0.2">
      <c r="A1109" s="11"/>
      <c r="B1109" s="11"/>
      <c r="C1109" s="11"/>
    </row>
    <row r="1110" spans="1:3" x14ac:dyDescent="0.2">
      <c r="A1110" s="11"/>
      <c r="B1110" s="11"/>
      <c r="C1110" s="11"/>
    </row>
    <row r="1111" spans="1:3" x14ac:dyDescent="0.2">
      <c r="A1111" s="11"/>
      <c r="B1111" s="11"/>
      <c r="C1111" s="11"/>
    </row>
    <row r="1112" spans="1:3" x14ac:dyDescent="0.2">
      <c r="A1112" s="11"/>
      <c r="B1112" s="11"/>
      <c r="C1112" s="11"/>
    </row>
    <row r="1113" spans="1:3" x14ac:dyDescent="0.2">
      <c r="A1113" s="11"/>
      <c r="B1113" s="11"/>
      <c r="C1113" s="11"/>
    </row>
    <row r="1114" spans="1:3" x14ac:dyDescent="0.2">
      <c r="A1114" s="11"/>
      <c r="B1114" s="11"/>
      <c r="C1114" s="11"/>
    </row>
    <row r="1115" spans="1:3" x14ac:dyDescent="0.2">
      <c r="A1115" s="11"/>
      <c r="B1115" s="11"/>
      <c r="C1115" s="11"/>
    </row>
    <row r="1116" spans="1:3" x14ac:dyDescent="0.2">
      <c r="A1116" s="11"/>
      <c r="B1116" s="11"/>
      <c r="C1116" s="11"/>
    </row>
    <row r="1117" spans="1:3" x14ac:dyDescent="0.2">
      <c r="A1117" s="11"/>
      <c r="B1117" s="11"/>
      <c r="C1117" s="11"/>
    </row>
    <row r="1118" spans="1:3" x14ac:dyDescent="0.2">
      <c r="A1118" s="11"/>
      <c r="B1118" s="11"/>
      <c r="C1118" s="11"/>
    </row>
    <row r="1119" spans="1:3" x14ac:dyDescent="0.2">
      <c r="A1119" s="11"/>
      <c r="B1119" s="11"/>
      <c r="C1119" s="11"/>
    </row>
    <row r="1120" spans="1:3" x14ac:dyDescent="0.2">
      <c r="A1120" s="11"/>
      <c r="B1120" s="11"/>
      <c r="C1120" s="11"/>
    </row>
    <row r="1121" spans="1:3" x14ac:dyDescent="0.2">
      <c r="A1121" s="11"/>
      <c r="B1121" s="11"/>
      <c r="C1121" s="11"/>
    </row>
    <row r="1122" spans="1:3" x14ac:dyDescent="0.2">
      <c r="A1122" s="11"/>
      <c r="B1122" s="11"/>
      <c r="C1122" s="11"/>
    </row>
    <row r="1123" spans="1:3" x14ac:dyDescent="0.2">
      <c r="A1123" s="11"/>
      <c r="B1123" s="11"/>
      <c r="C1123" s="11"/>
    </row>
    <row r="1124" spans="1:3" x14ac:dyDescent="0.2">
      <c r="A1124" s="11"/>
      <c r="B1124" s="11"/>
      <c r="C1124" s="11"/>
    </row>
    <row r="1125" spans="1:3" x14ac:dyDescent="0.2">
      <c r="A1125" s="11"/>
      <c r="B1125" s="11"/>
      <c r="C1125" s="11"/>
    </row>
    <row r="1126" spans="1:3" x14ac:dyDescent="0.2">
      <c r="A1126" s="11"/>
      <c r="B1126" s="11"/>
      <c r="C1126" s="11"/>
    </row>
    <row r="1127" spans="1:3" x14ac:dyDescent="0.2">
      <c r="A1127" s="11"/>
      <c r="B1127" s="11"/>
      <c r="C1127" s="11"/>
    </row>
    <row r="1128" spans="1:3" x14ac:dyDescent="0.2">
      <c r="A1128" s="11"/>
      <c r="B1128" s="11"/>
      <c r="C1128" s="11"/>
    </row>
    <row r="1129" spans="1:3" x14ac:dyDescent="0.2">
      <c r="A1129" s="11"/>
      <c r="B1129" s="11"/>
      <c r="C1129" s="11"/>
    </row>
    <row r="1130" spans="1:3" x14ac:dyDescent="0.2">
      <c r="A1130" s="11"/>
      <c r="B1130" s="11"/>
      <c r="C1130" s="11"/>
    </row>
    <row r="1131" spans="1:3" x14ac:dyDescent="0.2">
      <c r="A1131" s="11"/>
      <c r="B1131" s="11"/>
      <c r="C1131" s="11"/>
    </row>
    <row r="1132" spans="1:3" x14ac:dyDescent="0.2">
      <c r="A1132" s="11"/>
      <c r="B1132" s="11"/>
      <c r="C1132" s="11"/>
    </row>
    <row r="1133" spans="1:3" x14ac:dyDescent="0.2">
      <c r="A1133" s="11"/>
      <c r="B1133" s="11"/>
      <c r="C1133" s="11"/>
    </row>
    <row r="1134" spans="1:3" x14ac:dyDescent="0.2">
      <c r="A1134" s="11"/>
      <c r="B1134" s="11"/>
      <c r="C1134" s="11"/>
    </row>
    <row r="1135" spans="1:3" x14ac:dyDescent="0.2">
      <c r="A1135" s="11"/>
      <c r="B1135" s="11"/>
      <c r="C1135" s="11"/>
    </row>
    <row r="1136" spans="1:3" x14ac:dyDescent="0.2">
      <c r="A1136" s="11"/>
      <c r="B1136" s="11"/>
      <c r="C1136" s="11"/>
    </row>
    <row r="1137" spans="1:3" x14ac:dyDescent="0.2">
      <c r="A1137" s="11"/>
      <c r="B1137" s="11"/>
      <c r="C1137" s="11"/>
    </row>
    <row r="1138" spans="1:3" x14ac:dyDescent="0.2">
      <c r="A1138" s="11"/>
      <c r="B1138" s="11"/>
      <c r="C1138" s="11"/>
    </row>
    <row r="1139" spans="1:3" x14ac:dyDescent="0.2">
      <c r="A1139" s="11"/>
      <c r="B1139" s="11"/>
      <c r="C1139" s="11"/>
    </row>
    <row r="1140" spans="1:3" x14ac:dyDescent="0.2">
      <c r="A1140" s="11"/>
      <c r="B1140" s="11"/>
      <c r="C1140" s="11"/>
    </row>
    <row r="1141" spans="1:3" x14ac:dyDescent="0.2">
      <c r="A1141" s="11"/>
      <c r="B1141" s="11"/>
      <c r="C1141" s="11"/>
    </row>
    <row r="1142" spans="1:3" x14ac:dyDescent="0.2">
      <c r="A1142" s="11"/>
      <c r="B1142" s="11"/>
      <c r="C1142" s="11"/>
    </row>
    <row r="1143" spans="1:3" x14ac:dyDescent="0.2">
      <c r="A1143" s="11"/>
      <c r="B1143" s="11"/>
      <c r="C1143" s="11"/>
    </row>
    <row r="1144" spans="1:3" x14ac:dyDescent="0.2">
      <c r="A1144" s="11"/>
      <c r="B1144" s="11"/>
      <c r="C1144" s="11"/>
    </row>
    <row r="1145" spans="1:3" x14ac:dyDescent="0.2">
      <c r="A1145" s="11"/>
      <c r="B1145" s="11"/>
      <c r="C1145" s="11"/>
    </row>
    <row r="1146" spans="1:3" x14ac:dyDescent="0.2">
      <c r="A1146" s="11"/>
      <c r="B1146" s="11"/>
      <c r="C1146" s="11"/>
    </row>
    <row r="1147" spans="1:3" x14ac:dyDescent="0.2">
      <c r="A1147" s="11"/>
      <c r="B1147" s="11"/>
      <c r="C1147" s="11"/>
    </row>
    <row r="1148" spans="1:3" x14ac:dyDescent="0.2">
      <c r="A1148" s="11"/>
      <c r="B1148" s="11"/>
      <c r="C1148" s="11"/>
    </row>
    <row r="1149" spans="1:3" x14ac:dyDescent="0.2">
      <c r="A1149" s="11"/>
      <c r="B1149" s="11"/>
      <c r="C1149" s="11"/>
    </row>
    <row r="1150" spans="1:3" x14ac:dyDescent="0.2">
      <c r="A1150" s="11"/>
      <c r="B1150" s="11"/>
      <c r="C1150" s="11"/>
    </row>
    <row r="1151" spans="1:3" x14ac:dyDescent="0.2">
      <c r="A1151" s="11"/>
      <c r="B1151" s="11"/>
      <c r="C1151" s="11"/>
    </row>
    <row r="1152" spans="1:3" x14ac:dyDescent="0.2">
      <c r="A1152" s="11"/>
      <c r="B1152" s="11"/>
      <c r="C1152" s="11"/>
    </row>
    <row r="1153" spans="1:3" x14ac:dyDescent="0.2">
      <c r="A1153" s="11"/>
      <c r="B1153" s="11"/>
      <c r="C1153" s="11"/>
    </row>
    <row r="1154" spans="1:3" x14ac:dyDescent="0.2">
      <c r="A1154" s="11"/>
      <c r="B1154" s="11"/>
      <c r="C1154" s="11"/>
    </row>
    <row r="1155" spans="1:3" x14ac:dyDescent="0.2">
      <c r="A1155" s="11"/>
      <c r="B1155" s="11"/>
      <c r="C1155" s="11"/>
    </row>
    <row r="1156" spans="1:3" x14ac:dyDescent="0.2">
      <c r="A1156" s="11"/>
      <c r="B1156" s="11"/>
      <c r="C1156" s="11"/>
    </row>
    <row r="1157" spans="1:3" x14ac:dyDescent="0.2">
      <c r="A1157" s="11"/>
      <c r="B1157" s="11"/>
      <c r="C1157" s="11"/>
    </row>
    <row r="1158" spans="1:3" x14ac:dyDescent="0.2">
      <c r="A1158" s="11"/>
      <c r="B1158" s="11"/>
      <c r="C1158" s="11"/>
    </row>
    <row r="1159" spans="1:3" x14ac:dyDescent="0.2">
      <c r="A1159" s="11"/>
      <c r="B1159" s="11"/>
      <c r="C1159" s="11"/>
    </row>
    <row r="1160" spans="1:3" x14ac:dyDescent="0.2">
      <c r="A1160" s="11"/>
      <c r="B1160" s="11"/>
      <c r="C1160" s="11"/>
    </row>
    <row r="1161" spans="1:3" x14ac:dyDescent="0.2">
      <c r="A1161" s="11"/>
      <c r="B1161" s="11"/>
      <c r="C1161" s="11"/>
    </row>
    <row r="1162" spans="1:3" x14ac:dyDescent="0.2">
      <c r="A1162" s="11"/>
      <c r="B1162" s="11"/>
      <c r="C1162" s="11"/>
    </row>
    <row r="1163" spans="1:3" x14ac:dyDescent="0.2">
      <c r="A1163" s="11"/>
      <c r="B1163" s="11"/>
      <c r="C1163" s="11"/>
    </row>
    <row r="1164" spans="1:3" x14ac:dyDescent="0.2">
      <c r="A1164" s="11"/>
      <c r="B1164" s="11"/>
      <c r="C1164" s="11"/>
    </row>
    <row r="1165" spans="1:3" x14ac:dyDescent="0.2">
      <c r="A1165" s="11"/>
      <c r="B1165" s="11"/>
      <c r="C1165" s="11"/>
    </row>
    <row r="1166" spans="1:3" x14ac:dyDescent="0.2">
      <c r="A1166" s="11"/>
      <c r="B1166" s="11"/>
      <c r="C1166" s="11"/>
    </row>
    <row r="1167" spans="1:3" x14ac:dyDescent="0.2">
      <c r="A1167" s="11"/>
      <c r="B1167" s="11"/>
      <c r="C1167" s="11"/>
    </row>
    <row r="1168" spans="1:3" x14ac:dyDescent="0.2">
      <c r="A1168" s="11"/>
      <c r="B1168" s="11"/>
      <c r="C1168" s="11"/>
    </row>
    <row r="1169" spans="1:3" x14ac:dyDescent="0.2">
      <c r="A1169" s="11"/>
      <c r="B1169" s="11"/>
      <c r="C1169" s="11"/>
    </row>
    <row r="1170" spans="1:3" x14ac:dyDescent="0.2">
      <c r="A1170" s="11"/>
      <c r="B1170" s="11"/>
      <c r="C1170" s="11"/>
    </row>
    <row r="1171" spans="1:3" x14ac:dyDescent="0.2">
      <c r="A1171" s="11"/>
      <c r="B1171" s="11"/>
      <c r="C1171" s="11"/>
    </row>
    <row r="1172" spans="1:3" x14ac:dyDescent="0.2">
      <c r="A1172" s="11"/>
      <c r="B1172" s="11"/>
      <c r="C1172" s="11"/>
    </row>
    <row r="1173" spans="1:3" x14ac:dyDescent="0.2">
      <c r="A1173" s="11"/>
      <c r="B1173" s="11"/>
      <c r="C1173" s="11"/>
    </row>
    <row r="1174" spans="1:3" x14ac:dyDescent="0.2">
      <c r="A1174" s="11"/>
      <c r="B1174" s="11"/>
      <c r="C1174" s="11"/>
    </row>
    <row r="1175" spans="1:3" x14ac:dyDescent="0.2">
      <c r="A1175" s="11"/>
      <c r="B1175" s="11"/>
      <c r="C1175" s="11"/>
    </row>
    <row r="1176" spans="1:3" x14ac:dyDescent="0.2">
      <c r="A1176" s="11"/>
      <c r="B1176" s="11"/>
      <c r="C1176" s="11"/>
    </row>
    <row r="1177" spans="1:3" x14ac:dyDescent="0.2">
      <c r="A1177" s="11"/>
      <c r="B1177" s="11"/>
      <c r="C1177" s="11"/>
    </row>
    <row r="1178" spans="1:3" x14ac:dyDescent="0.2">
      <c r="A1178" s="11"/>
      <c r="B1178" s="11"/>
      <c r="C1178" s="11"/>
    </row>
    <row r="1179" spans="1:3" x14ac:dyDescent="0.2">
      <c r="A1179" s="11"/>
      <c r="B1179" s="11"/>
      <c r="C1179" s="11"/>
    </row>
    <row r="1180" spans="1:3" x14ac:dyDescent="0.2">
      <c r="A1180" s="11"/>
      <c r="B1180" s="11"/>
      <c r="C1180" s="11"/>
    </row>
    <row r="1181" spans="1:3" x14ac:dyDescent="0.2">
      <c r="A1181" s="11"/>
      <c r="B1181" s="11"/>
      <c r="C1181" s="11"/>
    </row>
    <row r="1182" spans="1:3" x14ac:dyDescent="0.2">
      <c r="A1182" s="11"/>
      <c r="B1182" s="11"/>
      <c r="C1182" s="11"/>
    </row>
    <row r="1183" spans="1:3" x14ac:dyDescent="0.2">
      <c r="A1183" s="11"/>
      <c r="B1183" s="11"/>
      <c r="C1183" s="11"/>
    </row>
    <row r="1184" spans="1:3" x14ac:dyDescent="0.2">
      <c r="A1184" s="11"/>
      <c r="B1184" s="11"/>
      <c r="C1184" s="11"/>
    </row>
    <row r="1185" spans="1:3" x14ac:dyDescent="0.2">
      <c r="A1185" s="11"/>
      <c r="B1185" s="11"/>
      <c r="C1185" s="11"/>
    </row>
    <row r="1186" spans="1:3" x14ac:dyDescent="0.2">
      <c r="A1186" s="11"/>
      <c r="B1186" s="11"/>
      <c r="C1186" s="11"/>
    </row>
    <row r="1187" spans="1:3" x14ac:dyDescent="0.2">
      <c r="A1187" s="11"/>
      <c r="B1187" s="11"/>
      <c r="C1187" s="11"/>
    </row>
    <row r="1188" spans="1:3" x14ac:dyDescent="0.2">
      <c r="A1188" s="11"/>
      <c r="B1188" s="11"/>
      <c r="C1188" s="11"/>
    </row>
    <row r="1189" spans="1:3" x14ac:dyDescent="0.2">
      <c r="A1189" s="11"/>
      <c r="B1189" s="11"/>
      <c r="C1189" s="11"/>
    </row>
    <row r="1190" spans="1:3" x14ac:dyDescent="0.2">
      <c r="A1190" s="11"/>
      <c r="B1190" s="11"/>
      <c r="C1190" s="11"/>
    </row>
    <row r="1191" spans="1:3" x14ac:dyDescent="0.2">
      <c r="A1191" s="11"/>
      <c r="B1191" s="11"/>
      <c r="C1191" s="11"/>
    </row>
    <row r="1192" spans="1:3" x14ac:dyDescent="0.2">
      <c r="A1192" s="11"/>
      <c r="B1192" s="11"/>
      <c r="C1192" s="11"/>
    </row>
    <row r="1193" spans="1:3" x14ac:dyDescent="0.2">
      <c r="A1193" s="11"/>
      <c r="B1193" s="11"/>
      <c r="C1193" s="11"/>
    </row>
    <row r="1194" spans="1:3" x14ac:dyDescent="0.2">
      <c r="A1194" s="11"/>
      <c r="B1194" s="11"/>
      <c r="C1194" s="11"/>
    </row>
    <row r="1195" spans="1:3" x14ac:dyDescent="0.2">
      <c r="A1195" s="11"/>
      <c r="B1195" s="11"/>
      <c r="C1195" s="11"/>
    </row>
    <row r="1196" spans="1:3" x14ac:dyDescent="0.2">
      <c r="A1196" s="11"/>
      <c r="B1196" s="11"/>
      <c r="C1196" s="11"/>
    </row>
    <row r="1197" spans="1:3" x14ac:dyDescent="0.2">
      <c r="A1197" s="11"/>
      <c r="B1197" s="11"/>
      <c r="C1197" s="11"/>
    </row>
    <row r="1198" spans="1:3" x14ac:dyDescent="0.2">
      <c r="A1198" s="11"/>
      <c r="B1198" s="11"/>
      <c r="C1198" s="11"/>
    </row>
    <row r="1199" spans="1:3" x14ac:dyDescent="0.2">
      <c r="A1199" s="11"/>
      <c r="B1199" s="11"/>
      <c r="C1199" s="11"/>
    </row>
    <row r="1200" spans="1:3" x14ac:dyDescent="0.2">
      <c r="A1200" s="11"/>
      <c r="B1200" s="11"/>
      <c r="C1200" s="11"/>
    </row>
    <row r="1201" spans="1:3" x14ac:dyDescent="0.2">
      <c r="A1201" s="11"/>
      <c r="B1201" s="11"/>
      <c r="C1201" s="11"/>
    </row>
    <row r="1202" spans="1:3" x14ac:dyDescent="0.2">
      <c r="A1202" s="11"/>
      <c r="B1202" s="11"/>
      <c r="C1202" s="11"/>
    </row>
    <row r="1203" spans="1:3" x14ac:dyDescent="0.2">
      <c r="A1203" s="11"/>
      <c r="B1203" s="11"/>
      <c r="C1203" s="11"/>
    </row>
    <row r="1204" spans="1:3" x14ac:dyDescent="0.2">
      <c r="A1204" s="11"/>
      <c r="B1204" s="11"/>
      <c r="C1204" s="11"/>
    </row>
    <row r="1205" spans="1:3" x14ac:dyDescent="0.2">
      <c r="A1205" s="11"/>
      <c r="B1205" s="11"/>
      <c r="C1205" s="11"/>
    </row>
    <row r="1206" spans="1:3" x14ac:dyDescent="0.2">
      <c r="A1206" s="11"/>
      <c r="B1206" s="11"/>
      <c r="C1206" s="11"/>
    </row>
    <row r="1207" spans="1:3" x14ac:dyDescent="0.2">
      <c r="A1207" s="11"/>
      <c r="B1207" s="11"/>
      <c r="C1207" s="11"/>
    </row>
    <row r="1208" spans="1:3" x14ac:dyDescent="0.2">
      <c r="A1208" s="11"/>
      <c r="B1208" s="11"/>
      <c r="C1208" s="11"/>
    </row>
    <row r="1209" spans="1:3" x14ac:dyDescent="0.2">
      <c r="A1209" s="11"/>
      <c r="B1209" s="11"/>
      <c r="C1209" s="11"/>
    </row>
    <row r="1210" spans="1:3" x14ac:dyDescent="0.2">
      <c r="A1210" s="11"/>
      <c r="B1210" s="11"/>
      <c r="C1210" s="11"/>
    </row>
    <row r="1211" spans="1:3" x14ac:dyDescent="0.2">
      <c r="A1211" s="11"/>
      <c r="B1211" s="11"/>
      <c r="C1211" s="11"/>
    </row>
    <row r="1212" spans="1:3" x14ac:dyDescent="0.2">
      <c r="A1212" s="11"/>
      <c r="B1212" s="11"/>
      <c r="C1212" s="11"/>
    </row>
    <row r="1213" spans="1:3" x14ac:dyDescent="0.2">
      <c r="A1213" s="11"/>
      <c r="B1213" s="11"/>
      <c r="C1213" s="11"/>
    </row>
    <row r="1214" spans="1:3" x14ac:dyDescent="0.2">
      <c r="A1214" s="11"/>
      <c r="B1214" s="11"/>
      <c r="C1214" s="11"/>
    </row>
    <row r="1215" spans="1:3" x14ac:dyDescent="0.2">
      <c r="A1215" s="11"/>
      <c r="B1215" s="11"/>
      <c r="C1215" s="11"/>
    </row>
    <row r="1216" spans="1:3" x14ac:dyDescent="0.2">
      <c r="A1216" s="11"/>
      <c r="B1216" s="11"/>
      <c r="C1216" s="11"/>
    </row>
    <row r="1217" spans="1:3" x14ac:dyDescent="0.2">
      <c r="A1217" s="11"/>
      <c r="B1217" s="11"/>
      <c r="C1217" s="11"/>
    </row>
    <row r="1218" spans="1:3" x14ac:dyDescent="0.2">
      <c r="A1218" s="11"/>
      <c r="B1218" s="11"/>
      <c r="C1218" s="11"/>
    </row>
    <row r="1219" spans="1:3" x14ac:dyDescent="0.2">
      <c r="A1219" s="11"/>
      <c r="B1219" s="11"/>
      <c r="C1219" s="11"/>
    </row>
    <row r="1220" spans="1:3" x14ac:dyDescent="0.2">
      <c r="A1220" s="11"/>
      <c r="B1220" s="11"/>
      <c r="C1220" s="11"/>
    </row>
    <row r="1221" spans="1:3" x14ac:dyDescent="0.2">
      <c r="A1221" s="11"/>
      <c r="B1221" s="11"/>
      <c r="C1221" s="11"/>
    </row>
    <row r="1222" spans="1:3" x14ac:dyDescent="0.2">
      <c r="A1222" s="11"/>
      <c r="B1222" s="11"/>
      <c r="C1222" s="11"/>
    </row>
    <row r="1223" spans="1:3" x14ac:dyDescent="0.2">
      <c r="A1223" s="11"/>
      <c r="B1223" s="11"/>
      <c r="C1223" s="11"/>
    </row>
    <row r="1224" spans="1:3" x14ac:dyDescent="0.2">
      <c r="A1224" s="11"/>
      <c r="B1224" s="11"/>
      <c r="C1224" s="11"/>
    </row>
    <row r="1225" spans="1:3" x14ac:dyDescent="0.2">
      <c r="A1225" s="11"/>
      <c r="B1225" s="11"/>
      <c r="C1225" s="11"/>
    </row>
    <row r="1226" spans="1:3" x14ac:dyDescent="0.2">
      <c r="A1226" s="11"/>
      <c r="B1226" s="11"/>
      <c r="C1226" s="11"/>
    </row>
    <row r="1227" spans="1:3" x14ac:dyDescent="0.2">
      <c r="A1227" s="11"/>
      <c r="B1227" s="11"/>
      <c r="C1227" s="11"/>
    </row>
    <row r="1228" spans="1:3" x14ac:dyDescent="0.2">
      <c r="A1228" s="11"/>
      <c r="B1228" s="11"/>
      <c r="C1228" s="11"/>
    </row>
    <row r="1229" spans="1:3" x14ac:dyDescent="0.2">
      <c r="A1229" s="11"/>
      <c r="B1229" s="11"/>
      <c r="C1229" s="11"/>
    </row>
    <row r="1230" spans="1:3" x14ac:dyDescent="0.2">
      <c r="A1230" s="11"/>
      <c r="B1230" s="11"/>
      <c r="C1230" s="11"/>
    </row>
    <row r="1231" spans="1:3" x14ac:dyDescent="0.2">
      <c r="A1231" s="11"/>
      <c r="B1231" s="11"/>
      <c r="C1231" s="11"/>
    </row>
    <row r="1232" spans="1:3" x14ac:dyDescent="0.2">
      <c r="A1232" s="11"/>
      <c r="B1232" s="11"/>
      <c r="C1232" s="11"/>
    </row>
    <row r="1233" spans="1:3" x14ac:dyDescent="0.2">
      <c r="A1233" s="11"/>
      <c r="B1233" s="11"/>
      <c r="C1233" s="11"/>
    </row>
    <row r="1234" spans="1:3" x14ac:dyDescent="0.2">
      <c r="A1234" s="11"/>
      <c r="B1234" s="11"/>
      <c r="C1234" s="11"/>
    </row>
    <row r="1235" spans="1:3" x14ac:dyDescent="0.2">
      <c r="A1235" s="11"/>
      <c r="B1235" s="11"/>
      <c r="C1235" s="11"/>
    </row>
    <row r="1236" spans="1:3" x14ac:dyDescent="0.2">
      <c r="A1236" s="11"/>
      <c r="B1236" s="11"/>
      <c r="C1236" s="11"/>
    </row>
    <row r="1237" spans="1:3" x14ac:dyDescent="0.2">
      <c r="A1237" s="11"/>
      <c r="B1237" s="11"/>
      <c r="C1237" s="11"/>
    </row>
    <row r="1238" spans="1:3" x14ac:dyDescent="0.2">
      <c r="A1238" s="11"/>
      <c r="B1238" s="11"/>
      <c r="C1238" s="11"/>
    </row>
    <row r="1239" spans="1:3" x14ac:dyDescent="0.2">
      <c r="A1239" s="11"/>
      <c r="B1239" s="11"/>
      <c r="C1239" s="11"/>
    </row>
    <row r="1240" spans="1:3" x14ac:dyDescent="0.2">
      <c r="A1240" s="11"/>
      <c r="B1240" s="11"/>
      <c r="C1240" s="11"/>
    </row>
    <row r="1241" spans="1:3" x14ac:dyDescent="0.2">
      <c r="A1241" s="11"/>
      <c r="B1241" s="11"/>
      <c r="C1241" s="11"/>
    </row>
    <row r="1242" spans="1:3" x14ac:dyDescent="0.2">
      <c r="A1242" s="11"/>
      <c r="B1242" s="11"/>
      <c r="C1242" s="11"/>
    </row>
    <row r="1243" spans="1:3" x14ac:dyDescent="0.2">
      <c r="A1243" s="11"/>
      <c r="B1243" s="11"/>
      <c r="C1243" s="11"/>
    </row>
    <row r="1244" spans="1:3" x14ac:dyDescent="0.2">
      <c r="A1244" s="11"/>
      <c r="B1244" s="11"/>
      <c r="C1244" s="11"/>
    </row>
    <row r="1245" spans="1:3" x14ac:dyDescent="0.2">
      <c r="A1245" s="11"/>
      <c r="B1245" s="11"/>
      <c r="C1245" s="11"/>
    </row>
    <row r="1246" spans="1:3" x14ac:dyDescent="0.2">
      <c r="A1246" s="11"/>
      <c r="B1246" s="11"/>
      <c r="C1246" s="11"/>
    </row>
    <row r="1247" spans="1:3" x14ac:dyDescent="0.2">
      <c r="A1247" s="11"/>
      <c r="B1247" s="11"/>
      <c r="C1247" s="11"/>
    </row>
    <row r="1248" spans="1:3" x14ac:dyDescent="0.2">
      <c r="A1248" s="11"/>
      <c r="B1248" s="11"/>
      <c r="C1248" s="11"/>
    </row>
    <row r="1249" spans="1:3" x14ac:dyDescent="0.2">
      <c r="A1249" s="11"/>
      <c r="B1249" s="11"/>
      <c r="C1249" s="11"/>
    </row>
    <row r="1250" spans="1:3" x14ac:dyDescent="0.2">
      <c r="A1250" s="11"/>
      <c r="B1250" s="11"/>
      <c r="C1250" s="11"/>
    </row>
    <row r="1251" spans="1:3" x14ac:dyDescent="0.2">
      <c r="A1251" s="11"/>
      <c r="B1251" s="11"/>
      <c r="C1251" s="11"/>
    </row>
    <row r="1252" spans="1:3" x14ac:dyDescent="0.2">
      <c r="A1252" s="11"/>
      <c r="B1252" s="11"/>
      <c r="C1252" s="11"/>
    </row>
    <row r="1253" spans="1:3" x14ac:dyDescent="0.2">
      <c r="A1253" s="11"/>
      <c r="B1253" s="11"/>
      <c r="C1253" s="11"/>
    </row>
    <row r="1254" spans="1:3" x14ac:dyDescent="0.2">
      <c r="A1254" s="11"/>
      <c r="B1254" s="11"/>
      <c r="C1254" s="11"/>
    </row>
    <row r="1255" spans="1:3" x14ac:dyDescent="0.2">
      <c r="A1255" s="11"/>
      <c r="B1255" s="11"/>
      <c r="C1255" s="11"/>
    </row>
    <row r="1256" spans="1:3" x14ac:dyDescent="0.2">
      <c r="A1256" s="11"/>
      <c r="B1256" s="11"/>
      <c r="C1256" s="11"/>
    </row>
    <row r="1257" spans="1:3" x14ac:dyDescent="0.2">
      <c r="A1257" s="11"/>
      <c r="B1257" s="11"/>
      <c r="C1257" s="11"/>
    </row>
    <row r="1258" spans="1:3" x14ac:dyDescent="0.2">
      <c r="A1258" s="11"/>
      <c r="B1258" s="11"/>
      <c r="C1258" s="11"/>
    </row>
    <row r="1259" spans="1:3" x14ac:dyDescent="0.2">
      <c r="A1259" s="11"/>
      <c r="B1259" s="11"/>
      <c r="C1259" s="11"/>
    </row>
    <row r="1260" spans="1:3" x14ac:dyDescent="0.2">
      <c r="A1260" s="11"/>
      <c r="B1260" s="11"/>
      <c r="C1260" s="11"/>
    </row>
    <row r="1261" spans="1:3" x14ac:dyDescent="0.2">
      <c r="A1261" s="11"/>
      <c r="B1261" s="11"/>
      <c r="C1261" s="11"/>
    </row>
    <row r="1262" spans="1:3" x14ac:dyDescent="0.2">
      <c r="A1262" s="11"/>
      <c r="B1262" s="11"/>
      <c r="C1262" s="11"/>
    </row>
    <row r="1263" spans="1:3" x14ac:dyDescent="0.2">
      <c r="A1263" s="11"/>
      <c r="B1263" s="11"/>
      <c r="C1263" s="11"/>
    </row>
    <row r="1264" spans="1:3" x14ac:dyDescent="0.2">
      <c r="A1264" s="11"/>
      <c r="B1264" s="11"/>
      <c r="C1264" s="11"/>
    </row>
    <row r="1265" spans="1:3" x14ac:dyDescent="0.2">
      <c r="A1265" s="11"/>
      <c r="B1265" s="11"/>
      <c r="C1265" s="11"/>
    </row>
    <row r="1266" spans="1:3" x14ac:dyDescent="0.2">
      <c r="A1266" s="11"/>
      <c r="B1266" s="11"/>
      <c r="C1266" s="11"/>
    </row>
    <row r="1267" spans="1:3" x14ac:dyDescent="0.2">
      <c r="A1267" s="11"/>
      <c r="B1267" s="11"/>
      <c r="C1267" s="11"/>
    </row>
    <row r="1268" spans="1:3" x14ac:dyDescent="0.2">
      <c r="A1268" s="11"/>
      <c r="B1268" s="11"/>
      <c r="C1268" s="11"/>
    </row>
    <row r="1269" spans="1:3" x14ac:dyDescent="0.2">
      <c r="A1269" s="11"/>
      <c r="B1269" s="11"/>
      <c r="C1269" s="11"/>
    </row>
    <row r="1270" spans="1:3" x14ac:dyDescent="0.2">
      <c r="A1270" s="11"/>
      <c r="B1270" s="11"/>
      <c r="C1270" s="11"/>
    </row>
    <row r="1271" spans="1:3" x14ac:dyDescent="0.2">
      <c r="A1271" s="11"/>
      <c r="B1271" s="11"/>
      <c r="C1271" s="11"/>
    </row>
    <row r="1272" spans="1:3" x14ac:dyDescent="0.2">
      <c r="A1272" s="11"/>
      <c r="B1272" s="11"/>
      <c r="C1272" s="11"/>
    </row>
    <row r="1273" spans="1:3" x14ac:dyDescent="0.2">
      <c r="A1273" s="11"/>
      <c r="B1273" s="11"/>
      <c r="C1273" s="11"/>
    </row>
    <row r="1274" spans="1:3" x14ac:dyDescent="0.2">
      <c r="A1274" s="11"/>
      <c r="B1274" s="11"/>
      <c r="C1274" s="11"/>
    </row>
    <row r="1275" spans="1:3" x14ac:dyDescent="0.2">
      <c r="A1275" s="11"/>
      <c r="B1275" s="11"/>
      <c r="C1275" s="11"/>
    </row>
    <row r="1276" spans="1:3" x14ac:dyDescent="0.2">
      <c r="A1276" s="11"/>
      <c r="B1276" s="11"/>
      <c r="C1276" s="11"/>
    </row>
    <row r="1277" spans="1:3" x14ac:dyDescent="0.2">
      <c r="A1277" s="11"/>
      <c r="B1277" s="11"/>
      <c r="C1277" s="11"/>
    </row>
    <row r="1278" spans="1:3" x14ac:dyDescent="0.2">
      <c r="A1278" s="11"/>
      <c r="B1278" s="11"/>
      <c r="C1278" s="11"/>
    </row>
    <row r="1279" spans="1:3" x14ac:dyDescent="0.2">
      <c r="A1279" s="11"/>
      <c r="B1279" s="11"/>
      <c r="C1279" s="11"/>
    </row>
    <row r="1280" spans="1:3" x14ac:dyDescent="0.2">
      <c r="A1280" s="11"/>
      <c r="B1280" s="11"/>
      <c r="C1280" s="11"/>
    </row>
    <row r="1281" spans="1:3" x14ac:dyDescent="0.2">
      <c r="A1281" s="11"/>
      <c r="B1281" s="11"/>
      <c r="C1281" s="11"/>
    </row>
    <row r="1282" spans="1:3" x14ac:dyDescent="0.2">
      <c r="A1282" s="11"/>
      <c r="B1282" s="11"/>
      <c r="C1282" s="11"/>
    </row>
    <row r="1283" spans="1:3" x14ac:dyDescent="0.2">
      <c r="A1283" s="11"/>
      <c r="B1283" s="11"/>
      <c r="C1283" s="11"/>
    </row>
    <row r="1284" spans="1:3" x14ac:dyDescent="0.2">
      <c r="A1284" s="11"/>
      <c r="B1284" s="11"/>
      <c r="C1284" s="11"/>
    </row>
    <row r="1285" spans="1:3" x14ac:dyDescent="0.2">
      <c r="A1285" s="11"/>
      <c r="B1285" s="11"/>
      <c r="C1285" s="11"/>
    </row>
    <row r="1286" spans="1:3" x14ac:dyDescent="0.2">
      <c r="A1286" s="11"/>
      <c r="B1286" s="11"/>
      <c r="C1286" s="11"/>
    </row>
    <row r="1287" spans="1:3" x14ac:dyDescent="0.2">
      <c r="A1287" s="11"/>
      <c r="B1287" s="11"/>
      <c r="C1287" s="11"/>
    </row>
    <row r="1288" spans="1:3" x14ac:dyDescent="0.2">
      <c r="A1288" s="11"/>
      <c r="B1288" s="11"/>
      <c r="C1288" s="11"/>
    </row>
    <row r="1289" spans="1:3" x14ac:dyDescent="0.2">
      <c r="A1289" s="11"/>
      <c r="B1289" s="11"/>
      <c r="C1289" s="11"/>
    </row>
    <row r="1290" spans="1:3" x14ac:dyDescent="0.2">
      <c r="A1290" s="11"/>
      <c r="B1290" s="11"/>
      <c r="C1290" s="11"/>
    </row>
    <row r="1291" spans="1:3" x14ac:dyDescent="0.2">
      <c r="A1291" s="11"/>
      <c r="B1291" s="11"/>
      <c r="C1291" s="11"/>
    </row>
    <row r="1292" spans="1:3" x14ac:dyDescent="0.2">
      <c r="A1292" s="11"/>
      <c r="B1292" s="11"/>
      <c r="C1292" s="11"/>
    </row>
    <row r="1293" spans="1:3" x14ac:dyDescent="0.2">
      <c r="A1293" s="11"/>
      <c r="B1293" s="11"/>
      <c r="C1293" s="11"/>
    </row>
    <row r="1294" spans="1:3" x14ac:dyDescent="0.2">
      <c r="A1294" s="11"/>
      <c r="B1294" s="11"/>
      <c r="C1294" s="11"/>
    </row>
    <row r="1295" spans="1:3" x14ac:dyDescent="0.2">
      <c r="A1295" s="11"/>
      <c r="B1295" s="11"/>
      <c r="C1295" s="11"/>
    </row>
    <row r="1296" spans="1:3" x14ac:dyDescent="0.2">
      <c r="A1296" s="11"/>
      <c r="B1296" s="11"/>
      <c r="C1296" s="11"/>
    </row>
    <row r="1297" spans="1:3" x14ac:dyDescent="0.2">
      <c r="A1297" s="11"/>
      <c r="B1297" s="11"/>
      <c r="C1297" s="11"/>
    </row>
    <row r="1298" spans="1:3" x14ac:dyDescent="0.2">
      <c r="A1298" s="11"/>
      <c r="B1298" s="11"/>
      <c r="C1298" s="11"/>
    </row>
    <row r="1299" spans="1:3" x14ac:dyDescent="0.2">
      <c r="A1299" s="11"/>
      <c r="B1299" s="11"/>
      <c r="C1299" s="11"/>
    </row>
    <row r="1300" spans="1:3" x14ac:dyDescent="0.2">
      <c r="A1300" s="11"/>
      <c r="B1300" s="11"/>
      <c r="C1300" s="11"/>
    </row>
    <row r="1301" spans="1:3" x14ac:dyDescent="0.2">
      <c r="A1301" s="11"/>
      <c r="B1301" s="11"/>
      <c r="C1301" s="11"/>
    </row>
    <row r="1302" spans="1:3" x14ac:dyDescent="0.2">
      <c r="A1302" s="11"/>
      <c r="B1302" s="11"/>
      <c r="C1302" s="11"/>
    </row>
    <row r="1303" spans="1:3" x14ac:dyDescent="0.2">
      <c r="A1303" s="11"/>
      <c r="B1303" s="11"/>
      <c r="C1303" s="11"/>
    </row>
    <row r="1304" spans="1:3" x14ac:dyDescent="0.2">
      <c r="A1304" s="11"/>
      <c r="B1304" s="11"/>
      <c r="C1304" s="11"/>
    </row>
    <row r="1305" spans="1:3" x14ac:dyDescent="0.2">
      <c r="A1305" s="11"/>
      <c r="B1305" s="11"/>
      <c r="C1305" s="11"/>
    </row>
    <row r="1306" spans="1:3" x14ac:dyDescent="0.2">
      <c r="A1306" s="11"/>
      <c r="B1306" s="11"/>
      <c r="C1306" s="11"/>
    </row>
    <row r="1307" spans="1:3" x14ac:dyDescent="0.2">
      <c r="A1307" s="11"/>
      <c r="B1307" s="11"/>
      <c r="C1307" s="11"/>
    </row>
    <row r="1308" spans="1:3" x14ac:dyDescent="0.2">
      <c r="A1308" s="11"/>
      <c r="B1308" s="11"/>
      <c r="C1308" s="11"/>
    </row>
    <row r="1309" spans="1:3" x14ac:dyDescent="0.2">
      <c r="A1309" s="11"/>
      <c r="B1309" s="11"/>
      <c r="C1309" s="11"/>
    </row>
    <row r="1310" spans="1:3" x14ac:dyDescent="0.2">
      <c r="A1310" s="11"/>
      <c r="B1310" s="11"/>
      <c r="C1310" s="11"/>
    </row>
    <row r="1311" spans="1:3" x14ac:dyDescent="0.2">
      <c r="A1311" s="11"/>
      <c r="B1311" s="11"/>
      <c r="C1311" s="11"/>
    </row>
    <row r="1312" spans="1:3" x14ac:dyDescent="0.2">
      <c r="A1312" s="11"/>
      <c r="B1312" s="11"/>
      <c r="C1312" s="11"/>
    </row>
    <row r="1313" spans="1:3" x14ac:dyDescent="0.2">
      <c r="A1313" s="11"/>
      <c r="B1313" s="11"/>
      <c r="C1313" s="11"/>
    </row>
    <row r="1314" spans="1:3" x14ac:dyDescent="0.2">
      <c r="A1314" s="11"/>
      <c r="B1314" s="11"/>
      <c r="C1314" s="11"/>
    </row>
    <row r="1315" spans="1:3" x14ac:dyDescent="0.2">
      <c r="A1315" s="11"/>
      <c r="B1315" s="11"/>
      <c r="C1315" s="11"/>
    </row>
    <row r="1316" spans="1:3" x14ac:dyDescent="0.2">
      <c r="A1316" s="11"/>
      <c r="B1316" s="11"/>
      <c r="C1316" s="11"/>
    </row>
    <row r="1317" spans="1:3" x14ac:dyDescent="0.2">
      <c r="A1317" s="11"/>
      <c r="B1317" s="11"/>
      <c r="C1317" s="11"/>
    </row>
    <row r="1318" spans="1:3" x14ac:dyDescent="0.2">
      <c r="A1318" s="11"/>
      <c r="B1318" s="11"/>
      <c r="C1318" s="11"/>
    </row>
    <row r="1319" spans="1:3" x14ac:dyDescent="0.2">
      <c r="A1319" s="11"/>
      <c r="B1319" s="11"/>
      <c r="C1319" s="11"/>
    </row>
    <row r="1320" spans="1:3" x14ac:dyDescent="0.2">
      <c r="A1320" s="11"/>
      <c r="B1320" s="11"/>
      <c r="C1320" s="11"/>
    </row>
    <row r="1321" spans="1:3" x14ac:dyDescent="0.2">
      <c r="A1321" s="11"/>
      <c r="B1321" s="11"/>
      <c r="C1321" s="11"/>
    </row>
    <row r="1322" spans="1:3" x14ac:dyDescent="0.2">
      <c r="A1322" s="11"/>
      <c r="B1322" s="11"/>
      <c r="C1322" s="11"/>
    </row>
    <row r="1323" spans="1:3" x14ac:dyDescent="0.2">
      <c r="A1323" s="11"/>
      <c r="B1323" s="11"/>
      <c r="C1323" s="11"/>
    </row>
    <row r="1324" spans="1:3" x14ac:dyDescent="0.2">
      <c r="A1324" s="11"/>
      <c r="B1324" s="11"/>
      <c r="C1324" s="11"/>
    </row>
    <row r="1325" spans="1:3" x14ac:dyDescent="0.2">
      <c r="A1325" s="11"/>
      <c r="B1325" s="11"/>
      <c r="C1325" s="11"/>
    </row>
    <row r="1326" spans="1:3" x14ac:dyDescent="0.2">
      <c r="A1326" s="11"/>
      <c r="B1326" s="11"/>
      <c r="C1326" s="11"/>
    </row>
    <row r="1327" spans="1:3" x14ac:dyDescent="0.2">
      <c r="A1327" s="11"/>
      <c r="B1327" s="11"/>
      <c r="C1327" s="11"/>
    </row>
    <row r="1328" spans="1:3" x14ac:dyDescent="0.2">
      <c r="A1328" s="11"/>
      <c r="B1328" s="11"/>
      <c r="C1328" s="11"/>
    </row>
    <row r="1329" spans="1:3" x14ac:dyDescent="0.2">
      <c r="A1329" s="11"/>
      <c r="B1329" s="11"/>
      <c r="C1329" s="11"/>
    </row>
    <row r="1330" spans="1:3" x14ac:dyDescent="0.2">
      <c r="A1330" s="11"/>
      <c r="B1330" s="11"/>
      <c r="C1330" s="11"/>
    </row>
    <row r="1331" spans="1:3" x14ac:dyDescent="0.2">
      <c r="A1331" s="11"/>
      <c r="B1331" s="11"/>
      <c r="C1331" s="11"/>
    </row>
    <row r="1332" spans="1:3" x14ac:dyDescent="0.2">
      <c r="A1332" s="11"/>
      <c r="B1332" s="11"/>
      <c r="C1332" s="11"/>
    </row>
    <row r="1333" spans="1:3" x14ac:dyDescent="0.2">
      <c r="A1333" s="11"/>
      <c r="B1333" s="11"/>
      <c r="C1333" s="11"/>
    </row>
    <row r="1334" spans="1:3" x14ac:dyDescent="0.2">
      <c r="A1334" s="11"/>
      <c r="B1334" s="11"/>
      <c r="C1334" s="11"/>
    </row>
    <row r="1335" spans="1:3" x14ac:dyDescent="0.2">
      <c r="A1335" s="11"/>
      <c r="B1335" s="11"/>
      <c r="C1335" s="11"/>
    </row>
    <row r="1336" spans="1:3" x14ac:dyDescent="0.2">
      <c r="A1336" s="11"/>
      <c r="B1336" s="11"/>
      <c r="C1336" s="11"/>
    </row>
    <row r="1337" spans="1:3" x14ac:dyDescent="0.2">
      <c r="A1337" s="11"/>
      <c r="B1337" s="11"/>
      <c r="C1337" s="11"/>
    </row>
    <row r="1338" spans="1:3" x14ac:dyDescent="0.2">
      <c r="A1338" s="11"/>
      <c r="B1338" s="11"/>
      <c r="C1338" s="11"/>
    </row>
    <row r="1339" spans="1:3" x14ac:dyDescent="0.2">
      <c r="A1339" s="11"/>
      <c r="B1339" s="11"/>
      <c r="C1339" s="11"/>
    </row>
    <row r="1340" spans="1:3" x14ac:dyDescent="0.2">
      <c r="A1340" s="11"/>
      <c r="B1340" s="11"/>
      <c r="C1340" s="11"/>
    </row>
    <row r="1341" spans="1:3" x14ac:dyDescent="0.2">
      <c r="A1341" s="11"/>
      <c r="B1341" s="11"/>
      <c r="C1341" s="11"/>
    </row>
    <row r="1342" spans="1:3" x14ac:dyDescent="0.2">
      <c r="A1342" s="11"/>
      <c r="B1342" s="11"/>
      <c r="C1342" s="11"/>
    </row>
    <row r="1343" spans="1:3" x14ac:dyDescent="0.2">
      <c r="A1343" s="11"/>
      <c r="B1343" s="11"/>
      <c r="C1343" s="11"/>
    </row>
    <row r="1344" spans="1:3" x14ac:dyDescent="0.2">
      <c r="A1344" s="11"/>
      <c r="B1344" s="11"/>
      <c r="C1344" s="11"/>
    </row>
    <row r="1345" spans="1:3" x14ac:dyDescent="0.2">
      <c r="A1345" s="11"/>
      <c r="B1345" s="11"/>
      <c r="C1345" s="11"/>
    </row>
    <row r="1346" spans="1:3" x14ac:dyDescent="0.2">
      <c r="A1346" s="11"/>
      <c r="B1346" s="11"/>
      <c r="C1346" s="11"/>
    </row>
    <row r="1347" spans="1:3" x14ac:dyDescent="0.2">
      <c r="A1347" s="11"/>
      <c r="B1347" s="11"/>
      <c r="C1347" s="11"/>
    </row>
    <row r="1348" spans="1:3" x14ac:dyDescent="0.2">
      <c r="A1348" s="11"/>
      <c r="B1348" s="11"/>
      <c r="C1348" s="11"/>
    </row>
    <row r="1349" spans="1:3" x14ac:dyDescent="0.2">
      <c r="A1349" s="11"/>
      <c r="B1349" s="11"/>
      <c r="C1349" s="11"/>
    </row>
    <row r="1350" spans="1:3" x14ac:dyDescent="0.2">
      <c r="A1350" s="11"/>
      <c r="B1350" s="11"/>
      <c r="C1350" s="11"/>
    </row>
    <row r="1351" spans="1:3" x14ac:dyDescent="0.2">
      <c r="A1351" s="11"/>
      <c r="B1351" s="11"/>
      <c r="C1351" s="11"/>
    </row>
    <row r="1352" spans="1:3" x14ac:dyDescent="0.2">
      <c r="A1352" s="11"/>
      <c r="B1352" s="11"/>
      <c r="C1352" s="11"/>
    </row>
    <row r="1353" spans="1:3" x14ac:dyDescent="0.2">
      <c r="A1353" s="11"/>
      <c r="B1353" s="11"/>
      <c r="C1353" s="11"/>
    </row>
    <row r="1354" spans="1:3" x14ac:dyDescent="0.2">
      <c r="A1354" s="11"/>
      <c r="B1354" s="11"/>
      <c r="C1354" s="11"/>
    </row>
    <row r="1355" spans="1:3" x14ac:dyDescent="0.2">
      <c r="A1355" s="11"/>
      <c r="B1355" s="11"/>
      <c r="C1355" s="11"/>
    </row>
    <row r="1356" spans="1:3" x14ac:dyDescent="0.2">
      <c r="A1356" s="11"/>
      <c r="B1356" s="11"/>
      <c r="C1356" s="11"/>
    </row>
    <row r="1357" spans="1:3" x14ac:dyDescent="0.2">
      <c r="A1357" s="11"/>
      <c r="B1357" s="11"/>
      <c r="C1357" s="11"/>
    </row>
    <row r="1358" spans="1:3" x14ac:dyDescent="0.2">
      <c r="A1358" s="11"/>
      <c r="B1358" s="11"/>
      <c r="C1358" s="11"/>
    </row>
    <row r="1359" spans="1:3" x14ac:dyDescent="0.2">
      <c r="A1359" s="11"/>
      <c r="B1359" s="11"/>
      <c r="C1359" s="11"/>
    </row>
    <row r="1360" spans="1:3" x14ac:dyDescent="0.2">
      <c r="A1360" s="11"/>
      <c r="B1360" s="11"/>
      <c r="C1360" s="11"/>
    </row>
    <row r="1361" spans="1:3" x14ac:dyDescent="0.2">
      <c r="A1361" s="11"/>
      <c r="B1361" s="11"/>
      <c r="C1361" s="11"/>
    </row>
    <row r="1362" spans="1:3" x14ac:dyDescent="0.2">
      <c r="A1362" s="11"/>
      <c r="B1362" s="11"/>
      <c r="C1362" s="11"/>
    </row>
    <row r="1363" spans="1:3" x14ac:dyDescent="0.2">
      <c r="A1363" s="11"/>
      <c r="B1363" s="11"/>
      <c r="C1363" s="11"/>
    </row>
    <row r="1364" spans="1:3" x14ac:dyDescent="0.2">
      <c r="A1364" s="11"/>
      <c r="B1364" s="11"/>
      <c r="C1364" s="11"/>
    </row>
    <row r="1365" spans="1:3" x14ac:dyDescent="0.2">
      <c r="A1365" s="11"/>
      <c r="B1365" s="11"/>
      <c r="C1365" s="11"/>
    </row>
    <row r="1366" spans="1:3" x14ac:dyDescent="0.2">
      <c r="A1366" s="11"/>
      <c r="B1366" s="11"/>
      <c r="C1366" s="11"/>
    </row>
    <row r="1367" spans="1:3" x14ac:dyDescent="0.2">
      <c r="A1367" s="11"/>
      <c r="B1367" s="11"/>
      <c r="C1367" s="11"/>
    </row>
    <row r="1368" spans="1:3" x14ac:dyDescent="0.2">
      <c r="A1368" s="11"/>
      <c r="B1368" s="11"/>
      <c r="C1368" s="11"/>
    </row>
    <row r="1369" spans="1:3" x14ac:dyDescent="0.2">
      <c r="A1369" s="11"/>
      <c r="B1369" s="11"/>
      <c r="C1369" s="11"/>
    </row>
    <row r="1370" spans="1:3" x14ac:dyDescent="0.2">
      <c r="A1370" s="11"/>
      <c r="B1370" s="11"/>
      <c r="C1370" s="11"/>
    </row>
    <row r="1371" spans="1:3" x14ac:dyDescent="0.2">
      <c r="A1371" s="11"/>
      <c r="B1371" s="11"/>
      <c r="C1371" s="11"/>
    </row>
    <row r="1372" spans="1:3" x14ac:dyDescent="0.2">
      <c r="A1372" s="11"/>
      <c r="B1372" s="11"/>
      <c r="C1372" s="11"/>
    </row>
    <row r="1373" spans="1:3" x14ac:dyDescent="0.2">
      <c r="A1373" s="11"/>
      <c r="B1373" s="11"/>
      <c r="C1373" s="11"/>
    </row>
    <row r="1374" spans="1:3" x14ac:dyDescent="0.2">
      <c r="A1374" s="11"/>
      <c r="B1374" s="11"/>
      <c r="C1374" s="11"/>
    </row>
    <row r="1375" spans="1:3" x14ac:dyDescent="0.2">
      <c r="A1375" s="11"/>
      <c r="B1375" s="11"/>
      <c r="C1375" s="11"/>
    </row>
    <row r="1376" spans="1:3" x14ac:dyDescent="0.2">
      <c r="A1376" s="11"/>
      <c r="B1376" s="11"/>
      <c r="C1376" s="11"/>
    </row>
    <row r="1377" spans="1:3" x14ac:dyDescent="0.2">
      <c r="A1377" s="11"/>
      <c r="B1377" s="11"/>
      <c r="C1377" s="11"/>
    </row>
    <row r="1378" spans="1:3" x14ac:dyDescent="0.2">
      <c r="A1378" s="11"/>
      <c r="B1378" s="11"/>
      <c r="C1378" s="11"/>
    </row>
    <row r="1379" spans="1:3" x14ac:dyDescent="0.2">
      <c r="A1379" s="11"/>
      <c r="B1379" s="11"/>
      <c r="C1379" s="11"/>
    </row>
    <row r="1380" spans="1:3" x14ac:dyDescent="0.2">
      <c r="A1380" s="11"/>
      <c r="B1380" s="11"/>
      <c r="C1380" s="11"/>
    </row>
    <row r="1381" spans="1:3" x14ac:dyDescent="0.2">
      <c r="A1381" s="11"/>
      <c r="B1381" s="11"/>
      <c r="C1381" s="11"/>
    </row>
    <row r="1382" spans="1:3" x14ac:dyDescent="0.2">
      <c r="A1382" s="11"/>
      <c r="B1382" s="11"/>
      <c r="C1382" s="11"/>
    </row>
    <row r="1383" spans="1:3" x14ac:dyDescent="0.2">
      <c r="A1383" s="11"/>
      <c r="B1383" s="11"/>
      <c r="C1383" s="11"/>
    </row>
    <row r="1384" spans="1:3" x14ac:dyDescent="0.2">
      <c r="A1384" s="11"/>
      <c r="B1384" s="11"/>
      <c r="C1384" s="11"/>
    </row>
    <row r="1385" spans="1:3" x14ac:dyDescent="0.2">
      <c r="A1385" s="11"/>
      <c r="B1385" s="11"/>
      <c r="C1385" s="11"/>
    </row>
    <row r="1386" spans="1:3" x14ac:dyDescent="0.2">
      <c r="A1386" s="11"/>
      <c r="B1386" s="11"/>
      <c r="C1386" s="11"/>
    </row>
    <row r="1387" spans="1:3" x14ac:dyDescent="0.2">
      <c r="A1387" s="11"/>
      <c r="B1387" s="11"/>
      <c r="C1387" s="11"/>
    </row>
    <row r="1388" spans="1:3" x14ac:dyDescent="0.2">
      <c r="A1388" s="11"/>
      <c r="B1388" s="11"/>
      <c r="C1388" s="11"/>
    </row>
    <row r="1389" spans="1:3" x14ac:dyDescent="0.2">
      <c r="A1389" s="11"/>
      <c r="B1389" s="11"/>
      <c r="C1389" s="11"/>
    </row>
    <row r="1390" spans="1:3" x14ac:dyDescent="0.2">
      <c r="A1390" s="11"/>
      <c r="B1390" s="11"/>
      <c r="C1390" s="11"/>
    </row>
    <row r="1391" spans="1:3" x14ac:dyDescent="0.2">
      <c r="A1391" s="11"/>
      <c r="B1391" s="11"/>
      <c r="C1391" s="11"/>
    </row>
    <row r="1392" spans="1:3" x14ac:dyDescent="0.2">
      <c r="A1392" s="11"/>
      <c r="B1392" s="11"/>
      <c r="C1392" s="11"/>
    </row>
    <row r="1393" spans="1:3" x14ac:dyDescent="0.2">
      <c r="A1393" s="11"/>
      <c r="B1393" s="11"/>
      <c r="C1393" s="11"/>
    </row>
    <row r="1394" spans="1:3" x14ac:dyDescent="0.2">
      <c r="A1394" s="11"/>
      <c r="B1394" s="11"/>
      <c r="C1394" s="11"/>
    </row>
    <row r="1395" spans="1:3" x14ac:dyDescent="0.2">
      <c r="A1395" s="11"/>
      <c r="B1395" s="11"/>
      <c r="C1395" s="11"/>
    </row>
    <row r="1396" spans="1:3" x14ac:dyDescent="0.2">
      <c r="A1396" s="11"/>
      <c r="B1396" s="11"/>
      <c r="C1396" s="11"/>
    </row>
    <row r="1397" spans="1:3" x14ac:dyDescent="0.2">
      <c r="A1397" s="11"/>
      <c r="B1397" s="11"/>
      <c r="C1397" s="11"/>
    </row>
    <row r="1398" spans="1:3" x14ac:dyDescent="0.2">
      <c r="A1398" s="11"/>
      <c r="B1398" s="11"/>
      <c r="C1398" s="11"/>
    </row>
    <row r="1399" spans="1:3" x14ac:dyDescent="0.2">
      <c r="A1399" s="11"/>
      <c r="B1399" s="11"/>
      <c r="C1399" s="11"/>
    </row>
    <row r="1400" spans="1:3" x14ac:dyDescent="0.2">
      <c r="A1400" s="11"/>
      <c r="B1400" s="11"/>
      <c r="C1400" s="11"/>
    </row>
    <row r="1401" spans="1:3" x14ac:dyDescent="0.2">
      <c r="A1401" s="11"/>
      <c r="B1401" s="11"/>
      <c r="C1401" s="11"/>
    </row>
    <row r="1402" spans="1:3" x14ac:dyDescent="0.2">
      <c r="A1402" s="11"/>
      <c r="B1402" s="11"/>
      <c r="C1402" s="11"/>
    </row>
    <row r="1403" spans="1:3" x14ac:dyDescent="0.2">
      <c r="A1403" s="11"/>
      <c r="B1403" s="11"/>
      <c r="C1403" s="11"/>
    </row>
    <row r="1404" spans="1:3" x14ac:dyDescent="0.2">
      <c r="A1404" s="11"/>
      <c r="B1404" s="11"/>
      <c r="C1404" s="11"/>
    </row>
    <row r="1405" spans="1:3" x14ac:dyDescent="0.2">
      <c r="A1405" s="11"/>
      <c r="B1405" s="11"/>
      <c r="C1405" s="11"/>
    </row>
    <row r="1406" spans="1:3" x14ac:dyDescent="0.2">
      <c r="A1406" s="11"/>
      <c r="B1406" s="11"/>
      <c r="C1406" s="11"/>
    </row>
    <row r="1407" spans="1:3" x14ac:dyDescent="0.2">
      <c r="A1407" s="11"/>
      <c r="B1407" s="11"/>
      <c r="C1407" s="11"/>
    </row>
    <row r="1408" spans="1:3" x14ac:dyDescent="0.2">
      <c r="A1408" s="11"/>
      <c r="B1408" s="11"/>
      <c r="C1408" s="11"/>
    </row>
    <row r="1409" spans="1:3" x14ac:dyDescent="0.2">
      <c r="A1409" s="11"/>
      <c r="B1409" s="11"/>
      <c r="C1409" s="11"/>
    </row>
    <row r="1410" spans="1:3" x14ac:dyDescent="0.2">
      <c r="A1410" s="11"/>
      <c r="B1410" s="11"/>
      <c r="C1410" s="11"/>
    </row>
    <row r="1411" spans="1:3" x14ac:dyDescent="0.2">
      <c r="A1411" s="11"/>
      <c r="B1411" s="11"/>
      <c r="C1411" s="11"/>
    </row>
    <row r="1412" spans="1:3" x14ac:dyDescent="0.2">
      <c r="A1412" s="11"/>
      <c r="B1412" s="11"/>
      <c r="C1412" s="11"/>
    </row>
    <row r="1413" spans="1:3" x14ac:dyDescent="0.2">
      <c r="A1413" s="11"/>
      <c r="B1413" s="11"/>
      <c r="C1413" s="11"/>
    </row>
    <row r="1414" spans="1:3" x14ac:dyDescent="0.2">
      <c r="A1414" s="11"/>
      <c r="B1414" s="11"/>
      <c r="C1414" s="11"/>
    </row>
    <row r="1415" spans="1:3" x14ac:dyDescent="0.2">
      <c r="A1415" s="11"/>
      <c r="B1415" s="11"/>
      <c r="C1415" s="11"/>
    </row>
    <row r="1416" spans="1:3" x14ac:dyDescent="0.2">
      <c r="A1416" s="11"/>
      <c r="B1416" s="11"/>
      <c r="C1416" s="11"/>
    </row>
    <row r="1417" spans="1:3" x14ac:dyDescent="0.2">
      <c r="A1417" s="11"/>
      <c r="B1417" s="11"/>
      <c r="C1417" s="11"/>
    </row>
    <row r="1418" spans="1:3" x14ac:dyDescent="0.2">
      <c r="A1418" s="11"/>
      <c r="B1418" s="11"/>
      <c r="C1418" s="11"/>
    </row>
    <row r="1419" spans="1:3" x14ac:dyDescent="0.2">
      <c r="A1419" s="11"/>
      <c r="B1419" s="11"/>
      <c r="C1419" s="11"/>
    </row>
    <row r="1420" spans="1:3" x14ac:dyDescent="0.2">
      <c r="A1420" s="11"/>
      <c r="B1420" s="11"/>
      <c r="C1420" s="11"/>
    </row>
    <row r="1421" spans="1:3" x14ac:dyDescent="0.2">
      <c r="A1421" s="11"/>
      <c r="B1421" s="11"/>
      <c r="C1421" s="11"/>
    </row>
    <row r="1422" spans="1:3" x14ac:dyDescent="0.2">
      <c r="A1422" s="11"/>
      <c r="B1422" s="11"/>
      <c r="C1422" s="11"/>
    </row>
    <row r="1423" spans="1:3" x14ac:dyDescent="0.2">
      <c r="A1423" s="11"/>
      <c r="B1423" s="11"/>
      <c r="C1423" s="11"/>
    </row>
    <row r="1424" spans="1:3" x14ac:dyDescent="0.2">
      <c r="A1424" s="11"/>
      <c r="B1424" s="11"/>
      <c r="C1424" s="11"/>
    </row>
    <row r="1425" spans="1:3" x14ac:dyDescent="0.2">
      <c r="A1425" s="11"/>
      <c r="B1425" s="11"/>
      <c r="C1425" s="11"/>
    </row>
    <row r="1426" spans="1:3" x14ac:dyDescent="0.2">
      <c r="A1426" s="11"/>
      <c r="B1426" s="11"/>
      <c r="C1426" s="11"/>
    </row>
    <row r="1427" spans="1:3" x14ac:dyDescent="0.2">
      <c r="A1427" s="11"/>
      <c r="B1427" s="11"/>
      <c r="C1427" s="11"/>
    </row>
    <row r="1428" spans="1:3" x14ac:dyDescent="0.2">
      <c r="A1428" s="11"/>
      <c r="B1428" s="11"/>
      <c r="C1428" s="11"/>
    </row>
    <row r="1429" spans="1:3" x14ac:dyDescent="0.2">
      <c r="A1429" s="11"/>
      <c r="B1429" s="11"/>
      <c r="C1429" s="11"/>
    </row>
    <row r="1430" spans="1:3" x14ac:dyDescent="0.2">
      <c r="A1430" s="11"/>
      <c r="B1430" s="11"/>
      <c r="C1430" s="11"/>
    </row>
    <row r="1431" spans="1:3" x14ac:dyDescent="0.2">
      <c r="A1431" s="11"/>
      <c r="B1431" s="11"/>
      <c r="C1431" s="11"/>
    </row>
    <row r="1432" spans="1:3" x14ac:dyDescent="0.2">
      <c r="A1432" s="11"/>
      <c r="B1432" s="11"/>
      <c r="C1432" s="11"/>
    </row>
    <row r="1433" spans="1:3" x14ac:dyDescent="0.2">
      <c r="A1433" s="11"/>
      <c r="B1433" s="11"/>
      <c r="C1433" s="11"/>
    </row>
    <row r="1434" spans="1:3" x14ac:dyDescent="0.2">
      <c r="A1434" s="11"/>
      <c r="B1434" s="11"/>
      <c r="C1434" s="11"/>
    </row>
    <row r="1435" spans="1:3" x14ac:dyDescent="0.2">
      <c r="A1435" s="11"/>
      <c r="B1435" s="11"/>
      <c r="C1435" s="11"/>
    </row>
    <row r="1436" spans="1:3" x14ac:dyDescent="0.2">
      <c r="A1436" s="11"/>
      <c r="B1436" s="11"/>
      <c r="C1436" s="11"/>
    </row>
    <row r="1437" spans="1:3" x14ac:dyDescent="0.2">
      <c r="A1437" s="11"/>
      <c r="B1437" s="11"/>
      <c r="C1437" s="11"/>
    </row>
    <row r="1438" spans="1:3" x14ac:dyDescent="0.2">
      <c r="A1438" s="11"/>
      <c r="B1438" s="11"/>
      <c r="C1438" s="11"/>
    </row>
    <row r="1439" spans="1:3" x14ac:dyDescent="0.2">
      <c r="A1439" s="11"/>
      <c r="B1439" s="11"/>
      <c r="C1439" s="11"/>
    </row>
    <row r="1440" spans="1:3" x14ac:dyDescent="0.2">
      <c r="A1440" s="11"/>
      <c r="B1440" s="11"/>
      <c r="C1440" s="11"/>
    </row>
    <row r="1441" spans="1:3" x14ac:dyDescent="0.2">
      <c r="A1441" s="11"/>
      <c r="B1441" s="11"/>
      <c r="C1441" s="11"/>
    </row>
    <row r="1442" spans="1:3" x14ac:dyDescent="0.2">
      <c r="A1442" s="11"/>
      <c r="B1442" s="11"/>
      <c r="C1442" s="11"/>
    </row>
    <row r="1443" spans="1:3" x14ac:dyDescent="0.2">
      <c r="A1443" s="11"/>
      <c r="B1443" s="11"/>
      <c r="C1443" s="11"/>
    </row>
    <row r="1444" spans="1:3" x14ac:dyDescent="0.2">
      <c r="A1444" s="11"/>
      <c r="B1444" s="11"/>
      <c r="C1444" s="11"/>
    </row>
    <row r="1445" spans="1:3" x14ac:dyDescent="0.2">
      <c r="A1445" s="11"/>
      <c r="B1445" s="11"/>
      <c r="C1445" s="11"/>
    </row>
    <row r="1446" spans="1:3" x14ac:dyDescent="0.2">
      <c r="A1446" s="11"/>
      <c r="B1446" s="11"/>
      <c r="C1446" s="11"/>
    </row>
    <row r="1447" spans="1:3" x14ac:dyDescent="0.2">
      <c r="A1447" s="11"/>
      <c r="B1447" s="11"/>
      <c r="C1447" s="11"/>
    </row>
    <row r="1448" spans="1:3" x14ac:dyDescent="0.2">
      <c r="A1448" s="11"/>
      <c r="B1448" s="11"/>
      <c r="C1448" s="11"/>
    </row>
    <row r="1449" spans="1:3" x14ac:dyDescent="0.2">
      <c r="A1449" s="11"/>
      <c r="B1449" s="11"/>
      <c r="C1449" s="11"/>
    </row>
    <row r="1450" spans="1:3" x14ac:dyDescent="0.2">
      <c r="A1450" s="11"/>
      <c r="B1450" s="11"/>
      <c r="C1450" s="11"/>
    </row>
    <row r="1451" spans="1:3" x14ac:dyDescent="0.2">
      <c r="A1451" s="11"/>
      <c r="B1451" s="11"/>
      <c r="C1451" s="11"/>
    </row>
    <row r="1452" spans="1:3" x14ac:dyDescent="0.2">
      <c r="A1452" s="11"/>
      <c r="B1452" s="11"/>
      <c r="C1452" s="11"/>
    </row>
    <row r="1453" spans="1:3" x14ac:dyDescent="0.2">
      <c r="A1453" s="11"/>
      <c r="B1453" s="11"/>
      <c r="C1453" s="11"/>
    </row>
    <row r="1454" spans="1:3" x14ac:dyDescent="0.2">
      <c r="A1454" s="11"/>
      <c r="B1454" s="11"/>
      <c r="C1454" s="11"/>
    </row>
    <row r="1455" spans="1:3" x14ac:dyDescent="0.2">
      <c r="A1455" s="11"/>
      <c r="B1455" s="11"/>
      <c r="C1455" s="11"/>
    </row>
    <row r="1456" spans="1:3" x14ac:dyDescent="0.2">
      <c r="A1456" s="11"/>
      <c r="B1456" s="11"/>
      <c r="C1456" s="11"/>
    </row>
    <row r="1457" spans="1:3" x14ac:dyDescent="0.2">
      <c r="A1457" s="11"/>
      <c r="B1457" s="11"/>
      <c r="C1457" s="11"/>
    </row>
    <row r="1458" spans="1:3" x14ac:dyDescent="0.2">
      <c r="A1458" s="11"/>
      <c r="B1458" s="11"/>
      <c r="C1458" s="11"/>
    </row>
    <row r="1459" spans="1:3" x14ac:dyDescent="0.2">
      <c r="A1459" s="11"/>
      <c r="B1459" s="11"/>
      <c r="C1459" s="11"/>
    </row>
    <row r="1460" spans="1:3" x14ac:dyDescent="0.2">
      <c r="A1460" s="11"/>
      <c r="B1460" s="11"/>
      <c r="C1460" s="11"/>
    </row>
    <row r="1461" spans="1:3" x14ac:dyDescent="0.2">
      <c r="A1461" s="11"/>
      <c r="B1461" s="11"/>
      <c r="C1461" s="11"/>
    </row>
    <row r="1462" spans="1:3" x14ac:dyDescent="0.2">
      <c r="A1462" s="11"/>
      <c r="B1462" s="11"/>
      <c r="C1462" s="11"/>
    </row>
    <row r="1463" spans="1:3" x14ac:dyDescent="0.2">
      <c r="A1463" s="11"/>
      <c r="B1463" s="11"/>
      <c r="C1463" s="11"/>
    </row>
    <row r="1464" spans="1:3" x14ac:dyDescent="0.2">
      <c r="A1464" s="11"/>
      <c r="B1464" s="11"/>
      <c r="C1464" s="11"/>
    </row>
    <row r="1465" spans="1:3" x14ac:dyDescent="0.2">
      <c r="A1465" s="11"/>
      <c r="B1465" s="11"/>
      <c r="C1465" s="11"/>
    </row>
    <row r="1466" spans="1:3" x14ac:dyDescent="0.2">
      <c r="A1466" s="11"/>
      <c r="B1466" s="11"/>
      <c r="C1466" s="11"/>
    </row>
    <row r="1467" spans="1:3" x14ac:dyDescent="0.2">
      <c r="A1467" s="11"/>
      <c r="B1467" s="11"/>
      <c r="C1467" s="11"/>
    </row>
    <row r="1468" spans="1:3" x14ac:dyDescent="0.2">
      <c r="A1468" s="11"/>
      <c r="B1468" s="11"/>
      <c r="C1468" s="11"/>
    </row>
    <row r="1469" spans="1:3" x14ac:dyDescent="0.2">
      <c r="A1469" s="11"/>
      <c r="B1469" s="11"/>
      <c r="C1469" s="11"/>
    </row>
    <row r="1470" spans="1:3" x14ac:dyDescent="0.2">
      <c r="A1470" s="11"/>
      <c r="B1470" s="11"/>
      <c r="C1470" s="11"/>
    </row>
    <row r="1471" spans="1:3" x14ac:dyDescent="0.2">
      <c r="A1471" s="11"/>
      <c r="B1471" s="11"/>
      <c r="C1471" s="11"/>
    </row>
    <row r="1472" spans="1:3" x14ac:dyDescent="0.2">
      <c r="A1472" s="11"/>
      <c r="B1472" s="11"/>
      <c r="C1472" s="11"/>
    </row>
    <row r="1473" spans="1:3" x14ac:dyDescent="0.2">
      <c r="A1473" s="11"/>
      <c r="B1473" s="11"/>
      <c r="C1473" s="11"/>
    </row>
    <row r="1474" spans="1:3" x14ac:dyDescent="0.2">
      <c r="A1474" s="11"/>
      <c r="B1474" s="11"/>
      <c r="C1474" s="11"/>
    </row>
    <row r="1475" spans="1:3" x14ac:dyDescent="0.2">
      <c r="A1475" s="11"/>
      <c r="B1475" s="11"/>
      <c r="C1475" s="11"/>
    </row>
    <row r="1476" spans="1:3" x14ac:dyDescent="0.2">
      <c r="A1476" s="11"/>
      <c r="B1476" s="11"/>
      <c r="C1476" s="11"/>
    </row>
    <row r="1477" spans="1:3" x14ac:dyDescent="0.2">
      <c r="A1477" s="11"/>
      <c r="B1477" s="11"/>
      <c r="C1477" s="11"/>
    </row>
    <row r="1478" spans="1:3" x14ac:dyDescent="0.2">
      <c r="A1478" s="11"/>
      <c r="B1478" s="11"/>
      <c r="C1478" s="11"/>
    </row>
    <row r="1479" spans="1:3" x14ac:dyDescent="0.2">
      <c r="A1479" s="11"/>
      <c r="B1479" s="11"/>
      <c r="C1479" s="11"/>
    </row>
    <row r="1480" spans="1:3" x14ac:dyDescent="0.2">
      <c r="A1480" s="11"/>
      <c r="B1480" s="11"/>
      <c r="C1480" s="11"/>
    </row>
    <row r="1481" spans="1:3" x14ac:dyDescent="0.2">
      <c r="A1481" s="11"/>
      <c r="B1481" s="11"/>
      <c r="C1481" s="11"/>
    </row>
    <row r="1482" spans="1:3" x14ac:dyDescent="0.2">
      <c r="A1482" s="11"/>
      <c r="B1482" s="11"/>
      <c r="C1482" s="11"/>
    </row>
    <row r="1483" spans="1:3" x14ac:dyDescent="0.2">
      <c r="A1483" s="11"/>
      <c r="B1483" s="11"/>
      <c r="C1483" s="11"/>
    </row>
    <row r="1484" spans="1:3" x14ac:dyDescent="0.2">
      <c r="A1484" s="11"/>
      <c r="B1484" s="11"/>
      <c r="C1484" s="11"/>
    </row>
    <row r="1485" spans="1:3" x14ac:dyDescent="0.2">
      <c r="A1485" s="11"/>
      <c r="B1485" s="11"/>
      <c r="C1485" s="11"/>
    </row>
    <row r="1486" spans="1:3" x14ac:dyDescent="0.2">
      <c r="A1486" s="11"/>
      <c r="B1486" s="11"/>
      <c r="C1486" s="11"/>
    </row>
    <row r="1487" spans="1:3" x14ac:dyDescent="0.2">
      <c r="A1487" s="11"/>
      <c r="B1487" s="11"/>
      <c r="C1487" s="11"/>
    </row>
    <row r="1488" spans="1:3" x14ac:dyDescent="0.2">
      <c r="A1488" s="11"/>
      <c r="B1488" s="11"/>
      <c r="C1488" s="11"/>
    </row>
    <row r="1489" spans="1:3" x14ac:dyDescent="0.2">
      <c r="A1489" s="11"/>
      <c r="B1489" s="11"/>
      <c r="C1489" s="11"/>
    </row>
    <row r="1490" spans="1:3" x14ac:dyDescent="0.2">
      <c r="A1490" s="11"/>
      <c r="B1490" s="11"/>
      <c r="C1490" s="11"/>
    </row>
    <row r="1491" spans="1:3" x14ac:dyDescent="0.2">
      <c r="A1491" s="11"/>
      <c r="B1491" s="11"/>
      <c r="C1491" s="11"/>
    </row>
    <row r="1492" spans="1:3" x14ac:dyDescent="0.2">
      <c r="A1492" s="11"/>
      <c r="B1492" s="11"/>
      <c r="C1492" s="11"/>
    </row>
    <row r="1493" spans="1:3" x14ac:dyDescent="0.2">
      <c r="A1493" s="11"/>
      <c r="B1493" s="11"/>
      <c r="C1493" s="11"/>
    </row>
    <row r="1494" spans="1:3" x14ac:dyDescent="0.2">
      <c r="A1494" s="11"/>
      <c r="B1494" s="11"/>
      <c r="C1494" s="11"/>
    </row>
    <row r="1495" spans="1:3" x14ac:dyDescent="0.2">
      <c r="A1495" s="11"/>
      <c r="B1495" s="11"/>
      <c r="C1495" s="11"/>
    </row>
    <row r="1496" spans="1:3" x14ac:dyDescent="0.2">
      <c r="A1496" s="11"/>
      <c r="B1496" s="11"/>
      <c r="C1496" s="11"/>
    </row>
    <row r="1497" spans="1:3" x14ac:dyDescent="0.2">
      <c r="A1497" s="11"/>
      <c r="B1497" s="11"/>
      <c r="C1497" s="11"/>
    </row>
    <row r="1498" spans="1:3" x14ac:dyDescent="0.2">
      <c r="A1498" s="11"/>
      <c r="B1498" s="11"/>
      <c r="C1498" s="11"/>
    </row>
    <row r="1499" spans="1:3" x14ac:dyDescent="0.2">
      <c r="A1499" s="11"/>
      <c r="B1499" s="11"/>
      <c r="C1499" s="11"/>
    </row>
    <row r="1500" spans="1:3" x14ac:dyDescent="0.2">
      <c r="A1500" s="11"/>
      <c r="B1500" s="11"/>
      <c r="C1500" s="11"/>
    </row>
    <row r="1501" spans="1:3" x14ac:dyDescent="0.2">
      <c r="A1501" s="11"/>
      <c r="B1501" s="11"/>
      <c r="C1501" s="11"/>
    </row>
    <row r="1502" spans="1:3" x14ac:dyDescent="0.2">
      <c r="A1502" s="11"/>
      <c r="B1502" s="11"/>
      <c r="C1502" s="11"/>
    </row>
    <row r="1503" spans="1:3" x14ac:dyDescent="0.2">
      <c r="A1503" s="11"/>
      <c r="B1503" s="11"/>
      <c r="C1503" s="11"/>
    </row>
    <row r="1504" spans="1:3" x14ac:dyDescent="0.2">
      <c r="A1504" s="11"/>
      <c r="B1504" s="11"/>
      <c r="C1504" s="11"/>
    </row>
    <row r="1505" spans="1:3" x14ac:dyDescent="0.2">
      <c r="A1505" s="11"/>
      <c r="B1505" s="11"/>
      <c r="C1505" s="11"/>
    </row>
    <row r="1506" spans="1:3" x14ac:dyDescent="0.2">
      <c r="A1506" s="11"/>
      <c r="B1506" s="11"/>
      <c r="C1506" s="11"/>
    </row>
    <row r="1507" spans="1:3" x14ac:dyDescent="0.2">
      <c r="A1507" s="11"/>
      <c r="B1507" s="11"/>
      <c r="C1507" s="11"/>
    </row>
    <row r="1508" spans="1:3" x14ac:dyDescent="0.2">
      <c r="A1508" s="11"/>
      <c r="B1508" s="11"/>
      <c r="C1508" s="11"/>
    </row>
    <row r="1509" spans="1:3" x14ac:dyDescent="0.2">
      <c r="A1509" s="11"/>
      <c r="B1509" s="11"/>
      <c r="C1509" s="11"/>
    </row>
    <row r="1510" spans="1:3" x14ac:dyDescent="0.2">
      <c r="A1510" s="11"/>
      <c r="B1510" s="11"/>
      <c r="C1510" s="11"/>
    </row>
    <row r="1511" spans="1:3" x14ac:dyDescent="0.2">
      <c r="A1511" s="11"/>
      <c r="B1511" s="11"/>
      <c r="C1511" s="11"/>
    </row>
    <row r="1512" spans="1:3" x14ac:dyDescent="0.2">
      <c r="A1512" s="11"/>
      <c r="B1512" s="11"/>
      <c r="C1512" s="11"/>
    </row>
    <row r="1513" spans="1:3" x14ac:dyDescent="0.2">
      <c r="A1513" s="11"/>
      <c r="B1513" s="11"/>
      <c r="C1513" s="11"/>
    </row>
    <row r="1514" spans="1:3" x14ac:dyDescent="0.2">
      <c r="A1514" s="11"/>
      <c r="B1514" s="11"/>
      <c r="C1514" s="11"/>
    </row>
    <row r="1515" spans="1:3" x14ac:dyDescent="0.2">
      <c r="A1515" s="11"/>
      <c r="B1515" s="11"/>
      <c r="C1515" s="11"/>
    </row>
    <row r="1516" spans="1:3" x14ac:dyDescent="0.2">
      <c r="A1516" s="11"/>
      <c r="B1516" s="11"/>
      <c r="C1516" s="11"/>
    </row>
    <row r="1517" spans="1:3" x14ac:dyDescent="0.2">
      <c r="A1517" s="11"/>
      <c r="B1517" s="11"/>
      <c r="C1517" s="11"/>
    </row>
    <row r="1518" spans="1:3" x14ac:dyDescent="0.2">
      <c r="A1518" s="11"/>
      <c r="B1518" s="11"/>
      <c r="C1518" s="11"/>
    </row>
    <row r="1519" spans="1:3" x14ac:dyDescent="0.2">
      <c r="A1519" s="11"/>
      <c r="B1519" s="11"/>
      <c r="C1519" s="11"/>
    </row>
    <row r="1520" spans="1:3" x14ac:dyDescent="0.2">
      <c r="A1520" s="11"/>
      <c r="B1520" s="11"/>
      <c r="C1520" s="11"/>
    </row>
    <row r="1521" spans="1:3" x14ac:dyDescent="0.2">
      <c r="A1521" s="11"/>
      <c r="B1521" s="11"/>
      <c r="C1521" s="11"/>
    </row>
    <row r="1522" spans="1:3" x14ac:dyDescent="0.2">
      <c r="A1522" s="11"/>
      <c r="B1522" s="11"/>
      <c r="C1522" s="11"/>
    </row>
    <row r="1523" spans="1:3" x14ac:dyDescent="0.2">
      <c r="A1523" s="11"/>
      <c r="B1523" s="11"/>
      <c r="C1523" s="11"/>
    </row>
    <row r="1524" spans="1:3" x14ac:dyDescent="0.2">
      <c r="A1524" s="11"/>
      <c r="B1524" s="11"/>
      <c r="C1524" s="11"/>
    </row>
    <row r="1525" spans="1:3" x14ac:dyDescent="0.2">
      <c r="A1525" s="11"/>
      <c r="B1525" s="11"/>
      <c r="C1525" s="11"/>
    </row>
    <row r="1526" spans="1:3" x14ac:dyDescent="0.2">
      <c r="A1526" s="11"/>
      <c r="B1526" s="11"/>
      <c r="C1526" s="11"/>
    </row>
    <row r="1527" spans="1:3" x14ac:dyDescent="0.2">
      <c r="A1527" s="11"/>
      <c r="B1527" s="11"/>
      <c r="C1527" s="11"/>
    </row>
    <row r="1528" spans="1:3" x14ac:dyDescent="0.2">
      <c r="A1528" s="11"/>
      <c r="B1528" s="11"/>
      <c r="C1528" s="11"/>
    </row>
    <row r="1529" spans="1:3" x14ac:dyDescent="0.2">
      <c r="A1529" s="11"/>
      <c r="B1529" s="11"/>
      <c r="C1529" s="11"/>
    </row>
    <row r="1530" spans="1:3" x14ac:dyDescent="0.2">
      <c r="A1530" s="11"/>
      <c r="B1530" s="11"/>
      <c r="C1530" s="11"/>
    </row>
    <row r="1531" spans="1:3" x14ac:dyDescent="0.2">
      <c r="A1531" s="11"/>
      <c r="B1531" s="11"/>
      <c r="C1531" s="11"/>
    </row>
    <row r="1532" spans="1:3" x14ac:dyDescent="0.2">
      <c r="A1532" s="11"/>
      <c r="B1532" s="11"/>
      <c r="C1532" s="11"/>
    </row>
    <row r="1533" spans="1:3" x14ac:dyDescent="0.2">
      <c r="A1533" s="11"/>
      <c r="B1533" s="11"/>
      <c r="C1533" s="11"/>
    </row>
    <row r="1534" spans="1:3" x14ac:dyDescent="0.2">
      <c r="A1534" s="11"/>
      <c r="B1534" s="11"/>
      <c r="C1534" s="11"/>
    </row>
    <row r="1535" spans="1:3" x14ac:dyDescent="0.2">
      <c r="A1535" s="11"/>
      <c r="B1535" s="11"/>
      <c r="C1535" s="11"/>
    </row>
    <row r="1536" spans="1:3" x14ac:dyDescent="0.2">
      <c r="A1536" s="11"/>
      <c r="B1536" s="11"/>
      <c r="C1536" s="11"/>
    </row>
    <row r="1537" spans="1:3" x14ac:dyDescent="0.2">
      <c r="A1537" s="11"/>
      <c r="B1537" s="11"/>
      <c r="C1537" s="11"/>
    </row>
    <row r="1538" spans="1:3" x14ac:dyDescent="0.2">
      <c r="A1538" s="11"/>
      <c r="B1538" s="11"/>
      <c r="C1538" s="11"/>
    </row>
    <row r="1539" spans="1:3" x14ac:dyDescent="0.2">
      <c r="A1539" s="11"/>
      <c r="B1539" s="11"/>
      <c r="C1539" s="11"/>
    </row>
    <row r="1540" spans="1:3" x14ac:dyDescent="0.2">
      <c r="A1540" s="11"/>
      <c r="B1540" s="11"/>
      <c r="C1540" s="11"/>
    </row>
    <row r="1541" spans="1:3" x14ac:dyDescent="0.2">
      <c r="A1541" s="11"/>
      <c r="B1541" s="11"/>
      <c r="C1541" s="11"/>
    </row>
    <row r="1542" spans="1:3" x14ac:dyDescent="0.2">
      <c r="A1542" s="11"/>
      <c r="B1542" s="11"/>
      <c r="C1542" s="11"/>
    </row>
    <row r="1543" spans="1:3" x14ac:dyDescent="0.2">
      <c r="A1543" s="11"/>
      <c r="B1543" s="11"/>
      <c r="C1543" s="11"/>
    </row>
    <row r="1544" spans="1:3" x14ac:dyDescent="0.2">
      <c r="A1544" s="11"/>
      <c r="B1544" s="11"/>
      <c r="C1544" s="11"/>
    </row>
    <row r="1545" spans="1:3" x14ac:dyDescent="0.2">
      <c r="A1545" s="11"/>
      <c r="B1545" s="11"/>
      <c r="C1545" s="11"/>
    </row>
    <row r="1546" spans="1:3" x14ac:dyDescent="0.2">
      <c r="A1546" s="11"/>
      <c r="B1546" s="11"/>
      <c r="C1546" s="11"/>
    </row>
    <row r="1547" spans="1:3" x14ac:dyDescent="0.2">
      <c r="A1547" s="11"/>
      <c r="B1547" s="11"/>
      <c r="C1547" s="11"/>
    </row>
    <row r="1548" spans="1:3" x14ac:dyDescent="0.2">
      <c r="A1548" s="11"/>
      <c r="B1548" s="11"/>
      <c r="C1548" s="11"/>
    </row>
    <row r="1549" spans="1:3" x14ac:dyDescent="0.2">
      <c r="A1549" s="11"/>
      <c r="B1549" s="11"/>
      <c r="C1549" s="11"/>
    </row>
    <row r="1550" spans="1:3" x14ac:dyDescent="0.2">
      <c r="A1550" s="11"/>
      <c r="B1550" s="11"/>
      <c r="C1550" s="11"/>
    </row>
    <row r="1551" spans="1:3" x14ac:dyDescent="0.2">
      <c r="A1551" s="11"/>
      <c r="B1551" s="11"/>
      <c r="C1551" s="11"/>
    </row>
    <row r="1552" spans="1:3" x14ac:dyDescent="0.2">
      <c r="A1552" s="11"/>
      <c r="B1552" s="11"/>
      <c r="C1552" s="11"/>
    </row>
    <row r="1553" spans="1:3" x14ac:dyDescent="0.2">
      <c r="A1553" s="11"/>
      <c r="B1553" s="11"/>
      <c r="C1553" s="11"/>
    </row>
    <row r="1554" spans="1:3" x14ac:dyDescent="0.2">
      <c r="A1554" s="11"/>
      <c r="B1554" s="11"/>
      <c r="C1554" s="11"/>
    </row>
    <row r="1555" spans="1:3" x14ac:dyDescent="0.2">
      <c r="A1555" s="11"/>
      <c r="B1555" s="11"/>
      <c r="C1555" s="11"/>
    </row>
    <row r="1556" spans="1:3" x14ac:dyDescent="0.2">
      <c r="A1556" s="11"/>
      <c r="B1556" s="11"/>
      <c r="C1556" s="11"/>
    </row>
    <row r="1557" spans="1:3" x14ac:dyDescent="0.2">
      <c r="A1557" s="11"/>
      <c r="B1557" s="11"/>
      <c r="C1557" s="11"/>
    </row>
    <row r="1558" spans="1:3" x14ac:dyDescent="0.2">
      <c r="A1558" s="11"/>
      <c r="B1558" s="11"/>
      <c r="C1558" s="11"/>
    </row>
    <row r="1559" spans="1:3" x14ac:dyDescent="0.2">
      <c r="A1559" s="11"/>
      <c r="B1559" s="11"/>
      <c r="C1559" s="11"/>
    </row>
    <row r="1560" spans="1:3" x14ac:dyDescent="0.2">
      <c r="A1560" s="11"/>
      <c r="B1560" s="11"/>
      <c r="C1560" s="11"/>
    </row>
    <row r="1561" spans="1:3" x14ac:dyDescent="0.2">
      <c r="A1561" s="11"/>
      <c r="B1561" s="11"/>
      <c r="C1561" s="11"/>
    </row>
    <row r="1562" spans="1:3" x14ac:dyDescent="0.2">
      <c r="A1562" s="11"/>
      <c r="B1562" s="11"/>
      <c r="C1562" s="11"/>
    </row>
    <row r="1563" spans="1:3" x14ac:dyDescent="0.2">
      <c r="A1563" s="11"/>
      <c r="B1563" s="11"/>
      <c r="C1563" s="11"/>
    </row>
    <row r="1564" spans="1:3" x14ac:dyDescent="0.2">
      <c r="A1564" s="11"/>
      <c r="B1564" s="11"/>
      <c r="C1564" s="11"/>
    </row>
    <row r="1565" spans="1:3" x14ac:dyDescent="0.2">
      <c r="A1565" s="11"/>
      <c r="B1565" s="11"/>
      <c r="C1565" s="11"/>
    </row>
    <row r="1566" spans="1:3" x14ac:dyDescent="0.2">
      <c r="A1566" s="11"/>
      <c r="B1566" s="11"/>
      <c r="C1566" s="11"/>
    </row>
    <row r="1567" spans="1:3" x14ac:dyDescent="0.2">
      <c r="A1567" s="11"/>
      <c r="B1567" s="11"/>
      <c r="C1567" s="11"/>
    </row>
    <row r="1568" spans="1:3" x14ac:dyDescent="0.2">
      <c r="A1568" s="11"/>
      <c r="B1568" s="11"/>
      <c r="C1568" s="11"/>
    </row>
    <row r="1569" spans="1:3" x14ac:dyDescent="0.2">
      <c r="A1569" s="11"/>
      <c r="B1569" s="11"/>
      <c r="C1569" s="11"/>
    </row>
    <row r="1570" spans="1:3" x14ac:dyDescent="0.2">
      <c r="A1570" s="11"/>
      <c r="B1570" s="11"/>
      <c r="C1570" s="11"/>
    </row>
    <row r="1571" spans="1:3" x14ac:dyDescent="0.2">
      <c r="A1571" s="11"/>
      <c r="B1571" s="11"/>
      <c r="C1571" s="11"/>
    </row>
    <row r="1572" spans="1:3" x14ac:dyDescent="0.2">
      <c r="A1572" s="11"/>
      <c r="B1572" s="11"/>
      <c r="C1572" s="11"/>
    </row>
    <row r="1573" spans="1:3" x14ac:dyDescent="0.2">
      <c r="A1573" s="11"/>
      <c r="B1573" s="11"/>
      <c r="C1573" s="11"/>
    </row>
    <row r="1574" spans="1:3" x14ac:dyDescent="0.2">
      <c r="A1574" s="11"/>
      <c r="B1574" s="11"/>
      <c r="C1574" s="11"/>
    </row>
    <row r="1575" spans="1:3" x14ac:dyDescent="0.2">
      <c r="A1575" s="11"/>
      <c r="B1575" s="11"/>
      <c r="C1575" s="11"/>
    </row>
    <row r="1576" spans="1:3" x14ac:dyDescent="0.2">
      <c r="A1576" s="11"/>
      <c r="B1576" s="11"/>
      <c r="C1576" s="11"/>
    </row>
    <row r="1577" spans="1:3" x14ac:dyDescent="0.2">
      <c r="A1577" s="11"/>
      <c r="B1577" s="11"/>
      <c r="C1577" s="11"/>
    </row>
    <row r="1578" spans="1:3" x14ac:dyDescent="0.2">
      <c r="A1578" s="11"/>
      <c r="B1578" s="11"/>
      <c r="C1578" s="11"/>
    </row>
    <row r="1579" spans="1:3" x14ac:dyDescent="0.2">
      <c r="A1579" s="11"/>
      <c r="B1579" s="11"/>
      <c r="C1579" s="11"/>
    </row>
    <row r="1580" spans="1:3" x14ac:dyDescent="0.2">
      <c r="A1580" s="11"/>
      <c r="B1580" s="11"/>
      <c r="C1580" s="11"/>
    </row>
    <row r="1581" spans="1:3" x14ac:dyDescent="0.2">
      <c r="A1581" s="11"/>
      <c r="B1581" s="11"/>
      <c r="C1581" s="11"/>
    </row>
    <row r="1582" spans="1:3" x14ac:dyDescent="0.2">
      <c r="A1582" s="11"/>
      <c r="B1582" s="11"/>
      <c r="C1582" s="11"/>
    </row>
    <row r="1583" spans="1:3" x14ac:dyDescent="0.2">
      <c r="A1583" s="11"/>
      <c r="B1583" s="11"/>
      <c r="C1583" s="11"/>
    </row>
    <row r="1584" spans="1:3" x14ac:dyDescent="0.2">
      <c r="A1584" s="11"/>
      <c r="B1584" s="11"/>
      <c r="C1584" s="11"/>
    </row>
    <row r="1585" spans="1:3" x14ac:dyDescent="0.2">
      <c r="A1585" s="11"/>
      <c r="B1585" s="11"/>
      <c r="C1585" s="11"/>
    </row>
    <row r="1586" spans="1:3" x14ac:dyDescent="0.2">
      <c r="A1586" s="11"/>
      <c r="B1586" s="11"/>
      <c r="C1586" s="11"/>
    </row>
    <row r="1587" spans="1:3" x14ac:dyDescent="0.2">
      <c r="A1587" s="11"/>
      <c r="B1587" s="11"/>
      <c r="C1587" s="11"/>
    </row>
    <row r="1588" spans="1:3" x14ac:dyDescent="0.2">
      <c r="A1588" s="11"/>
      <c r="B1588" s="11"/>
      <c r="C1588" s="11"/>
    </row>
    <row r="1589" spans="1:3" x14ac:dyDescent="0.2">
      <c r="A1589" s="11"/>
      <c r="B1589" s="11"/>
      <c r="C1589" s="11"/>
    </row>
    <row r="1590" spans="1:3" x14ac:dyDescent="0.2">
      <c r="A1590" s="11"/>
      <c r="B1590" s="11"/>
      <c r="C1590" s="11"/>
    </row>
    <row r="1591" spans="1:3" x14ac:dyDescent="0.2">
      <c r="A1591" s="11"/>
      <c r="B1591" s="11"/>
      <c r="C1591" s="11"/>
    </row>
    <row r="1592" spans="1:3" x14ac:dyDescent="0.2">
      <c r="A1592" s="11"/>
      <c r="B1592" s="11"/>
      <c r="C1592" s="11"/>
    </row>
    <row r="1593" spans="1:3" x14ac:dyDescent="0.2">
      <c r="A1593" s="11"/>
      <c r="B1593" s="11"/>
      <c r="C1593" s="11"/>
    </row>
    <row r="1594" spans="1:3" x14ac:dyDescent="0.2">
      <c r="A1594" s="11"/>
      <c r="B1594" s="11"/>
      <c r="C1594" s="11"/>
    </row>
    <row r="1595" spans="1:3" x14ac:dyDescent="0.2">
      <c r="A1595" s="11"/>
      <c r="B1595" s="11"/>
      <c r="C1595" s="11"/>
    </row>
    <row r="1596" spans="1:3" x14ac:dyDescent="0.2">
      <c r="A1596" s="11"/>
      <c r="B1596" s="11"/>
      <c r="C1596" s="11"/>
    </row>
    <row r="1597" spans="1:3" x14ac:dyDescent="0.2">
      <c r="A1597" s="11"/>
      <c r="B1597" s="11"/>
      <c r="C1597" s="11"/>
    </row>
    <row r="1598" spans="1:3" x14ac:dyDescent="0.2">
      <c r="A1598" s="11"/>
      <c r="B1598" s="11"/>
      <c r="C1598" s="11"/>
    </row>
    <row r="1599" spans="1:3" x14ac:dyDescent="0.2">
      <c r="A1599" s="11"/>
      <c r="B1599" s="11"/>
      <c r="C1599" s="11"/>
    </row>
    <row r="1600" spans="1:3" x14ac:dyDescent="0.2">
      <c r="A1600" s="11"/>
      <c r="B1600" s="11"/>
      <c r="C1600" s="11"/>
    </row>
    <row r="1601" spans="1:3" x14ac:dyDescent="0.2">
      <c r="A1601" s="11"/>
      <c r="B1601" s="11"/>
      <c r="C1601" s="11"/>
    </row>
    <row r="1602" spans="1:3" x14ac:dyDescent="0.2">
      <c r="A1602" s="11"/>
      <c r="B1602" s="11"/>
      <c r="C1602" s="11"/>
    </row>
    <row r="1603" spans="1:3" x14ac:dyDescent="0.2">
      <c r="A1603" s="11"/>
      <c r="B1603" s="11"/>
      <c r="C1603" s="11"/>
    </row>
    <row r="1604" spans="1:3" x14ac:dyDescent="0.2">
      <c r="A1604" s="11"/>
      <c r="B1604" s="11"/>
      <c r="C1604" s="11"/>
    </row>
    <row r="1605" spans="1:3" x14ac:dyDescent="0.2">
      <c r="A1605" s="11"/>
      <c r="B1605" s="11"/>
      <c r="C1605" s="11"/>
    </row>
    <row r="1606" spans="1:3" x14ac:dyDescent="0.2">
      <c r="A1606" s="11"/>
      <c r="B1606" s="11"/>
      <c r="C1606" s="11"/>
    </row>
    <row r="1607" spans="1:3" x14ac:dyDescent="0.2">
      <c r="A1607" s="11"/>
      <c r="B1607" s="11"/>
      <c r="C1607" s="11"/>
    </row>
    <row r="1608" spans="1:3" x14ac:dyDescent="0.2">
      <c r="A1608" s="11"/>
      <c r="B1608" s="11"/>
      <c r="C1608" s="11"/>
    </row>
    <row r="1609" spans="1:3" x14ac:dyDescent="0.2">
      <c r="A1609" s="11"/>
      <c r="B1609" s="11"/>
      <c r="C1609" s="11"/>
    </row>
    <row r="1610" spans="1:3" x14ac:dyDescent="0.2">
      <c r="A1610" s="11"/>
      <c r="B1610" s="11"/>
      <c r="C1610" s="11"/>
    </row>
    <row r="1611" spans="1:3" x14ac:dyDescent="0.2">
      <c r="A1611" s="11"/>
      <c r="B1611" s="11"/>
      <c r="C1611" s="11"/>
    </row>
    <row r="1612" spans="1:3" x14ac:dyDescent="0.2">
      <c r="A1612" s="11"/>
      <c r="B1612" s="11"/>
      <c r="C1612" s="11"/>
    </row>
    <row r="1613" spans="1:3" x14ac:dyDescent="0.2">
      <c r="A1613" s="11"/>
      <c r="B1613" s="11"/>
      <c r="C1613" s="11"/>
    </row>
    <row r="1614" spans="1:3" x14ac:dyDescent="0.2">
      <c r="A1614" s="11"/>
      <c r="B1614" s="11"/>
      <c r="C1614" s="11"/>
    </row>
    <row r="1615" spans="1:3" x14ac:dyDescent="0.2">
      <c r="A1615" s="11"/>
      <c r="B1615" s="11"/>
      <c r="C1615" s="11"/>
    </row>
    <row r="1616" spans="1:3" x14ac:dyDescent="0.2">
      <c r="A1616" s="11"/>
      <c r="B1616" s="11"/>
      <c r="C1616" s="11"/>
    </row>
    <row r="1617" spans="1:3" x14ac:dyDescent="0.2">
      <c r="A1617" s="11"/>
      <c r="B1617" s="11"/>
      <c r="C1617" s="11"/>
    </row>
    <row r="1618" spans="1:3" x14ac:dyDescent="0.2">
      <c r="A1618" s="11"/>
      <c r="B1618" s="11"/>
      <c r="C1618" s="11"/>
    </row>
    <row r="1619" spans="1:3" x14ac:dyDescent="0.2">
      <c r="A1619" s="11"/>
      <c r="B1619" s="11"/>
      <c r="C1619" s="11"/>
    </row>
    <row r="1620" spans="1:3" x14ac:dyDescent="0.2">
      <c r="A1620" s="11"/>
      <c r="B1620" s="11"/>
      <c r="C1620" s="11"/>
    </row>
    <row r="1621" spans="1:3" x14ac:dyDescent="0.2">
      <c r="A1621" s="11"/>
      <c r="B1621" s="11"/>
      <c r="C1621" s="11"/>
    </row>
    <row r="1622" spans="1:3" x14ac:dyDescent="0.2">
      <c r="A1622" s="11"/>
      <c r="B1622" s="11"/>
      <c r="C1622" s="11"/>
    </row>
    <row r="1623" spans="1:3" x14ac:dyDescent="0.2">
      <c r="A1623" s="11"/>
      <c r="B1623" s="11"/>
      <c r="C1623" s="11"/>
    </row>
    <row r="1624" spans="1:3" x14ac:dyDescent="0.2">
      <c r="A1624" s="11"/>
      <c r="B1624" s="11"/>
      <c r="C1624" s="11"/>
    </row>
    <row r="1625" spans="1:3" x14ac:dyDescent="0.2">
      <c r="A1625" s="11"/>
      <c r="B1625" s="11"/>
      <c r="C1625" s="11"/>
    </row>
    <row r="1626" spans="1:3" x14ac:dyDescent="0.2">
      <c r="A1626" s="11"/>
      <c r="B1626" s="11"/>
      <c r="C1626" s="11"/>
    </row>
    <row r="1627" spans="1:3" x14ac:dyDescent="0.2">
      <c r="A1627" s="11"/>
      <c r="B1627" s="11"/>
      <c r="C1627" s="11"/>
    </row>
    <row r="1628" spans="1:3" x14ac:dyDescent="0.2">
      <c r="A1628" s="11"/>
      <c r="B1628" s="11"/>
      <c r="C1628" s="11"/>
    </row>
    <row r="1629" spans="1:3" x14ac:dyDescent="0.2">
      <c r="A1629" s="11"/>
      <c r="B1629" s="11"/>
      <c r="C1629" s="11"/>
    </row>
    <row r="1630" spans="1:3" x14ac:dyDescent="0.2">
      <c r="A1630" s="11"/>
      <c r="B1630" s="11"/>
      <c r="C1630" s="11"/>
    </row>
    <row r="1631" spans="1:3" x14ac:dyDescent="0.2">
      <c r="A1631" s="11"/>
      <c r="B1631" s="11"/>
      <c r="C1631" s="11"/>
    </row>
    <row r="1632" spans="1:3" x14ac:dyDescent="0.2">
      <c r="A1632" s="11"/>
      <c r="B1632" s="11"/>
      <c r="C1632" s="11"/>
    </row>
    <row r="1633" spans="1:3" x14ac:dyDescent="0.2">
      <c r="A1633" s="11"/>
      <c r="B1633" s="11"/>
      <c r="C1633" s="11"/>
    </row>
    <row r="1634" spans="1:3" x14ac:dyDescent="0.2">
      <c r="A1634" s="11"/>
      <c r="B1634" s="11"/>
      <c r="C1634" s="11"/>
    </row>
    <row r="1635" spans="1:3" x14ac:dyDescent="0.2">
      <c r="A1635" s="11"/>
      <c r="B1635" s="11"/>
      <c r="C1635" s="11"/>
    </row>
    <row r="1636" spans="1:3" x14ac:dyDescent="0.2">
      <c r="A1636" s="11"/>
      <c r="B1636" s="11"/>
      <c r="C1636" s="11"/>
    </row>
    <row r="1637" spans="1:3" x14ac:dyDescent="0.2">
      <c r="A1637" s="11"/>
      <c r="B1637" s="11"/>
      <c r="C1637" s="11"/>
    </row>
    <row r="1638" spans="1:3" x14ac:dyDescent="0.2">
      <c r="A1638" s="11"/>
      <c r="B1638" s="11"/>
      <c r="C1638" s="11"/>
    </row>
    <row r="1639" spans="1:3" x14ac:dyDescent="0.2">
      <c r="A1639" s="11"/>
      <c r="B1639" s="11"/>
      <c r="C1639" s="11"/>
    </row>
    <row r="1640" spans="1:3" x14ac:dyDescent="0.2">
      <c r="A1640" s="11"/>
      <c r="B1640" s="11"/>
      <c r="C1640" s="11"/>
    </row>
    <row r="1641" spans="1:3" x14ac:dyDescent="0.2">
      <c r="A1641" s="11"/>
      <c r="B1641" s="11"/>
      <c r="C1641" s="11"/>
    </row>
    <row r="1642" spans="1:3" x14ac:dyDescent="0.2">
      <c r="A1642" s="11"/>
      <c r="B1642" s="11"/>
      <c r="C1642" s="11"/>
    </row>
    <row r="1643" spans="1:3" x14ac:dyDescent="0.2">
      <c r="A1643" s="11"/>
      <c r="B1643" s="11"/>
      <c r="C1643" s="11"/>
    </row>
    <row r="1644" spans="1:3" x14ac:dyDescent="0.2">
      <c r="A1644" s="11"/>
      <c r="B1644" s="11"/>
      <c r="C1644" s="11"/>
    </row>
    <row r="1645" spans="1:3" x14ac:dyDescent="0.2">
      <c r="A1645" s="11"/>
      <c r="B1645" s="11"/>
      <c r="C1645" s="11"/>
    </row>
    <row r="1646" spans="1:3" x14ac:dyDescent="0.2">
      <c r="A1646" s="11"/>
      <c r="B1646" s="11"/>
      <c r="C1646" s="11"/>
    </row>
    <row r="1647" spans="1:3" x14ac:dyDescent="0.2">
      <c r="A1647" s="11"/>
      <c r="B1647" s="11"/>
      <c r="C1647" s="11"/>
    </row>
    <row r="1648" spans="1:3" x14ac:dyDescent="0.2">
      <c r="A1648" s="11"/>
      <c r="B1648" s="11"/>
      <c r="C1648" s="11"/>
    </row>
    <row r="1649" spans="1:3" x14ac:dyDescent="0.2">
      <c r="A1649" s="11"/>
      <c r="B1649" s="11"/>
      <c r="C1649" s="11"/>
    </row>
    <row r="1650" spans="1:3" x14ac:dyDescent="0.2">
      <c r="A1650" s="11"/>
      <c r="B1650" s="11"/>
      <c r="C1650" s="11"/>
    </row>
    <row r="1651" spans="1:3" x14ac:dyDescent="0.2">
      <c r="A1651" s="11"/>
      <c r="B1651" s="11"/>
      <c r="C1651" s="11"/>
    </row>
    <row r="1652" spans="1:3" x14ac:dyDescent="0.2">
      <c r="A1652" s="11"/>
      <c r="B1652" s="11"/>
      <c r="C1652" s="11"/>
    </row>
    <row r="1653" spans="1:3" x14ac:dyDescent="0.2">
      <c r="A1653" s="11"/>
      <c r="B1653" s="11"/>
      <c r="C1653" s="11"/>
    </row>
    <row r="1654" spans="1:3" x14ac:dyDescent="0.2">
      <c r="A1654" s="11"/>
      <c r="B1654" s="11"/>
      <c r="C1654" s="11"/>
    </row>
    <row r="1655" spans="1:3" x14ac:dyDescent="0.2">
      <c r="A1655" s="11"/>
      <c r="B1655" s="11"/>
      <c r="C1655" s="11"/>
    </row>
    <row r="1656" spans="1:3" x14ac:dyDescent="0.2">
      <c r="A1656" s="11"/>
      <c r="B1656" s="11"/>
      <c r="C1656" s="11"/>
    </row>
    <row r="1657" spans="1:3" x14ac:dyDescent="0.2">
      <c r="A1657" s="11"/>
      <c r="B1657" s="11"/>
      <c r="C1657" s="11"/>
    </row>
    <row r="1658" spans="1:3" x14ac:dyDescent="0.2">
      <c r="A1658" s="11"/>
      <c r="B1658" s="11"/>
      <c r="C1658" s="11"/>
    </row>
    <row r="1659" spans="1:3" x14ac:dyDescent="0.2">
      <c r="A1659" s="11"/>
      <c r="B1659" s="11"/>
      <c r="C1659" s="11"/>
    </row>
    <row r="1660" spans="1:3" x14ac:dyDescent="0.2">
      <c r="A1660" s="11"/>
      <c r="B1660" s="11"/>
      <c r="C1660" s="11"/>
    </row>
    <row r="1661" spans="1:3" x14ac:dyDescent="0.2">
      <c r="A1661" s="11"/>
      <c r="B1661" s="11"/>
      <c r="C1661" s="11"/>
    </row>
    <row r="1662" spans="1:3" x14ac:dyDescent="0.2">
      <c r="A1662" s="11"/>
      <c r="B1662" s="11"/>
      <c r="C1662" s="11"/>
    </row>
    <row r="1663" spans="1:3" x14ac:dyDescent="0.2">
      <c r="A1663" s="11"/>
      <c r="B1663" s="11"/>
      <c r="C1663" s="11"/>
    </row>
    <row r="1664" spans="1:3" x14ac:dyDescent="0.2">
      <c r="A1664" s="11"/>
      <c r="B1664" s="11"/>
      <c r="C1664" s="11"/>
    </row>
    <row r="1665" spans="1:3" x14ac:dyDescent="0.2">
      <c r="A1665" s="11"/>
      <c r="B1665" s="11"/>
      <c r="C1665" s="11"/>
    </row>
    <row r="1666" spans="1:3" x14ac:dyDescent="0.2">
      <c r="A1666" s="11"/>
      <c r="B1666" s="11"/>
      <c r="C1666" s="11"/>
    </row>
    <row r="1667" spans="1:3" x14ac:dyDescent="0.2">
      <c r="A1667" s="11"/>
      <c r="B1667" s="11"/>
      <c r="C1667" s="11"/>
    </row>
    <row r="1668" spans="1:3" x14ac:dyDescent="0.2">
      <c r="A1668" s="11"/>
      <c r="B1668" s="11"/>
      <c r="C1668" s="11"/>
    </row>
    <row r="1669" spans="1:3" x14ac:dyDescent="0.2">
      <c r="A1669" s="11"/>
      <c r="B1669" s="11"/>
      <c r="C1669" s="11"/>
    </row>
    <row r="1670" spans="1:3" x14ac:dyDescent="0.2">
      <c r="A1670" s="11"/>
      <c r="B1670" s="11"/>
      <c r="C1670" s="11"/>
    </row>
    <row r="1671" spans="1:3" x14ac:dyDescent="0.2">
      <c r="A1671" s="11"/>
      <c r="B1671" s="11"/>
      <c r="C1671" s="11"/>
    </row>
    <row r="1672" spans="1:3" x14ac:dyDescent="0.2">
      <c r="A1672" s="11"/>
      <c r="B1672" s="11"/>
      <c r="C1672" s="11"/>
    </row>
    <row r="1673" spans="1:3" x14ac:dyDescent="0.2">
      <c r="A1673" s="11"/>
      <c r="B1673" s="11"/>
      <c r="C1673" s="11"/>
    </row>
    <row r="1674" spans="1:3" x14ac:dyDescent="0.2">
      <c r="A1674" s="11"/>
      <c r="B1674" s="11"/>
      <c r="C1674" s="11"/>
    </row>
    <row r="1675" spans="1:3" x14ac:dyDescent="0.2">
      <c r="A1675" s="11"/>
      <c r="B1675" s="11"/>
      <c r="C1675" s="11"/>
    </row>
    <row r="1676" spans="1:3" x14ac:dyDescent="0.2">
      <c r="A1676" s="11"/>
      <c r="B1676" s="11"/>
      <c r="C1676" s="11"/>
    </row>
    <row r="1677" spans="1:3" x14ac:dyDescent="0.2">
      <c r="A1677" s="11"/>
      <c r="B1677" s="11"/>
      <c r="C1677" s="11"/>
    </row>
    <row r="1678" spans="1:3" x14ac:dyDescent="0.2">
      <c r="A1678" s="11"/>
      <c r="B1678" s="11"/>
      <c r="C1678" s="11"/>
    </row>
    <row r="1679" spans="1:3" x14ac:dyDescent="0.2">
      <c r="A1679" s="11"/>
      <c r="B1679" s="11"/>
      <c r="C1679" s="11"/>
    </row>
    <row r="1680" spans="1:3" x14ac:dyDescent="0.2">
      <c r="A1680" s="11"/>
      <c r="B1680" s="11"/>
      <c r="C1680" s="11"/>
    </row>
    <row r="1681" spans="1:3" x14ac:dyDescent="0.2">
      <c r="A1681" s="11"/>
      <c r="B1681" s="11"/>
      <c r="C1681" s="11"/>
    </row>
    <row r="1682" spans="1:3" x14ac:dyDescent="0.2">
      <c r="A1682" s="11"/>
      <c r="B1682" s="11"/>
      <c r="C1682" s="11"/>
    </row>
    <row r="1683" spans="1:3" x14ac:dyDescent="0.2">
      <c r="A1683" s="11"/>
      <c r="B1683" s="11"/>
      <c r="C1683" s="11"/>
    </row>
    <row r="1684" spans="1:3" x14ac:dyDescent="0.2">
      <c r="A1684" s="11"/>
      <c r="B1684" s="11"/>
      <c r="C1684" s="11"/>
    </row>
    <row r="1685" spans="1:3" x14ac:dyDescent="0.2">
      <c r="A1685" s="11"/>
      <c r="B1685" s="11"/>
      <c r="C1685" s="11"/>
    </row>
    <row r="1686" spans="1:3" x14ac:dyDescent="0.2">
      <c r="A1686" s="11"/>
      <c r="B1686" s="11"/>
      <c r="C1686" s="11"/>
    </row>
    <row r="1687" spans="1:3" x14ac:dyDescent="0.2">
      <c r="A1687" s="11"/>
      <c r="B1687" s="11"/>
      <c r="C1687" s="11"/>
    </row>
    <row r="1688" spans="1:3" x14ac:dyDescent="0.2">
      <c r="A1688" s="11"/>
      <c r="B1688" s="11"/>
      <c r="C1688" s="11"/>
    </row>
    <row r="1689" spans="1:3" x14ac:dyDescent="0.2">
      <c r="A1689" s="11"/>
      <c r="B1689" s="11"/>
      <c r="C1689" s="11"/>
    </row>
    <row r="1690" spans="1:3" x14ac:dyDescent="0.2">
      <c r="A1690" s="11"/>
      <c r="B1690" s="11"/>
      <c r="C1690" s="11"/>
    </row>
    <row r="1691" spans="1:3" x14ac:dyDescent="0.2">
      <c r="A1691" s="11"/>
      <c r="B1691" s="11"/>
      <c r="C1691" s="11"/>
    </row>
    <row r="1692" spans="1:3" x14ac:dyDescent="0.2">
      <c r="A1692" s="11"/>
      <c r="B1692" s="11"/>
      <c r="C1692" s="11"/>
    </row>
    <row r="1693" spans="1:3" x14ac:dyDescent="0.2">
      <c r="A1693" s="11"/>
      <c r="B1693" s="11"/>
      <c r="C1693" s="11"/>
    </row>
    <row r="1694" spans="1:3" x14ac:dyDescent="0.2">
      <c r="A1694" s="11"/>
      <c r="B1694" s="11"/>
      <c r="C1694" s="11"/>
    </row>
    <row r="1695" spans="1:3" x14ac:dyDescent="0.2">
      <c r="A1695" s="11"/>
      <c r="B1695" s="11"/>
      <c r="C1695" s="11"/>
    </row>
    <row r="1696" spans="1:3" x14ac:dyDescent="0.2">
      <c r="A1696" s="11"/>
      <c r="B1696" s="11"/>
      <c r="C1696" s="11"/>
    </row>
    <row r="1697" spans="1:3" x14ac:dyDescent="0.2">
      <c r="A1697" s="11"/>
      <c r="B1697" s="11"/>
      <c r="C1697" s="11"/>
    </row>
    <row r="1698" spans="1:3" x14ac:dyDescent="0.2">
      <c r="A1698" s="11"/>
      <c r="B1698" s="11"/>
      <c r="C1698" s="11"/>
    </row>
    <row r="1699" spans="1:3" x14ac:dyDescent="0.2">
      <c r="A1699" s="11"/>
      <c r="B1699" s="11"/>
      <c r="C1699" s="11"/>
    </row>
    <row r="1700" spans="1:3" x14ac:dyDescent="0.2">
      <c r="A1700" s="11"/>
      <c r="B1700" s="11"/>
      <c r="C1700" s="11"/>
    </row>
    <row r="1701" spans="1:3" x14ac:dyDescent="0.2">
      <c r="A1701" s="11"/>
      <c r="B1701" s="11"/>
      <c r="C1701" s="11"/>
    </row>
    <row r="1702" spans="1:3" x14ac:dyDescent="0.2">
      <c r="A1702" s="11"/>
      <c r="B1702" s="11"/>
      <c r="C1702" s="11"/>
    </row>
    <row r="1703" spans="1:3" x14ac:dyDescent="0.2">
      <c r="A1703" s="11"/>
      <c r="B1703" s="11"/>
      <c r="C1703" s="11"/>
    </row>
    <row r="1704" spans="1:3" x14ac:dyDescent="0.2">
      <c r="A1704" s="11"/>
      <c r="B1704" s="11"/>
      <c r="C1704" s="11"/>
    </row>
    <row r="1705" spans="1:3" x14ac:dyDescent="0.2">
      <c r="A1705" s="11"/>
      <c r="B1705" s="11"/>
      <c r="C1705" s="11"/>
    </row>
    <row r="1706" spans="1:3" x14ac:dyDescent="0.2">
      <c r="A1706" s="11"/>
      <c r="B1706" s="11"/>
      <c r="C1706" s="11"/>
    </row>
    <row r="1707" spans="1:3" x14ac:dyDescent="0.2">
      <c r="A1707" s="11"/>
      <c r="B1707" s="11"/>
      <c r="C1707" s="11"/>
    </row>
    <row r="1708" spans="1:3" x14ac:dyDescent="0.2">
      <c r="A1708" s="11"/>
      <c r="B1708" s="11"/>
      <c r="C1708" s="11"/>
    </row>
    <row r="1709" spans="1:3" x14ac:dyDescent="0.2">
      <c r="A1709" s="11"/>
      <c r="B1709" s="11"/>
      <c r="C1709" s="11"/>
    </row>
    <row r="1710" spans="1:3" x14ac:dyDescent="0.2">
      <c r="A1710" s="11"/>
      <c r="B1710" s="11"/>
      <c r="C1710" s="11"/>
    </row>
    <row r="1711" spans="1:3" x14ac:dyDescent="0.2">
      <c r="A1711" s="11"/>
      <c r="B1711" s="11"/>
      <c r="C1711" s="11"/>
    </row>
    <row r="1712" spans="1:3" x14ac:dyDescent="0.2">
      <c r="A1712" s="11"/>
      <c r="B1712" s="11"/>
      <c r="C1712" s="11"/>
    </row>
    <row r="1713" spans="1:3" x14ac:dyDescent="0.2">
      <c r="A1713" s="11"/>
      <c r="B1713" s="11"/>
      <c r="C1713" s="11"/>
    </row>
    <row r="1714" spans="1:3" x14ac:dyDescent="0.2">
      <c r="A1714" s="11"/>
      <c r="B1714" s="11"/>
      <c r="C1714" s="11"/>
    </row>
    <row r="1715" spans="1:3" x14ac:dyDescent="0.2">
      <c r="A1715" s="11"/>
      <c r="B1715" s="11"/>
      <c r="C1715" s="11"/>
    </row>
    <row r="1716" spans="1:3" x14ac:dyDescent="0.2">
      <c r="A1716" s="11"/>
      <c r="B1716" s="11"/>
      <c r="C1716" s="11"/>
    </row>
    <row r="1717" spans="1:3" x14ac:dyDescent="0.2">
      <c r="A1717" s="11"/>
      <c r="B1717" s="11"/>
      <c r="C1717" s="11"/>
    </row>
    <row r="1718" spans="1:3" x14ac:dyDescent="0.2">
      <c r="A1718" s="11"/>
      <c r="B1718" s="11"/>
      <c r="C1718" s="11"/>
    </row>
    <row r="1719" spans="1:3" x14ac:dyDescent="0.2">
      <c r="A1719" s="11"/>
      <c r="B1719" s="11"/>
      <c r="C1719" s="11"/>
    </row>
    <row r="1720" spans="1:3" x14ac:dyDescent="0.2">
      <c r="A1720" s="11"/>
      <c r="B1720" s="11"/>
      <c r="C1720" s="11"/>
    </row>
    <row r="1721" spans="1:3" x14ac:dyDescent="0.2">
      <c r="A1721" s="11"/>
      <c r="B1721" s="11"/>
      <c r="C1721" s="11"/>
    </row>
    <row r="1722" spans="1:3" x14ac:dyDescent="0.2">
      <c r="A1722" s="11"/>
      <c r="B1722" s="11"/>
      <c r="C1722" s="11"/>
    </row>
    <row r="1723" spans="1:3" x14ac:dyDescent="0.2">
      <c r="A1723" s="11"/>
      <c r="B1723" s="11"/>
      <c r="C1723" s="11"/>
    </row>
    <row r="1724" spans="1:3" x14ac:dyDescent="0.2">
      <c r="A1724" s="11"/>
      <c r="B1724" s="11"/>
      <c r="C1724" s="11"/>
    </row>
    <row r="1725" spans="1:3" x14ac:dyDescent="0.2">
      <c r="A1725" s="11"/>
      <c r="B1725" s="11"/>
      <c r="C1725" s="11"/>
    </row>
    <row r="1726" spans="1:3" x14ac:dyDescent="0.2">
      <c r="A1726" s="11"/>
      <c r="B1726" s="11"/>
      <c r="C1726" s="11"/>
    </row>
    <row r="1727" spans="1:3" x14ac:dyDescent="0.2">
      <c r="A1727" s="11"/>
      <c r="B1727" s="11"/>
      <c r="C1727" s="11"/>
    </row>
    <row r="1728" spans="1:3" x14ac:dyDescent="0.2">
      <c r="A1728" s="11"/>
      <c r="B1728" s="11"/>
      <c r="C1728" s="11"/>
    </row>
    <row r="1729" spans="1:3" x14ac:dyDescent="0.2">
      <c r="A1729" s="11"/>
      <c r="B1729" s="11"/>
      <c r="C1729" s="11"/>
    </row>
    <row r="1730" spans="1:3" x14ac:dyDescent="0.2">
      <c r="A1730" s="11"/>
      <c r="B1730" s="11"/>
      <c r="C1730" s="11"/>
    </row>
    <row r="1731" spans="1:3" x14ac:dyDescent="0.2">
      <c r="A1731" s="11"/>
      <c r="B1731" s="11"/>
      <c r="C1731" s="11"/>
    </row>
    <row r="1732" spans="1:3" x14ac:dyDescent="0.2">
      <c r="A1732" s="11"/>
      <c r="B1732" s="11"/>
      <c r="C1732" s="11"/>
    </row>
    <row r="1733" spans="1:3" x14ac:dyDescent="0.2">
      <c r="A1733" s="11"/>
      <c r="B1733" s="11"/>
      <c r="C1733" s="11"/>
    </row>
    <row r="1734" spans="1:3" x14ac:dyDescent="0.2">
      <c r="A1734" s="11"/>
      <c r="B1734" s="11"/>
      <c r="C1734" s="11"/>
    </row>
    <row r="1735" spans="1:3" x14ac:dyDescent="0.2">
      <c r="A1735" s="11"/>
      <c r="B1735" s="11"/>
      <c r="C1735" s="11"/>
    </row>
    <row r="1736" spans="1:3" x14ac:dyDescent="0.2">
      <c r="A1736" s="11"/>
      <c r="B1736" s="11"/>
      <c r="C1736" s="11"/>
    </row>
    <row r="1737" spans="1:3" x14ac:dyDescent="0.2">
      <c r="A1737" s="11"/>
      <c r="B1737" s="11"/>
      <c r="C1737" s="11"/>
    </row>
    <row r="1738" spans="1:3" x14ac:dyDescent="0.2">
      <c r="A1738" s="11"/>
      <c r="B1738" s="11"/>
      <c r="C1738" s="11"/>
    </row>
    <row r="1739" spans="1:3" x14ac:dyDescent="0.2">
      <c r="A1739" s="11"/>
      <c r="B1739" s="11"/>
      <c r="C1739" s="11"/>
    </row>
    <row r="1740" spans="1:3" x14ac:dyDescent="0.2">
      <c r="A1740" s="11"/>
      <c r="B1740" s="11"/>
      <c r="C1740" s="11"/>
    </row>
    <row r="1741" spans="1:3" x14ac:dyDescent="0.2">
      <c r="A1741" s="11"/>
      <c r="B1741" s="11"/>
      <c r="C1741" s="11"/>
    </row>
    <row r="1742" spans="1:3" x14ac:dyDescent="0.2">
      <c r="A1742" s="11"/>
      <c r="B1742" s="11"/>
      <c r="C1742" s="11"/>
    </row>
    <row r="1743" spans="1:3" x14ac:dyDescent="0.2">
      <c r="A1743" s="11"/>
      <c r="B1743" s="11"/>
      <c r="C1743" s="11"/>
    </row>
    <row r="1744" spans="1:3" x14ac:dyDescent="0.2">
      <c r="A1744" s="11"/>
      <c r="B1744" s="11"/>
      <c r="C1744" s="11"/>
    </row>
    <row r="1745" spans="1:3" x14ac:dyDescent="0.2">
      <c r="A1745" s="11"/>
      <c r="B1745" s="11"/>
      <c r="C1745" s="11"/>
    </row>
    <row r="1746" spans="1:3" x14ac:dyDescent="0.2">
      <c r="A1746" s="11"/>
      <c r="B1746" s="11"/>
      <c r="C1746" s="11"/>
    </row>
    <row r="1747" spans="1:3" x14ac:dyDescent="0.2">
      <c r="A1747" s="11"/>
      <c r="B1747" s="11"/>
      <c r="C1747" s="11"/>
    </row>
    <row r="1748" spans="1:3" x14ac:dyDescent="0.2">
      <c r="A1748" s="11"/>
      <c r="B1748" s="11"/>
      <c r="C1748" s="11"/>
    </row>
    <row r="1749" spans="1:3" x14ac:dyDescent="0.2">
      <c r="A1749" s="11"/>
      <c r="B1749" s="11"/>
      <c r="C1749" s="11"/>
    </row>
    <row r="1750" spans="1:3" x14ac:dyDescent="0.2">
      <c r="A1750" s="11"/>
      <c r="B1750" s="11"/>
      <c r="C1750" s="11"/>
    </row>
    <row r="1751" spans="1:3" x14ac:dyDescent="0.2">
      <c r="A1751" s="11"/>
      <c r="B1751" s="11"/>
      <c r="C1751" s="11"/>
    </row>
    <row r="1752" spans="1:3" x14ac:dyDescent="0.2">
      <c r="A1752" s="11"/>
      <c r="B1752" s="11"/>
      <c r="C1752" s="11"/>
    </row>
    <row r="1753" spans="1:3" x14ac:dyDescent="0.2">
      <c r="A1753" s="11"/>
      <c r="B1753" s="11"/>
      <c r="C1753" s="11"/>
    </row>
    <row r="1754" spans="1:3" x14ac:dyDescent="0.2">
      <c r="A1754" s="11"/>
      <c r="B1754" s="11"/>
      <c r="C1754" s="11"/>
    </row>
    <row r="1755" spans="1:3" x14ac:dyDescent="0.2">
      <c r="A1755" s="11"/>
      <c r="B1755" s="11"/>
      <c r="C1755" s="11"/>
    </row>
    <row r="1756" spans="1:3" x14ac:dyDescent="0.2">
      <c r="A1756" s="11"/>
      <c r="B1756" s="11"/>
      <c r="C1756" s="11"/>
    </row>
    <row r="1757" spans="1:3" x14ac:dyDescent="0.2">
      <c r="A1757" s="11"/>
      <c r="B1757" s="11"/>
      <c r="C1757" s="11"/>
    </row>
    <row r="1758" spans="1:3" x14ac:dyDescent="0.2">
      <c r="A1758" s="11"/>
      <c r="B1758" s="11"/>
      <c r="C1758" s="11"/>
    </row>
    <row r="1759" spans="1:3" x14ac:dyDescent="0.2">
      <c r="A1759" s="11"/>
      <c r="B1759" s="11"/>
      <c r="C1759" s="11"/>
    </row>
    <row r="1760" spans="1:3" x14ac:dyDescent="0.2">
      <c r="A1760" s="11"/>
      <c r="B1760" s="11"/>
      <c r="C1760" s="11"/>
    </row>
    <row r="1761" spans="1:3" x14ac:dyDescent="0.2">
      <c r="A1761" s="11"/>
      <c r="B1761" s="11"/>
      <c r="C1761" s="11"/>
    </row>
    <row r="1762" spans="1:3" x14ac:dyDescent="0.2">
      <c r="A1762" s="11"/>
      <c r="B1762" s="11"/>
      <c r="C1762" s="11"/>
    </row>
    <row r="1763" spans="1:3" x14ac:dyDescent="0.2">
      <c r="A1763" s="11"/>
      <c r="B1763" s="11"/>
      <c r="C1763" s="11"/>
    </row>
    <row r="1764" spans="1:3" x14ac:dyDescent="0.2">
      <c r="A1764" s="11"/>
      <c r="B1764" s="11"/>
      <c r="C1764" s="11"/>
    </row>
    <row r="1765" spans="1:3" x14ac:dyDescent="0.2">
      <c r="A1765" s="11"/>
      <c r="B1765" s="11"/>
      <c r="C1765" s="11"/>
    </row>
    <row r="1766" spans="1:3" x14ac:dyDescent="0.2">
      <c r="A1766" s="11"/>
      <c r="B1766" s="11"/>
      <c r="C1766" s="11"/>
    </row>
    <row r="1767" spans="1:3" x14ac:dyDescent="0.2">
      <c r="A1767" s="11"/>
      <c r="B1767" s="11"/>
      <c r="C1767" s="11"/>
    </row>
    <row r="1768" spans="1:3" x14ac:dyDescent="0.2">
      <c r="A1768" s="11"/>
      <c r="B1768" s="11"/>
      <c r="C1768" s="11"/>
    </row>
    <row r="1769" spans="1:3" x14ac:dyDescent="0.2">
      <c r="A1769" s="11"/>
      <c r="B1769" s="11"/>
      <c r="C1769" s="11"/>
    </row>
    <row r="1770" spans="1:3" x14ac:dyDescent="0.2">
      <c r="A1770" s="11"/>
      <c r="B1770" s="11"/>
      <c r="C1770" s="11"/>
    </row>
    <row r="1771" spans="1:3" x14ac:dyDescent="0.2">
      <c r="A1771" s="11"/>
      <c r="B1771" s="11"/>
      <c r="C1771" s="11"/>
    </row>
    <row r="1772" spans="1:3" x14ac:dyDescent="0.2">
      <c r="A1772" s="11"/>
      <c r="B1772" s="11"/>
      <c r="C1772" s="11"/>
    </row>
    <row r="1773" spans="1:3" x14ac:dyDescent="0.2">
      <c r="A1773" s="11"/>
      <c r="B1773" s="11"/>
      <c r="C1773" s="11"/>
    </row>
    <row r="1774" spans="1:3" x14ac:dyDescent="0.2">
      <c r="A1774" s="11"/>
      <c r="B1774" s="11"/>
      <c r="C1774" s="11"/>
    </row>
    <row r="1775" spans="1:3" x14ac:dyDescent="0.2">
      <c r="A1775" s="11"/>
      <c r="B1775" s="11"/>
      <c r="C1775" s="11"/>
    </row>
    <row r="1776" spans="1:3" x14ac:dyDescent="0.2">
      <c r="A1776" s="11"/>
      <c r="B1776" s="11"/>
      <c r="C1776" s="11"/>
    </row>
    <row r="1777" spans="1:3" x14ac:dyDescent="0.2">
      <c r="A1777" s="11"/>
      <c r="B1777" s="11"/>
      <c r="C1777" s="11"/>
    </row>
    <row r="1778" spans="1:3" x14ac:dyDescent="0.2">
      <c r="A1778" s="11"/>
      <c r="B1778" s="11"/>
      <c r="C1778" s="11"/>
    </row>
    <row r="1779" spans="1:3" x14ac:dyDescent="0.2">
      <c r="A1779" s="11"/>
      <c r="B1779" s="11"/>
      <c r="C1779" s="11"/>
    </row>
    <row r="1780" spans="1:3" x14ac:dyDescent="0.2">
      <c r="A1780" s="11"/>
      <c r="B1780" s="11"/>
      <c r="C1780" s="11"/>
    </row>
    <row r="1781" spans="1:3" x14ac:dyDescent="0.2">
      <c r="A1781" s="11"/>
      <c r="B1781" s="11"/>
      <c r="C1781" s="11"/>
    </row>
    <row r="1782" spans="1:3" x14ac:dyDescent="0.2">
      <c r="A1782" s="11"/>
      <c r="B1782" s="11"/>
      <c r="C1782" s="11"/>
    </row>
    <row r="1783" spans="1:3" x14ac:dyDescent="0.2">
      <c r="A1783" s="11"/>
      <c r="B1783" s="11"/>
      <c r="C1783" s="11"/>
    </row>
    <row r="1784" spans="1:3" x14ac:dyDescent="0.2">
      <c r="A1784" s="11"/>
      <c r="B1784" s="11"/>
      <c r="C1784" s="11"/>
    </row>
    <row r="1785" spans="1:3" x14ac:dyDescent="0.2">
      <c r="A1785" s="11"/>
      <c r="B1785" s="11"/>
      <c r="C1785" s="11"/>
    </row>
    <row r="1786" spans="1:3" x14ac:dyDescent="0.2">
      <c r="A1786" s="11"/>
      <c r="B1786" s="11"/>
      <c r="C1786" s="11"/>
    </row>
    <row r="1787" spans="1:3" x14ac:dyDescent="0.2">
      <c r="A1787" s="11"/>
      <c r="B1787" s="11"/>
      <c r="C1787" s="11"/>
    </row>
    <row r="1788" spans="1:3" x14ac:dyDescent="0.2">
      <c r="A1788" s="11"/>
      <c r="B1788" s="11"/>
      <c r="C1788" s="11"/>
    </row>
    <row r="1789" spans="1:3" x14ac:dyDescent="0.2">
      <c r="A1789" s="11"/>
      <c r="B1789" s="11"/>
      <c r="C1789" s="11"/>
    </row>
    <row r="1790" spans="1:3" x14ac:dyDescent="0.2">
      <c r="A1790" s="11"/>
      <c r="B1790" s="11"/>
      <c r="C1790" s="11"/>
    </row>
    <row r="1791" spans="1:3" x14ac:dyDescent="0.2">
      <c r="A1791" s="11"/>
      <c r="B1791" s="11"/>
      <c r="C1791" s="11"/>
    </row>
    <row r="1792" spans="1:3" x14ac:dyDescent="0.2">
      <c r="A1792" s="11"/>
      <c r="B1792" s="11"/>
      <c r="C1792" s="11"/>
    </row>
    <row r="1793" spans="1:3" x14ac:dyDescent="0.2">
      <c r="A1793" s="11"/>
      <c r="B1793" s="11"/>
      <c r="C1793" s="11"/>
    </row>
    <row r="1794" spans="1:3" x14ac:dyDescent="0.2">
      <c r="A1794" s="11"/>
      <c r="B1794" s="11"/>
      <c r="C1794" s="11"/>
    </row>
    <row r="1795" spans="1:3" x14ac:dyDescent="0.2">
      <c r="A1795" s="11"/>
      <c r="B1795" s="11"/>
      <c r="C1795" s="11"/>
    </row>
    <row r="1796" spans="1:3" x14ac:dyDescent="0.2">
      <c r="A1796" s="11"/>
      <c r="B1796" s="11"/>
      <c r="C1796" s="11"/>
    </row>
    <row r="1797" spans="1:3" x14ac:dyDescent="0.2">
      <c r="A1797" s="11"/>
      <c r="B1797" s="11"/>
      <c r="C1797" s="11"/>
    </row>
    <row r="1798" spans="1:3" x14ac:dyDescent="0.2">
      <c r="A1798" s="11"/>
      <c r="B1798" s="11"/>
      <c r="C1798" s="11"/>
    </row>
    <row r="1799" spans="1:3" x14ac:dyDescent="0.2">
      <c r="A1799" s="11"/>
      <c r="B1799" s="11"/>
      <c r="C1799" s="11"/>
    </row>
    <row r="1800" spans="1:3" x14ac:dyDescent="0.2">
      <c r="A1800" s="11"/>
      <c r="B1800" s="11"/>
      <c r="C1800" s="11"/>
    </row>
    <row r="1801" spans="1:3" x14ac:dyDescent="0.2">
      <c r="A1801" s="11"/>
      <c r="B1801" s="11"/>
      <c r="C1801" s="11"/>
    </row>
    <row r="1802" spans="1:3" x14ac:dyDescent="0.2">
      <c r="A1802" s="11"/>
      <c r="B1802" s="11"/>
      <c r="C1802" s="11"/>
    </row>
    <row r="1803" spans="1:3" x14ac:dyDescent="0.2">
      <c r="A1803" s="11"/>
      <c r="B1803" s="11"/>
      <c r="C1803" s="11"/>
    </row>
    <row r="1804" spans="1:3" x14ac:dyDescent="0.2">
      <c r="A1804" s="11"/>
      <c r="B1804" s="11"/>
      <c r="C1804" s="11"/>
    </row>
    <row r="1805" spans="1:3" x14ac:dyDescent="0.2">
      <c r="A1805" s="11"/>
      <c r="B1805" s="11"/>
      <c r="C1805" s="11"/>
    </row>
    <row r="1806" spans="1:3" x14ac:dyDescent="0.2">
      <c r="A1806" s="11"/>
      <c r="B1806" s="11"/>
      <c r="C1806" s="11"/>
    </row>
    <row r="1807" spans="1:3" x14ac:dyDescent="0.2">
      <c r="A1807" s="11"/>
      <c r="B1807" s="11"/>
      <c r="C1807" s="11"/>
    </row>
    <row r="1808" spans="1:3" x14ac:dyDescent="0.2">
      <c r="A1808" s="11"/>
      <c r="B1808" s="11"/>
      <c r="C1808" s="11"/>
    </row>
    <row r="1809" spans="1:3" x14ac:dyDescent="0.2">
      <c r="A1809" s="11"/>
      <c r="B1809" s="11"/>
      <c r="C1809" s="11"/>
    </row>
    <row r="1810" spans="1:3" x14ac:dyDescent="0.2">
      <c r="A1810" s="11"/>
      <c r="B1810" s="11"/>
      <c r="C1810" s="11"/>
    </row>
    <row r="1811" spans="1:3" x14ac:dyDescent="0.2">
      <c r="A1811" s="11"/>
      <c r="B1811" s="11"/>
      <c r="C1811" s="11"/>
    </row>
    <row r="1812" spans="1:3" x14ac:dyDescent="0.2">
      <c r="A1812" s="11"/>
      <c r="B1812" s="11"/>
      <c r="C1812" s="11"/>
    </row>
    <row r="1813" spans="1:3" x14ac:dyDescent="0.2">
      <c r="A1813" s="11"/>
      <c r="B1813" s="11"/>
      <c r="C1813" s="11"/>
    </row>
    <row r="1814" spans="1:3" x14ac:dyDescent="0.2">
      <c r="A1814" s="11"/>
      <c r="B1814" s="11"/>
      <c r="C1814" s="11"/>
    </row>
    <row r="1815" spans="1:3" x14ac:dyDescent="0.2">
      <c r="A1815" s="11"/>
      <c r="B1815" s="11"/>
      <c r="C1815" s="11"/>
    </row>
    <row r="1816" spans="1:3" x14ac:dyDescent="0.2">
      <c r="A1816" s="11"/>
      <c r="B1816" s="11"/>
      <c r="C1816" s="11"/>
    </row>
    <row r="1817" spans="1:3" x14ac:dyDescent="0.2">
      <c r="A1817" s="11"/>
      <c r="B1817" s="11"/>
      <c r="C1817" s="11"/>
    </row>
    <row r="1818" spans="1:3" x14ac:dyDescent="0.2">
      <c r="A1818" s="11"/>
      <c r="B1818" s="11"/>
      <c r="C1818" s="11"/>
    </row>
    <row r="1819" spans="1:3" x14ac:dyDescent="0.2">
      <c r="A1819" s="11"/>
      <c r="B1819" s="11"/>
      <c r="C1819" s="11"/>
    </row>
    <row r="1820" spans="1:3" x14ac:dyDescent="0.2">
      <c r="A1820" s="11"/>
      <c r="B1820" s="11"/>
      <c r="C1820" s="11"/>
    </row>
    <row r="1821" spans="1:3" x14ac:dyDescent="0.2">
      <c r="A1821" s="11"/>
      <c r="B1821" s="11"/>
      <c r="C1821" s="11"/>
    </row>
    <row r="1822" spans="1:3" x14ac:dyDescent="0.2">
      <c r="A1822" s="11"/>
      <c r="B1822" s="11"/>
      <c r="C1822" s="11"/>
    </row>
    <row r="1823" spans="1:3" x14ac:dyDescent="0.2">
      <c r="A1823" s="11"/>
      <c r="B1823" s="11"/>
      <c r="C1823" s="11"/>
    </row>
    <row r="1824" spans="1:3" x14ac:dyDescent="0.2">
      <c r="A1824" s="11"/>
      <c r="B1824" s="11"/>
      <c r="C1824" s="11"/>
    </row>
    <row r="1825" spans="1:3" x14ac:dyDescent="0.2">
      <c r="A1825" s="11"/>
      <c r="B1825" s="11"/>
      <c r="C1825" s="11"/>
    </row>
    <row r="1826" spans="1:3" x14ac:dyDescent="0.2">
      <c r="A1826" s="11"/>
      <c r="B1826" s="11"/>
      <c r="C1826" s="11"/>
    </row>
    <row r="1827" spans="1:3" x14ac:dyDescent="0.2">
      <c r="A1827" s="11"/>
      <c r="B1827" s="11"/>
      <c r="C1827" s="11"/>
    </row>
    <row r="1828" spans="1:3" x14ac:dyDescent="0.2">
      <c r="A1828" s="11"/>
      <c r="B1828" s="11"/>
      <c r="C1828" s="11"/>
    </row>
    <row r="1829" spans="1:3" x14ac:dyDescent="0.2">
      <c r="A1829" s="11"/>
      <c r="B1829" s="11"/>
      <c r="C1829" s="11"/>
    </row>
    <row r="1830" spans="1:3" x14ac:dyDescent="0.2">
      <c r="A1830" s="11"/>
      <c r="B1830" s="11"/>
      <c r="C1830" s="11"/>
    </row>
    <row r="1831" spans="1:3" x14ac:dyDescent="0.2">
      <c r="A1831" s="11"/>
      <c r="B1831" s="11"/>
      <c r="C1831" s="11"/>
    </row>
    <row r="1832" spans="1:3" x14ac:dyDescent="0.2">
      <c r="A1832" s="11"/>
      <c r="B1832" s="11"/>
      <c r="C1832" s="11"/>
    </row>
    <row r="1833" spans="1:3" x14ac:dyDescent="0.2">
      <c r="A1833" s="11"/>
      <c r="B1833" s="11"/>
      <c r="C1833" s="11"/>
    </row>
    <row r="1834" spans="1:3" x14ac:dyDescent="0.2">
      <c r="A1834" s="11"/>
      <c r="B1834" s="11"/>
      <c r="C1834" s="11"/>
    </row>
    <row r="1835" spans="1:3" x14ac:dyDescent="0.2">
      <c r="A1835" s="11"/>
      <c r="B1835" s="11"/>
      <c r="C1835" s="11"/>
    </row>
    <row r="1836" spans="1:3" x14ac:dyDescent="0.2">
      <c r="A1836" s="11"/>
      <c r="B1836" s="11"/>
      <c r="C1836" s="11"/>
    </row>
    <row r="1837" spans="1:3" x14ac:dyDescent="0.2">
      <c r="A1837" s="11"/>
      <c r="B1837" s="11"/>
      <c r="C1837" s="11"/>
    </row>
    <row r="1838" spans="1:3" x14ac:dyDescent="0.2">
      <c r="A1838" s="11"/>
      <c r="B1838" s="11"/>
      <c r="C1838" s="11"/>
    </row>
    <row r="1839" spans="1:3" x14ac:dyDescent="0.2">
      <c r="A1839" s="11"/>
      <c r="B1839" s="11"/>
      <c r="C1839" s="11"/>
    </row>
    <row r="1840" spans="1:3" x14ac:dyDescent="0.2">
      <c r="A1840" s="11"/>
      <c r="B1840" s="11"/>
      <c r="C1840" s="11"/>
    </row>
    <row r="1841" spans="1:3" x14ac:dyDescent="0.2">
      <c r="A1841" s="11"/>
      <c r="B1841" s="11"/>
      <c r="C1841" s="11"/>
    </row>
    <row r="1842" spans="1:3" x14ac:dyDescent="0.2">
      <c r="A1842" s="11"/>
      <c r="B1842" s="11"/>
      <c r="C1842" s="11"/>
    </row>
    <row r="1843" spans="1:3" x14ac:dyDescent="0.2">
      <c r="A1843" s="11"/>
      <c r="B1843" s="11"/>
      <c r="C1843" s="11"/>
    </row>
    <row r="1844" spans="1:3" x14ac:dyDescent="0.2">
      <c r="A1844" s="11"/>
      <c r="B1844" s="11"/>
      <c r="C1844" s="11"/>
    </row>
    <row r="1845" spans="1:3" x14ac:dyDescent="0.2">
      <c r="A1845" s="11"/>
      <c r="B1845" s="11"/>
      <c r="C1845" s="11"/>
    </row>
    <row r="1846" spans="1:3" x14ac:dyDescent="0.2">
      <c r="A1846" s="11"/>
      <c r="B1846" s="11"/>
      <c r="C1846" s="11"/>
    </row>
    <row r="1847" spans="1:3" x14ac:dyDescent="0.2">
      <c r="A1847" s="11"/>
      <c r="B1847" s="11"/>
      <c r="C1847" s="11"/>
    </row>
    <row r="1848" spans="1:3" x14ac:dyDescent="0.2">
      <c r="A1848" s="11"/>
      <c r="B1848" s="11"/>
      <c r="C1848" s="11"/>
    </row>
    <row r="1849" spans="1:3" x14ac:dyDescent="0.2">
      <c r="A1849" s="11"/>
      <c r="B1849" s="11"/>
      <c r="C1849" s="11"/>
    </row>
    <row r="1850" spans="1:3" x14ac:dyDescent="0.2">
      <c r="A1850" s="11"/>
      <c r="B1850" s="11"/>
      <c r="C1850" s="11"/>
    </row>
    <row r="1851" spans="1:3" x14ac:dyDescent="0.2">
      <c r="A1851" s="11"/>
      <c r="B1851" s="11"/>
      <c r="C1851" s="11"/>
    </row>
    <row r="1852" spans="1:3" x14ac:dyDescent="0.2">
      <c r="A1852" s="11"/>
      <c r="B1852" s="11"/>
      <c r="C1852" s="11"/>
    </row>
    <row r="1853" spans="1:3" x14ac:dyDescent="0.2">
      <c r="A1853" s="11"/>
      <c r="B1853" s="11"/>
      <c r="C1853" s="11"/>
    </row>
    <row r="1854" spans="1:3" x14ac:dyDescent="0.2">
      <c r="A1854" s="11"/>
      <c r="B1854" s="11"/>
      <c r="C1854" s="11"/>
    </row>
    <row r="1855" spans="1:3" x14ac:dyDescent="0.2">
      <c r="A1855" s="11"/>
      <c r="B1855" s="11"/>
      <c r="C1855" s="11"/>
    </row>
    <row r="1856" spans="1:3" x14ac:dyDescent="0.2">
      <c r="A1856" s="11"/>
      <c r="B1856" s="11"/>
      <c r="C1856" s="11"/>
    </row>
    <row r="1857" spans="1:3" x14ac:dyDescent="0.2">
      <c r="A1857" s="11"/>
      <c r="B1857" s="11"/>
      <c r="C1857" s="11"/>
    </row>
    <row r="1858" spans="1:3" x14ac:dyDescent="0.2">
      <c r="A1858" s="11"/>
      <c r="B1858" s="11"/>
      <c r="C1858" s="11"/>
    </row>
    <row r="1859" spans="1:3" x14ac:dyDescent="0.2">
      <c r="A1859" s="11"/>
      <c r="B1859" s="11"/>
      <c r="C1859" s="11"/>
    </row>
    <row r="1860" spans="1:3" x14ac:dyDescent="0.2">
      <c r="A1860" s="11"/>
      <c r="B1860" s="11"/>
      <c r="C1860" s="11"/>
    </row>
    <row r="1861" spans="1:3" x14ac:dyDescent="0.2">
      <c r="A1861" s="11"/>
      <c r="B1861" s="11"/>
      <c r="C1861" s="11"/>
    </row>
    <row r="1862" spans="1:3" x14ac:dyDescent="0.2">
      <c r="A1862" s="11"/>
      <c r="B1862" s="11"/>
      <c r="C1862" s="11"/>
    </row>
    <row r="1863" spans="1:3" x14ac:dyDescent="0.2">
      <c r="A1863" s="11"/>
      <c r="B1863" s="11"/>
      <c r="C1863" s="11"/>
    </row>
    <row r="1864" spans="1:3" x14ac:dyDescent="0.2">
      <c r="A1864" s="11"/>
      <c r="B1864" s="11"/>
      <c r="C1864" s="11"/>
    </row>
    <row r="1865" spans="1:3" x14ac:dyDescent="0.2">
      <c r="A1865" s="11"/>
      <c r="B1865" s="11"/>
      <c r="C1865" s="11"/>
    </row>
    <row r="1866" spans="1:3" x14ac:dyDescent="0.2">
      <c r="A1866" s="11"/>
      <c r="B1866" s="11"/>
      <c r="C1866" s="11"/>
    </row>
    <row r="1867" spans="1:3" x14ac:dyDescent="0.2">
      <c r="A1867" s="11"/>
      <c r="B1867" s="11"/>
      <c r="C1867" s="11"/>
    </row>
    <row r="1868" spans="1:3" x14ac:dyDescent="0.2">
      <c r="A1868" s="11"/>
      <c r="B1868" s="11"/>
      <c r="C1868" s="11"/>
    </row>
    <row r="1869" spans="1:3" x14ac:dyDescent="0.2">
      <c r="A1869" s="11"/>
      <c r="B1869" s="11"/>
      <c r="C1869" s="11"/>
    </row>
    <row r="1870" spans="1:3" x14ac:dyDescent="0.2">
      <c r="A1870" s="11"/>
      <c r="B1870" s="11"/>
      <c r="C1870" s="11"/>
    </row>
    <row r="1871" spans="1:3" x14ac:dyDescent="0.2">
      <c r="A1871" s="11"/>
      <c r="B1871" s="11"/>
      <c r="C1871" s="11"/>
    </row>
    <row r="1872" spans="1:3" x14ac:dyDescent="0.2">
      <c r="A1872" s="11"/>
      <c r="B1872" s="11"/>
      <c r="C1872" s="11"/>
    </row>
    <row r="1873" spans="1:3" x14ac:dyDescent="0.2">
      <c r="A1873" s="11"/>
      <c r="B1873" s="11"/>
      <c r="C1873" s="11"/>
    </row>
    <row r="1874" spans="1:3" x14ac:dyDescent="0.2">
      <c r="A1874" s="11"/>
      <c r="B1874" s="11"/>
      <c r="C1874" s="11"/>
    </row>
    <row r="1875" spans="1:3" x14ac:dyDescent="0.2">
      <c r="A1875" s="11"/>
      <c r="B1875" s="11"/>
      <c r="C1875" s="11"/>
    </row>
    <row r="1876" spans="1:3" x14ac:dyDescent="0.2">
      <c r="A1876" s="11"/>
      <c r="B1876" s="11"/>
      <c r="C1876" s="11"/>
    </row>
    <row r="1877" spans="1:3" x14ac:dyDescent="0.2">
      <c r="A1877" s="11"/>
      <c r="B1877" s="11"/>
      <c r="C1877" s="11"/>
    </row>
    <row r="1878" spans="1:3" x14ac:dyDescent="0.2">
      <c r="A1878" s="11"/>
      <c r="B1878" s="11"/>
      <c r="C1878" s="11"/>
    </row>
    <row r="1879" spans="1:3" x14ac:dyDescent="0.2">
      <c r="A1879" s="11"/>
      <c r="B1879" s="11"/>
      <c r="C1879" s="11"/>
    </row>
    <row r="1880" spans="1:3" x14ac:dyDescent="0.2">
      <c r="A1880" s="11"/>
      <c r="B1880" s="11"/>
      <c r="C1880" s="11"/>
    </row>
    <row r="1881" spans="1:3" x14ac:dyDescent="0.2">
      <c r="A1881" s="11"/>
      <c r="B1881" s="11"/>
      <c r="C1881" s="11"/>
    </row>
    <row r="1882" spans="1:3" x14ac:dyDescent="0.2">
      <c r="A1882" s="11"/>
      <c r="B1882" s="11"/>
      <c r="C1882" s="11"/>
    </row>
    <row r="1883" spans="1:3" x14ac:dyDescent="0.2">
      <c r="A1883" s="11"/>
      <c r="B1883" s="11"/>
      <c r="C1883" s="11"/>
    </row>
    <row r="1884" spans="1:3" x14ac:dyDescent="0.2">
      <c r="A1884" s="11"/>
      <c r="B1884" s="11"/>
      <c r="C1884" s="11"/>
    </row>
    <row r="1885" spans="1:3" x14ac:dyDescent="0.2">
      <c r="A1885" s="11"/>
      <c r="B1885" s="11"/>
      <c r="C1885" s="11"/>
    </row>
    <row r="1886" spans="1:3" x14ac:dyDescent="0.2">
      <c r="A1886" s="11"/>
      <c r="B1886" s="11"/>
      <c r="C1886" s="11"/>
    </row>
    <row r="1887" spans="1:3" x14ac:dyDescent="0.2">
      <c r="A1887" s="11"/>
      <c r="B1887" s="11"/>
      <c r="C1887" s="11"/>
    </row>
    <row r="1888" spans="1:3" x14ac:dyDescent="0.2">
      <c r="A1888" s="11"/>
      <c r="B1888" s="11"/>
      <c r="C1888" s="11"/>
    </row>
    <row r="1889" spans="1:3" x14ac:dyDescent="0.2">
      <c r="A1889" s="11"/>
      <c r="B1889" s="11"/>
      <c r="C1889" s="11"/>
    </row>
    <row r="1890" spans="1:3" x14ac:dyDescent="0.2">
      <c r="A1890" s="11"/>
      <c r="B1890" s="11"/>
      <c r="C1890" s="11"/>
    </row>
    <row r="1891" spans="1:3" x14ac:dyDescent="0.2">
      <c r="A1891" s="11"/>
      <c r="B1891" s="11"/>
      <c r="C1891" s="11"/>
    </row>
    <row r="1892" spans="1:3" x14ac:dyDescent="0.2">
      <c r="A1892" s="11"/>
      <c r="B1892" s="11"/>
      <c r="C1892" s="11"/>
    </row>
    <row r="1893" spans="1:3" x14ac:dyDescent="0.2">
      <c r="A1893" s="11"/>
      <c r="B1893" s="11"/>
      <c r="C1893" s="11"/>
    </row>
    <row r="1894" spans="1:3" x14ac:dyDescent="0.2">
      <c r="A1894" s="11"/>
      <c r="B1894" s="11"/>
      <c r="C1894" s="11"/>
    </row>
    <row r="1895" spans="1:3" x14ac:dyDescent="0.2">
      <c r="A1895" s="11"/>
      <c r="B1895" s="11"/>
      <c r="C1895" s="11"/>
    </row>
    <row r="1896" spans="1:3" x14ac:dyDescent="0.2">
      <c r="A1896" s="11"/>
      <c r="B1896" s="11"/>
      <c r="C1896" s="11"/>
    </row>
    <row r="1897" spans="1:3" x14ac:dyDescent="0.2">
      <c r="A1897" s="11"/>
      <c r="B1897" s="11"/>
      <c r="C1897" s="11"/>
    </row>
    <row r="1898" spans="1:3" x14ac:dyDescent="0.2">
      <c r="A1898" s="11"/>
      <c r="B1898" s="11"/>
      <c r="C1898" s="11"/>
    </row>
    <row r="1899" spans="1:3" x14ac:dyDescent="0.2">
      <c r="A1899" s="11"/>
      <c r="B1899" s="11"/>
      <c r="C1899" s="11"/>
    </row>
    <row r="1900" spans="1:3" x14ac:dyDescent="0.2">
      <c r="A1900" s="11"/>
      <c r="B1900" s="11"/>
      <c r="C1900" s="11"/>
    </row>
    <row r="1901" spans="1:3" x14ac:dyDescent="0.2">
      <c r="A1901" s="11"/>
      <c r="B1901" s="11"/>
      <c r="C1901" s="11"/>
    </row>
    <row r="1902" spans="1:3" x14ac:dyDescent="0.2">
      <c r="A1902" s="11"/>
      <c r="B1902" s="11"/>
      <c r="C1902" s="11"/>
    </row>
    <row r="1903" spans="1:3" x14ac:dyDescent="0.2">
      <c r="A1903" s="11"/>
      <c r="B1903" s="11"/>
      <c r="C1903" s="11"/>
    </row>
    <row r="1904" spans="1:3" x14ac:dyDescent="0.2">
      <c r="A1904" s="11"/>
      <c r="B1904" s="11"/>
      <c r="C1904" s="11"/>
    </row>
    <row r="1905" spans="1:3" x14ac:dyDescent="0.2">
      <c r="A1905" s="11"/>
      <c r="B1905" s="11"/>
      <c r="C1905" s="11"/>
    </row>
    <row r="1906" spans="1:3" x14ac:dyDescent="0.2">
      <c r="A1906" s="11"/>
      <c r="B1906" s="11"/>
      <c r="C1906" s="11"/>
    </row>
    <row r="1907" spans="1:3" x14ac:dyDescent="0.2">
      <c r="A1907" s="11"/>
      <c r="B1907" s="11"/>
      <c r="C1907" s="11"/>
    </row>
    <row r="1908" spans="1:3" x14ac:dyDescent="0.2">
      <c r="A1908" s="11"/>
      <c r="B1908" s="11"/>
      <c r="C1908" s="11"/>
    </row>
    <row r="1909" spans="1:3" x14ac:dyDescent="0.2">
      <c r="A1909" s="11"/>
      <c r="B1909" s="11"/>
      <c r="C1909" s="11"/>
    </row>
    <row r="1910" spans="1:3" x14ac:dyDescent="0.2">
      <c r="A1910" s="11"/>
      <c r="B1910" s="11"/>
      <c r="C1910" s="11"/>
    </row>
    <row r="1911" spans="1:3" x14ac:dyDescent="0.2">
      <c r="A1911" s="11"/>
      <c r="B1911" s="11"/>
      <c r="C1911" s="11"/>
    </row>
    <row r="1912" spans="1:3" x14ac:dyDescent="0.2">
      <c r="A1912" s="11"/>
      <c r="B1912" s="11"/>
      <c r="C1912" s="11"/>
    </row>
    <row r="1913" spans="1:3" x14ac:dyDescent="0.2">
      <c r="A1913" s="11"/>
      <c r="B1913" s="11"/>
      <c r="C1913" s="11"/>
    </row>
    <row r="1914" spans="1:3" x14ac:dyDescent="0.2">
      <c r="A1914" s="11"/>
      <c r="B1914" s="11"/>
      <c r="C1914" s="11"/>
    </row>
    <row r="1915" spans="1:3" x14ac:dyDescent="0.2">
      <c r="A1915" s="11"/>
      <c r="B1915" s="11"/>
      <c r="C1915" s="11"/>
    </row>
    <row r="1916" spans="1:3" x14ac:dyDescent="0.2">
      <c r="A1916" s="11"/>
      <c r="B1916" s="11"/>
      <c r="C1916" s="11"/>
    </row>
    <row r="1917" spans="1:3" x14ac:dyDescent="0.2">
      <c r="A1917" s="11"/>
      <c r="B1917" s="11"/>
      <c r="C1917" s="11"/>
    </row>
    <row r="1918" spans="1:3" x14ac:dyDescent="0.2">
      <c r="A1918" s="11"/>
      <c r="B1918" s="11"/>
      <c r="C1918" s="11"/>
    </row>
    <row r="1919" spans="1:3" x14ac:dyDescent="0.2">
      <c r="A1919" s="11"/>
      <c r="B1919" s="11"/>
      <c r="C1919" s="11"/>
    </row>
    <row r="1920" spans="1:3" x14ac:dyDescent="0.2">
      <c r="A1920" s="11"/>
      <c r="B1920" s="11"/>
      <c r="C1920" s="11"/>
    </row>
    <row r="1921" spans="1:3" x14ac:dyDescent="0.2">
      <c r="A1921" s="11"/>
      <c r="B1921" s="11"/>
      <c r="C1921" s="11"/>
    </row>
    <row r="1922" spans="1:3" x14ac:dyDescent="0.2">
      <c r="A1922" s="11"/>
      <c r="B1922" s="11"/>
      <c r="C1922" s="11"/>
    </row>
    <row r="1923" spans="1:3" x14ac:dyDescent="0.2">
      <c r="A1923" s="11"/>
      <c r="B1923" s="11"/>
      <c r="C1923" s="11"/>
    </row>
    <row r="1924" spans="1:3" x14ac:dyDescent="0.2">
      <c r="A1924" s="11"/>
      <c r="B1924" s="11"/>
      <c r="C1924" s="11"/>
    </row>
    <row r="1925" spans="1:3" x14ac:dyDescent="0.2">
      <c r="A1925" s="11"/>
      <c r="B1925" s="11"/>
      <c r="C1925" s="11"/>
    </row>
    <row r="1926" spans="1:3" x14ac:dyDescent="0.2">
      <c r="A1926" s="11"/>
      <c r="B1926" s="11"/>
      <c r="C1926" s="11"/>
    </row>
    <row r="1927" spans="1:3" x14ac:dyDescent="0.2">
      <c r="A1927" s="11"/>
      <c r="B1927" s="11"/>
      <c r="C1927" s="11"/>
    </row>
    <row r="1928" spans="1:3" x14ac:dyDescent="0.2">
      <c r="A1928" s="11"/>
      <c r="B1928" s="11"/>
      <c r="C1928" s="11"/>
    </row>
    <row r="1929" spans="1:3" x14ac:dyDescent="0.2">
      <c r="A1929" s="11"/>
      <c r="B1929" s="11"/>
      <c r="C1929" s="11"/>
    </row>
    <row r="1930" spans="1:3" x14ac:dyDescent="0.2">
      <c r="A1930" s="11"/>
      <c r="B1930" s="11"/>
      <c r="C1930" s="11"/>
    </row>
    <row r="1931" spans="1:3" x14ac:dyDescent="0.2">
      <c r="A1931" s="11"/>
      <c r="B1931" s="11"/>
      <c r="C1931" s="11"/>
    </row>
    <row r="1932" spans="1:3" x14ac:dyDescent="0.2">
      <c r="A1932" s="11"/>
      <c r="B1932" s="11"/>
      <c r="C1932" s="11"/>
    </row>
    <row r="1933" spans="1:3" x14ac:dyDescent="0.2">
      <c r="A1933" s="11"/>
      <c r="B1933" s="11"/>
      <c r="C1933" s="11"/>
    </row>
    <row r="1934" spans="1:3" x14ac:dyDescent="0.2">
      <c r="A1934" s="11"/>
      <c r="B1934" s="11"/>
      <c r="C1934" s="11"/>
    </row>
    <row r="1935" spans="1:3" x14ac:dyDescent="0.2">
      <c r="A1935" s="11"/>
      <c r="B1935" s="11"/>
      <c r="C1935" s="11"/>
    </row>
    <row r="1936" spans="1:3" x14ac:dyDescent="0.2">
      <c r="A1936" s="11"/>
      <c r="B1936" s="11"/>
      <c r="C1936" s="11"/>
    </row>
    <row r="1937" spans="1:3" x14ac:dyDescent="0.2">
      <c r="A1937" s="11"/>
      <c r="B1937" s="11"/>
      <c r="C1937" s="11"/>
    </row>
    <row r="1938" spans="1:3" x14ac:dyDescent="0.2">
      <c r="A1938" s="11"/>
      <c r="B1938" s="11"/>
      <c r="C1938" s="11"/>
    </row>
    <row r="1939" spans="1:3" x14ac:dyDescent="0.2">
      <c r="A1939" s="11"/>
      <c r="B1939" s="11"/>
      <c r="C1939" s="11"/>
    </row>
    <row r="1940" spans="1:3" x14ac:dyDescent="0.2">
      <c r="A1940" s="11"/>
      <c r="B1940" s="11"/>
      <c r="C1940" s="11"/>
    </row>
    <row r="1941" spans="1:3" x14ac:dyDescent="0.2">
      <c r="A1941" s="11"/>
      <c r="B1941" s="11"/>
      <c r="C1941" s="11"/>
    </row>
    <row r="1942" spans="1:3" x14ac:dyDescent="0.2">
      <c r="A1942" s="11"/>
      <c r="B1942" s="11"/>
      <c r="C1942" s="11"/>
    </row>
    <row r="1943" spans="1:3" x14ac:dyDescent="0.2">
      <c r="A1943" s="11"/>
      <c r="B1943" s="11"/>
      <c r="C1943" s="11"/>
    </row>
    <row r="1944" spans="1:3" x14ac:dyDescent="0.2">
      <c r="A1944" s="11"/>
      <c r="B1944" s="11"/>
      <c r="C1944" s="11"/>
    </row>
    <row r="1945" spans="1:3" x14ac:dyDescent="0.2">
      <c r="A1945" s="11"/>
      <c r="B1945" s="11"/>
      <c r="C1945" s="11"/>
    </row>
    <row r="1946" spans="1:3" x14ac:dyDescent="0.2">
      <c r="A1946" s="11"/>
      <c r="B1946" s="11"/>
      <c r="C1946" s="11"/>
    </row>
    <row r="1947" spans="1:3" x14ac:dyDescent="0.2">
      <c r="A1947" s="11"/>
      <c r="B1947" s="11"/>
      <c r="C1947" s="11"/>
    </row>
    <row r="1948" spans="1:3" x14ac:dyDescent="0.2">
      <c r="A1948" s="11"/>
      <c r="B1948" s="11"/>
      <c r="C1948" s="11"/>
    </row>
    <row r="1949" spans="1:3" x14ac:dyDescent="0.2">
      <c r="A1949" s="11"/>
      <c r="B1949" s="11"/>
      <c r="C1949" s="11"/>
    </row>
    <row r="1950" spans="1:3" x14ac:dyDescent="0.2">
      <c r="A1950" s="11"/>
      <c r="B1950" s="11"/>
      <c r="C1950" s="11"/>
    </row>
    <row r="1951" spans="1:3" x14ac:dyDescent="0.2">
      <c r="A1951" s="11"/>
      <c r="B1951" s="11"/>
      <c r="C1951" s="11"/>
    </row>
    <row r="1952" spans="1:3" x14ac:dyDescent="0.2">
      <c r="A1952" s="11"/>
      <c r="B1952" s="11"/>
      <c r="C1952" s="11"/>
    </row>
    <row r="1953" spans="1:3" x14ac:dyDescent="0.2">
      <c r="A1953" s="11"/>
      <c r="B1953" s="11"/>
      <c r="C1953" s="11"/>
    </row>
    <row r="1954" spans="1:3" x14ac:dyDescent="0.2">
      <c r="A1954" s="11"/>
      <c r="B1954" s="11"/>
      <c r="C1954" s="11"/>
    </row>
    <row r="1955" spans="1:3" x14ac:dyDescent="0.2">
      <c r="A1955" s="11"/>
      <c r="B1955" s="11"/>
      <c r="C1955" s="11"/>
    </row>
    <row r="1956" spans="1:3" x14ac:dyDescent="0.2">
      <c r="A1956" s="11"/>
      <c r="B1956" s="11"/>
      <c r="C1956" s="11"/>
    </row>
    <row r="1957" spans="1:3" x14ac:dyDescent="0.2">
      <c r="A1957" s="11"/>
      <c r="B1957" s="11"/>
      <c r="C1957" s="11"/>
    </row>
    <row r="1958" spans="1:3" x14ac:dyDescent="0.2">
      <c r="A1958" s="11"/>
      <c r="B1958" s="11"/>
      <c r="C1958" s="11"/>
    </row>
    <row r="1959" spans="1:3" x14ac:dyDescent="0.2">
      <c r="A1959" s="11"/>
      <c r="B1959" s="11"/>
      <c r="C1959" s="11"/>
    </row>
    <row r="1960" spans="1:3" x14ac:dyDescent="0.2">
      <c r="A1960" s="11"/>
      <c r="B1960" s="11"/>
      <c r="C1960" s="11"/>
    </row>
    <row r="1961" spans="1:3" x14ac:dyDescent="0.2">
      <c r="A1961" s="11"/>
      <c r="B1961" s="11"/>
      <c r="C1961" s="11"/>
    </row>
    <row r="1962" spans="1:3" x14ac:dyDescent="0.2">
      <c r="A1962" s="11"/>
      <c r="B1962" s="11"/>
      <c r="C1962" s="11"/>
    </row>
    <row r="1963" spans="1:3" x14ac:dyDescent="0.2">
      <c r="A1963" s="11"/>
      <c r="B1963" s="11"/>
      <c r="C1963" s="11"/>
    </row>
    <row r="1964" spans="1:3" x14ac:dyDescent="0.2">
      <c r="A1964" s="11"/>
      <c r="B1964" s="11"/>
      <c r="C1964" s="11"/>
    </row>
    <row r="1965" spans="1:3" x14ac:dyDescent="0.2">
      <c r="A1965" s="11"/>
      <c r="B1965" s="11"/>
      <c r="C1965" s="11"/>
    </row>
    <row r="1966" spans="1:3" x14ac:dyDescent="0.2">
      <c r="A1966" s="11"/>
      <c r="B1966" s="11"/>
      <c r="C1966" s="11"/>
    </row>
    <row r="1967" spans="1:3" x14ac:dyDescent="0.2">
      <c r="A1967" s="11"/>
      <c r="B1967" s="11"/>
      <c r="C1967" s="11"/>
    </row>
    <row r="1968" spans="1:3" x14ac:dyDescent="0.2">
      <c r="A1968" s="11"/>
      <c r="B1968" s="11"/>
      <c r="C1968" s="11"/>
    </row>
    <row r="1969" spans="1:3" x14ac:dyDescent="0.2">
      <c r="A1969" s="11"/>
      <c r="B1969" s="11"/>
      <c r="C1969" s="11"/>
    </row>
    <row r="1970" spans="1:3" x14ac:dyDescent="0.2">
      <c r="A1970" s="11"/>
      <c r="B1970" s="11"/>
      <c r="C1970" s="11"/>
    </row>
    <row r="1971" spans="1:3" x14ac:dyDescent="0.2">
      <c r="A1971" s="11"/>
      <c r="B1971" s="11"/>
      <c r="C1971" s="11"/>
    </row>
    <row r="1972" spans="1:3" x14ac:dyDescent="0.2">
      <c r="A1972" s="11"/>
      <c r="B1972" s="11"/>
      <c r="C1972" s="11"/>
    </row>
    <row r="1973" spans="1:3" x14ac:dyDescent="0.2">
      <c r="A1973" s="11"/>
      <c r="B1973" s="11"/>
      <c r="C1973" s="11"/>
    </row>
    <row r="1974" spans="1:3" x14ac:dyDescent="0.2">
      <c r="A1974" s="11"/>
      <c r="B1974" s="11"/>
      <c r="C1974" s="11"/>
    </row>
    <row r="1975" spans="1:3" x14ac:dyDescent="0.2">
      <c r="A1975" s="11"/>
      <c r="B1975" s="11"/>
      <c r="C1975" s="11"/>
    </row>
    <row r="1976" spans="1:3" x14ac:dyDescent="0.2">
      <c r="A1976" s="11"/>
      <c r="B1976" s="11"/>
      <c r="C1976" s="11"/>
    </row>
    <row r="1977" spans="1:3" x14ac:dyDescent="0.2">
      <c r="A1977" s="11"/>
      <c r="B1977" s="11"/>
      <c r="C1977" s="11"/>
    </row>
    <row r="1978" spans="1:3" x14ac:dyDescent="0.2">
      <c r="A1978" s="11"/>
      <c r="B1978" s="11"/>
      <c r="C1978" s="11"/>
    </row>
    <row r="1979" spans="1:3" x14ac:dyDescent="0.2">
      <c r="A1979" s="11"/>
      <c r="B1979" s="11"/>
      <c r="C1979" s="11"/>
    </row>
    <row r="1980" spans="1:3" x14ac:dyDescent="0.2">
      <c r="A1980" s="11"/>
      <c r="B1980" s="11"/>
      <c r="C1980" s="11"/>
    </row>
    <row r="1981" spans="1:3" x14ac:dyDescent="0.2">
      <c r="A1981" s="11"/>
      <c r="B1981" s="11"/>
      <c r="C1981" s="11"/>
    </row>
    <row r="1982" spans="1:3" x14ac:dyDescent="0.2">
      <c r="A1982" s="11"/>
      <c r="B1982" s="11"/>
      <c r="C1982" s="11"/>
    </row>
    <row r="1983" spans="1:3" x14ac:dyDescent="0.2">
      <c r="A1983" s="11"/>
      <c r="B1983" s="11"/>
      <c r="C1983" s="11"/>
    </row>
    <row r="1984" spans="1:3" x14ac:dyDescent="0.2">
      <c r="A1984" s="11"/>
      <c r="B1984" s="11"/>
      <c r="C1984" s="11"/>
    </row>
    <row r="1985" spans="1:3" x14ac:dyDescent="0.2">
      <c r="A1985" s="11"/>
      <c r="B1985" s="11"/>
      <c r="C1985" s="11"/>
    </row>
    <row r="1986" spans="1:3" x14ac:dyDescent="0.2">
      <c r="A1986" s="11"/>
      <c r="B1986" s="11"/>
      <c r="C1986" s="11"/>
    </row>
    <row r="1987" spans="1:3" x14ac:dyDescent="0.2">
      <c r="A1987" s="11"/>
      <c r="B1987" s="11"/>
      <c r="C1987" s="11"/>
    </row>
    <row r="1988" spans="1:3" x14ac:dyDescent="0.2">
      <c r="A1988" s="11"/>
      <c r="B1988" s="11"/>
      <c r="C1988" s="11"/>
    </row>
    <row r="1989" spans="1:3" x14ac:dyDescent="0.2">
      <c r="A1989" s="11"/>
      <c r="B1989" s="11"/>
      <c r="C1989" s="11"/>
    </row>
    <row r="1990" spans="1:3" x14ac:dyDescent="0.2">
      <c r="A1990" s="11"/>
      <c r="B1990" s="11"/>
      <c r="C1990" s="11"/>
    </row>
    <row r="1991" spans="1:3" x14ac:dyDescent="0.2">
      <c r="A1991" s="11"/>
      <c r="B1991" s="11"/>
      <c r="C1991" s="11"/>
    </row>
    <row r="1992" spans="1:3" x14ac:dyDescent="0.2">
      <c r="A1992" s="11"/>
      <c r="B1992" s="11"/>
      <c r="C1992" s="11"/>
    </row>
    <row r="1993" spans="1:3" x14ac:dyDescent="0.2">
      <c r="A1993" s="11"/>
      <c r="B1993" s="11"/>
      <c r="C1993" s="11"/>
    </row>
    <row r="1994" spans="1:3" x14ac:dyDescent="0.2">
      <c r="A1994" s="11"/>
      <c r="B1994" s="11"/>
      <c r="C1994" s="11"/>
    </row>
    <row r="1995" spans="1:3" x14ac:dyDescent="0.2">
      <c r="A1995" s="11"/>
      <c r="B1995" s="11"/>
      <c r="C1995" s="11"/>
    </row>
    <row r="1996" spans="1:3" x14ac:dyDescent="0.2">
      <c r="A1996" s="11"/>
      <c r="B1996" s="11"/>
      <c r="C1996" s="11"/>
    </row>
    <row r="1997" spans="1:3" x14ac:dyDescent="0.2">
      <c r="A1997" s="11"/>
      <c r="B1997" s="11"/>
      <c r="C1997" s="11"/>
    </row>
    <row r="1998" spans="1:3" x14ac:dyDescent="0.2">
      <c r="A1998" s="11"/>
      <c r="B1998" s="11"/>
      <c r="C1998" s="11"/>
    </row>
    <row r="1999" spans="1:3" x14ac:dyDescent="0.2">
      <c r="A1999" s="11"/>
      <c r="B1999" s="11"/>
      <c r="C1999" s="11"/>
    </row>
    <row r="2000" spans="1:3" x14ac:dyDescent="0.2">
      <c r="A2000" s="11"/>
      <c r="B2000" s="11"/>
      <c r="C2000" s="11"/>
    </row>
    <row r="2001" spans="1:3" x14ac:dyDescent="0.2">
      <c r="A2001" s="11"/>
      <c r="B2001" s="11"/>
      <c r="C2001" s="11"/>
    </row>
    <row r="2002" spans="1:3" x14ac:dyDescent="0.2">
      <c r="A2002" s="11"/>
      <c r="B2002" s="11"/>
      <c r="C2002" s="11"/>
    </row>
    <row r="2003" spans="1:3" x14ac:dyDescent="0.2">
      <c r="A2003" s="11"/>
      <c r="B2003" s="11"/>
      <c r="C2003" s="11"/>
    </row>
    <row r="2004" spans="1:3" x14ac:dyDescent="0.2">
      <c r="A2004" s="11"/>
      <c r="B2004" s="11"/>
      <c r="C2004" s="11"/>
    </row>
    <row r="2005" spans="1:3" x14ac:dyDescent="0.2">
      <c r="A2005" s="11"/>
      <c r="B2005" s="11"/>
      <c r="C2005" s="11"/>
    </row>
    <row r="2006" spans="1:3" x14ac:dyDescent="0.2">
      <c r="A2006" s="11"/>
      <c r="B2006" s="11"/>
      <c r="C2006" s="11"/>
    </row>
    <row r="2007" spans="1:3" x14ac:dyDescent="0.2">
      <c r="A2007" s="11"/>
      <c r="B2007" s="11"/>
      <c r="C2007" s="11"/>
    </row>
    <row r="2008" spans="1:3" x14ac:dyDescent="0.2">
      <c r="A2008" s="11"/>
      <c r="B2008" s="11"/>
      <c r="C2008" s="11"/>
    </row>
    <row r="2009" spans="1:3" x14ac:dyDescent="0.2">
      <c r="A2009" s="11"/>
      <c r="B2009" s="11"/>
      <c r="C2009" s="11"/>
    </row>
    <row r="2010" spans="1:3" x14ac:dyDescent="0.2">
      <c r="A2010" s="11"/>
      <c r="B2010" s="11"/>
      <c r="C2010" s="11"/>
    </row>
    <row r="2011" spans="1:3" x14ac:dyDescent="0.2">
      <c r="A2011" s="11"/>
      <c r="B2011" s="11"/>
      <c r="C2011" s="11"/>
    </row>
    <row r="2012" spans="1:3" x14ac:dyDescent="0.2">
      <c r="A2012" s="11"/>
      <c r="B2012" s="11"/>
      <c r="C2012" s="11"/>
    </row>
    <row r="2013" spans="1:3" x14ac:dyDescent="0.2">
      <c r="A2013" s="11"/>
      <c r="B2013" s="11"/>
      <c r="C2013" s="11"/>
    </row>
    <row r="2014" spans="1:3" x14ac:dyDescent="0.2">
      <c r="A2014" s="11"/>
      <c r="B2014" s="11"/>
      <c r="C2014" s="11"/>
    </row>
    <row r="2015" spans="1:3" x14ac:dyDescent="0.2">
      <c r="A2015" s="11"/>
      <c r="B2015" s="11"/>
      <c r="C2015" s="11"/>
    </row>
    <row r="2016" spans="1:3" x14ac:dyDescent="0.2">
      <c r="A2016" s="11"/>
      <c r="B2016" s="11"/>
      <c r="C2016" s="11"/>
    </row>
    <row r="2017" spans="1:3" x14ac:dyDescent="0.2">
      <c r="A2017" s="11"/>
      <c r="B2017" s="11"/>
      <c r="C2017" s="11"/>
    </row>
  </sheetData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11"/>
  <sheetViews>
    <sheetView zoomScale="75" workbookViewId="0">
      <selection activeCell="A14" sqref="A14:H2020"/>
    </sheetView>
  </sheetViews>
  <sheetFormatPr defaultRowHeight="12.75" x14ac:dyDescent="0.2"/>
  <cols>
    <col min="1" max="1" width="6.7109375" customWidth="1"/>
    <col min="2" max="2" width="3.7109375" customWidth="1"/>
    <col min="3" max="3" width="16.7109375" customWidth="1"/>
    <col min="4" max="4" width="3.7109375" customWidth="1"/>
    <col min="5" max="5" width="8.7109375" customWidth="1"/>
    <col min="6" max="6" width="6.7109375" customWidth="1"/>
    <col min="7" max="7" width="19.85546875" customWidth="1"/>
    <col min="8" max="8" width="19.85546875" style="1" customWidth="1"/>
    <col min="11" max="12" width="6.7109375" customWidth="1"/>
    <col min="13" max="13" width="21.7109375" customWidth="1"/>
    <col min="14" max="16" width="6.7109375" customWidth="1"/>
    <col min="17" max="17" width="68.5703125" customWidth="1"/>
    <col min="18" max="18" width="14.42578125" customWidth="1"/>
  </cols>
  <sheetData>
    <row r="1" spans="1:18" x14ac:dyDescent="0.2">
      <c r="B1" t="s">
        <v>0</v>
      </c>
      <c r="C1" t="s">
        <v>1</v>
      </c>
      <c r="F1" t="s">
        <v>2</v>
      </c>
      <c r="G1" t="s">
        <v>3</v>
      </c>
      <c r="H1" s="1" t="s">
        <v>4</v>
      </c>
    </row>
    <row r="4" spans="1:18" x14ac:dyDescent="0.2">
      <c r="A4" t="s">
        <v>524</v>
      </c>
    </row>
    <row r="6" spans="1:18" x14ac:dyDescent="0.2">
      <c r="A6">
        <v>1</v>
      </c>
      <c r="B6">
        <v>23</v>
      </c>
      <c r="C6" t="s">
        <v>24</v>
      </c>
      <c r="F6">
        <v>866</v>
      </c>
      <c r="G6" t="s">
        <v>25</v>
      </c>
      <c r="H6" s="1">
        <v>64221</v>
      </c>
      <c r="K6" s="11"/>
      <c r="L6" s="11"/>
      <c r="M6" s="11"/>
      <c r="N6" s="11"/>
      <c r="O6" s="11"/>
      <c r="P6" s="11"/>
      <c r="Q6" s="11"/>
      <c r="R6" s="3"/>
    </row>
    <row r="7" spans="1:18" x14ac:dyDescent="0.2">
      <c r="A7">
        <v>1</v>
      </c>
      <c r="B7">
        <v>23</v>
      </c>
      <c r="C7" t="s">
        <v>24</v>
      </c>
      <c r="F7">
        <v>880</v>
      </c>
      <c r="G7" t="s">
        <v>26</v>
      </c>
      <c r="H7" s="1">
        <v>135000</v>
      </c>
      <c r="K7" s="11"/>
      <c r="L7" s="11"/>
      <c r="M7" s="11"/>
      <c r="N7" s="11"/>
      <c r="O7" s="11"/>
      <c r="P7" s="11"/>
      <c r="Q7" s="11"/>
      <c r="R7" s="3"/>
    </row>
    <row r="8" spans="1:18" x14ac:dyDescent="0.2">
      <c r="A8">
        <v>111</v>
      </c>
      <c r="B8">
        <v>80</v>
      </c>
      <c r="C8" t="s">
        <v>66</v>
      </c>
      <c r="F8">
        <v>438</v>
      </c>
      <c r="G8" t="s">
        <v>15</v>
      </c>
      <c r="H8" s="1">
        <v>7481.44</v>
      </c>
      <c r="K8" s="11"/>
      <c r="L8" s="11"/>
      <c r="M8" s="11"/>
      <c r="N8" s="11"/>
      <c r="O8" s="11"/>
      <c r="P8" s="11"/>
      <c r="Q8" s="11"/>
      <c r="R8" s="3"/>
    </row>
    <row r="9" spans="1:18" x14ac:dyDescent="0.2">
      <c r="A9">
        <v>115</v>
      </c>
      <c r="B9">
        <v>80</v>
      </c>
      <c r="C9" t="s">
        <v>71</v>
      </c>
      <c r="F9">
        <v>438</v>
      </c>
      <c r="G9" t="s">
        <v>15</v>
      </c>
      <c r="H9" s="1">
        <v>102852.66</v>
      </c>
      <c r="K9" s="11"/>
      <c r="L9" s="11"/>
      <c r="M9" s="11"/>
      <c r="N9" s="11"/>
      <c r="O9" s="11"/>
      <c r="P9" s="11"/>
      <c r="Q9" s="11"/>
      <c r="R9" s="3"/>
    </row>
    <row r="10" spans="1:18" x14ac:dyDescent="0.2">
      <c r="A10">
        <v>115</v>
      </c>
      <c r="B10">
        <v>80</v>
      </c>
      <c r="C10" t="s">
        <v>71</v>
      </c>
      <c r="F10">
        <v>801</v>
      </c>
      <c r="G10" t="s">
        <v>22</v>
      </c>
      <c r="H10" s="1">
        <v>40000</v>
      </c>
      <c r="K10" s="11"/>
      <c r="L10" s="11"/>
      <c r="M10" s="11"/>
      <c r="N10" s="11"/>
      <c r="O10" s="11"/>
      <c r="P10" s="11"/>
      <c r="Q10" s="11"/>
      <c r="R10" s="3"/>
    </row>
    <row r="12" spans="1:18" x14ac:dyDescent="0.2">
      <c r="A12" t="s">
        <v>525</v>
      </c>
    </row>
    <row r="14" spans="1:18" x14ac:dyDescent="0.2">
      <c r="A14" s="11">
        <v>1</v>
      </c>
      <c r="B14" s="11">
        <v>1</v>
      </c>
      <c r="C14" s="11" t="s">
        <v>5</v>
      </c>
      <c r="D14" s="11">
        <f>IF(A14=A13,D13+1,1)</f>
        <v>1</v>
      </c>
      <c r="E14">
        <f>1000*A14+D14</f>
        <v>1001</v>
      </c>
      <c r="F14" s="11">
        <v>470</v>
      </c>
      <c r="G14" s="11" t="s">
        <v>6</v>
      </c>
      <c r="H14" s="3">
        <v>127249.67</v>
      </c>
      <c r="K14" s="11"/>
      <c r="L14" s="11"/>
      <c r="M14" s="11"/>
      <c r="N14" s="11"/>
      <c r="P14" s="11"/>
      <c r="Q14" s="11"/>
      <c r="R14" s="3"/>
    </row>
    <row r="15" spans="1:18" x14ac:dyDescent="0.2">
      <c r="A15" s="11">
        <v>1.2</v>
      </c>
      <c r="B15" s="11">
        <v>3</v>
      </c>
      <c r="C15" s="11" t="s">
        <v>7</v>
      </c>
      <c r="D15" s="11">
        <f t="shared" ref="D15:D78" si="0">IF(A15=A14,D14+1,1)</f>
        <v>1</v>
      </c>
      <c r="E15">
        <f t="shared" ref="E15:E78" si="1">1000*A15+D15</f>
        <v>1201</v>
      </c>
      <c r="F15" s="11">
        <v>406</v>
      </c>
      <c r="G15" s="11" t="s">
        <v>8</v>
      </c>
      <c r="H15" s="3">
        <v>431923.45</v>
      </c>
      <c r="K15" s="11"/>
      <c r="L15" s="11"/>
      <c r="M15" s="11"/>
      <c r="N15" s="11"/>
      <c r="P15" s="11"/>
      <c r="Q15" s="11"/>
      <c r="R15" s="3"/>
    </row>
    <row r="16" spans="1:18" x14ac:dyDescent="0.2">
      <c r="A16" s="11">
        <v>1.2</v>
      </c>
      <c r="B16" s="11">
        <v>3</v>
      </c>
      <c r="C16" s="11" t="s">
        <v>7</v>
      </c>
      <c r="D16" s="11">
        <f t="shared" si="0"/>
        <v>2</v>
      </c>
      <c r="E16">
        <f t="shared" si="1"/>
        <v>1202</v>
      </c>
      <c r="F16" s="11">
        <v>414</v>
      </c>
      <c r="G16" s="11" t="s">
        <v>9</v>
      </c>
      <c r="H16" s="3">
        <v>4381705.37</v>
      </c>
      <c r="K16" s="11"/>
      <c r="L16" s="11"/>
      <c r="M16" s="11"/>
      <c r="N16" s="11"/>
      <c r="P16" s="11"/>
      <c r="Q16" s="11"/>
      <c r="R16" s="3"/>
    </row>
    <row r="17" spans="1:18" x14ac:dyDescent="0.2">
      <c r="A17" s="11">
        <v>1.2</v>
      </c>
      <c r="B17" s="11">
        <v>3</v>
      </c>
      <c r="C17" s="11" t="s">
        <v>7</v>
      </c>
      <c r="D17" s="11">
        <f t="shared" si="0"/>
        <v>3</v>
      </c>
      <c r="E17">
        <f t="shared" si="1"/>
        <v>1203</v>
      </c>
      <c r="F17" s="11">
        <v>417</v>
      </c>
      <c r="G17" s="11" t="s">
        <v>34</v>
      </c>
      <c r="H17" s="3">
        <v>892808.37</v>
      </c>
      <c r="K17" s="11"/>
      <c r="L17" s="11"/>
      <c r="M17" s="11"/>
      <c r="N17" s="11"/>
      <c r="P17" s="11"/>
      <c r="Q17" s="11"/>
      <c r="R17" s="3"/>
    </row>
    <row r="18" spans="1:18" x14ac:dyDescent="0.2">
      <c r="A18" s="11">
        <v>1.2</v>
      </c>
      <c r="B18" s="11">
        <v>3</v>
      </c>
      <c r="C18" s="11" t="s">
        <v>7</v>
      </c>
      <c r="D18" s="11">
        <f t="shared" si="0"/>
        <v>4</v>
      </c>
      <c r="E18">
        <f t="shared" si="1"/>
        <v>1204</v>
      </c>
      <c r="F18" s="11">
        <v>419</v>
      </c>
      <c r="G18" s="11" t="s">
        <v>10</v>
      </c>
      <c r="H18" s="3">
        <v>8739208.8200000003</v>
      </c>
      <c r="K18" s="11"/>
      <c r="L18" s="11"/>
      <c r="M18" s="11"/>
      <c r="N18" s="11"/>
      <c r="P18" s="11"/>
      <c r="Q18" s="11"/>
      <c r="R18" s="3"/>
    </row>
    <row r="19" spans="1:18" x14ac:dyDescent="0.2">
      <c r="A19" s="11">
        <v>1.2</v>
      </c>
      <c r="B19" s="11">
        <v>3</v>
      </c>
      <c r="C19" s="11" t="s">
        <v>7</v>
      </c>
      <c r="D19" s="11">
        <f t="shared" si="0"/>
        <v>5</v>
      </c>
      <c r="E19">
        <f t="shared" si="1"/>
        <v>1205</v>
      </c>
      <c r="F19" s="11">
        <v>420</v>
      </c>
      <c r="G19" s="11" t="s">
        <v>11</v>
      </c>
      <c r="H19" s="3">
        <v>329028.09000000003</v>
      </c>
      <c r="K19" s="11"/>
      <c r="L19" s="11"/>
      <c r="M19" s="11"/>
      <c r="N19" s="11"/>
      <c r="P19" s="11"/>
      <c r="Q19" s="11"/>
      <c r="R19" s="3"/>
    </row>
    <row r="20" spans="1:18" x14ac:dyDescent="0.2">
      <c r="A20" s="11">
        <v>1.2</v>
      </c>
      <c r="B20" s="11">
        <v>3</v>
      </c>
      <c r="C20" s="11" t="s">
        <v>7</v>
      </c>
      <c r="D20" s="11">
        <f t="shared" si="0"/>
        <v>6</v>
      </c>
      <c r="E20">
        <f t="shared" si="1"/>
        <v>1206</v>
      </c>
      <c r="F20" s="11">
        <v>422</v>
      </c>
      <c r="G20" s="11" t="s">
        <v>12</v>
      </c>
      <c r="H20" s="3">
        <v>505772.27</v>
      </c>
      <c r="K20" s="11"/>
      <c r="L20" s="11"/>
      <c r="M20" s="11"/>
      <c r="N20" s="11"/>
      <c r="P20" s="11"/>
      <c r="Q20" s="11"/>
      <c r="R20" s="3"/>
    </row>
    <row r="21" spans="1:18" x14ac:dyDescent="0.2">
      <c r="A21" s="11">
        <v>1.2</v>
      </c>
      <c r="B21" s="11">
        <v>3</v>
      </c>
      <c r="C21" s="11" t="s">
        <v>7</v>
      </c>
      <c r="D21" s="11">
        <f t="shared" si="0"/>
        <v>7</v>
      </c>
      <c r="E21">
        <f t="shared" si="1"/>
        <v>1207</v>
      </c>
      <c r="F21" s="11">
        <v>428</v>
      </c>
      <c r="G21" s="11" t="s">
        <v>13</v>
      </c>
      <c r="H21" s="3">
        <v>759165.6</v>
      </c>
      <c r="K21" s="11"/>
      <c r="L21" s="11"/>
      <c r="M21" s="11"/>
      <c r="N21" s="11"/>
      <c r="P21" s="11"/>
      <c r="Q21" s="11"/>
      <c r="R21" s="3"/>
    </row>
    <row r="22" spans="1:18" x14ac:dyDescent="0.2">
      <c r="A22" s="11">
        <v>1.2</v>
      </c>
      <c r="B22" s="11">
        <v>3</v>
      </c>
      <c r="C22" s="11" t="s">
        <v>7</v>
      </c>
      <c r="D22" s="11">
        <f t="shared" si="0"/>
        <v>8</v>
      </c>
      <c r="E22">
        <f t="shared" si="1"/>
        <v>1208</v>
      </c>
      <c r="F22" s="11">
        <v>437</v>
      </c>
      <c r="G22" s="11" t="s">
        <v>14</v>
      </c>
      <c r="H22" s="3">
        <v>10920</v>
      </c>
      <c r="K22" s="11"/>
      <c r="L22" s="11"/>
      <c r="M22" s="11"/>
      <c r="N22" s="11"/>
      <c r="P22" s="11"/>
      <c r="Q22" s="11"/>
      <c r="R22" s="3"/>
    </row>
    <row r="23" spans="1:18" x14ac:dyDescent="0.2">
      <c r="A23" s="11">
        <v>1.2</v>
      </c>
      <c r="B23" s="11">
        <v>3</v>
      </c>
      <c r="C23" s="11" t="s">
        <v>7</v>
      </c>
      <c r="D23" s="11">
        <f t="shared" si="0"/>
        <v>9</v>
      </c>
      <c r="E23">
        <f t="shared" si="1"/>
        <v>1209</v>
      </c>
      <c r="F23" s="11">
        <v>438</v>
      </c>
      <c r="G23" s="11" t="s">
        <v>15</v>
      </c>
      <c r="H23" s="3">
        <v>454140.29</v>
      </c>
      <c r="K23" s="11"/>
      <c r="L23" s="11"/>
      <c r="M23" s="11"/>
      <c r="N23" s="11"/>
      <c r="P23" s="11"/>
      <c r="Q23" s="11"/>
      <c r="R23" s="3"/>
    </row>
    <row r="24" spans="1:18" x14ac:dyDescent="0.2">
      <c r="A24" s="11">
        <v>1.2</v>
      </c>
      <c r="B24" s="11">
        <v>3</v>
      </c>
      <c r="C24" s="11" t="s">
        <v>7</v>
      </c>
      <c r="D24" s="11">
        <f t="shared" si="0"/>
        <v>10</v>
      </c>
      <c r="E24">
        <f t="shared" si="1"/>
        <v>1210</v>
      </c>
      <c r="F24" s="11">
        <v>441</v>
      </c>
      <c r="G24" s="11" t="s">
        <v>16</v>
      </c>
      <c r="H24" s="3">
        <v>18525</v>
      </c>
      <c r="K24" s="11"/>
      <c r="L24" s="11"/>
      <c r="M24" s="11"/>
      <c r="N24" s="11"/>
      <c r="P24" s="11"/>
      <c r="Q24" s="11"/>
      <c r="R24" s="3"/>
    </row>
    <row r="25" spans="1:18" x14ac:dyDescent="0.2">
      <c r="A25" s="11">
        <v>1.2</v>
      </c>
      <c r="B25" s="11">
        <v>3</v>
      </c>
      <c r="C25" s="11" t="s">
        <v>7</v>
      </c>
      <c r="D25" s="11">
        <f t="shared" si="0"/>
        <v>11</v>
      </c>
      <c r="E25">
        <f t="shared" si="1"/>
        <v>1211</v>
      </c>
      <c r="F25" s="11">
        <v>470</v>
      </c>
      <c r="G25" s="11" t="s">
        <v>6</v>
      </c>
      <c r="H25" s="3">
        <v>19725158.600000001</v>
      </c>
      <c r="K25" s="11"/>
      <c r="L25" s="11"/>
      <c r="M25" s="11"/>
      <c r="N25" s="11"/>
      <c r="P25" s="11"/>
      <c r="Q25" s="11"/>
      <c r="R25" s="3"/>
    </row>
    <row r="26" spans="1:18" x14ac:dyDescent="0.2">
      <c r="A26" s="11">
        <v>1.2</v>
      </c>
      <c r="B26" s="11">
        <v>3</v>
      </c>
      <c r="C26" s="11" t="s">
        <v>7</v>
      </c>
      <c r="D26" s="11">
        <f t="shared" si="0"/>
        <v>12</v>
      </c>
      <c r="E26">
        <f t="shared" si="1"/>
        <v>1212</v>
      </c>
      <c r="F26" s="11">
        <v>471</v>
      </c>
      <c r="G26" s="11" t="s">
        <v>17</v>
      </c>
      <c r="H26" s="3">
        <v>270909.88</v>
      </c>
      <c r="K26" s="11"/>
      <c r="L26" s="11"/>
      <c r="M26" s="11"/>
      <c r="N26" s="11"/>
      <c r="P26" s="11"/>
      <c r="Q26" s="11"/>
      <c r="R26" s="3"/>
    </row>
    <row r="27" spans="1:18" x14ac:dyDescent="0.2">
      <c r="A27" s="11">
        <v>1.2</v>
      </c>
      <c r="B27" s="11">
        <v>3</v>
      </c>
      <c r="C27" s="11" t="s">
        <v>7</v>
      </c>
      <c r="D27" s="11">
        <f t="shared" si="0"/>
        <v>13</v>
      </c>
      <c r="E27">
        <f t="shared" si="1"/>
        <v>1213</v>
      </c>
      <c r="F27" s="11">
        <v>478</v>
      </c>
      <c r="G27" s="11" t="s">
        <v>18</v>
      </c>
      <c r="H27" s="3">
        <v>172626</v>
      </c>
      <c r="K27" s="11"/>
      <c r="L27" s="11"/>
      <c r="M27" s="11"/>
      <c r="N27" s="11"/>
      <c r="P27" s="11"/>
      <c r="Q27" s="11"/>
      <c r="R27" s="3"/>
    </row>
    <row r="28" spans="1:18" x14ac:dyDescent="0.2">
      <c r="A28" s="11">
        <v>1.2</v>
      </c>
      <c r="B28" s="11">
        <v>3</v>
      </c>
      <c r="C28" s="11" t="s">
        <v>7</v>
      </c>
      <c r="D28" s="11">
        <f t="shared" si="0"/>
        <v>14</v>
      </c>
      <c r="E28">
        <f t="shared" si="1"/>
        <v>1214</v>
      </c>
      <c r="F28" s="11">
        <v>480</v>
      </c>
      <c r="G28" s="11" t="s">
        <v>19</v>
      </c>
      <c r="H28" s="3">
        <v>9413678.8800000008</v>
      </c>
      <c r="K28" s="11"/>
      <c r="L28" s="11"/>
      <c r="M28" s="11"/>
      <c r="N28" s="11"/>
      <c r="P28" s="11"/>
      <c r="Q28" s="11"/>
      <c r="R28" s="3"/>
    </row>
    <row r="29" spans="1:18" x14ac:dyDescent="0.2">
      <c r="A29" s="11">
        <v>1.2</v>
      </c>
      <c r="B29" s="11">
        <v>3</v>
      </c>
      <c r="C29" s="11" t="s">
        <v>7</v>
      </c>
      <c r="D29" s="11">
        <f t="shared" si="0"/>
        <v>15</v>
      </c>
      <c r="E29">
        <f t="shared" si="1"/>
        <v>1215</v>
      </c>
      <c r="F29" s="11">
        <v>484</v>
      </c>
      <c r="G29" s="11" t="s">
        <v>20</v>
      </c>
      <c r="H29" s="3">
        <v>385750.04</v>
      </c>
      <c r="K29" s="11"/>
      <c r="L29" s="11"/>
      <c r="M29" s="11"/>
      <c r="N29" s="11"/>
      <c r="P29" s="11"/>
      <c r="Q29" s="11"/>
      <c r="R29" s="3"/>
    </row>
    <row r="30" spans="1:18" x14ac:dyDescent="0.2">
      <c r="A30" s="11">
        <v>1.2</v>
      </c>
      <c r="B30" s="11">
        <v>3</v>
      </c>
      <c r="C30" s="11" t="s">
        <v>7</v>
      </c>
      <c r="D30" s="11">
        <f t="shared" si="0"/>
        <v>16</v>
      </c>
      <c r="E30">
        <f t="shared" si="1"/>
        <v>1216</v>
      </c>
      <c r="F30" s="11">
        <v>486</v>
      </c>
      <c r="G30" s="11" t="s">
        <v>21</v>
      </c>
      <c r="H30" s="3">
        <v>449928.69</v>
      </c>
      <c r="K30" s="11"/>
      <c r="L30" s="11"/>
      <c r="M30" s="11"/>
      <c r="N30" s="11"/>
      <c r="P30" s="11"/>
      <c r="Q30" s="11"/>
      <c r="R30" s="3"/>
    </row>
    <row r="31" spans="1:18" x14ac:dyDescent="0.2">
      <c r="A31" s="11">
        <v>1.2</v>
      </c>
      <c r="B31" s="11">
        <v>3</v>
      </c>
      <c r="C31" s="11" t="s">
        <v>7</v>
      </c>
      <c r="D31" s="11">
        <f t="shared" si="0"/>
        <v>17</v>
      </c>
      <c r="E31">
        <f t="shared" si="1"/>
        <v>1217</v>
      </c>
      <c r="F31" s="11">
        <v>801</v>
      </c>
      <c r="G31" s="11" t="s">
        <v>22</v>
      </c>
      <c r="H31" s="3">
        <v>78157</v>
      </c>
      <c r="K31" s="11"/>
      <c r="L31" s="11"/>
      <c r="M31" s="11"/>
      <c r="N31" s="11"/>
      <c r="P31" s="11"/>
      <c r="Q31" s="11"/>
      <c r="R31" s="3"/>
    </row>
    <row r="32" spans="1:18" x14ac:dyDescent="0.2">
      <c r="A32" s="11">
        <v>1.2</v>
      </c>
      <c r="B32" s="11">
        <v>3</v>
      </c>
      <c r="C32" s="11" t="s">
        <v>7</v>
      </c>
      <c r="D32" s="11">
        <f t="shared" si="0"/>
        <v>18</v>
      </c>
      <c r="E32">
        <f t="shared" si="1"/>
        <v>1218</v>
      </c>
      <c r="F32" s="11">
        <v>849</v>
      </c>
      <c r="G32" s="11" t="s">
        <v>23</v>
      </c>
      <c r="H32" s="3">
        <v>1100000</v>
      </c>
      <c r="K32" s="11"/>
      <c r="L32" s="11"/>
      <c r="M32" s="11"/>
      <c r="N32" s="11"/>
      <c r="P32" s="11"/>
      <c r="Q32" s="11"/>
      <c r="R32" s="3"/>
    </row>
    <row r="33" spans="1:18" x14ac:dyDescent="0.2">
      <c r="A33" s="11">
        <v>2</v>
      </c>
      <c r="B33" s="11">
        <v>1</v>
      </c>
      <c r="C33" s="11" t="s">
        <v>27</v>
      </c>
      <c r="D33" s="11">
        <f t="shared" si="0"/>
        <v>1</v>
      </c>
      <c r="E33">
        <f t="shared" si="1"/>
        <v>2001</v>
      </c>
      <c r="F33" s="11">
        <v>151</v>
      </c>
      <c r="G33" s="11" t="s">
        <v>28</v>
      </c>
      <c r="H33" s="3">
        <v>161297.26999999999</v>
      </c>
      <c r="K33" s="11"/>
      <c r="L33" s="11"/>
      <c r="M33" s="11"/>
      <c r="N33" s="11"/>
      <c r="P33" s="11"/>
      <c r="Q33" s="11"/>
      <c r="R33" s="3"/>
    </row>
    <row r="34" spans="1:18" x14ac:dyDescent="0.2">
      <c r="A34" s="11">
        <v>2</v>
      </c>
      <c r="B34" s="11">
        <v>1</v>
      </c>
      <c r="C34" s="11" t="s">
        <v>27</v>
      </c>
      <c r="D34" s="11">
        <f t="shared" si="0"/>
        <v>2</v>
      </c>
      <c r="E34">
        <f t="shared" si="1"/>
        <v>2002</v>
      </c>
      <c r="F34" s="11">
        <v>401</v>
      </c>
      <c r="G34" s="11" t="s">
        <v>29</v>
      </c>
      <c r="H34" s="3">
        <v>87897.05</v>
      </c>
      <c r="K34" s="11"/>
      <c r="L34" s="11"/>
      <c r="M34" s="11"/>
      <c r="N34" s="11"/>
      <c r="P34" s="11"/>
      <c r="Q34" s="11"/>
      <c r="R34" s="3"/>
    </row>
    <row r="35" spans="1:18" x14ac:dyDescent="0.2">
      <c r="A35" s="11">
        <v>2</v>
      </c>
      <c r="B35" s="11">
        <v>1</v>
      </c>
      <c r="C35" s="11" t="s">
        <v>27</v>
      </c>
      <c r="D35" s="11">
        <f t="shared" si="0"/>
        <v>3</v>
      </c>
      <c r="E35">
        <f t="shared" si="1"/>
        <v>2003</v>
      </c>
      <c r="F35" s="11">
        <v>414</v>
      </c>
      <c r="G35" s="11" t="s">
        <v>9</v>
      </c>
      <c r="H35" s="3">
        <v>32359.9</v>
      </c>
      <c r="K35" s="11"/>
      <c r="L35" s="11"/>
      <c r="M35" s="11"/>
      <c r="N35" s="11"/>
      <c r="P35" s="11"/>
      <c r="Q35" s="11"/>
      <c r="R35" s="3"/>
    </row>
    <row r="36" spans="1:18" x14ac:dyDescent="0.2">
      <c r="A36" s="11">
        <v>2</v>
      </c>
      <c r="B36" s="11">
        <v>1</v>
      </c>
      <c r="C36" s="11" t="s">
        <v>27</v>
      </c>
      <c r="D36" s="11">
        <f t="shared" si="0"/>
        <v>4</v>
      </c>
      <c r="E36">
        <f t="shared" si="1"/>
        <v>2004</v>
      </c>
      <c r="F36" s="11">
        <v>433</v>
      </c>
      <c r="G36" s="11" t="s">
        <v>30</v>
      </c>
      <c r="H36" s="3">
        <v>1556.97</v>
      </c>
      <c r="K36" s="11"/>
      <c r="L36" s="11"/>
      <c r="M36" s="11"/>
      <c r="N36" s="11"/>
      <c r="P36" s="11"/>
      <c r="Q36" s="11"/>
      <c r="R36" s="3"/>
    </row>
    <row r="37" spans="1:18" x14ac:dyDescent="0.2">
      <c r="A37" s="11">
        <v>2</v>
      </c>
      <c r="B37" s="11">
        <v>1</v>
      </c>
      <c r="C37" s="11" t="s">
        <v>27</v>
      </c>
      <c r="D37" s="11">
        <f t="shared" si="0"/>
        <v>5</v>
      </c>
      <c r="E37">
        <f t="shared" si="1"/>
        <v>2005</v>
      </c>
      <c r="F37" s="11">
        <v>470</v>
      </c>
      <c r="G37" s="11" t="s">
        <v>6</v>
      </c>
      <c r="H37" s="3">
        <v>42880.54</v>
      </c>
      <c r="K37" s="11"/>
      <c r="L37" s="11"/>
      <c r="M37" s="11"/>
      <c r="N37" s="11"/>
      <c r="P37" s="11"/>
      <c r="Q37" s="11"/>
      <c r="R37" s="3"/>
    </row>
    <row r="38" spans="1:18" x14ac:dyDescent="0.2">
      <c r="A38" s="11">
        <v>4</v>
      </c>
      <c r="B38" s="11">
        <v>1</v>
      </c>
      <c r="C38" s="11" t="s">
        <v>31</v>
      </c>
      <c r="D38" s="11">
        <f t="shared" si="0"/>
        <v>1</v>
      </c>
      <c r="E38">
        <f t="shared" si="1"/>
        <v>4001</v>
      </c>
      <c r="F38" s="11">
        <v>151</v>
      </c>
      <c r="G38" s="11" t="s">
        <v>28</v>
      </c>
      <c r="H38" s="3">
        <v>213210.34</v>
      </c>
      <c r="K38" s="11"/>
      <c r="L38" s="11"/>
      <c r="M38" s="11"/>
      <c r="N38" s="11"/>
      <c r="P38" s="11"/>
      <c r="Q38" s="11"/>
      <c r="R38" s="3"/>
    </row>
    <row r="39" spans="1:18" x14ac:dyDescent="0.2">
      <c r="A39" s="11">
        <v>4</v>
      </c>
      <c r="B39" s="11">
        <v>1</v>
      </c>
      <c r="C39" s="11" t="s">
        <v>31</v>
      </c>
      <c r="D39" s="11">
        <f t="shared" si="0"/>
        <v>2</v>
      </c>
      <c r="E39">
        <f t="shared" si="1"/>
        <v>4002</v>
      </c>
      <c r="F39" s="11">
        <v>401</v>
      </c>
      <c r="G39" s="11" t="s">
        <v>29</v>
      </c>
      <c r="H39" s="3">
        <v>173663.95</v>
      </c>
      <c r="K39" s="11"/>
      <c r="L39" s="11"/>
      <c r="M39" s="11"/>
      <c r="N39" s="11"/>
      <c r="P39" s="11"/>
      <c r="Q39" s="11"/>
      <c r="R39" s="3"/>
    </row>
    <row r="40" spans="1:18" x14ac:dyDescent="0.2">
      <c r="A40" s="11">
        <v>4</v>
      </c>
      <c r="B40" s="11">
        <v>1</v>
      </c>
      <c r="C40" s="11" t="s">
        <v>31</v>
      </c>
      <c r="D40" s="11">
        <f t="shared" si="0"/>
        <v>3</v>
      </c>
      <c r="E40">
        <f t="shared" si="1"/>
        <v>4003</v>
      </c>
      <c r="F40" s="11">
        <v>414</v>
      </c>
      <c r="G40" s="11" t="s">
        <v>9</v>
      </c>
      <c r="H40" s="3">
        <v>49014.11</v>
      </c>
      <c r="K40" s="11"/>
      <c r="L40" s="11"/>
      <c r="M40" s="11"/>
      <c r="N40" s="11"/>
      <c r="P40" s="11"/>
      <c r="Q40" s="11"/>
      <c r="R40" s="3"/>
    </row>
    <row r="41" spans="1:18" x14ac:dyDescent="0.2">
      <c r="A41" s="11">
        <v>4</v>
      </c>
      <c r="B41" s="11">
        <v>1</v>
      </c>
      <c r="C41" s="11" t="s">
        <v>31</v>
      </c>
      <c r="D41" s="11">
        <f t="shared" si="0"/>
        <v>4</v>
      </c>
      <c r="E41">
        <f t="shared" si="1"/>
        <v>4004</v>
      </c>
      <c r="F41" s="11">
        <v>433</v>
      </c>
      <c r="G41" s="11" t="s">
        <v>30</v>
      </c>
      <c r="H41" s="3">
        <v>2848</v>
      </c>
      <c r="K41" s="11"/>
      <c r="L41" s="11"/>
      <c r="M41" s="11"/>
      <c r="N41" s="11"/>
      <c r="P41" s="11"/>
      <c r="Q41" s="11"/>
      <c r="R41" s="3"/>
    </row>
    <row r="42" spans="1:18" x14ac:dyDescent="0.2">
      <c r="A42" s="11">
        <v>4</v>
      </c>
      <c r="B42" s="11">
        <v>1</v>
      </c>
      <c r="C42" s="11" t="s">
        <v>31</v>
      </c>
      <c r="D42" s="11">
        <f t="shared" si="0"/>
        <v>5</v>
      </c>
      <c r="E42">
        <f t="shared" si="1"/>
        <v>4005</v>
      </c>
      <c r="F42" s="11">
        <v>470</v>
      </c>
      <c r="G42" s="11" t="s">
        <v>6</v>
      </c>
      <c r="H42" s="3">
        <v>99486.399999999994</v>
      </c>
      <c r="K42" s="11"/>
      <c r="L42" s="11"/>
      <c r="M42" s="11"/>
      <c r="N42" s="11"/>
      <c r="P42" s="11"/>
      <c r="Q42" s="11"/>
      <c r="R42" s="3"/>
    </row>
    <row r="43" spans="1:18" x14ac:dyDescent="0.2">
      <c r="A43" s="11">
        <v>6</v>
      </c>
      <c r="B43" s="11">
        <v>3</v>
      </c>
      <c r="C43" s="11" t="s">
        <v>32</v>
      </c>
      <c r="D43" s="11">
        <f t="shared" si="0"/>
        <v>1</v>
      </c>
      <c r="E43">
        <f t="shared" si="1"/>
        <v>6001</v>
      </c>
      <c r="F43" s="11">
        <v>420</v>
      </c>
      <c r="G43" s="11" t="s">
        <v>11</v>
      </c>
      <c r="H43" s="3">
        <v>21318.33</v>
      </c>
      <c r="K43" s="11"/>
      <c r="L43" s="11"/>
      <c r="M43" s="11"/>
      <c r="N43" s="11"/>
      <c r="P43" s="11"/>
      <c r="Q43" s="11"/>
      <c r="R43" s="3"/>
    </row>
    <row r="44" spans="1:18" x14ac:dyDescent="0.2">
      <c r="A44" s="11">
        <v>6</v>
      </c>
      <c r="B44" s="11">
        <v>3</v>
      </c>
      <c r="C44" s="11" t="s">
        <v>32</v>
      </c>
      <c r="D44" s="11">
        <f t="shared" si="0"/>
        <v>2</v>
      </c>
      <c r="E44">
        <f t="shared" si="1"/>
        <v>6002</v>
      </c>
      <c r="F44" s="11">
        <v>484</v>
      </c>
      <c r="G44" s="11" t="s">
        <v>20</v>
      </c>
      <c r="H44" s="3">
        <v>31003.55</v>
      </c>
      <c r="K44" s="11"/>
      <c r="L44" s="11"/>
      <c r="M44" s="11"/>
      <c r="N44" s="11"/>
      <c r="P44" s="11"/>
      <c r="Q44" s="11"/>
      <c r="R44" s="3"/>
    </row>
    <row r="45" spans="1:18" x14ac:dyDescent="0.2">
      <c r="A45" s="11">
        <v>6</v>
      </c>
      <c r="B45" s="11">
        <v>3</v>
      </c>
      <c r="C45" s="11" t="s">
        <v>32</v>
      </c>
      <c r="D45" s="11">
        <f t="shared" si="0"/>
        <v>3</v>
      </c>
      <c r="E45">
        <f t="shared" si="1"/>
        <v>6003</v>
      </c>
      <c r="F45" s="11">
        <v>801</v>
      </c>
      <c r="G45" s="11" t="s">
        <v>22</v>
      </c>
      <c r="H45" s="3">
        <v>28030.41</v>
      </c>
      <c r="K45" s="11"/>
      <c r="L45" s="11"/>
      <c r="M45" s="11"/>
      <c r="N45" s="11"/>
      <c r="P45" s="11"/>
      <c r="Q45" s="11"/>
      <c r="R45" s="3"/>
    </row>
    <row r="46" spans="1:18" x14ac:dyDescent="0.2">
      <c r="A46" s="11">
        <v>11</v>
      </c>
      <c r="B46" s="11">
        <v>1</v>
      </c>
      <c r="C46" s="11" t="s">
        <v>33</v>
      </c>
      <c r="D46" s="11">
        <f t="shared" si="0"/>
        <v>1</v>
      </c>
      <c r="E46">
        <f t="shared" si="1"/>
        <v>11001</v>
      </c>
      <c r="F46" s="11">
        <v>401</v>
      </c>
      <c r="G46" s="11" t="s">
        <v>29</v>
      </c>
      <c r="H46" s="3">
        <v>4017936.66</v>
      </c>
      <c r="K46" s="11"/>
      <c r="L46" s="11"/>
      <c r="M46" s="11"/>
      <c r="N46" s="11"/>
      <c r="P46" s="11"/>
      <c r="Q46" s="11"/>
      <c r="R46" s="3"/>
    </row>
    <row r="47" spans="1:18" x14ac:dyDescent="0.2">
      <c r="A47" s="11">
        <v>11</v>
      </c>
      <c r="B47" s="11">
        <v>1</v>
      </c>
      <c r="C47" s="11" t="s">
        <v>33</v>
      </c>
      <c r="D47" s="11">
        <f t="shared" si="0"/>
        <v>2</v>
      </c>
      <c r="E47">
        <f t="shared" si="1"/>
        <v>11002</v>
      </c>
      <c r="F47" s="11">
        <v>406</v>
      </c>
      <c r="G47" s="11" t="s">
        <v>8</v>
      </c>
      <c r="H47" s="3">
        <v>20708.66</v>
      </c>
      <c r="K47" s="11"/>
      <c r="L47" s="11"/>
      <c r="M47" s="11"/>
      <c r="N47" s="11"/>
      <c r="P47" s="11"/>
      <c r="Q47" s="11"/>
      <c r="R47" s="3"/>
    </row>
    <row r="48" spans="1:18" x14ac:dyDescent="0.2">
      <c r="A48" s="11">
        <v>11</v>
      </c>
      <c r="B48" s="11">
        <v>1</v>
      </c>
      <c r="C48" s="11" t="s">
        <v>33</v>
      </c>
      <c r="D48" s="11">
        <f t="shared" si="0"/>
        <v>3</v>
      </c>
      <c r="E48">
        <f t="shared" si="1"/>
        <v>11003</v>
      </c>
      <c r="F48" s="11">
        <v>414</v>
      </c>
      <c r="G48" s="11" t="s">
        <v>9</v>
      </c>
      <c r="H48" s="3">
        <v>1087065.82</v>
      </c>
      <c r="K48" s="11"/>
      <c r="L48" s="11"/>
      <c r="M48" s="11"/>
      <c r="N48" s="11"/>
      <c r="P48" s="11"/>
      <c r="Q48" s="11"/>
      <c r="R48" s="3"/>
    </row>
    <row r="49" spans="1:18" x14ac:dyDescent="0.2">
      <c r="A49" s="11">
        <v>11</v>
      </c>
      <c r="B49" s="11">
        <v>1</v>
      </c>
      <c r="C49" s="11" t="s">
        <v>33</v>
      </c>
      <c r="D49" s="11">
        <f t="shared" si="0"/>
        <v>4</v>
      </c>
      <c r="E49">
        <f t="shared" si="1"/>
        <v>11004</v>
      </c>
      <c r="F49" s="11">
        <v>417</v>
      </c>
      <c r="G49" s="11" t="s">
        <v>34</v>
      </c>
      <c r="H49" s="3">
        <v>308641.28999999998</v>
      </c>
      <c r="K49" s="11"/>
      <c r="L49" s="11"/>
      <c r="M49" s="11"/>
      <c r="N49" s="11"/>
      <c r="P49" s="11"/>
      <c r="Q49" s="11"/>
      <c r="R49" s="3"/>
    </row>
    <row r="50" spans="1:18" x14ac:dyDescent="0.2">
      <c r="A50" s="11">
        <v>11</v>
      </c>
      <c r="B50" s="11">
        <v>1</v>
      </c>
      <c r="C50" s="11" t="s">
        <v>33</v>
      </c>
      <c r="D50" s="11">
        <f t="shared" si="0"/>
        <v>5</v>
      </c>
      <c r="E50">
        <f t="shared" si="1"/>
        <v>11005</v>
      </c>
      <c r="F50" s="11">
        <v>420</v>
      </c>
      <c r="G50" s="11" t="s">
        <v>11</v>
      </c>
      <c r="H50" s="3">
        <v>272552.39</v>
      </c>
      <c r="K50" s="11"/>
      <c r="L50" s="11"/>
      <c r="M50" s="11"/>
      <c r="N50" s="11"/>
      <c r="P50" s="11"/>
      <c r="Q50" s="11"/>
      <c r="R50" s="3"/>
    </row>
    <row r="51" spans="1:18" x14ac:dyDescent="0.2">
      <c r="A51" s="11">
        <v>11</v>
      </c>
      <c r="B51" s="11">
        <v>1</v>
      </c>
      <c r="C51" s="11" t="s">
        <v>33</v>
      </c>
      <c r="D51" s="11">
        <f t="shared" si="0"/>
        <v>6</v>
      </c>
      <c r="E51">
        <f t="shared" si="1"/>
        <v>11006</v>
      </c>
      <c r="F51" s="11">
        <v>422</v>
      </c>
      <c r="G51" s="11" t="s">
        <v>12</v>
      </c>
      <c r="H51" s="3">
        <v>417394.31</v>
      </c>
      <c r="K51" s="11"/>
      <c r="L51" s="11"/>
      <c r="M51" s="11"/>
      <c r="N51" s="11"/>
      <c r="P51" s="11"/>
      <c r="Q51" s="11"/>
      <c r="R51" s="3"/>
    </row>
    <row r="52" spans="1:18" x14ac:dyDescent="0.2">
      <c r="A52" s="11">
        <v>11</v>
      </c>
      <c r="B52" s="11">
        <v>1</v>
      </c>
      <c r="C52" s="11" t="s">
        <v>33</v>
      </c>
      <c r="D52" s="11">
        <f t="shared" si="0"/>
        <v>7</v>
      </c>
      <c r="E52">
        <f t="shared" si="1"/>
        <v>11007</v>
      </c>
      <c r="F52" s="11">
        <v>428</v>
      </c>
      <c r="G52" s="11" t="s">
        <v>13</v>
      </c>
      <c r="H52" s="3">
        <v>391592.79</v>
      </c>
      <c r="K52" s="11"/>
      <c r="L52" s="11"/>
      <c r="M52" s="11"/>
      <c r="N52" s="11"/>
      <c r="P52" s="11"/>
      <c r="Q52" s="11"/>
      <c r="R52" s="3"/>
    </row>
    <row r="53" spans="1:18" x14ac:dyDescent="0.2">
      <c r="A53" s="11">
        <v>11</v>
      </c>
      <c r="B53" s="11">
        <v>1</v>
      </c>
      <c r="C53" s="11" t="s">
        <v>33</v>
      </c>
      <c r="D53" s="11">
        <f t="shared" si="0"/>
        <v>8</v>
      </c>
      <c r="E53">
        <f t="shared" si="1"/>
        <v>11008</v>
      </c>
      <c r="F53" s="11">
        <v>433</v>
      </c>
      <c r="G53" s="11" t="s">
        <v>30</v>
      </c>
      <c r="H53" s="3">
        <v>107727.82</v>
      </c>
      <c r="K53" s="11"/>
      <c r="L53" s="11"/>
      <c r="M53" s="11"/>
      <c r="N53" s="11"/>
      <c r="P53" s="11"/>
      <c r="Q53" s="11"/>
      <c r="R53" s="3"/>
    </row>
    <row r="54" spans="1:18" x14ac:dyDescent="0.2">
      <c r="A54" s="11">
        <v>11</v>
      </c>
      <c r="B54" s="11">
        <v>1</v>
      </c>
      <c r="C54" s="11" t="s">
        <v>33</v>
      </c>
      <c r="D54" s="11">
        <f t="shared" si="0"/>
        <v>9</v>
      </c>
      <c r="E54">
        <f t="shared" si="1"/>
        <v>11009</v>
      </c>
      <c r="F54" s="11">
        <v>435</v>
      </c>
      <c r="G54" s="11" t="s">
        <v>35</v>
      </c>
      <c r="H54" s="3">
        <v>53770</v>
      </c>
      <c r="K54" s="11"/>
      <c r="L54" s="11"/>
      <c r="M54" s="11"/>
      <c r="N54" s="11"/>
      <c r="P54" s="11"/>
      <c r="Q54" s="11"/>
      <c r="R54" s="3"/>
    </row>
    <row r="55" spans="1:18" x14ac:dyDescent="0.2">
      <c r="A55" s="11">
        <v>11</v>
      </c>
      <c r="B55" s="11">
        <v>1</v>
      </c>
      <c r="C55" s="11" t="s">
        <v>33</v>
      </c>
      <c r="D55" s="11">
        <f t="shared" si="0"/>
        <v>10</v>
      </c>
      <c r="E55">
        <f t="shared" si="1"/>
        <v>11010</v>
      </c>
      <c r="F55" s="11">
        <v>437</v>
      </c>
      <c r="G55" s="11" t="s">
        <v>14</v>
      </c>
      <c r="H55" s="3">
        <v>10965</v>
      </c>
      <c r="K55" s="11"/>
      <c r="L55" s="11"/>
      <c r="M55" s="11"/>
      <c r="N55" s="11"/>
      <c r="P55" s="11"/>
      <c r="Q55" s="11"/>
      <c r="R55" s="3"/>
    </row>
    <row r="56" spans="1:18" x14ac:dyDescent="0.2">
      <c r="A56" s="11">
        <v>11</v>
      </c>
      <c r="B56" s="11">
        <v>1</v>
      </c>
      <c r="C56" s="11" t="s">
        <v>33</v>
      </c>
      <c r="D56" s="11">
        <f t="shared" si="0"/>
        <v>11</v>
      </c>
      <c r="E56">
        <f t="shared" si="1"/>
        <v>11011</v>
      </c>
      <c r="F56" s="11">
        <v>438</v>
      </c>
      <c r="G56" s="11" t="s">
        <v>15</v>
      </c>
      <c r="H56" s="3">
        <v>167512.78</v>
      </c>
      <c r="K56" s="11"/>
      <c r="L56" s="11"/>
      <c r="M56" s="11"/>
      <c r="N56" s="11"/>
      <c r="P56" s="11"/>
      <c r="Q56" s="11"/>
      <c r="R56" s="3"/>
    </row>
    <row r="57" spans="1:18" x14ac:dyDescent="0.2">
      <c r="A57" s="11">
        <v>11</v>
      </c>
      <c r="B57" s="11">
        <v>1</v>
      </c>
      <c r="C57" s="11" t="s">
        <v>33</v>
      </c>
      <c r="D57" s="11">
        <f t="shared" si="0"/>
        <v>12</v>
      </c>
      <c r="E57">
        <f t="shared" si="1"/>
        <v>11012</v>
      </c>
      <c r="F57" s="11">
        <v>441</v>
      </c>
      <c r="G57" s="11" t="s">
        <v>16</v>
      </c>
      <c r="H57" s="3">
        <v>27825</v>
      </c>
      <c r="K57" s="11"/>
      <c r="L57" s="11"/>
      <c r="M57" s="11"/>
      <c r="N57" s="11"/>
      <c r="P57" s="11"/>
      <c r="Q57" s="11"/>
      <c r="R57" s="3"/>
    </row>
    <row r="58" spans="1:18" x14ac:dyDescent="0.2">
      <c r="A58" s="11">
        <v>11</v>
      </c>
      <c r="B58" s="11">
        <v>1</v>
      </c>
      <c r="C58" s="11" t="s">
        <v>33</v>
      </c>
      <c r="D58" s="11">
        <f t="shared" si="0"/>
        <v>13</v>
      </c>
      <c r="E58">
        <f t="shared" si="1"/>
        <v>11013</v>
      </c>
      <c r="F58" s="11">
        <v>470</v>
      </c>
      <c r="G58" s="11" t="s">
        <v>6</v>
      </c>
      <c r="H58" s="3">
        <v>3184955.91</v>
      </c>
      <c r="K58" s="11"/>
      <c r="L58" s="11"/>
      <c r="M58" s="11"/>
      <c r="N58" s="11"/>
      <c r="P58" s="11"/>
      <c r="Q58" s="11"/>
      <c r="R58" s="3"/>
    </row>
    <row r="59" spans="1:18" x14ac:dyDescent="0.2">
      <c r="A59" s="11">
        <v>11</v>
      </c>
      <c r="B59" s="11">
        <v>1</v>
      </c>
      <c r="C59" s="11" t="s">
        <v>33</v>
      </c>
      <c r="D59" s="11">
        <f t="shared" si="0"/>
        <v>14</v>
      </c>
      <c r="E59">
        <f t="shared" si="1"/>
        <v>11014</v>
      </c>
      <c r="F59" s="11">
        <v>471</v>
      </c>
      <c r="G59" s="11" t="s">
        <v>17</v>
      </c>
      <c r="H59" s="3">
        <v>12988.83</v>
      </c>
      <c r="K59" s="11"/>
      <c r="L59" s="11"/>
      <c r="M59" s="11"/>
      <c r="N59" s="11"/>
      <c r="P59" s="11"/>
      <c r="Q59" s="11"/>
      <c r="R59" s="3"/>
    </row>
    <row r="60" spans="1:18" x14ac:dyDescent="0.2">
      <c r="A60" s="11">
        <v>11</v>
      </c>
      <c r="B60" s="11">
        <v>1</v>
      </c>
      <c r="C60" s="11" t="s">
        <v>33</v>
      </c>
      <c r="D60" s="11">
        <f t="shared" si="0"/>
        <v>15</v>
      </c>
      <c r="E60">
        <f t="shared" si="1"/>
        <v>11015</v>
      </c>
      <c r="F60" s="11">
        <v>480</v>
      </c>
      <c r="G60" s="11" t="s">
        <v>19</v>
      </c>
      <c r="H60" s="3">
        <v>8482410.6699999999</v>
      </c>
      <c r="K60" s="11"/>
      <c r="L60" s="11"/>
      <c r="M60" s="11"/>
      <c r="N60" s="11"/>
      <c r="P60" s="11"/>
      <c r="Q60" s="11"/>
      <c r="R60" s="3"/>
    </row>
    <row r="61" spans="1:18" x14ac:dyDescent="0.2">
      <c r="A61" s="11">
        <v>11</v>
      </c>
      <c r="B61" s="11">
        <v>1</v>
      </c>
      <c r="C61" s="11" t="s">
        <v>33</v>
      </c>
      <c r="D61" s="11">
        <f t="shared" si="0"/>
        <v>16</v>
      </c>
      <c r="E61">
        <f t="shared" si="1"/>
        <v>11016</v>
      </c>
      <c r="F61" s="11">
        <v>484</v>
      </c>
      <c r="G61" s="11" t="s">
        <v>20</v>
      </c>
      <c r="H61" s="3">
        <v>347386.32</v>
      </c>
      <c r="K61" s="11"/>
      <c r="L61" s="11"/>
      <c r="M61" s="11"/>
      <c r="N61" s="11"/>
      <c r="P61" s="11"/>
      <c r="Q61" s="11"/>
      <c r="R61" s="3"/>
    </row>
    <row r="62" spans="1:18" x14ac:dyDescent="0.2">
      <c r="A62" s="11">
        <v>11</v>
      </c>
      <c r="B62" s="11">
        <v>1</v>
      </c>
      <c r="C62" s="11" t="s">
        <v>33</v>
      </c>
      <c r="D62" s="11">
        <f t="shared" si="0"/>
        <v>17</v>
      </c>
      <c r="E62">
        <f t="shared" si="1"/>
        <v>11017</v>
      </c>
      <c r="F62" s="11">
        <v>486</v>
      </c>
      <c r="G62" s="11" t="s">
        <v>21</v>
      </c>
      <c r="H62" s="3">
        <v>274843.86</v>
      </c>
      <c r="K62" s="11"/>
      <c r="L62" s="11"/>
      <c r="M62" s="11"/>
      <c r="N62" s="11"/>
      <c r="P62" s="11"/>
      <c r="Q62" s="11"/>
      <c r="R62" s="3"/>
    </row>
    <row r="63" spans="1:18" x14ac:dyDescent="0.2">
      <c r="A63" s="11">
        <v>12</v>
      </c>
      <c r="B63" s="11">
        <v>1</v>
      </c>
      <c r="C63" s="11" t="s">
        <v>36</v>
      </c>
      <c r="D63" s="11">
        <f t="shared" si="0"/>
        <v>1</v>
      </c>
      <c r="E63">
        <f t="shared" si="1"/>
        <v>12001</v>
      </c>
      <c r="F63" s="11">
        <v>401</v>
      </c>
      <c r="G63" s="11" t="s">
        <v>29</v>
      </c>
      <c r="H63" s="3">
        <v>387613.51</v>
      </c>
      <c r="K63" s="11"/>
      <c r="L63" s="11"/>
      <c r="M63" s="11"/>
      <c r="N63" s="11"/>
      <c r="P63" s="11"/>
      <c r="Q63" s="11"/>
      <c r="R63" s="3"/>
    </row>
    <row r="64" spans="1:18" x14ac:dyDescent="0.2">
      <c r="A64" s="11">
        <v>12</v>
      </c>
      <c r="B64" s="11">
        <v>1</v>
      </c>
      <c r="C64" s="11" t="s">
        <v>36</v>
      </c>
      <c r="D64" s="11">
        <f t="shared" si="0"/>
        <v>2</v>
      </c>
      <c r="E64">
        <f t="shared" si="1"/>
        <v>12002</v>
      </c>
      <c r="F64" s="11">
        <v>406</v>
      </c>
      <c r="G64" s="11" t="s">
        <v>8</v>
      </c>
      <c r="H64" s="3">
        <v>315067.45</v>
      </c>
      <c r="K64" s="11"/>
      <c r="L64" s="11"/>
      <c r="M64" s="11"/>
      <c r="N64" s="11"/>
      <c r="P64" s="11"/>
      <c r="Q64" s="11"/>
      <c r="R64" s="3"/>
    </row>
    <row r="65" spans="1:18" x14ac:dyDescent="0.2">
      <c r="A65" s="11">
        <v>12</v>
      </c>
      <c r="B65" s="11">
        <v>1</v>
      </c>
      <c r="C65" s="11" t="s">
        <v>36</v>
      </c>
      <c r="D65" s="11">
        <f t="shared" si="0"/>
        <v>3</v>
      </c>
      <c r="E65">
        <f t="shared" si="1"/>
        <v>12003</v>
      </c>
      <c r="F65" s="11">
        <v>414</v>
      </c>
      <c r="G65" s="11" t="s">
        <v>9</v>
      </c>
      <c r="H65" s="3">
        <v>147133.64000000001</v>
      </c>
      <c r="K65" s="11"/>
      <c r="L65" s="11"/>
      <c r="M65" s="11"/>
      <c r="N65" s="11"/>
      <c r="P65" s="11"/>
      <c r="Q65" s="11"/>
      <c r="R65" s="3"/>
    </row>
    <row r="66" spans="1:18" x14ac:dyDescent="0.2">
      <c r="A66" s="11">
        <v>12</v>
      </c>
      <c r="B66" s="11">
        <v>1</v>
      </c>
      <c r="C66" s="11" t="s">
        <v>36</v>
      </c>
      <c r="D66" s="11">
        <f t="shared" si="0"/>
        <v>4</v>
      </c>
      <c r="E66">
        <f t="shared" si="1"/>
        <v>12004</v>
      </c>
      <c r="F66" s="11">
        <v>417</v>
      </c>
      <c r="G66" s="11" t="s">
        <v>34</v>
      </c>
      <c r="H66" s="3">
        <v>12626.78</v>
      </c>
      <c r="K66" s="11"/>
      <c r="L66" s="11"/>
      <c r="M66" s="11"/>
      <c r="N66" s="11"/>
      <c r="P66" s="11"/>
      <c r="Q66" s="11"/>
      <c r="R66" s="3"/>
    </row>
    <row r="67" spans="1:18" x14ac:dyDescent="0.2">
      <c r="A67" s="11">
        <v>12</v>
      </c>
      <c r="B67" s="11">
        <v>1</v>
      </c>
      <c r="C67" s="11" t="s">
        <v>36</v>
      </c>
      <c r="D67" s="11">
        <f t="shared" si="0"/>
        <v>5</v>
      </c>
      <c r="E67">
        <f t="shared" si="1"/>
        <v>12005</v>
      </c>
      <c r="F67" s="11">
        <v>420</v>
      </c>
      <c r="G67" s="11" t="s">
        <v>11</v>
      </c>
      <c r="H67" s="3">
        <v>40571.120000000003</v>
      </c>
      <c r="K67" s="11"/>
      <c r="L67" s="11"/>
      <c r="M67" s="11"/>
      <c r="N67" s="11"/>
      <c r="P67" s="11"/>
      <c r="Q67" s="11"/>
      <c r="R67" s="3"/>
    </row>
    <row r="68" spans="1:18" x14ac:dyDescent="0.2">
      <c r="A68" s="11">
        <v>12</v>
      </c>
      <c r="B68" s="11">
        <v>1</v>
      </c>
      <c r="C68" s="11" t="s">
        <v>36</v>
      </c>
      <c r="D68" s="11">
        <f t="shared" si="0"/>
        <v>6</v>
      </c>
      <c r="E68">
        <f t="shared" si="1"/>
        <v>12006</v>
      </c>
      <c r="F68" s="11">
        <v>433</v>
      </c>
      <c r="G68" s="11" t="s">
        <v>30</v>
      </c>
      <c r="H68" s="3">
        <v>13926.76</v>
      </c>
      <c r="K68" s="11"/>
      <c r="L68" s="11"/>
      <c r="M68" s="11"/>
      <c r="N68" s="11"/>
      <c r="P68" s="11"/>
      <c r="Q68" s="11"/>
      <c r="R68" s="3"/>
    </row>
    <row r="69" spans="1:18" x14ac:dyDescent="0.2">
      <c r="A69" s="11">
        <v>12</v>
      </c>
      <c r="B69" s="11">
        <v>1</v>
      </c>
      <c r="C69" s="11" t="s">
        <v>36</v>
      </c>
      <c r="D69" s="11">
        <f t="shared" si="0"/>
        <v>7</v>
      </c>
      <c r="E69">
        <f t="shared" si="1"/>
        <v>12007</v>
      </c>
      <c r="F69" s="11">
        <v>435</v>
      </c>
      <c r="G69" s="11" t="s">
        <v>35</v>
      </c>
      <c r="H69" s="3">
        <v>9440</v>
      </c>
      <c r="K69" s="11"/>
      <c r="L69" s="11"/>
      <c r="M69" s="11"/>
      <c r="N69" s="11"/>
      <c r="P69" s="11"/>
      <c r="Q69" s="11"/>
      <c r="R69" s="3"/>
    </row>
    <row r="70" spans="1:18" x14ac:dyDescent="0.2">
      <c r="A70" s="11">
        <v>12</v>
      </c>
      <c r="B70" s="11">
        <v>1</v>
      </c>
      <c r="C70" s="11" t="s">
        <v>36</v>
      </c>
      <c r="D70" s="11">
        <f t="shared" si="0"/>
        <v>8</v>
      </c>
      <c r="E70">
        <f t="shared" si="1"/>
        <v>12008</v>
      </c>
      <c r="F70" s="11">
        <v>437</v>
      </c>
      <c r="G70" s="11" t="s">
        <v>14</v>
      </c>
      <c r="H70" s="3">
        <v>1125</v>
      </c>
      <c r="K70" s="11"/>
      <c r="L70" s="11"/>
      <c r="M70" s="11"/>
      <c r="N70" s="11"/>
      <c r="P70" s="11"/>
      <c r="Q70" s="11"/>
      <c r="R70" s="3"/>
    </row>
    <row r="71" spans="1:18" x14ac:dyDescent="0.2">
      <c r="A71" s="11">
        <v>12</v>
      </c>
      <c r="B71" s="11">
        <v>1</v>
      </c>
      <c r="C71" s="11" t="s">
        <v>36</v>
      </c>
      <c r="D71" s="11">
        <f t="shared" si="0"/>
        <v>9</v>
      </c>
      <c r="E71">
        <f t="shared" si="1"/>
        <v>12009</v>
      </c>
      <c r="F71" s="11">
        <v>470</v>
      </c>
      <c r="G71" s="11" t="s">
        <v>6</v>
      </c>
      <c r="H71" s="3">
        <v>247981.11</v>
      </c>
      <c r="K71" s="11"/>
      <c r="L71" s="11"/>
      <c r="M71" s="11"/>
      <c r="N71" s="11"/>
      <c r="P71" s="11"/>
      <c r="Q71" s="11"/>
      <c r="R71" s="3"/>
    </row>
    <row r="72" spans="1:18" x14ac:dyDescent="0.2">
      <c r="A72" s="11">
        <v>12</v>
      </c>
      <c r="B72" s="11">
        <v>1</v>
      </c>
      <c r="C72" s="11" t="s">
        <v>36</v>
      </c>
      <c r="D72" s="11">
        <f t="shared" si="0"/>
        <v>10</v>
      </c>
      <c r="E72">
        <f t="shared" si="1"/>
        <v>12010</v>
      </c>
      <c r="F72" s="11">
        <v>471</v>
      </c>
      <c r="G72" s="11" t="s">
        <v>17</v>
      </c>
      <c r="H72" s="3">
        <v>197615.77</v>
      </c>
      <c r="K72" s="11"/>
      <c r="L72" s="11"/>
      <c r="M72" s="11"/>
      <c r="N72" s="11"/>
      <c r="P72" s="11"/>
      <c r="Q72" s="11"/>
      <c r="R72" s="3"/>
    </row>
    <row r="73" spans="1:18" x14ac:dyDescent="0.2">
      <c r="A73" s="11">
        <v>12</v>
      </c>
      <c r="B73" s="11">
        <v>1</v>
      </c>
      <c r="C73" s="11" t="s">
        <v>36</v>
      </c>
      <c r="D73" s="11">
        <f t="shared" si="0"/>
        <v>11</v>
      </c>
      <c r="E73">
        <f t="shared" si="1"/>
        <v>12011</v>
      </c>
      <c r="F73" s="11">
        <v>484</v>
      </c>
      <c r="G73" s="11" t="s">
        <v>20</v>
      </c>
      <c r="H73" s="3">
        <v>52976.58</v>
      </c>
      <c r="K73" s="11"/>
      <c r="L73" s="11"/>
      <c r="M73" s="11"/>
      <c r="N73" s="11"/>
      <c r="P73" s="11"/>
      <c r="Q73" s="11"/>
      <c r="R73" s="3"/>
    </row>
    <row r="74" spans="1:18" x14ac:dyDescent="0.2">
      <c r="A74" s="11">
        <v>12</v>
      </c>
      <c r="B74" s="11">
        <v>1</v>
      </c>
      <c r="C74" s="11" t="s">
        <v>36</v>
      </c>
      <c r="D74" s="11">
        <f t="shared" si="0"/>
        <v>12</v>
      </c>
      <c r="E74">
        <f t="shared" si="1"/>
        <v>12012</v>
      </c>
      <c r="F74" s="11">
        <v>486</v>
      </c>
      <c r="G74" s="11" t="s">
        <v>21</v>
      </c>
      <c r="H74" s="3">
        <v>26936.13</v>
      </c>
      <c r="K74" s="11"/>
      <c r="L74" s="11"/>
      <c r="M74" s="11"/>
      <c r="N74" s="11"/>
      <c r="P74" s="11"/>
      <c r="Q74" s="11"/>
      <c r="R74" s="3"/>
    </row>
    <row r="75" spans="1:18" x14ac:dyDescent="0.2">
      <c r="A75" s="11">
        <v>13</v>
      </c>
      <c r="B75" s="11">
        <v>1</v>
      </c>
      <c r="C75" s="11" t="s">
        <v>37</v>
      </c>
      <c r="D75" s="11">
        <f t="shared" si="0"/>
        <v>1</v>
      </c>
      <c r="E75">
        <f t="shared" si="1"/>
        <v>13001</v>
      </c>
      <c r="F75" s="11">
        <v>151</v>
      </c>
      <c r="G75" s="11" t="s">
        <v>28</v>
      </c>
      <c r="H75" s="3">
        <v>1289709.47</v>
      </c>
      <c r="K75" s="11"/>
      <c r="L75" s="11"/>
      <c r="M75" s="11"/>
      <c r="N75" s="11"/>
      <c r="P75" s="11"/>
      <c r="Q75" s="11"/>
      <c r="R75" s="3"/>
    </row>
    <row r="76" spans="1:18" x14ac:dyDescent="0.2">
      <c r="A76" s="11">
        <v>13</v>
      </c>
      <c r="B76" s="11">
        <v>1</v>
      </c>
      <c r="C76" s="11" t="s">
        <v>37</v>
      </c>
      <c r="D76" s="11">
        <f t="shared" si="0"/>
        <v>2</v>
      </c>
      <c r="E76">
        <f t="shared" si="1"/>
        <v>13002</v>
      </c>
      <c r="F76" s="11">
        <v>401</v>
      </c>
      <c r="G76" s="11" t="s">
        <v>29</v>
      </c>
      <c r="H76" s="3">
        <v>655146.16</v>
      </c>
      <c r="K76" s="11"/>
      <c r="L76" s="11"/>
      <c r="M76" s="11"/>
      <c r="N76" s="11"/>
      <c r="P76" s="11"/>
      <c r="Q76" s="11"/>
      <c r="R76" s="3"/>
    </row>
    <row r="77" spans="1:18" x14ac:dyDescent="0.2">
      <c r="A77" s="11">
        <v>13</v>
      </c>
      <c r="B77" s="11">
        <v>1</v>
      </c>
      <c r="C77" s="11" t="s">
        <v>37</v>
      </c>
      <c r="D77" s="11">
        <f t="shared" si="0"/>
        <v>3</v>
      </c>
      <c r="E77">
        <f t="shared" si="1"/>
        <v>13003</v>
      </c>
      <c r="F77" s="11">
        <v>414</v>
      </c>
      <c r="G77" s="11" t="s">
        <v>9</v>
      </c>
      <c r="H77" s="3">
        <v>163530.35999999999</v>
      </c>
      <c r="K77" s="11"/>
      <c r="L77" s="11"/>
      <c r="M77" s="11"/>
      <c r="N77" s="11"/>
      <c r="P77" s="11"/>
      <c r="Q77" s="11"/>
      <c r="R77" s="3"/>
    </row>
    <row r="78" spans="1:18" x14ac:dyDescent="0.2">
      <c r="A78" s="11">
        <v>13</v>
      </c>
      <c r="B78" s="11">
        <v>1</v>
      </c>
      <c r="C78" s="11" t="s">
        <v>37</v>
      </c>
      <c r="D78" s="11">
        <f t="shared" si="0"/>
        <v>4</v>
      </c>
      <c r="E78">
        <f t="shared" si="1"/>
        <v>13004</v>
      </c>
      <c r="F78" s="11">
        <v>417</v>
      </c>
      <c r="G78" s="11" t="s">
        <v>34</v>
      </c>
      <c r="H78" s="3">
        <v>92318.41</v>
      </c>
      <c r="K78" s="11"/>
      <c r="L78" s="11"/>
      <c r="M78" s="11"/>
      <c r="N78" s="11"/>
      <c r="P78" s="11"/>
      <c r="Q78" s="11"/>
      <c r="R78" s="3"/>
    </row>
    <row r="79" spans="1:18" x14ac:dyDescent="0.2">
      <c r="A79" s="11">
        <v>13</v>
      </c>
      <c r="B79" s="11">
        <v>1</v>
      </c>
      <c r="C79" s="11" t="s">
        <v>37</v>
      </c>
      <c r="D79" s="11">
        <f t="shared" ref="D79:D142" si="2">IF(A79=A78,D78+1,1)</f>
        <v>5</v>
      </c>
      <c r="E79">
        <f t="shared" ref="E79:E142" si="3">1000*A79+D79</f>
        <v>13005</v>
      </c>
      <c r="F79" s="11">
        <v>419</v>
      </c>
      <c r="G79" s="11" t="s">
        <v>10</v>
      </c>
      <c r="H79" s="3">
        <v>659653.65</v>
      </c>
      <c r="K79" s="11"/>
      <c r="L79" s="11"/>
      <c r="M79" s="11"/>
      <c r="N79" s="11"/>
      <c r="P79" s="11"/>
      <c r="Q79" s="11"/>
      <c r="R79" s="3"/>
    </row>
    <row r="80" spans="1:18" x14ac:dyDescent="0.2">
      <c r="A80" s="11">
        <v>13</v>
      </c>
      <c r="B80" s="11">
        <v>1</v>
      </c>
      <c r="C80" s="11" t="s">
        <v>37</v>
      </c>
      <c r="D80" s="11">
        <f t="shared" si="2"/>
        <v>6</v>
      </c>
      <c r="E80">
        <f t="shared" si="3"/>
        <v>13006</v>
      </c>
      <c r="F80" s="11">
        <v>420</v>
      </c>
      <c r="G80" s="11" t="s">
        <v>11</v>
      </c>
      <c r="H80" s="3">
        <v>21314.66</v>
      </c>
      <c r="K80" s="11"/>
      <c r="L80" s="11"/>
      <c r="M80" s="11"/>
      <c r="N80" s="11"/>
      <c r="P80" s="11"/>
      <c r="Q80" s="11"/>
      <c r="R80" s="3"/>
    </row>
    <row r="81" spans="1:18" x14ac:dyDescent="0.2">
      <c r="A81" s="11">
        <v>13</v>
      </c>
      <c r="B81" s="11">
        <v>1</v>
      </c>
      <c r="C81" s="11" t="s">
        <v>37</v>
      </c>
      <c r="D81" s="11">
        <f t="shared" si="2"/>
        <v>7</v>
      </c>
      <c r="E81">
        <f t="shared" si="3"/>
        <v>13007</v>
      </c>
      <c r="F81" s="11">
        <v>433</v>
      </c>
      <c r="G81" s="11" t="s">
        <v>30</v>
      </c>
      <c r="H81" s="3">
        <v>12751.56</v>
      </c>
      <c r="K81" s="11"/>
      <c r="L81" s="11"/>
      <c r="M81" s="11"/>
      <c r="N81" s="11"/>
      <c r="P81" s="11"/>
      <c r="Q81" s="11"/>
      <c r="R81" s="3"/>
    </row>
    <row r="82" spans="1:18" x14ac:dyDescent="0.2">
      <c r="A82" s="11">
        <v>13</v>
      </c>
      <c r="B82" s="11">
        <v>1</v>
      </c>
      <c r="C82" s="11" t="s">
        <v>37</v>
      </c>
      <c r="D82" s="11">
        <f t="shared" si="2"/>
        <v>8</v>
      </c>
      <c r="E82">
        <f t="shared" si="3"/>
        <v>13008</v>
      </c>
      <c r="F82" s="11">
        <v>437</v>
      </c>
      <c r="G82" s="11" t="s">
        <v>14</v>
      </c>
      <c r="H82" s="3">
        <v>960</v>
      </c>
      <c r="K82" s="11"/>
      <c r="L82" s="11"/>
      <c r="M82" s="11"/>
      <c r="N82" s="11"/>
      <c r="P82" s="11"/>
      <c r="Q82" s="11"/>
      <c r="R82" s="3"/>
    </row>
    <row r="83" spans="1:18" x14ac:dyDescent="0.2">
      <c r="A83" s="11">
        <v>13</v>
      </c>
      <c r="B83" s="11">
        <v>1</v>
      </c>
      <c r="C83" s="11" t="s">
        <v>37</v>
      </c>
      <c r="D83" s="11">
        <f t="shared" si="2"/>
        <v>9</v>
      </c>
      <c r="E83">
        <f t="shared" si="3"/>
        <v>13009</v>
      </c>
      <c r="F83" s="11">
        <v>470</v>
      </c>
      <c r="G83" s="11" t="s">
        <v>6</v>
      </c>
      <c r="H83" s="3">
        <v>354521.25</v>
      </c>
      <c r="K83" s="11"/>
      <c r="L83" s="11"/>
      <c r="M83" s="11"/>
      <c r="N83" s="11"/>
      <c r="P83" s="11"/>
      <c r="Q83" s="11"/>
      <c r="R83" s="3"/>
    </row>
    <row r="84" spans="1:18" x14ac:dyDescent="0.2">
      <c r="A84" s="11">
        <v>13</v>
      </c>
      <c r="B84" s="11">
        <v>1</v>
      </c>
      <c r="C84" s="11" t="s">
        <v>37</v>
      </c>
      <c r="D84" s="11">
        <f t="shared" si="2"/>
        <v>10</v>
      </c>
      <c r="E84">
        <f t="shared" si="3"/>
        <v>13010</v>
      </c>
      <c r="F84" s="11">
        <v>480</v>
      </c>
      <c r="G84" s="11" t="s">
        <v>19</v>
      </c>
      <c r="H84" s="3">
        <v>741079.59</v>
      </c>
      <c r="K84" s="11"/>
      <c r="L84" s="11"/>
      <c r="M84" s="11"/>
      <c r="N84" s="11"/>
      <c r="P84" s="11"/>
      <c r="Q84" s="11"/>
      <c r="R84" s="3"/>
    </row>
    <row r="85" spans="1:18" x14ac:dyDescent="0.2">
      <c r="A85" s="11">
        <v>13</v>
      </c>
      <c r="B85" s="11">
        <v>1</v>
      </c>
      <c r="C85" s="11" t="s">
        <v>37</v>
      </c>
      <c r="D85" s="11">
        <f t="shared" si="2"/>
        <v>11</v>
      </c>
      <c r="E85">
        <f t="shared" si="3"/>
        <v>13011</v>
      </c>
      <c r="F85" s="11">
        <v>484</v>
      </c>
      <c r="G85" s="11" t="s">
        <v>20</v>
      </c>
      <c r="H85" s="3">
        <v>30370.31</v>
      </c>
      <c r="K85" s="11"/>
      <c r="L85" s="11"/>
      <c r="M85" s="11"/>
      <c r="N85" s="11"/>
      <c r="P85" s="11"/>
      <c r="Q85" s="11"/>
      <c r="R85" s="3"/>
    </row>
    <row r="86" spans="1:18" x14ac:dyDescent="0.2">
      <c r="A86" s="11">
        <v>13</v>
      </c>
      <c r="B86" s="11">
        <v>1</v>
      </c>
      <c r="C86" s="11" t="s">
        <v>37</v>
      </c>
      <c r="D86" s="11">
        <f t="shared" si="2"/>
        <v>12</v>
      </c>
      <c r="E86">
        <f t="shared" si="3"/>
        <v>13012</v>
      </c>
      <c r="F86" s="11">
        <v>486</v>
      </c>
      <c r="G86" s="11" t="s">
        <v>21</v>
      </c>
      <c r="H86" s="3">
        <v>36590.230000000003</v>
      </c>
      <c r="K86" s="11"/>
      <c r="L86" s="11"/>
      <c r="M86" s="11"/>
      <c r="N86" s="11"/>
      <c r="P86" s="11"/>
      <c r="Q86" s="11"/>
      <c r="R86" s="3"/>
    </row>
    <row r="87" spans="1:18" x14ac:dyDescent="0.2">
      <c r="A87" s="11">
        <v>13</v>
      </c>
      <c r="B87" s="11">
        <v>1</v>
      </c>
      <c r="C87" s="11" t="s">
        <v>37</v>
      </c>
      <c r="D87" s="11">
        <f t="shared" si="2"/>
        <v>13</v>
      </c>
      <c r="E87">
        <f t="shared" si="3"/>
        <v>13013</v>
      </c>
      <c r="F87" s="11">
        <v>853</v>
      </c>
      <c r="G87" s="11" t="s">
        <v>38</v>
      </c>
      <c r="H87" s="3">
        <v>149803</v>
      </c>
      <c r="K87" s="11"/>
      <c r="L87" s="11"/>
      <c r="M87" s="11"/>
      <c r="N87" s="11"/>
      <c r="P87" s="11"/>
      <c r="Q87" s="11"/>
      <c r="R87" s="3"/>
    </row>
    <row r="88" spans="1:18" x14ac:dyDescent="0.2">
      <c r="A88" s="11">
        <v>13</v>
      </c>
      <c r="B88" s="11">
        <v>1</v>
      </c>
      <c r="C88" s="11" t="s">
        <v>37</v>
      </c>
      <c r="D88" s="11">
        <f t="shared" si="2"/>
        <v>14</v>
      </c>
      <c r="E88">
        <f t="shared" si="3"/>
        <v>13014</v>
      </c>
      <c r="F88" s="11">
        <v>856</v>
      </c>
      <c r="G88" s="11" t="s">
        <v>39</v>
      </c>
      <c r="H88" s="3">
        <v>296398</v>
      </c>
      <c r="K88" s="11"/>
      <c r="L88" s="11"/>
      <c r="M88" s="11"/>
      <c r="N88" s="11"/>
      <c r="P88" s="11"/>
      <c r="Q88" s="11"/>
      <c r="R88" s="3"/>
    </row>
    <row r="89" spans="1:18" x14ac:dyDescent="0.2">
      <c r="A89" s="11">
        <v>14</v>
      </c>
      <c r="B89" s="11">
        <v>1</v>
      </c>
      <c r="C89" s="11" t="s">
        <v>40</v>
      </c>
      <c r="D89" s="11">
        <f t="shared" si="2"/>
        <v>1</v>
      </c>
      <c r="E89">
        <f t="shared" si="3"/>
        <v>14001</v>
      </c>
      <c r="F89" s="11">
        <v>414</v>
      </c>
      <c r="G89" s="11" t="s">
        <v>9</v>
      </c>
      <c r="H89" s="3">
        <v>113687.19</v>
      </c>
      <c r="K89" s="11"/>
      <c r="L89" s="11"/>
      <c r="M89" s="11"/>
      <c r="N89" s="11"/>
      <c r="P89" s="11"/>
      <c r="Q89" s="11"/>
      <c r="R89" s="3"/>
    </row>
    <row r="90" spans="1:18" x14ac:dyDescent="0.2">
      <c r="A90" s="11">
        <v>14</v>
      </c>
      <c r="B90" s="11">
        <v>1</v>
      </c>
      <c r="C90" s="11" t="s">
        <v>40</v>
      </c>
      <c r="D90" s="11">
        <f t="shared" si="2"/>
        <v>2</v>
      </c>
      <c r="E90">
        <f t="shared" si="3"/>
        <v>14002</v>
      </c>
      <c r="F90" s="11">
        <v>417</v>
      </c>
      <c r="G90" s="11" t="s">
        <v>34</v>
      </c>
      <c r="H90" s="3">
        <v>41215.71</v>
      </c>
      <c r="K90" s="11"/>
      <c r="L90" s="11"/>
      <c r="M90" s="11"/>
      <c r="N90" s="11"/>
      <c r="P90" s="11"/>
      <c r="Q90" s="11"/>
      <c r="R90" s="3"/>
    </row>
    <row r="91" spans="1:18" x14ac:dyDescent="0.2">
      <c r="A91" s="11">
        <v>14</v>
      </c>
      <c r="B91" s="11">
        <v>1</v>
      </c>
      <c r="C91" s="11" t="s">
        <v>40</v>
      </c>
      <c r="D91" s="11">
        <f t="shared" si="2"/>
        <v>3</v>
      </c>
      <c r="E91">
        <f t="shared" si="3"/>
        <v>14003</v>
      </c>
      <c r="F91" s="11">
        <v>420</v>
      </c>
      <c r="G91" s="11" t="s">
        <v>11</v>
      </c>
      <c r="H91" s="3">
        <v>14307.41</v>
      </c>
      <c r="K91" s="11"/>
      <c r="L91" s="11"/>
      <c r="M91" s="11"/>
      <c r="N91" s="11"/>
      <c r="P91" s="11"/>
      <c r="Q91" s="11"/>
      <c r="R91" s="3"/>
    </row>
    <row r="92" spans="1:18" x14ac:dyDescent="0.2">
      <c r="A92" s="11">
        <v>14</v>
      </c>
      <c r="B92" s="11">
        <v>1</v>
      </c>
      <c r="C92" s="11" t="s">
        <v>40</v>
      </c>
      <c r="D92" s="11">
        <f t="shared" si="2"/>
        <v>4</v>
      </c>
      <c r="E92">
        <f t="shared" si="3"/>
        <v>14004</v>
      </c>
      <c r="F92" s="11">
        <v>435</v>
      </c>
      <c r="G92" s="11" t="s">
        <v>35</v>
      </c>
      <c r="H92" s="3">
        <v>5000</v>
      </c>
      <c r="K92" s="11"/>
      <c r="L92" s="11"/>
      <c r="M92" s="11"/>
      <c r="N92" s="11"/>
      <c r="P92" s="11"/>
      <c r="Q92" s="11"/>
      <c r="R92" s="3"/>
    </row>
    <row r="93" spans="1:18" x14ac:dyDescent="0.2">
      <c r="A93" s="11">
        <v>14</v>
      </c>
      <c r="B93" s="11">
        <v>1</v>
      </c>
      <c r="C93" s="11" t="s">
        <v>40</v>
      </c>
      <c r="D93" s="11">
        <f t="shared" si="2"/>
        <v>5</v>
      </c>
      <c r="E93">
        <f t="shared" si="3"/>
        <v>14005</v>
      </c>
      <c r="F93" s="11">
        <v>437</v>
      </c>
      <c r="G93" s="11" t="s">
        <v>14</v>
      </c>
      <c r="H93" s="3">
        <v>600</v>
      </c>
      <c r="K93" s="11"/>
      <c r="L93" s="11"/>
      <c r="M93" s="11"/>
      <c r="N93" s="11"/>
      <c r="P93" s="11"/>
      <c r="Q93" s="11"/>
      <c r="R93" s="3"/>
    </row>
    <row r="94" spans="1:18" x14ac:dyDescent="0.2">
      <c r="A94" s="11">
        <v>14</v>
      </c>
      <c r="B94" s="11">
        <v>1</v>
      </c>
      <c r="C94" s="11" t="s">
        <v>40</v>
      </c>
      <c r="D94" s="11">
        <f t="shared" si="2"/>
        <v>6</v>
      </c>
      <c r="E94">
        <f t="shared" si="3"/>
        <v>14006</v>
      </c>
      <c r="F94" s="11">
        <v>470</v>
      </c>
      <c r="G94" s="11" t="s">
        <v>6</v>
      </c>
      <c r="H94" s="3">
        <v>255119.16</v>
      </c>
      <c r="K94" s="11"/>
      <c r="L94" s="11"/>
      <c r="M94" s="11"/>
      <c r="N94" s="11"/>
      <c r="P94" s="11"/>
      <c r="Q94" s="11"/>
      <c r="R94" s="3"/>
    </row>
    <row r="95" spans="1:18" x14ac:dyDescent="0.2">
      <c r="A95" s="11">
        <v>14</v>
      </c>
      <c r="B95" s="11">
        <v>1</v>
      </c>
      <c r="C95" s="11" t="s">
        <v>40</v>
      </c>
      <c r="D95" s="11">
        <f t="shared" si="2"/>
        <v>7</v>
      </c>
      <c r="E95">
        <f t="shared" si="3"/>
        <v>14007</v>
      </c>
      <c r="F95" s="11">
        <v>480</v>
      </c>
      <c r="G95" s="11" t="s">
        <v>19</v>
      </c>
      <c r="H95" s="3">
        <v>905478.97</v>
      </c>
      <c r="K95" s="11"/>
      <c r="L95" s="11"/>
      <c r="M95" s="11"/>
      <c r="N95" s="11"/>
      <c r="P95" s="11"/>
      <c r="Q95" s="11"/>
      <c r="R95" s="3"/>
    </row>
    <row r="96" spans="1:18" x14ac:dyDescent="0.2">
      <c r="A96" s="11">
        <v>14</v>
      </c>
      <c r="B96" s="11">
        <v>1</v>
      </c>
      <c r="C96" s="11" t="s">
        <v>40</v>
      </c>
      <c r="D96" s="11">
        <f t="shared" si="2"/>
        <v>8</v>
      </c>
      <c r="E96">
        <f t="shared" si="3"/>
        <v>14008</v>
      </c>
      <c r="F96" s="11">
        <v>484</v>
      </c>
      <c r="G96" s="11" t="s">
        <v>20</v>
      </c>
      <c r="H96" s="3">
        <v>37093.68</v>
      </c>
      <c r="K96" s="11"/>
      <c r="L96" s="11"/>
      <c r="M96" s="11"/>
      <c r="N96" s="11"/>
      <c r="P96" s="11"/>
      <c r="Q96" s="11"/>
      <c r="R96" s="3"/>
    </row>
    <row r="97" spans="1:18" x14ac:dyDescent="0.2">
      <c r="A97" s="11">
        <v>15</v>
      </c>
      <c r="B97" s="11">
        <v>1</v>
      </c>
      <c r="C97" s="11" t="s">
        <v>41</v>
      </c>
      <c r="D97" s="11">
        <f t="shared" si="2"/>
        <v>1</v>
      </c>
      <c r="E97">
        <f t="shared" si="3"/>
        <v>15001</v>
      </c>
      <c r="F97" s="11">
        <v>433</v>
      </c>
      <c r="G97" s="11" t="s">
        <v>30</v>
      </c>
      <c r="H97" s="3">
        <v>13902.48</v>
      </c>
      <c r="K97" s="11"/>
      <c r="L97" s="11"/>
      <c r="M97" s="11"/>
      <c r="N97" s="11"/>
      <c r="P97" s="11"/>
      <c r="Q97" s="11"/>
      <c r="R97" s="3"/>
    </row>
    <row r="98" spans="1:18" x14ac:dyDescent="0.2">
      <c r="A98" s="11">
        <v>15</v>
      </c>
      <c r="B98" s="11">
        <v>1</v>
      </c>
      <c r="C98" s="11" t="s">
        <v>41</v>
      </c>
      <c r="D98" s="11">
        <f t="shared" si="2"/>
        <v>2</v>
      </c>
      <c r="E98">
        <f t="shared" si="3"/>
        <v>15002</v>
      </c>
      <c r="F98" s="11">
        <v>437</v>
      </c>
      <c r="G98" s="11" t="s">
        <v>14</v>
      </c>
      <c r="H98" s="3">
        <v>1380</v>
      </c>
      <c r="K98" s="11"/>
      <c r="L98" s="11"/>
      <c r="M98" s="11"/>
      <c r="N98" s="11"/>
      <c r="P98" s="11"/>
      <c r="Q98" s="11"/>
      <c r="R98" s="3"/>
    </row>
    <row r="99" spans="1:18" x14ac:dyDescent="0.2">
      <c r="A99" s="11">
        <v>15</v>
      </c>
      <c r="B99" s="11">
        <v>1</v>
      </c>
      <c r="C99" s="11" t="s">
        <v>41</v>
      </c>
      <c r="D99" s="11">
        <f t="shared" si="2"/>
        <v>3</v>
      </c>
      <c r="E99">
        <f t="shared" si="3"/>
        <v>15003</v>
      </c>
      <c r="F99" s="11">
        <v>486</v>
      </c>
      <c r="G99" s="11" t="s">
        <v>21</v>
      </c>
      <c r="H99" s="3">
        <v>48866.43</v>
      </c>
      <c r="K99" s="11"/>
      <c r="L99" s="11"/>
      <c r="M99" s="11"/>
      <c r="N99" s="11"/>
      <c r="P99" s="11"/>
      <c r="Q99" s="11"/>
      <c r="R99" s="3"/>
    </row>
    <row r="100" spans="1:18" x14ac:dyDescent="0.2">
      <c r="A100" s="11">
        <v>16</v>
      </c>
      <c r="B100" s="11">
        <v>1</v>
      </c>
      <c r="C100" s="11" t="s">
        <v>42</v>
      </c>
      <c r="D100" s="11">
        <f t="shared" si="2"/>
        <v>1</v>
      </c>
      <c r="E100">
        <f t="shared" si="3"/>
        <v>16001</v>
      </c>
      <c r="F100" s="11">
        <v>420</v>
      </c>
      <c r="G100" s="11" t="s">
        <v>11</v>
      </c>
      <c r="H100" s="3">
        <v>17582.8</v>
      </c>
      <c r="K100" s="11"/>
      <c r="L100" s="11"/>
      <c r="M100" s="11"/>
      <c r="N100" s="11"/>
      <c r="P100" s="11"/>
      <c r="Q100" s="11"/>
      <c r="R100" s="3"/>
    </row>
    <row r="101" spans="1:18" x14ac:dyDescent="0.2">
      <c r="A101" s="11">
        <v>16</v>
      </c>
      <c r="B101" s="11">
        <v>1</v>
      </c>
      <c r="C101" s="11" t="s">
        <v>42</v>
      </c>
      <c r="D101" s="11">
        <f t="shared" si="2"/>
        <v>2</v>
      </c>
      <c r="E101">
        <f t="shared" si="3"/>
        <v>16002</v>
      </c>
      <c r="F101" s="11">
        <v>437</v>
      </c>
      <c r="G101" s="11" t="s">
        <v>14</v>
      </c>
      <c r="H101" s="3">
        <v>945</v>
      </c>
      <c r="K101" s="11"/>
      <c r="L101" s="11"/>
      <c r="M101" s="11"/>
      <c r="N101" s="11"/>
      <c r="P101" s="11"/>
      <c r="Q101" s="11"/>
      <c r="R101" s="3"/>
    </row>
    <row r="102" spans="1:18" x14ac:dyDescent="0.2">
      <c r="A102" s="11">
        <v>16</v>
      </c>
      <c r="B102" s="11">
        <v>1</v>
      </c>
      <c r="C102" s="11" t="s">
        <v>42</v>
      </c>
      <c r="D102" s="11">
        <f t="shared" si="2"/>
        <v>3</v>
      </c>
      <c r="E102">
        <f t="shared" si="3"/>
        <v>16003</v>
      </c>
      <c r="F102" s="11">
        <v>480</v>
      </c>
      <c r="G102" s="11" t="s">
        <v>19</v>
      </c>
      <c r="H102" s="3">
        <v>1021597.78</v>
      </c>
      <c r="K102" s="11"/>
      <c r="L102" s="11"/>
      <c r="M102" s="11"/>
      <c r="N102" s="11"/>
      <c r="P102" s="11"/>
      <c r="Q102" s="11"/>
      <c r="R102" s="3"/>
    </row>
    <row r="103" spans="1:18" x14ac:dyDescent="0.2">
      <c r="A103" s="11">
        <v>16</v>
      </c>
      <c r="B103" s="11">
        <v>1</v>
      </c>
      <c r="C103" s="11" t="s">
        <v>42</v>
      </c>
      <c r="D103" s="11">
        <f t="shared" si="2"/>
        <v>4</v>
      </c>
      <c r="E103">
        <f t="shared" si="3"/>
        <v>16004</v>
      </c>
      <c r="F103" s="11">
        <v>484</v>
      </c>
      <c r="G103" s="11" t="s">
        <v>20</v>
      </c>
      <c r="H103" s="3">
        <v>41841.760000000002</v>
      </c>
      <c r="K103" s="11"/>
      <c r="L103" s="11"/>
      <c r="M103" s="11"/>
      <c r="N103" s="11"/>
      <c r="P103" s="11"/>
      <c r="Q103" s="11"/>
      <c r="R103" s="3"/>
    </row>
    <row r="104" spans="1:18" x14ac:dyDescent="0.2">
      <c r="A104" s="11">
        <v>16</v>
      </c>
      <c r="B104" s="11">
        <v>1</v>
      </c>
      <c r="C104" s="11" t="s">
        <v>42</v>
      </c>
      <c r="D104" s="11">
        <f t="shared" si="2"/>
        <v>5</v>
      </c>
      <c r="E104">
        <f t="shared" si="3"/>
        <v>16005</v>
      </c>
      <c r="F104" s="11">
        <v>486</v>
      </c>
      <c r="G104" s="11" t="s">
        <v>21</v>
      </c>
      <c r="H104" s="3">
        <v>43979.78</v>
      </c>
      <c r="K104" s="11"/>
      <c r="L104" s="11"/>
      <c r="M104" s="11"/>
      <c r="N104" s="11"/>
      <c r="P104" s="11"/>
      <c r="Q104" s="11"/>
      <c r="R104" s="3"/>
    </row>
    <row r="105" spans="1:18" x14ac:dyDescent="0.2">
      <c r="A105" s="11">
        <v>22</v>
      </c>
      <c r="B105" s="11">
        <v>1</v>
      </c>
      <c r="C105" s="11" t="s">
        <v>43</v>
      </c>
      <c r="D105" s="11">
        <f t="shared" si="2"/>
        <v>1</v>
      </c>
      <c r="E105">
        <f t="shared" si="3"/>
        <v>22001</v>
      </c>
      <c r="F105" s="11">
        <v>437</v>
      </c>
      <c r="G105" s="11" t="s">
        <v>14</v>
      </c>
      <c r="H105" s="3">
        <v>1365</v>
      </c>
      <c r="K105" s="11"/>
      <c r="L105" s="11"/>
      <c r="M105" s="11"/>
      <c r="N105" s="11"/>
      <c r="P105" s="11"/>
      <c r="Q105" s="11"/>
      <c r="R105" s="3"/>
    </row>
    <row r="106" spans="1:18" x14ac:dyDescent="0.2">
      <c r="A106" s="11">
        <v>22</v>
      </c>
      <c r="B106" s="11">
        <v>1</v>
      </c>
      <c r="C106" s="11" t="s">
        <v>43</v>
      </c>
      <c r="D106" s="11">
        <f t="shared" si="2"/>
        <v>2</v>
      </c>
      <c r="E106">
        <f t="shared" si="3"/>
        <v>22002</v>
      </c>
      <c r="F106" s="11">
        <v>486</v>
      </c>
      <c r="G106" s="11" t="s">
        <v>21</v>
      </c>
      <c r="H106" s="3">
        <v>22645.42</v>
      </c>
      <c r="K106" s="11"/>
      <c r="L106" s="11"/>
      <c r="M106" s="11"/>
      <c r="N106" s="11"/>
      <c r="P106" s="11"/>
      <c r="Q106" s="11"/>
      <c r="R106" s="3"/>
    </row>
    <row r="107" spans="1:18" x14ac:dyDescent="0.2">
      <c r="A107" s="11">
        <v>23</v>
      </c>
      <c r="B107" s="11">
        <v>1</v>
      </c>
      <c r="C107" s="11" t="s">
        <v>44</v>
      </c>
      <c r="D107" s="11">
        <f t="shared" si="2"/>
        <v>1</v>
      </c>
      <c r="E107">
        <f t="shared" si="3"/>
        <v>23001</v>
      </c>
      <c r="F107" s="11">
        <v>401</v>
      </c>
      <c r="G107" s="11" t="s">
        <v>29</v>
      </c>
      <c r="H107" s="3">
        <v>152468.99</v>
      </c>
      <c r="K107" s="11"/>
      <c r="L107" s="11"/>
      <c r="M107" s="11"/>
      <c r="N107" s="11"/>
      <c r="P107" s="11"/>
      <c r="Q107" s="11"/>
      <c r="R107" s="3"/>
    </row>
    <row r="108" spans="1:18" x14ac:dyDescent="0.2">
      <c r="A108" s="11">
        <v>23</v>
      </c>
      <c r="B108" s="11">
        <v>1</v>
      </c>
      <c r="C108" s="11" t="s">
        <v>44</v>
      </c>
      <c r="D108" s="11">
        <f t="shared" si="2"/>
        <v>2</v>
      </c>
      <c r="E108">
        <f t="shared" si="3"/>
        <v>23002</v>
      </c>
      <c r="F108" s="11">
        <v>414</v>
      </c>
      <c r="G108" s="11" t="s">
        <v>9</v>
      </c>
      <c r="H108" s="3">
        <v>72042.100000000006</v>
      </c>
      <c r="K108" s="11"/>
      <c r="L108" s="11"/>
      <c r="M108" s="11"/>
      <c r="N108" s="11"/>
      <c r="P108" s="11"/>
      <c r="Q108" s="11"/>
      <c r="R108" s="3"/>
    </row>
    <row r="109" spans="1:18" x14ac:dyDescent="0.2">
      <c r="A109" s="11">
        <v>23</v>
      </c>
      <c r="B109" s="11">
        <v>1</v>
      </c>
      <c r="C109" s="11" t="s">
        <v>44</v>
      </c>
      <c r="D109" s="11">
        <f t="shared" si="2"/>
        <v>3</v>
      </c>
      <c r="E109">
        <f t="shared" si="3"/>
        <v>23003</v>
      </c>
      <c r="F109" s="11">
        <v>419</v>
      </c>
      <c r="G109" s="11" t="s">
        <v>10</v>
      </c>
      <c r="H109" s="3">
        <v>248858.36</v>
      </c>
      <c r="K109" s="11"/>
      <c r="L109" s="11"/>
      <c r="M109" s="11"/>
      <c r="N109" s="11"/>
      <c r="P109" s="11"/>
      <c r="Q109" s="11"/>
      <c r="R109" s="3"/>
    </row>
    <row r="110" spans="1:18" x14ac:dyDescent="0.2">
      <c r="A110" s="11">
        <v>23</v>
      </c>
      <c r="B110" s="11">
        <v>1</v>
      </c>
      <c r="C110" s="11" t="s">
        <v>44</v>
      </c>
      <c r="D110" s="11">
        <f t="shared" si="2"/>
        <v>4</v>
      </c>
      <c r="E110">
        <f t="shared" si="3"/>
        <v>23004</v>
      </c>
      <c r="F110" s="11">
        <v>420</v>
      </c>
      <c r="G110" s="11" t="s">
        <v>11</v>
      </c>
      <c r="H110" s="3">
        <v>17161.72</v>
      </c>
      <c r="K110" s="11"/>
      <c r="L110" s="11"/>
      <c r="M110" s="11"/>
      <c r="N110" s="11"/>
      <c r="P110" s="11"/>
      <c r="Q110" s="11"/>
      <c r="R110" s="3"/>
    </row>
    <row r="111" spans="1:18" x14ac:dyDescent="0.2">
      <c r="A111" s="11">
        <v>23</v>
      </c>
      <c r="B111" s="11">
        <v>1</v>
      </c>
      <c r="C111" s="11" t="s">
        <v>44</v>
      </c>
      <c r="D111" s="11">
        <f t="shared" si="2"/>
        <v>5</v>
      </c>
      <c r="E111">
        <f t="shared" si="3"/>
        <v>23005</v>
      </c>
      <c r="F111" s="11">
        <v>433</v>
      </c>
      <c r="G111" s="11" t="s">
        <v>30</v>
      </c>
      <c r="H111" s="3">
        <v>3260.82</v>
      </c>
      <c r="K111" s="11"/>
      <c r="L111" s="11"/>
      <c r="M111" s="11"/>
      <c r="N111" s="11"/>
      <c r="P111" s="11"/>
      <c r="Q111" s="11"/>
      <c r="R111" s="3"/>
    </row>
    <row r="112" spans="1:18" x14ac:dyDescent="0.2">
      <c r="A112" s="11">
        <v>23</v>
      </c>
      <c r="B112" s="11">
        <v>1</v>
      </c>
      <c r="C112" s="11" t="s">
        <v>44</v>
      </c>
      <c r="D112" s="11">
        <f t="shared" si="2"/>
        <v>6</v>
      </c>
      <c r="E112">
        <f t="shared" si="3"/>
        <v>23006</v>
      </c>
      <c r="F112" s="11">
        <v>437</v>
      </c>
      <c r="G112" s="11" t="s">
        <v>14</v>
      </c>
      <c r="H112" s="3">
        <v>540</v>
      </c>
      <c r="K112" s="11"/>
      <c r="L112" s="11"/>
      <c r="M112" s="11"/>
      <c r="N112" s="11"/>
      <c r="P112" s="11"/>
      <c r="Q112" s="11"/>
      <c r="R112" s="3"/>
    </row>
    <row r="113" spans="1:18" x14ac:dyDescent="0.2">
      <c r="A113" s="11">
        <v>23</v>
      </c>
      <c r="B113" s="11">
        <v>1</v>
      </c>
      <c r="C113" s="11" t="s">
        <v>44</v>
      </c>
      <c r="D113" s="11">
        <f t="shared" si="2"/>
        <v>7</v>
      </c>
      <c r="E113">
        <f t="shared" si="3"/>
        <v>23007</v>
      </c>
      <c r="F113" s="11">
        <v>470</v>
      </c>
      <c r="G113" s="11" t="s">
        <v>6</v>
      </c>
      <c r="H113" s="3">
        <v>94380.87</v>
      </c>
      <c r="K113" s="11"/>
      <c r="L113" s="11"/>
      <c r="M113" s="11"/>
      <c r="N113" s="11"/>
      <c r="P113" s="11"/>
      <c r="Q113" s="11"/>
      <c r="R113" s="3"/>
    </row>
    <row r="114" spans="1:18" x14ac:dyDescent="0.2">
      <c r="A114" s="11">
        <v>23</v>
      </c>
      <c r="B114" s="11">
        <v>1</v>
      </c>
      <c r="C114" s="11" t="s">
        <v>44</v>
      </c>
      <c r="D114" s="11">
        <f t="shared" si="2"/>
        <v>8</v>
      </c>
      <c r="E114">
        <f t="shared" si="3"/>
        <v>23008</v>
      </c>
      <c r="F114" s="11">
        <v>480</v>
      </c>
      <c r="G114" s="11" t="s">
        <v>19</v>
      </c>
      <c r="H114" s="3">
        <v>208428.99</v>
      </c>
      <c r="K114" s="11"/>
      <c r="L114" s="11"/>
      <c r="M114" s="11"/>
      <c r="N114" s="11"/>
      <c r="P114" s="11"/>
      <c r="Q114" s="11"/>
      <c r="R114" s="3"/>
    </row>
    <row r="115" spans="1:18" x14ac:dyDescent="0.2">
      <c r="A115" s="11">
        <v>23</v>
      </c>
      <c r="B115" s="11">
        <v>1</v>
      </c>
      <c r="C115" s="11" t="s">
        <v>44</v>
      </c>
      <c r="D115" s="11">
        <f t="shared" si="2"/>
        <v>9</v>
      </c>
      <c r="E115">
        <f t="shared" si="3"/>
        <v>23009</v>
      </c>
      <c r="F115" s="11">
        <v>484</v>
      </c>
      <c r="G115" s="11" t="s">
        <v>20</v>
      </c>
      <c r="H115" s="3">
        <v>8539.3700000000008</v>
      </c>
      <c r="K115" s="11"/>
      <c r="L115" s="11"/>
      <c r="M115" s="11"/>
      <c r="N115" s="11"/>
      <c r="P115" s="11"/>
      <c r="Q115" s="11"/>
      <c r="R115" s="3"/>
    </row>
    <row r="116" spans="1:18" x14ac:dyDescent="0.2">
      <c r="A116" s="11">
        <v>23</v>
      </c>
      <c r="B116" s="11">
        <v>1</v>
      </c>
      <c r="C116" s="11" t="s">
        <v>44</v>
      </c>
      <c r="D116" s="11">
        <f t="shared" si="2"/>
        <v>10</v>
      </c>
      <c r="E116">
        <f t="shared" si="3"/>
        <v>23010</v>
      </c>
      <c r="F116" s="11">
        <v>486</v>
      </c>
      <c r="G116" s="11" t="s">
        <v>21</v>
      </c>
      <c r="H116" s="3">
        <v>9534.91</v>
      </c>
      <c r="K116" s="11"/>
      <c r="L116" s="11"/>
      <c r="M116" s="11"/>
      <c r="N116" s="11"/>
      <c r="P116" s="11"/>
      <c r="Q116" s="11"/>
      <c r="R116" s="3"/>
    </row>
    <row r="117" spans="1:18" x14ac:dyDescent="0.2">
      <c r="A117" s="11">
        <v>31</v>
      </c>
      <c r="B117" s="11">
        <v>1</v>
      </c>
      <c r="C117" s="11" t="s">
        <v>45</v>
      </c>
      <c r="D117" s="11">
        <f t="shared" si="2"/>
        <v>1</v>
      </c>
      <c r="E117">
        <f t="shared" si="3"/>
        <v>31001</v>
      </c>
      <c r="F117" s="11">
        <v>420</v>
      </c>
      <c r="G117" s="11" t="s">
        <v>11</v>
      </c>
      <c r="H117" s="3">
        <v>34290.35</v>
      </c>
      <c r="K117" s="11"/>
      <c r="L117" s="11"/>
      <c r="M117" s="11"/>
      <c r="N117" s="11"/>
      <c r="P117" s="11"/>
      <c r="Q117" s="11"/>
      <c r="R117" s="3"/>
    </row>
    <row r="118" spans="1:18" x14ac:dyDescent="0.2">
      <c r="A118" s="11">
        <v>31</v>
      </c>
      <c r="B118" s="11">
        <v>1</v>
      </c>
      <c r="C118" s="11" t="s">
        <v>45</v>
      </c>
      <c r="D118" s="11">
        <f t="shared" si="2"/>
        <v>2</v>
      </c>
      <c r="E118">
        <f t="shared" si="3"/>
        <v>31002</v>
      </c>
      <c r="F118" s="11">
        <v>422</v>
      </c>
      <c r="G118" s="11" t="s">
        <v>12</v>
      </c>
      <c r="H118" s="3">
        <v>45211.21</v>
      </c>
      <c r="K118" s="11"/>
      <c r="L118" s="11"/>
      <c r="M118" s="11"/>
      <c r="N118" s="11"/>
      <c r="P118" s="11"/>
      <c r="Q118" s="11"/>
      <c r="R118" s="3"/>
    </row>
    <row r="119" spans="1:18" x14ac:dyDescent="0.2">
      <c r="A119" s="11">
        <v>31</v>
      </c>
      <c r="B119" s="11">
        <v>1</v>
      </c>
      <c r="C119" s="11" t="s">
        <v>45</v>
      </c>
      <c r="D119" s="11">
        <f t="shared" si="2"/>
        <v>3</v>
      </c>
      <c r="E119">
        <f t="shared" si="3"/>
        <v>31003</v>
      </c>
      <c r="F119" s="11">
        <v>433</v>
      </c>
      <c r="G119" s="11" t="s">
        <v>30</v>
      </c>
      <c r="H119" s="3">
        <v>22317.64</v>
      </c>
      <c r="K119" s="11"/>
      <c r="L119" s="11"/>
      <c r="M119" s="11"/>
      <c r="N119" s="11"/>
      <c r="P119" s="11"/>
      <c r="Q119" s="11"/>
      <c r="R119" s="3"/>
    </row>
    <row r="120" spans="1:18" x14ac:dyDescent="0.2">
      <c r="A120" s="11">
        <v>31</v>
      </c>
      <c r="B120" s="11">
        <v>1</v>
      </c>
      <c r="C120" s="11" t="s">
        <v>45</v>
      </c>
      <c r="D120" s="11">
        <f t="shared" si="2"/>
        <v>4</v>
      </c>
      <c r="E120">
        <f t="shared" si="3"/>
        <v>31004</v>
      </c>
      <c r="F120" s="11">
        <v>435</v>
      </c>
      <c r="G120" s="11" t="s">
        <v>35</v>
      </c>
      <c r="H120" s="3">
        <v>8200</v>
      </c>
      <c r="K120" s="11"/>
      <c r="L120" s="11"/>
      <c r="M120" s="11"/>
      <c r="N120" s="11"/>
      <c r="P120" s="11"/>
      <c r="Q120" s="11"/>
      <c r="R120" s="3"/>
    </row>
    <row r="121" spans="1:18" x14ac:dyDescent="0.2">
      <c r="A121" s="11">
        <v>31</v>
      </c>
      <c r="B121" s="11">
        <v>1</v>
      </c>
      <c r="C121" s="11" t="s">
        <v>45</v>
      </c>
      <c r="D121" s="11">
        <f t="shared" si="2"/>
        <v>5</v>
      </c>
      <c r="E121">
        <f t="shared" si="3"/>
        <v>31005</v>
      </c>
      <c r="F121" s="11">
        <v>437</v>
      </c>
      <c r="G121" s="11" t="s">
        <v>14</v>
      </c>
      <c r="H121" s="3">
        <v>1680</v>
      </c>
      <c r="K121" s="11"/>
      <c r="L121" s="11"/>
      <c r="M121" s="11"/>
      <c r="N121" s="11"/>
      <c r="P121" s="11"/>
      <c r="Q121" s="11"/>
      <c r="R121" s="3"/>
    </row>
    <row r="122" spans="1:18" x14ac:dyDescent="0.2">
      <c r="A122" s="11">
        <v>31</v>
      </c>
      <c r="B122" s="11">
        <v>1</v>
      </c>
      <c r="C122" s="11" t="s">
        <v>45</v>
      </c>
      <c r="D122" s="11">
        <f t="shared" si="2"/>
        <v>6</v>
      </c>
      <c r="E122">
        <f t="shared" si="3"/>
        <v>31006</v>
      </c>
      <c r="F122" s="11">
        <v>438</v>
      </c>
      <c r="G122" s="11" t="s">
        <v>15</v>
      </c>
      <c r="H122" s="3">
        <v>10459.69</v>
      </c>
      <c r="K122" s="11"/>
      <c r="L122" s="11"/>
      <c r="M122" s="11"/>
      <c r="N122" s="11"/>
      <c r="P122" s="11"/>
      <c r="Q122" s="11"/>
      <c r="R122" s="3"/>
    </row>
    <row r="123" spans="1:18" x14ac:dyDescent="0.2">
      <c r="A123" s="11">
        <v>31</v>
      </c>
      <c r="B123" s="11">
        <v>1</v>
      </c>
      <c r="C123" s="11" t="s">
        <v>45</v>
      </c>
      <c r="D123" s="11">
        <f t="shared" si="2"/>
        <v>7</v>
      </c>
      <c r="E123">
        <f t="shared" si="3"/>
        <v>31007</v>
      </c>
      <c r="F123" s="11">
        <v>441</v>
      </c>
      <c r="G123" s="11" t="s">
        <v>16</v>
      </c>
      <c r="H123" s="3">
        <v>2800</v>
      </c>
      <c r="K123" s="11"/>
      <c r="L123" s="11"/>
      <c r="M123" s="11"/>
      <c r="N123" s="11"/>
      <c r="P123" s="11"/>
      <c r="Q123" s="11"/>
      <c r="R123" s="3"/>
    </row>
    <row r="124" spans="1:18" x14ac:dyDescent="0.2">
      <c r="A124" s="11">
        <v>31</v>
      </c>
      <c r="B124" s="11">
        <v>1</v>
      </c>
      <c r="C124" s="11" t="s">
        <v>45</v>
      </c>
      <c r="D124" s="11">
        <f t="shared" si="2"/>
        <v>8</v>
      </c>
      <c r="E124">
        <f t="shared" si="3"/>
        <v>31008</v>
      </c>
      <c r="F124" s="11">
        <v>471</v>
      </c>
      <c r="G124" s="11" t="s">
        <v>17</v>
      </c>
      <c r="H124" s="3">
        <v>105766.19</v>
      </c>
      <c r="K124" s="11"/>
      <c r="L124" s="11"/>
      <c r="M124" s="11"/>
      <c r="N124" s="11"/>
      <c r="P124" s="11"/>
      <c r="Q124" s="11"/>
      <c r="R124" s="3"/>
    </row>
    <row r="125" spans="1:18" x14ac:dyDescent="0.2">
      <c r="A125" s="11">
        <v>31</v>
      </c>
      <c r="B125" s="11">
        <v>1</v>
      </c>
      <c r="C125" s="11" t="s">
        <v>45</v>
      </c>
      <c r="D125" s="11">
        <f t="shared" si="2"/>
        <v>9</v>
      </c>
      <c r="E125">
        <f t="shared" si="3"/>
        <v>31009</v>
      </c>
      <c r="F125" s="11">
        <v>478</v>
      </c>
      <c r="G125" s="11" t="s">
        <v>18</v>
      </c>
      <c r="H125" s="3">
        <v>46313</v>
      </c>
      <c r="K125" s="11"/>
      <c r="L125" s="11"/>
      <c r="M125" s="11"/>
      <c r="N125" s="11"/>
      <c r="P125" s="11"/>
      <c r="Q125" s="11"/>
      <c r="R125" s="3"/>
    </row>
    <row r="126" spans="1:18" x14ac:dyDescent="0.2">
      <c r="A126" s="11">
        <v>31</v>
      </c>
      <c r="B126" s="11">
        <v>1</v>
      </c>
      <c r="C126" s="11" t="s">
        <v>45</v>
      </c>
      <c r="D126" s="11">
        <f t="shared" si="2"/>
        <v>10</v>
      </c>
      <c r="E126">
        <f t="shared" si="3"/>
        <v>31010</v>
      </c>
      <c r="F126" s="11">
        <v>480</v>
      </c>
      <c r="G126" s="11" t="s">
        <v>19</v>
      </c>
      <c r="H126" s="3">
        <v>1154506.1000000001</v>
      </c>
      <c r="K126" s="11"/>
      <c r="L126" s="11"/>
      <c r="M126" s="11"/>
      <c r="N126" s="11"/>
      <c r="P126" s="11"/>
      <c r="Q126" s="11"/>
      <c r="R126" s="3"/>
    </row>
    <row r="127" spans="1:18" x14ac:dyDescent="0.2">
      <c r="A127" s="11">
        <v>31</v>
      </c>
      <c r="B127" s="11">
        <v>1</v>
      </c>
      <c r="C127" s="11" t="s">
        <v>45</v>
      </c>
      <c r="D127" s="11">
        <f t="shared" si="2"/>
        <v>11</v>
      </c>
      <c r="E127">
        <f t="shared" si="3"/>
        <v>31011</v>
      </c>
      <c r="F127" s="11">
        <v>486</v>
      </c>
      <c r="G127" s="11" t="s">
        <v>21</v>
      </c>
      <c r="H127" s="3">
        <v>60785.07</v>
      </c>
      <c r="K127" s="11"/>
      <c r="L127" s="11"/>
      <c r="M127" s="11"/>
      <c r="N127" s="11"/>
      <c r="P127" s="11"/>
      <c r="Q127" s="11"/>
      <c r="R127" s="3"/>
    </row>
    <row r="128" spans="1:18" x14ac:dyDescent="0.2">
      <c r="A128" s="11">
        <v>31</v>
      </c>
      <c r="B128" s="11">
        <v>1</v>
      </c>
      <c r="C128" s="11" t="s">
        <v>45</v>
      </c>
      <c r="D128" s="11">
        <f t="shared" si="2"/>
        <v>12</v>
      </c>
      <c r="E128">
        <f t="shared" si="3"/>
        <v>31012</v>
      </c>
      <c r="F128" s="11">
        <v>856</v>
      </c>
      <c r="G128" s="11" t="s">
        <v>39</v>
      </c>
      <c r="H128" s="3">
        <v>239923</v>
      </c>
      <c r="K128" s="11"/>
      <c r="L128" s="11"/>
      <c r="M128" s="11"/>
      <c r="N128" s="11"/>
      <c r="P128" s="11"/>
      <c r="Q128" s="11"/>
      <c r="R128" s="3"/>
    </row>
    <row r="129" spans="1:18" x14ac:dyDescent="0.2">
      <c r="A129" s="11">
        <v>32</v>
      </c>
      <c r="B129" s="11">
        <v>1</v>
      </c>
      <c r="C129" s="11" t="s">
        <v>46</v>
      </c>
      <c r="D129" s="11">
        <f t="shared" si="2"/>
        <v>1</v>
      </c>
      <c r="E129">
        <f t="shared" si="3"/>
        <v>32001</v>
      </c>
      <c r="F129" s="11">
        <v>433</v>
      </c>
      <c r="G129" s="11" t="s">
        <v>30</v>
      </c>
      <c r="H129" s="3">
        <v>2480.69</v>
      </c>
      <c r="K129" s="11"/>
      <c r="L129" s="11"/>
      <c r="M129" s="11"/>
      <c r="N129" s="11"/>
      <c r="P129" s="11"/>
      <c r="Q129" s="11"/>
      <c r="R129" s="3"/>
    </row>
    <row r="130" spans="1:18" x14ac:dyDescent="0.2">
      <c r="A130" s="11">
        <v>38</v>
      </c>
      <c r="B130" s="11">
        <v>1</v>
      </c>
      <c r="C130" s="11" t="s">
        <v>47</v>
      </c>
      <c r="D130" s="11">
        <f t="shared" si="2"/>
        <v>1</v>
      </c>
      <c r="E130">
        <f t="shared" si="3"/>
        <v>38001</v>
      </c>
      <c r="F130" s="11">
        <v>417</v>
      </c>
      <c r="G130" s="11" t="s">
        <v>34</v>
      </c>
      <c r="H130" s="3">
        <v>12626.78</v>
      </c>
      <c r="K130" s="11"/>
      <c r="L130" s="11"/>
      <c r="M130" s="11"/>
      <c r="N130" s="11"/>
      <c r="P130" s="11"/>
      <c r="Q130" s="11"/>
      <c r="R130" s="3"/>
    </row>
    <row r="131" spans="1:18" x14ac:dyDescent="0.2">
      <c r="A131" s="11">
        <v>38</v>
      </c>
      <c r="B131" s="11">
        <v>1</v>
      </c>
      <c r="C131" s="11" t="s">
        <v>47</v>
      </c>
      <c r="D131" s="11">
        <f t="shared" si="2"/>
        <v>2</v>
      </c>
      <c r="E131">
        <f t="shared" si="3"/>
        <v>38002</v>
      </c>
      <c r="F131" s="11">
        <v>424</v>
      </c>
      <c r="G131" s="11" t="s">
        <v>48</v>
      </c>
      <c r="H131" s="3">
        <v>29393.94</v>
      </c>
      <c r="K131" s="11"/>
      <c r="L131" s="11"/>
      <c r="M131" s="11"/>
      <c r="N131" s="11"/>
      <c r="P131" s="11"/>
      <c r="Q131" s="11"/>
      <c r="R131" s="3"/>
    </row>
    <row r="132" spans="1:18" x14ac:dyDescent="0.2">
      <c r="A132" s="11">
        <v>38</v>
      </c>
      <c r="B132" s="11">
        <v>1</v>
      </c>
      <c r="C132" s="11" t="s">
        <v>47</v>
      </c>
      <c r="D132" s="11">
        <f t="shared" si="2"/>
        <v>3</v>
      </c>
      <c r="E132">
        <f t="shared" si="3"/>
        <v>38003</v>
      </c>
      <c r="F132" s="11">
        <v>425</v>
      </c>
      <c r="G132" s="11" t="s">
        <v>49</v>
      </c>
      <c r="H132" s="3">
        <v>34552.589999999997</v>
      </c>
      <c r="K132" s="11"/>
      <c r="L132" s="11"/>
      <c r="M132" s="11"/>
      <c r="N132" s="11"/>
      <c r="P132" s="11"/>
      <c r="Q132" s="11"/>
      <c r="R132" s="3"/>
    </row>
    <row r="133" spans="1:18" x14ac:dyDescent="0.2">
      <c r="A133" s="11">
        <v>38</v>
      </c>
      <c r="B133" s="11">
        <v>1</v>
      </c>
      <c r="C133" s="11" t="s">
        <v>47</v>
      </c>
      <c r="D133" s="11">
        <f t="shared" si="2"/>
        <v>4</v>
      </c>
      <c r="E133">
        <f t="shared" si="3"/>
        <v>38004</v>
      </c>
      <c r="F133" s="11">
        <v>438</v>
      </c>
      <c r="G133" s="11" t="s">
        <v>15</v>
      </c>
      <c r="H133" s="3">
        <v>6980.13</v>
      </c>
      <c r="K133" s="11"/>
      <c r="L133" s="11"/>
      <c r="M133" s="11"/>
      <c r="N133" s="11"/>
      <c r="P133" s="11"/>
      <c r="Q133" s="11"/>
      <c r="R133" s="3"/>
    </row>
    <row r="134" spans="1:18" x14ac:dyDescent="0.2">
      <c r="A134" s="11">
        <v>38</v>
      </c>
      <c r="B134" s="11">
        <v>1</v>
      </c>
      <c r="C134" s="11" t="s">
        <v>47</v>
      </c>
      <c r="D134" s="11">
        <f t="shared" si="2"/>
        <v>5</v>
      </c>
      <c r="E134">
        <f t="shared" si="3"/>
        <v>38005</v>
      </c>
      <c r="F134" s="11">
        <v>441</v>
      </c>
      <c r="G134" s="11" t="s">
        <v>16</v>
      </c>
      <c r="H134" s="3">
        <v>1725</v>
      </c>
      <c r="K134" s="11"/>
      <c r="L134" s="11"/>
      <c r="M134" s="11"/>
      <c r="N134" s="11"/>
      <c r="P134" s="11"/>
      <c r="Q134" s="11"/>
      <c r="R134" s="3"/>
    </row>
    <row r="135" spans="1:18" x14ac:dyDescent="0.2">
      <c r="A135" s="11">
        <v>38</v>
      </c>
      <c r="B135" s="11">
        <v>1</v>
      </c>
      <c r="C135" s="11" t="s">
        <v>47</v>
      </c>
      <c r="D135" s="11">
        <f t="shared" si="2"/>
        <v>6</v>
      </c>
      <c r="E135">
        <f t="shared" si="3"/>
        <v>38006</v>
      </c>
      <c r="F135" s="11">
        <v>484</v>
      </c>
      <c r="G135" s="11" t="s">
        <v>20</v>
      </c>
      <c r="H135" s="3">
        <v>15323.61</v>
      </c>
      <c r="K135" s="11"/>
      <c r="L135" s="11"/>
      <c r="M135" s="11"/>
      <c r="N135" s="11"/>
      <c r="P135" s="11"/>
      <c r="Q135" s="11"/>
      <c r="R135" s="3"/>
    </row>
    <row r="136" spans="1:18" x14ac:dyDescent="0.2">
      <c r="A136" s="11">
        <v>38</v>
      </c>
      <c r="B136" s="11">
        <v>1</v>
      </c>
      <c r="C136" s="11" t="s">
        <v>47</v>
      </c>
      <c r="D136" s="11">
        <f t="shared" si="2"/>
        <v>7</v>
      </c>
      <c r="E136">
        <f t="shared" si="3"/>
        <v>38007</v>
      </c>
      <c r="F136" s="11">
        <v>706</v>
      </c>
      <c r="G136" s="11" t="s">
        <v>114</v>
      </c>
      <c r="H136" s="3">
        <v>45000</v>
      </c>
      <c r="K136" s="11"/>
      <c r="L136" s="11"/>
      <c r="M136" s="11"/>
      <c r="N136" s="11"/>
      <c r="P136" s="11"/>
      <c r="Q136" s="11"/>
      <c r="R136" s="3"/>
    </row>
    <row r="137" spans="1:18" x14ac:dyDescent="0.2">
      <c r="A137" s="11">
        <v>47</v>
      </c>
      <c r="B137" s="11">
        <v>1</v>
      </c>
      <c r="C137" s="11" t="s">
        <v>50</v>
      </c>
      <c r="D137" s="11">
        <f t="shared" si="2"/>
        <v>1</v>
      </c>
      <c r="E137">
        <f t="shared" si="3"/>
        <v>47001</v>
      </c>
      <c r="F137" s="11">
        <v>401</v>
      </c>
      <c r="G137" s="11" t="s">
        <v>29</v>
      </c>
      <c r="H137" s="3">
        <v>308303.08</v>
      </c>
      <c r="K137" s="11"/>
      <c r="L137" s="11"/>
      <c r="M137" s="11"/>
      <c r="N137" s="11"/>
      <c r="P137" s="11"/>
      <c r="Q137" s="11"/>
      <c r="R137" s="3"/>
    </row>
    <row r="138" spans="1:18" x14ac:dyDescent="0.2">
      <c r="A138" s="11">
        <v>47</v>
      </c>
      <c r="B138" s="11">
        <v>1</v>
      </c>
      <c r="C138" s="11" t="s">
        <v>50</v>
      </c>
      <c r="D138" s="11">
        <f t="shared" si="2"/>
        <v>2</v>
      </c>
      <c r="E138">
        <f t="shared" si="3"/>
        <v>47002</v>
      </c>
      <c r="F138" s="11">
        <v>470</v>
      </c>
      <c r="G138" s="11" t="s">
        <v>6</v>
      </c>
      <c r="H138" s="3">
        <v>186911.14</v>
      </c>
      <c r="K138" s="11"/>
      <c r="L138" s="11"/>
      <c r="M138" s="11"/>
      <c r="N138" s="11"/>
      <c r="P138" s="11"/>
      <c r="Q138" s="11"/>
      <c r="R138" s="3"/>
    </row>
    <row r="139" spans="1:18" x14ac:dyDescent="0.2">
      <c r="A139" s="11">
        <v>51</v>
      </c>
      <c r="B139" s="11">
        <v>1</v>
      </c>
      <c r="C139" s="11" t="s">
        <v>51</v>
      </c>
      <c r="D139" s="11">
        <f t="shared" si="2"/>
        <v>1</v>
      </c>
      <c r="E139">
        <f t="shared" si="3"/>
        <v>51001</v>
      </c>
      <c r="F139" s="11">
        <v>433</v>
      </c>
      <c r="G139" s="11" t="s">
        <v>30</v>
      </c>
      <c r="H139" s="3">
        <v>4722.67</v>
      </c>
      <c r="K139" s="11"/>
      <c r="L139" s="11"/>
      <c r="M139" s="11"/>
      <c r="N139" s="11"/>
      <c r="P139" s="11"/>
      <c r="Q139" s="11"/>
      <c r="R139" s="3"/>
    </row>
    <row r="140" spans="1:18" x14ac:dyDescent="0.2">
      <c r="A140" s="11">
        <v>75</v>
      </c>
      <c r="B140" s="11">
        <v>1</v>
      </c>
      <c r="C140" s="11" t="s">
        <v>52</v>
      </c>
      <c r="D140" s="11">
        <f t="shared" si="2"/>
        <v>1</v>
      </c>
      <c r="E140">
        <f t="shared" si="3"/>
        <v>75001</v>
      </c>
      <c r="F140" s="11">
        <v>401</v>
      </c>
      <c r="G140" s="11" t="s">
        <v>29</v>
      </c>
      <c r="H140" s="3">
        <v>13696.05</v>
      </c>
      <c r="K140" s="11"/>
      <c r="L140" s="11"/>
      <c r="M140" s="11"/>
      <c r="N140" s="11"/>
      <c r="P140" s="11"/>
      <c r="Q140" s="11"/>
      <c r="R140" s="3"/>
    </row>
    <row r="141" spans="1:18" x14ac:dyDescent="0.2">
      <c r="A141" s="11">
        <v>75</v>
      </c>
      <c r="B141" s="11">
        <v>1</v>
      </c>
      <c r="C141" s="11" t="s">
        <v>52</v>
      </c>
      <c r="D141" s="11">
        <f t="shared" si="2"/>
        <v>2</v>
      </c>
      <c r="E141">
        <f t="shared" si="3"/>
        <v>75002</v>
      </c>
      <c r="F141" s="11">
        <v>414</v>
      </c>
      <c r="G141" s="11" t="s">
        <v>9</v>
      </c>
      <c r="H141" s="3">
        <v>14842.51</v>
      </c>
      <c r="K141" s="11"/>
      <c r="L141" s="11"/>
      <c r="M141" s="11"/>
      <c r="N141" s="11"/>
      <c r="P141" s="11"/>
      <c r="Q141" s="11"/>
      <c r="R141" s="3"/>
    </row>
    <row r="142" spans="1:18" x14ac:dyDescent="0.2">
      <c r="A142" s="11">
        <v>75</v>
      </c>
      <c r="B142" s="11">
        <v>1</v>
      </c>
      <c r="C142" s="11" t="s">
        <v>52</v>
      </c>
      <c r="D142" s="11">
        <f t="shared" si="2"/>
        <v>3</v>
      </c>
      <c r="E142">
        <f t="shared" si="3"/>
        <v>75003</v>
      </c>
      <c r="F142" s="11">
        <v>433</v>
      </c>
      <c r="G142" s="11" t="s">
        <v>30</v>
      </c>
      <c r="H142" s="3">
        <v>933.76</v>
      </c>
      <c r="K142" s="11"/>
      <c r="L142" s="11"/>
      <c r="M142" s="11"/>
      <c r="N142" s="11"/>
      <c r="P142" s="11"/>
      <c r="Q142" s="11"/>
      <c r="R142" s="3"/>
    </row>
    <row r="143" spans="1:18" x14ac:dyDescent="0.2">
      <c r="A143" s="11">
        <v>77</v>
      </c>
      <c r="B143" s="11">
        <v>1</v>
      </c>
      <c r="C143" s="11" t="s">
        <v>53</v>
      </c>
      <c r="D143" s="11">
        <f t="shared" ref="D143:D206" si="4">IF(A143=A142,D142+1,1)</f>
        <v>1</v>
      </c>
      <c r="E143">
        <f t="shared" ref="E143:E206" si="5">1000*A143+D143</f>
        <v>77001</v>
      </c>
      <c r="F143" s="11">
        <v>401</v>
      </c>
      <c r="G143" s="11" t="s">
        <v>29</v>
      </c>
      <c r="H143" s="3">
        <v>780393.24</v>
      </c>
      <c r="K143" s="11"/>
      <c r="L143" s="11"/>
      <c r="M143" s="11"/>
      <c r="N143" s="11"/>
      <c r="P143" s="11"/>
      <c r="Q143" s="11"/>
      <c r="R143" s="3"/>
    </row>
    <row r="144" spans="1:18" x14ac:dyDescent="0.2">
      <c r="A144" s="11">
        <v>77</v>
      </c>
      <c r="B144" s="11">
        <v>1</v>
      </c>
      <c r="C144" s="11" t="s">
        <v>53</v>
      </c>
      <c r="D144" s="11">
        <f t="shared" si="4"/>
        <v>2</v>
      </c>
      <c r="E144">
        <f t="shared" si="5"/>
        <v>77002</v>
      </c>
      <c r="F144" s="11">
        <v>414</v>
      </c>
      <c r="G144" s="11" t="s">
        <v>9</v>
      </c>
      <c r="H144" s="3">
        <v>270328.24</v>
      </c>
      <c r="K144" s="11"/>
      <c r="L144" s="11"/>
      <c r="M144" s="11"/>
      <c r="N144" s="11"/>
      <c r="P144" s="11"/>
      <c r="Q144" s="11"/>
      <c r="R144" s="3"/>
    </row>
    <row r="145" spans="1:18" x14ac:dyDescent="0.2">
      <c r="A145" s="11">
        <v>77</v>
      </c>
      <c r="B145" s="11">
        <v>1</v>
      </c>
      <c r="C145" s="11" t="s">
        <v>53</v>
      </c>
      <c r="D145" s="11">
        <f t="shared" si="4"/>
        <v>3</v>
      </c>
      <c r="E145">
        <f t="shared" si="5"/>
        <v>77003</v>
      </c>
      <c r="F145" s="11">
        <v>417</v>
      </c>
      <c r="G145" s="11" t="s">
        <v>34</v>
      </c>
      <c r="H145" s="3">
        <v>38714.18</v>
      </c>
      <c r="K145" s="11"/>
      <c r="L145" s="11"/>
      <c r="M145" s="11"/>
      <c r="N145" s="11"/>
      <c r="P145" s="11"/>
      <c r="Q145" s="11"/>
      <c r="R145" s="3"/>
    </row>
    <row r="146" spans="1:18" x14ac:dyDescent="0.2">
      <c r="A146" s="11">
        <v>77</v>
      </c>
      <c r="B146" s="11">
        <v>1</v>
      </c>
      <c r="C146" s="11" t="s">
        <v>53</v>
      </c>
      <c r="D146" s="11">
        <f t="shared" si="4"/>
        <v>4</v>
      </c>
      <c r="E146">
        <f t="shared" si="5"/>
        <v>77004</v>
      </c>
      <c r="F146" s="11">
        <v>419</v>
      </c>
      <c r="G146" s="11" t="s">
        <v>10</v>
      </c>
      <c r="H146" s="3">
        <v>1477409.94</v>
      </c>
      <c r="K146" s="11"/>
      <c r="L146" s="11"/>
      <c r="M146" s="11"/>
      <c r="N146" s="11"/>
      <c r="P146" s="11"/>
      <c r="Q146" s="11"/>
      <c r="R146" s="3"/>
    </row>
    <row r="147" spans="1:18" x14ac:dyDescent="0.2">
      <c r="A147" s="11">
        <v>77</v>
      </c>
      <c r="B147" s="11">
        <v>1</v>
      </c>
      <c r="C147" s="11" t="s">
        <v>53</v>
      </c>
      <c r="D147" s="11">
        <f t="shared" si="4"/>
        <v>5</v>
      </c>
      <c r="E147">
        <f t="shared" si="5"/>
        <v>77005</v>
      </c>
      <c r="F147" s="11">
        <v>420</v>
      </c>
      <c r="G147" s="11" t="s">
        <v>11</v>
      </c>
      <c r="H147" s="3">
        <v>55264.45</v>
      </c>
      <c r="K147" s="11"/>
      <c r="L147" s="11"/>
      <c r="M147" s="11"/>
      <c r="N147" s="11"/>
      <c r="P147" s="11"/>
      <c r="Q147" s="11"/>
      <c r="R147" s="3"/>
    </row>
    <row r="148" spans="1:18" x14ac:dyDescent="0.2">
      <c r="A148" s="11">
        <v>77</v>
      </c>
      <c r="B148" s="11">
        <v>1</v>
      </c>
      <c r="C148" s="11" t="s">
        <v>53</v>
      </c>
      <c r="D148" s="11">
        <f t="shared" si="4"/>
        <v>6</v>
      </c>
      <c r="E148">
        <f t="shared" si="5"/>
        <v>77006</v>
      </c>
      <c r="F148" s="11">
        <v>422</v>
      </c>
      <c r="G148" s="11" t="s">
        <v>12</v>
      </c>
      <c r="H148" s="3">
        <v>74308.600000000006</v>
      </c>
      <c r="K148" s="11"/>
      <c r="L148" s="11"/>
      <c r="M148" s="11"/>
      <c r="N148" s="11"/>
      <c r="P148" s="11"/>
      <c r="Q148" s="11"/>
      <c r="R148" s="3"/>
    </row>
    <row r="149" spans="1:18" x14ac:dyDescent="0.2">
      <c r="A149" s="11">
        <v>77</v>
      </c>
      <c r="B149" s="11">
        <v>1</v>
      </c>
      <c r="C149" s="11" t="s">
        <v>53</v>
      </c>
      <c r="D149" s="11">
        <f t="shared" si="4"/>
        <v>7</v>
      </c>
      <c r="E149">
        <f t="shared" si="5"/>
        <v>77007</v>
      </c>
      <c r="F149" s="11">
        <v>433</v>
      </c>
      <c r="G149" s="11" t="s">
        <v>30</v>
      </c>
      <c r="H149" s="3">
        <v>20946.240000000002</v>
      </c>
      <c r="K149" s="11"/>
      <c r="L149" s="11"/>
      <c r="M149" s="11"/>
      <c r="N149" s="11"/>
      <c r="P149" s="11"/>
      <c r="Q149" s="11"/>
      <c r="R149" s="3"/>
    </row>
    <row r="150" spans="1:18" x14ac:dyDescent="0.2">
      <c r="A150" s="11">
        <v>77</v>
      </c>
      <c r="B150" s="11">
        <v>1</v>
      </c>
      <c r="C150" s="11" t="s">
        <v>53</v>
      </c>
      <c r="D150" s="11">
        <f t="shared" si="4"/>
        <v>8</v>
      </c>
      <c r="E150">
        <f t="shared" si="5"/>
        <v>77008</v>
      </c>
      <c r="F150" s="11">
        <v>438</v>
      </c>
      <c r="G150" s="11" t="s">
        <v>15</v>
      </c>
      <c r="H150" s="3">
        <v>39032.660000000003</v>
      </c>
      <c r="K150" s="11"/>
      <c r="L150" s="11"/>
      <c r="M150" s="11"/>
      <c r="N150" s="11"/>
      <c r="P150" s="11"/>
      <c r="Q150" s="11"/>
      <c r="R150" s="3"/>
    </row>
    <row r="151" spans="1:18" x14ac:dyDescent="0.2">
      <c r="A151" s="11">
        <v>77</v>
      </c>
      <c r="B151" s="11">
        <v>1</v>
      </c>
      <c r="C151" s="11" t="s">
        <v>53</v>
      </c>
      <c r="D151" s="11">
        <f t="shared" si="4"/>
        <v>9</v>
      </c>
      <c r="E151">
        <f t="shared" si="5"/>
        <v>77009</v>
      </c>
      <c r="F151" s="11">
        <v>441</v>
      </c>
      <c r="G151" s="11" t="s">
        <v>16</v>
      </c>
      <c r="H151" s="3">
        <v>6775</v>
      </c>
      <c r="K151" s="11"/>
      <c r="L151" s="11"/>
      <c r="M151" s="11"/>
      <c r="N151" s="11"/>
      <c r="P151" s="11"/>
      <c r="Q151" s="11"/>
      <c r="R151" s="3"/>
    </row>
    <row r="152" spans="1:18" x14ac:dyDescent="0.2">
      <c r="A152" s="11">
        <v>77</v>
      </c>
      <c r="B152" s="11">
        <v>1</v>
      </c>
      <c r="C152" s="11" t="s">
        <v>53</v>
      </c>
      <c r="D152" s="11">
        <f t="shared" si="4"/>
        <v>10</v>
      </c>
      <c r="E152">
        <f t="shared" si="5"/>
        <v>77010</v>
      </c>
      <c r="F152" s="11">
        <v>470</v>
      </c>
      <c r="G152" s="11" t="s">
        <v>6</v>
      </c>
      <c r="H152" s="3">
        <v>468820.02</v>
      </c>
      <c r="K152" s="11"/>
      <c r="L152" s="11"/>
      <c r="M152" s="11"/>
      <c r="N152" s="11"/>
      <c r="P152" s="11"/>
      <c r="Q152" s="11"/>
      <c r="R152" s="3"/>
    </row>
    <row r="153" spans="1:18" x14ac:dyDescent="0.2">
      <c r="A153" s="11">
        <v>77</v>
      </c>
      <c r="B153" s="11">
        <v>1</v>
      </c>
      <c r="C153" s="11" t="s">
        <v>53</v>
      </c>
      <c r="D153" s="11">
        <f t="shared" si="4"/>
        <v>11</v>
      </c>
      <c r="E153">
        <f t="shared" si="5"/>
        <v>77011</v>
      </c>
      <c r="F153" s="11">
        <v>480</v>
      </c>
      <c r="G153" s="11" t="s">
        <v>19</v>
      </c>
      <c r="H153" s="3">
        <v>1704631.99</v>
      </c>
      <c r="K153" s="11"/>
      <c r="L153" s="11"/>
      <c r="M153" s="11"/>
      <c r="N153" s="11"/>
      <c r="P153" s="11"/>
      <c r="Q153" s="11"/>
      <c r="R153" s="3"/>
    </row>
    <row r="154" spans="1:18" x14ac:dyDescent="0.2">
      <c r="A154" s="11">
        <v>77</v>
      </c>
      <c r="B154" s="11">
        <v>1</v>
      </c>
      <c r="C154" s="11" t="s">
        <v>53</v>
      </c>
      <c r="D154" s="11">
        <f t="shared" si="4"/>
        <v>12</v>
      </c>
      <c r="E154">
        <f t="shared" si="5"/>
        <v>77012</v>
      </c>
      <c r="F154" s="11">
        <v>484</v>
      </c>
      <c r="G154" s="11" t="s">
        <v>20</v>
      </c>
      <c r="H154" s="3">
        <v>69817.48</v>
      </c>
      <c r="K154" s="11"/>
      <c r="L154" s="11"/>
      <c r="M154" s="11"/>
      <c r="N154" s="11"/>
      <c r="P154" s="11"/>
      <c r="Q154" s="11"/>
      <c r="R154" s="3"/>
    </row>
    <row r="155" spans="1:18" x14ac:dyDescent="0.2">
      <c r="A155" s="11">
        <v>77</v>
      </c>
      <c r="B155" s="11">
        <v>1</v>
      </c>
      <c r="C155" s="11" t="s">
        <v>53</v>
      </c>
      <c r="D155" s="11">
        <f t="shared" si="4"/>
        <v>13</v>
      </c>
      <c r="E155">
        <f t="shared" si="5"/>
        <v>77013</v>
      </c>
      <c r="F155" s="11">
        <v>486</v>
      </c>
      <c r="G155" s="11" t="s">
        <v>21</v>
      </c>
      <c r="H155" s="3">
        <v>110009.06</v>
      </c>
      <c r="K155" s="11"/>
      <c r="L155" s="11"/>
      <c r="M155" s="11"/>
      <c r="N155" s="11"/>
      <c r="P155" s="11"/>
      <c r="Q155" s="11"/>
      <c r="R155" s="3"/>
    </row>
    <row r="156" spans="1:18" x14ac:dyDescent="0.2">
      <c r="A156" s="11">
        <v>81</v>
      </c>
      <c r="B156" s="11">
        <v>1</v>
      </c>
      <c r="C156" s="11" t="s">
        <v>54</v>
      </c>
      <c r="D156" s="11">
        <f t="shared" si="4"/>
        <v>1</v>
      </c>
      <c r="E156">
        <f t="shared" si="5"/>
        <v>81001</v>
      </c>
      <c r="F156" s="11">
        <v>151</v>
      </c>
      <c r="G156" s="11" t="s">
        <v>28</v>
      </c>
      <c r="H156" s="3">
        <v>64589.21</v>
      </c>
      <c r="K156" s="11"/>
      <c r="L156" s="11"/>
      <c r="M156" s="11"/>
      <c r="N156" s="11"/>
      <c r="P156" s="11"/>
      <c r="Q156" s="11"/>
      <c r="R156" s="3"/>
    </row>
    <row r="157" spans="1:18" x14ac:dyDescent="0.2">
      <c r="A157" s="11">
        <v>81</v>
      </c>
      <c r="B157" s="11">
        <v>1</v>
      </c>
      <c r="C157" s="11" t="s">
        <v>54</v>
      </c>
      <c r="D157" s="11">
        <f t="shared" si="4"/>
        <v>2</v>
      </c>
      <c r="E157">
        <f t="shared" si="5"/>
        <v>81002</v>
      </c>
      <c r="F157" s="11">
        <v>401</v>
      </c>
      <c r="G157" s="11" t="s">
        <v>29</v>
      </c>
      <c r="H157" s="3">
        <v>22814.22</v>
      </c>
      <c r="K157" s="11"/>
      <c r="L157" s="11"/>
      <c r="M157" s="11"/>
      <c r="N157" s="11"/>
      <c r="P157" s="11"/>
      <c r="Q157" s="11"/>
      <c r="R157" s="3"/>
    </row>
    <row r="158" spans="1:18" x14ac:dyDescent="0.2">
      <c r="A158" s="11">
        <v>81</v>
      </c>
      <c r="B158" s="11">
        <v>1</v>
      </c>
      <c r="C158" s="11" t="s">
        <v>54</v>
      </c>
      <c r="D158" s="11">
        <f t="shared" si="4"/>
        <v>3</v>
      </c>
      <c r="E158">
        <f t="shared" si="5"/>
        <v>81003</v>
      </c>
      <c r="F158" s="11">
        <v>414</v>
      </c>
      <c r="G158" s="11" t="s">
        <v>9</v>
      </c>
      <c r="H158" s="3">
        <v>14202.95</v>
      </c>
      <c r="K158" s="11"/>
      <c r="L158" s="11"/>
      <c r="M158" s="11"/>
      <c r="N158" s="11"/>
      <c r="P158" s="11"/>
      <c r="Q158" s="11"/>
      <c r="R158" s="3"/>
    </row>
    <row r="159" spans="1:18" x14ac:dyDescent="0.2">
      <c r="A159" s="11">
        <v>81</v>
      </c>
      <c r="B159" s="11">
        <v>1</v>
      </c>
      <c r="C159" s="11" t="s">
        <v>54</v>
      </c>
      <c r="D159" s="11">
        <f t="shared" si="4"/>
        <v>4</v>
      </c>
      <c r="E159">
        <f t="shared" si="5"/>
        <v>81004</v>
      </c>
      <c r="F159" s="11">
        <v>433</v>
      </c>
      <c r="G159" s="11" t="s">
        <v>30</v>
      </c>
      <c r="H159" s="3">
        <v>497.26</v>
      </c>
      <c r="K159" s="11"/>
      <c r="L159" s="11"/>
      <c r="M159" s="11"/>
      <c r="N159" s="11"/>
      <c r="P159" s="11"/>
      <c r="Q159" s="11"/>
      <c r="R159" s="3"/>
    </row>
    <row r="160" spans="1:18" x14ac:dyDescent="0.2">
      <c r="A160" s="11">
        <v>81</v>
      </c>
      <c r="B160" s="11">
        <v>1</v>
      </c>
      <c r="C160" s="11" t="s">
        <v>54</v>
      </c>
      <c r="D160" s="11">
        <f t="shared" si="4"/>
        <v>5</v>
      </c>
      <c r="E160">
        <f t="shared" si="5"/>
        <v>81005</v>
      </c>
      <c r="F160" s="11">
        <v>470</v>
      </c>
      <c r="G160" s="11" t="s">
        <v>6</v>
      </c>
      <c r="H160" s="3">
        <v>13571.11</v>
      </c>
      <c r="K160" s="11"/>
      <c r="L160" s="11"/>
      <c r="M160" s="11"/>
      <c r="N160" s="11"/>
      <c r="P160" s="11"/>
      <c r="Q160" s="11"/>
      <c r="R160" s="3"/>
    </row>
    <row r="161" spans="1:18" x14ac:dyDescent="0.2">
      <c r="A161" s="11">
        <v>84</v>
      </c>
      <c r="B161" s="11">
        <v>1</v>
      </c>
      <c r="C161" s="11" t="s">
        <v>55</v>
      </c>
      <c r="D161" s="11">
        <f t="shared" si="4"/>
        <v>1</v>
      </c>
      <c r="E161">
        <f t="shared" si="5"/>
        <v>84001</v>
      </c>
      <c r="F161" s="11">
        <v>433</v>
      </c>
      <c r="G161" s="11" t="s">
        <v>30</v>
      </c>
      <c r="H161" s="3">
        <v>2842.77</v>
      </c>
      <c r="K161" s="11"/>
      <c r="L161" s="11"/>
      <c r="M161" s="11"/>
      <c r="N161" s="11"/>
      <c r="P161" s="11"/>
      <c r="Q161" s="11"/>
      <c r="R161" s="3"/>
    </row>
    <row r="162" spans="1:18" x14ac:dyDescent="0.2">
      <c r="A162" s="11">
        <v>84</v>
      </c>
      <c r="B162" s="11">
        <v>1</v>
      </c>
      <c r="C162" s="11" t="s">
        <v>55</v>
      </c>
      <c r="D162" s="11">
        <f t="shared" si="4"/>
        <v>2</v>
      </c>
      <c r="E162">
        <f t="shared" si="5"/>
        <v>84002</v>
      </c>
      <c r="F162" s="11">
        <v>470</v>
      </c>
      <c r="G162" s="11" t="s">
        <v>6</v>
      </c>
      <c r="H162" s="3">
        <v>66621.789999999994</v>
      </c>
      <c r="K162" s="11"/>
      <c r="L162" s="11"/>
      <c r="M162" s="11"/>
      <c r="N162" s="11"/>
      <c r="P162" s="11"/>
      <c r="Q162" s="11"/>
      <c r="R162" s="3"/>
    </row>
    <row r="163" spans="1:18" x14ac:dyDescent="0.2">
      <c r="A163" s="11">
        <v>88</v>
      </c>
      <c r="B163" s="11">
        <v>1</v>
      </c>
      <c r="C163" s="11" t="s">
        <v>56</v>
      </c>
      <c r="D163" s="11">
        <f t="shared" si="4"/>
        <v>1</v>
      </c>
      <c r="E163">
        <f t="shared" si="5"/>
        <v>88001</v>
      </c>
      <c r="F163" s="11">
        <v>151</v>
      </c>
      <c r="G163" s="11" t="s">
        <v>28</v>
      </c>
      <c r="H163" s="3">
        <v>806069.52</v>
      </c>
      <c r="K163" s="11"/>
      <c r="L163" s="11"/>
      <c r="M163" s="11"/>
      <c r="N163" s="11"/>
      <c r="P163" s="11"/>
      <c r="Q163" s="11"/>
      <c r="R163" s="3"/>
    </row>
    <row r="164" spans="1:18" x14ac:dyDescent="0.2">
      <c r="A164" s="11">
        <v>88</v>
      </c>
      <c r="B164" s="11">
        <v>1</v>
      </c>
      <c r="C164" s="11" t="s">
        <v>56</v>
      </c>
      <c r="D164" s="11">
        <f t="shared" si="4"/>
        <v>2</v>
      </c>
      <c r="E164">
        <f t="shared" si="5"/>
        <v>88002</v>
      </c>
      <c r="F164" s="11">
        <v>401</v>
      </c>
      <c r="G164" s="11" t="s">
        <v>29</v>
      </c>
      <c r="H164" s="3">
        <v>230821.32</v>
      </c>
      <c r="K164" s="11"/>
      <c r="L164" s="11"/>
      <c r="M164" s="11"/>
      <c r="N164" s="11"/>
      <c r="P164" s="11"/>
      <c r="Q164" s="11"/>
      <c r="R164" s="3"/>
    </row>
    <row r="165" spans="1:18" x14ac:dyDescent="0.2">
      <c r="A165" s="11">
        <v>88</v>
      </c>
      <c r="B165" s="11">
        <v>1</v>
      </c>
      <c r="C165" s="11" t="s">
        <v>56</v>
      </c>
      <c r="D165" s="11">
        <f t="shared" si="4"/>
        <v>3</v>
      </c>
      <c r="E165">
        <f t="shared" si="5"/>
        <v>88003</v>
      </c>
      <c r="F165" s="11">
        <v>406</v>
      </c>
      <c r="G165" s="11" t="s">
        <v>8</v>
      </c>
      <c r="H165" s="3">
        <v>39938.129999999997</v>
      </c>
      <c r="K165" s="11"/>
      <c r="L165" s="11"/>
      <c r="M165" s="11"/>
      <c r="N165" s="11"/>
      <c r="P165" s="11"/>
      <c r="Q165" s="11"/>
      <c r="R165" s="3"/>
    </row>
    <row r="166" spans="1:18" x14ac:dyDescent="0.2">
      <c r="A166" s="11">
        <v>88</v>
      </c>
      <c r="B166" s="11">
        <v>1</v>
      </c>
      <c r="C166" s="11" t="s">
        <v>56</v>
      </c>
      <c r="D166" s="11">
        <f t="shared" si="4"/>
        <v>4</v>
      </c>
      <c r="E166">
        <f t="shared" si="5"/>
        <v>88004</v>
      </c>
      <c r="F166" s="11">
        <v>414</v>
      </c>
      <c r="G166" s="11" t="s">
        <v>9</v>
      </c>
      <c r="H166" s="3">
        <v>100924.93</v>
      </c>
      <c r="K166" s="11"/>
      <c r="L166" s="11"/>
      <c r="M166" s="11"/>
      <c r="N166" s="11"/>
      <c r="P166" s="11"/>
      <c r="Q166" s="11"/>
      <c r="R166" s="3"/>
    </row>
    <row r="167" spans="1:18" x14ac:dyDescent="0.2">
      <c r="A167" s="11">
        <v>88</v>
      </c>
      <c r="B167" s="11">
        <v>1</v>
      </c>
      <c r="C167" s="11" t="s">
        <v>56</v>
      </c>
      <c r="D167" s="11">
        <f t="shared" si="4"/>
        <v>5</v>
      </c>
      <c r="E167">
        <f t="shared" si="5"/>
        <v>88005</v>
      </c>
      <c r="F167" s="11">
        <v>433</v>
      </c>
      <c r="G167" s="11" t="s">
        <v>30</v>
      </c>
      <c r="H167" s="3">
        <v>6951.53</v>
      </c>
      <c r="K167" s="11"/>
      <c r="L167" s="11"/>
      <c r="M167" s="11"/>
      <c r="N167" s="11"/>
      <c r="P167" s="11"/>
      <c r="Q167" s="11"/>
      <c r="R167" s="3"/>
    </row>
    <row r="168" spans="1:18" x14ac:dyDescent="0.2">
      <c r="A168" s="11">
        <v>88</v>
      </c>
      <c r="B168" s="11">
        <v>1</v>
      </c>
      <c r="C168" s="11" t="s">
        <v>56</v>
      </c>
      <c r="D168" s="11">
        <f t="shared" si="4"/>
        <v>6</v>
      </c>
      <c r="E168">
        <f t="shared" si="5"/>
        <v>88006</v>
      </c>
      <c r="F168" s="11">
        <v>470</v>
      </c>
      <c r="G168" s="11" t="s">
        <v>6</v>
      </c>
      <c r="H168" s="3">
        <v>140646.01</v>
      </c>
      <c r="K168" s="11"/>
      <c r="L168" s="11"/>
      <c r="M168" s="11"/>
      <c r="N168" s="11"/>
      <c r="P168" s="11"/>
      <c r="Q168" s="11"/>
      <c r="R168" s="3"/>
    </row>
    <row r="169" spans="1:18" x14ac:dyDescent="0.2">
      <c r="A169" s="11">
        <v>88</v>
      </c>
      <c r="B169" s="11">
        <v>1</v>
      </c>
      <c r="C169" s="11" t="s">
        <v>56</v>
      </c>
      <c r="D169" s="11">
        <f t="shared" si="4"/>
        <v>7</v>
      </c>
      <c r="E169">
        <f t="shared" si="5"/>
        <v>88007</v>
      </c>
      <c r="F169" s="11">
        <v>471</v>
      </c>
      <c r="G169" s="11" t="s">
        <v>17</v>
      </c>
      <c r="H169" s="3">
        <v>25049.89</v>
      </c>
      <c r="K169" s="11"/>
      <c r="L169" s="11"/>
      <c r="M169" s="11"/>
      <c r="N169" s="11"/>
      <c r="P169" s="11"/>
      <c r="Q169" s="11"/>
      <c r="R169" s="3"/>
    </row>
    <row r="170" spans="1:18" x14ac:dyDescent="0.2">
      <c r="A170" s="11">
        <v>91</v>
      </c>
      <c r="B170" s="11">
        <v>1</v>
      </c>
      <c r="C170" s="11" t="s">
        <v>57</v>
      </c>
      <c r="D170" s="11">
        <f t="shared" si="4"/>
        <v>1</v>
      </c>
      <c r="E170">
        <f t="shared" si="5"/>
        <v>91001</v>
      </c>
      <c r="F170" s="11">
        <v>151</v>
      </c>
      <c r="G170" s="11" t="s">
        <v>28</v>
      </c>
      <c r="H170" s="3">
        <v>278491.89</v>
      </c>
      <c r="K170" s="11"/>
      <c r="L170" s="11"/>
      <c r="M170" s="11"/>
      <c r="N170" s="11"/>
      <c r="P170" s="11"/>
      <c r="Q170" s="11"/>
      <c r="R170" s="3"/>
    </row>
    <row r="171" spans="1:18" x14ac:dyDescent="0.2">
      <c r="A171" s="11">
        <v>91</v>
      </c>
      <c r="B171" s="11">
        <v>1</v>
      </c>
      <c r="C171" s="11" t="s">
        <v>57</v>
      </c>
      <c r="D171" s="11">
        <f t="shared" si="4"/>
        <v>2</v>
      </c>
      <c r="E171">
        <f t="shared" si="5"/>
        <v>91002</v>
      </c>
      <c r="F171" s="11">
        <v>401</v>
      </c>
      <c r="G171" s="11" t="s">
        <v>29</v>
      </c>
      <c r="H171" s="3">
        <v>71124.92</v>
      </c>
      <c r="K171" s="11"/>
      <c r="L171" s="11"/>
      <c r="M171" s="11"/>
      <c r="N171" s="11"/>
      <c r="P171" s="11"/>
      <c r="Q171" s="11"/>
      <c r="R171" s="3"/>
    </row>
    <row r="172" spans="1:18" x14ac:dyDescent="0.2">
      <c r="A172" s="11">
        <v>91</v>
      </c>
      <c r="B172" s="11">
        <v>1</v>
      </c>
      <c r="C172" s="11" t="s">
        <v>57</v>
      </c>
      <c r="D172" s="11">
        <f t="shared" si="4"/>
        <v>3</v>
      </c>
      <c r="E172">
        <f t="shared" si="5"/>
        <v>91003</v>
      </c>
      <c r="F172" s="11">
        <v>414</v>
      </c>
      <c r="G172" s="11" t="s">
        <v>9</v>
      </c>
      <c r="H172" s="3">
        <v>24941.82</v>
      </c>
      <c r="K172" s="11"/>
      <c r="L172" s="11"/>
      <c r="M172" s="11"/>
      <c r="N172" s="11"/>
      <c r="P172" s="11"/>
      <c r="Q172" s="11"/>
      <c r="R172" s="3"/>
    </row>
    <row r="173" spans="1:18" x14ac:dyDescent="0.2">
      <c r="A173" s="11">
        <v>91</v>
      </c>
      <c r="B173" s="11">
        <v>1</v>
      </c>
      <c r="C173" s="11" t="s">
        <v>57</v>
      </c>
      <c r="D173" s="11">
        <f t="shared" si="4"/>
        <v>4</v>
      </c>
      <c r="E173">
        <f t="shared" si="5"/>
        <v>91004</v>
      </c>
      <c r="F173" s="11">
        <v>433</v>
      </c>
      <c r="G173" s="11" t="s">
        <v>30</v>
      </c>
      <c r="H173" s="3">
        <v>1903.12</v>
      </c>
      <c r="K173" s="11"/>
      <c r="L173" s="11"/>
      <c r="M173" s="11"/>
      <c r="N173" s="11"/>
      <c r="P173" s="11"/>
      <c r="Q173" s="11"/>
      <c r="R173" s="3"/>
    </row>
    <row r="174" spans="1:18" x14ac:dyDescent="0.2">
      <c r="A174" s="11">
        <v>91</v>
      </c>
      <c r="B174" s="11">
        <v>1</v>
      </c>
      <c r="C174" s="11" t="s">
        <v>57</v>
      </c>
      <c r="D174" s="11">
        <f t="shared" si="4"/>
        <v>5</v>
      </c>
      <c r="E174">
        <f t="shared" si="5"/>
        <v>91005</v>
      </c>
      <c r="F174" s="11">
        <v>470</v>
      </c>
      <c r="G174" s="11" t="s">
        <v>6</v>
      </c>
      <c r="H174" s="3">
        <v>41330.19</v>
      </c>
      <c r="K174" s="11"/>
      <c r="L174" s="11"/>
      <c r="M174" s="11"/>
      <c r="N174" s="11"/>
      <c r="P174" s="11"/>
      <c r="Q174" s="11"/>
      <c r="R174" s="3"/>
    </row>
    <row r="175" spans="1:18" x14ac:dyDescent="0.2">
      <c r="A175" s="11">
        <v>93</v>
      </c>
      <c r="B175" s="11">
        <v>1</v>
      </c>
      <c r="C175" s="11" t="s">
        <v>58</v>
      </c>
      <c r="D175" s="11">
        <f t="shared" si="4"/>
        <v>1</v>
      </c>
      <c r="E175">
        <f t="shared" si="5"/>
        <v>93001</v>
      </c>
      <c r="F175" s="11">
        <v>151</v>
      </c>
      <c r="G175" s="11" t="s">
        <v>28</v>
      </c>
      <c r="H175" s="3">
        <v>241891.75</v>
      </c>
      <c r="K175" s="11"/>
      <c r="L175" s="11"/>
      <c r="M175" s="11"/>
      <c r="N175" s="11"/>
      <c r="P175" s="11"/>
      <c r="Q175" s="11"/>
      <c r="R175" s="3"/>
    </row>
    <row r="176" spans="1:18" x14ac:dyDescent="0.2">
      <c r="A176" s="11">
        <v>93</v>
      </c>
      <c r="B176" s="11">
        <v>1</v>
      </c>
      <c r="C176" s="11" t="s">
        <v>58</v>
      </c>
      <c r="D176" s="11">
        <f t="shared" si="4"/>
        <v>2</v>
      </c>
      <c r="E176">
        <f t="shared" si="5"/>
        <v>93002</v>
      </c>
      <c r="F176" s="11">
        <v>401</v>
      </c>
      <c r="G176" s="11" t="s">
        <v>29</v>
      </c>
      <c r="H176" s="3">
        <v>68931.210000000006</v>
      </c>
      <c r="K176" s="11"/>
      <c r="L176" s="11"/>
      <c r="M176" s="11"/>
      <c r="N176" s="11"/>
      <c r="P176" s="11"/>
      <c r="Q176" s="11"/>
      <c r="R176" s="3"/>
    </row>
    <row r="177" spans="1:18" x14ac:dyDescent="0.2">
      <c r="A177" s="11">
        <v>93</v>
      </c>
      <c r="B177" s="11">
        <v>1</v>
      </c>
      <c r="C177" s="11" t="s">
        <v>58</v>
      </c>
      <c r="D177" s="11">
        <f t="shared" si="4"/>
        <v>3</v>
      </c>
      <c r="E177">
        <f t="shared" si="5"/>
        <v>93003</v>
      </c>
      <c r="F177" s="11">
        <v>414</v>
      </c>
      <c r="G177" s="11" t="s">
        <v>9</v>
      </c>
      <c r="H177" s="3">
        <v>31103.3</v>
      </c>
      <c r="K177" s="11"/>
      <c r="L177" s="11"/>
      <c r="M177" s="11"/>
      <c r="N177" s="11"/>
      <c r="P177" s="11"/>
      <c r="Q177" s="11"/>
      <c r="R177" s="3"/>
    </row>
    <row r="178" spans="1:18" x14ac:dyDescent="0.2">
      <c r="A178" s="11">
        <v>93</v>
      </c>
      <c r="B178" s="11">
        <v>1</v>
      </c>
      <c r="C178" s="11" t="s">
        <v>58</v>
      </c>
      <c r="D178" s="11">
        <f t="shared" si="4"/>
        <v>4</v>
      </c>
      <c r="E178">
        <f t="shared" si="5"/>
        <v>93004</v>
      </c>
      <c r="F178" s="11">
        <v>433</v>
      </c>
      <c r="G178" s="11" t="s">
        <v>30</v>
      </c>
      <c r="H178" s="3">
        <v>1687.88</v>
      </c>
      <c r="K178" s="11"/>
      <c r="L178" s="11"/>
      <c r="M178" s="11"/>
      <c r="N178" s="11"/>
      <c r="P178" s="11"/>
      <c r="Q178" s="11"/>
      <c r="R178" s="3"/>
    </row>
    <row r="179" spans="1:18" x14ac:dyDescent="0.2">
      <c r="A179" s="11">
        <v>93</v>
      </c>
      <c r="B179" s="11">
        <v>1</v>
      </c>
      <c r="C179" s="11" t="s">
        <v>58</v>
      </c>
      <c r="D179" s="11">
        <f t="shared" si="4"/>
        <v>5</v>
      </c>
      <c r="E179">
        <f t="shared" si="5"/>
        <v>93005</v>
      </c>
      <c r="F179" s="11">
        <v>470</v>
      </c>
      <c r="G179" s="11" t="s">
        <v>6</v>
      </c>
      <c r="H179" s="3">
        <v>42563.92</v>
      </c>
      <c r="K179" s="11"/>
      <c r="L179" s="11"/>
      <c r="M179" s="11"/>
      <c r="N179" s="11"/>
      <c r="P179" s="11"/>
      <c r="Q179" s="11"/>
      <c r="R179" s="3"/>
    </row>
    <row r="180" spans="1:18" x14ac:dyDescent="0.2">
      <c r="A180" s="11">
        <v>94</v>
      </c>
      <c r="B180" s="11">
        <v>1</v>
      </c>
      <c r="C180" s="11" t="s">
        <v>59</v>
      </c>
      <c r="D180" s="11">
        <f t="shared" si="4"/>
        <v>1</v>
      </c>
      <c r="E180">
        <f t="shared" si="5"/>
        <v>94001</v>
      </c>
      <c r="F180" s="11">
        <v>420</v>
      </c>
      <c r="G180" s="11" t="s">
        <v>11</v>
      </c>
      <c r="H180" s="3">
        <v>69248.929999999993</v>
      </c>
      <c r="K180" s="11"/>
      <c r="L180" s="11"/>
      <c r="M180" s="11"/>
      <c r="N180" s="11"/>
      <c r="P180" s="11"/>
      <c r="Q180" s="11"/>
      <c r="R180" s="3"/>
    </row>
    <row r="181" spans="1:18" x14ac:dyDescent="0.2">
      <c r="A181" s="11">
        <v>94</v>
      </c>
      <c r="B181" s="11">
        <v>1</v>
      </c>
      <c r="C181" s="11" t="s">
        <v>59</v>
      </c>
      <c r="D181" s="11">
        <f t="shared" si="4"/>
        <v>2</v>
      </c>
      <c r="E181">
        <f t="shared" si="5"/>
        <v>94002</v>
      </c>
      <c r="F181" s="11">
        <v>422</v>
      </c>
      <c r="G181" s="11" t="s">
        <v>12</v>
      </c>
      <c r="H181" s="3">
        <v>59798.33</v>
      </c>
      <c r="K181" s="11"/>
      <c r="L181" s="11"/>
      <c r="M181" s="11"/>
      <c r="N181" s="11"/>
      <c r="P181" s="11"/>
      <c r="Q181" s="11"/>
      <c r="R181" s="3"/>
    </row>
    <row r="182" spans="1:18" x14ac:dyDescent="0.2">
      <c r="A182" s="11">
        <v>94</v>
      </c>
      <c r="B182" s="11">
        <v>1</v>
      </c>
      <c r="C182" s="11" t="s">
        <v>59</v>
      </c>
      <c r="D182" s="11">
        <f t="shared" si="4"/>
        <v>3</v>
      </c>
      <c r="E182">
        <f t="shared" si="5"/>
        <v>94003</v>
      </c>
      <c r="F182" s="11">
        <v>433</v>
      </c>
      <c r="G182" s="11" t="s">
        <v>30</v>
      </c>
      <c r="H182" s="3">
        <v>7255.81</v>
      </c>
      <c r="K182" s="11"/>
      <c r="L182" s="11"/>
      <c r="M182" s="11"/>
      <c r="N182" s="11"/>
      <c r="P182" s="11"/>
      <c r="Q182" s="11"/>
      <c r="R182" s="3"/>
    </row>
    <row r="183" spans="1:18" x14ac:dyDescent="0.2">
      <c r="A183" s="11">
        <v>94</v>
      </c>
      <c r="B183" s="11">
        <v>1</v>
      </c>
      <c r="C183" s="11" t="s">
        <v>59</v>
      </c>
      <c r="D183" s="11">
        <f t="shared" si="4"/>
        <v>4</v>
      </c>
      <c r="E183">
        <f t="shared" si="5"/>
        <v>94004</v>
      </c>
      <c r="F183" s="11">
        <v>435</v>
      </c>
      <c r="G183" s="11" t="s">
        <v>35</v>
      </c>
      <c r="H183" s="3">
        <v>17110</v>
      </c>
      <c r="K183" s="11"/>
      <c r="L183" s="11"/>
      <c r="M183" s="11"/>
      <c r="N183" s="11"/>
      <c r="P183" s="11"/>
      <c r="Q183" s="11"/>
      <c r="R183" s="3"/>
    </row>
    <row r="184" spans="1:18" x14ac:dyDescent="0.2">
      <c r="A184" s="11">
        <v>94</v>
      </c>
      <c r="B184" s="11">
        <v>1</v>
      </c>
      <c r="C184" s="11" t="s">
        <v>59</v>
      </c>
      <c r="D184" s="11">
        <f t="shared" si="4"/>
        <v>5</v>
      </c>
      <c r="E184">
        <f t="shared" si="5"/>
        <v>94005</v>
      </c>
      <c r="F184" s="11">
        <v>437</v>
      </c>
      <c r="G184" s="11" t="s">
        <v>14</v>
      </c>
      <c r="H184" s="3">
        <v>2790</v>
      </c>
      <c r="K184" s="11"/>
      <c r="L184" s="11"/>
      <c r="M184" s="11"/>
      <c r="N184" s="11"/>
      <c r="P184" s="11"/>
      <c r="Q184" s="11"/>
      <c r="R184" s="3"/>
    </row>
    <row r="185" spans="1:18" x14ac:dyDescent="0.2">
      <c r="A185" s="11">
        <v>94</v>
      </c>
      <c r="B185" s="11">
        <v>1</v>
      </c>
      <c r="C185" s="11" t="s">
        <v>59</v>
      </c>
      <c r="D185" s="11">
        <f t="shared" si="4"/>
        <v>6</v>
      </c>
      <c r="E185">
        <f t="shared" si="5"/>
        <v>94006</v>
      </c>
      <c r="F185" s="11">
        <v>441</v>
      </c>
      <c r="G185" s="11" t="s">
        <v>16</v>
      </c>
      <c r="H185" s="3">
        <v>4750</v>
      </c>
      <c r="K185" s="11"/>
      <c r="L185" s="11"/>
      <c r="M185" s="11"/>
      <c r="N185" s="11"/>
      <c r="P185" s="11"/>
      <c r="Q185" s="11"/>
      <c r="R185" s="3"/>
    </row>
    <row r="186" spans="1:18" x14ac:dyDescent="0.2">
      <c r="A186" s="11">
        <v>94</v>
      </c>
      <c r="B186" s="11">
        <v>1</v>
      </c>
      <c r="C186" s="11" t="s">
        <v>59</v>
      </c>
      <c r="D186" s="11">
        <f t="shared" si="4"/>
        <v>7</v>
      </c>
      <c r="E186">
        <f t="shared" si="5"/>
        <v>94007</v>
      </c>
      <c r="F186" s="11">
        <v>484</v>
      </c>
      <c r="G186" s="11" t="s">
        <v>20</v>
      </c>
      <c r="H186" s="3">
        <v>106455.05</v>
      </c>
      <c r="K186" s="11"/>
      <c r="L186" s="11"/>
      <c r="M186" s="11"/>
      <c r="N186" s="11"/>
      <c r="P186" s="11"/>
      <c r="Q186" s="11"/>
      <c r="R186" s="3"/>
    </row>
    <row r="187" spans="1:18" x14ac:dyDescent="0.2">
      <c r="A187" s="11">
        <v>94</v>
      </c>
      <c r="B187" s="11">
        <v>1</v>
      </c>
      <c r="C187" s="11" t="s">
        <v>59</v>
      </c>
      <c r="D187" s="11">
        <f t="shared" si="4"/>
        <v>8</v>
      </c>
      <c r="E187">
        <f t="shared" si="5"/>
        <v>94008</v>
      </c>
      <c r="F187" s="11">
        <v>486</v>
      </c>
      <c r="G187" s="11" t="s">
        <v>21</v>
      </c>
      <c r="H187" s="3">
        <v>72703.710000000006</v>
      </c>
      <c r="K187" s="11"/>
      <c r="L187" s="11"/>
      <c r="M187" s="11"/>
      <c r="N187" s="11"/>
      <c r="P187" s="11"/>
      <c r="Q187" s="11"/>
      <c r="R187" s="3"/>
    </row>
    <row r="188" spans="1:18" x14ac:dyDescent="0.2">
      <c r="A188" s="11">
        <v>95</v>
      </c>
      <c r="B188" s="11">
        <v>1</v>
      </c>
      <c r="C188" s="11" t="s">
        <v>60</v>
      </c>
      <c r="D188" s="11">
        <f t="shared" si="4"/>
        <v>1</v>
      </c>
      <c r="E188">
        <f t="shared" si="5"/>
        <v>95001</v>
      </c>
      <c r="F188" s="11">
        <v>401</v>
      </c>
      <c r="G188" s="11" t="s">
        <v>29</v>
      </c>
      <c r="H188" s="3">
        <v>58698.7</v>
      </c>
      <c r="K188" s="11"/>
      <c r="L188" s="11"/>
      <c r="M188" s="11"/>
      <c r="N188" s="11"/>
      <c r="P188" s="11"/>
      <c r="Q188" s="11"/>
      <c r="R188" s="3"/>
    </row>
    <row r="189" spans="1:18" x14ac:dyDescent="0.2">
      <c r="A189" s="11">
        <v>95</v>
      </c>
      <c r="B189" s="11">
        <v>1</v>
      </c>
      <c r="C189" s="11" t="s">
        <v>60</v>
      </c>
      <c r="D189" s="11">
        <f t="shared" si="4"/>
        <v>2</v>
      </c>
      <c r="E189">
        <f t="shared" si="5"/>
        <v>95002</v>
      </c>
      <c r="F189" s="11">
        <v>414</v>
      </c>
      <c r="G189" s="11" t="s">
        <v>9</v>
      </c>
      <c r="H189" s="3">
        <v>18605.12</v>
      </c>
      <c r="K189" s="11"/>
      <c r="L189" s="11"/>
      <c r="M189" s="11"/>
      <c r="N189" s="11"/>
      <c r="P189" s="11"/>
      <c r="Q189" s="11"/>
      <c r="R189" s="3"/>
    </row>
    <row r="190" spans="1:18" x14ac:dyDescent="0.2">
      <c r="A190" s="11">
        <v>95</v>
      </c>
      <c r="B190" s="11">
        <v>1</v>
      </c>
      <c r="C190" s="11" t="s">
        <v>60</v>
      </c>
      <c r="D190" s="11">
        <f t="shared" si="4"/>
        <v>3</v>
      </c>
      <c r="E190">
        <f t="shared" si="5"/>
        <v>95003</v>
      </c>
      <c r="F190" s="11">
        <v>433</v>
      </c>
      <c r="G190" s="11" t="s">
        <v>30</v>
      </c>
      <c r="H190" s="3">
        <v>1187.5899999999999</v>
      </c>
      <c r="K190" s="11"/>
      <c r="L190" s="11"/>
      <c r="M190" s="11"/>
      <c r="N190" s="11"/>
      <c r="P190" s="11"/>
      <c r="Q190" s="11"/>
      <c r="R190" s="3"/>
    </row>
    <row r="191" spans="1:18" x14ac:dyDescent="0.2">
      <c r="A191" s="11">
        <v>100</v>
      </c>
      <c r="B191" s="11">
        <v>1</v>
      </c>
      <c r="C191" s="11" t="s">
        <v>61</v>
      </c>
      <c r="D191" s="11">
        <f t="shared" si="4"/>
        <v>1</v>
      </c>
      <c r="E191">
        <f t="shared" si="5"/>
        <v>100001</v>
      </c>
      <c r="F191" s="11">
        <v>151</v>
      </c>
      <c r="G191" s="11" t="s">
        <v>28</v>
      </c>
      <c r="H191" s="3">
        <v>132705.49</v>
      </c>
      <c r="K191" s="11"/>
      <c r="L191" s="11"/>
      <c r="M191" s="11"/>
      <c r="N191" s="11"/>
      <c r="P191" s="11"/>
      <c r="Q191" s="11"/>
      <c r="R191" s="3"/>
    </row>
    <row r="192" spans="1:18" x14ac:dyDescent="0.2">
      <c r="A192" s="11">
        <v>100</v>
      </c>
      <c r="B192" s="11">
        <v>1</v>
      </c>
      <c r="C192" s="11" t="s">
        <v>61</v>
      </c>
      <c r="D192" s="11">
        <f t="shared" si="4"/>
        <v>2</v>
      </c>
      <c r="E192">
        <f t="shared" si="5"/>
        <v>100002</v>
      </c>
      <c r="F192" s="11">
        <v>401</v>
      </c>
      <c r="G192" s="11" t="s">
        <v>29</v>
      </c>
      <c r="H192" s="3">
        <v>32115.68</v>
      </c>
      <c r="K192" s="11"/>
      <c r="L192" s="11"/>
      <c r="M192" s="11"/>
      <c r="N192" s="11"/>
      <c r="P192" s="11"/>
      <c r="Q192" s="11"/>
      <c r="R192" s="3"/>
    </row>
    <row r="193" spans="1:18" x14ac:dyDescent="0.2">
      <c r="A193" s="11">
        <v>100</v>
      </c>
      <c r="B193" s="11">
        <v>1</v>
      </c>
      <c r="C193" s="11" t="s">
        <v>61</v>
      </c>
      <c r="D193" s="11">
        <f t="shared" si="4"/>
        <v>3</v>
      </c>
      <c r="E193">
        <f t="shared" si="5"/>
        <v>100003</v>
      </c>
      <c r="F193" s="11">
        <v>414</v>
      </c>
      <c r="G193" s="11" t="s">
        <v>9</v>
      </c>
      <c r="H193" s="3">
        <v>14646.72</v>
      </c>
      <c r="K193" s="11"/>
      <c r="L193" s="11"/>
      <c r="M193" s="11"/>
      <c r="N193" s="11"/>
      <c r="P193" s="11"/>
      <c r="Q193" s="11"/>
      <c r="R193" s="3"/>
    </row>
    <row r="194" spans="1:18" x14ac:dyDescent="0.2">
      <c r="A194" s="11">
        <v>100</v>
      </c>
      <c r="B194" s="11">
        <v>1</v>
      </c>
      <c r="C194" s="11" t="s">
        <v>61</v>
      </c>
      <c r="D194" s="11">
        <f t="shared" si="4"/>
        <v>4</v>
      </c>
      <c r="E194">
        <f t="shared" si="5"/>
        <v>100004</v>
      </c>
      <c r="F194" s="11">
        <v>433</v>
      </c>
      <c r="G194" s="11" t="s">
        <v>30</v>
      </c>
      <c r="H194" s="3">
        <v>838.03</v>
      </c>
      <c r="K194" s="11"/>
      <c r="L194" s="11"/>
      <c r="M194" s="11"/>
      <c r="N194" s="11"/>
      <c r="P194" s="11"/>
      <c r="Q194" s="11"/>
      <c r="R194" s="3"/>
    </row>
    <row r="195" spans="1:18" x14ac:dyDescent="0.2">
      <c r="A195" s="11">
        <v>100</v>
      </c>
      <c r="B195" s="11">
        <v>1</v>
      </c>
      <c r="C195" s="11" t="s">
        <v>61</v>
      </c>
      <c r="D195" s="11">
        <f t="shared" si="4"/>
        <v>5</v>
      </c>
      <c r="E195">
        <f t="shared" si="5"/>
        <v>100005</v>
      </c>
      <c r="F195" s="11">
        <v>470</v>
      </c>
      <c r="G195" s="11" t="s">
        <v>6</v>
      </c>
      <c r="H195" s="3">
        <v>20356.66</v>
      </c>
      <c r="K195" s="11"/>
      <c r="L195" s="11"/>
      <c r="M195" s="11"/>
      <c r="N195" s="11"/>
      <c r="P195" s="11"/>
      <c r="Q195" s="11"/>
      <c r="R195" s="3"/>
    </row>
    <row r="196" spans="1:18" x14ac:dyDescent="0.2">
      <c r="A196" s="11">
        <v>106</v>
      </c>
      <c r="B196" s="11">
        <v>80</v>
      </c>
      <c r="C196" s="11" t="s">
        <v>62</v>
      </c>
      <c r="D196" s="11">
        <f t="shared" si="4"/>
        <v>1</v>
      </c>
      <c r="E196">
        <f t="shared" si="5"/>
        <v>106001</v>
      </c>
      <c r="F196" s="11">
        <v>801</v>
      </c>
      <c r="G196" s="11" t="s">
        <v>22</v>
      </c>
      <c r="H196" s="3">
        <v>40000</v>
      </c>
      <c r="K196" s="11"/>
      <c r="L196" s="11"/>
      <c r="M196" s="11"/>
      <c r="N196" s="11"/>
      <c r="P196" s="11"/>
      <c r="Q196" s="11"/>
      <c r="R196" s="3"/>
    </row>
    <row r="197" spans="1:18" x14ac:dyDescent="0.2">
      <c r="A197" s="11">
        <v>108</v>
      </c>
      <c r="B197" s="11">
        <v>1</v>
      </c>
      <c r="C197" s="11" t="s">
        <v>63</v>
      </c>
      <c r="D197" s="11">
        <f t="shared" si="4"/>
        <v>1</v>
      </c>
      <c r="E197">
        <f t="shared" si="5"/>
        <v>108001</v>
      </c>
      <c r="F197" s="11">
        <v>420</v>
      </c>
      <c r="G197" s="11" t="s">
        <v>11</v>
      </c>
      <c r="H197" s="3">
        <v>10703.25</v>
      </c>
      <c r="K197" s="11"/>
      <c r="L197" s="11"/>
      <c r="M197" s="11"/>
      <c r="N197" s="11"/>
      <c r="P197" s="11"/>
      <c r="Q197" s="11"/>
      <c r="R197" s="3"/>
    </row>
    <row r="198" spans="1:18" x14ac:dyDescent="0.2">
      <c r="A198" s="11">
        <v>108</v>
      </c>
      <c r="B198" s="11">
        <v>1</v>
      </c>
      <c r="C198" s="11" t="s">
        <v>63</v>
      </c>
      <c r="D198" s="11">
        <f t="shared" si="4"/>
        <v>2</v>
      </c>
      <c r="E198">
        <f t="shared" si="5"/>
        <v>108002</v>
      </c>
      <c r="F198" s="11">
        <v>433</v>
      </c>
      <c r="G198" s="11" t="s">
        <v>30</v>
      </c>
      <c r="H198" s="3">
        <v>2252.48</v>
      </c>
      <c r="K198" s="11"/>
      <c r="L198" s="11"/>
      <c r="M198" s="11"/>
      <c r="N198" s="11"/>
      <c r="P198" s="11"/>
      <c r="Q198" s="11"/>
      <c r="R198" s="3"/>
    </row>
    <row r="199" spans="1:18" x14ac:dyDescent="0.2">
      <c r="A199" s="11">
        <v>108</v>
      </c>
      <c r="B199" s="11">
        <v>1</v>
      </c>
      <c r="C199" s="11" t="s">
        <v>63</v>
      </c>
      <c r="D199" s="11">
        <f t="shared" si="4"/>
        <v>3</v>
      </c>
      <c r="E199">
        <f t="shared" si="5"/>
        <v>108003</v>
      </c>
      <c r="F199" s="11">
        <v>480</v>
      </c>
      <c r="G199" s="11" t="s">
        <v>19</v>
      </c>
      <c r="H199" s="3">
        <v>261371.88</v>
      </c>
      <c r="K199" s="11"/>
      <c r="L199" s="11"/>
      <c r="M199" s="11"/>
      <c r="N199" s="11"/>
      <c r="P199" s="11"/>
      <c r="Q199" s="11"/>
      <c r="R199" s="3"/>
    </row>
    <row r="200" spans="1:18" x14ac:dyDescent="0.2">
      <c r="A200" s="11">
        <v>108</v>
      </c>
      <c r="B200" s="11">
        <v>1</v>
      </c>
      <c r="C200" s="11" t="s">
        <v>63</v>
      </c>
      <c r="D200" s="11">
        <f t="shared" si="4"/>
        <v>4</v>
      </c>
      <c r="E200">
        <f t="shared" si="5"/>
        <v>108004</v>
      </c>
      <c r="F200" s="11">
        <v>484</v>
      </c>
      <c r="G200" s="11" t="s">
        <v>20</v>
      </c>
      <c r="H200" s="3">
        <v>10702.7</v>
      </c>
      <c r="K200" s="11"/>
      <c r="L200" s="11"/>
      <c r="M200" s="11"/>
      <c r="N200" s="11"/>
      <c r="P200" s="11"/>
      <c r="Q200" s="11"/>
      <c r="R200" s="3"/>
    </row>
    <row r="201" spans="1:18" x14ac:dyDescent="0.2">
      <c r="A201" s="11">
        <v>108</v>
      </c>
      <c r="B201" s="11">
        <v>1</v>
      </c>
      <c r="C201" s="11" t="s">
        <v>63</v>
      </c>
      <c r="D201" s="11">
        <f t="shared" si="4"/>
        <v>5</v>
      </c>
      <c r="E201">
        <f t="shared" si="5"/>
        <v>108005</v>
      </c>
      <c r="F201" s="11">
        <v>486</v>
      </c>
      <c r="G201" s="11" t="s">
        <v>21</v>
      </c>
      <c r="H201" s="3">
        <v>16686.099999999999</v>
      </c>
      <c r="K201" s="11"/>
      <c r="L201" s="11"/>
      <c r="M201" s="11"/>
      <c r="N201" s="11"/>
      <c r="P201" s="11"/>
      <c r="Q201" s="11"/>
      <c r="R201" s="3"/>
    </row>
    <row r="202" spans="1:18" x14ac:dyDescent="0.2">
      <c r="A202" s="11">
        <v>110</v>
      </c>
      <c r="B202" s="11">
        <v>1</v>
      </c>
      <c r="C202" s="11" t="s">
        <v>64</v>
      </c>
      <c r="D202" s="11">
        <f t="shared" si="4"/>
        <v>1</v>
      </c>
      <c r="E202">
        <f t="shared" si="5"/>
        <v>110001</v>
      </c>
      <c r="F202" s="11">
        <v>401</v>
      </c>
      <c r="G202" s="11" t="s">
        <v>29</v>
      </c>
      <c r="H202" s="3">
        <v>59349.59</v>
      </c>
      <c r="K202" s="11"/>
      <c r="L202" s="11"/>
      <c r="M202" s="11"/>
      <c r="N202" s="11"/>
      <c r="P202" s="11"/>
      <c r="Q202" s="11"/>
      <c r="R202" s="3"/>
    </row>
    <row r="203" spans="1:18" x14ac:dyDescent="0.2">
      <c r="A203" s="11">
        <v>110</v>
      </c>
      <c r="B203" s="11">
        <v>1</v>
      </c>
      <c r="C203" s="11" t="s">
        <v>64</v>
      </c>
      <c r="D203" s="11">
        <f t="shared" si="4"/>
        <v>2</v>
      </c>
      <c r="E203">
        <f t="shared" si="5"/>
        <v>110002</v>
      </c>
      <c r="F203" s="11">
        <v>414</v>
      </c>
      <c r="G203" s="11" t="s">
        <v>9</v>
      </c>
      <c r="H203" s="3">
        <v>52945.67</v>
      </c>
      <c r="K203" s="11"/>
      <c r="L203" s="11"/>
      <c r="M203" s="11"/>
      <c r="N203" s="11"/>
      <c r="P203" s="11"/>
      <c r="Q203" s="11"/>
      <c r="R203" s="3"/>
    </row>
    <row r="204" spans="1:18" x14ac:dyDescent="0.2">
      <c r="A204" s="11">
        <v>110</v>
      </c>
      <c r="B204" s="11">
        <v>1</v>
      </c>
      <c r="C204" s="11" t="s">
        <v>64</v>
      </c>
      <c r="D204" s="11">
        <f t="shared" si="4"/>
        <v>3</v>
      </c>
      <c r="E204">
        <f t="shared" si="5"/>
        <v>110003</v>
      </c>
      <c r="F204" s="11">
        <v>420</v>
      </c>
      <c r="G204" s="11" t="s">
        <v>11</v>
      </c>
      <c r="H204" s="3">
        <v>14754.35</v>
      </c>
      <c r="K204" s="11"/>
      <c r="L204" s="11"/>
      <c r="M204" s="11"/>
      <c r="N204" s="11"/>
      <c r="P204" s="11"/>
      <c r="Q204" s="11"/>
      <c r="R204" s="3"/>
    </row>
    <row r="205" spans="1:18" x14ac:dyDescent="0.2">
      <c r="A205" s="11">
        <v>110</v>
      </c>
      <c r="B205" s="11">
        <v>1</v>
      </c>
      <c r="C205" s="11" t="s">
        <v>64</v>
      </c>
      <c r="D205" s="11">
        <f t="shared" si="4"/>
        <v>4</v>
      </c>
      <c r="E205">
        <f t="shared" si="5"/>
        <v>110004</v>
      </c>
      <c r="F205" s="11">
        <v>433</v>
      </c>
      <c r="G205" s="11" t="s">
        <v>30</v>
      </c>
      <c r="H205" s="3">
        <v>5411.95</v>
      </c>
      <c r="K205" s="11"/>
      <c r="L205" s="11"/>
      <c r="M205" s="11"/>
      <c r="N205" s="11"/>
      <c r="P205" s="11"/>
      <c r="Q205" s="11"/>
      <c r="R205" s="3"/>
    </row>
    <row r="206" spans="1:18" x14ac:dyDescent="0.2">
      <c r="A206" s="11">
        <v>110</v>
      </c>
      <c r="B206" s="11">
        <v>1</v>
      </c>
      <c r="C206" s="11" t="s">
        <v>64</v>
      </c>
      <c r="D206" s="11">
        <f t="shared" si="4"/>
        <v>5</v>
      </c>
      <c r="E206">
        <f t="shared" si="5"/>
        <v>110005</v>
      </c>
      <c r="F206" s="11">
        <v>480</v>
      </c>
      <c r="G206" s="11" t="s">
        <v>19</v>
      </c>
      <c r="H206" s="3">
        <v>668503.74</v>
      </c>
      <c r="K206" s="11"/>
      <c r="L206" s="11"/>
      <c r="M206" s="11"/>
      <c r="N206" s="11"/>
      <c r="P206" s="11"/>
      <c r="Q206" s="11"/>
      <c r="R206" s="3"/>
    </row>
    <row r="207" spans="1:18" x14ac:dyDescent="0.2">
      <c r="A207" s="11">
        <v>110</v>
      </c>
      <c r="B207" s="11">
        <v>1</v>
      </c>
      <c r="C207" s="11" t="s">
        <v>64</v>
      </c>
      <c r="D207" s="11">
        <f t="shared" ref="D207:D270" si="6">IF(A207=A206,D206+1,1)</f>
        <v>6</v>
      </c>
      <c r="E207">
        <f t="shared" ref="E207:E270" si="7">1000*A207+D207</f>
        <v>110006</v>
      </c>
      <c r="F207" s="11">
        <v>486</v>
      </c>
      <c r="G207" s="11" t="s">
        <v>21</v>
      </c>
      <c r="H207" s="3">
        <v>19069.830000000002</v>
      </c>
      <c r="K207" s="11"/>
      <c r="L207" s="11"/>
      <c r="M207" s="11"/>
      <c r="N207" s="11"/>
      <c r="P207" s="11"/>
      <c r="Q207" s="11"/>
      <c r="R207" s="3"/>
    </row>
    <row r="208" spans="1:18" x14ac:dyDescent="0.2">
      <c r="A208" s="11">
        <v>111</v>
      </c>
      <c r="B208" s="11">
        <v>1</v>
      </c>
      <c r="C208" s="11" t="s">
        <v>65</v>
      </c>
      <c r="D208" s="11">
        <f t="shared" si="6"/>
        <v>1</v>
      </c>
      <c r="E208">
        <f t="shared" si="7"/>
        <v>111001</v>
      </c>
      <c r="F208" s="11">
        <v>401</v>
      </c>
      <c r="G208" s="11" t="s">
        <v>29</v>
      </c>
      <c r="H208" s="3">
        <v>58300.32</v>
      </c>
      <c r="K208" s="11"/>
      <c r="L208" s="11"/>
      <c r="M208" s="11"/>
      <c r="N208" s="11"/>
      <c r="P208" s="11"/>
      <c r="Q208" s="11"/>
      <c r="R208" s="3"/>
    </row>
    <row r="209" spans="1:18" x14ac:dyDescent="0.2">
      <c r="A209" s="11">
        <v>111</v>
      </c>
      <c r="B209" s="11">
        <v>1</v>
      </c>
      <c r="C209" s="11" t="s">
        <v>65</v>
      </c>
      <c r="D209" s="11">
        <f t="shared" si="6"/>
        <v>2</v>
      </c>
      <c r="E209">
        <f t="shared" si="7"/>
        <v>111002</v>
      </c>
      <c r="F209" s="11">
        <v>414</v>
      </c>
      <c r="G209" s="11" t="s">
        <v>9</v>
      </c>
      <c r="H209" s="3">
        <v>43910.9</v>
      </c>
      <c r="K209" s="11"/>
      <c r="L209" s="11"/>
      <c r="M209" s="11"/>
      <c r="N209" s="11"/>
      <c r="P209" s="11"/>
      <c r="Q209" s="11"/>
      <c r="R209" s="3"/>
    </row>
    <row r="210" spans="1:18" x14ac:dyDescent="0.2">
      <c r="A210" s="11">
        <v>111</v>
      </c>
      <c r="B210" s="11">
        <v>1</v>
      </c>
      <c r="C210" s="11" t="s">
        <v>65</v>
      </c>
      <c r="D210" s="11">
        <f t="shared" si="6"/>
        <v>3</v>
      </c>
      <c r="E210">
        <f t="shared" si="7"/>
        <v>111003</v>
      </c>
      <c r="F210" s="11">
        <v>419</v>
      </c>
      <c r="G210" s="11" t="s">
        <v>10</v>
      </c>
      <c r="H210" s="3">
        <v>267560.8</v>
      </c>
      <c r="K210" s="11"/>
      <c r="L210" s="11"/>
      <c r="M210" s="11"/>
      <c r="N210" s="11"/>
      <c r="P210" s="11"/>
      <c r="Q210" s="11"/>
      <c r="R210" s="3"/>
    </row>
    <row r="211" spans="1:18" x14ac:dyDescent="0.2">
      <c r="A211" s="11">
        <v>111</v>
      </c>
      <c r="B211" s="11">
        <v>1</v>
      </c>
      <c r="C211" s="11" t="s">
        <v>65</v>
      </c>
      <c r="D211" s="11">
        <f t="shared" si="6"/>
        <v>4</v>
      </c>
      <c r="E211">
        <f t="shared" si="7"/>
        <v>111004</v>
      </c>
      <c r="F211" s="11">
        <v>420</v>
      </c>
      <c r="G211" s="11" t="s">
        <v>11</v>
      </c>
      <c r="H211" s="3">
        <v>7643.84</v>
      </c>
      <c r="K211" s="11"/>
      <c r="L211" s="11"/>
      <c r="M211" s="11"/>
      <c r="N211" s="11"/>
      <c r="P211" s="11"/>
      <c r="Q211" s="11"/>
      <c r="R211" s="3"/>
    </row>
    <row r="212" spans="1:18" x14ac:dyDescent="0.2">
      <c r="A212" s="11">
        <v>111</v>
      </c>
      <c r="B212" s="11">
        <v>1</v>
      </c>
      <c r="C212" s="11" t="s">
        <v>65</v>
      </c>
      <c r="D212" s="11">
        <f t="shared" si="6"/>
        <v>5</v>
      </c>
      <c r="E212">
        <f t="shared" si="7"/>
        <v>111005</v>
      </c>
      <c r="F212" s="11">
        <v>433</v>
      </c>
      <c r="G212" s="11" t="s">
        <v>30</v>
      </c>
      <c r="H212" s="3">
        <v>3402.17</v>
      </c>
      <c r="K212" s="11"/>
      <c r="L212" s="11"/>
      <c r="M212" s="11"/>
      <c r="N212" s="11"/>
      <c r="P212" s="11"/>
      <c r="Q212" s="11"/>
      <c r="R212" s="3"/>
    </row>
    <row r="213" spans="1:18" x14ac:dyDescent="0.2">
      <c r="A213" s="11">
        <v>111</v>
      </c>
      <c r="B213" s="11">
        <v>1</v>
      </c>
      <c r="C213" s="11" t="s">
        <v>65</v>
      </c>
      <c r="D213" s="11">
        <f t="shared" si="6"/>
        <v>6</v>
      </c>
      <c r="E213">
        <f t="shared" si="7"/>
        <v>111006</v>
      </c>
      <c r="F213" s="11">
        <v>480</v>
      </c>
      <c r="G213" s="11" t="s">
        <v>19</v>
      </c>
      <c r="H213" s="3">
        <v>397490.77</v>
      </c>
      <c r="K213" s="11"/>
      <c r="L213" s="11"/>
      <c r="M213" s="11"/>
      <c r="N213" s="11"/>
      <c r="P213" s="11"/>
      <c r="Q213" s="11"/>
      <c r="R213" s="3"/>
    </row>
    <row r="214" spans="1:18" x14ac:dyDescent="0.2">
      <c r="A214" s="11">
        <v>111</v>
      </c>
      <c r="B214" s="11">
        <v>1</v>
      </c>
      <c r="C214" s="11" t="s">
        <v>65</v>
      </c>
      <c r="D214" s="11">
        <f t="shared" si="6"/>
        <v>7</v>
      </c>
      <c r="E214">
        <f t="shared" si="7"/>
        <v>111007</v>
      </c>
      <c r="F214" s="11">
        <v>484</v>
      </c>
      <c r="G214" s="11" t="s">
        <v>20</v>
      </c>
      <c r="H214" s="3">
        <v>16275.25</v>
      </c>
      <c r="K214" s="11"/>
      <c r="L214" s="11"/>
      <c r="M214" s="11"/>
      <c r="N214" s="11"/>
      <c r="P214" s="11"/>
      <c r="Q214" s="11"/>
      <c r="R214" s="3"/>
    </row>
    <row r="215" spans="1:18" x14ac:dyDescent="0.2">
      <c r="A215" s="11">
        <v>111</v>
      </c>
      <c r="B215" s="11">
        <v>1</v>
      </c>
      <c r="C215" s="11" t="s">
        <v>65</v>
      </c>
      <c r="D215" s="11">
        <f t="shared" si="6"/>
        <v>8</v>
      </c>
      <c r="E215">
        <f t="shared" si="7"/>
        <v>111008</v>
      </c>
      <c r="F215" s="11">
        <v>486</v>
      </c>
      <c r="G215" s="11" t="s">
        <v>21</v>
      </c>
      <c r="H215" s="3">
        <v>15494.23</v>
      </c>
      <c r="K215" s="11"/>
      <c r="L215" s="11"/>
      <c r="M215" s="11"/>
      <c r="N215" s="11"/>
      <c r="P215" s="11"/>
      <c r="Q215" s="11"/>
      <c r="R215" s="3"/>
    </row>
    <row r="216" spans="1:18" x14ac:dyDescent="0.2">
      <c r="A216" s="11">
        <v>112</v>
      </c>
      <c r="B216" s="11">
        <v>1</v>
      </c>
      <c r="C216" s="11" t="s">
        <v>67</v>
      </c>
      <c r="D216" s="11">
        <f t="shared" si="6"/>
        <v>1</v>
      </c>
      <c r="E216">
        <f t="shared" si="7"/>
        <v>112001</v>
      </c>
      <c r="F216" s="11">
        <v>401</v>
      </c>
      <c r="G216" s="11" t="s">
        <v>29</v>
      </c>
      <c r="H216" s="3">
        <v>228267.66</v>
      </c>
      <c r="K216" s="11"/>
      <c r="L216" s="11"/>
      <c r="M216" s="11"/>
      <c r="N216" s="11"/>
      <c r="P216" s="11"/>
      <c r="Q216" s="11"/>
      <c r="R216" s="3"/>
    </row>
    <row r="217" spans="1:18" x14ac:dyDescent="0.2">
      <c r="A217" s="11">
        <v>112</v>
      </c>
      <c r="B217" s="11">
        <v>1</v>
      </c>
      <c r="C217" s="11" t="s">
        <v>67</v>
      </c>
      <c r="D217" s="11">
        <f t="shared" si="6"/>
        <v>2</v>
      </c>
      <c r="E217">
        <f t="shared" si="7"/>
        <v>112002</v>
      </c>
      <c r="F217" s="11">
        <v>414</v>
      </c>
      <c r="G217" s="11" t="s">
        <v>9</v>
      </c>
      <c r="H217" s="3">
        <v>163124.34</v>
      </c>
      <c r="K217" s="11"/>
      <c r="L217" s="11"/>
      <c r="M217" s="11"/>
      <c r="N217" s="11"/>
      <c r="P217" s="11"/>
      <c r="Q217" s="11"/>
      <c r="R217" s="3"/>
    </row>
    <row r="218" spans="1:18" x14ac:dyDescent="0.2">
      <c r="A218" s="11">
        <v>112</v>
      </c>
      <c r="B218" s="11">
        <v>1</v>
      </c>
      <c r="C218" s="11" t="s">
        <v>67</v>
      </c>
      <c r="D218" s="11">
        <f t="shared" si="6"/>
        <v>3</v>
      </c>
      <c r="E218">
        <f t="shared" si="7"/>
        <v>112003</v>
      </c>
      <c r="F218" s="11">
        <v>417</v>
      </c>
      <c r="G218" s="11" t="s">
        <v>34</v>
      </c>
      <c r="H218" s="3">
        <v>67541.34</v>
      </c>
      <c r="K218" s="11"/>
      <c r="L218" s="11"/>
      <c r="M218" s="11"/>
      <c r="N218" s="11"/>
      <c r="P218" s="11"/>
      <c r="Q218" s="11"/>
      <c r="R218" s="3"/>
    </row>
    <row r="219" spans="1:18" x14ac:dyDescent="0.2">
      <c r="A219" s="11">
        <v>112</v>
      </c>
      <c r="B219" s="11">
        <v>1</v>
      </c>
      <c r="C219" s="11" t="s">
        <v>67</v>
      </c>
      <c r="D219" s="11">
        <f t="shared" si="6"/>
        <v>4</v>
      </c>
      <c r="E219">
        <f t="shared" si="7"/>
        <v>112004</v>
      </c>
      <c r="F219" s="11">
        <v>420</v>
      </c>
      <c r="G219" s="11" t="s">
        <v>11</v>
      </c>
      <c r="H219" s="3">
        <v>33209.43</v>
      </c>
      <c r="K219" s="11"/>
      <c r="L219" s="11"/>
      <c r="M219" s="11"/>
      <c r="N219" s="11"/>
      <c r="P219" s="11"/>
      <c r="Q219" s="11"/>
      <c r="R219" s="3"/>
    </row>
    <row r="220" spans="1:18" x14ac:dyDescent="0.2">
      <c r="A220" s="11">
        <v>112</v>
      </c>
      <c r="B220" s="11">
        <v>1</v>
      </c>
      <c r="C220" s="11" t="s">
        <v>67</v>
      </c>
      <c r="D220" s="11">
        <f t="shared" si="6"/>
        <v>5</v>
      </c>
      <c r="E220">
        <f t="shared" si="7"/>
        <v>112005</v>
      </c>
      <c r="F220" s="11">
        <v>433</v>
      </c>
      <c r="G220" s="11" t="s">
        <v>30</v>
      </c>
      <c r="H220" s="3">
        <v>17182.73</v>
      </c>
      <c r="K220" s="11"/>
      <c r="L220" s="11"/>
      <c r="M220" s="11"/>
      <c r="N220" s="11"/>
      <c r="P220" s="11"/>
      <c r="Q220" s="11"/>
      <c r="R220" s="3"/>
    </row>
    <row r="221" spans="1:18" x14ac:dyDescent="0.2">
      <c r="A221" s="11">
        <v>112</v>
      </c>
      <c r="B221" s="11">
        <v>1</v>
      </c>
      <c r="C221" s="11" t="s">
        <v>67</v>
      </c>
      <c r="D221" s="11">
        <f t="shared" si="6"/>
        <v>6</v>
      </c>
      <c r="E221">
        <f t="shared" si="7"/>
        <v>112006</v>
      </c>
      <c r="F221" s="11">
        <v>486</v>
      </c>
      <c r="G221" s="11" t="s">
        <v>21</v>
      </c>
      <c r="H221" s="3">
        <v>66267.64</v>
      </c>
      <c r="K221" s="11"/>
      <c r="L221" s="11"/>
      <c r="M221" s="11"/>
      <c r="N221" s="11"/>
      <c r="P221" s="11"/>
      <c r="Q221" s="11"/>
      <c r="R221" s="3"/>
    </row>
    <row r="222" spans="1:18" x14ac:dyDescent="0.2">
      <c r="A222" s="11">
        <v>113</v>
      </c>
      <c r="B222" s="11">
        <v>1</v>
      </c>
      <c r="C222" s="11" t="s">
        <v>68</v>
      </c>
      <c r="D222" s="11">
        <f t="shared" si="6"/>
        <v>1</v>
      </c>
      <c r="E222">
        <f t="shared" si="7"/>
        <v>113001</v>
      </c>
      <c r="F222" s="11">
        <v>401</v>
      </c>
      <c r="G222" s="11" t="s">
        <v>29</v>
      </c>
      <c r="H222" s="3">
        <v>227278.13</v>
      </c>
      <c r="K222" s="11"/>
      <c r="L222" s="11"/>
      <c r="M222" s="11"/>
      <c r="N222" s="11"/>
      <c r="P222" s="11"/>
      <c r="Q222" s="11"/>
      <c r="R222" s="3"/>
    </row>
    <row r="223" spans="1:18" x14ac:dyDescent="0.2">
      <c r="A223" s="11">
        <v>113</v>
      </c>
      <c r="B223" s="11">
        <v>1</v>
      </c>
      <c r="C223" s="11" t="s">
        <v>68</v>
      </c>
      <c r="D223" s="11">
        <f t="shared" si="6"/>
        <v>2</v>
      </c>
      <c r="E223">
        <f t="shared" si="7"/>
        <v>113002</v>
      </c>
      <c r="F223" s="11">
        <v>414</v>
      </c>
      <c r="G223" s="11" t="s">
        <v>9</v>
      </c>
      <c r="H223" s="3">
        <v>63836.85</v>
      </c>
      <c r="K223" s="11"/>
      <c r="L223" s="11"/>
      <c r="M223" s="11"/>
      <c r="N223" s="11"/>
      <c r="P223" s="11"/>
      <c r="Q223" s="11"/>
      <c r="R223" s="3"/>
    </row>
    <row r="224" spans="1:18" x14ac:dyDescent="0.2">
      <c r="A224" s="11">
        <v>113</v>
      </c>
      <c r="B224" s="11">
        <v>1</v>
      </c>
      <c r="C224" s="11" t="s">
        <v>68</v>
      </c>
      <c r="D224" s="11">
        <f t="shared" si="6"/>
        <v>3</v>
      </c>
      <c r="E224">
        <f t="shared" si="7"/>
        <v>113003</v>
      </c>
      <c r="F224" s="11">
        <v>433</v>
      </c>
      <c r="G224" s="11" t="s">
        <v>30</v>
      </c>
      <c r="H224" s="3">
        <v>4161.68</v>
      </c>
      <c r="K224" s="11"/>
      <c r="L224" s="11"/>
      <c r="M224" s="11"/>
      <c r="N224" s="11"/>
      <c r="P224" s="11"/>
      <c r="Q224" s="11"/>
      <c r="R224" s="3"/>
    </row>
    <row r="225" spans="1:18" x14ac:dyDescent="0.2">
      <c r="A225" s="11">
        <v>113</v>
      </c>
      <c r="B225" s="11">
        <v>1</v>
      </c>
      <c r="C225" s="11" t="s">
        <v>68</v>
      </c>
      <c r="D225" s="11">
        <f t="shared" si="6"/>
        <v>4</v>
      </c>
      <c r="E225">
        <f t="shared" si="7"/>
        <v>113004</v>
      </c>
      <c r="F225" s="11">
        <v>438</v>
      </c>
      <c r="G225" s="11" t="s">
        <v>15</v>
      </c>
      <c r="H225" s="3">
        <v>8184.64</v>
      </c>
      <c r="K225" s="11"/>
      <c r="L225" s="11"/>
      <c r="M225" s="11"/>
      <c r="N225" s="11"/>
      <c r="P225" s="11"/>
      <c r="Q225" s="11"/>
      <c r="R225" s="3"/>
    </row>
    <row r="226" spans="1:18" x14ac:dyDescent="0.2">
      <c r="A226" s="11">
        <v>113</v>
      </c>
      <c r="B226" s="11">
        <v>1</v>
      </c>
      <c r="C226" s="11" t="s">
        <v>68</v>
      </c>
      <c r="D226" s="11">
        <f t="shared" si="6"/>
        <v>5</v>
      </c>
      <c r="E226">
        <f t="shared" si="7"/>
        <v>113005</v>
      </c>
      <c r="F226" s="11">
        <v>470</v>
      </c>
      <c r="G226" s="11" t="s">
        <v>6</v>
      </c>
      <c r="H226" s="3">
        <v>128114.83</v>
      </c>
      <c r="K226" s="11"/>
      <c r="L226" s="11"/>
      <c r="M226" s="11"/>
      <c r="N226" s="11"/>
      <c r="P226" s="11"/>
      <c r="Q226" s="11"/>
      <c r="R226" s="3"/>
    </row>
    <row r="227" spans="1:18" x14ac:dyDescent="0.2">
      <c r="A227" s="11">
        <v>113</v>
      </c>
      <c r="B227" s="11">
        <v>1</v>
      </c>
      <c r="C227" s="11" t="s">
        <v>68</v>
      </c>
      <c r="D227" s="11">
        <f t="shared" si="6"/>
        <v>6</v>
      </c>
      <c r="E227">
        <f t="shared" si="7"/>
        <v>113006</v>
      </c>
      <c r="F227" s="11">
        <v>837</v>
      </c>
      <c r="G227" s="11" t="s">
        <v>69</v>
      </c>
      <c r="H227" s="3">
        <v>110000</v>
      </c>
      <c r="K227" s="11"/>
      <c r="L227" s="11"/>
      <c r="M227" s="11"/>
      <c r="N227" s="11"/>
      <c r="P227" s="11"/>
      <c r="Q227" s="11"/>
      <c r="R227" s="3"/>
    </row>
    <row r="228" spans="1:18" x14ac:dyDescent="0.2">
      <c r="A228" s="11">
        <v>115</v>
      </c>
      <c r="B228" s="11">
        <v>1</v>
      </c>
      <c r="C228" s="11" t="s">
        <v>70</v>
      </c>
      <c r="D228" s="11">
        <f t="shared" si="6"/>
        <v>1</v>
      </c>
      <c r="E228">
        <f t="shared" si="7"/>
        <v>115001</v>
      </c>
      <c r="F228" s="11">
        <v>151</v>
      </c>
      <c r="G228" s="11" t="s">
        <v>28</v>
      </c>
      <c r="H228" s="3">
        <v>548198.5</v>
      </c>
      <c r="K228" s="11"/>
      <c r="L228" s="11"/>
      <c r="M228" s="11"/>
      <c r="N228" s="11"/>
      <c r="P228" s="11"/>
      <c r="Q228" s="11"/>
      <c r="R228" s="3"/>
    </row>
    <row r="229" spans="1:18" x14ac:dyDescent="0.2">
      <c r="A229" s="11">
        <v>115</v>
      </c>
      <c r="B229" s="11">
        <v>1</v>
      </c>
      <c r="C229" s="11" t="s">
        <v>70</v>
      </c>
      <c r="D229" s="11">
        <f t="shared" si="6"/>
        <v>2</v>
      </c>
      <c r="E229">
        <f t="shared" si="7"/>
        <v>115002</v>
      </c>
      <c r="F229" s="11">
        <v>401</v>
      </c>
      <c r="G229" s="11" t="s">
        <v>29</v>
      </c>
      <c r="H229" s="3">
        <v>419957.48</v>
      </c>
      <c r="K229" s="11"/>
      <c r="L229" s="11"/>
      <c r="M229" s="11"/>
      <c r="N229" s="11"/>
      <c r="P229" s="11"/>
      <c r="Q229" s="11"/>
      <c r="R229" s="3"/>
    </row>
    <row r="230" spans="1:18" x14ac:dyDescent="0.2">
      <c r="A230" s="11">
        <v>115</v>
      </c>
      <c r="B230" s="11">
        <v>1</v>
      </c>
      <c r="C230" s="11" t="s">
        <v>70</v>
      </c>
      <c r="D230" s="11">
        <f t="shared" si="6"/>
        <v>3</v>
      </c>
      <c r="E230">
        <f t="shared" si="7"/>
        <v>115003</v>
      </c>
      <c r="F230" s="11">
        <v>414</v>
      </c>
      <c r="G230" s="11" t="s">
        <v>9</v>
      </c>
      <c r="H230" s="3">
        <v>94141.28</v>
      </c>
      <c r="K230" s="11"/>
      <c r="L230" s="11"/>
      <c r="M230" s="11"/>
      <c r="N230" s="11"/>
      <c r="P230" s="11"/>
      <c r="Q230" s="11"/>
      <c r="R230" s="3"/>
    </row>
    <row r="231" spans="1:18" x14ac:dyDescent="0.2">
      <c r="A231" s="11">
        <v>115</v>
      </c>
      <c r="B231" s="11">
        <v>1</v>
      </c>
      <c r="C231" s="11" t="s">
        <v>70</v>
      </c>
      <c r="D231" s="11">
        <f t="shared" si="6"/>
        <v>4</v>
      </c>
      <c r="E231">
        <f t="shared" si="7"/>
        <v>115004</v>
      </c>
      <c r="F231" s="11">
        <v>424</v>
      </c>
      <c r="G231" s="11" t="s">
        <v>48</v>
      </c>
      <c r="H231" s="3">
        <v>24314.03</v>
      </c>
      <c r="K231" s="11"/>
      <c r="L231" s="11"/>
      <c r="M231" s="11"/>
      <c r="N231" s="11"/>
      <c r="P231" s="11"/>
      <c r="Q231" s="11"/>
      <c r="R231" s="3"/>
    </row>
    <row r="232" spans="1:18" x14ac:dyDescent="0.2">
      <c r="A232" s="11">
        <v>115</v>
      </c>
      <c r="B232" s="11">
        <v>1</v>
      </c>
      <c r="C232" s="11" t="s">
        <v>70</v>
      </c>
      <c r="D232" s="11">
        <f t="shared" si="6"/>
        <v>5</v>
      </c>
      <c r="E232">
        <f t="shared" si="7"/>
        <v>115005</v>
      </c>
      <c r="F232" s="11">
        <v>433</v>
      </c>
      <c r="G232" s="11" t="s">
        <v>30</v>
      </c>
      <c r="H232" s="3">
        <v>7048.33</v>
      </c>
      <c r="K232" s="11"/>
      <c r="L232" s="11"/>
      <c r="M232" s="11"/>
      <c r="N232" s="11"/>
      <c r="P232" s="11"/>
      <c r="Q232" s="11"/>
      <c r="R232" s="3"/>
    </row>
    <row r="233" spans="1:18" x14ac:dyDescent="0.2">
      <c r="A233" s="11">
        <v>115</v>
      </c>
      <c r="B233" s="11">
        <v>1</v>
      </c>
      <c r="C233" s="11" t="s">
        <v>70</v>
      </c>
      <c r="D233" s="11">
        <f t="shared" si="6"/>
        <v>6</v>
      </c>
      <c r="E233">
        <f t="shared" si="7"/>
        <v>115006</v>
      </c>
      <c r="F233" s="11">
        <v>438</v>
      </c>
      <c r="G233" s="11" t="s">
        <v>15</v>
      </c>
      <c r="H233" s="3">
        <v>10251.51</v>
      </c>
      <c r="K233" s="11"/>
      <c r="L233" s="11"/>
      <c r="M233" s="11"/>
      <c r="N233" s="11"/>
      <c r="P233" s="11"/>
      <c r="Q233" s="11"/>
      <c r="R233" s="3"/>
    </row>
    <row r="234" spans="1:18" x14ac:dyDescent="0.2">
      <c r="A234" s="11">
        <v>115</v>
      </c>
      <c r="B234" s="11">
        <v>1</v>
      </c>
      <c r="C234" s="11" t="s">
        <v>70</v>
      </c>
      <c r="D234" s="11">
        <f t="shared" si="6"/>
        <v>7</v>
      </c>
      <c r="E234">
        <f t="shared" si="7"/>
        <v>115007</v>
      </c>
      <c r="F234" s="11">
        <v>470</v>
      </c>
      <c r="G234" s="11" t="s">
        <v>6</v>
      </c>
      <c r="H234" s="3">
        <v>295070.48</v>
      </c>
      <c r="K234" s="11"/>
      <c r="L234" s="11"/>
      <c r="M234" s="11"/>
      <c r="N234" s="11"/>
      <c r="P234" s="11"/>
      <c r="Q234" s="11"/>
      <c r="R234" s="3"/>
    </row>
    <row r="235" spans="1:18" x14ac:dyDescent="0.2">
      <c r="A235" s="11">
        <v>116</v>
      </c>
      <c r="B235" s="11">
        <v>1</v>
      </c>
      <c r="C235" s="11" t="s">
        <v>72</v>
      </c>
      <c r="D235" s="11">
        <f t="shared" si="6"/>
        <v>1</v>
      </c>
      <c r="E235">
        <f t="shared" si="7"/>
        <v>116001</v>
      </c>
      <c r="F235" s="11">
        <v>401</v>
      </c>
      <c r="G235" s="11" t="s">
        <v>29</v>
      </c>
      <c r="H235" s="3">
        <v>87849.93</v>
      </c>
      <c r="K235" s="11"/>
      <c r="L235" s="11"/>
      <c r="M235" s="11"/>
      <c r="N235" s="11"/>
      <c r="P235" s="11"/>
      <c r="Q235" s="11"/>
      <c r="R235" s="3"/>
    </row>
    <row r="236" spans="1:18" x14ac:dyDescent="0.2">
      <c r="A236" s="11">
        <v>116</v>
      </c>
      <c r="B236" s="11">
        <v>1</v>
      </c>
      <c r="C236" s="11" t="s">
        <v>72</v>
      </c>
      <c r="D236" s="11">
        <f t="shared" si="6"/>
        <v>2</v>
      </c>
      <c r="E236">
        <f t="shared" si="7"/>
        <v>116002</v>
      </c>
      <c r="F236" s="11">
        <v>414</v>
      </c>
      <c r="G236" s="11" t="s">
        <v>9</v>
      </c>
      <c r="H236" s="3">
        <v>32355.32</v>
      </c>
      <c r="K236" s="11"/>
      <c r="L236" s="11"/>
      <c r="M236" s="11"/>
      <c r="N236" s="11"/>
      <c r="P236" s="11"/>
      <c r="Q236" s="11"/>
      <c r="R236" s="3"/>
    </row>
    <row r="237" spans="1:18" x14ac:dyDescent="0.2">
      <c r="A237" s="11">
        <v>116</v>
      </c>
      <c r="B237" s="11">
        <v>1</v>
      </c>
      <c r="C237" s="11" t="s">
        <v>72</v>
      </c>
      <c r="D237" s="11">
        <f t="shared" si="6"/>
        <v>3</v>
      </c>
      <c r="E237">
        <f t="shared" si="7"/>
        <v>116003</v>
      </c>
      <c r="F237" s="11">
        <v>470</v>
      </c>
      <c r="G237" s="11" t="s">
        <v>6</v>
      </c>
      <c r="H237" s="3">
        <v>51816.959999999999</v>
      </c>
      <c r="K237" s="11"/>
      <c r="L237" s="11"/>
      <c r="M237" s="11"/>
      <c r="N237" s="11"/>
      <c r="P237" s="11"/>
      <c r="Q237" s="11"/>
      <c r="R237" s="3"/>
    </row>
    <row r="238" spans="1:18" x14ac:dyDescent="0.2">
      <c r="A238" s="11">
        <v>118</v>
      </c>
      <c r="B238" s="11">
        <v>1</v>
      </c>
      <c r="C238" s="11" t="s">
        <v>73</v>
      </c>
      <c r="D238" s="11">
        <f t="shared" si="6"/>
        <v>1</v>
      </c>
      <c r="E238">
        <f t="shared" si="7"/>
        <v>118001</v>
      </c>
      <c r="F238" s="11">
        <v>401</v>
      </c>
      <c r="G238" s="11" t="s">
        <v>29</v>
      </c>
      <c r="H238" s="3">
        <v>242613.5</v>
      </c>
      <c r="K238" s="11"/>
      <c r="L238" s="11"/>
      <c r="M238" s="11"/>
      <c r="N238" s="11"/>
      <c r="P238" s="11"/>
      <c r="Q238" s="11"/>
      <c r="R238" s="3"/>
    </row>
    <row r="239" spans="1:18" x14ac:dyDescent="0.2">
      <c r="A239" s="11">
        <v>118</v>
      </c>
      <c r="B239" s="11">
        <v>1</v>
      </c>
      <c r="C239" s="11" t="s">
        <v>73</v>
      </c>
      <c r="D239" s="11">
        <f t="shared" si="6"/>
        <v>2</v>
      </c>
      <c r="E239">
        <f t="shared" si="7"/>
        <v>118002</v>
      </c>
      <c r="F239" s="11">
        <v>414</v>
      </c>
      <c r="G239" s="11" t="s">
        <v>9</v>
      </c>
      <c r="H239" s="3">
        <v>56296.160000000003</v>
      </c>
      <c r="K239" s="11"/>
      <c r="L239" s="11"/>
      <c r="M239" s="11"/>
      <c r="N239" s="11"/>
      <c r="P239" s="11"/>
      <c r="Q239" s="11"/>
      <c r="R239" s="3"/>
    </row>
    <row r="240" spans="1:18" x14ac:dyDescent="0.2">
      <c r="A240" s="11">
        <v>118</v>
      </c>
      <c r="B240" s="11">
        <v>1</v>
      </c>
      <c r="C240" s="11" t="s">
        <v>73</v>
      </c>
      <c r="D240" s="11">
        <f t="shared" si="6"/>
        <v>3</v>
      </c>
      <c r="E240">
        <f t="shared" si="7"/>
        <v>118003</v>
      </c>
      <c r="F240" s="11">
        <v>433</v>
      </c>
      <c r="G240" s="11" t="s">
        <v>30</v>
      </c>
      <c r="H240" s="3">
        <v>3849.01</v>
      </c>
      <c r="K240" s="11"/>
      <c r="L240" s="11"/>
      <c r="M240" s="11"/>
      <c r="N240" s="11"/>
      <c r="P240" s="11"/>
      <c r="Q240" s="11"/>
      <c r="R240" s="3"/>
    </row>
    <row r="241" spans="1:18" x14ac:dyDescent="0.2">
      <c r="A241" s="11">
        <v>118</v>
      </c>
      <c r="B241" s="11">
        <v>1</v>
      </c>
      <c r="C241" s="11" t="s">
        <v>73</v>
      </c>
      <c r="D241" s="11">
        <f t="shared" si="6"/>
        <v>4</v>
      </c>
      <c r="E241">
        <f t="shared" si="7"/>
        <v>118004</v>
      </c>
      <c r="F241" s="11">
        <v>435</v>
      </c>
      <c r="G241" s="11" t="s">
        <v>35</v>
      </c>
      <c r="H241" s="3">
        <v>5000</v>
      </c>
      <c r="K241" s="11"/>
      <c r="L241" s="11"/>
      <c r="M241" s="11"/>
      <c r="N241" s="11"/>
      <c r="P241" s="11"/>
      <c r="Q241" s="11"/>
      <c r="R241" s="3"/>
    </row>
    <row r="242" spans="1:18" x14ac:dyDescent="0.2">
      <c r="A242" s="11">
        <v>118</v>
      </c>
      <c r="B242" s="11">
        <v>1</v>
      </c>
      <c r="C242" s="11" t="s">
        <v>73</v>
      </c>
      <c r="D242" s="11">
        <f t="shared" si="6"/>
        <v>5</v>
      </c>
      <c r="E242">
        <f t="shared" si="7"/>
        <v>118005</v>
      </c>
      <c r="F242" s="11">
        <v>470</v>
      </c>
      <c r="G242" s="11" t="s">
        <v>6</v>
      </c>
      <c r="H242" s="3">
        <v>172119.46</v>
      </c>
      <c r="K242" s="11"/>
      <c r="L242" s="11"/>
      <c r="M242" s="11"/>
      <c r="N242" s="11"/>
      <c r="P242" s="11"/>
      <c r="Q242" s="11"/>
      <c r="R242" s="3"/>
    </row>
    <row r="243" spans="1:18" x14ac:dyDescent="0.2">
      <c r="A243" s="11">
        <v>118</v>
      </c>
      <c r="B243" s="11">
        <v>1</v>
      </c>
      <c r="C243" s="11" t="s">
        <v>73</v>
      </c>
      <c r="D243" s="11">
        <f t="shared" si="6"/>
        <v>6</v>
      </c>
      <c r="E243">
        <f t="shared" si="7"/>
        <v>118006</v>
      </c>
      <c r="F243" s="11">
        <v>484</v>
      </c>
      <c r="G243" s="11" t="s">
        <v>20</v>
      </c>
      <c r="H243" s="3">
        <v>4545.47</v>
      </c>
      <c r="K243" s="11"/>
      <c r="L243" s="11"/>
      <c r="M243" s="11"/>
      <c r="N243" s="11"/>
      <c r="P243" s="11"/>
      <c r="Q243" s="11"/>
      <c r="R243" s="3"/>
    </row>
    <row r="244" spans="1:18" x14ac:dyDescent="0.2">
      <c r="A244" s="11">
        <v>118</v>
      </c>
      <c r="B244" s="11">
        <v>1</v>
      </c>
      <c r="C244" s="11" t="s">
        <v>73</v>
      </c>
      <c r="D244" s="11">
        <f t="shared" si="6"/>
        <v>7</v>
      </c>
      <c r="E244">
        <f t="shared" si="7"/>
        <v>118007</v>
      </c>
      <c r="F244" s="11">
        <v>486</v>
      </c>
      <c r="G244" s="11" t="s">
        <v>21</v>
      </c>
      <c r="H244" s="3">
        <v>1191.8599999999999</v>
      </c>
      <c r="K244" s="11"/>
      <c r="L244" s="11"/>
      <c r="M244" s="11"/>
      <c r="N244" s="11"/>
      <c r="P244" s="11"/>
      <c r="Q244" s="11"/>
      <c r="R244" s="3"/>
    </row>
    <row r="245" spans="1:18" x14ac:dyDescent="0.2">
      <c r="A245" s="11">
        <v>129</v>
      </c>
      <c r="B245" s="11">
        <v>1</v>
      </c>
      <c r="C245" s="11" t="s">
        <v>74</v>
      </c>
      <c r="D245" s="11">
        <f t="shared" si="6"/>
        <v>1</v>
      </c>
      <c r="E245">
        <f t="shared" si="7"/>
        <v>129001</v>
      </c>
      <c r="F245" s="11">
        <v>401</v>
      </c>
      <c r="G245" s="11" t="s">
        <v>29</v>
      </c>
      <c r="H245" s="3">
        <v>154240.20000000001</v>
      </c>
      <c r="K245" s="11"/>
      <c r="L245" s="11"/>
      <c r="M245" s="11"/>
      <c r="N245" s="11"/>
      <c r="P245" s="11"/>
      <c r="Q245" s="11"/>
      <c r="R245" s="3"/>
    </row>
    <row r="246" spans="1:18" x14ac:dyDescent="0.2">
      <c r="A246" s="11">
        <v>129</v>
      </c>
      <c r="B246" s="11">
        <v>1</v>
      </c>
      <c r="C246" s="11" t="s">
        <v>74</v>
      </c>
      <c r="D246" s="11">
        <f t="shared" si="6"/>
        <v>2</v>
      </c>
      <c r="E246">
        <f t="shared" si="7"/>
        <v>129002</v>
      </c>
      <c r="F246" s="11">
        <v>414</v>
      </c>
      <c r="G246" s="11" t="s">
        <v>9</v>
      </c>
      <c r="H246" s="3">
        <v>59522.26</v>
      </c>
      <c r="K246" s="11"/>
      <c r="L246" s="11"/>
      <c r="M246" s="11"/>
      <c r="N246" s="11"/>
      <c r="P246" s="11"/>
      <c r="Q246" s="11"/>
      <c r="R246" s="3"/>
    </row>
    <row r="247" spans="1:18" x14ac:dyDescent="0.2">
      <c r="A247" s="11">
        <v>129</v>
      </c>
      <c r="B247" s="11">
        <v>1</v>
      </c>
      <c r="C247" s="11" t="s">
        <v>74</v>
      </c>
      <c r="D247" s="11">
        <f t="shared" si="6"/>
        <v>3</v>
      </c>
      <c r="E247">
        <f t="shared" si="7"/>
        <v>129003</v>
      </c>
      <c r="F247" s="11">
        <v>433</v>
      </c>
      <c r="G247" s="11" t="s">
        <v>30</v>
      </c>
      <c r="H247" s="3">
        <v>3833.91</v>
      </c>
      <c r="K247" s="11"/>
      <c r="L247" s="11"/>
      <c r="M247" s="11"/>
      <c r="N247" s="11"/>
      <c r="P247" s="11"/>
      <c r="Q247" s="11"/>
      <c r="R247" s="3"/>
    </row>
    <row r="248" spans="1:18" x14ac:dyDescent="0.2">
      <c r="A248" s="11">
        <v>129</v>
      </c>
      <c r="B248" s="11">
        <v>1</v>
      </c>
      <c r="C248" s="11" t="s">
        <v>74</v>
      </c>
      <c r="D248" s="11">
        <f t="shared" si="6"/>
        <v>4</v>
      </c>
      <c r="E248">
        <f t="shared" si="7"/>
        <v>129004</v>
      </c>
      <c r="F248" s="11">
        <v>470</v>
      </c>
      <c r="G248" s="11" t="s">
        <v>6</v>
      </c>
      <c r="H248" s="3">
        <v>94997.74</v>
      </c>
      <c r="K248" s="11"/>
      <c r="L248" s="11"/>
      <c r="M248" s="11"/>
      <c r="N248" s="11"/>
      <c r="P248" s="11"/>
      <c r="Q248" s="11"/>
      <c r="R248" s="3"/>
    </row>
    <row r="249" spans="1:18" x14ac:dyDescent="0.2">
      <c r="A249" s="11">
        <v>138</v>
      </c>
      <c r="B249" s="11">
        <v>1</v>
      </c>
      <c r="C249" s="11" t="s">
        <v>75</v>
      </c>
      <c r="D249" s="11">
        <f t="shared" si="6"/>
        <v>1</v>
      </c>
      <c r="E249">
        <f t="shared" si="7"/>
        <v>138001</v>
      </c>
      <c r="F249" s="11">
        <v>151</v>
      </c>
      <c r="G249" s="11" t="s">
        <v>28</v>
      </c>
      <c r="H249" s="3">
        <v>1451230.01</v>
      </c>
      <c r="K249" s="11"/>
      <c r="L249" s="11"/>
      <c r="M249" s="11"/>
      <c r="N249" s="11"/>
      <c r="P249" s="11"/>
      <c r="Q249" s="11"/>
      <c r="R249" s="3"/>
    </row>
    <row r="250" spans="1:18" x14ac:dyDescent="0.2">
      <c r="A250" s="11">
        <v>138</v>
      </c>
      <c r="B250" s="11">
        <v>1</v>
      </c>
      <c r="C250" s="11" t="s">
        <v>75</v>
      </c>
      <c r="D250" s="11">
        <f t="shared" si="6"/>
        <v>2</v>
      </c>
      <c r="E250">
        <f t="shared" si="7"/>
        <v>138002</v>
      </c>
      <c r="F250" s="11">
        <v>401</v>
      </c>
      <c r="G250" s="11" t="s">
        <v>29</v>
      </c>
      <c r="H250" s="3">
        <v>240196.84</v>
      </c>
      <c r="K250" s="11"/>
      <c r="L250" s="11"/>
      <c r="M250" s="11"/>
      <c r="N250" s="11"/>
      <c r="P250" s="11"/>
      <c r="Q250" s="11"/>
      <c r="R250" s="3"/>
    </row>
    <row r="251" spans="1:18" x14ac:dyDescent="0.2">
      <c r="A251" s="11">
        <v>138</v>
      </c>
      <c r="B251" s="11">
        <v>1</v>
      </c>
      <c r="C251" s="11" t="s">
        <v>75</v>
      </c>
      <c r="D251" s="11">
        <f t="shared" si="6"/>
        <v>3</v>
      </c>
      <c r="E251">
        <f t="shared" si="7"/>
        <v>138003</v>
      </c>
      <c r="F251" s="11">
        <v>414</v>
      </c>
      <c r="G251" s="11" t="s">
        <v>9</v>
      </c>
      <c r="H251" s="3">
        <v>96949.96</v>
      </c>
      <c r="K251" s="11"/>
      <c r="L251" s="11"/>
      <c r="M251" s="11"/>
      <c r="N251" s="11"/>
      <c r="P251" s="11"/>
      <c r="Q251" s="11"/>
      <c r="R251" s="3"/>
    </row>
    <row r="252" spans="1:18" x14ac:dyDescent="0.2">
      <c r="A252" s="11">
        <v>138</v>
      </c>
      <c r="B252" s="11">
        <v>1</v>
      </c>
      <c r="C252" s="11" t="s">
        <v>75</v>
      </c>
      <c r="D252" s="11">
        <f t="shared" si="6"/>
        <v>4</v>
      </c>
      <c r="E252">
        <f t="shared" si="7"/>
        <v>138004</v>
      </c>
      <c r="F252" s="11">
        <v>433</v>
      </c>
      <c r="G252" s="11" t="s">
        <v>30</v>
      </c>
      <c r="H252" s="3">
        <v>8151.88</v>
      </c>
      <c r="K252" s="11"/>
      <c r="L252" s="11"/>
      <c r="M252" s="11"/>
      <c r="N252" s="11"/>
      <c r="P252" s="11"/>
      <c r="Q252" s="11"/>
      <c r="R252" s="3"/>
    </row>
    <row r="253" spans="1:18" x14ac:dyDescent="0.2">
      <c r="A253" s="11">
        <v>138</v>
      </c>
      <c r="B253" s="11">
        <v>1</v>
      </c>
      <c r="C253" s="11" t="s">
        <v>75</v>
      </c>
      <c r="D253" s="11">
        <f t="shared" si="6"/>
        <v>5</v>
      </c>
      <c r="E253">
        <f t="shared" si="7"/>
        <v>138005</v>
      </c>
      <c r="F253" s="11">
        <v>470</v>
      </c>
      <c r="G253" s="11" t="s">
        <v>6</v>
      </c>
      <c r="H253" s="3">
        <v>144964.09</v>
      </c>
      <c r="K253" s="11"/>
      <c r="L253" s="11"/>
      <c r="M253" s="11"/>
      <c r="N253" s="11"/>
      <c r="P253" s="11"/>
      <c r="Q253" s="11"/>
      <c r="R253" s="3"/>
    </row>
    <row r="254" spans="1:18" x14ac:dyDescent="0.2">
      <c r="A254" s="11">
        <v>139</v>
      </c>
      <c r="B254" s="11">
        <v>1</v>
      </c>
      <c r="C254" s="11" t="s">
        <v>76</v>
      </c>
      <c r="D254" s="11">
        <f t="shared" si="6"/>
        <v>1</v>
      </c>
      <c r="E254">
        <f t="shared" si="7"/>
        <v>139001</v>
      </c>
      <c r="F254" s="11">
        <v>151</v>
      </c>
      <c r="G254" s="11" t="s">
        <v>28</v>
      </c>
      <c r="H254" s="3">
        <v>360172.2</v>
      </c>
      <c r="K254" s="11"/>
      <c r="L254" s="11"/>
      <c r="M254" s="11"/>
      <c r="N254" s="11"/>
      <c r="P254" s="11"/>
      <c r="Q254" s="11"/>
      <c r="R254" s="3"/>
    </row>
    <row r="255" spans="1:18" x14ac:dyDescent="0.2">
      <c r="A255" s="11">
        <v>146</v>
      </c>
      <c r="B255" s="11">
        <v>1</v>
      </c>
      <c r="C255" s="11" t="s">
        <v>77</v>
      </c>
      <c r="D255" s="11">
        <f t="shared" si="6"/>
        <v>1</v>
      </c>
      <c r="E255">
        <f t="shared" si="7"/>
        <v>146001</v>
      </c>
      <c r="F255" s="11">
        <v>433</v>
      </c>
      <c r="G255" s="11" t="s">
        <v>30</v>
      </c>
      <c r="H255" s="3">
        <v>1844.01</v>
      </c>
      <c r="K255" s="11"/>
      <c r="L255" s="11"/>
      <c r="M255" s="11"/>
      <c r="N255" s="11"/>
      <c r="P255" s="11"/>
      <c r="Q255" s="11"/>
      <c r="R255" s="3"/>
    </row>
    <row r="256" spans="1:18" x14ac:dyDescent="0.2">
      <c r="A256" s="11">
        <v>150</v>
      </c>
      <c r="B256" s="11">
        <v>1</v>
      </c>
      <c r="C256" s="11" t="s">
        <v>78</v>
      </c>
      <c r="D256" s="11">
        <f t="shared" si="6"/>
        <v>1</v>
      </c>
      <c r="E256">
        <f t="shared" si="7"/>
        <v>150001</v>
      </c>
      <c r="F256" s="11">
        <v>401</v>
      </c>
      <c r="G256" s="11" t="s">
        <v>29</v>
      </c>
      <c r="H256" s="3">
        <v>74274.62</v>
      </c>
      <c r="K256" s="11"/>
      <c r="L256" s="11"/>
      <c r="M256" s="11"/>
      <c r="N256" s="11"/>
      <c r="P256" s="11"/>
      <c r="Q256" s="11"/>
      <c r="R256" s="3"/>
    </row>
    <row r="257" spans="1:18" x14ac:dyDescent="0.2">
      <c r="A257" s="11">
        <v>150</v>
      </c>
      <c r="B257" s="11">
        <v>1</v>
      </c>
      <c r="C257" s="11" t="s">
        <v>78</v>
      </c>
      <c r="D257" s="11">
        <f t="shared" si="6"/>
        <v>2</v>
      </c>
      <c r="E257">
        <f t="shared" si="7"/>
        <v>150002</v>
      </c>
      <c r="F257" s="11">
        <v>414</v>
      </c>
      <c r="G257" s="11" t="s">
        <v>9</v>
      </c>
      <c r="H257" s="3">
        <v>20069.54</v>
      </c>
      <c r="K257" s="11"/>
      <c r="L257" s="11"/>
      <c r="M257" s="11"/>
      <c r="N257" s="11"/>
      <c r="P257" s="11"/>
      <c r="Q257" s="11"/>
      <c r="R257" s="3"/>
    </row>
    <row r="258" spans="1:18" x14ac:dyDescent="0.2">
      <c r="A258" s="11">
        <v>150</v>
      </c>
      <c r="B258" s="11">
        <v>1</v>
      </c>
      <c r="C258" s="11" t="s">
        <v>78</v>
      </c>
      <c r="D258" s="11">
        <f t="shared" si="6"/>
        <v>3</v>
      </c>
      <c r="E258">
        <f t="shared" si="7"/>
        <v>150003</v>
      </c>
      <c r="F258" s="11">
        <v>433</v>
      </c>
      <c r="G258" s="11" t="s">
        <v>30</v>
      </c>
      <c r="H258" s="3">
        <v>2153.16</v>
      </c>
      <c r="K258" s="11"/>
      <c r="L258" s="11"/>
      <c r="M258" s="11"/>
      <c r="N258" s="11"/>
      <c r="P258" s="11"/>
      <c r="Q258" s="11"/>
      <c r="R258" s="3"/>
    </row>
    <row r="259" spans="1:18" x14ac:dyDescent="0.2">
      <c r="A259" s="11">
        <v>150</v>
      </c>
      <c r="B259" s="11">
        <v>1</v>
      </c>
      <c r="C259" s="11" t="s">
        <v>78</v>
      </c>
      <c r="D259" s="11">
        <f t="shared" si="6"/>
        <v>4</v>
      </c>
      <c r="E259">
        <f t="shared" si="7"/>
        <v>150004</v>
      </c>
      <c r="F259" s="11">
        <v>470</v>
      </c>
      <c r="G259" s="11" t="s">
        <v>6</v>
      </c>
      <c r="H259" s="3">
        <v>43797.67</v>
      </c>
      <c r="K259" s="11"/>
      <c r="L259" s="11"/>
      <c r="M259" s="11"/>
      <c r="N259" s="11"/>
      <c r="P259" s="11"/>
      <c r="Q259" s="11"/>
      <c r="R259" s="3"/>
    </row>
    <row r="260" spans="1:18" x14ac:dyDescent="0.2">
      <c r="A260" s="11">
        <v>152</v>
      </c>
      <c r="B260" s="11">
        <v>1</v>
      </c>
      <c r="C260" s="11" t="s">
        <v>79</v>
      </c>
      <c r="D260" s="11">
        <f t="shared" si="6"/>
        <v>1</v>
      </c>
      <c r="E260">
        <f t="shared" si="7"/>
        <v>152001</v>
      </c>
      <c r="F260" s="11">
        <v>401</v>
      </c>
      <c r="G260" s="11" t="s">
        <v>29</v>
      </c>
      <c r="H260" s="3">
        <v>742909.06</v>
      </c>
      <c r="K260" s="11"/>
      <c r="L260" s="11"/>
      <c r="M260" s="11"/>
      <c r="N260" s="11"/>
      <c r="P260" s="11"/>
      <c r="Q260" s="11"/>
      <c r="R260" s="3"/>
    </row>
    <row r="261" spans="1:18" x14ac:dyDescent="0.2">
      <c r="A261" s="11">
        <v>152</v>
      </c>
      <c r="B261" s="11">
        <v>1</v>
      </c>
      <c r="C261" s="11" t="s">
        <v>79</v>
      </c>
      <c r="D261" s="11">
        <f t="shared" si="6"/>
        <v>2</v>
      </c>
      <c r="E261">
        <f t="shared" si="7"/>
        <v>152002</v>
      </c>
      <c r="F261" s="11">
        <v>406</v>
      </c>
      <c r="G261" s="11" t="s">
        <v>8</v>
      </c>
      <c r="H261" s="3">
        <v>32542.18</v>
      </c>
      <c r="K261" s="11"/>
      <c r="L261" s="11"/>
      <c r="M261" s="11"/>
      <c r="N261" s="11"/>
      <c r="P261" s="11"/>
      <c r="Q261" s="11"/>
      <c r="R261" s="3"/>
    </row>
    <row r="262" spans="1:18" x14ac:dyDescent="0.2">
      <c r="A262" s="11">
        <v>152</v>
      </c>
      <c r="B262" s="11">
        <v>1</v>
      </c>
      <c r="C262" s="11" t="s">
        <v>79</v>
      </c>
      <c r="D262" s="11">
        <f t="shared" si="6"/>
        <v>3</v>
      </c>
      <c r="E262">
        <f t="shared" si="7"/>
        <v>152003</v>
      </c>
      <c r="F262" s="11">
        <v>414</v>
      </c>
      <c r="G262" s="11" t="s">
        <v>9</v>
      </c>
      <c r="H262" s="3">
        <v>289196.58</v>
      </c>
      <c r="K262" s="11"/>
      <c r="L262" s="11"/>
      <c r="M262" s="11"/>
      <c r="N262" s="11"/>
      <c r="P262" s="11"/>
      <c r="Q262" s="11"/>
      <c r="R262" s="3"/>
    </row>
    <row r="263" spans="1:18" x14ac:dyDescent="0.2">
      <c r="A263" s="11">
        <v>152</v>
      </c>
      <c r="B263" s="11">
        <v>1</v>
      </c>
      <c r="C263" s="11" t="s">
        <v>79</v>
      </c>
      <c r="D263" s="11">
        <f t="shared" si="6"/>
        <v>4</v>
      </c>
      <c r="E263">
        <f t="shared" si="7"/>
        <v>152004</v>
      </c>
      <c r="F263" s="11">
        <v>417</v>
      </c>
      <c r="G263" s="11" t="s">
        <v>34</v>
      </c>
      <c r="H263" s="3">
        <v>42287.79</v>
      </c>
      <c r="K263" s="11"/>
      <c r="L263" s="11"/>
      <c r="M263" s="11"/>
      <c r="N263" s="11"/>
      <c r="P263" s="11"/>
      <c r="Q263" s="11"/>
      <c r="R263" s="3"/>
    </row>
    <row r="264" spans="1:18" x14ac:dyDescent="0.2">
      <c r="A264" s="11">
        <v>152</v>
      </c>
      <c r="B264" s="11">
        <v>1</v>
      </c>
      <c r="C264" s="11" t="s">
        <v>79</v>
      </c>
      <c r="D264" s="11">
        <f t="shared" si="6"/>
        <v>5</v>
      </c>
      <c r="E264">
        <f t="shared" si="7"/>
        <v>152005</v>
      </c>
      <c r="F264" s="11">
        <v>419</v>
      </c>
      <c r="G264" s="11" t="s">
        <v>10</v>
      </c>
      <c r="H264" s="3">
        <v>1270363.47</v>
      </c>
      <c r="K264" s="11"/>
      <c r="L264" s="11"/>
      <c r="M264" s="11"/>
      <c r="N264" s="11"/>
      <c r="P264" s="11"/>
      <c r="Q264" s="11"/>
      <c r="R264" s="3"/>
    </row>
    <row r="265" spans="1:18" x14ac:dyDescent="0.2">
      <c r="A265" s="11">
        <v>152</v>
      </c>
      <c r="B265" s="11">
        <v>1</v>
      </c>
      <c r="C265" s="11" t="s">
        <v>79</v>
      </c>
      <c r="D265" s="11">
        <f t="shared" si="6"/>
        <v>6</v>
      </c>
      <c r="E265">
        <f t="shared" si="7"/>
        <v>152006</v>
      </c>
      <c r="F265" s="11">
        <v>420</v>
      </c>
      <c r="G265" s="11" t="s">
        <v>11</v>
      </c>
      <c r="H265" s="3">
        <v>32511.52</v>
      </c>
      <c r="K265" s="11"/>
      <c r="L265" s="11"/>
      <c r="M265" s="11"/>
      <c r="N265" s="11"/>
      <c r="P265" s="11"/>
      <c r="Q265" s="11"/>
      <c r="R265" s="3"/>
    </row>
    <row r="266" spans="1:18" x14ac:dyDescent="0.2">
      <c r="A266" s="11">
        <v>152</v>
      </c>
      <c r="B266" s="11">
        <v>1</v>
      </c>
      <c r="C266" s="11" t="s">
        <v>79</v>
      </c>
      <c r="D266" s="11">
        <f t="shared" si="6"/>
        <v>7</v>
      </c>
      <c r="E266">
        <f t="shared" si="7"/>
        <v>152007</v>
      </c>
      <c r="F266" s="11">
        <v>433</v>
      </c>
      <c r="G266" s="11" t="s">
        <v>30</v>
      </c>
      <c r="H266" s="3">
        <v>17708.84</v>
      </c>
      <c r="K266" s="11"/>
      <c r="L266" s="11"/>
      <c r="M266" s="11"/>
      <c r="N266" s="11"/>
      <c r="P266" s="11"/>
      <c r="Q266" s="11"/>
      <c r="R266" s="3"/>
    </row>
    <row r="267" spans="1:18" x14ac:dyDescent="0.2">
      <c r="A267" s="11">
        <v>152</v>
      </c>
      <c r="B267" s="11">
        <v>1</v>
      </c>
      <c r="C267" s="11" t="s">
        <v>79</v>
      </c>
      <c r="D267" s="11">
        <f t="shared" si="6"/>
        <v>8</v>
      </c>
      <c r="E267">
        <f t="shared" si="7"/>
        <v>152008</v>
      </c>
      <c r="F267" s="11">
        <v>438</v>
      </c>
      <c r="G267" s="11" t="s">
        <v>15</v>
      </c>
      <c r="H267" s="3">
        <v>26215.66</v>
      </c>
      <c r="K267" s="11"/>
      <c r="L267" s="11"/>
      <c r="M267" s="11"/>
      <c r="N267" s="11"/>
      <c r="P267" s="11"/>
      <c r="Q267" s="11"/>
      <c r="R267" s="3"/>
    </row>
    <row r="268" spans="1:18" x14ac:dyDescent="0.2">
      <c r="A268" s="11">
        <v>152</v>
      </c>
      <c r="B268" s="11">
        <v>1</v>
      </c>
      <c r="C268" s="11" t="s">
        <v>79</v>
      </c>
      <c r="D268" s="11">
        <f t="shared" si="6"/>
        <v>9</v>
      </c>
      <c r="E268">
        <f t="shared" si="7"/>
        <v>152009</v>
      </c>
      <c r="F268" s="11">
        <v>470</v>
      </c>
      <c r="G268" s="11" t="s">
        <v>6</v>
      </c>
      <c r="H268" s="3">
        <v>456791.09</v>
      </c>
      <c r="K268" s="11"/>
      <c r="L268" s="11"/>
      <c r="M268" s="11"/>
      <c r="N268" s="11"/>
      <c r="P268" s="11"/>
      <c r="Q268" s="11"/>
      <c r="R268" s="3"/>
    </row>
    <row r="269" spans="1:18" x14ac:dyDescent="0.2">
      <c r="A269" s="11">
        <v>152</v>
      </c>
      <c r="B269" s="11">
        <v>1</v>
      </c>
      <c r="C269" s="11" t="s">
        <v>79</v>
      </c>
      <c r="D269" s="11">
        <f t="shared" si="6"/>
        <v>10</v>
      </c>
      <c r="E269">
        <f t="shared" si="7"/>
        <v>152010</v>
      </c>
      <c r="F269" s="11">
        <v>471</v>
      </c>
      <c r="G269" s="11" t="s">
        <v>17</v>
      </c>
      <c r="H269" s="3">
        <v>20411.02</v>
      </c>
      <c r="K269" s="11"/>
      <c r="L269" s="11"/>
      <c r="M269" s="11"/>
      <c r="N269" s="11"/>
      <c r="P269" s="11"/>
      <c r="Q269" s="11"/>
      <c r="R269" s="3"/>
    </row>
    <row r="270" spans="1:18" x14ac:dyDescent="0.2">
      <c r="A270" s="11">
        <v>152</v>
      </c>
      <c r="B270" s="11">
        <v>1</v>
      </c>
      <c r="C270" s="11" t="s">
        <v>79</v>
      </c>
      <c r="D270" s="11">
        <f t="shared" si="6"/>
        <v>11</v>
      </c>
      <c r="E270">
        <f t="shared" si="7"/>
        <v>152011</v>
      </c>
      <c r="F270" s="11">
        <v>478</v>
      </c>
      <c r="G270" s="11" t="s">
        <v>18</v>
      </c>
      <c r="H270" s="3">
        <v>72179</v>
      </c>
      <c r="K270" s="11"/>
      <c r="L270" s="11"/>
      <c r="M270" s="11"/>
      <c r="N270" s="11"/>
      <c r="P270" s="11"/>
      <c r="Q270" s="11"/>
      <c r="R270" s="3"/>
    </row>
    <row r="271" spans="1:18" x14ac:dyDescent="0.2">
      <c r="A271" s="11">
        <v>152</v>
      </c>
      <c r="B271" s="11">
        <v>1</v>
      </c>
      <c r="C271" s="11" t="s">
        <v>79</v>
      </c>
      <c r="D271" s="11">
        <f t="shared" ref="D271:D334" si="8">IF(A271=A270,D270+1,1)</f>
        <v>12</v>
      </c>
      <c r="E271">
        <f t="shared" ref="E271:E334" si="9">1000*A271+D271</f>
        <v>152012</v>
      </c>
      <c r="F271" s="11">
        <v>480</v>
      </c>
      <c r="G271" s="11" t="s">
        <v>19</v>
      </c>
      <c r="H271" s="3">
        <v>1264874.74</v>
      </c>
      <c r="K271" s="11"/>
      <c r="L271" s="11"/>
      <c r="M271" s="11"/>
      <c r="N271" s="11"/>
      <c r="P271" s="11"/>
      <c r="Q271" s="11"/>
      <c r="R271" s="3"/>
    </row>
    <row r="272" spans="1:18" x14ac:dyDescent="0.2">
      <c r="A272" s="11">
        <v>152</v>
      </c>
      <c r="B272" s="11">
        <v>1</v>
      </c>
      <c r="C272" s="11" t="s">
        <v>79</v>
      </c>
      <c r="D272" s="11">
        <f t="shared" si="8"/>
        <v>13</v>
      </c>
      <c r="E272">
        <f t="shared" si="9"/>
        <v>152013</v>
      </c>
      <c r="F272" s="11">
        <v>484</v>
      </c>
      <c r="G272" s="11" t="s">
        <v>20</v>
      </c>
      <c r="H272" s="3">
        <v>51805.9</v>
      </c>
      <c r="K272" s="11"/>
      <c r="L272" s="11"/>
      <c r="M272" s="11"/>
      <c r="N272" s="11"/>
      <c r="P272" s="11"/>
      <c r="Q272" s="11"/>
      <c r="R272" s="3"/>
    </row>
    <row r="273" spans="1:18" x14ac:dyDescent="0.2">
      <c r="A273" s="11">
        <v>152</v>
      </c>
      <c r="B273" s="11">
        <v>1</v>
      </c>
      <c r="C273" s="11" t="s">
        <v>79</v>
      </c>
      <c r="D273" s="11">
        <f t="shared" si="8"/>
        <v>14</v>
      </c>
      <c r="E273">
        <f t="shared" si="9"/>
        <v>152014</v>
      </c>
      <c r="F273" s="11">
        <v>486</v>
      </c>
      <c r="G273" s="11" t="s">
        <v>21</v>
      </c>
      <c r="H273" s="3">
        <v>78186.28</v>
      </c>
      <c r="K273" s="11"/>
      <c r="L273" s="11"/>
      <c r="M273" s="11"/>
      <c r="N273" s="11"/>
      <c r="P273" s="11"/>
      <c r="Q273" s="11"/>
      <c r="R273" s="3"/>
    </row>
    <row r="274" spans="1:18" x14ac:dyDescent="0.2">
      <c r="A274" s="11">
        <v>160</v>
      </c>
      <c r="B274" s="11">
        <v>70</v>
      </c>
      <c r="C274" s="11" t="s">
        <v>80</v>
      </c>
      <c r="D274" s="11">
        <f t="shared" si="8"/>
        <v>1</v>
      </c>
      <c r="E274">
        <f t="shared" si="9"/>
        <v>160001</v>
      </c>
      <c r="F274" s="11">
        <v>419</v>
      </c>
      <c r="G274" s="11" t="s">
        <v>10</v>
      </c>
      <c r="H274" s="3">
        <v>127850.37</v>
      </c>
      <c r="K274" s="11"/>
      <c r="L274" s="11"/>
      <c r="M274" s="11"/>
      <c r="N274" s="11"/>
      <c r="P274" s="11"/>
      <c r="Q274" s="11"/>
      <c r="R274" s="3"/>
    </row>
    <row r="275" spans="1:18" x14ac:dyDescent="0.2">
      <c r="A275" s="11">
        <v>160</v>
      </c>
      <c r="B275" s="11">
        <v>70</v>
      </c>
      <c r="C275" s="11" t="s">
        <v>80</v>
      </c>
      <c r="D275" s="11">
        <f t="shared" si="8"/>
        <v>2</v>
      </c>
      <c r="E275">
        <f t="shared" si="9"/>
        <v>160002</v>
      </c>
      <c r="F275" s="11">
        <v>420</v>
      </c>
      <c r="G275" s="11" t="s">
        <v>11</v>
      </c>
      <c r="H275" s="3">
        <v>2023.45</v>
      </c>
      <c r="K275" s="11"/>
      <c r="L275" s="11"/>
      <c r="M275" s="11"/>
      <c r="N275" s="11"/>
      <c r="P275" s="11"/>
      <c r="Q275" s="11"/>
      <c r="R275" s="3"/>
    </row>
    <row r="276" spans="1:18" x14ac:dyDescent="0.2">
      <c r="A276" s="11">
        <v>160</v>
      </c>
      <c r="B276" s="11">
        <v>70</v>
      </c>
      <c r="C276" s="11" t="s">
        <v>80</v>
      </c>
      <c r="D276" s="11">
        <f t="shared" si="8"/>
        <v>3</v>
      </c>
      <c r="E276">
        <f t="shared" si="9"/>
        <v>160003</v>
      </c>
      <c r="F276" s="11">
        <v>437</v>
      </c>
      <c r="G276" s="11" t="s">
        <v>14</v>
      </c>
      <c r="H276" s="3">
        <v>30</v>
      </c>
      <c r="K276" s="11"/>
      <c r="L276" s="11"/>
      <c r="M276" s="11"/>
      <c r="N276" s="11"/>
      <c r="P276" s="11"/>
      <c r="Q276" s="11"/>
      <c r="R276" s="3"/>
    </row>
    <row r="277" spans="1:18" x14ac:dyDescent="0.2">
      <c r="A277" s="11">
        <v>160</v>
      </c>
      <c r="B277" s="11">
        <v>70</v>
      </c>
      <c r="C277" s="11" t="s">
        <v>80</v>
      </c>
      <c r="D277" s="11">
        <f t="shared" si="8"/>
        <v>4</v>
      </c>
      <c r="E277">
        <f t="shared" si="9"/>
        <v>160004</v>
      </c>
      <c r="F277" s="11">
        <v>480</v>
      </c>
      <c r="G277" s="11" t="s">
        <v>19</v>
      </c>
      <c r="H277" s="3">
        <v>43167.25</v>
      </c>
      <c r="K277" s="11"/>
      <c r="L277" s="11"/>
      <c r="M277" s="11"/>
      <c r="N277" s="11"/>
      <c r="P277" s="11"/>
      <c r="Q277" s="11"/>
      <c r="R277" s="3"/>
    </row>
    <row r="278" spans="1:18" x14ac:dyDescent="0.2">
      <c r="A278" s="11">
        <v>160</v>
      </c>
      <c r="B278" s="11">
        <v>70</v>
      </c>
      <c r="C278" s="11" t="s">
        <v>80</v>
      </c>
      <c r="D278" s="11">
        <f t="shared" si="8"/>
        <v>5</v>
      </c>
      <c r="E278">
        <f t="shared" si="9"/>
        <v>160005</v>
      </c>
      <c r="F278" s="11">
        <v>484</v>
      </c>
      <c r="G278" s="11" t="s">
        <v>20</v>
      </c>
      <c r="H278" s="3">
        <v>1769.44</v>
      </c>
      <c r="K278" s="11"/>
      <c r="L278" s="11"/>
      <c r="M278" s="11"/>
      <c r="N278" s="11"/>
      <c r="P278" s="11"/>
      <c r="Q278" s="11"/>
      <c r="R278" s="3"/>
    </row>
    <row r="279" spans="1:18" x14ac:dyDescent="0.2">
      <c r="A279" s="11">
        <v>162</v>
      </c>
      <c r="B279" s="11">
        <v>1</v>
      </c>
      <c r="C279" s="11" t="s">
        <v>81</v>
      </c>
      <c r="D279" s="11">
        <f t="shared" si="8"/>
        <v>1</v>
      </c>
      <c r="E279">
        <f t="shared" si="9"/>
        <v>162001</v>
      </c>
      <c r="F279" s="11">
        <v>151</v>
      </c>
      <c r="G279" s="11" t="s">
        <v>28</v>
      </c>
      <c r="H279" s="3">
        <v>438431.54</v>
      </c>
      <c r="K279" s="11"/>
      <c r="L279" s="11"/>
      <c r="M279" s="11"/>
      <c r="N279" s="11"/>
      <c r="P279" s="11"/>
      <c r="Q279" s="11"/>
      <c r="R279" s="3"/>
    </row>
    <row r="280" spans="1:18" x14ac:dyDescent="0.2">
      <c r="A280" s="11">
        <v>162</v>
      </c>
      <c r="B280" s="11">
        <v>1</v>
      </c>
      <c r="C280" s="11" t="s">
        <v>81</v>
      </c>
      <c r="D280" s="11">
        <f t="shared" si="8"/>
        <v>2</v>
      </c>
      <c r="E280">
        <f t="shared" si="9"/>
        <v>162002</v>
      </c>
      <c r="F280" s="11">
        <v>401</v>
      </c>
      <c r="G280" s="11" t="s">
        <v>29</v>
      </c>
      <c r="H280" s="3">
        <v>298791.89</v>
      </c>
      <c r="K280" s="11"/>
      <c r="L280" s="11"/>
      <c r="M280" s="11"/>
      <c r="N280" s="11"/>
      <c r="P280" s="11"/>
      <c r="Q280" s="11"/>
      <c r="R280" s="3"/>
    </row>
    <row r="281" spans="1:18" x14ac:dyDescent="0.2">
      <c r="A281" s="11">
        <v>162</v>
      </c>
      <c r="B281" s="11">
        <v>1</v>
      </c>
      <c r="C281" s="11" t="s">
        <v>81</v>
      </c>
      <c r="D281" s="11">
        <f t="shared" si="8"/>
        <v>3</v>
      </c>
      <c r="E281">
        <f t="shared" si="9"/>
        <v>162003</v>
      </c>
      <c r="F281" s="11">
        <v>414</v>
      </c>
      <c r="G281" s="11" t="s">
        <v>9</v>
      </c>
      <c r="H281" s="3">
        <v>97199.94</v>
      </c>
      <c r="K281" s="11"/>
      <c r="L281" s="11"/>
      <c r="M281" s="11"/>
      <c r="N281" s="11"/>
      <c r="P281" s="11"/>
      <c r="Q281" s="11"/>
      <c r="R281" s="3"/>
    </row>
    <row r="282" spans="1:18" x14ac:dyDescent="0.2">
      <c r="A282" s="11">
        <v>162</v>
      </c>
      <c r="B282" s="11">
        <v>1</v>
      </c>
      <c r="C282" s="11" t="s">
        <v>81</v>
      </c>
      <c r="D282" s="11">
        <f t="shared" si="8"/>
        <v>4</v>
      </c>
      <c r="E282">
        <f t="shared" si="9"/>
        <v>162004</v>
      </c>
      <c r="F282" s="11">
        <v>433</v>
      </c>
      <c r="G282" s="11" t="s">
        <v>30</v>
      </c>
      <c r="H282" s="3">
        <v>5288.81</v>
      </c>
      <c r="K282" s="11"/>
      <c r="L282" s="11"/>
      <c r="M282" s="11"/>
      <c r="N282" s="11"/>
      <c r="P282" s="11"/>
      <c r="Q282" s="11"/>
      <c r="R282" s="3"/>
    </row>
    <row r="283" spans="1:18" x14ac:dyDescent="0.2">
      <c r="A283" s="11">
        <v>162</v>
      </c>
      <c r="B283" s="11">
        <v>1</v>
      </c>
      <c r="C283" s="11" t="s">
        <v>81</v>
      </c>
      <c r="D283" s="11">
        <f t="shared" si="8"/>
        <v>5</v>
      </c>
      <c r="E283">
        <f t="shared" si="9"/>
        <v>162005</v>
      </c>
      <c r="F283" s="11">
        <v>470</v>
      </c>
      <c r="G283" s="11" t="s">
        <v>6</v>
      </c>
      <c r="H283" s="3">
        <v>192415.82</v>
      </c>
      <c r="K283" s="11"/>
      <c r="L283" s="11"/>
      <c r="M283" s="11"/>
      <c r="N283" s="11"/>
      <c r="P283" s="11"/>
      <c r="Q283" s="11"/>
      <c r="R283" s="3"/>
    </row>
    <row r="284" spans="1:18" x14ac:dyDescent="0.2">
      <c r="A284" s="11">
        <v>166</v>
      </c>
      <c r="B284" s="11">
        <v>1</v>
      </c>
      <c r="C284" s="11" t="s">
        <v>82</v>
      </c>
      <c r="D284" s="11">
        <f t="shared" si="8"/>
        <v>1</v>
      </c>
      <c r="E284">
        <f t="shared" si="9"/>
        <v>166001</v>
      </c>
      <c r="F284" s="11">
        <v>401</v>
      </c>
      <c r="G284" s="11" t="s">
        <v>29</v>
      </c>
      <c r="H284" s="3">
        <v>69575.19</v>
      </c>
      <c r="K284" s="11"/>
      <c r="L284" s="11"/>
      <c r="M284" s="11"/>
      <c r="N284" s="11"/>
      <c r="P284" s="11"/>
      <c r="Q284" s="11"/>
      <c r="R284" s="3"/>
    </row>
    <row r="285" spans="1:18" x14ac:dyDescent="0.2">
      <c r="A285" s="11">
        <v>166</v>
      </c>
      <c r="B285" s="11">
        <v>1</v>
      </c>
      <c r="C285" s="11" t="s">
        <v>82</v>
      </c>
      <c r="D285" s="11">
        <f t="shared" si="8"/>
        <v>2</v>
      </c>
      <c r="E285">
        <f t="shared" si="9"/>
        <v>166002</v>
      </c>
      <c r="F285" s="11">
        <v>414</v>
      </c>
      <c r="G285" s="11" t="s">
        <v>9</v>
      </c>
      <c r="H285" s="3">
        <v>28281.64</v>
      </c>
      <c r="K285" s="11"/>
      <c r="L285" s="11"/>
      <c r="M285" s="11"/>
      <c r="N285" s="11"/>
      <c r="P285" s="11"/>
      <c r="Q285" s="11"/>
      <c r="R285" s="3"/>
    </row>
    <row r="286" spans="1:18" x14ac:dyDescent="0.2">
      <c r="A286" s="11">
        <v>166</v>
      </c>
      <c r="B286" s="11">
        <v>1</v>
      </c>
      <c r="C286" s="11" t="s">
        <v>82</v>
      </c>
      <c r="D286" s="11">
        <f t="shared" si="8"/>
        <v>3</v>
      </c>
      <c r="E286">
        <f t="shared" si="9"/>
        <v>166003</v>
      </c>
      <c r="F286" s="11">
        <v>433</v>
      </c>
      <c r="G286" s="11" t="s">
        <v>30</v>
      </c>
      <c r="H286" s="3">
        <v>1628.24</v>
      </c>
      <c r="K286" s="11"/>
      <c r="L286" s="11"/>
      <c r="M286" s="11"/>
      <c r="N286" s="11"/>
      <c r="P286" s="11"/>
      <c r="Q286" s="11"/>
      <c r="R286" s="3"/>
    </row>
    <row r="287" spans="1:18" x14ac:dyDescent="0.2">
      <c r="A287" s="11">
        <v>166</v>
      </c>
      <c r="B287" s="11">
        <v>1</v>
      </c>
      <c r="C287" s="11" t="s">
        <v>82</v>
      </c>
      <c r="D287" s="11">
        <f t="shared" si="8"/>
        <v>4</v>
      </c>
      <c r="E287">
        <f t="shared" si="9"/>
        <v>166004</v>
      </c>
      <c r="F287" s="11">
        <v>470</v>
      </c>
      <c r="G287" s="11" t="s">
        <v>6</v>
      </c>
      <c r="H287" s="3">
        <v>41947.06</v>
      </c>
      <c r="K287" s="11"/>
      <c r="L287" s="11"/>
      <c r="M287" s="11"/>
      <c r="N287" s="11"/>
      <c r="P287" s="11"/>
      <c r="Q287" s="11"/>
      <c r="R287" s="3"/>
    </row>
    <row r="288" spans="1:18" x14ac:dyDescent="0.2">
      <c r="A288" s="11">
        <v>173</v>
      </c>
      <c r="B288" s="11">
        <v>1</v>
      </c>
      <c r="C288" s="11" t="s">
        <v>83</v>
      </c>
      <c r="D288" s="11">
        <f t="shared" si="8"/>
        <v>1</v>
      </c>
      <c r="E288">
        <f t="shared" si="9"/>
        <v>173001</v>
      </c>
      <c r="F288" s="11">
        <v>401</v>
      </c>
      <c r="G288" s="11" t="s">
        <v>29</v>
      </c>
      <c r="H288" s="3">
        <v>120843.05</v>
      </c>
      <c r="K288" s="11"/>
      <c r="L288" s="11"/>
      <c r="M288" s="11"/>
      <c r="N288" s="11"/>
      <c r="P288" s="11"/>
      <c r="Q288" s="11"/>
      <c r="R288" s="3"/>
    </row>
    <row r="289" spans="1:18" x14ac:dyDescent="0.2">
      <c r="A289" s="11">
        <v>173</v>
      </c>
      <c r="B289" s="11">
        <v>1</v>
      </c>
      <c r="C289" s="11" t="s">
        <v>83</v>
      </c>
      <c r="D289" s="11">
        <f t="shared" si="8"/>
        <v>2</v>
      </c>
      <c r="E289">
        <f t="shared" si="9"/>
        <v>173002</v>
      </c>
      <c r="F289" s="11">
        <v>414</v>
      </c>
      <c r="G289" s="11" t="s">
        <v>9</v>
      </c>
      <c r="H289" s="3">
        <v>27334.59</v>
      </c>
      <c r="K289" s="11"/>
      <c r="L289" s="11"/>
      <c r="M289" s="11"/>
      <c r="N289" s="11"/>
      <c r="P289" s="11"/>
      <c r="Q289" s="11"/>
      <c r="R289" s="3"/>
    </row>
    <row r="290" spans="1:18" x14ac:dyDescent="0.2">
      <c r="A290" s="11">
        <v>173</v>
      </c>
      <c r="B290" s="11">
        <v>1</v>
      </c>
      <c r="C290" s="11" t="s">
        <v>83</v>
      </c>
      <c r="D290" s="11">
        <f t="shared" si="8"/>
        <v>3</v>
      </c>
      <c r="E290">
        <f t="shared" si="9"/>
        <v>173003</v>
      </c>
      <c r="F290" s="11">
        <v>433</v>
      </c>
      <c r="G290" s="11" t="s">
        <v>30</v>
      </c>
      <c r="H290" s="3">
        <v>2426.83</v>
      </c>
      <c r="K290" s="11"/>
      <c r="L290" s="11"/>
      <c r="M290" s="11"/>
      <c r="N290" s="11"/>
      <c r="P290" s="11"/>
      <c r="Q290" s="11"/>
      <c r="R290" s="3"/>
    </row>
    <row r="291" spans="1:18" x14ac:dyDescent="0.2">
      <c r="A291" s="11">
        <v>173</v>
      </c>
      <c r="B291" s="11">
        <v>1</v>
      </c>
      <c r="C291" s="11" t="s">
        <v>83</v>
      </c>
      <c r="D291" s="11">
        <f t="shared" si="8"/>
        <v>4</v>
      </c>
      <c r="E291">
        <f t="shared" si="9"/>
        <v>173004</v>
      </c>
      <c r="F291" s="11">
        <v>470</v>
      </c>
      <c r="G291" s="11" t="s">
        <v>6</v>
      </c>
      <c r="H291" s="3">
        <v>56135.040000000001</v>
      </c>
      <c r="K291" s="11"/>
      <c r="L291" s="11"/>
      <c r="M291" s="11"/>
      <c r="N291" s="11"/>
      <c r="P291" s="11"/>
      <c r="Q291" s="11"/>
      <c r="R291" s="3"/>
    </row>
    <row r="292" spans="1:18" x14ac:dyDescent="0.2">
      <c r="A292" s="11">
        <v>181</v>
      </c>
      <c r="B292" s="11">
        <v>1</v>
      </c>
      <c r="C292" s="11" t="s">
        <v>84</v>
      </c>
      <c r="D292" s="11">
        <f t="shared" si="8"/>
        <v>1</v>
      </c>
      <c r="E292">
        <f t="shared" si="9"/>
        <v>181001</v>
      </c>
      <c r="F292" s="11">
        <v>406</v>
      </c>
      <c r="G292" s="11" t="s">
        <v>8</v>
      </c>
      <c r="H292" s="3">
        <v>45854.89</v>
      </c>
      <c r="K292" s="11"/>
      <c r="L292" s="11"/>
      <c r="M292" s="11"/>
      <c r="N292" s="11"/>
      <c r="P292" s="11"/>
      <c r="Q292" s="11"/>
      <c r="R292" s="3"/>
    </row>
    <row r="293" spans="1:18" x14ac:dyDescent="0.2">
      <c r="A293" s="11">
        <v>181</v>
      </c>
      <c r="B293" s="11">
        <v>1</v>
      </c>
      <c r="C293" s="11" t="s">
        <v>84</v>
      </c>
      <c r="D293" s="11">
        <f t="shared" si="8"/>
        <v>2</v>
      </c>
      <c r="E293">
        <f t="shared" si="9"/>
        <v>181002</v>
      </c>
      <c r="F293" s="11">
        <v>420</v>
      </c>
      <c r="G293" s="11" t="s">
        <v>11</v>
      </c>
      <c r="H293" s="3">
        <v>108226.72</v>
      </c>
      <c r="K293" s="11"/>
      <c r="L293" s="11"/>
      <c r="M293" s="11"/>
      <c r="N293" s="11"/>
      <c r="P293" s="11"/>
      <c r="Q293" s="11"/>
      <c r="R293" s="3"/>
    </row>
    <row r="294" spans="1:18" x14ac:dyDescent="0.2">
      <c r="A294" s="11">
        <v>181</v>
      </c>
      <c r="B294" s="11">
        <v>1</v>
      </c>
      <c r="C294" s="11" t="s">
        <v>84</v>
      </c>
      <c r="D294" s="11">
        <f t="shared" si="8"/>
        <v>3</v>
      </c>
      <c r="E294">
        <f t="shared" si="9"/>
        <v>181003</v>
      </c>
      <c r="F294" s="11">
        <v>422</v>
      </c>
      <c r="G294" s="11" t="s">
        <v>12</v>
      </c>
      <c r="H294" s="3">
        <v>77759.91</v>
      </c>
      <c r="K294" s="11"/>
      <c r="L294" s="11"/>
      <c r="M294" s="11"/>
      <c r="N294" s="11"/>
      <c r="P294" s="11"/>
      <c r="Q294" s="11"/>
      <c r="R294" s="3"/>
    </row>
    <row r="295" spans="1:18" x14ac:dyDescent="0.2">
      <c r="A295" s="11">
        <v>181</v>
      </c>
      <c r="B295" s="11">
        <v>1</v>
      </c>
      <c r="C295" s="11" t="s">
        <v>84</v>
      </c>
      <c r="D295" s="11">
        <f t="shared" si="8"/>
        <v>4</v>
      </c>
      <c r="E295">
        <f t="shared" si="9"/>
        <v>181004</v>
      </c>
      <c r="F295" s="11">
        <v>433</v>
      </c>
      <c r="G295" s="11" t="s">
        <v>30</v>
      </c>
      <c r="H295" s="3">
        <v>20927.599999999999</v>
      </c>
      <c r="K295" s="11"/>
      <c r="L295" s="11"/>
      <c r="M295" s="11"/>
      <c r="N295" s="11"/>
      <c r="P295" s="11"/>
      <c r="Q295" s="11"/>
      <c r="R295" s="3"/>
    </row>
    <row r="296" spans="1:18" x14ac:dyDescent="0.2">
      <c r="A296" s="11">
        <v>181</v>
      </c>
      <c r="B296" s="11">
        <v>1</v>
      </c>
      <c r="C296" s="11" t="s">
        <v>84</v>
      </c>
      <c r="D296" s="11">
        <f t="shared" si="8"/>
        <v>5</v>
      </c>
      <c r="E296">
        <f t="shared" si="9"/>
        <v>181005</v>
      </c>
      <c r="F296" s="11">
        <v>437</v>
      </c>
      <c r="G296" s="11" t="s">
        <v>14</v>
      </c>
      <c r="H296" s="3">
        <v>4035</v>
      </c>
      <c r="K296" s="11"/>
      <c r="L296" s="11"/>
      <c r="M296" s="11"/>
      <c r="N296" s="11"/>
      <c r="P296" s="11"/>
      <c r="Q296" s="11"/>
      <c r="R296" s="3"/>
    </row>
    <row r="297" spans="1:18" x14ac:dyDescent="0.2">
      <c r="A297" s="11">
        <v>181</v>
      </c>
      <c r="B297" s="11">
        <v>1</v>
      </c>
      <c r="C297" s="11" t="s">
        <v>84</v>
      </c>
      <c r="D297" s="11">
        <f t="shared" si="8"/>
        <v>6</v>
      </c>
      <c r="E297">
        <f t="shared" si="9"/>
        <v>181006</v>
      </c>
      <c r="F297" s="11">
        <v>438</v>
      </c>
      <c r="G297" s="11" t="s">
        <v>15</v>
      </c>
      <c r="H297" s="3">
        <v>7533.36</v>
      </c>
      <c r="K297" s="11"/>
      <c r="L297" s="11"/>
      <c r="M297" s="11"/>
      <c r="N297" s="11"/>
      <c r="P297" s="11"/>
      <c r="Q297" s="11"/>
      <c r="R297" s="3"/>
    </row>
    <row r="298" spans="1:18" x14ac:dyDescent="0.2">
      <c r="A298" s="11">
        <v>181</v>
      </c>
      <c r="B298" s="11">
        <v>1</v>
      </c>
      <c r="C298" s="11" t="s">
        <v>84</v>
      </c>
      <c r="D298" s="11">
        <f t="shared" si="8"/>
        <v>7</v>
      </c>
      <c r="E298">
        <f t="shared" si="9"/>
        <v>181007</v>
      </c>
      <c r="F298" s="11">
        <v>441</v>
      </c>
      <c r="G298" s="11" t="s">
        <v>16</v>
      </c>
      <c r="H298" s="3">
        <v>6700</v>
      </c>
      <c r="K298" s="11"/>
      <c r="L298" s="11"/>
      <c r="M298" s="11"/>
      <c r="N298" s="11"/>
      <c r="P298" s="11"/>
      <c r="Q298" s="11"/>
      <c r="R298" s="3"/>
    </row>
    <row r="299" spans="1:18" x14ac:dyDescent="0.2">
      <c r="A299" s="11">
        <v>181</v>
      </c>
      <c r="B299" s="11">
        <v>1</v>
      </c>
      <c r="C299" s="11" t="s">
        <v>84</v>
      </c>
      <c r="D299" s="11">
        <f t="shared" si="8"/>
        <v>8</v>
      </c>
      <c r="E299">
        <f t="shared" si="9"/>
        <v>181008</v>
      </c>
      <c r="F299" s="11">
        <v>471</v>
      </c>
      <c r="G299" s="11" t="s">
        <v>17</v>
      </c>
      <c r="H299" s="3">
        <v>28760.98</v>
      </c>
      <c r="K299" s="11"/>
      <c r="L299" s="11"/>
      <c r="M299" s="11"/>
      <c r="N299" s="11"/>
      <c r="P299" s="11"/>
      <c r="Q299" s="11"/>
      <c r="R299" s="3"/>
    </row>
    <row r="300" spans="1:18" x14ac:dyDescent="0.2">
      <c r="A300" s="11">
        <v>181</v>
      </c>
      <c r="B300" s="11">
        <v>1</v>
      </c>
      <c r="C300" s="11" t="s">
        <v>84</v>
      </c>
      <c r="D300" s="11">
        <f t="shared" si="8"/>
        <v>9</v>
      </c>
      <c r="E300">
        <f t="shared" si="9"/>
        <v>181009</v>
      </c>
      <c r="F300" s="11">
        <v>480</v>
      </c>
      <c r="G300" s="11" t="s">
        <v>19</v>
      </c>
      <c r="H300" s="3">
        <v>2908406.95</v>
      </c>
      <c r="K300" s="11"/>
      <c r="L300" s="11"/>
      <c r="M300" s="11"/>
      <c r="N300" s="11"/>
      <c r="P300" s="11"/>
      <c r="Q300" s="11"/>
      <c r="R300" s="3"/>
    </row>
    <row r="301" spans="1:18" x14ac:dyDescent="0.2">
      <c r="A301" s="11">
        <v>181</v>
      </c>
      <c r="B301" s="11">
        <v>1</v>
      </c>
      <c r="C301" s="11" t="s">
        <v>84</v>
      </c>
      <c r="D301" s="11">
        <f t="shared" si="8"/>
        <v>10</v>
      </c>
      <c r="E301">
        <f t="shared" si="9"/>
        <v>181010</v>
      </c>
      <c r="F301" s="11">
        <v>484</v>
      </c>
      <c r="G301" s="11" t="s">
        <v>20</v>
      </c>
      <c r="H301" s="3">
        <v>118724.14</v>
      </c>
      <c r="K301" s="11"/>
      <c r="L301" s="11"/>
      <c r="M301" s="11"/>
      <c r="N301" s="11"/>
      <c r="P301" s="11"/>
      <c r="Q301" s="11"/>
      <c r="R301" s="3"/>
    </row>
    <row r="302" spans="1:18" x14ac:dyDescent="0.2">
      <c r="A302" s="11">
        <v>181</v>
      </c>
      <c r="B302" s="11">
        <v>1</v>
      </c>
      <c r="C302" s="11" t="s">
        <v>84</v>
      </c>
      <c r="D302" s="11">
        <f t="shared" si="8"/>
        <v>11</v>
      </c>
      <c r="E302">
        <f t="shared" si="9"/>
        <v>181011</v>
      </c>
      <c r="F302" s="11">
        <v>486</v>
      </c>
      <c r="G302" s="11" t="s">
        <v>21</v>
      </c>
      <c r="H302" s="3">
        <v>85814.22</v>
      </c>
      <c r="K302" s="11"/>
      <c r="L302" s="11"/>
      <c r="M302" s="11"/>
      <c r="N302" s="11"/>
      <c r="P302" s="11"/>
      <c r="Q302" s="11"/>
      <c r="R302" s="3"/>
    </row>
    <row r="303" spans="1:18" x14ac:dyDescent="0.2">
      <c r="A303" s="11">
        <v>182</v>
      </c>
      <c r="B303" s="11">
        <v>1</v>
      </c>
      <c r="C303" s="11" t="s">
        <v>85</v>
      </c>
      <c r="D303" s="11">
        <f t="shared" si="8"/>
        <v>1</v>
      </c>
      <c r="E303">
        <f t="shared" si="9"/>
        <v>182001</v>
      </c>
      <c r="F303" s="11">
        <v>151</v>
      </c>
      <c r="G303" s="11" t="s">
        <v>28</v>
      </c>
      <c r="H303" s="3">
        <v>499719.34</v>
      </c>
      <c r="K303" s="11"/>
      <c r="L303" s="11"/>
      <c r="M303" s="11"/>
      <c r="N303" s="11"/>
      <c r="P303" s="11"/>
      <c r="Q303" s="11"/>
      <c r="R303" s="3"/>
    </row>
    <row r="304" spans="1:18" x14ac:dyDescent="0.2">
      <c r="A304" s="11">
        <v>182</v>
      </c>
      <c r="B304" s="11">
        <v>1</v>
      </c>
      <c r="C304" s="11" t="s">
        <v>85</v>
      </c>
      <c r="D304" s="11">
        <f t="shared" si="8"/>
        <v>2</v>
      </c>
      <c r="E304">
        <f t="shared" si="9"/>
        <v>182002</v>
      </c>
      <c r="F304" s="11">
        <v>433</v>
      </c>
      <c r="G304" s="11" t="s">
        <v>30</v>
      </c>
      <c r="H304" s="3">
        <v>4799.4399999999996</v>
      </c>
      <c r="K304" s="11"/>
      <c r="L304" s="11"/>
      <c r="M304" s="11"/>
      <c r="N304" s="11"/>
      <c r="P304" s="11"/>
      <c r="Q304" s="11"/>
      <c r="R304" s="3"/>
    </row>
    <row r="305" spans="1:18" x14ac:dyDescent="0.2">
      <c r="A305" s="11">
        <v>186</v>
      </c>
      <c r="B305" s="11">
        <v>1</v>
      </c>
      <c r="C305" s="11" t="s">
        <v>86</v>
      </c>
      <c r="D305" s="11">
        <f t="shared" si="8"/>
        <v>1</v>
      </c>
      <c r="E305">
        <f t="shared" si="9"/>
        <v>186001</v>
      </c>
      <c r="F305" s="11">
        <v>433</v>
      </c>
      <c r="G305" s="11" t="s">
        <v>30</v>
      </c>
      <c r="H305" s="3">
        <v>3869.82</v>
      </c>
      <c r="K305" s="11"/>
      <c r="L305" s="11"/>
      <c r="M305" s="11"/>
      <c r="N305" s="11"/>
      <c r="P305" s="11"/>
      <c r="Q305" s="11"/>
      <c r="R305" s="3"/>
    </row>
    <row r="306" spans="1:18" x14ac:dyDescent="0.2">
      <c r="A306" s="11">
        <v>186</v>
      </c>
      <c r="B306" s="11">
        <v>1</v>
      </c>
      <c r="C306" s="11" t="s">
        <v>86</v>
      </c>
      <c r="D306" s="11">
        <f t="shared" si="8"/>
        <v>2</v>
      </c>
      <c r="E306">
        <f t="shared" si="9"/>
        <v>186002</v>
      </c>
      <c r="F306" s="11">
        <v>470</v>
      </c>
      <c r="G306" s="11" t="s">
        <v>6</v>
      </c>
      <c r="H306" s="3">
        <v>83894.12</v>
      </c>
      <c r="K306" s="11"/>
      <c r="L306" s="11"/>
      <c r="M306" s="11"/>
      <c r="N306" s="11"/>
      <c r="P306" s="11"/>
      <c r="Q306" s="11"/>
      <c r="R306" s="3"/>
    </row>
    <row r="307" spans="1:18" x14ac:dyDescent="0.2">
      <c r="A307" s="11">
        <v>191</v>
      </c>
      <c r="B307" s="11">
        <v>1</v>
      </c>
      <c r="C307" s="11" t="s">
        <v>87</v>
      </c>
      <c r="D307" s="11">
        <f t="shared" si="8"/>
        <v>1</v>
      </c>
      <c r="E307">
        <f t="shared" si="9"/>
        <v>191001</v>
      </c>
      <c r="F307" s="11">
        <v>433</v>
      </c>
      <c r="G307" s="11" t="s">
        <v>30</v>
      </c>
      <c r="H307" s="3">
        <v>27995.42</v>
      </c>
      <c r="K307" s="11"/>
      <c r="L307" s="11"/>
      <c r="M307" s="11"/>
      <c r="N307" s="11"/>
      <c r="P307" s="11"/>
      <c r="Q307" s="11"/>
      <c r="R307" s="3"/>
    </row>
    <row r="308" spans="1:18" x14ac:dyDescent="0.2">
      <c r="A308" s="11">
        <v>191</v>
      </c>
      <c r="B308" s="11">
        <v>1</v>
      </c>
      <c r="C308" s="11" t="s">
        <v>87</v>
      </c>
      <c r="D308" s="11">
        <f t="shared" si="8"/>
        <v>2</v>
      </c>
      <c r="E308">
        <f t="shared" si="9"/>
        <v>191002</v>
      </c>
      <c r="F308" s="11">
        <v>435</v>
      </c>
      <c r="G308" s="11" t="s">
        <v>35</v>
      </c>
      <c r="H308" s="3">
        <v>14380</v>
      </c>
      <c r="K308" s="11"/>
      <c r="L308" s="11"/>
      <c r="M308" s="11"/>
      <c r="N308" s="11"/>
      <c r="P308" s="11"/>
      <c r="Q308" s="11"/>
      <c r="R308" s="3"/>
    </row>
    <row r="309" spans="1:18" x14ac:dyDescent="0.2">
      <c r="A309" s="11">
        <v>191</v>
      </c>
      <c r="B309" s="11">
        <v>1</v>
      </c>
      <c r="C309" s="11" t="s">
        <v>87</v>
      </c>
      <c r="D309" s="11">
        <f t="shared" si="8"/>
        <v>3</v>
      </c>
      <c r="E309">
        <f t="shared" si="9"/>
        <v>191003</v>
      </c>
      <c r="F309" s="11">
        <v>437</v>
      </c>
      <c r="G309" s="11" t="s">
        <v>14</v>
      </c>
      <c r="H309" s="3">
        <v>3075</v>
      </c>
      <c r="K309" s="11"/>
      <c r="L309" s="11"/>
      <c r="M309" s="11"/>
      <c r="N309" s="11"/>
      <c r="P309" s="11"/>
      <c r="Q309" s="11"/>
      <c r="R309" s="3"/>
    </row>
    <row r="310" spans="1:18" x14ac:dyDescent="0.2">
      <c r="A310" s="11">
        <v>191</v>
      </c>
      <c r="B310" s="11">
        <v>1</v>
      </c>
      <c r="C310" s="11" t="s">
        <v>87</v>
      </c>
      <c r="D310" s="11">
        <f t="shared" si="8"/>
        <v>4</v>
      </c>
      <c r="E310">
        <f t="shared" si="9"/>
        <v>191004</v>
      </c>
      <c r="F310" s="11">
        <v>438</v>
      </c>
      <c r="G310" s="11" t="s">
        <v>15</v>
      </c>
      <c r="H310" s="3">
        <v>37619.160000000003</v>
      </c>
      <c r="K310" s="11"/>
      <c r="L310" s="11"/>
      <c r="M310" s="11"/>
      <c r="N310" s="11"/>
      <c r="P310" s="11"/>
      <c r="Q310" s="11"/>
      <c r="R310" s="3"/>
    </row>
    <row r="311" spans="1:18" x14ac:dyDescent="0.2">
      <c r="A311" s="11">
        <v>191</v>
      </c>
      <c r="B311" s="11">
        <v>1</v>
      </c>
      <c r="C311" s="11" t="s">
        <v>87</v>
      </c>
      <c r="D311" s="11">
        <f t="shared" si="8"/>
        <v>5</v>
      </c>
      <c r="E311">
        <f t="shared" si="9"/>
        <v>191005</v>
      </c>
      <c r="F311" s="11">
        <v>480</v>
      </c>
      <c r="G311" s="11" t="s">
        <v>19</v>
      </c>
      <c r="H311" s="3">
        <v>2233492.17</v>
      </c>
      <c r="K311" s="11"/>
      <c r="L311" s="11"/>
      <c r="M311" s="11"/>
      <c r="N311" s="11"/>
      <c r="P311" s="11"/>
      <c r="Q311" s="11"/>
      <c r="R311" s="3"/>
    </row>
    <row r="312" spans="1:18" x14ac:dyDescent="0.2">
      <c r="A312" s="11">
        <v>191</v>
      </c>
      <c r="B312" s="11">
        <v>1</v>
      </c>
      <c r="C312" s="11" t="s">
        <v>87</v>
      </c>
      <c r="D312" s="11">
        <f t="shared" si="8"/>
        <v>6</v>
      </c>
      <c r="E312">
        <f t="shared" si="9"/>
        <v>191006</v>
      </c>
      <c r="F312" s="11">
        <v>484</v>
      </c>
      <c r="G312" s="11" t="s">
        <v>20</v>
      </c>
      <c r="H312" s="3">
        <v>91476.41</v>
      </c>
      <c r="K312" s="11"/>
      <c r="L312" s="11"/>
      <c r="M312" s="11"/>
      <c r="N312" s="11"/>
      <c r="P312" s="11"/>
      <c r="Q312" s="11"/>
      <c r="R312" s="3"/>
    </row>
    <row r="313" spans="1:18" x14ac:dyDescent="0.2">
      <c r="A313" s="11">
        <v>192</v>
      </c>
      <c r="B313" s="11">
        <v>1</v>
      </c>
      <c r="C313" s="11" t="s">
        <v>88</v>
      </c>
      <c r="D313" s="11">
        <f t="shared" si="8"/>
        <v>1</v>
      </c>
      <c r="E313">
        <f t="shared" si="9"/>
        <v>192001</v>
      </c>
      <c r="F313" s="11">
        <v>151</v>
      </c>
      <c r="G313" s="11" t="s">
        <v>28</v>
      </c>
      <c r="H313" s="3">
        <v>2387139.0499999998</v>
      </c>
      <c r="K313" s="11"/>
      <c r="L313" s="11"/>
      <c r="M313" s="11"/>
      <c r="N313" s="11"/>
      <c r="P313" s="11"/>
      <c r="Q313" s="11"/>
      <c r="R313" s="3"/>
    </row>
    <row r="314" spans="1:18" x14ac:dyDescent="0.2">
      <c r="A314" s="11">
        <v>192</v>
      </c>
      <c r="B314" s="11">
        <v>1</v>
      </c>
      <c r="C314" s="11" t="s">
        <v>88</v>
      </c>
      <c r="D314" s="11">
        <f t="shared" si="8"/>
        <v>2</v>
      </c>
      <c r="E314">
        <f t="shared" si="9"/>
        <v>192002</v>
      </c>
      <c r="F314" s="11">
        <v>401</v>
      </c>
      <c r="G314" s="11" t="s">
        <v>29</v>
      </c>
      <c r="H314" s="3">
        <v>196181.06</v>
      </c>
      <c r="K314" s="11"/>
      <c r="L314" s="11"/>
      <c r="M314" s="11"/>
      <c r="N314" s="11"/>
      <c r="P314" s="11"/>
      <c r="Q314" s="11"/>
      <c r="R314" s="3"/>
    </row>
    <row r="315" spans="1:18" x14ac:dyDescent="0.2">
      <c r="A315" s="11">
        <v>192</v>
      </c>
      <c r="B315" s="11">
        <v>1</v>
      </c>
      <c r="C315" s="11" t="s">
        <v>88</v>
      </c>
      <c r="D315" s="11">
        <f t="shared" si="8"/>
        <v>3</v>
      </c>
      <c r="E315">
        <f t="shared" si="9"/>
        <v>192003</v>
      </c>
      <c r="F315" s="11">
        <v>414</v>
      </c>
      <c r="G315" s="11" t="s">
        <v>9</v>
      </c>
      <c r="H315" s="3">
        <v>91889.34</v>
      </c>
      <c r="K315" s="11"/>
      <c r="L315" s="11"/>
      <c r="M315" s="11"/>
      <c r="N315" s="11"/>
      <c r="P315" s="11"/>
      <c r="Q315" s="11"/>
      <c r="R315" s="3"/>
    </row>
    <row r="316" spans="1:18" x14ac:dyDescent="0.2">
      <c r="A316" s="11">
        <v>192</v>
      </c>
      <c r="B316" s="11">
        <v>1</v>
      </c>
      <c r="C316" s="11" t="s">
        <v>88</v>
      </c>
      <c r="D316" s="11">
        <f t="shared" si="8"/>
        <v>4</v>
      </c>
      <c r="E316">
        <f t="shared" si="9"/>
        <v>192004</v>
      </c>
      <c r="F316" s="11">
        <v>417</v>
      </c>
      <c r="G316" s="11" t="s">
        <v>34</v>
      </c>
      <c r="H316" s="3">
        <v>27516.84</v>
      </c>
      <c r="K316" s="11"/>
      <c r="L316" s="11"/>
      <c r="M316" s="11"/>
      <c r="N316" s="11"/>
      <c r="P316" s="11"/>
      <c r="Q316" s="11"/>
      <c r="R316" s="3"/>
    </row>
    <row r="317" spans="1:18" x14ac:dyDescent="0.2">
      <c r="A317" s="11">
        <v>192</v>
      </c>
      <c r="B317" s="11">
        <v>1</v>
      </c>
      <c r="C317" s="11" t="s">
        <v>88</v>
      </c>
      <c r="D317" s="11">
        <f t="shared" si="8"/>
        <v>5</v>
      </c>
      <c r="E317">
        <f t="shared" si="9"/>
        <v>192005</v>
      </c>
      <c r="F317" s="11">
        <v>419</v>
      </c>
      <c r="G317" s="11" t="s">
        <v>10</v>
      </c>
      <c r="H317" s="3">
        <v>1036155.3</v>
      </c>
      <c r="K317" s="11"/>
      <c r="L317" s="11"/>
      <c r="M317" s="11"/>
      <c r="N317" s="11"/>
      <c r="P317" s="11"/>
      <c r="Q317" s="11"/>
      <c r="R317" s="3"/>
    </row>
    <row r="318" spans="1:18" x14ac:dyDescent="0.2">
      <c r="A318" s="11">
        <v>192</v>
      </c>
      <c r="B318" s="11">
        <v>1</v>
      </c>
      <c r="C318" s="11" t="s">
        <v>88</v>
      </c>
      <c r="D318" s="11">
        <f t="shared" si="8"/>
        <v>6</v>
      </c>
      <c r="E318">
        <f t="shared" si="9"/>
        <v>192006</v>
      </c>
      <c r="F318" s="11">
        <v>420</v>
      </c>
      <c r="G318" s="11" t="s">
        <v>11</v>
      </c>
      <c r="H318" s="3">
        <v>26967.65</v>
      </c>
      <c r="K318" s="11"/>
      <c r="L318" s="11"/>
      <c r="M318" s="11"/>
      <c r="N318" s="11"/>
      <c r="P318" s="11"/>
      <c r="Q318" s="11"/>
      <c r="R318" s="3"/>
    </row>
    <row r="319" spans="1:18" x14ac:dyDescent="0.2">
      <c r="A319" s="11">
        <v>192</v>
      </c>
      <c r="B319" s="11">
        <v>1</v>
      </c>
      <c r="C319" s="11" t="s">
        <v>88</v>
      </c>
      <c r="D319" s="11">
        <f t="shared" si="8"/>
        <v>7</v>
      </c>
      <c r="E319">
        <f t="shared" si="9"/>
        <v>192007</v>
      </c>
      <c r="F319" s="11">
        <v>433</v>
      </c>
      <c r="G319" s="11" t="s">
        <v>30</v>
      </c>
      <c r="H319" s="3">
        <v>10944.77</v>
      </c>
      <c r="K319" s="11"/>
      <c r="L319" s="11"/>
      <c r="M319" s="11"/>
      <c r="N319" s="11"/>
      <c r="P319" s="11"/>
      <c r="Q319" s="11"/>
      <c r="R319" s="3"/>
    </row>
    <row r="320" spans="1:18" x14ac:dyDescent="0.2">
      <c r="A320" s="11">
        <v>192</v>
      </c>
      <c r="B320" s="11">
        <v>1</v>
      </c>
      <c r="C320" s="11" t="s">
        <v>88</v>
      </c>
      <c r="D320" s="11">
        <f t="shared" si="8"/>
        <v>8</v>
      </c>
      <c r="E320">
        <f t="shared" si="9"/>
        <v>192008</v>
      </c>
      <c r="F320" s="11">
        <v>437</v>
      </c>
      <c r="G320" s="11" t="s">
        <v>14</v>
      </c>
      <c r="H320" s="3">
        <v>1695</v>
      </c>
      <c r="K320" s="11"/>
      <c r="L320" s="11"/>
      <c r="M320" s="11"/>
      <c r="N320" s="11"/>
      <c r="P320" s="11"/>
      <c r="Q320" s="11"/>
      <c r="R320" s="3"/>
    </row>
    <row r="321" spans="1:18" x14ac:dyDescent="0.2">
      <c r="A321" s="11">
        <v>192</v>
      </c>
      <c r="B321" s="11">
        <v>1</v>
      </c>
      <c r="C321" s="11" t="s">
        <v>88</v>
      </c>
      <c r="D321" s="11">
        <f t="shared" si="8"/>
        <v>9</v>
      </c>
      <c r="E321">
        <f t="shared" si="9"/>
        <v>192009</v>
      </c>
      <c r="F321" s="11">
        <v>438</v>
      </c>
      <c r="G321" s="11" t="s">
        <v>15</v>
      </c>
      <c r="H321" s="3">
        <v>11170.69</v>
      </c>
      <c r="K321" s="11"/>
      <c r="L321" s="11"/>
      <c r="M321" s="11"/>
      <c r="N321" s="11"/>
      <c r="P321" s="11"/>
      <c r="Q321" s="11"/>
      <c r="R321" s="3"/>
    </row>
    <row r="322" spans="1:18" x14ac:dyDescent="0.2">
      <c r="A322" s="11">
        <v>192</v>
      </c>
      <c r="B322" s="11">
        <v>1</v>
      </c>
      <c r="C322" s="11" t="s">
        <v>88</v>
      </c>
      <c r="D322" s="11">
        <f t="shared" si="8"/>
        <v>10</v>
      </c>
      <c r="E322">
        <f t="shared" si="9"/>
        <v>192010</v>
      </c>
      <c r="F322" s="11">
        <v>480</v>
      </c>
      <c r="G322" s="11" t="s">
        <v>19</v>
      </c>
      <c r="H322" s="3">
        <v>1233495.22</v>
      </c>
      <c r="K322" s="11"/>
      <c r="L322" s="11"/>
      <c r="M322" s="11"/>
      <c r="N322" s="11"/>
      <c r="P322" s="11"/>
      <c r="Q322" s="11"/>
      <c r="R322" s="3"/>
    </row>
    <row r="323" spans="1:18" x14ac:dyDescent="0.2">
      <c r="A323" s="11">
        <v>192</v>
      </c>
      <c r="B323" s="11">
        <v>1</v>
      </c>
      <c r="C323" s="11" t="s">
        <v>88</v>
      </c>
      <c r="D323" s="11">
        <f t="shared" si="8"/>
        <v>11</v>
      </c>
      <c r="E323">
        <f t="shared" si="9"/>
        <v>192011</v>
      </c>
      <c r="F323" s="11">
        <v>484</v>
      </c>
      <c r="G323" s="11" t="s">
        <v>20</v>
      </c>
      <c r="H323" s="3">
        <v>50503.67</v>
      </c>
      <c r="K323" s="11"/>
      <c r="L323" s="11"/>
      <c r="M323" s="11"/>
      <c r="N323" s="11"/>
      <c r="P323" s="11"/>
      <c r="Q323" s="11"/>
      <c r="R323" s="3"/>
    </row>
    <row r="324" spans="1:18" x14ac:dyDescent="0.2">
      <c r="A324" s="11">
        <v>192</v>
      </c>
      <c r="B324" s="11">
        <v>1</v>
      </c>
      <c r="C324" s="11" t="s">
        <v>88</v>
      </c>
      <c r="D324" s="11">
        <f t="shared" si="8"/>
        <v>12</v>
      </c>
      <c r="E324">
        <f t="shared" si="9"/>
        <v>192012</v>
      </c>
      <c r="F324" s="11">
        <v>486</v>
      </c>
      <c r="G324" s="11" t="s">
        <v>21</v>
      </c>
      <c r="H324" s="3">
        <v>33729.75</v>
      </c>
      <c r="K324" s="11"/>
      <c r="L324" s="11"/>
      <c r="M324" s="11"/>
      <c r="N324" s="11"/>
      <c r="P324" s="11"/>
      <c r="Q324" s="11"/>
      <c r="R324" s="3"/>
    </row>
    <row r="325" spans="1:18" x14ac:dyDescent="0.2">
      <c r="A325" s="11">
        <v>194</v>
      </c>
      <c r="B325" s="11">
        <v>1</v>
      </c>
      <c r="C325" s="11" t="s">
        <v>89</v>
      </c>
      <c r="D325" s="11">
        <f t="shared" si="8"/>
        <v>1</v>
      </c>
      <c r="E325">
        <f t="shared" si="9"/>
        <v>194001</v>
      </c>
      <c r="F325" s="11">
        <v>401</v>
      </c>
      <c r="G325" s="11" t="s">
        <v>29</v>
      </c>
      <c r="H325" s="3">
        <v>218642.81</v>
      </c>
      <c r="K325" s="11"/>
      <c r="L325" s="11"/>
      <c r="M325" s="11"/>
      <c r="N325" s="11"/>
      <c r="P325" s="11"/>
      <c r="Q325" s="11"/>
      <c r="R325" s="3"/>
    </row>
    <row r="326" spans="1:18" x14ac:dyDescent="0.2">
      <c r="A326" s="11">
        <v>194</v>
      </c>
      <c r="B326" s="11">
        <v>1</v>
      </c>
      <c r="C326" s="11" t="s">
        <v>89</v>
      </c>
      <c r="D326" s="11">
        <f t="shared" si="8"/>
        <v>2</v>
      </c>
      <c r="E326">
        <f t="shared" si="9"/>
        <v>194002</v>
      </c>
      <c r="F326" s="11">
        <v>414</v>
      </c>
      <c r="G326" s="11" t="s">
        <v>9</v>
      </c>
      <c r="H326" s="3">
        <v>161940.17000000001</v>
      </c>
      <c r="K326" s="11"/>
      <c r="L326" s="11"/>
      <c r="M326" s="11"/>
      <c r="N326" s="11"/>
      <c r="P326" s="11"/>
      <c r="Q326" s="11"/>
      <c r="R326" s="3"/>
    </row>
    <row r="327" spans="1:18" x14ac:dyDescent="0.2">
      <c r="A327" s="11">
        <v>194</v>
      </c>
      <c r="B327" s="11">
        <v>1</v>
      </c>
      <c r="C327" s="11" t="s">
        <v>89</v>
      </c>
      <c r="D327" s="11">
        <f t="shared" si="8"/>
        <v>3</v>
      </c>
      <c r="E327">
        <f t="shared" si="9"/>
        <v>194003</v>
      </c>
      <c r="F327" s="11">
        <v>417</v>
      </c>
      <c r="G327" s="11" t="s">
        <v>34</v>
      </c>
      <c r="H327" s="3">
        <v>33472.870000000003</v>
      </c>
      <c r="K327" s="11"/>
      <c r="L327" s="11"/>
      <c r="M327" s="11"/>
      <c r="N327" s="11"/>
      <c r="P327" s="11"/>
      <c r="Q327" s="11"/>
      <c r="R327" s="3"/>
    </row>
    <row r="328" spans="1:18" x14ac:dyDescent="0.2">
      <c r="A328" s="11">
        <v>194</v>
      </c>
      <c r="B328" s="11">
        <v>1</v>
      </c>
      <c r="C328" s="11" t="s">
        <v>89</v>
      </c>
      <c r="D328" s="11">
        <f t="shared" si="8"/>
        <v>4</v>
      </c>
      <c r="E328">
        <f t="shared" si="9"/>
        <v>194004</v>
      </c>
      <c r="F328" s="11">
        <v>419</v>
      </c>
      <c r="G328" s="11" t="s">
        <v>10</v>
      </c>
      <c r="H328" s="3">
        <v>1856330.93</v>
      </c>
      <c r="K328" s="11"/>
      <c r="L328" s="11"/>
      <c r="M328" s="11"/>
      <c r="N328" s="11"/>
      <c r="P328" s="11"/>
      <c r="Q328" s="11"/>
      <c r="R328" s="3"/>
    </row>
    <row r="329" spans="1:18" x14ac:dyDescent="0.2">
      <c r="A329" s="11">
        <v>194</v>
      </c>
      <c r="B329" s="11">
        <v>1</v>
      </c>
      <c r="C329" s="11" t="s">
        <v>89</v>
      </c>
      <c r="D329" s="11">
        <f t="shared" si="8"/>
        <v>5</v>
      </c>
      <c r="E329">
        <f t="shared" si="9"/>
        <v>194005</v>
      </c>
      <c r="F329" s="11">
        <v>420</v>
      </c>
      <c r="G329" s="11" t="s">
        <v>11</v>
      </c>
      <c r="H329" s="3">
        <v>46792.85</v>
      </c>
      <c r="K329" s="11"/>
      <c r="L329" s="11"/>
      <c r="M329" s="11"/>
      <c r="N329" s="11"/>
      <c r="P329" s="11"/>
      <c r="Q329" s="11"/>
      <c r="R329" s="3"/>
    </row>
    <row r="330" spans="1:18" x14ac:dyDescent="0.2">
      <c r="A330" s="11">
        <v>194</v>
      </c>
      <c r="B330" s="11">
        <v>1</v>
      </c>
      <c r="C330" s="11" t="s">
        <v>89</v>
      </c>
      <c r="D330" s="11">
        <f t="shared" si="8"/>
        <v>6</v>
      </c>
      <c r="E330">
        <f t="shared" si="9"/>
        <v>194006</v>
      </c>
      <c r="F330" s="11">
        <v>433</v>
      </c>
      <c r="G330" s="11" t="s">
        <v>30</v>
      </c>
      <c r="H330" s="3">
        <v>17840.580000000002</v>
      </c>
      <c r="K330" s="11"/>
      <c r="L330" s="11"/>
      <c r="M330" s="11"/>
      <c r="N330" s="11"/>
      <c r="P330" s="11"/>
      <c r="Q330" s="11"/>
      <c r="R330" s="3"/>
    </row>
    <row r="331" spans="1:18" x14ac:dyDescent="0.2">
      <c r="A331" s="11">
        <v>194</v>
      </c>
      <c r="B331" s="11">
        <v>1</v>
      </c>
      <c r="C331" s="11" t="s">
        <v>89</v>
      </c>
      <c r="D331" s="11">
        <f t="shared" si="8"/>
        <v>7</v>
      </c>
      <c r="E331">
        <f t="shared" si="9"/>
        <v>194007</v>
      </c>
      <c r="F331" s="11">
        <v>435</v>
      </c>
      <c r="G331" s="11" t="s">
        <v>35</v>
      </c>
      <c r="H331" s="3">
        <v>15890</v>
      </c>
      <c r="K331" s="11"/>
      <c r="L331" s="11"/>
      <c r="M331" s="11"/>
      <c r="N331" s="11"/>
      <c r="P331" s="11"/>
      <c r="Q331" s="11"/>
      <c r="R331" s="3"/>
    </row>
    <row r="332" spans="1:18" x14ac:dyDescent="0.2">
      <c r="A332" s="11">
        <v>194</v>
      </c>
      <c r="B332" s="11">
        <v>1</v>
      </c>
      <c r="C332" s="11" t="s">
        <v>89</v>
      </c>
      <c r="D332" s="11">
        <f t="shared" si="8"/>
        <v>8</v>
      </c>
      <c r="E332">
        <f t="shared" si="9"/>
        <v>194008</v>
      </c>
      <c r="F332" s="11">
        <v>438</v>
      </c>
      <c r="G332" s="11" t="s">
        <v>15</v>
      </c>
      <c r="H332" s="3">
        <v>13686.69</v>
      </c>
      <c r="K332" s="11"/>
      <c r="L332" s="11"/>
      <c r="M332" s="11"/>
      <c r="N332" s="11"/>
      <c r="P332" s="11"/>
      <c r="Q332" s="11"/>
      <c r="R332" s="3"/>
    </row>
    <row r="333" spans="1:18" x14ac:dyDescent="0.2">
      <c r="A333" s="11">
        <v>194</v>
      </c>
      <c r="B333" s="11">
        <v>1</v>
      </c>
      <c r="C333" s="11" t="s">
        <v>89</v>
      </c>
      <c r="D333" s="11">
        <f t="shared" si="8"/>
        <v>9</v>
      </c>
      <c r="E333">
        <f t="shared" si="9"/>
        <v>194009</v>
      </c>
      <c r="F333" s="11">
        <v>480</v>
      </c>
      <c r="G333" s="11" t="s">
        <v>19</v>
      </c>
      <c r="H333" s="3">
        <v>2169397.41</v>
      </c>
      <c r="K333" s="11"/>
      <c r="L333" s="11"/>
      <c r="M333" s="11"/>
      <c r="N333" s="11"/>
      <c r="P333" s="11"/>
      <c r="Q333" s="11"/>
      <c r="R333" s="3"/>
    </row>
    <row r="334" spans="1:18" x14ac:dyDescent="0.2">
      <c r="A334" s="11">
        <v>194</v>
      </c>
      <c r="B334" s="11">
        <v>1</v>
      </c>
      <c r="C334" s="11" t="s">
        <v>89</v>
      </c>
      <c r="D334" s="11">
        <f t="shared" si="8"/>
        <v>10</v>
      </c>
      <c r="E334">
        <f t="shared" si="9"/>
        <v>194010</v>
      </c>
      <c r="F334" s="11">
        <v>486</v>
      </c>
      <c r="G334" s="11" t="s">
        <v>21</v>
      </c>
      <c r="H334" s="3">
        <v>55183.31</v>
      </c>
      <c r="K334" s="11"/>
      <c r="L334" s="11"/>
      <c r="M334" s="11"/>
      <c r="N334" s="11"/>
      <c r="P334" s="11"/>
      <c r="Q334" s="11"/>
      <c r="R334" s="3"/>
    </row>
    <row r="335" spans="1:18" x14ac:dyDescent="0.2">
      <c r="A335" s="11">
        <v>194</v>
      </c>
      <c r="B335" s="11">
        <v>1</v>
      </c>
      <c r="C335" s="11" t="s">
        <v>89</v>
      </c>
      <c r="D335" s="11">
        <f t="shared" ref="D335:D398" si="10">IF(A335=A334,D334+1,1)</f>
        <v>11</v>
      </c>
      <c r="E335">
        <f t="shared" ref="E335:E398" si="11">1000*A335+D335</f>
        <v>194011</v>
      </c>
      <c r="F335" s="11">
        <v>805</v>
      </c>
      <c r="G335" s="11" t="s">
        <v>90</v>
      </c>
      <c r="H335" s="3">
        <v>30000</v>
      </c>
      <c r="K335" s="11"/>
      <c r="L335" s="11"/>
      <c r="M335" s="11"/>
      <c r="N335" s="11"/>
      <c r="P335" s="11"/>
      <c r="Q335" s="11"/>
      <c r="R335" s="3"/>
    </row>
    <row r="336" spans="1:18" x14ac:dyDescent="0.2">
      <c r="A336" s="11">
        <v>195</v>
      </c>
      <c r="B336" s="11">
        <v>1</v>
      </c>
      <c r="C336" s="11" t="s">
        <v>91</v>
      </c>
      <c r="D336" s="11">
        <f t="shared" si="10"/>
        <v>1</v>
      </c>
      <c r="E336">
        <f t="shared" si="11"/>
        <v>195001</v>
      </c>
      <c r="F336" s="11">
        <v>401</v>
      </c>
      <c r="G336" s="11" t="s">
        <v>29</v>
      </c>
      <c r="H336" s="3">
        <v>14471.31</v>
      </c>
      <c r="K336" s="11"/>
      <c r="L336" s="11"/>
      <c r="M336" s="11"/>
      <c r="N336" s="11"/>
      <c r="P336" s="11"/>
      <c r="Q336" s="11"/>
      <c r="R336" s="3"/>
    </row>
    <row r="337" spans="1:18" x14ac:dyDescent="0.2">
      <c r="A337" s="11">
        <v>195</v>
      </c>
      <c r="B337" s="11">
        <v>1</v>
      </c>
      <c r="C337" s="11" t="s">
        <v>91</v>
      </c>
      <c r="D337" s="11">
        <f t="shared" si="10"/>
        <v>2</v>
      </c>
      <c r="E337">
        <f t="shared" si="11"/>
        <v>195002</v>
      </c>
      <c r="F337" s="11">
        <v>414</v>
      </c>
      <c r="G337" s="11" t="s">
        <v>9</v>
      </c>
      <c r="H337" s="3">
        <v>11464.04</v>
      </c>
      <c r="K337" s="11"/>
      <c r="L337" s="11"/>
      <c r="M337" s="11"/>
      <c r="N337" s="11"/>
      <c r="P337" s="11"/>
      <c r="Q337" s="11"/>
      <c r="R337" s="3"/>
    </row>
    <row r="338" spans="1:18" x14ac:dyDescent="0.2">
      <c r="A338" s="11">
        <v>195</v>
      </c>
      <c r="B338" s="11">
        <v>1</v>
      </c>
      <c r="C338" s="11" t="s">
        <v>91</v>
      </c>
      <c r="D338" s="11">
        <f t="shared" si="10"/>
        <v>3</v>
      </c>
      <c r="E338">
        <f t="shared" si="11"/>
        <v>195003</v>
      </c>
      <c r="F338" s="11">
        <v>420</v>
      </c>
      <c r="G338" s="11" t="s">
        <v>11</v>
      </c>
      <c r="H338" s="3">
        <v>2037.63</v>
      </c>
      <c r="K338" s="11"/>
      <c r="L338" s="11"/>
      <c r="M338" s="11"/>
      <c r="N338" s="11"/>
      <c r="P338" s="11"/>
      <c r="Q338" s="11"/>
      <c r="R338" s="3"/>
    </row>
    <row r="339" spans="1:18" x14ac:dyDescent="0.2">
      <c r="A339" s="11">
        <v>195</v>
      </c>
      <c r="B339" s="11">
        <v>1</v>
      </c>
      <c r="C339" s="11" t="s">
        <v>91</v>
      </c>
      <c r="D339" s="11">
        <f t="shared" si="10"/>
        <v>4</v>
      </c>
      <c r="E339">
        <f t="shared" si="11"/>
        <v>195004</v>
      </c>
      <c r="F339" s="11">
        <v>433</v>
      </c>
      <c r="G339" s="11" t="s">
        <v>30</v>
      </c>
      <c r="H339" s="3">
        <v>888.78</v>
      </c>
      <c r="K339" s="11"/>
      <c r="L339" s="11"/>
      <c r="M339" s="11"/>
      <c r="N339" s="11"/>
      <c r="P339" s="11"/>
      <c r="Q339" s="11"/>
      <c r="R339" s="3"/>
    </row>
    <row r="340" spans="1:18" x14ac:dyDescent="0.2">
      <c r="A340" s="11">
        <v>195</v>
      </c>
      <c r="B340" s="11">
        <v>1</v>
      </c>
      <c r="C340" s="11" t="s">
        <v>91</v>
      </c>
      <c r="D340" s="11">
        <f t="shared" si="10"/>
        <v>5</v>
      </c>
      <c r="E340">
        <f t="shared" si="11"/>
        <v>195005</v>
      </c>
      <c r="F340" s="11">
        <v>484</v>
      </c>
      <c r="G340" s="11" t="s">
        <v>20</v>
      </c>
      <c r="H340" s="3">
        <v>4214.6499999999996</v>
      </c>
      <c r="K340" s="11"/>
      <c r="L340" s="11"/>
      <c r="M340" s="11"/>
      <c r="N340" s="11"/>
      <c r="P340" s="11"/>
      <c r="Q340" s="11"/>
      <c r="R340" s="3"/>
    </row>
    <row r="341" spans="1:18" x14ac:dyDescent="0.2">
      <c r="A341" s="11">
        <v>195</v>
      </c>
      <c r="B341" s="11">
        <v>1</v>
      </c>
      <c r="C341" s="11" t="s">
        <v>91</v>
      </c>
      <c r="D341" s="11">
        <f t="shared" si="10"/>
        <v>6</v>
      </c>
      <c r="E341">
        <f t="shared" si="11"/>
        <v>195006</v>
      </c>
      <c r="F341" s="11">
        <v>486</v>
      </c>
      <c r="G341" s="11" t="s">
        <v>21</v>
      </c>
      <c r="H341" s="3">
        <v>1191.8599999999999</v>
      </c>
      <c r="K341" s="11"/>
      <c r="L341" s="11"/>
      <c r="M341" s="11"/>
      <c r="N341" s="11"/>
      <c r="P341" s="11"/>
      <c r="Q341" s="11"/>
      <c r="R341" s="3"/>
    </row>
    <row r="342" spans="1:18" x14ac:dyDescent="0.2">
      <c r="A342" s="11">
        <v>196</v>
      </c>
      <c r="B342" s="11">
        <v>1</v>
      </c>
      <c r="C342" s="11" t="s">
        <v>92</v>
      </c>
      <c r="D342" s="11">
        <f t="shared" si="10"/>
        <v>1</v>
      </c>
      <c r="E342">
        <f t="shared" si="11"/>
        <v>196001</v>
      </c>
      <c r="F342" s="11">
        <v>401</v>
      </c>
      <c r="G342" s="11" t="s">
        <v>29</v>
      </c>
      <c r="H342" s="3">
        <v>742195.98</v>
      </c>
      <c r="K342" s="11"/>
      <c r="L342" s="11"/>
      <c r="M342" s="11"/>
      <c r="N342" s="11"/>
      <c r="P342" s="11"/>
      <c r="Q342" s="11"/>
      <c r="R342" s="3"/>
    </row>
    <row r="343" spans="1:18" x14ac:dyDescent="0.2">
      <c r="A343" s="11">
        <v>196</v>
      </c>
      <c r="B343" s="11">
        <v>1</v>
      </c>
      <c r="C343" s="11" t="s">
        <v>92</v>
      </c>
      <c r="D343" s="11">
        <f t="shared" si="10"/>
        <v>2</v>
      </c>
      <c r="E343">
        <f t="shared" si="11"/>
        <v>196002</v>
      </c>
      <c r="F343" s="11">
        <v>414</v>
      </c>
      <c r="G343" s="11" t="s">
        <v>9</v>
      </c>
      <c r="H343" s="3">
        <v>552252.93999999994</v>
      </c>
      <c r="K343" s="11"/>
      <c r="L343" s="11"/>
      <c r="M343" s="11"/>
      <c r="N343" s="11"/>
      <c r="P343" s="11"/>
      <c r="Q343" s="11"/>
      <c r="R343" s="3"/>
    </row>
    <row r="344" spans="1:18" x14ac:dyDescent="0.2">
      <c r="A344" s="11">
        <v>196</v>
      </c>
      <c r="B344" s="11">
        <v>1</v>
      </c>
      <c r="C344" s="11" t="s">
        <v>92</v>
      </c>
      <c r="D344" s="11">
        <f t="shared" si="10"/>
        <v>3</v>
      </c>
      <c r="E344">
        <f t="shared" si="11"/>
        <v>196003</v>
      </c>
      <c r="F344" s="11">
        <v>417</v>
      </c>
      <c r="G344" s="11" t="s">
        <v>34</v>
      </c>
      <c r="H344" s="3">
        <v>151759.54999999999</v>
      </c>
      <c r="K344" s="11"/>
      <c r="L344" s="11"/>
      <c r="M344" s="11"/>
      <c r="N344" s="11"/>
      <c r="P344" s="11"/>
      <c r="Q344" s="11"/>
      <c r="R344" s="3"/>
    </row>
    <row r="345" spans="1:18" x14ac:dyDescent="0.2">
      <c r="A345" s="11">
        <v>196</v>
      </c>
      <c r="B345" s="11">
        <v>1</v>
      </c>
      <c r="C345" s="11" t="s">
        <v>92</v>
      </c>
      <c r="D345" s="11">
        <f t="shared" si="10"/>
        <v>4</v>
      </c>
      <c r="E345">
        <f t="shared" si="11"/>
        <v>196004</v>
      </c>
      <c r="F345" s="11">
        <v>419</v>
      </c>
      <c r="G345" s="11" t="s">
        <v>10</v>
      </c>
      <c r="H345" s="3">
        <v>4340193.76</v>
      </c>
      <c r="K345" s="11"/>
      <c r="L345" s="11"/>
      <c r="M345" s="11"/>
      <c r="N345" s="11"/>
      <c r="P345" s="11"/>
      <c r="Q345" s="11"/>
      <c r="R345" s="3"/>
    </row>
    <row r="346" spans="1:18" x14ac:dyDescent="0.2">
      <c r="A346" s="11">
        <v>196</v>
      </c>
      <c r="B346" s="11">
        <v>1</v>
      </c>
      <c r="C346" s="11" t="s">
        <v>92</v>
      </c>
      <c r="D346" s="11">
        <f t="shared" si="10"/>
        <v>5</v>
      </c>
      <c r="E346">
        <f t="shared" si="11"/>
        <v>196005</v>
      </c>
      <c r="F346" s="11">
        <v>420</v>
      </c>
      <c r="G346" s="11" t="s">
        <v>11</v>
      </c>
      <c r="H346" s="3">
        <v>176839.16</v>
      </c>
      <c r="K346" s="11"/>
      <c r="L346" s="11"/>
      <c r="M346" s="11"/>
      <c r="N346" s="11"/>
      <c r="P346" s="11"/>
      <c r="Q346" s="11"/>
      <c r="R346" s="3"/>
    </row>
    <row r="347" spans="1:18" x14ac:dyDescent="0.2">
      <c r="A347" s="11">
        <v>196</v>
      </c>
      <c r="B347" s="11">
        <v>1</v>
      </c>
      <c r="C347" s="11" t="s">
        <v>92</v>
      </c>
      <c r="D347" s="11">
        <f t="shared" si="10"/>
        <v>6</v>
      </c>
      <c r="E347">
        <f t="shared" si="11"/>
        <v>196006</v>
      </c>
      <c r="F347" s="11">
        <v>428</v>
      </c>
      <c r="G347" s="11" t="s">
        <v>13</v>
      </c>
      <c r="H347" s="3">
        <v>245464.05</v>
      </c>
      <c r="K347" s="11"/>
      <c r="L347" s="11"/>
      <c r="M347" s="11"/>
      <c r="N347" s="11"/>
      <c r="P347" s="11"/>
      <c r="Q347" s="11"/>
      <c r="R347" s="3"/>
    </row>
    <row r="348" spans="1:18" x14ac:dyDescent="0.2">
      <c r="A348" s="11">
        <v>196</v>
      </c>
      <c r="B348" s="11">
        <v>1</v>
      </c>
      <c r="C348" s="11" t="s">
        <v>92</v>
      </c>
      <c r="D348" s="11">
        <f t="shared" si="10"/>
        <v>7</v>
      </c>
      <c r="E348">
        <f t="shared" si="11"/>
        <v>196007</v>
      </c>
      <c r="F348" s="11">
        <v>433</v>
      </c>
      <c r="G348" s="11" t="s">
        <v>30</v>
      </c>
      <c r="H348" s="3">
        <v>47216.01</v>
      </c>
      <c r="K348" s="11"/>
      <c r="L348" s="11"/>
      <c r="M348" s="11"/>
      <c r="N348" s="11"/>
      <c r="P348" s="11"/>
      <c r="Q348" s="11"/>
      <c r="R348" s="3"/>
    </row>
    <row r="349" spans="1:18" x14ac:dyDescent="0.2">
      <c r="A349" s="11">
        <v>196</v>
      </c>
      <c r="B349" s="11">
        <v>1</v>
      </c>
      <c r="C349" s="11" t="s">
        <v>92</v>
      </c>
      <c r="D349" s="11">
        <f t="shared" si="10"/>
        <v>8</v>
      </c>
      <c r="E349">
        <f t="shared" si="11"/>
        <v>196008</v>
      </c>
      <c r="F349" s="11">
        <v>435</v>
      </c>
      <c r="G349" s="11" t="s">
        <v>35</v>
      </c>
      <c r="H349" s="3">
        <v>43610</v>
      </c>
      <c r="K349" s="11"/>
      <c r="L349" s="11"/>
      <c r="M349" s="11"/>
      <c r="N349" s="11"/>
      <c r="P349" s="11"/>
      <c r="Q349" s="11"/>
      <c r="R349" s="3"/>
    </row>
    <row r="350" spans="1:18" x14ac:dyDescent="0.2">
      <c r="A350" s="11">
        <v>196</v>
      </c>
      <c r="B350" s="11">
        <v>1</v>
      </c>
      <c r="C350" s="11" t="s">
        <v>92</v>
      </c>
      <c r="D350" s="11">
        <f t="shared" si="10"/>
        <v>9</v>
      </c>
      <c r="E350">
        <f t="shared" si="11"/>
        <v>196009</v>
      </c>
      <c r="F350" s="11">
        <v>438</v>
      </c>
      <c r="G350" s="11" t="s">
        <v>15</v>
      </c>
      <c r="H350" s="3">
        <v>59871.09</v>
      </c>
      <c r="K350" s="11"/>
      <c r="L350" s="11"/>
      <c r="M350" s="11"/>
      <c r="N350" s="11"/>
      <c r="P350" s="11"/>
      <c r="Q350" s="11"/>
      <c r="R350" s="3"/>
    </row>
    <row r="351" spans="1:18" x14ac:dyDescent="0.2">
      <c r="A351" s="11">
        <v>196</v>
      </c>
      <c r="B351" s="11">
        <v>1</v>
      </c>
      <c r="C351" s="11" t="s">
        <v>92</v>
      </c>
      <c r="D351" s="11">
        <f t="shared" si="10"/>
        <v>10</v>
      </c>
      <c r="E351">
        <f t="shared" si="11"/>
        <v>196010</v>
      </c>
      <c r="F351" s="11">
        <v>480</v>
      </c>
      <c r="G351" s="11" t="s">
        <v>19</v>
      </c>
      <c r="H351" s="3">
        <v>5625637.1799999997</v>
      </c>
      <c r="K351" s="11"/>
      <c r="L351" s="11"/>
      <c r="M351" s="11"/>
      <c r="N351" s="11"/>
      <c r="P351" s="11"/>
      <c r="Q351" s="11"/>
      <c r="R351" s="3"/>
    </row>
    <row r="352" spans="1:18" x14ac:dyDescent="0.2">
      <c r="A352" s="11">
        <v>196</v>
      </c>
      <c r="B352" s="11">
        <v>1</v>
      </c>
      <c r="C352" s="11" t="s">
        <v>92</v>
      </c>
      <c r="D352" s="11">
        <f t="shared" si="10"/>
        <v>11</v>
      </c>
      <c r="E352">
        <f t="shared" si="11"/>
        <v>196011</v>
      </c>
      <c r="F352" s="11">
        <v>484</v>
      </c>
      <c r="G352" s="11" t="s">
        <v>20</v>
      </c>
      <c r="H352" s="3">
        <v>230350.14</v>
      </c>
      <c r="K352" s="11"/>
      <c r="L352" s="11"/>
      <c r="M352" s="11"/>
      <c r="N352" s="11"/>
      <c r="P352" s="11"/>
      <c r="Q352" s="11"/>
      <c r="R352" s="3"/>
    </row>
    <row r="353" spans="1:18" x14ac:dyDescent="0.2">
      <c r="A353" s="11">
        <v>196</v>
      </c>
      <c r="B353" s="11">
        <v>1</v>
      </c>
      <c r="C353" s="11" t="s">
        <v>92</v>
      </c>
      <c r="D353" s="11">
        <f t="shared" si="10"/>
        <v>12</v>
      </c>
      <c r="E353">
        <f t="shared" si="11"/>
        <v>196012</v>
      </c>
      <c r="F353" s="11">
        <v>486</v>
      </c>
      <c r="G353" s="11" t="s">
        <v>21</v>
      </c>
      <c r="H353" s="3">
        <v>107625.33</v>
      </c>
      <c r="K353" s="11"/>
      <c r="L353" s="11"/>
      <c r="M353" s="11"/>
      <c r="N353" s="11"/>
      <c r="P353" s="11"/>
      <c r="Q353" s="11"/>
      <c r="R353" s="3"/>
    </row>
    <row r="354" spans="1:18" x14ac:dyDescent="0.2">
      <c r="A354" s="11">
        <v>196</v>
      </c>
      <c r="B354" s="11">
        <v>1</v>
      </c>
      <c r="C354" s="11" t="s">
        <v>92</v>
      </c>
      <c r="D354" s="11">
        <f t="shared" si="10"/>
        <v>13</v>
      </c>
      <c r="E354">
        <f t="shared" si="11"/>
        <v>196013</v>
      </c>
      <c r="F354" s="11">
        <v>801</v>
      </c>
      <c r="G354" s="11" t="s">
        <v>22</v>
      </c>
      <c r="H354" s="3">
        <v>40000</v>
      </c>
      <c r="K354" s="11"/>
      <c r="L354" s="11"/>
      <c r="M354" s="11"/>
      <c r="N354" s="11"/>
      <c r="P354" s="11"/>
      <c r="Q354" s="11"/>
      <c r="R354" s="3"/>
    </row>
    <row r="355" spans="1:18" x14ac:dyDescent="0.2">
      <c r="A355" s="11">
        <v>197</v>
      </c>
      <c r="B355" s="11">
        <v>1</v>
      </c>
      <c r="C355" s="11" t="s">
        <v>93</v>
      </c>
      <c r="D355" s="11">
        <f t="shared" si="10"/>
        <v>1</v>
      </c>
      <c r="E355">
        <f t="shared" si="11"/>
        <v>197001</v>
      </c>
      <c r="F355" s="11">
        <v>435</v>
      </c>
      <c r="G355" s="11" t="s">
        <v>35</v>
      </c>
      <c r="H355" s="3">
        <v>7730</v>
      </c>
      <c r="K355" s="11"/>
      <c r="L355" s="11"/>
      <c r="M355" s="11"/>
      <c r="N355" s="11"/>
      <c r="P355" s="11"/>
      <c r="Q355" s="11"/>
      <c r="R355" s="3"/>
    </row>
    <row r="356" spans="1:18" x14ac:dyDescent="0.2">
      <c r="A356" s="11">
        <v>197</v>
      </c>
      <c r="B356" s="11">
        <v>1</v>
      </c>
      <c r="C356" s="11" t="s">
        <v>93</v>
      </c>
      <c r="D356" s="11">
        <f t="shared" si="10"/>
        <v>2</v>
      </c>
      <c r="E356">
        <f t="shared" si="11"/>
        <v>197002</v>
      </c>
      <c r="F356" s="11">
        <v>437</v>
      </c>
      <c r="G356" s="11" t="s">
        <v>14</v>
      </c>
      <c r="H356" s="3">
        <v>1800</v>
      </c>
      <c r="K356" s="11"/>
      <c r="L356" s="11"/>
      <c r="M356" s="11"/>
      <c r="N356" s="11"/>
      <c r="P356" s="11"/>
      <c r="Q356" s="11"/>
      <c r="R356" s="3"/>
    </row>
    <row r="357" spans="1:18" x14ac:dyDescent="0.2">
      <c r="A357" s="11">
        <v>197</v>
      </c>
      <c r="B357" s="11">
        <v>1</v>
      </c>
      <c r="C357" s="11" t="s">
        <v>93</v>
      </c>
      <c r="D357" s="11">
        <f t="shared" si="10"/>
        <v>3</v>
      </c>
      <c r="E357">
        <f t="shared" si="11"/>
        <v>197003</v>
      </c>
      <c r="F357" s="11">
        <v>484</v>
      </c>
      <c r="G357" s="11" t="s">
        <v>20</v>
      </c>
      <c r="H357" s="3">
        <v>58550.97</v>
      </c>
      <c r="K357" s="11"/>
      <c r="L357" s="11"/>
      <c r="M357" s="11"/>
      <c r="N357" s="11"/>
      <c r="P357" s="11"/>
      <c r="Q357" s="11"/>
      <c r="R357" s="3"/>
    </row>
    <row r="358" spans="1:18" x14ac:dyDescent="0.2">
      <c r="A358" s="11">
        <v>199</v>
      </c>
      <c r="B358" s="11">
        <v>1</v>
      </c>
      <c r="C358" s="11" t="s">
        <v>94</v>
      </c>
      <c r="D358" s="11">
        <f t="shared" si="10"/>
        <v>1</v>
      </c>
      <c r="E358">
        <f t="shared" si="11"/>
        <v>199001</v>
      </c>
      <c r="F358" s="11">
        <v>401</v>
      </c>
      <c r="G358" s="11" t="s">
        <v>29</v>
      </c>
      <c r="H358" s="3">
        <v>352606.19</v>
      </c>
      <c r="K358" s="11"/>
      <c r="L358" s="11"/>
      <c r="M358" s="11"/>
      <c r="N358" s="11"/>
      <c r="P358" s="11"/>
      <c r="Q358" s="11"/>
      <c r="R358" s="3"/>
    </row>
    <row r="359" spans="1:18" x14ac:dyDescent="0.2">
      <c r="A359" s="11">
        <v>199</v>
      </c>
      <c r="B359" s="11">
        <v>1</v>
      </c>
      <c r="C359" s="11" t="s">
        <v>94</v>
      </c>
      <c r="D359" s="11">
        <f t="shared" si="10"/>
        <v>2</v>
      </c>
      <c r="E359">
        <f t="shared" si="11"/>
        <v>199002</v>
      </c>
      <c r="F359" s="11">
        <v>414</v>
      </c>
      <c r="G359" s="11" t="s">
        <v>9</v>
      </c>
      <c r="H359" s="3">
        <v>155625.89000000001</v>
      </c>
      <c r="K359" s="11"/>
      <c r="L359" s="11"/>
      <c r="M359" s="11"/>
      <c r="N359" s="11"/>
      <c r="P359" s="11"/>
      <c r="Q359" s="11"/>
      <c r="R359" s="3"/>
    </row>
    <row r="360" spans="1:18" x14ac:dyDescent="0.2">
      <c r="A360" s="11">
        <v>199</v>
      </c>
      <c r="B360" s="11">
        <v>1</v>
      </c>
      <c r="C360" s="11" t="s">
        <v>94</v>
      </c>
      <c r="D360" s="11">
        <f t="shared" si="10"/>
        <v>3</v>
      </c>
      <c r="E360">
        <f t="shared" si="11"/>
        <v>199003</v>
      </c>
      <c r="F360" s="11">
        <v>417</v>
      </c>
      <c r="G360" s="11" t="s">
        <v>34</v>
      </c>
      <c r="H360" s="3">
        <v>20369.61</v>
      </c>
      <c r="K360" s="11"/>
      <c r="L360" s="11"/>
      <c r="M360" s="11"/>
      <c r="N360" s="11"/>
      <c r="P360" s="11"/>
      <c r="Q360" s="11"/>
      <c r="R360" s="3"/>
    </row>
    <row r="361" spans="1:18" x14ac:dyDescent="0.2">
      <c r="A361" s="11">
        <v>199</v>
      </c>
      <c r="B361" s="11">
        <v>1</v>
      </c>
      <c r="C361" s="11" t="s">
        <v>94</v>
      </c>
      <c r="D361" s="11">
        <f t="shared" si="10"/>
        <v>4</v>
      </c>
      <c r="E361">
        <f t="shared" si="11"/>
        <v>199004</v>
      </c>
      <c r="F361" s="11">
        <v>419</v>
      </c>
      <c r="G361" s="11" t="s">
        <v>10</v>
      </c>
      <c r="H361" s="3">
        <v>789211.72</v>
      </c>
      <c r="K361" s="11"/>
      <c r="L361" s="11"/>
      <c r="M361" s="11"/>
      <c r="N361" s="11"/>
      <c r="P361" s="11"/>
      <c r="Q361" s="11"/>
      <c r="R361" s="3"/>
    </row>
    <row r="362" spans="1:18" x14ac:dyDescent="0.2">
      <c r="A362" s="11">
        <v>199</v>
      </c>
      <c r="B362" s="11">
        <v>1</v>
      </c>
      <c r="C362" s="11" t="s">
        <v>94</v>
      </c>
      <c r="D362" s="11">
        <f t="shared" si="10"/>
        <v>5</v>
      </c>
      <c r="E362">
        <f t="shared" si="11"/>
        <v>199005</v>
      </c>
      <c r="F362" s="11">
        <v>420</v>
      </c>
      <c r="G362" s="11" t="s">
        <v>11</v>
      </c>
      <c r="H362" s="3">
        <v>27861.77</v>
      </c>
      <c r="K362" s="11"/>
      <c r="L362" s="11"/>
      <c r="M362" s="11"/>
      <c r="N362" s="11"/>
      <c r="P362" s="11"/>
      <c r="Q362" s="11"/>
      <c r="R362" s="3"/>
    </row>
    <row r="363" spans="1:18" x14ac:dyDescent="0.2">
      <c r="A363" s="11">
        <v>199</v>
      </c>
      <c r="B363" s="11">
        <v>1</v>
      </c>
      <c r="C363" s="11" t="s">
        <v>94</v>
      </c>
      <c r="D363" s="11">
        <f t="shared" si="10"/>
        <v>6</v>
      </c>
      <c r="E363">
        <f t="shared" si="11"/>
        <v>199006</v>
      </c>
      <c r="F363" s="11">
        <v>433</v>
      </c>
      <c r="G363" s="11" t="s">
        <v>30</v>
      </c>
      <c r="H363" s="3">
        <v>9514.83</v>
      </c>
      <c r="K363" s="11"/>
      <c r="L363" s="11"/>
      <c r="M363" s="11"/>
      <c r="N363" s="11"/>
      <c r="P363" s="11"/>
      <c r="Q363" s="11"/>
      <c r="R363" s="3"/>
    </row>
    <row r="364" spans="1:18" x14ac:dyDescent="0.2">
      <c r="A364" s="11">
        <v>199</v>
      </c>
      <c r="B364" s="11">
        <v>1</v>
      </c>
      <c r="C364" s="11" t="s">
        <v>94</v>
      </c>
      <c r="D364" s="11">
        <f t="shared" si="10"/>
        <v>7</v>
      </c>
      <c r="E364">
        <f t="shared" si="11"/>
        <v>199007</v>
      </c>
      <c r="F364" s="11">
        <v>437</v>
      </c>
      <c r="G364" s="11" t="s">
        <v>14</v>
      </c>
      <c r="H364" s="3">
        <v>1065</v>
      </c>
      <c r="K364" s="11"/>
      <c r="L364" s="11"/>
      <c r="M364" s="11"/>
      <c r="N364" s="11"/>
      <c r="P364" s="11"/>
      <c r="Q364" s="11"/>
      <c r="R364" s="3"/>
    </row>
    <row r="365" spans="1:18" x14ac:dyDescent="0.2">
      <c r="A365" s="11">
        <v>199</v>
      </c>
      <c r="B365" s="11">
        <v>1</v>
      </c>
      <c r="C365" s="11" t="s">
        <v>94</v>
      </c>
      <c r="D365" s="11">
        <f t="shared" si="10"/>
        <v>8</v>
      </c>
      <c r="E365">
        <f t="shared" si="11"/>
        <v>199008</v>
      </c>
      <c r="F365" s="11">
        <v>470</v>
      </c>
      <c r="G365" s="11" t="s">
        <v>6</v>
      </c>
      <c r="H365" s="3">
        <v>202949.72</v>
      </c>
      <c r="K365" s="11"/>
      <c r="L365" s="11"/>
      <c r="M365" s="11"/>
      <c r="N365" s="11"/>
      <c r="P365" s="11"/>
      <c r="Q365" s="11"/>
      <c r="R365" s="3"/>
    </row>
    <row r="366" spans="1:18" x14ac:dyDescent="0.2">
      <c r="A366" s="11">
        <v>199</v>
      </c>
      <c r="B366" s="11">
        <v>1</v>
      </c>
      <c r="C366" s="11" t="s">
        <v>94</v>
      </c>
      <c r="D366" s="11">
        <f t="shared" si="10"/>
        <v>9</v>
      </c>
      <c r="E366">
        <f t="shared" si="11"/>
        <v>199009</v>
      </c>
      <c r="F366" s="11">
        <v>480</v>
      </c>
      <c r="G366" s="11" t="s">
        <v>19</v>
      </c>
      <c r="H366" s="3">
        <v>759266.46</v>
      </c>
      <c r="K366" s="11"/>
      <c r="L366" s="11"/>
      <c r="M366" s="11"/>
      <c r="N366" s="11"/>
      <c r="P366" s="11"/>
      <c r="Q366" s="11"/>
      <c r="R366" s="3"/>
    </row>
    <row r="367" spans="1:18" x14ac:dyDescent="0.2">
      <c r="A367" s="11">
        <v>199</v>
      </c>
      <c r="B367" s="11">
        <v>1</v>
      </c>
      <c r="C367" s="11" t="s">
        <v>94</v>
      </c>
      <c r="D367" s="11">
        <f t="shared" si="10"/>
        <v>10</v>
      </c>
      <c r="E367">
        <f t="shared" si="11"/>
        <v>199010</v>
      </c>
      <c r="F367" s="11">
        <v>484</v>
      </c>
      <c r="G367" s="11" t="s">
        <v>20</v>
      </c>
      <c r="H367" s="3">
        <v>31095.74</v>
      </c>
      <c r="K367" s="11"/>
      <c r="L367" s="11"/>
      <c r="M367" s="11"/>
      <c r="N367" s="11"/>
      <c r="P367" s="11"/>
      <c r="Q367" s="11"/>
      <c r="R367" s="3"/>
    </row>
    <row r="368" spans="1:18" x14ac:dyDescent="0.2">
      <c r="A368" s="11">
        <v>199</v>
      </c>
      <c r="B368" s="11">
        <v>1</v>
      </c>
      <c r="C368" s="11" t="s">
        <v>94</v>
      </c>
      <c r="D368" s="11">
        <f t="shared" si="10"/>
        <v>11</v>
      </c>
      <c r="E368">
        <f t="shared" si="11"/>
        <v>199011</v>
      </c>
      <c r="F368" s="11">
        <v>486</v>
      </c>
      <c r="G368" s="11" t="s">
        <v>21</v>
      </c>
      <c r="H368" s="3">
        <v>43979.78</v>
      </c>
      <c r="K368" s="11"/>
      <c r="L368" s="11"/>
      <c r="M368" s="11"/>
      <c r="N368" s="11"/>
      <c r="P368" s="11"/>
      <c r="Q368" s="11"/>
      <c r="R368" s="3"/>
    </row>
    <row r="369" spans="1:18" x14ac:dyDescent="0.2">
      <c r="A369" s="11">
        <v>200</v>
      </c>
      <c r="B369" s="11">
        <v>1</v>
      </c>
      <c r="C369" s="11" t="s">
        <v>95</v>
      </c>
      <c r="D369" s="11">
        <f t="shared" si="10"/>
        <v>1</v>
      </c>
      <c r="E369">
        <f t="shared" si="11"/>
        <v>200001</v>
      </c>
      <c r="F369" s="11">
        <v>414</v>
      </c>
      <c r="G369" s="11" t="s">
        <v>9</v>
      </c>
      <c r="H369" s="3">
        <v>152189.38</v>
      </c>
      <c r="K369" s="11"/>
      <c r="L369" s="11"/>
      <c r="M369" s="11"/>
      <c r="N369" s="11"/>
      <c r="P369" s="11"/>
      <c r="Q369" s="11"/>
      <c r="R369" s="3"/>
    </row>
    <row r="370" spans="1:18" x14ac:dyDescent="0.2">
      <c r="A370" s="11">
        <v>200</v>
      </c>
      <c r="B370" s="11">
        <v>1</v>
      </c>
      <c r="C370" s="11" t="s">
        <v>95</v>
      </c>
      <c r="D370" s="11">
        <f t="shared" si="10"/>
        <v>2</v>
      </c>
      <c r="E370">
        <f t="shared" si="11"/>
        <v>200002</v>
      </c>
      <c r="F370" s="11">
        <v>419</v>
      </c>
      <c r="G370" s="11" t="s">
        <v>10</v>
      </c>
      <c r="H370" s="3">
        <v>980346.2</v>
      </c>
      <c r="K370" s="11"/>
      <c r="L370" s="11"/>
      <c r="M370" s="11"/>
      <c r="N370" s="11"/>
      <c r="P370" s="11"/>
      <c r="Q370" s="11"/>
      <c r="R370" s="3"/>
    </row>
    <row r="371" spans="1:18" x14ac:dyDescent="0.2">
      <c r="A371" s="11">
        <v>200</v>
      </c>
      <c r="B371" s="11">
        <v>1</v>
      </c>
      <c r="C371" s="11" t="s">
        <v>95</v>
      </c>
      <c r="D371" s="11">
        <f t="shared" si="10"/>
        <v>3</v>
      </c>
      <c r="E371">
        <f t="shared" si="11"/>
        <v>200003</v>
      </c>
      <c r="F371" s="11">
        <v>420</v>
      </c>
      <c r="G371" s="11" t="s">
        <v>11</v>
      </c>
      <c r="H371" s="3">
        <v>31958.16</v>
      </c>
      <c r="K371" s="11"/>
      <c r="L371" s="11"/>
      <c r="M371" s="11"/>
      <c r="N371" s="11"/>
      <c r="P371" s="11"/>
      <c r="Q371" s="11"/>
      <c r="R371" s="3"/>
    </row>
    <row r="372" spans="1:18" x14ac:dyDescent="0.2">
      <c r="A372" s="11">
        <v>200</v>
      </c>
      <c r="B372" s="11">
        <v>1</v>
      </c>
      <c r="C372" s="11" t="s">
        <v>95</v>
      </c>
      <c r="D372" s="11">
        <f t="shared" si="10"/>
        <v>4</v>
      </c>
      <c r="E372">
        <f t="shared" si="11"/>
        <v>200004</v>
      </c>
      <c r="F372" s="11">
        <v>433</v>
      </c>
      <c r="G372" s="11" t="s">
        <v>30</v>
      </c>
      <c r="H372" s="3">
        <v>11264.53</v>
      </c>
      <c r="K372" s="11"/>
      <c r="L372" s="11"/>
      <c r="M372" s="11"/>
      <c r="N372" s="11"/>
      <c r="P372" s="11"/>
      <c r="Q372" s="11"/>
      <c r="R372" s="3"/>
    </row>
    <row r="373" spans="1:18" x14ac:dyDescent="0.2">
      <c r="A373" s="11">
        <v>200</v>
      </c>
      <c r="B373" s="11">
        <v>1</v>
      </c>
      <c r="C373" s="11" t="s">
        <v>95</v>
      </c>
      <c r="D373" s="11">
        <f t="shared" si="10"/>
        <v>5</v>
      </c>
      <c r="E373">
        <f t="shared" si="11"/>
        <v>200005</v>
      </c>
      <c r="F373" s="11">
        <v>437</v>
      </c>
      <c r="G373" s="11" t="s">
        <v>14</v>
      </c>
      <c r="H373" s="3">
        <v>855</v>
      </c>
      <c r="K373" s="11"/>
      <c r="L373" s="11"/>
      <c r="M373" s="11"/>
      <c r="N373" s="11"/>
      <c r="P373" s="11"/>
      <c r="Q373" s="11"/>
      <c r="R373" s="3"/>
    </row>
    <row r="374" spans="1:18" x14ac:dyDescent="0.2">
      <c r="A374" s="11">
        <v>200</v>
      </c>
      <c r="B374" s="11">
        <v>1</v>
      </c>
      <c r="C374" s="11" t="s">
        <v>95</v>
      </c>
      <c r="D374" s="11">
        <f t="shared" si="10"/>
        <v>6</v>
      </c>
      <c r="E374">
        <f t="shared" si="11"/>
        <v>200006</v>
      </c>
      <c r="F374" s="11">
        <v>438</v>
      </c>
      <c r="G374" s="11" t="s">
        <v>15</v>
      </c>
      <c r="H374" s="3">
        <v>14385.98</v>
      </c>
      <c r="K374" s="11"/>
      <c r="L374" s="11"/>
      <c r="M374" s="11"/>
      <c r="N374" s="11"/>
      <c r="P374" s="11"/>
      <c r="Q374" s="11"/>
      <c r="R374" s="3"/>
    </row>
    <row r="375" spans="1:18" x14ac:dyDescent="0.2">
      <c r="A375" s="11">
        <v>200</v>
      </c>
      <c r="B375" s="11">
        <v>1</v>
      </c>
      <c r="C375" s="11" t="s">
        <v>95</v>
      </c>
      <c r="D375" s="11">
        <f t="shared" si="10"/>
        <v>7</v>
      </c>
      <c r="E375">
        <f t="shared" si="11"/>
        <v>200007</v>
      </c>
      <c r="F375" s="11">
        <v>470</v>
      </c>
      <c r="G375" s="11" t="s">
        <v>6</v>
      </c>
      <c r="H375" s="3">
        <v>210352.15</v>
      </c>
      <c r="K375" s="11"/>
      <c r="L375" s="11"/>
      <c r="M375" s="11"/>
      <c r="N375" s="11"/>
      <c r="P375" s="11"/>
      <c r="Q375" s="11"/>
      <c r="R375" s="3"/>
    </row>
    <row r="376" spans="1:18" x14ac:dyDescent="0.2">
      <c r="A376" s="11">
        <v>200</v>
      </c>
      <c r="B376" s="11">
        <v>1</v>
      </c>
      <c r="C376" s="11" t="s">
        <v>95</v>
      </c>
      <c r="D376" s="11">
        <f t="shared" si="10"/>
        <v>8</v>
      </c>
      <c r="E376">
        <f t="shared" si="11"/>
        <v>200008</v>
      </c>
      <c r="F376" s="11">
        <v>484</v>
      </c>
      <c r="G376" s="11" t="s">
        <v>20</v>
      </c>
      <c r="H376" s="3">
        <v>43168.89</v>
      </c>
      <c r="K376" s="11"/>
      <c r="L376" s="11"/>
      <c r="M376" s="11"/>
      <c r="N376" s="11"/>
      <c r="P376" s="11"/>
      <c r="Q376" s="11"/>
      <c r="R376" s="3"/>
    </row>
    <row r="377" spans="1:18" x14ac:dyDescent="0.2">
      <c r="A377" s="11">
        <v>200</v>
      </c>
      <c r="B377" s="11">
        <v>1</v>
      </c>
      <c r="C377" s="11" t="s">
        <v>95</v>
      </c>
      <c r="D377" s="11">
        <f t="shared" si="10"/>
        <v>9</v>
      </c>
      <c r="E377">
        <f t="shared" si="11"/>
        <v>200009</v>
      </c>
      <c r="F377" s="11">
        <v>486</v>
      </c>
      <c r="G377" s="11" t="s">
        <v>21</v>
      </c>
      <c r="H377" s="3">
        <v>25029.15</v>
      </c>
      <c r="K377" s="11"/>
      <c r="L377" s="11"/>
      <c r="M377" s="11"/>
      <c r="N377" s="11"/>
      <c r="P377" s="11"/>
      <c r="Q377" s="11"/>
      <c r="R377" s="3"/>
    </row>
    <row r="378" spans="1:18" x14ac:dyDescent="0.2">
      <c r="A378" s="11">
        <v>200</v>
      </c>
      <c r="B378" s="11">
        <v>1</v>
      </c>
      <c r="C378" s="11" t="s">
        <v>95</v>
      </c>
      <c r="D378" s="11">
        <f t="shared" si="10"/>
        <v>10</v>
      </c>
      <c r="E378">
        <f t="shared" si="11"/>
        <v>200010</v>
      </c>
      <c r="F378" s="11">
        <v>801</v>
      </c>
      <c r="G378" s="11" t="s">
        <v>22</v>
      </c>
      <c r="H378" s="3">
        <v>19637.75</v>
      </c>
      <c r="K378" s="11"/>
      <c r="L378" s="11"/>
      <c r="M378" s="11"/>
      <c r="N378" s="11"/>
      <c r="P378" s="11"/>
      <c r="Q378" s="11"/>
      <c r="R378" s="3"/>
    </row>
    <row r="379" spans="1:18" x14ac:dyDescent="0.2">
      <c r="A379" s="11">
        <v>203</v>
      </c>
      <c r="B379" s="11">
        <v>1</v>
      </c>
      <c r="C379" s="11" t="s">
        <v>96</v>
      </c>
      <c r="D379" s="11">
        <f t="shared" si="10"/>
        <v>1</v>
      </c>
      <c r="E379">
        <f t="shared" si="11"/>
        <v>203001</v>
      </c>
      <c r="F379" s="11">
        <v>401</v>
      </c>
      <c r="G379" s="11" t="s">
        <v>29</v>
      </c>
      <c r="H379" s="3">
        <v>62748.2</v>
      </c>
      <c r="K379" s="11"/>
      <c r="L379" s="11"/>
      <c r="M379" s="11"/>
      <c r="N379" s="11"/>
      <c r="P379" s="11"/>
      <c r="Q379" s="11"/>
      <c r="R379" s="3"/>
    </row>
    <row r="380" spans="1:18" x14ac:dyDescent="0.2">
      <c r="A380" s="11">
        <v>203</v>
      </c>
      <c r="B380" s="11">
        <v>1</v>
      </c>
      <c r="C380" s="11" t="s">
        <v>96</v>
      </c>
      <c r="D380" s="11">
        <f t="shared" si="10"/>
        <v>2</v>
      </c>
      <c r="E380">
        <f t="shared" si="11"/>
        <v>203002</v>
      </c>
      <c r="F380" s="11">
        <v>414</v>
      </c>
      <c r="G380" s="11" t="s">
        <v>9</v>
      </c>
      <c r="H380" s="3">
        <v>33170.42</v>
      </c>
      <c r="K380" s="11"/>
      <c r="L380" s="11"/>
      <c r="M380" s="11"/>
      <c r="N380" s="11"/>
      <c r="P380" s="11"/>
      <c r="Q380" s="11"/>
      <c r="R380" s="3"/>
    </row>
    <row r="381" spans="1:18" x14ac:dyDescent="0.2">
      <c r="A381" s="11">
        <v>203</v>
      </c>
      <c r="B381" s="11">
        <v>1</v>
      </c>
      <c r="C381" s="11" t="s">
        <v>96</v>
      </c>
      <c r="D381" s="11">
        <f t="shared" si="10"/>
        <v>3</v>
      </c>
      <c r="E381">
        <f t="shared" si="11"/>
        <v>203003</v>
      </c>
      <c r="F381" s="11">
        <v>433</v>
      </c>
      <c r="G381" s="11" t="s">
        <v>30</v>
      </c>
      <c r="H381" s="3">
        <v>1916.46</v>
      </c>
      <c r="K381" s="11"/>
      <c r="L381" s="11"/>
      <c r="M381" s="11"/>
      <c r="N381" s="11"/>
      <c r="P381" s="11"/>
      <c r="Q381" s="11"/>
      <c r="R381" s="3"/>
    </row>
    <row r="382" spans="1:18" x14ac:dyDescent="0.2">
      <c r="A382" s="11">
        <v>203</v>
      </c>
      <c r="B382" s="11">
        <v>1</v>
      </c>
      <c r="C382" s="11" t="s">
        <v>96</v>
      </c>
      <c r="D382" s="11">
        <f t="shared" si="10"/>
        <v>4</v>
      </c>
      <c r="E382">
        <f t="shared" si="11"/>
        <v>203004</v>
      </c>
      <c r="F382" s="11">
        <v>470</v>
      </c>
      <c r="G382" s="11" t="s">
        <v>6</v>
      </c>
      <c r="H382" s="3">
        <v>38245.839999999997</v>
      </c>
      <c r="K382" s="11"/>
      <c r="L382" s="11"/>
      <c r="M382" s="11"/>
      <c r="N382" s="11"/>
      <c r="P382" s="11"/>
      <c r="Q382" s="11"/>
      <c r="R382" s="3"/>
    </row>
    <row r="383" spans="1:18" x14ac:dyDescent="0.2">
      <c r="A383" s="11">
        <v>204</v>
      </c>
      <c r="B383" s="11">
        <v>1</v>
      </c>
      <c r="C383" s="11" t="s">
        <v>97</v>
      </c>
      <c r="D383" s="11">
        <f t="shared" si="10"/>
        <v>1</v>
      </c>
      <c r="E383">
        <f t="shared" si="11"/>
        <v>204001</v>
      </c>
      <c r="F383" s="11">
        <v>401</v>
      </c>
      <c r="G383" s="11" t="s">
        <v>29</v>
      </c>
      <c r="H383" s="3">
        <v>45662.3</v>
      </c>
      <c r="K383" s="11"/>
      <c r="L383" s="11"/>
      <c r="M383" s="11"/>
      <c r="N383" s="11"/>
      <c r="P383" s="11"/>
      <c r="Q383" s="11"/>
      <c r="R383" s="3"/>
    </row>
    <row r="384" spans="1:18" x14ac:dyDescent="0.2">
      <c r="A384" s="11">
        <v>204</v>
      </c>
      <c r="B384" s="11">
        <v>1</v>
      </c>
      <c r="C384" s="11" t="s">
        <v>97</v>
      </c>
      <c r="D384" s="11">
        <f t="shared" si="10"/>
        <v>2</v>
      </c>
      <c r="E384">
        <f t="shared" si="11"/>
        <v>204002</v>
      </c>
      <c r="F384" s="11">
        <v>414</v>
      </c>
      <c r="G384" s="11" t="s">
        <v>9</v>
      </c>
      <c r="H384" s="3">
        <v>45026.06</v>
      </c>
      <c r="K384" s="11"/>
      <c r="L384" s="11"/>
      <c r="M384" s="11"/>
      <c r="N384" s="11"/>
      <c r="P384" s="11"/>
      <c r="Q384" s="11"/>
      <c r="R384" s="3"/>
    </row>
    <row r="385" spans="1:18" x14ac:dyDescent="0.2">
      <c r="A385" s="11">
        <v>204</v>
      </c>
      <c r="B385" s="11">
        <v>1</v>
      </c>
      <c r="C385" s="11" t="s">
        <v>97</v>
      </c>
      <c r="D385" s="11">
        <f t="shared" si="10"/>
        <v>3</v>
      </c>
      <c r="E385">
        <f t="shared" si="11"/>
        <v>204003</v>
      </c>
      <c r="F385" s="11">
        <v>433</v>
      </c>
      <c r="G385" s="11" t="s">
        <v>30</v>
      </c>
      <c r="H385" s="3">
        <v>3269.08</v>
      </c>
      <c r="K385" s="11"/>
      <c r="L385" s="11"/>
      <c r="M385" s="11"/>
      <c r="N385" s="11"/>
      <c r="P385" s="11"/>
      <c r="Q385" s="11"/>
      <c r="R385" s="3"/>
    </row>
    <row r="386" spans="1:18" x14ac:dyDescent="0.2">
      <c r="A386" s="11">
        <v>206</v>
      </c>
      <c r="B386" s="11">
        <v>1</v>
      </c>
      <c r="C386" s="11" t="s">
        <v>98</v>
      </c>
      <c r="D386" s="11">
        <f t="shared" si="10"/>
        <v>1</v>
      </c>
      <c r="E386">
        <f t="shared" si="11"/>
        <v>206001</v>
      </c>
      <c r="F386" s="11">
        <v>433</v>
      </c>
      <c r="G386" s="11" t="s">
        <v>30</v>
      </c>
      <c r="H386" s="3">
        <v>11182.49</v>
      </c>
      <c r="K386" s="11"/>
      <c r="L386" s="11"/>
      <c r="M386" s="11"/>
      <c r="N386" s="11"/>
      <c r="P386" s="11"/>
      <c r="Q386" s="11"/>
      <c r="R386" s="3"/>
    </row>
    <row r="387" spans="1:18" x14ac:dyDescent="0.2">
      <c r="A387" s="11">
        <v>206</v>
      </c>
      <c r="B387" s="11">
        <v>1</v>
      </c>
      <c r="C387" s="11" t="s">
        <v>98</v>
      </c>
      <c r="D387" s="11">
        <f t="shared" si="10"/>
        <v>2</v>
      </c>
      <c r="E387">
        <f t="shared" si="11"/>
        <v>206002</v>
      </c>
      <c r="F387" s="11">
        <v>484</v>
      </c>
      <c r="G387" s="11" t="s">
        <v>20</v>
      </c>
      <c r="H387" s="3">
        <v>61918.06</v>
      </c>
      <c r="K387" s="11"/>
      <c r="L387" s="11"/>
      <c r="M387" s="11"/>
      <c r="N387" s="11"/>
      <c r="P387" s="11"/>
      <c r="Q387" s="11"/>
      <c r="R387" s="3"/>
    </row>
    <row r="388" spans="1:18" x14ac:dyDescent="0.2">
      <c r="A388" s="11">
        <v>208</v>
      </c>
      <c r="B388" s="11">
        <v>1</v>
      </c>
      <c r="C388" s="11" t="s">
        <v>99</v>
      </c>
      <c r="D388" s="11">
        <f t="shared" si="10"/>
        <v>1</v>
      </c>
      <c r="E388">
        <f t="shared" si="11"/>
        <v>208001</v>
      </c>
      <c r="F388" s="11">
        <v>414</v>
      </c>
      <c r="G388" s="11" t="s">
        <v>9</v>
      </c>
      <c r="H388" s="3">
        <v>12660.49</v>
      </c>
      <c r="K388" s="11"/>
      <c r="L388" s="11"/>
      <c r="M388" s="11"/>
      <c r="N388" s="11"/>
      <c r="P388" s="11"/>
      <c r="Q388" s="11"/>
      <c r="R388" s="3"/>
    </row>
    <row r="389" spans="1:18" x14ac:dyDescent="0.2">
      <c r="A389" s="11">
        <v>208</v>
      </c>
      <c r="B389" s="11">
        <v>1</v>
      </c>
      <c r="C389" s="11" t="s">
        <v>99</v>
      </c>
      <c r="D389" s="11">
        <f t="shared" si="10"/>
        <v>2</v>
      </c>
      <c r="E389">
        <f t="shared" si="11"/>
        <v>208002</v>
      </c>
      <c r="F389" s="11">
        <v>433</v>
      </c>
      <c r="G389" s="11" t="s">
        <v>30</v>
      </c>
      <c r="H389" s="3">
        <v>619.23</v>
      </c>
      <c r="K389" s="11"/>
      <c r="L389" s="11"/>
      <c r="M389" s="11"/>
      <c r="N389" s="11"/>
      <c r="P389" s="11"/>
      <c r="Q389" s="11"/>
      <c r="R389" s="3"/>
    </row>
    <row r="390" spans="1:18" x14ac:dyDescent="0.2">
      <c r="A390" s="11">
        <v>213</v>
      </c>
      <c r="B390" s="11">
        <v>1</v>
      </c>
      <c r="C390" s="11" t="s">
        <v>100</v>
      </c>
      <c r="D390" s="11">
        <f t="shared" si="10"/>
        <v>1</v>
      </c>
      <c r="E390">
        <f t="shared" si="11"/>
        <v>213001</v>
      </c>
      <c r="F390" s="11">
        <v>401</v>
      </c>
      <c r="G390" s="11" t="s">
        <v>29</v>
      </c>
      <c r="H390" s="3">
        <v>66060.710000000006</v>
      </c>
      <c r="K390" s="11"/>
      <c r="L390" s="11"/>
      <c r="M390" s="11"/>
      <c r="N390" s="11"/>
      <c r="P390" s="11"/>
      <c r="Q390" s="11"/>
      <c r="R390" s="3"/>
    </row>
    <row r="391" spans="1:18" x14ac:dyDescent="0.2">
      <c r="A391" s="11">
        <v>213</v>
      </c>
      <c r="B391" s="11">
        <v>1</v>
      </c>
      <c r="C391" s="11" t="s">
        <v>100</v>
      </c>
      <c r="D391" s="11">
        <f t="shared" si="10"/>
        <v>2</v>
      </c>
      <c r="E391">
        <f t="shared" si="11"/>
        <v>213002</v>
      </c>
      <c r="F391" s="11">
        <v>414</v>
      </c>
      <c r="G391" s="11" t="s">
        <v>9</v>
      </c>
      <c r="H391" s="3">
        <v>39970.21</v>
      </c>
      <c r="K391" s="11"/>
      <c r="L391" s="11"/>
      <c r="M391" s="11"/>
      <c r="N391" s="11"/>
      <c r="P391" s="11"/>
      <c r="Q391" s="11"/>
      <c r="R391" s="3"/>
    </row>
    <row r="392" spans="1:18" x14ac:dyDescent="0.2">
      <c r="A392" s="11">
        <v>213</v>
      </c>
      <c r="B392" s="11">
        <v>1</v>
      </c>
      <c r="C392" s="11" t="s">
        <v>100</v>
      </c>
      <c r="D392" s="11">
        <f t="shared" si="10"/>
        <v>3</v>
      </c>
      <c r="E392">
        <f t="shared" si="11"/>
        <v>213003</v>
      </c>
      <c r="F392" s="11">
        <v>433</v>
      </c>
      <c r="G392" s="11" t="s">
        <v>30</v>
      </c>
      <c r="H392" s="3">
        <v>1949.54</v>
      </c>
      <c r="K392" s="11"/>
      <c r="L392" s="11"/>
      <c r="M392" s="11"/>
      <c r="N392" s="11"/>
      <c r="P392" s="11"/>
      <c r="Q392" s="11"/>
      <c r="R392" s="3"/>
    </row>
    <row r="393" spans="1:18" x14ac:dyDescent="0.2">
      <c r="A393" s="11">
        <v>213</v>
      </c>
      <c r="B393" s="11">
        <v>1</v>
      </c>
      <c r="C393" s="11" t="s">
        <v>100</v>
      </c>
      <c r="D393" s="11">
        <f t="shared" si="10"/>
        <v>4</v>
      </c>
      <c r="E393">
        <f t="shared" si="11"/>
        <v>213004</v>
      </c>
      <c r="F393" s="11">
        <v>470</v>
      </c>
      <c r="G393" s="11" t="s">
        <v>6</v>
      </c>
      <c r="H393" s="3">
        <v>38862.71</v>
      </c>
      <c r="K393" s="11"/>
      <c r="L393" s="11"/>
      <c r="M393" s="11"/>
      <c r="N393" s="11"/>
      <c r="P393" s="11"/>
      <c r="Q393" s="11"/>
      <c r="R393" s="3"/>
    </row>
    <row r="394" spans="1:18" x14ac:dyDescent="0.2">
      <c r="A394" s="11">
        <v>227</v>
      </c>
      <c r="B394" s="11">
        <v>1</v>
      </c>
      <c r="C394" s="11" t="s">
        <v>101</v>
      </c>
      <c r="D394" s="11">
        <f t="shared" si="10"/>
        <v>1</v>
      </c>
      <c r="E394">
        <f t="shared" si="11"/>
        <v>227001</v>
      </c>
      <c r="F394" s="11">
        <v>401</v>
      </c>
      <c r="G394" s="11" t="s">
        <v>29</v>
      </c>
      <c r="H394" s="3">
        <v>73861.08</v>
      </c>
      <c r="K394" s="11"/>
      <c r="L394" s="11"/>
      <c r="M394" s="11"/>
      <c r="N394" s="11"/>
      <c r="P394" s="11"/>
      <c r="Q394" s="11"/>
      <c r="R394" s="3"/>
    </row>
    <row r="395" spans="1:18" x14ac:dyDescent="0.2">
      <c r="A395" s="11">
        <v>227</v>
      </c>
      <c r="B395" s="11">
        <v>1</v>
      </c>
      <c r="C395" s="11" t="s">
        <v>101</v>
      </c>
      <c r="D395" s="11">
        <f t="shared" si="10"/>
        <v>2</v>
      </c>
      <c r="E395">
        <f t="shared" si="11"/>
        <v>227002</v>
      </c>
      <c r="F395" s="11">
        <v>414</v>
      </c>
      <c r="G395" s="11" t="s">
        <v>9</v>
      </c>
      <c r="H395" s="3">
        <v>22427.57</v>
      </c>
      <c r="K395" s="11"/>
      <c r="L395" s="11"/>
      <c r="M395" s="11"/>
      <c r="N395" s="11"/>
      <c r="P395" s="11"/>
      <c r="Q395" s="11"/>
      <c r="R395" s="3"/>
    </row>
    <row r="396" spans="1:18" x14ac:dyDescent="0.2">
      <c r="A396" s="11">
        <v>227</v>
      </c>
      <c r="B396" s="11">
        <v>1</v>
      </c>
      <c r="C396" s="11" t="s">
        <v>101</v>
      </c>
      <c r="D396" s="11">
        <f t="shared" si="10"/>
        <v>3</v>
      </c>
      <c r="E396">
        <f t="shared" si="11"/>
        <v>227003</v>
      </c>
      <c r="F396" s="11">
        <v>433</v>
      </c>
      <c r="G396" s="11" t="s">
        <v>30</v>
      </c>
      <c r="H396" s="3">
        <v>2133.4</v>
      </c>
      <c r="K396" s="11"/>
      <c r="L396" s="11"/>
      <c r="M396" s="11"/>
      <c r="N396" s="11"/>
      <c r="P396" s="11"/>
      <c r="Q396" s="11"/>
      <c r="R396" s="3"/>
    </row>
    <row r="397" spans="1:18" x14ac:dyDescent="0.2">
      <c r="A397" s="11">
        <v>227</v>
      </c>
      <c r="B397" s="11">
        <v>1</v>
      </c>
      <c r="C397" s="11" t="s">
        <v>101</v>
      </c>
      <c r="D397" s="11">
        <f t="shared" si="10"/>
        <v>4</v>
      </c>
      <c r="E397">
        <f t="shared" si="11"/>
        <v>227004</v>
      </c>
      <c r="F397" s="11">
        <v>470</v>
      </c>
      <c r="G397" s="11" t="s">
        <v>6</v>
      </c>
      <c r="H397" s="3">
        <v>45648.27</v>
      </c>
      <c r="K397" s="11"/>
      <c r="L397" s="11"/>
      <c r="M397" s="11"/>
      <c r="N397" s="11"/>
      <c r="P397" s="11"/>
      <c r="Q397" s="11"/>
      <c r="R397" s="3"/>
    </row>
    <row r="398" spans="1:18" x14ac:dyDescent="0.2">
      <c r="A398" s="11">
        <v>229</v>
      </c>
      <c r="B398" s="11">
        <v>1</v>
      </c>
      <c r="C398" s="11" t="s">
        <v>102</v>
      </c>
      <c r="D398" s="11">
        <f t="shared" si="10"/>
        <v>1</v>
      </c>
      <c r="E398">
        <f t="shared" si="11"/>
        <v>229001</v>
      </c>
      <c r="F398" s="11">
        <v>433</v>
      </c>
      <c r="G398" s="11" t="s">
        <v>30</v>
      </c>
      <c r="H398" s="3">
        <v>1122.97</v>
      </c>
      <c r="K398" s="11"/>
      <c r="L398" s="11"/>
      <c r="M398" s="11"/>
      <c r="N398" s="11"/>
      <c r="P398" s="11"/>
      <c r="Q398" s="11"/>
      <c r="R398" s="3"/>
    </row>
    <row r="399" spans="1:18" x14ac:dyDescent="0.2">
      <c r="A399" s="11">
        <v>239</v>
      </c>
      <c r="B399" s="11">
        <v>1</v>
      </c>
      <c r="C399" s="11" t="s">
        <v>103</v>
      </c>
      <c r="D399" s="11">
        <f t="shared" ref="D399:D462" si="12">IF(A399=A398,D398+1,1)</f>
        <v>1</v>
      </c>
      <c r="E399">
        <f t="shared" ref="E399:E462" si="13">1000*A399+D399</f>
        <v>239001</v>
      </c>
      <c r="F399" s="11">
        <v>151</v>
      </c>
      <c r="G399" s="11" t="s">
        <v>28</v>
      </c>
      <c r="H399" s="3">
        <v>265268.69</v>
      </c>
      <c r="K399" s="11"/>
      <c r="L399" s="11"/>
      <c r="M399" s="11"/>
      <c r="N399" s="11"/>
      <c r="P399" s="11"/>
      <c r="Q399" s="11"/>
      <c r="R399" s="3"/>
    </row>
    <row r="400" spans="1:18" x14ac:dyDescent="0.2">
      <c r="A400" s="11">
        <v>239</v>
      </c>
      <c r="B400" s="11">
        <v>1</v>
      </c>
      <c r="C400" s="11" t="s">
        <v>103</v>
      </c>
      <c r="D400" s="11">
        <f t="shared" si="12"/>
        <v>2</v>
      </c>
      <c r="E400">
        <f t="shared" si="13"/>
        <v>239002</v>
      </c>
      <c r="F400" s="11">
        <v>401</v>
      </c>
      <c r="G400" s="11" t="s">
        <v>29</v>
      </c>
      <c r="H400" s="3">
        <v>64685.95</v>
      </c>
      <c r="K400" s="11"/>
      <c r="L400" s="11"/>
      <c r="M400" s="11"/>
      <c r="N400" s="11"/>
      <c r="P400" s="11"/>
      <c r="Q400" s="11"/>
      <c r="R400" s="3"/>
    </row>
    <row r="401" spans="1:18" x14ac:dyDescent="0.2">
      <c r="A401" s="11">
        <v>239</v>
      </c>
      <c r="B401" s="11">
        <v>1</v>
      </c>
      <c r="C401" s="11" t="s">
        <v>103</v>
      </c>
      <c r="D401" s="11">
        <f t="shared" si="12"/>
        <v>3</v>
      </c>
      <c r="E401">
        <f t="shared" si="13"/>
        <v>239003</v>
      </c>
      <c r="F401" s="11">
        <v>414</v>
      </c>
      <c r="G401" s="11" t="s">
        <v>9</v>
      </c>
      <c r="H401" s="3">
        <v>25275.14</v>
      </c>
      <c r="K401" s="11"/>
      <c r="L401" s="11"/>
      <c r="M401" s="11"/>
      <c r="N401" s="11"/>
      <c r="P401" s="11"/>
      <c r="Q401" s="11"/>
      <c r="R401" s="3"/>
    </row>
    <row r="402" spans="1:18" x14ac:dyDescent="0.2">
      <c r="A402" s="11">
        <v>239</v>
      </c>
      <c r="B402" s="11">
        <v>1</v>
      </c>
      <c r="C402" s="11" t="s">
        <v>103</v>
      </c>
      <c r="D402" s="11">
        <f t="shared" si="12"/>
        <v>4</v>
      </c>
      <c r="E402">
        <f t="shared" si="13"/>
        <v>239004</v>
      </c>
      <c r="F402" s="11">
        <v>433</v>
      </c>
      <c r="G402" s="11" t="s">
        <v>30</v>
      </c>
      <c r="H402" s="3">
        <v>1680.9</v>
      </c>
      <c r="K402" s="11"/>
      <c r="L402" s="11"/>
      <c r="M402" s="11"/>
      <c r="N402" s="11"/>
      <c r="P402" s="11"/>
      <c r="Q402" s="11"/>
      <c r="R402" s="3"/>
    </row>
    <row r="403" spans="1:18" x14ac:dyDescent="0.2">
      <c r="A403" s="11">
        <v>239</v>
      </c>
      <c r="B403" s="11">
        <v>1</v>
      </c>
      <c r="C403" s="11" t="s">
        <v>103</v>
      </c>
      <c r="D403" s="11">
        <f t="shared" si="12"/>
        <v>5</v>
      </c>
      <c r="E403">
        <f t="shared" si="13"/>
        <v>239005</v>
      </c>
      <c r="F403" s="11">
        <v>470</v>
      </c>
      <c r="G403" s="11" t="s">
        <v>6</v>
      </c>
      <c r="H403" s="3">
        <v>42563.92</v>
      </c>
      <c r="K403" s="11"/>
      <c r="L403" s="11"/>
      <c r="M403" s="11"/>
      <c r="N403" s="11"/>
      <c r="P403" s="11"/>
      <c r="Q403" s="11"/>
      <c r="R403" s="3"/>
    </row>
    <row r="404" spans="1:18" x14ac:dyDescent="0.2">
      <c r="A404" s="11">
        <v>241</v>
      </c>
      <c r="B404" s="11">
        <v>1</v>
      </c>
      <c r="C404" s="11" t="s">
        <v>104</v>
      </c>
      <c r="D404" s="11">
        <f t="shared" si="12"/>
        <v>1</v>
      </c>
      <c r="E404">
        <f t="shared" si="13"/>
        <v>241001</v>
      </c>
      <c r="F404" s="11">
        <v>406</v>
      </c>
      <c r="G404" s="11" t="s">
        <v>8</v>
      </c>
      <c r="H404" s="3">
        <v>14791.9</v>
      </c>
      <c r="K404" s="11"/>
      <c r="L404" s="11"/>
      <c r="M404" s="11"/>
      <c r="N404" s="11"/>
      <c r="P404" s="11"/>
      <c r="Q404" s="11"/>
      <c r="R404" s="3"/>
    </row>
    <row r="405" spans="1:18" x14ac:dyDescent="0.2">
      <c r="A405" s="11">
        <v>241</v>
      </c>
      <c r="B405" s="11">
        <v>1</v>
      </c>
      <c r="C405" s="11" t="s">
        <v>104</v>
      </c>
      <c r="D405" s="11">
        <f t="shared" si="12"/>
        <v>2</v>
      </c>
      <c r="E405">
        <f t="shared" si="13"/>
        <v>241002</v>
      </c>
      <c r="F405" s="11">
        <v>422</v>
      </c>
      <c r="G405" s="11" t="s">
        <v>12</v>
      </c>
      <c r="H405" s="3">
        <v>26839.74</v>
      </c>
      <c r="K405" s="11"/>
      <c r="L405" s="11"/>
      <c r="M405" s="11"/>
      <c r="N405" s="11"/>
      <c r="P405" s="11"/>
      <c r="Q405" s="11"/>
      <c r="R405" s="3"/>
    </row>
    <row r="406" spans="1:18" x14ac:dyDescent="0.2">
      <c r="A406" s="11">
        <v>241</v>
      </c>
      <c r="B406" s="11">
        <v>1</v>
      </c>
      <c r="C406" s="11" t="s">
        <v>104</v>
      </c>
      <c r="D406" s="11">
        <f t="shared" si="12"/>
        <v>3</v>
      </c>
      <c r="E406">
        <f t="shared" si="13"/>
        <v>241003</v>
      </c>
      <c r="F406" s="11">
        <v>433</v>
      </c>
      <c r="G406" s="11" t="s">
        <v>30</v>
      </c>
      <c r="H406" s="3">
        <v>10316.02</v>
      </c>
      <c r="K406" s="11"/>
      <c r="L406" s="11"/>
      <c r="M406" s="11"/>
      <c r="N406" s="11"/>
      <c r="P406" s="11"/>
      <c r="Q406" s="11"/>
      <c r="R406" s="3"/>
    </row>
    <row r="407" spans="1:18" x14ac:dyDescent="0.2">
      <c r="A407" s="11">
        <v>241</v>
      </c>
      <c r="B407" s="11">
        <v>1</v>
      </c>
      <c r="C407" s="11" t="s">
        <v>104</v>
      </c>
      <c r="D407" s="11">
        <f t="shared" si="12"/>
        <v>4</v>
      </c>
      <c r="E407">
        <f t="shared" si="13"/>
        <v>241004</v>
      </c>
      <c r="F407" s="11">
        <v>435</v>
      </c>
      <c r="G407" s="11" t="s">
        <v>35</v>
      </c>
      <c r="H407" s="3">
        <v>6260</v>
      </c>
      <c r="K407" s="11"/>
      <c r="L407" s="11"/>
      <c r="M407" s="11"/>
      <c r="N407" s="11"/>
      <c r="P407" s="11"/>
      <c r="Q407" s="11"/>
      <c r="R407" s="3"/>
    </row>
    <row r="408" spans="1:18" x14ac:dyDescent="0.2">
      <c r="A408" s="11">
        <v>241</v>
      </c>
      <c r="B408" s="11">
        <v>1</v>
      </c>
      <c r="C408" s="11" t="s">
        <v>104</v>
      </c>
      <c r="D408" s="11">
        <f t="shared" si="12"/>
        <v>5</v>
      </c>
      <c r="E408">
        <f t="shared" si="13"/>
        <v>241005</v>
      </c>
      <c r="F408" s="11">
        <v>437</v>
      </c>
      <c r="G408" s="11" t="s">
        <v>14</v>
      </c>
      <c r="H408" s="3">
        <v>1170</v>
      </c>
      <c r="K408" s="11"/>
      <c r="L408" s="11"/>
      <c r="M408" s="11"/>
      <c r="N408" s="11"/>
      <c r="P408" s="11"/>
      <c r="Q408" s="11"/>
      <c r="R408" s="3"/>
    </row>
    <row r="409" spans="1:18" x14ac:dyDescent="0.2">
      <c r="A409" s="11">
        <v>241</v>
      </c>
      <c r="B409" s="11">
        <v>1</v>
      </c>
      <c r="C409" s="11" t="s">
        <v>104</v>
      </c>
      <c r="D409" s="11">
        <f t="shared" si="12"/>
        <v>6</v>
      </c>
      <c r="E409">
        <f t="shared" si="13"/>
        <v>241006</v>
      </c>
      <c r="F409" s="11">
        <v>441</v>
      </c>
      <c r="G409" s="11" t="s">
        <v>16</v>
      </c>
      <c r="H409" s="3">
        <v>2100</v>
      </c>
      <c r="K409" s="11"/>
      <c r="L409" s="11"/>
      <c r="M409" s="11"/>
      <c r="N409" s="11"/>
      <c r="P409" s="11"/>
      <c r="Q409" s="11"/>
      <c r="R409" s="3"/>
    </row>
    <row r="410" spans="1:18" x14ac:dyDescent="0.2">
      <c r="A410" s="11">
        <v>241</v>
      </c>
      <c r="B410" s="11">
        <v>1</v>
      </c>
      <c r="C410" s="11" t="s">
        <v>104</v>
      </c>
      <c r="D410" s="11">
        <f t="shared" si="12"/>
        <v>7</v>
      </c>
      <c r="E410">
        <f t="shared" si="13"/>
        <v>241007</v>
      </c>
      <c r="F410" s="11">
        <v>480</v>
      </c>
      <c r="G410" s="11" t="s">
        <v>19</v>
      </c>
      <c r="H410" s="3">
        <v>748314.66</v>
      </c>
      <c r="K410" s="11"/>
      <c r="L410" s="11"/>
      <c r="M410" s="11"/>
      <c r="N410" s="11"/>
      <c r="P410" s="11"/>
      <c r="Q410" s="11"/>
      <c r="R410" s="3"/>
    </row>
    <row r="411" spans="1:18" x14ac:dyDescent="0.2">
      <c r="A411" s="11">
        <v>241</v>
      </c>
      <c r="B411" s="11">
        <v>1</v>
      </c>
      <c r="C411" s="11" t="s">
        <v>104</v>
      </c>
      <c r="D411" s="11">
        <f t="shared" si="12"/>
        <v>8</v>
      </c>
      <c r="E411">
        <f t="shared" si="13"/>
        <v>241008</v>
      </c>
      <c r="F411" s="11">
        <v>486</v>
      </c>
      <c r="G411" s="11" t="s">
        <v>21</v>
      </c>
      <c r="H411" s="3">
        <v>23002.98</v>
      </c>
      <c r="K411" s="11"/>
      <c r="L411" s="11"/>
      <c r="M411" s="11"/>
      <c r="N411" s="11"/>
      <c r="P411" s="11"/>
      <c r="Q411" s="11"/>
      <c r="R411" s="3"/>
    </row>
    <row r="412" spans="1:18" x14ac:dyDescent="0.2">
      <c r="A412" s="11">
        <v>242</v>
      </c>
      <c r="B412" s="11">
        <v>1</v>
      </c>
      <c r="C412" s="11" t="s">
        <v>105</v>
      </c>
      <c r="D412" s="11">
        <f t="shared" si="12"/>
        <v>1</v>
      </c>
      <c r="E412">
        <f t="shared" si="13"/>
        <v>242001</v>
      </c>
      <c r="F412" s="11">
        <v>401</v>
      </c>
      <c r="G412" s="11" t="s">
        <v>29</v>
      </c>
      <c r="H412" s="3">
        <v>10719.49</v>
      </c>
      <c r="K412" s="11"/>
      <c r="L412" s="11"/>
      <c r="M412" s="11"/>
      <c r="N412" s="11"/>
      <c r="P412" s="11"/>
      <c r="Q412" s="11"/>
      <c r="R412" s="3"/>
    </row>
    <row r="413" spans="1:18" x14ac:dyDescent="0.2">
      <c r="A413" s="11">
        <v>242</v>
      </c>
      <c r="B413" s="11">
        <v>1</v>
      </c>
      <c r="C413" s="11" t="s">
        <v>105</v>
      </c>
      <c r="D413" s="11">
        <f t="shared" si="12"/>
        <v>2</v>
      </c>
      <c r="E413">
        <f t="shared" si="13"/>
        <v>242002</v>
      </c>
      <c r="F413" s="11">
        <v>433</v>
      </c>
      <c r="G413" s="11" t="s">
        <v>30</v>
      </c>
      <c r="H413" s="3">
        <v>738.91</v>
      </c>
      <c r="K413" s="11"/>
      <c r="L413" s="11"/>
      <c r="M413" s="11"/>
      <c r="N413" s="11"/>
      <c r="P413" s="11"/>
      <c r="Q413" s="11"/>
      <c r="R413" s="3"/>
    </row>
    <row r="414" spans="1:18" x14ac:dyDescent="0.2">
      <c r="A414" s="11">
        <v>252</v>
      </c>
      <c r="B414" s="11">
        <v>1</v>
      </c>
      <c r="C414" s="11" t="s">
        <v>106</v>
      </c>
      <c r="D414" s="11">
        <f t="shared" si="12"/>
        <v>1</v>
      </c>
      <c r="E414">
        <f t="shared" si="13"/>
        <v>252001</v>
      </c>
      <c r="F414" s="11">
        <v>401</v>
      </c>
      <c r="G414" s="11" t="s">
        <v>29</v>
      </c>
      <c r="H414" s="3">
        <v>83742.759999999995</v>
      </c>
      <c r="K414" s="11"/>
      <c r="L414" s="11"/>
      <c r="M414" s="11"/>
      <c r="N414" s="11"/>
      <c r="P414" s="11"/>
      <c r="Q414" s="11"/>
      <c r="R414" s="3"/>
    </row>
    <row r="415" spans="1:18" x14ac:dyDescent="0.2">
      <c r="A415" s="11">
        <v>252</v>
      </c>
      <c r="B415" s="11">
        <v>1</v>
      </c>
      <c r="C415" s="11" t="s">
        <v>106</v>
      </c>
      <c r="D415" s="11">
        <f t="shared" si="12"/>
        <v>2</v>
      </c>
      <c r="E415">
        <f t="shared" si="13"/>
        <v>252002</v>
      </c>
      <c r="F415" s="11">
        <v>414</v>
      </c>
      <c r="G415" s="11" t="s">
        <v>9</v>
      </c>
      <c r="H415" s="3">
        <v>40272.15</v>
      </c>
      <c r="K415" s="11"/>
      <c r="L415" s="11"/>
      <c r="M415" s="11"/>
      <c r="N415" s="11"/>
      <c r="P415" s="11"/>
      <c r="Q415" s="11"/>
      <c r="R415" s="3"/>
    </row>
    <row r="416" spans="1:18" x14ac:dyDescent="0.2">
      <c r="A416" s="11">
        <v>252</v>
      </c>
      <c r="B416" s="11">
        <v>1</v>
      </c>
      <c r="C416" s="11" t="s">
        <v>106</v>
      </c>
      <c r="D416" s="11">
        <f t="shared" si="12"/>
        <v>3</v>
      </c>
      <c r="E416">
        <f t="shared" si="13"/>
        <v>252003</v>
      </c>
      <c r="F416" s="11">
        <v>433</v>
      </c>
      <c r="G416" s="11" t="s">
        <v>30</v>
      </c>
      <c r="H416" s="3">
        <v>2795.26</v>
      </c>
      <c r="K416" s="11"/>
      <c r="L416" s="11"/>
      <c r="M416" s="11"/>
      <c r="N416" s="11"/>
      <c r="P416" s="11"/>
      <c r="Q416" s="11"/>
      <c r="R416" s="3"/>
    </row>
    <row r="417" spans="1:18" x14ac:dyDescent="0.2">
      <c r="A417" s="11">
        <v>252</v>
      </c>
      <c r="B417" s="11">
        <v>1</v>
      </c>
      <c r="C417" s="11" t="s">
        <v>106</v>
      </c>
      <c r="D417" s="11">
        <f t="shared" si="12"/>
        <v>4</v>
      </c>
      <c r="E417">
        <f t="shared" si="13"/>
        <v>252004</v>
      </c>
      <c r="F417" s="11">
        <v>470</v>
      </c>
      <c r="G417" s="11" t="s">
        <v>6</v>
      </c>
      <c r="H417" s="3">
        <v>51816.959999999999</v>
      </c>
      <c r="K417" s="11"/>
      <c r="L417" s="11"/>
      <c r="M417" s="11"/>
      <c r="N417" s="11"/>
      <c r="P417" s="11"/>
      <c r="Q417" s="11"/>
      <c r="R417" s="3"/>
    </row>
    <row r="418" spans="1:18" x14ac:dyDescent="0.2">
      <c r="A418" s="11">
        <v>253</v>
      </c>
      <c r="B418" s="11">
        <v>1</v>
      </c>
      <c r="C418" s="11" t="s">
        <v>107</v>
      </c>
      <c r="D418" s="11">
        <f t="shared" si="12"/>
        <v>1</v>
      </c>
      <c r="E418">
        <f t="shared" si="13"/>
        <v>253001</v>
      </c>
      <c r="F418" s="11">
        <v>401</v>
      </c>
      <c r="G418" s="11" t="s">
        <v>29</v>
      </c>
      <c r="H418" s="3">
        <v>45258.62</v>
      </c>
      <c r="K418" s="11"/>
      <c r="L418" s="11"/>
      <c r="M418" s="11"/>
      <c r="N418" s="11"/>
      <c r="P418" s="11"/>
      <c r="Q418" s="11"/>
      <c r="R418" s="3"/>
    </row>
    <row r="419" spans="1:18" x14ac:dyDescent="0.2">
      <c r="A419" s="11">
        <v>253</v>
      </c>
      <c r="B419" s="11">
        <v>1</v>
      </c>
      <c r="C419" s="11" t="s">
        <v>107</v>
      </c>
      <c r="D419" s="11">
        <f t="shared" si="12"/>
        <v>2</v>
      </c>
      <c r="E419">
        <f t="shared" si="13"/>
        <v>253002</v>
      </c>
      <c r="F419" s="11">
        <v>414</v>
      </c>
      <c r="G419" s="11" t="s">
        <v>9</v>
      </c>
      <c r="H419" s="3">
        <v>19685.68</v>
      </c>
      <c r="K419" s="11"/>
      <c r="L419" s="11"/>
      <c r="M419" s="11"/>
      <c r="N419" s="11"/>
      <c r="P419" s="11"/>
      <c r="Q419" s="11"/>
      <c r="R419" s="3"/>
    </row>
    <row r="420" spans="1:18" x14ac:dyDescent="0.2">
      <c r="A420" s="11">
        <v>253</v>
      </c>
      <c r="B420" s="11">
        <v>1</v>
      </c>
      <c r="C420" s="11" t="s">
        <v>107</v>
      </c>
      <c r="D420" s="11">
        <f t="shared" si="12"/>
        <v>3</v>
      </c>
      <c r="E420">
        <f t="shared" si="13"/>
        <v>253003</v>
      </c>
      <c r="F420" s="11">
        <v>433</v>
      </c>
      <c r="G420" s="11" t="s">
        <v>30</v>
      </c>
      <c r="H420" s="3">
        <v>1523.25</v>
      </c>
      <c r="K420" s="11"/>
      <c r="L420" s="11"/>
      <c r="M420" s="11"/>
      <c r="N420" s="11"/>
      <c r="P420" s="11"/>
      <c r="Q420" s="11"/>
      <c r="R420" s="3"/>
    </row>
    <row r="421" spans="1:18" x14ac:dyDescent="0.2">
      <c r="A421" s="11">
        <v>253</v>
      </c>
      <c r="B421" s="11">
        <v>1</v>
      </c>
      <c r="C421" s="11" t="s">
        <v>107</v>
      </c>
      <c r="D421" s="11">
        <f t="shared" si="12"/>
        <v>4</v>
      </c>
      <c r="E421">
        <f t="shared" si="13"/>
        <v>253004</v>
      </c>
      <c r="F421" s="11">
        <v>470</v>
      </c>
      <c r="G421" s="11" t="s">
        <v>6</v>
      </c>
      <c r="H421" s="3">
        <v>28375.95</v>
      </c>
      <c r="K421" s="11"/>
      <c r="L421" s="11"/>
      <c r="M421" s="11"/>
      <c r="N421" s="11"/>
      <c r="P421" s="11"/>
      <c r="Q421" s="11"/>
      <c r="R421" s="3"/>
    </row>
    <row r="422" spans="1:18" x14ac:dyDescent="0.2">
      <c r="A422" s="11">
        <v>255</v>
      </c>
      <c r="B422" s="11">
        <v>1</v>
      </c>
      <c r="C422" s="11" t="s">
        <v>108</v>
      </c>
      <c r="D422" s="11">
        <f t="shared" si="12"/>
        <v>1</v>
      </c>
      <c r="E422">
        <f t="shared" si="13"/>
        <v>255001</v>
      </c>
      <c r="F422" s="11">
        <v>401</v>
      </c>
      <c r="G422" s="11" t="s">
        <v>29</v>
      </c>
      <c r="H422" s="3">
        <v>93011.65</v>
      </c>
      <c r="K422" s="11"/>
      <c r="L422" s="11"/>
      <c r="M422" s="11"/>
      <c r="N422" s="11"/>
      <c r="P422" s="11"/>
      <c r="Q422" s="11"/>
      <c r="R422" s="3"/>
    </row>
    <row r="423" spans="1:18" x14ac:dyDescent="0.2">
      <c r="A423" s="11">
        <v>255</v>
      </c>
      <c r="B423" s="11">
        <v>1</v>
      </c>
      <c r="C423" s="11" t="s">
        <v>108</v>
      </c>
      <c r="D423" s="11">
        <f t="shared" si="12"/>
        <v>2</v>
      </c>
      <c r="E423">
        <f t="shared" si="13"/>
        <v>255002</v>
      </c>
      <c r="F423" s="11">
        <v>414</v>
      </c>
      <c r="G423" s="11" t="s">
        <v>9</v>
      </c>
      <c r="H423" s="3">
        <v>34520.36</v>
      </c>
      <c r="K423" s="11"/>
      <c r="L423" s="11"/>
      <c r="M423" s="11"/>
      <c r="N423" s="11"/>
      <c r="P423" s="11"/>
      <c r="Q423" s="11"/>
      <c r="R423" s="3"/>
    </row>
    <row r="424" spans="1:18" x14ac:dyDescent="0.2">
      <c r="A424" s="11">
        <v>255</v>
      </c>
      <c r="B424" s="11">
        <v>1</v>
      </c>
      <c r="C424" s="11" t="s">
        <v>108</v>
      </c>
      <c r="D424" s="11">
        <f t="shared" si="12"/>
        <v>3</v>
      </c>
      <c r="E424">
        <f t="shared" si="13"/>
        <v>255003</v>
      </c>
      <c r="F424" s="11">
        <v>470</v>
      </c>
      <c r="G424" s="11" t="s">
        <v>6</v>
      </c>
      <c r="H424" s="3">
        <v>56751.9</v>
      </c>
      <c r="K424" s="11"/>
      <c r="L424" s="11"/>
      <c r="M424" s="11"/>
      <c r="N424" s="11"/>
      <c r="P424" s="11"/>
      <c r="Q424" s="11"/>
      <c r="R424" s="3"/>
    </row>
    <row r="425" spans="1:18" x14ac:dyDescent="0.2">
      <c r="A425" s="11">
        <v>261</v>
      </c>
      <c r="B425" s="11">
        <v>1</v>
      </c>
      <c r="C425" s="11" t="s">
        <v>109</v>
      </c>
      <c r="D425" s="11">
        <f t="shared" si="12"/>
        <v>1</v>
      </c>
      <c r="E425">
        <f t="shared" si="13"/>
        <v>261001</v>
      </c>
      <c r="F425" s="11">
        <v>414</v>
      </c>
      <c r="G425" s="11" t="s">
        <v>9</v>
      </c>
      <c r="H425" s="3">
        <v>8134.75</v>
      </c>
      <c r="K425" s="11"/>
      <c r="L425" s="11"/>
      <c r="M425" s="11"/>
      <c r="N425" s="11"/>
      <c r="P425" s="11"/>
      <c r="Q425" s="11"/>
      <c r="R425" s="3"/>
    </row>
    <row r="426" spans="1:18" x14ac:dyDescent="0.2">
      <c r="A426" s="11">
        <v>261</v>
      </c>
      <c r="B426" s="11">
        <v>1</v>
      </c>
      <c r="C426" s="11" t="s">
        <v>109</v>
      </c>
      <c r="D426" s="11">
        <f t="shared" si="12"/>
        <v>2</v>
      </c>
      <c r="E426">
        <f t="shared" si="13"/>
        <v>261002</v>
      </c>
      <c r="F426" s="11">
        <v>433</v>
      </c>
      <c r="G426" s="11" t="s">
        <v>30</v>
      </c>
      <c r="H426" s="3">
        <v>683.91</v>
      </c>
      <c r="K426" s="11"/>
      <c r="L426" s="11"/>
      <c r="M426" s="11"/>
      <c r="N426" s="11"/>
      <c r="P426" s="11"/>
      <c r="Q426" s="11"/>
      <c r="R426" s="3"/>
    </row>
    <row r="427" spans="1:18" x14ac:dyDescent="0.2">
      <c r="A427" s="11">
        <v>264</v>
      </c>
      <c r="B427" s="11">
        <v>1</v>
      </c>
      <c r="C427" s="11" t="s">
        <v>110</v>
      </c>
      <c r="D427" s="11">
        <f t="shared" si="12"/>
        <v>1</v>
      </c>
      <c r="E427">
        <f t="shared" si="13"/>
        <v>264001</v>
      </c>
      <c r="F427" s="11">
        <v>151</v>
      </c>
      <c r="G427" s="11" t="s">
        <v>28</v>
      </c>
      <c r="H427" s="3">
        <v>63835.74</v>
      </c>
      <c r="K427" s="11"/>
      <c r="L427" s="11"/>
      <c r="M427" s="11"/>
      <c r="N427" s="11"/>
      <c r="P427" s="11"/>
      <c r="Q427" s="11"/>
      <c r="R427" s="3"/>
    </row>
    <row r="428" spans="1:18" x14ac:dyDescent="0.2">
      <c r="A428" s="11">
        <v>264</v>
      </c>
      <c r="B428" s="11">
        <v>1</v>
      </c>
      <c r="C428" s="11" t="s">
        <v>110</v>
      </c>
      <c r="D428" s="11">
        <f t="shared" si="12"/>
        <v>2</v>
      </c>
      <c r="E428">
        <f t="shared" si="13"/>
        <v>264002</v>
      </c>
      <c r="F428" s="11">
        <v>433</v>
      </c>
      <c r="G428" s="11" t="s">
        <v>30</v>
      </c>
      <c r="H428" s="3">
        <v>562.22</v>
      </c>
      <c r="K428" s="11"/>
      <c r="L428" s="11"/>
      <c r="M428" s="11"/>
      <c r="N428" s="11"/>
      <c r="P428" s="11"/>
      <c r="Q428" s="11"/>
      <c r="R428" s="3"/>
    </row>
    <row r="429" spans="1:18" x14ac:dyDescent="0.2">
      <c r="A429" s="11">
        <v>264</v>
      </c>
      <c r="B429" s="11">
        <v>1</v>
      </c>
      <c r="C429" s="11" t="s">
        <v>110</v>
      </c>
      <c r="D429" s="11">
        <f t="shared" si="12"/>
        <v>3</v>
      </c>
      <c r="E429">
        <f t="shared" si="13"/>
        <v>264003</v>
      </c>
      <c r="F429" s="11">
        <v>470</v>
      </c>
      <c r="G429" s="11" t="s">
        <v>6</v>
      </c>
      <c r="H429" s="3">
        <v>15222.75</v>
      </c>
      <c r="K429" s="11"/>
      <c r="L429" s="11"/>
      <c r="M429" s="11"/>
      <c r="N429" s="11"/>
      <c r="P429" s="11"/>
      <c r="Q429" s="11"/>
      <c r="R429" s="3"/>
    </row>
    <row r="430" spans="1:18" x14ac:dyDescent="0.2">
      <c r="A430" s="11">
        <v>270</v>
      </c>
      <c r="B430" s="11">
        <v>1</v>
      </c>
      <c r="C430" s="11" t="s">
        <v>111</v>
      </c>
      <c r="D430" s="11">
        <f t="shared" si="12"/>
        <v>1</v>
      </c>
      <c r="E430">
        <f t="shared" si="13"/>
        <v>270001</v>
      </c>
      <c r="F430" s="11">
        <v>414</v>
      </c>
      <c r="G430" s="11" t="s">
        <v>9</v>
      </c>
      <c r="H430" s="3">
        <v>244912.89</v>
      </c>
      <c r="K430" s="11"/>
      <c r="L430" s="11"/>
      <c r="M430" s="11"/>
      <c r="N430" s="11"/>
      <c r="P430" s="11"/>
      <c r="Q430" s="11"/>
      <c r="R430" s="3"/>
    </row>
    <row r="431" spans="1:18" x14ac:dyDescent="0.2">
      <c r="A431" s="11">
        <v>270</v>
      </c>
      <c r="B431" s="11">
        <v>1</v>
      </c>
      <c r="C431" s="11" t="s">
        <v>111</v>
      </c>
      <c r="D431" s="11">
        <f t="shared" si="12"/>
        <v>2</v>
      </c>
      <c r="E431">
        <f t="shared" si="13"/>
        <v>270002</v>
      </c>
      <c r="F431" s="11">
        <v>417</v>
      </c>
      <c r="G431" s="11" t="s">
        <v>34</v>
      </c>
      <c r="H431" s="3">
        <v>59679.38</v>
      </c>
      <c r="K431" s="11"/>
      <c r="L431" s="11"/>
      <c r="M431" s="11"/>
      <c r="N431" s="11"/>
      <c r="P431" s="11"/>
      <c r="Q431" s="11"/>
      <c r="R431" s="3"/>
    </row>
    <row r="432" spans="1:18" x14ac:dyDescent="0.2">
      <c r="A432" s="11">
        <v>270</v>
      </c>
      <c r="B432" s="11">
        <v>1</v>
      </c>
      <c r="C432" s="11" t="s">
        <v>111</v>
      </c>
      <c r="D432" s="11">
        <f t="shared" si="12"/>
        <v>3</v>
      </c>
      <c r="E432">
        <f t="shared" si="13"/>
        <v>270003</v>
      </c>
      <c r="F432" s="11">
        <v>419</v>
      </c>
      <c r="G432" s="11" t="s">
        <v>10</v>
      </c>
      <c r="H432" s="3">
        <v>1621667.18</v>
      </c>
      <c r="K432" s="11"/>
      <c r="L432" s="11"/>
      <c r="M432" s="11"/>
      <c r="N432" s="11"/>
      <c r="P432" s="11"/>
      <c r="Q432" s="11"/>
      <c r="R432" s="3"/>
    </row>
    <row r="433" spans="1:18" x14ac:dyDescent="0.2">
      <c r="A433" s="11">
        <v>270</v>
      </c>
      <c r="B433" s="11">
        <v>1</v>
      </c>
      <c r="C433" s="11" t="s">
        <v>111</v>
      </c>
      <c r="D433" s="11">
        <f t="shared" si="12"/>
        <v>4</v>
      </c>
      <c r="E433">
        <f t="shared" si="13"/>
        <v>270004</v>
      </c>
      <c r="F433" s="11">
        <v>420</v>
      </c>
      <c r="G433" s="11" t="s">
        <v>11</v>
      </c>
      <c r="H433" s="3">
        <v>41748.99</v>
      </c>
      <c r="K433" s="11"/>
      <c r="L433" s="11"/>
      <c r="M433" s="11"/>
      <c r="N433" s="11"/>
      <c r="P433" s="11"/>
      <c r="Q433" s="11"/>
      <c r="R433" s="3"/>
    </row>
    <row r="434" spans="1:18" x14ac:dyDescent="0.2">
      <c r="A434" s="11">
        <v>270</v>
      </c>
      <c r="B434" s="11">
        <v>1</v>
      </c>
      <c r="C434" s="11" t="s">
        <v>111</v>
      </c>
      <c r="D434" s="11">
        <f t="shared" si="12"/>
        <v>5</v>
      </c>
      <c r="E434">
        <f t="shared" si="13"/>
        <v>270005</v>
      </c>
      <c r="F434" s="11">
        <v>435</v>
      </c>
      <c r="G434" s="11" t="s">
        <v>35</v>
      </c>
      <c r="H434" s="3">
        <v>9500</v>
      </c>
      <c r="K434" s="11"/>
      <c r="L434" s="11"/>
      <c r="M434" s="11"/>
      <c r="N434" s="11"/>
      <c r="P434" s="11"/>
      <c r="Q434" s="11"/>
      <c r="R434" s="3"/>
    </row>
    <row r="435" spans="1:18" x14ac:dyDescent="0.2">
      <c r="A435" s="11">
        <v>270</v>
      </c>
      <c r="B435" s="11">
        <v>1</v>
      </c>
      <c r="C435" s="11" t="s">
        <v>111</v>
      </c>
      <c r="D435" s="11">
        <f t="shared" si="12"/>
        <v>6</v>
      </c>
      <c r="E435">
        <f t="shared" si="13"/>
        <v>270006</v>
      </c>
      <c r="F435" s="11">
        <v>437</v>
      </c>
      <c r="G435" s="11" t="s">
        <v>14</v>
      </c>
      <c r="H435" s="3">
        <v>1650</v>
      </c>
      <c r="K435" s="11"/>
      <c r="L435" s="11"/>
      <c r="M435" s="11"/>
      <c r="N435" s="11"/>
      <c r="P435" s="11"/>
      <c r="Q435" s="11"/>
      <c r="R435" s="3"/>
    </row>
    <row r="436" spans="1:18" x14ac:dyDescent="0.2">
      <c r="A436" s="11">
        <v>270</v>
      </c>
      <c r="B436" s="11">
        <v>1</v>
      </c>
      <c r="C436" s="11" t="s">
        <v>111</v>
      </c>
      <c r="D436" s="11">
        <f t="shared" si="12"/>
        <v>7</v>
      </c>
      <c r="E436">
        <f t="shared" si="13"/>
        <v>270007</v>
      </c>
      <c r="F436" s="11">
        <v>438</v>
      </c>
      <c r="G436" s="11" t="s">
        <v>15</v>
      </c>
      <c r="H436" s="3">
        <v>100418.3</v>
      </c>
      <c r="K436" s="11"/>
      <c r="L436" s="11"/>
      <c r="M436" s="11"/>
      <c r="N436" s="11"/>
      <c r="P436" s="11"/>
      <c r="Q436" s="11"/>
      <c r="R436" s="3"/>
    </row>
    <row r="437" spans="1:18" x14ac:dyDescent="0.2">
      <c r="A437" s="11">
        <v>270</v>
      </c>
      <c r="B437" s="11">
        <v>1</v>
      </c>
      <c r="C437" s="11" t="s">
        <v>111</v>
      </c>
      <c r="D437" s="11">
        <f t="shared" si="12"/>
        <v>8</v>
      </c>
      <c r="E437">
        <f t="shared" si="13"/>
        <v>270008</v>
      </c>
      <c r="F437" s="11">
        <v>442</v>
      </c>
      <c r="G437" s="11" t="s">
        <v>112</v>
      </c>
      <c r="H437" s="3">
        <v>42159</v>
      </c>
      <c r="K437" s="11"/>
      <c r="L437" s="11"/>
      <c r="M437" s="11"/>
      <c r="N437" s="11"/>
      <c r="P437" s="11"/>
      <c r="Q437" s="11"/>
      <c r="R437" s="3"/>
    </row>
    <row r="438" spans="1:18" x14ac:dyDescent="0.2">
      <c r="A438" s="11">
        <v>270</v>
      </c>
      <c r="B438" s="11">
        <v>1</v>
      </c>
      <c r="C438" s="11" t="s">
        <v>111</v>
      </c>
      <c r="D438" s="11">
        <f t="shared" si="12"/>
        <v>9</v>
      </c>
      <c r="E438">
        <f t="shared" si="13"/>
        <v>270009</v>
      </c>
      <c r="F438" s="11">
        <v>484</v>
      </c>
      <c r="G438" s="11" t="s">
        <v>20</v>
      </c>
      <c r="H438" s="3">
        <v>82527.73</v>
      </c>
      <c r="K438" s="11"/>
      <c r="L438" s="11"/>
      <c r="M438" s="11"/>
      <c r="N438" s="11"/>
      <c r="P438" s="11"/>
      <c r="Q438" s="11"/>
      <c r="R438" s="3"/>
    </row>
    <row r="439" spans="1:18" x14ac:dyDescent="0.2">
      <c r="A439" s="11">
        <v>270</v>
      </c>
      <c r="B439" s="11">
        <v>1</v>
      </c>
      <c r="C439" s="11" t="s">
        <v>111</v>
      </c>
      <c r="D439" s="11">
        <f t="shared" si="12"/>
        <v>10</v>
      </c>
      <c r="E439">
        <f t="shared" si="13"/>
        <v>270010</v>
      </c>
      <c r="F439" s="11">
        <v>486</v>
      </c>
      <c r="G439" s="11" t="s">
        <v>21</v>
      </c>
      <c r="H439" s="3">
        <v>61500.19</v>
      </c>
      <c r="K439" s="11"/>
      <c r="L439" s="11"/>
      <c r="M439" s="11"/>
      <c r="N439" s="11"/>
      <c r="P439" s="11"/>
      <c r="Q439" s="11"/>
      <c r="R439" s="3"/>
    </row>
    <row r="440" spans="1:18" x14ac:dyDescent="0.2">
      <c r="A440" s="11">
        <v>270</v>
      </c>
      <c r="B440" s="11">
        <v>1</v>
      </c>
      <c r="C440" s="11" t="s">
        <v>111</v>
      </c>
      <c r="D440" s="11">
        <f t="shared" si="12"/>
        <v>11</v>
      </c>
      <c r="E440">
        <f t="shared" si="13"/>
        <v>270011</v>
      </c>
      <c r="F440" s="11">
        <v>801</v>
      </c>
      <c r="G440" s="11" t="s">
        <v>22</v>
      </c>
      <c r="H440" s="3">
        <v>40000</v>
      </c>
      <c r="K440" s="11"/>
      <c r="L440" s="11"/>
      <c r="M440" s="11"/>
      <c r="N440" s="11"/>
      <c r="P440" s="11"/>
      <c r="Q440" s="11"/>
      <c r="R440" s="3"/>
    </row>
    <row r="441" spans="1:18" x14ac:dyDescent="0.2">
      <c r="A441" s="11">
        <v>271</v>
      </c>
      <c r="B441" s="11">
        <v>1</v>
      </c>
      <c r="C441" s="11" t="s">
        <v>113</v>
      </c>
      <c r="D441" s="11">
        <f t="shared" si="12"/>
        <v>1</v>
      </c>
      <c r="E441">
        <f t="shared" si="13"/>
        <v>271001</v>
      </c>
      <c r="F441" s="11">
        <v>437</v>
      </c>
      <c r="G441" s="11" t="s">
        <v>14</v>
      </c>
      <c r="H441" s="3">
        <v>2640</v>
      </c>
      <c r="K441" s="11"/>
      <c r="L441" s="11"/>
      <c r="M441" s="11"/>
      <c r="N441" s="11"/>
      <c r="P441" s="11"/>
      <c r="Q441" s="11"/>
      <c r="R441" s="3"/>
    </row>
    <row r="442" spans="1:18" x14ac:dyDescent="0.2">
      <c r="A442" s="11">
        <v>271</v>
      </c>
      <c r="B442" s="11">
        <v>1</v>
      </c>
      <c r="C442" s="11" t="s">
        <v>113</v>
      </c>
      <c r="D442" s="11">
        <f t="shared" si="12"/>
        <v>2</v>
      </c>
      <c r="E442">
        <f t="shared" si="13"/>
        <v>271002</v>
      </c>
      <c r="F442" s="11">
        <v>484</v>
      </c>
      <c r="G442" s="11" t="s">
        <v>20</v>
      </c>
      <c r="H442" s="3">
        <v>98485.66</v>
      </c>
      <c r="K442" s="11"/>
      <c r="L442" s="11"/>
      <c r="M442" s="11"/>
      <c r="N442" s="11"/>
      <c r="P442" s="11"/>
      <c r="Q442" s="11"/>
      <c r="R442" s="3"/>
    </row>
    <row r="443" spans="1:18" x14ac:dyDescent="0.2">
      <c r="A443" s="11">
        <v>271</v>
      </c>
      <c r="B443" s="11">
        <v>1</v>
      </c>
      <c r="C443" s="11" t="s">
        <v>113</v>
      </c>
      <c r="D443" s="11">
        <f t="shared" si="12"/>
        <v>3</v>
      </c>
      <c r="E443">
        <f t="shared" si="13"/>
        <v>271003</v>
      </c>
      <c r="F443" s="11">
        <v>486</v>
      </c>
      <c r="G443" s="11" t="s">
        <v>21</v>
      </c>
      <c r="H443" s="3">
        <v>66506.02</v>
      </c>
      <c r="K443" s="11"/>
      <c r="L443" s="11"/>
      <c r="M443" s="11"/>
      <c r="N443" s="11"/>
      <c r="P443" s="11"/>
      <c r="Q443" s="11"/>
      <c r="R443" s="3"/>
    </row>
    <row r="444" spans="1:18" x14ac:dyDescent="0.2">
      <c r="A444" s="11">
        <v>271</v>
      </c>
      <c r="B444" s="11">
        <v>1</v>
      </c>
      <c r="C444" s="11" t="s">
        <v>113</v>
      </c>
      <c r="D444" s="11">
        <f t="shared" si="12"/>
        <v>4</v>
      </c>
      <c r="E444">
        <f t="shared" si="13"/>
        <v>271004</v>
      </c>
      <c r="F444" s="11">
        <v>706</v>
      </c>
      <c r="G444" s="11" t="s">
        <v>114</v>
      </c>
      <c r="H444" s="3">
        <v>21450</v>
      </c>
      <c r="K444" s="11"/>
      <c r="L444" s="11"/>
      <c r="M444" s="11"/>
      <c r="N444" s="11"/>
      <c r="P444" s="11"/>
      <c r="Q444" s="11"/>
      <c r="R444" s="3"/>
    </row>
    <row r="445" spans="1:18" x14ac:dyDescent="0.2">
      <c r="A445" s="11">
        <v>271</v>
      </c>
      <c r="B445" s="11">
        <v>1</v>
      </c>
      <c r="C445" s="11" t="s">
        <v>113</v>
      </c>
      <c r="D445" s="11">
        <f t="shared" si="12"/>
        <v>5</v>
      </c>
      <c r="E445">
        <f t="shared" si="13"/>
        <v>271005</v>
      </c>
      <c r="F445" s="11">
        <v>801</v>
      </c>
      <c r="G445" s="11" t="s">
        <v>22</v>
      </c>
      <c r="H445" s="3">
        <v>40000</v>
      </c>
      <c r="K445" s="11"/>
      <c r="L445" s="11"/>
      <c r="M445" s="11"/>
      <c r="N445" s="11"/>
      <c r="P445" s="11"/>
      <c r="Q445" s="11"/>
      <c r="R445" s="3"/>
    </row>
    <row r="446" spans="1:18" x14ac:dyDescent="0.2">
      <c r="A446" s="11">
        <v>271</v>
      </c>
      <c r="B446" s="11">
        <v>1</v>
      </c>
      <c r="C446" s="11" t="s">
        <v>113</v>
      </c>
      <c r="D446" s="11">
        <f t="shared" si="12"/>
        <v>6</v>
      </c>
      <c r="E446">
        <f t="shared" si="13"/>
        <v>271006</v>
      </c>
      <c r="F446" s="11">
        <v>869</v>
      </c>
      <c r="G446" s="11" t="s">
        <v>115</v>
      </c>
      <c r="H446" s="3">
        <v>100000</v>
      </c>
      <c r="K446" s="11"/>
      <c r="L446" s="11"/>
      <c r="M446" s="11"/>
      <c r="N446" s="11"/>
      <c r="P446" s="11"/>
      <c r="Q446" s="11"/>
      <c r="R446" s="3"/>
    </row>
    <row r="447" spans="1:18" x14ac:dyDescent="0.2">
      <c r="A447" s="11">
        <v>272</v>
      </c>
      <c r="B447" s="11">
        <v>1</v>
      </c>
      <c r="C447" s="11" t="s">
        <v>116</v>
      </c>
      <c r="D447" s="11">
        <f t="shared" si="12"/>
        <v>1</v>
      </c>
      <c r="E447">
        <f t="shared" si="13"/>
        <v>272001</v>
      </c>
      <c r="F447" s="11">
        <v>401</v>
      </c>
      <c r="G447" s="11" t="s">
        <v>29</v>
      </c>
      <c r="H447" s="3">
        <v>659213.54</v>
      </c>
      <c r="K447" s="11"/>
      <c r="L447" s="11"/>
      <c r="M447" s="11"/>
      <c r="N447" s="11"/>
      <c r="P447" s="11"/>
      <c r="Q447" s="11"/>
      <c r="R447" s="3"/>
    </row>
    <row r="448" spans="1:18" x14ac:dyDescent="0.2">
      <c r="A448" s="11">
        <v>272</v>
      </c>
      <c r="B448" s="11">
        <v>1</v>
      </c>
      <c r="C448" s="11" t="s">
        <v>116</v>
      </c>
      <c r="D448" s="11">
        <f t="shared" si="12"/>
        <v>2</v>
      </c>
      <c r="E448">
        <f t="shared" si="13"/>
        <v>272002</v>
      </c>
      <c r="F448" s="11">
        <v>414</v>
      </c>
      <c r="G448" s="11" t="s">
        <v>9</v>
      </c>
      <c r="H448" s="3">
        <v>192724.32</v>
      </c>
      <c r="K448" s="11"/>
      <c r="L448" s="11"/>
      <c r="M448" s="11"/>
      <c r="N448" s="11"/>
      <c r="P448" s="11"/>
      <c r="Q448" s="11"/>
      <c r="R448" s="3"/>
    </row>
    <row r="449" spans="1:18" x14ac:dyDescent="0.2">
      <c r="A449" s="11">
        <v>272</v>
      </c>
      <c r="B449" s="11">
        <v>1</v>
      </c>
      <c r="C449" s="11" t="s">
        <v>116</v>
      </c>
      <c r="D449" s="11">
        <f t="shared" si="12"/>
        <v>3</v>
      </c>
      <c r="E449">
        <f t="shared" si="13"/>
        <v>272003</v>
      </c>
      <c r="F449" s="11">
        <v>417</v>
      </c>
      <c r="G449" s="11" t="s">
        <v>34</v>
      </c>
      <c r="H449" s="3">
        <v>49792.38</v>
      </c>
      <c r="K449" s="11"/>
      <c r="L449" s="11"/>
      <c r="M449" s="11"/>
      <c r="N449" s="11"/>
      <c r="P449" s="11"/>
      <c r="Q449" s="11"/>
      <c r="R449" s="3"/>
    </row>
    <row r="450" spans="1:18" x14ac:dyDescent="0.2">
      <c r="A450" s="11">
        <v>272</v>
      </c>
      <c r="B450" s="11">
        <v>1</v>
      </c>
      <c r="C450" s="11" t="s">
        <v>116</v>
      </c>
      <c r="D450" s="11">
        <f t="shared" si="12"/>
        <v>4</v>
      </c>
      <c r="E450">
        <f t="shared" si="13"/>
        <v>272004</v>
      </c>
      <c r="F450" s="11">
        <v>419</v>
      </c>
      <c r="G450" s="11" t="s">
        <v>10</v>
      </c>
      <c r="H450" s="3">
        <v>1658264.28</v>
      </c>
      <c r="K450" s="11"/>
      <c r="L450" s="11"/>
      <c r="M450" s="11"/>
      <c r="N450" s="11"/>
      <c r="P450" s="11"/>
      <c r="Q450" s="11"/>
      <c r="R450" s="3"/>
    </row>
    <row r="451" spans="1:18" x14ac:dyDescent="0.2">
      <c r="A451" s="11">
        <v>272</v>
      </c>
      <c r="B451" s="11">
        <v>1</v>
      </c>
      <c r="C451" s="11" t="s">
        <v>116</v>
      </c>
      <c r="D451" s="11">
        <f t="shared" si="12"/>
        <v>5</v>
      </c>
      <c r="E451">
        <f t="shared" si="13"/>
        <v>272005</v>
      </c>
      <c r="F451" s="11">
        <v>420</v>
      </c>
      <c r="G451" s="11" t="s">
        <v>11</v>
      </c>
      <c r="H451" s="3">
        <v>54294.59</v>
      </c>
      <c r="K451" s="11"/>
      <c r="L451" s="11"/>
      <c r="M451" s="11"/>
      <c r="N451" s="11"/>
      <c r="P451" s="11"/>
      <c r="Q451" s="11"/>
      <c r="R451" s="3"/>
    </row>
    <row r="452" spans="1:18" x14ac:dyDescent="0.2">
      <c r="A452" s="11">
        <v>272</v>
      </c>
      <c r="B452" s="11">
        <v>1</v>
      </c>
      <c r="C452" s="11" t="s">
        <v>116</v>
      </c>
      <c r="D452" s="11">
        <f t="shared" si="12"/>
        <v>6</v>
      </c>
      <c r="E452">
        <f t="shared" si="13"/>
        <v>272006</v>
      </c>
      <c r="F452" s="11">
        <v>433</v>
      </c>
      <c r="G452" s="11" t="s">
        <v>30</v>
      </c>
      <c r="H452" s="3">
        <v>21400.02</v>
      </c>
      <c r="K452" s="11"/>
      <c r="L452" s="11"/>
      <c r="M452" s="11"/>
      <c r="N452" s="11"/>
      <c r="P452" s="11"/>
      <c r="Q452" s="11"/>
      <c r="R452" s="3"/>
    </row>
    <row r="453" spans="1:18" x14ac:dyDescent="0.2">
      <c r="A453" s="11">
        <v>272</v>
      </c>
      <c r="B453" s="11">
        <v>1</v>
      </c>
      <c r="C453" s="11" t="s">
        <v>116</v>
      </c>
      <c r="D453" s="11">
        <f t="shared" si="12"/>
        <v>7</v>
      </c>
      <c r="E453">
        <f t="shared" si="13"/>
        <v>272007</v>
      </c>
      <c r="F453" s="11">
        <v>470</v>
      </c>
      <c r="G453" s="11" t="s">
        <v>6</v>
      </c>
      <c r="H453" s="3">
        <v>399730.76</v>
      </c>
      <c r="K453" s="11"/>
      <c r="L453" s="11"/>
      <c r="M453" s="11"/>
      <c r="N453" s="11"/>
      <c r="P453" s="11"/>
      <c r="Q453" s="11"/>
      <c r="R453" s="3"/>
    </row>
    <row r="454" spans="1:18" x14ac:dyDescent="0.2">
      <c r="A454" s="11">
        <v>272</v>
      </c>
      <c r="B454" s="11">
        <v>1</v>
      </c>
      <c r="C454" s="11" t="s">
        <v>116</v>
      </c>
      <c r="D454" s="11">
        <f t="shared" si="12"/>
        <v>8</v>
      </c>
      <c r="E454">
        <f t="shared" si="13"/>
        <v>272008</v>
      </c>
      <c r="F454" s="11">
        <v>480</v>
      </c>
      <c r="G454" s="11" t="s">
        <v>19</v>
      </c>
      <c r="H454" s="3">
        <v>1860027.91</v>
      </c>
      <c r="K454" s="11"/>
      <c r="L454" s="11"/>
      <c r="M454" s="11"/>
      <c r="N454" s="11"/>
      <c r="P454" s="11"/>
      <c r="Q454" s="11"/>
      <c r="R454" s="3"/>
    </row>
    <row r="455" spans="1:18" x14ac:dyDescent="0.2">
      <c r="A455" s="11">
        <v>272</v>
      </c>
      <c r="B455" s="11">
        <v>1</v>
      </c>
      <c r="C455" s="11" t="s">
        <v>116</v>
      </c>
      <c r="D455" s="11">
        <f t="shared" si="12"/>
        <v>9</v>
      </c>
      <c r="E455">
        <f t="shared" si="13"/>
        <v>272009</v>
      </c>
      <c r="F455" s="11">
        <v>486</v>
      </c>
      <c r="G455" s="11" t="s">
        <v>21</v>
      </c>
      <c r="H455" s="3">
        <v>45171.65</v>
      </c>
      <c r="K455" s="11"/>
      <c r="L455" s="11"/>
      <c r="M455" s="11"/>
      <c r="N455" s="11"/>
      <c r="P455" s="11"/>
      <c r="Q455" s="11"/>
      <c r="R455" s="3"/>
    </row>
    <row r="456" spans="1:18" x14ac:dyDescent="0.2">
      <c r="A456" s="11">
        <v>273</v>
      </c>
      <c r="B456" s="11">
        <v>1</v>
      </c>
      <c r="C456" s="11" t="s">
        <v>117</v>
      </c>
      <c r="D456" s="11">
        <f t="shared" si="12"/>
        <v>1</v>
      </c>
      <c r="E456">
        <f t="shared" si="13"/>
        <v>273001</v>
      </c>
      <c r="F456" s="11">
        <v>419</v>
      </c>
      <c r="G456" s="11" t="s">
        <v>10</v>
      </c>
      <c r="H456" s="3">
        <v>1230994.1599999999</v>
      </c>
      <c r="K456" s="11"/>
      <c r="L456" s="11"/>
      <c r="M456" s="11"/>
      <c r="N456" s="11"/>
      <c r="P456" s="11"/>
      <c r="Q456" s="11"/>
      <c r="R456" s="3"/>
    </row>
    <row r="457" spans="1:18" x14ac:dyDescent="0.2">
      <c r="A457" s="11">
        <v>273</v>
      </c>
      <c r="B457" s="11">
        <v>1</v>
      </c>
      <c r="C457" s="11" t="s">
        <v>117</v>
      </c>
      <c r="D457" s="11">
        <f t="shared" si="12"/>
        <v>2</v>
      </c>
      <c r="E457">
        <f t="shared" si="13"/>
        <v>273002</v>
      </c>
      <c r="F457" s="11">
        <v>422</v>
      </c>
      <c r="G457" s="11" t="s">
        <v>12</v>
      </c>
      <c r="H457" s="3">
        <v>240533.69</v>
      </c>
      <c r="K457" s="11"/>
      <c r="L457" s="11"/>
      <c r="M457" s="11"/>
      <c r="N457" s="11"/>
      <c r="P457" s="11"/>
      <c r="Q457" s="11"/>
      <c r="R457" s="3"/>
    </row>
    <row r="458" spans="1:18" x14ac:dyDescent="0.2">
      <c r="A458" s="11">
        <v>273</v>
      </c>
      <c r="B458" s="11">
        <v>1</v>
      </c>
      <c r="C458" s="11" t="s">
        <v>117</v>
      </c>
      <c r="D458" s="11">
        <f t="shared" si="12"/>
        <v>3</v>
      </c>
      <c r="E458">
        <f t="shared" si="13"/>
        <v>273003</v>
      </c>
      <c r="F458" s="11">
        <v>433</v>
      </c>
      <c r="G458" s="11" t="s">
        <v>30</v>
      </c>
      <c r="H458" s="3">
        <v>13839.06</v>
      </c>
      <c r="K458" s="11"/>
      <c r="L458" s="11"/>
      <c r="M458" s="11"/>
      <c r="N458" s="11"/>
      <c r="P458" s="11"/>
      <c r="Q458" s="11"/>
      <c r="R458" s="3"/>
    </row>
    <row r="459" spans="1:18" x14ac:dyDescent="0.2">
      <c r="A459" s="11">
        <v>273</v>
      </c>
      <c r="B459" s="11">
        <v>1</v>
      </c>
      <c r="C459" s="11" t="s">
        <v>117</v>
      </c>
      <c r="D459" s="11">
        <f t="shared" si="12"/>
        <v>4</v>
      </c>
      <c r="E459">
        <f t="shared" si="13"/>
        <v>273004</v>
      </c>
      <c r="F459" s="11">
        <v>437</v>
      </c>
      <c r="G459" s="11" t="s">
        <v>14</v>
      </c>
      <c r="H459" s="3">
        <v>1695</v>
      </c>
      <c r="K459" s="11"/>
      <c r="L459" s="11"/>
      <c r="M459" s="11"/>
      <c r="N459" s="11"/>
      <c r="P459" s="11"/>
      <c r="Q459" s="11"/>
      <c r="R459" s="3"/>
    </row>
    <row r="460" spans="1:18" x14ac:dyDescent="0.2">
      <c r="A460" s="11">
        <v>273</v>
      </c>
      <c r="B460" s="11">
        <v>1</v>
      </c>
      <c r="C460" s="11" t="s">
        <v>117</v>
      </c>
      <c r="D460" s="11">
        <f t="shared" si="12"/>
        <v>5</v>
      </c>
      <c r="E460">
        <f t="shared" si="13"/>
        <v>273005</v>
      </c>
      <c r="F460" s="11">
        <v>441</v>
      </c>
      <c r="G460" s="11" t="s">
        <v>16</v>
      </c>
      <c r="H460" s="3">
        <v>13300</v>
      </c>
      <c r="K460" s="11"/>
      <c r="L460" s="11"/>
      <c r="M460" s="11"/>
      <c r="N460" s="11"/>
      <c r="P460" s="11"/>
      <c r="Q460" s="11"/>
      <c r="R460" s="3"/>
    </row>
    <row r="461" spans="1:18" x14ac:dyDescent="0.2">
      <c r="A461" s="11">
        <v>273</v>
      </c>
      <c r="B461" s="11">
        <v>1</v>
      </c>
      <c r="C461" s="11" t="s">
        <v>117</v>
      </c>
      <c r="D461" s="11">
        <f t="shared" si="12"/>
        <v>6</v>
      </c>
      <c r="E461">
        <f t="shared" si="13"/>
        <v>273006</v>
      </c>
      <c r="F461" s="11">
        <v>486</v>
      </c>
      <c r="G461" s="11" t="s">
        <v>21</v>
      </c>
      <c r="H461" s="3">
        <v>38139.65</v>
      </c>
      <c r="K461" s="11"/>
      <c r="L461" s="11"/>
      <c r="M461" s="11"/>
      <c r="N461" s="11"/>
      <c r="P461" s="11"/>
      <c r="Q461" s="11"/>
      <c r="R461" s="3"/>
    </row>
    <row r="462" spans="1:18" x14ac:dyDescent="0.2">
      <c r="A462" s="11">
        <v>276</v>
      </c>
      <c r="B462" s="11">
        <v>1</v>
      </c>
      <c r="C462" s="11" t="s">
        <v>118</v>
      </c>
      <c r="D462" s="11">
        <f t="shared" si="12"/>
        <v>1</v>
      </c>
      <c r="E462">
        <f t="shared" si="13"/>
        <v>276001</v>
      </c>
      <c r="F462" s="11">
        <v>401</v>
      </c>
      <c r="G462" s="11" t="s">
        <v>29</v>
      </c>
      <c r="H462" s="3">
        <v>215034.95</v>
      </c>
      <c r="K462" s="11"/>
      <c r="L462" s="11"/>
      <c r="M462" s="11"/>
      <c r="N462" s="11"/>
      <c r="P462" s="11"/>
      <c r="Q462" s="11"/>
      <c r="R462" s="3"/>
    </row>
    <row r="463" spans="1:18" x14ac:dyDescent="0.2">
      <c r="A463" s="11">
        <v>276</v>
      </c>
      <c r="B463" s="11">
        <v>1</v>
      </c>
      <c r="C463" s="11" t="s">
        <v>118</v>
      </c>
      <c r="D463" s="11">
        <f t="shared" ref="D463:D526" si="14">IF(A463=A462,D462+1,1)</f>
        <v>2</v>
      </c>
      <c r="E463">
        <f t="shared" ref="E463:E526" si="15">1000*A463+D463</f>
        <v>276002</v>
      </c>
      <c r="F463" s="11">
        <v>414</v>
      </c>
      <c r="G463" s="11" t="s">
        <v>9</v>
      </c>
      <c r="H463" s="3">
        <v>127467.69</v>
      </c>
      <c r="K463" s="11"/>
      <c r="L463" s="11"/>
      <c r="M463" s="11"/>
      <c r="N463" s="11"/>
      <c r="P463" s="11"/>
      <c r="Q463" s="11"/>
      <c r="R463" s="3"/>
    </row>
    <row r="464" spans="1:18" x14ac:dyDescent="0.2">
      <c r="A464" s="11">
        <v>276</v>
      </c>
      <c r="B464" s="11">
        <v>1</v>
      </c>
      <c r="C464" s="11" t="s">
        <v>118</v>
      </c>
      <c r="D464" s="11">
        <f t="shared" si="14"/>
        <v>3</v>
      </c>
      <c r="E464">
        <f t="shared" si="15"/>
        <v>276003</v>
      </c>
      <c r="F464" s="11">
        <v>417</v>
      </c>
      <c r="G464" s="11" t="s">
        <v>34</v>
      </c>
      <c r="H464" s="3">
        <v>16081.28</v>
      </c>
      <c r="K464" s="11"/>
      <c r="L464" s="11"/>
      <c r="M464" s="11"/>
      <c r="N464" s="11"/>
      <c r="P464" s="11"/>
      <c r="Q464" s="11"/>
      <c r="R464" s="3"/>
    </row>
    <row r="465" spans="1:18" x14ac:dyDescent="0.2">
      <c r="A465" s="11">
        <v>276</v>
      </c>
      <c r="B465" s="11">
        <v>1</v>
      </c>
      <c r="C465" s="11" t="s">
        <v>118</v>
      </c>
      <c r="D465" s="11">
        <f t="shared" si="14"/>
        <v>4</v>
      </c>
      <c r="E465">
        <f t="shared" si="15"/>
        <v>276004</v>
      </c>
      <c r="F465" s="11">
        <v>419</v>
      </c>
      <c r="G465" s="11" t="s">
        <v>10</v>
      </c>
      <c r="H465" s="3">
        <v>1420405.11</v>
      </c>
      <c r="K465" s="11"/>
      <c r="L465" s="11"/>
      <c r="M465" s="11"/>
      <c r="N465" s="11"/>
      <c r="P465" s="11"/>
      <c r="Q465" s="11"/>
      <c r="R465" s="3"/>
    </row>
    <row r="466" spans="1:18" x14ac:dyDescent="0.2">
      <c r="A466" s="11">
        <v>276</v>
      </c>
      <c r="B466" s="11">
        <v>1</v>
      </c>
      <c r="C466" s="11" t="s">
        <v>118</v>
      </c>
      <c r="D466" s="11">
        <f t="shared" si="14"/>
        <v>5</v>
      </c>
      <c r="E466">
        <f t="shared" si="15"/>
        <v>276005</v>
      </c>
      <c r="F466" s="11">
        <v>420</v>
      </c>
      <c r="G466" s="11" t="s">
        <v>11</v>
      </c>
      <c r="H466" s="3">
        <v>42655.21</v>
      </c>
      <c r="K466" s="11"/>
      <c r="L466" s="11"/>
      <c r="M466" s="11"/>
      <c r="N466" s="11"/>
      <c r="P466" s="11"/>
      <c r="Q466" s="11"/>
      <c r="R466" s="3"/>
    </row>
    <row r="467" spans="1:18" x14ac:dyDescent="0.2">
      <c r="A467" s="11">
        <v>276</v>
      </c>
      <c r="B467" s="11">
        <v>1</v>
      </c>
      <c r="C467" s="11" t="s">
        <v>118</v>
      </c>
      <c r="D467" s="11">
        <f t="shared" si="14"/>
        <v>6</v>
      </c>
      <c r="E467">
        <f t="shared" si="15"/>
        <v>276006</v>
      </c>
      <c r="F467" s="11">
        <v>433</v>
      </c>
      <c r="G467" s="11" t="s">
        <v>30</v>
      </c>
      <c r="H467" s="3">
        <v>14063.64</v>
      </c>
      <c r="K467" s="11"/>
      <c r="L467" s="11"/>
      <c r="M467" s="11"/>
      <c r="N467" s="11"/>
      <c r="P467" s="11"/>
      <c r="Q467" s="11"/>
      <c r="R467" s="3"/>
    </row>
    <row r="468" spans="1:18" x14ac:dyDescent="0.2">
      <c r="A468" s="11">
        <v>276</v>
      </c>
      <c r="B468" s="11">
        <v>1</v>
      </c>
      <c r="C468" s="11" t="s">
        <v>118</v>
      </c>
      <c r="D468" s="11">
        <f t="shared" si="14"/>
        <v>7</v>
      </c>
      <c r="E468">
        <f t="shared" si="15"/>
        <v>276007</v>
      </c>
      <c r="F468" s="11">
        <v>484</v>
      </c>
      <c r="G468" s="11" t="s">
        <v>20</v>
      </c>
      <c r="H468" s="3">
        <v>65207.8</v>
      </c>
      <c r="K468" s="11"/>
      <c r="L468" s="11"/>
      <c r="M468" s="11"/>
      <c r="N468" s="11"/>
      <c r="P468" s="11"/>
      <c r="Q468" s="11"/>
      <c r="R468" s="3"/>
    </row>
    <row r="469" spans="1:18" x14ac:dyDescent="0.2">
      <c r="A469" s="11">
        <v>276</v>
      </c>
      <c r="B469" s="11">
        <v>1</v>
      </c>
      <c r="C469" s="11" t="s">
        <v>118</v>
      </c>
      <c r="D469" s="11">
        <f t="shared" si="14"/>
        <v>8</v>
      </c>
      <c r="E469">
        <f t="shared" si="15"/>
        <v>276008</v>
      </c>
      <c r="F469" s="11">
        <v>486</v>
      </c>
      <c r="G469" s="11" t="s">
        <v>21</v>
      </c>
      <c r="H469" s="3">
        <v>34921.620000000003</v>
      </c>
      <c r="K469" s="11"/>
      <c r="L469" s="11"/>
      <c r="M469" s="11"/>
      <c r="N469" s="11"/>
      <c r="P469" s="11"/>
      <c r="Q469" s="11"/>
      <c r="R469" s="3"/>
    </row>
    <row r="470" spans="1:18" x14ac:dyDescent="0.2">
      <c r="A470" s="11">
        <v>277</v>
      </c>
      <c r="B470" s="11">
        <v>1</v>
      </c>
      <c r="C470" s="11" t="s">
        <v>119</v>
      </c>
      <c r="D470" s="11">
        <f t="shared" si="14"/>
        <v>1</v>
      </c>
      <c r="E470">
        <f t="shared" si="15"/>
        <v>277001</v>
      </c>
      <c r="F470" s="11">
        <v>401</v>
      </c>
      <c r="G470" s="11" t="s">
        <v>29</v>
      </c>
      <c r="H470" s="3">
        <v>218392.95999999999</v>
      </c>
      <c r="K470" s="11"/>
      <c r="L470" s="11"/>
      <c r="M470" s="11"/>
      <c r="N470" s="11"/>
      <c r="P470" s="11"/>
      <c r="Q470" s="11"/>
      <c r="R470" s="3"/>
    </row>
    <row r="471" spans="1:18" x14ac:dyDescent="0.2">
      <c r="A471" s="11">
        <v>277</v>
      </c>
      <c r="B471" s="11">
        <v>1</v>
      </c>
      <c r="C471" s="11" t="s">
        <v>119</v>
      </c>
      <c r="D471" s="11">
        <f t="shared" si="14"/>
        <v>2</v>
      </c>
      <c r="E471">
        <f t="shared" si="15"/>
        <v>277002</v>
      </c>
      <c r="F471" s="11">
        <v>414</v>
      </c>
      <c r="G471" s="11" t="s">
        <v>9</v>
      </c>
      <c r="H471" s="3">
        <v>89882.1</v>
      </c>
      <c r="K471" s="11"/>
      <c r="L471" s="11"/>
      <c r="M471" s="11"/>
      <c r="N471" s="11"/>
      <c r="P471" s="11"/>
      <c r="Q471" s="11"/>
      <c r="R471" s="3"/>
    </row>
    <row r="472" spans="1:18" x14ac:dyDescent="0.2">
      <c r="A472" s="11">
        <v>277</v>
      </c>
      <c r="B472" s="11">
        <v>1</v>
      </c>
      <c r="C472" s="11" t="s">
        <v>119</v>
      </c>
      <c r="D472" s="11">
        <f t="shared" si="14"/>
        <v>3</v>
      </c>
      <c r="E472">
        <f t="shared" si="15"/>
        <v>277003</v>
      </c>
      <c r="F472" s="11">
        <v>419</v>
      </c>
      <c r="G472" s="11" t="s">
        <v>10</v>
      </c>
      <c r="H472" s="3">
        <v>349668.57</v>
      </c>
      <c r="K472" s="11"/>
      <c r="L472" s="11"/>
      <c r="M472" s="11"/>
      <c r="N472" s="11"/>
      <c r="P472" s="11"/>
      <c r="Q472" s="11"/>
      <c r="R472" s="3"/>
    </row>
    <row r="473" spans="1:18" x14ac:dyDescent="0.2">
      <c r="A473" s="11">
        <v>277</v>
      </c>
      <c r="B473" s="11">
        <v>1</v>
      </c>
      <c r="C473" s="11" t="s">
        <v>119</v>
      </c>
      <c r="D473" s="11">
        <f t="shared" si="14"/>
        <v>4</v>
      </c>
      <c r="E473">
        <f t="shared" si="15"/>
        <v>277004</v>
      </c>
      <c r="F473" s="11">
        <v>420</v>
      </c>
      <c r="G473" s="11" t="s">
        <v>11</v>
      </c>
      <c r="H473" s="3">
        <v>15208.1</v>
      </c>
      <c r="K473" s="11"/>
      <c r="L473" s="11"/>
      <c r="M473" s="11"/>
      <c r="N473" s="11"/>
      <c r="P473" s="11"/>
      <c r="Q473" s="11"/>
      <c r="R473" s="3"/>
    </row>
    <row r="474" spans="1:18" x14ac:dyDescent="0.2">
      <c r="A474" s="11">
        <v>277</v>
      </c>
      <c r="B474" s="11">
        <v>1</v>
      </c>
      <c r="C474" s="11" t="s">
        <v>119</v>
      </c>
      <c r="D474" s="11">
        <f t="shared" si="14"/>
        <v>5</v>
      </c>
      <c r="E474">
        <f t="shared" si="15"/>
        <v>277005</v>
      </c>
      <c r="F474" s="11">
        <v>433</v>
      </c>
      <c r="G474" s="11" t="s">
        <v>30</v>
      </c>
      <c r="H474" s="3">
        <v>6037.45</v>
      </c>
      <c r="K474" s="11"/>
      <c r="L474" s="11"/>
      <c r="M474" s="11"/>
      <c r="N474" s="11"/>
      <c r="P474" s="11"/>
      <c r="Q474" s="11"/>
      <c r="R474" s="3"/>
    </row>
    <row r="475" spans="1:18" x14ac:dyDescent="0.2">
      <c r="A475" s="11">
        <v>277</v>
      </c>
      <c r="B475" s="11">
        <v>1</v>
      </c>
      <c r="C475" s="11" t="s">
        <v>119</v>
      </c>
      <c r="D475" s="11">
        <f t="shared" si="14"/>
        <v>6</v>
      </c>
      <c r="E475">
        <f t="shared" si="15"/>
        <v>277006</v>
      </c>
      <c r="F475" s="11">
        <v>470</v>
      </c>
      <c r="G475" s="11" t="s">
        <v>6</v>
      </c>
      <c r="H475" s="3">
        <v>135094.20000000001</v>
      </c>
      <c r="K475" s="11"/>
      <c r="L475" s="11"/>
      <c r="M475" s="11"/>
      <c r="N475" s="11"/>
      <c r="P475" s="11"/>
      <c r="Q475" s="11"/>
      <c r="R475" s="3"/>
    </row>
    <row r="476" spans="1:18" x14ac:dyDescent="0.2">
      <c r="A476" s="11">
        <v>277</v>
      </c>
      <c r="B476" s="11">
        <v>1</v>
      </c>
      <c r="C476" s="11" t="s">
        <v>119</v>
      </c>
      <c r="D476" s="11">
        <f t="shared" si="14"/>
        <v>7</v>
      </c>
      <c r="E476">
        <f t="shared" si="15"/>
        <v>277007</v>
      </c>
      <c r="F476" s="11">
        <v>480</v>
      </c>
      <c r="G476" s="11" t="s">
        <v>19</v>
      </c>
      <c r="H476" s="3">
        <v>459652.49</v>
      </c>
      <c r="K476" s="11"/>
      <c r="L476" s="11"/>
      <c r="M476" s="11"/>
      <c r="N476" s="11"/>
      <c r="P476" s="11"/>
      <c r="Q476" s="11"/>
      <c r="R476" s="3"/>
    </row>
    <row r="477" spans="1:18" x14ac:dyDescent="0.2">
      <c r="A477" s="11">
        <v>277</v>
      </c>
      <c r="B477" s="11">
        <v>1</v>
      </c>
      <c r="C477" s="11" t="s">
        <v>119</v>
      </c>
      <c r="D477" s="11">
        <f t="shared" si="14"/>
        <v>8</v>
      </c>
      <c r="E477">
        <f t="shared" si="15"/>
        <v>277008</v>
      </c>
      <c r="F477" s="11">
        <v>486</v>
      </c>
      <c r="G477" s="11" t="s">
        <v>21</v>
      </c>
      <c r="H477" s="3">
        <v>16686.099999999999</v>
      </c>
      <c r="K477" s="11"/>
      <c r="L477" s="11"/>
      <c r="M477" s="11"/>
      <c r="N477" s="11"/>
      <c r="P477" s="11"/>
      <c r="Q477" s="11"/>
      <c r="R477" s="3"/>
    </row>
    <row r="478" spans="1:18" x14ac:dyDescent="0.2">
      <c r="A478" s="11">
        <v>278</v>
      </c>
      <c r="B478" s="11">
        <v>1</v>
      </c>
      <c r="C478" s="11" t="s">
        <v>120</v>
      </c>
      <c r="D478" s="11">
        <f t="shared" si="14"/>
        <v>1</v>
      </c>
      <c r="E478">
        <f t="shared" si="15"/>
        <v>278001</v>
      </c>
      <c r="F478" s="11">
        <v>420</v>
      </c>
      <c r="G478" s="11" t="s">
        <v>11</v>
      </c>
      <c r="H478" s="3">
        <v>15722.12</v>
      </c>
      <c r="K478" s="11"/>
      <c r="L478" s="11"/>
      <c r="M478" s="11"/>
      <c r="N478" s="11"/>
      <c r="P478" s="11"/>
      <c r="Q478" s="11"/>
      <c r="R478" s="3"/>
    </row>
    <row r="479" spans="1:18" x14ac:dyDescent="0.2">
      <c r="A479" s="11">
        <v>278</v>
      </c>
      <c r="B479" s="11">
        <v>1</v>
      </c>
      <c r="C479" s="11" t="s">
        <v>120</v>
      </c>
      <c r="D479" s="11">
        <f t="shared" si="14"/>
        <v>2</v>
      </c>
      <c r="E479">
        <f t="shared" si="15"/>
        <v>278002</v>
      </c>
      <c r="F479" s="11">
        <v>435</v>
      </c>
      <c r="G479" s="11" t="s">
        <v>35</v>
      </c>
      <c r="H479" s="3">
        <v>5000</v>
      </c>
      <c r="K479" s="11"/>
      <c r="L479" s="11"/>
      <c r="M479" s="11"/>
      <c r="N479" s="11"/>
      <c r="P479" s="11"/>
      <c r="Q479" s="11"/>
      <c r="R479" s="3"/>
    </row>
    <row r="480" spans="1:18" x14ac:dyDescent="0.2">
      <c r="A480" s="11">
        <v>278</v>
      </c>
      <c r="B480" s="11">
        <v>1</v>
      </c>
      <c r="C480" s="11" t="s">
        <v>120</v>
      </c>
      <c r="D480" s="11">
        <f t="shared" si="14"/>
        <v>3</v>
      </c>
      <c r="E480">
        <f t="shared" si="15"/>
        <v>278003</v>
      </c>
      <c r="F480" s="11">
        <v>486</v>
      </c>
      <c r="G480" s="11" t="s">
        <v>21</v>
      </c>
      <c r="H480" s="3">
        <v>4767.46</v>
      </c>
      <c r="K480" s="11"/>
      <c r="L480" s="11"/>
      <c r="M480" s="11"/>
      <c r="N480" s="11"/>
      <c r="P480" s="11"/>
      <c r="Q480" s="11"/>
      <c r="R480" s="3"/>
    </row>
    <row r="481" spans="1:18" x14ac:dyDescent="0.2">
      <c r="A481" s="11">
        <v>279</v>
      </c>
      <c r="B481" s="11">
        <v>1</v>
      </c>
      <c r="C481" s="11" t="s">
        <v>121</v>
      </c>
      <c r="D481" s="11">
        <f t="shared" si="14"/>
        <v>1</v>
      </c>
      <c r="E481">
        <f t="shared" si="15"/>
        <v>279001</v>
      </c>
      <c r="F481" s="11">
        <v>420</v>
      </c>
      <c r="G481" s="11" t="s">
        <v>11</v>
      </c>
      <c r="H481" s="3">
        <v>122241.11</v>
      </c>
      <c r="K481" s="11"/>
      <c r="L481" s="11"/>
      <c r="M481" s="11"/>
      <c r="N481" s="11"/>
      <c r="P481" s="11"/>
      <c r="Q481" s="11"/>
      <c r="R481" s="3"/>
    </row>
    <row r="482" spans="1:18" x14ac:dyDescent="0.2">
      <c r="A482" s="11">
        <v>279</v>
      </c>
      <c r="B482" s="11">
        <v>1</v>
      </c>
      <c r="C482" s="11" t="s">
        <v>121</v>
      </c>
      <c r="D482" s="11">
        <f t="shared" si="14"/>
        <v>2</v>
      </c>
      <c r="E482">
        <f t="shared" si="15"/>
        <v>279002</v>
      </c>
      <c r="F482" s="11">
        <v>422</v>
      </c>
      <c r="G482" s="11" t="s">
        <v>12</v>
      </c>
      <c r="H482" s="3">
        <v>172593.49</v>
      </c>
      <c r="K482" s="11"/>
      <c r="L482" s="11"/>
      <c r="M482" s="11"/>
      <c r="N482" s="11"/>
      <c r="P482" s="11"/>
      <c r="Q482" s="11"/>
      <c r="R482" s="3"/>
    </row>
    <row r="483" spans="1:18" x14ac:dyDescent="0.2">
      <c r="A483" s="11">
        <v>279</v>
      </c>
      <c r="B483" s="11">
        <v>1</v>
      </c>
      <c r="C483" s="11" t="s">
        <v>121</v>
      </c>
      <c r="D483" s="11">
        <f t="shared" si="14"/>
        <v>3</v>
      </c>
      <c r="E483">
        <f t="shared" si="15"/>
        <v>279003</v>
      </c>
      <c r="F483" s="11">
        <v>433</v>
      </c>
      <c r="G483" s="11" t="s">
        <v>30</v>
      </c>
      <c r="H483" s="3">
        <v>64090.01</v>
      </c>
      <c r="K483" s="11"/>
      <c r="L483" s="11"/>
      <c r="M483" s="11"/>
      <c r="N483" s="11"/>
      <c r="P483" s="11"/>
      <c r="Q483" s="11"/>
      <c r="R483" s="3"/>
    </row>
    <row r="484" spans="1:18" x14ac:dyDescent="0.2">
      <c r="A484" s="11">
        <v>279</v>
      </c>
      <c r="B484" s="11">
        <v>1</v>
      </c>
      <c r="C484" s="11" t="s">
        <v>121</v>
      </c>
      <c r="D484" s="11">
        <f t="shared" si="14"/>
        <v>4</v>
      </c>
      <c r="E484">
        <f t="shared" si="15"/>
        <v>279004</v>
      </c>
      <c r="F484" s="11">
        <v>438</v>
      </c>
      <c r="G484" s="11" t="s">
        <v>15</v>
      </c>
      <c r="H484" s="3">
        <v>94372.160000000003</v>
      </c>
      <c r="K484" s="11"/>
      <c r="L484" s="11"/>
      <c r="M484" s="11"/>
      <c r="N484" s="11"/>
      <c r="P484" s="11"/>
      <c r="Q484" s="11"/>
      <c r="R484" s="3"/>
    </row>
    <row r="485" spans="1:18" x14ac:dyDescent="0.2">
      <c r="A485" s="11">
        <v>279</v>
      </c>
      <c r="B485" s="11">
        <v>1</v>
      </c>
      <c r="C485" s="11" t="s">
        <v>121</v>
      </c>
      <c r="D485" s="11">
        <f t="shared" si="14"/>
        <v>5</v>
      </c>
      <c r="E485">
        <f t="shared" si="15"/>
        <v>279005</v>
      </c>
      <c r="F485" s="11">
        <v>441</v>
      </c>
      <c r="G485" s="11" t="s">
        <v>16</v>
      </c>
      <c r="H485" s="3">
        <v>9400</v>
      </c>
      <c r="K485" s="11"/>
      <c r="L485" s="11"/>
      <c r="M485" s="11"/>
      <c r="N485" s="11"/>
      <c r="P485" s="11"/>
      <c r="Q485" s="11"/>
      <c r="R485" s="3"/>
    </row>
    <row r="486" spans="1:18" x14ac:dyDescent="0.2">
      <c r="A486" s="11">
        <v>279</v>
      </c>
      <c r="B486" s="11">
        <v>1</v>
      </c>
      <c r="C486" s="11" t="s">
        <v>121</v>
      </c>
      <c r="D486" s="11">
        <f t="shared" si="14"/>
        <v>6</v>
      </c>
      <c r="E486">
        <f t="shared" si="15"/>
        <v>279006</v>
      </c>
      <c r="F486" s="11">
        <v>478</v>
      </c>
      <c r="G486" s="11" t="s">
        <v>18</v>
      </c>
      <c r="H486" s="3">
        <v>52500</v>
      </c>
      <c r="K486" s="11"/>
      <c r="L486" s="11"/>
      <c r="M486" s="11"/>
      <c r="N486" s="11"/>
      <c r="P486" s="11"/>
      <c r="Q486" s="11"/>
      <c r="R486" s="3"/>
    </row>
    <row r="487" spans="1:18" x14ac:dyDescent="0.2">
      <c r="A487" s="11">
        <v>279</v>
      </c>
      <c r="B487" s="11">
        <v>1</v>
      </c>
      <c r="C487" s="11" t="s">
        <v>121</v>
      </c>
      <c r="D487" s="11">
        <f t="shared" si="14"/>
        <v>7</v>
      </c>
      <c r="E487">
        <f t="shared" si="15"/>
        <v>279007</v>
      </c>
      <c r="F487" s="11">
        <v>484</v>
      </c>
      <c r="G487" s="11" t="s">
        <v>20</v>
      </c>
      <c r="H487" s="3">
        <v>193715.21</v>
      </c>
      <c r="K487" s="11"/>
      <c r="L487" s="11"/>
      <c r="M487" s="11"/>
      <c r="N487" s="11"/>
      <c r="P487" s="11"/>
      <c r="Q487" s="11"/>
      <c r="R487" s="3"/>
    </row>
    <row r="488" spans="1:18" x14ac:dyDescent="0.2">
      <c r="A488" s="11">
        <v>279</v>
      </c>
      <c r="B488" s="11">
        <v>1</v>
      </c>
      <c r="C488" s="11" t="s">
        <v>121</v>
      </c>
      <c r="D488" s="11">
        <f t="shared" si="14"/>
        <v>8</v>
      </c>
      <c r="E488">
        <f t="shared" si="15"/>
        <v>279008</v>
      </c>
      <c r="F488" s="11">
        <v>486</v>
      </c>
      <c r="G488" s="11" t="s">
        <v>21</v>
      </c>
      <c r="H488" s="3">
        <v>139686.47</v>
      </c>
      <c r="K488" s="11"/>
      <c r="L488" s="11"/>
      <c r="M488" s="11"/>
      <c r="N488" s="11"/>
      <c r="P488" s="11"/>
      <c r="Q488" s="11"/>
      <c r="R488" s="3"/>
    </row>
    <row r="489" spans="1:18" x14ac:dyDescent="0.2">
      <c r="A489" s="11">
        <v>279</v>
      </c>
      <c r="B489" s="11">
        <v>1</v>
      </c>
      <c r="C489" s="11" t="s">
        <v>121</v>
      </c>
      <c r="D489" s="11">
        <f t="shared" si="14"/>
        <v>9</v>
      </c>
      <c r="E489">
        <f t="shared" si="15"/>
        <v>279009</v>
      </c>
      <c r="F489" s="11">
        <v>706</v>
      </c>
      <c r="G489" s="11" t="s">
        <v>114</v>
      </c>
      <c r="H489" s="3">
        <v>51121</v>
      </c>
      <c r="K489" s="11"/>
      <c r="L489" s="11"/>
      <c r="M489" s="11"/>
      <c r="N489" s="11"/>
      <c r="P489" s="11"/>
      <c r="Q489" s="11"/>
      <c r="R489" s="3"/>
    </row>
    <row r="490" spans="1:18" x14ac:dyDescent="0.2">
      <c r="A490" s="11">
        <v>279</v>
      </c>
      <c r="B490" s="11">
        <v>1</v>
      </c>
      <c r="C490" s="11" t="s">
        <v>121</v>
      </c>
      <c r="D490" s="11">
        <f t="shared" si="14"/>
        <v>10</v>
      </c>
      <c r="E490">
        <f t="shared" si="15"/>
        <v>279010</v>
      </c>
      <c r="F490" s="11">
        <v>801</v>
      </c>
      <c r="G490" s="11" t="s">
        <v>22</v>
      </c>
      <c r="H490" s="3">
        <v>39994</v>
      </c>
      <c r="K490" s="11"/>
      <c r="L490" s="11"/>
      <c r="M490" s="11"/>
      <c r="N490" s="11"/>
      <c r="P490" s="11"/>
      <c r="Q490" s="11"/>
      <c r="R490" s="3"/>
    </row>
    <row r="491" spans="1:18" x14ac:dyDescent="0.2">
      <c r="A491" s="11">
        <v>279</v>
      </c>
      <c r="B491" s="11">
        <v>1</v>
      </c>
      <c r="C491" s="11" t="s">
        <v>121</v>
      </c>
      <c r="D491" s="11">
        <f t="shared" si="14"/>
        <v>11</v>
      </c>
      <c r="E491">
        <f t="shared" si="15"/>
        <v>279011</v>
      </c>
      <c r="F491" s="11">
        <v>856</v>
      </c>
      <c r="G491" s="11" t="s">
        <v>39</v>
      </c>
      <c r="H491" s="3">
        <v>290314</v>
      </c>
      <c r="K491" s="11"/>
      <c r="L491" s="11"/>
      <c r="M491" s="11"/>
      <c r="N491" s="11"/>
      <c r="P491" s="11"/>
      <c r="Q491" s="11"/>
      <c r="R491" s="3"/>
    </row>
    <row r="492" spans="1:18" x14ac:dyDescent="0.2">
      <c r="A492" s="11">
        <v>279</v>
      </c>
      <c r="B492" s="11">
        <v>1</v>
      </c>
      <c r="C492" s="11" t="s">
        <v>121</v>
      </c>
      <c r="D492" s="11">
        <f t="shared" si="14"/>
        <v>12</v>
      </c>
      <c r="E492">
        <f t="shared" si="15"/>
        <v>279012</v>
      </c>
      <c r="F492" s="11">
        <v>869</v>
      </c>
      <c r="G492" s="11" t="s">
        <v>115</v>
      </c>
      <c r="H492" s="3">
        <v>100000</v>
      </c>
      <c r="K492" s="11"/>
      <c r="L492" s="11"/>
      <c r="M492" s="11"/>
      <c r="N492" s="11"/>
      <c r="P492" s="11"/>
      <c r="Q492" s="11"/>
      <c r="R492" s="3"/>
    </row>
    <row r="493" spans="1:18" x14ac:dyDescent="0.2">
      <c r="A493" s="11">
        <v>280</v>
      </c>
      <c r="B493" s="11">
        <v>1</v>
      </c>
      <c r="C493" s="11" t="s">
        <v>122</v>
      </c>
      <c r="D493" s="11">
        <f t="shared" si="14"/>
        <v>1</v>
      </c>
      <c r="E493">
        <f t="shared" si="15"/>
        <v>280001</v>
      </c>
      <c r="F493" s="11">
        <v>433</v>
      </c>
      <c r="G493" s="11" t="s">
        <v>30</v>
      </c>
      <c r="H493" s="3">
        <v>18483.53</v>
      </c>
      <c r="K493" s="11"/>
      <c r="L493" s="11"/>
      <c r="M493" s="11"/>
      <c r="N493" s="11"/>
      <c r="P493" s="11"/>
      <c r="Q493" s="11"/>
      <c r="R493" s="3"/>
    </row>
    <row r="494" spans="1:18" x14ac:dyDescent="0.2">
      <c r="A494" s="11">
        <v>280</v>
      </c>
      <c r="B494" s="11">
        <v>1</v>
      </c>
      <c r="C494" s="11" t="s">
        <v>122</v>
      </c>
      <c r="D494" s="11">
        <f t="shared" si="14"/>
        <v>2</v>
      </c>
      <c r="E494">
        <f t="shared" si="15"/>
        <v>280002</v>
      </c>
      <c r="F494" s="11">
        <v>435</v>
      </c>
      <c r="G494" s="11" t="s">
        <v>35</v>
      </c>
      <c r="H494" s="3">
        <v>6170</v>
      </c>
      <c r="K494" s="11"/>
      <c r="L494" s="11"/>
      <c r="M494" s="11"/>
      <c r="N494" s="11"/>
      <c r="P494" s="11"/>
      <c r="Q494" s="11"/>
      <c r="R494" s="3"/>
    </row>
    <row r="495" spans="1:18" x14ac:dyDescent="0.2">
      <c r="A495" s="11">
        <v>280</v>
      </c>
      <c r="B495" s="11">
        <v>1</v>
      </c>
      <c r="C495" s="11" t="s">
        <v>122</v>
      </c>
      <c r="D495" s="11">
        <f t="shared" si="14"/>
        <v>3</v>
      </c>
      <c r="E495">
        <f t="shared" si="15"/>
        <v>280003</v>
      </c>
      <c r="F495" s="11">
        <v>437</v>
      </c>
      <c r="G495" s="11" t="s">
        <v>14</v>
      </c>
      <c r="H495" s="3">
        <v>1440</v>
      </c>
      <c r="K495" s="11"/>
      <c r="L495" s="11"/>
      <c r="M495" s="11"/>
      <c r="N495" s="11"/>
      <c r="P495" s="11"/>
      <c r="Q495" s="11"/>
      <c r="R495" s="3"/>
    </row>
    <row r="496" spans="1:18" x14ac:dyDescent="0.2">
      <c r="A496" s="11">
        <v>281</v>
      </c>
      <c r="B496" s="11">
        <v>1</v>
      </c>
      <c r="C496" s="11" t="s">
        <v>123</v>
      </c>
      <c r="D496" s="11">
        <f t="shared" si="14"/>
        <v>1</v>
      </c>
      <c r="E496">
        <f t="shared" si="15"/>
        <v>281001</v>
      </c>
      <c r="F496" s="11">
        <v>401</v>
      </c>
      <c r="G496" s="11" t="s">
        <v>29</v>
      </c>
      <c r="H496" s="3">
        <v>2161317.13</v>
      </c>
      <c r="K496" s="11"/>
      <c r="L496" s="11"/>
      <c r="M496" s="11"/>
      <c r="N496" s="11"/>
      <c r="P496" s="11"/>
      <c r="Q496" s="11"/>
      <c r="R496" s="3"/>
    </row>
    <row r="497" spans="1:18" x14ac:dyDescent="0.2">
      <c r="A497" s="11">
        <v>281</v>
      </c>
      <c r="B497" s="11">
        <v>1</v>
      </c>
      <c r="C497" s="11" t="s">
        <v>123</v>
      </c>
      <c r="D497" s="11">
        <f t="shared" si="14"/>
        <v>2</v>
      </c>
      <c r="E497">
        <f t="shared" si="15"/>
        <v>281002</v>
      </c>
      <c r="F497" s="11">
        <v>414</v>
      </c>
      <c r="G497" s="11" t="s">
        <v>9</v>
      </c>
      <c r="H497" s="3">
        <v>518127.35</v>
      </c>
      <c r="K497" s="11"/>
      <c r="L497" s="11"/>
      <c r="M497" s="11"/>
      <c r="N497" s="11"/>
      <c r="P497" s="11"/>
      <c r="Q497" s="11"/>
      <c r="R497" s="3"/>
    </row>
    <row r="498" spans="1:18" x14ac:dyDescent="0.2">
      <c r="A498" s="11">
        <v>281</v>
      </c>
      <c r="B498" s="11">
        <v>1</v>
      </c>
      <c r="C498" s="11" t="s">
        <v>123</v>
      </c>
      <c r="D498" s="11">
        <f t="shared" si="14"/>
        <v>3</v>
      </c>
      <c r="E498">
        <f t="shared" si="15"/>
        <v>281003</v>
      </c>
      <c r="F498" s="11">
        <v>417</v>
      </c>
      <c r="G498" s="11" t="s">
        <v>34</v>
      </c>
      <c r="H498" s="3">
        <v>170223.24</v>
      </c>
      <c r="K498" s="11"/>
      <c r="L498" s="11"/>
      <c r="M498" s="11"/>
      <c r="N498" s="11"/>
      <c r="P498" s="11"/>
      <c r="Q498" s="11"/>
      <c r="R498" s="3"/>
    </row>
    <row r="499" spans="1:18" x14ac:dyDescent="0.2">
      <c r="A499" s="11">
        <v>281</v>
      </c>
      <c r="B499" s="11">
        <v>1</v>
      </c>
      <c r="C499" s="11" t="s">
        <v>123</v>
      </c>
      <c r="D499" s="11">
        <f t="shared" si="14"/>
        <v>4</v>
      </c>
      <c r="E499">
        <f t="shared" si="15"/>
        <v>281004</v>
      </c>
      <c r="F499" s="11">
        <v>419</v>
      </c>
      <c r="G499" s="11" t="s">
        <v>10</v>
      </c>
      <c r="H499" s="3">
        <v>2367675.48</v>
      </c>
      <c r="K499" s="11"/>
      <c r="L499" s="11"/>
      <c r="M499" s="11"/>
      <c r="N499" s="11"/>
      <c r="P499" s="11"/>
      <c r="Q499" s="11"/>
      <c r="R499" s="3"/>
    </row>
    <row r="500" spans="1:18" x14ac:dyDescent="0.2">
      <c r="A500" s="11">
        <v>281</v>
      </c>
      <c r="B500" s="11">
        <v>1</v>
      </c>
      <c r="C500" s="11" t="s">
        <v>123</v>
      </c>
      <c r="D500" s="11">
        <f t="shared" si="14"/>
        <v>5</v>
      </c>
      <c r="E500">
        <f t="shared" si="15"/>
        <v>281005</v>
      </c>
      <c r="F500" s="11">
        <v>433</v>
      </c>
      <c r="G500" s="11" t="s">
        <v>30</v>
      </c>
      <c r="H500" s="3">
        <v>45901.55</v>
      </c>
      <c r="K500" s="11"/>
      <c r="L500" s="11"/>
      <c r="M500" s="11"/>
      <c r="N500" s="11"/>
      <c r="P500" s="11"/>
      <c r="Q500" s="11"/>
      <c r="R500" s="3"/>
    </row>
    <row r="501" spans="1:18" x14ac:dyDescent="0.2">
      <c r="A501" s="11">
        <v>281</v>
      </c>
      <c r="B501" s="11">
        <v>1</v>
      </c>
      <c r="C501" s="11" t="s">
        <v>123</v>
      </c>
      <c r="D501" s="11">
        <f t="shared" si="14"/>
        <v>6</v>
      </c>
      <c r="E501">
        <f t="shared" si="15"/>
        <v>281006</v>
      </c>
      <c r="F501" s="11">
        <v>435</v>
      </c>
      <c r="G501" s="11" t="s">
        <v>35</v>
      </c>
      <c r="H501" s="3">
        <v>17670</v>
      </c>
      <c r="K501" s="11"/>
      <c r="L501" s="11"/>
      <c r="M501" s="11"/>
      <c r="N501" s="11"/>
      <c r="P501" s="11"/>
      <c r="Q501" s="11"/>
      <c r="R501" s="3"/>
    </row>
    <row r="502" spans="1:18" x14ac:dyDescent="0.2">
      <c r="A502" s="11">
        <v>281</v>
      </c>
      <c r="B502" s="11">
        <v>1</v>
      </c>
      <c r="C502" s="11" t="s">
        <v>123</v>
      </c>
      <c r="D502" s="11">
        <f t="shared" si="14"/>
        <v>7</v>
      </c>
      <c r="E502">
        <f t="shared" si="15"/>
        <v>281007</v>
      </c>
      <c r="F502" s="11">
        <v>437</v>
      </c>
      <c r="G502" s="11" t="s">
        <v>14</v>
      </c>
      <c r="H502" s="3">
        <v>2430</v>
      </c>
      <c r="K502" s="11"/>
      <c r="L502" s="11"/>
      <c r="M502" s="11"/>
      <c r="N502" s="11"/>
      <c r="P502" s="11"/>
      <c r="Q502" s="11"/>
      <c r="R502" s="3"/>
    </row>
    <row r="503" spans="1:18" x14ac:dyDescent="0.2">
      <c r="A503" s="11">
        <v>281</v>
      </c>
      <c r="B503" s="11">
        <v>1</v>
      </c>
      <c r="C503" s="11" t="s">
        <v>123</v>
      </c>
      <c r="D503" s="11">
        <f t="shared" si="14"/>
        <v>8</v>
      </c>
      <c r="E503">
        <f t="shared" si="15"/>
        <v>281008</v>
      </c>
      <c r="F503" s="11">
        <v>441</v>
      </c>
      <c r="G503" s="11" t="s">
        <v>16</v>
      </c>
      <c r="H503" s="3">
        <v>4075</v>
      </c>
      <c r="K503" s="11"/>
      <c r="L503" s="11"/>
      <c r="M503" s="11"/>
      <c r="N503" s="11"/>
      <c r="P503" s="11"/>
      <c r="Q503" s="11"/>
      <c r="R503" s="3"/>
    </row>
    <row r="504" spans="1:18" x14ac:dyDescent="0.2">
      <c r="A504" s="11">
        <v>281</v>
      </c>
      <c r="B504" s="11">
        <v>1</v>
      </c>
      <c r="C504" s="11" t="s">
        <v>123</v>
      </c>
      <c r="D504" s="11">
        <f t="shared" si="14"/>
        <v>9</v>
      </c>
      <c r="E504">
        <f t="shared" si="15"/>
        <v>281009</v>
      </c>
      <c r="F504" s="11">
        <v>470</v>
      </c>
      <c r="G504" s="11" t="s">
        <v>6</v>
      </c>
      <c r="H504" s="3">
        <v>1564378.42</v>
      </c>
      <c r="K504" s="11"/>
      <c r="L504" s="11"/>
      <c r="M504" s="11"/>
      <c r="N504" s="11"/>
      <c r="P504" s="11"/>
      <c r="Q504" s="11"/>
      <c r="R504" s="3"/>
    </row>
    <row r="505" spans="1:18" x14ac:dyDescent="0.2">
      <c r="A505" s="11">
        <v>281</v>
      </c>
      <c r="B505" s="11">
        <v>1</v>
      </c>
      <c r="C505" s="11" t="s">
        <v>123</v>
      </c>
      <c r="D505" s="11">
        <f t="shared" si="14"/>
        <v>10</v>
      </c>
      <c r="E505">
        <f t="shared" si="15"/>
        <v>281010</v>
      </c>
      <c r="F505" s="11">
        <v>480</v>
      </c>
      <c r="G505" s="11" t="s">
        <v>19</v>
      </c>
      <c r="H505" s="3">
        <v>2797481.05</v>
      </c>
      <c r="K505" s="11"/>
      <c r="L505" s="11"/>
      <c r="M505" s="11"/>
      <c r="N505" s="11"/>
      <c r="P505" s="11"/>
      <c r="Q505" s="11"/>
      <c r="R505" s="3"/>
    </row>
    <row r="506" spans="1:18" x14ac:dyDescent="0.2">
      <c r="A506" s="11">
        <v>281</v>
      </c>
      <c r="B506" s="11">
        <v>1</v>
      </c>
      <c r="C506" s="11" t="s">
        <v>123</v>
      </c>
      <c r="D506" s="11">
        <f t="shared" si="14"/>
        <v>11</v>
      </c>
      <c r="E506">
        <f t="shared" si="15"/>
        <v>281011</v>
      </c>
      <c r="F506" s="11">
        <v>484</v>
      </c>
      <c r="G506" s="11" t="s">
        <v>20</v>
      </c>
      <c r="H506" s="3">
        <v>114599.57</v>
      </c>
      <c r="K506" s="11"/>
      <c r="L506" s="11"/>
      <c r="M506" s="11"/>
      <c r="N506" s="11"/>
      <c r="P506" s="11"/>
      <c r="Q506" s="11"/>
      <c r="R506" s="3"/>
    </row>
    <row r="507" spans="1:18" x14ac:dyDescent="0.2">
      <c r="A507" s="11">
        <v>281</v>
      </c>
      <c r="B507" s="11">
        <v>1</v>
      </c>
      <c r="C507" s="11" t="s">
        <v>123</v>
      </c>
      <c r="D507" s="11">
        <f t="shared" si="14"/>
        <v>12</v>
      </c>
      <c r="E507">
        <f t="shared" si="15"/>
        <v>281012</v>
      </c>
      <c r="F507" s="11">
        <v>486</v>
      </c>
      <c r="G507" s="11" t="s">
        <v>21</v>
      </c>
      <c r="H507" s="3">
        <v>101070.07</v>
      </c>
      <c r="K507" s="11"/>
      <c r="L507" s="11"/>
      <c r="M507" s="11"/>
      <c r="N507" s="11"/>
      <c r="P507" s="11"/>
      <c r="Q507" s="11"/>
      <c r="R507" s="3"/>
    </row>
    <row r="508" spans="1:18" x14ac:dyDescent="0.2">
      <c r="A508" s="11">
        <v>281</v>
      </c>
      <c r="B508" s="11">
        <v>1</v>
      </c>
      <c r="C508" s="11" t="s">
        <v>123</v>
      </c>
      <c r="D508" s="11">
        <f t="shared" si="14"/>
        <v>13</v>
      </c>
      <c r="E508">
        <f t="shared" si="15"/>
        <v>281013</v>
      </c>
      <c r="F508" s="11">
        <v>861</v>
      </c>
      <c r="G508" s="11" t="s">
        <v>124</v>
      </c>
      <c r="H508" s="3">
        <v>67826</v>
      </c>
      <c r="K508" s="11"/>
      <c r="L508" s="11"/>
      <c r="M508" s="11"/>
      <c r="N508" s="11"/>
      <c r="P508" s="11"/>
      <c r="Q508" s="11"/>
      <c r="R508" s="3"/>
    </row>
    <row r="509" spans="1:18" x14ac:dyDescent="0.2">
      <c r="A509" s="11">
        <v>281</v>
      </c>
      <c r="B509" s="11">
        <v>1</v>
      </c>
      <c r="C509" s="11" t="s">
        <v>123</v>
      </c>
      <c r="D509" s="11">
        <f t="shared" si="14"/>
        <v>14</v>
      </c>
      <c r="E509">
        <f t="shared" si="15"/>
        <v>281014</v>
      </c>
      <c r="F509" s="11">
        <v>871</v>
      </c>
      <c r="G509" s="11" t="s">
        <v>125</v>
      </c>
      <c r="H509" s="3">
        <v>170538</v>
      </c>
      <c r="K509" s="11"/>
      <c r="L509" s="11"/>
      <c r="M509" s="11"/>
      <c r="N509" s="11"/>
      <c r="P509" s="11"/>
      <c r="Q509" s="11"/>
      <c r="R509" s="3"/>
    </row>
    <row r="510" spans="1:18" x14ac:dyDescent="0.2">
      <c r="A510" s="11">
        <v>282</v>
      </c>
      <c r="B510" s="11">
        <v>1</v>
      </c>
      <c r="C510" s="11" t="s">
        <v>126</v>
      </c>
      <c r="D510" s="11">
        <f t="shared" si="14"/>
        <v>1</v>
      </c>
      <c r="E510">
        <f t="shared" si="15"/>
        <v>282001</v>
      </c>
      <c r="F510" s="11">
        <v>433</v>
      </c>
      <c r="G510" s="11" t="s">
        <v>30</v>
      </c>
      <c r="H510" s="3">
        <v>3894.14</v>
      </c>
      <c r="K510" s="11"/>
      <c r="L510" s="11"/>
      <c r="M510" s="11"/>
      <c r="N510" s="11"/>
      <c r="P510" s="11"/>
      <c r="Q510" s="11"/>
      <c r="R510" s="3"/>
    </row>
    <row r="511" spans="1:18" x14ac:dyDescent="0.2">
      <c r="A511" s="11">
        <v>282</v>
      </c>
      <c r="B511" s="11">
        <v>1</v>
      </c>
      <c r="C511" s="11" t="s">
        <v>126</v>
      </c>
      <c r="D511" s="11">
        <f t="shared" si="14"/>
        <v>2</v>
      </c>
      <c r="E511">
        <f t="shared" si="15"/>
        <v>282002</v>
      </c>
      <c r="F511" s="11">
        <v>470</v>
      </c>
      <c r="G511" s="11" t="s">
        <v>6</v>
      </c>
      <c r="H511" s="3">
        <v>59219.38</v>
      </c>
      <c r="K511" s="11"/>
      <c r="L511" s="11"/>
      <c r="M511" s="11"/>
      <c r="N511" s="11"/>
      <c r="P511" s="11"/>
      <c r="Q511" s="11"/>
      <c r="R511" s="3"/>
    </row>
    <row r="512" spans="1:18" x14ac:dyDescent="0.2">
      <c r="A512" s="11">
        <v>282</v>
      </c>
      <c r="B512" s="11">
        <v>1</v>
      </c>
      <c r="C512" s="11" t="s">
        <v>126</v>
      </c>
      <c r="D512" s="11">
        <f t="shared" si="14"/>
        <v>3</v>
      </c>
      <c r="E512">
        <f t="shared" si="15"/>
        <v>282003</v>
      </c>
      <c r="F512" s="11">
        <v>480</v>
      </c>
      <c r="G512" s="11" t="s">
        <v>19</v>
      </c>
      <c r="H512" s="3">
        <v>378755.41</v>
      </c>
      <c r="K512" s="11"/>
      <c r="L512" s="11"/>
      <c r="M512" s="11"/>
      <c r="N512" s="11"/>
      <c r="P512" s="11"/>
      <c r="Q512" s="11"/>
      <c r="R512" s="3"/>
    </row>
    <row r="513" spans="1:18" x14ac:dyDescent="0.2">
      <c r="A513" s="11">
        <v>282</v>
      </c>
      <c r="B513" s="11">
        <v>1</v>
      </c>
      <c r="C513" s="11" t="s">
        <v>126</v>
      </c>
      <c r="D513" s="11">
        <f t="shared" si="14"/>
        <v>4</v>
      </c>
      <c r="E513">
        <f t="shared" si="15"/>
        <v>282004</v>
      </c>
      <c r="F513" s="11">
        <v>484</v>
      </c>
      <c r="G513" s="11" t="s">
        <v>20</v>
      </c>
      <c r="H513" s="3">
        <v>15508.83</v>
      </c>
      <c r="K513" s="11"/>
      <c r="L513" s="11"/>
      <c r="M513" s="11"/>
      <c r="N513" s="11"/>
      <c r="P513" s="11"/>
      <c r="Q513" s="11"/>
      <c r="R513" s="3"/>
    </row>
    <row r="514" spans="1:18" x14ac:dyDescent="0.2">
      <c r="A514" s="11">
        <v>283</v>
      </c>
      <c r="B514" s="11">
        <v>1</v>
      </c>
      <c r="C514" s="11" t="s">
        <v>127</v>
      </c>
      <c r="D514" s="11">
        <f t="shared" si="14"/>
        <v>1</v>
      </c>
      <c r="E514">
        <f t="shared" si="15"/>
        <v>283001</v>
      </c>
      <c r="F514" s="11">
        <v>401</v>
      </c>
      <c r="G514" s="11" t="s">
        <v>29</v>
      </c>
      <c r="H514" s="3">
        <v>511070.68</v>
      </c>
      <c r="K514" s="11"/>
      <c r="L514" s="11"/>
      <c r="M514" s="11"/>
      <c r="N514" s="11"/>
      <c r="P514" s="11"/>
      <c r="Q514" s="11"/>
      <c r="R514" s="3"/>
    </row>
    <row r="515" spans="1:18" x14ac:dyDescent="0.2">
      <c r="A515" s="11">
        <v>283</v>
      </c>
      <c r="B515" s="11">
        <v>1</v>
      </c>
      <c r="C515" s="11" t="s">
        <v>127</v>
      </c>
      <c r="D515" s="11">
        <f t="shared" si="14"/>
        <v>2</v>
      </c>
      <c r="E515">
        <f t="shared" si="15"/>
        <v>283002</v>
      </c>
      <c r="F515" s="11">
        <v>414</v>
      </c>
      <c r="G515" s="11" t="s">
        <v>9</v>
      </c>
      <c r="H515" s="3">
        <v>161481.81</v>
      </c>
      <c r="K515" s="11"/>
      <c r="L515" s="11"/>
      <c r="M515" s="11"/>
      <c r="N515" s="11"/>
      <c r="P515" s="11"/>
      <c r="Q515" s="11"/>
      <c r="R515" s="3"/>
    </row>
    <row r="516" spans="1:18" x14ac:dyDescent="0.2">
      <c r="A516" s="11">
        <v>283</v>
      </c>
      <c r="B516" s="11">
        <v>1</v>
      </c>
      <c r="C516" s="11" t="s">
        <v>127</v>
      </c>
      <c r="D516" s="11">
        <f t="shared" si="14"/>
        <v>3</v>
      </c>
      <c r="E516">
        <f t="shared" si="15"/>
        <v>283003</v>
      </c>
      <c r="F516" s="11">
        <v>417</v>
      </c>
      <c r="G516" s="11" t="s">
        <v>34</v>
      </c>
      <c r="H516" s="3">
        <v>41930.43</v>
      </c>
      <c r="K516" s="11"/>
      <c r="L516" s="11"/>
      <c r="M516" s="11"/>
      <c r="N516" s="11"/>
      <c r="P516" s="11"/>
      <c r="Q516" s="11"/>
      <c r="R516" s="3"/>
    </row>
    <row r="517" spans="1:18" x14ac:dyDescent="0.2">
      <c r="A517" s="11">
        <v>283</v>
      </c>
      <c r="B517" s="11">
        <v>1</v>
      </c>
      <c r="C517" s="11" t="s">
        <v>127</v>
      </c>
      <c r="D517" s="11">
        <f t="shared" si="14"/>
        <v>4</v>
      </c>
      <c r="E517">
        <f t="shared" si="15"/>
        <v>283004</v>
      </c>
      <c r="F517" s="11">
        <v>419</v>
      </c>
      <c r="G517" s="11" t="s">
        <v>10</v>
      </c>
      <c r="H517" s="3">
        <v>790999.74</v>
      </c>
      <c r="K517" s="11"/>
      <c r="L517" s="11"/>
      <c r="M517" s="11"/>
      <c r="N517" s="11"/>
      <c r="P517" s="11"/>
      <c r="Q517" s="11"/>
      <c r="R517" s="3"/>
    </row>
    <row r="518" spans="1:18" x14ac:dyDescent="0.2">
      <c r="A518" s="11">
        <v>283</v>
      </c>
      <c r="B518" s="11">
        <v>1</v>
      </c>
      <c r="C518" s="11" t="s">
        <v>127</v>
      </c>
      <c r="D518" s="11">
        <f t="shared" si="14"/>
        <v>5</v>
      </c>
      <c r="E518">
        <f t="shared" si="15"/>
        <v>283005</v>
      </c>
      <c r="F518" s="11">
        <v>420</v>
      </c>
      <c r="G518" s="11" t="s">
        <v>11</v>
      </c>
      <c r="H518" s="3">
        <v>38552</v>
      </c>
      <c r="K518" s="11"/>
      <c r="L518" s="11"/>
      <c r="M518" s="11"/>
      <c r="N518" s="11"/>
      <c r="P518" s="11"/>
      <c r="Q518" s="11"/>
      <c r="R518" s="3"/>
    </row>
    <row r="519" spans="1:18" x14ac:dyDescent="0.2">
      <c r="A519" s="11">
        <v>283</v>
      </c>
      <c r="B519" s="11">
        <v>1</v>
      </c>
      <c r="C519" s="11" t="s">
        <v>127</v>
      </c>
      <c r="D519" s="11">
        <f t="shared" si="14"/>
        <v>6</v>
      </c>
      <c r="E519">
        <f t="shared" si="15"/>
        <v>283006</v>
      </c>
      <c r="F519" s="11">
        <v>433</v>
      </c>
      <c r="G519" s="11" t="s">
        <v>30</v>
      </c>
      <c r="H519" s="3">
        <v>15187.35</v>
      </c>
      <c r="K519" s="11"/>
      <c r="L519" s="11"/>
      <c r="M519" s="11"/>
      <c r="N519" s="11"/>
      <c r="P519" s="11"/>
      <c r="Q519" s="11"/>
      <c r="R519" s="3"/>
    </row>
    <row r="520" spans="1:18" x14ac:dyDescent="0.2">
      <c r="A520" s="11">
        <v>283</v>
      </c>
      <c r="B520" s="11">
        <v>1</v>
      </c>
      <c r="C520" s="11" t="s">
        <v>127</v>
      </c>
      <c r="D520" s="11">
        <f t="shared" si="14"/>
        <v>7</v>
      </c>
      <c r="E520">
        <f t="shared" si="15"/>
        <v>283007</v>
      </c>
      <c r="F520" s="11">
        <v>437</v>
      </c>
      <c r="G520" s="11" t="s">
        <v>14</v>
      </c>
      <c r="H520" s="3">
        <v>1290</v>
      </c>
      <c r="K520" s="11"/>
      <c r="L520" s="11"/>
      <c r="M520" s="11"/>
      <c r="N520" s="11"/>
      <c r="P520" s="11"/>
      <c r="Q520" s="11"/>
      <c r="R520" s="3"/>
    </row>
    <row r="521" spans="1:18" x14ac:dyDescent="0.2">
      <c r="A521" s="11">
        <v>283</v>
      </c>
      <c r="B521" s="11">
        <v>1</v>
      </c>
      <c r="C521" s="11" t="s">
        <v>127</v>
      </c>
      <c r="D521" s="11">
        <f t="shared" si="14"/>
        <v>8</v>
      </c>
      <c r="E521">
        <f t="shared" si="15"/>
        <v>283008</v>
      </c>
      <c r="F521" s="11">
        <v>470</v>
      </c>
      <c r="G521" s="11" t="s">
        <v>6</v>
      </c>
      <c r="H521" s="3">
        <v>313986.05</v>
      </c>
      <c r="K521" s="11"/>
      <c r="L521" s="11"/>
      <c r="M521" s="11"/>
      <c r="N521" s="11"/>
      <c r="P521" s="11"/>
      <c r="Q521" s="11"/>
      <c r="R521" s="3"/>
    </row>
    <row r="522" spans="1:18" x14ac:dyDescent="0.2">
      <c r="A522" s="11">
        <v>283</v>
      </c>
      <c r="B522" s="11">
        <v>1</v>
      </c>
      <c r="C522" s="11" t="s">
        <v>127</v>
      </c>
      <c r="D522" s="11">
        <f t="shared" si="14"/>
        <v>9</v>
      </c>
      <c r="E522">
        <f t="shared" si="15"/>
        <v>283009</v>
      </c>
      <c r="F522" s="11">
        <v>478</v>
      </c>
      <c r="G522" s="11" t="s">
        <v>18</v>
      </c>
      <c r="H522" s="3">
        <v>30000</v>
      </c>
      <c r="K522" s="11"/>
      <c r="L522" s="11"/>
      <c r="M522" s="11"/>
      <c r="N522" s="11"/>
      <c r="P522" s="11"/>
      <c r="Q522" s="11"/>
      <c r="R522" s="3"/>
    </row>
    <row r="523" spans="1:18" x14ac:dyDescent="0.2">
      <c r="A523" s="11">
        <v>283</v>
      </c>
      <c r="B523" s="11">
        <v>1</v>
      </c>
      <c r="C523" s="11" t="s">
        <v>127</v>
      </c>
      <c r="D523" s="11">
        <f t="shared" si="14"/>
        <v>10</v>
      </c>
      <c r="E523">
        <f t="shared" si="15"/>
        <v>283010</v>
      </c>
      <c r="F523" s="11">
        <v>480</v>
      </c>
      <c r="G523" s="11" t="s">
        <v>19</v>
      </c>
      <c r="H523" s="3">
        <v>1268775.69</v>
      </c>
      <c r="K523" s="11"/>
      <c r="L523" s="11"/>
      <c r="M523" s="11"/>
      <c r="N523" s="11"/>
      <c r="P523" s="11"/>
      <c r="Q523" s="11"/>
      <c r="R523" s="3"/>
    </row>
    <row r="524" spans="1:18" x14ac:dyDescent="0.2">
      <c r="A524" s="11">
        <v>283</v>
      </c>
      <c r="B524" s="11">
        <v>1</v>
      </c>
      <c r="C524" s="11" t="s">
        <v>127</v>
      </c>
      <c r="D524" s="11">
        <f t="shared" si="14"/>
        <v>11</v>
      </c>
      <c r="E524">
        <f t="shared" si="15"/>
        <v>283011</v>
      </c>
      <c r="F524" s="11">
        <v>484</v>
      </c>
      <c r="G524" s="11" t="s">
        <v>20</v>
      </c>
      <c r="H524" s="3">
        <v>51956.85</v>
      </c>
      <c r="K524" s="11"/>
      <c r="L524" s="11"/>
      <c r="M524" s="11"/>
      <c r="N524" s="11"/>
      <c r="P524" s="11"/>
      <c r="Q524" s="11"/>
      <c r="R524" s="3"/>
    </row>
    <row r="525" spans="1:18" x14ac:dyDescent="0.2">
      <c r="A525" s="11">
        <v>283</v>
      </c>
      <c r="B525" s="11">
        <v>1</v>
      </c>
      <c r="C525" s="11" t="s">
        <v>127</v>
      </c>
      <c r="D525" s="11">
        <f t="shared" si="14"/>
        <v>12</v>
      </c>
      <c r="E525">
        <f t="shared" si="15"/>
        <v>283012</v>
      </c>
      <c r="F525" s="11">
        <v>486</v>
      </c>
      <c r="G525" s="11" t="s">
        <v>21</v>
      </c>
      <c r="H525" s="3">
        <v>59593.2</v>
      </c>
      <c r="K525" s="11"/>
      <c r="L525" s="11"/>
      <c r="M525" s="11"/>
      <c r="N525" s="11"/>
      <c r="P525" s="11"/>
      <c r="Q525" s="11"/>
      <c r="R525" s="3"/>
    </row>
    <row r="526" spans="1:18" x14ac:dyDescent="0.2">
      <c r="A526" s="11">
        <v>283</v>
      </c>
      <c r="B526" s="11">
        <v>1</v>
      </c>
      <c r="C526" s="11" t="s">
        <v>127</v>
      </c>
      <c r="D526" s="11">
        <f t="shared" si="14"/>
        <v>13</v>
      </c>
      <c r="E526">
        <f t="shared" si="15"/>
        <v>283013</v>
      </c>
      <c r="F526" s="11">
        <v>853</v>
      </c>
      <c r="G526" s="11" t="s">
        <v>38</v>
      </c>
      <c r="H526" s="3">
        <v>149960</v>
      </c>
      <c r="K526" s="11"/>
      <c r="L526" s="11"/>
      <c r="M526" s="11"/>
      <c r="N526" s="11"/>
      <c r="P526" s="11"/>
      <c r="Q526" s="11"/>
      <c r="R526" s="3"/>
    </row>
    <row r="527" spans="1:18" x14ac:dyDescent="0.2">
      <c r="A527" s="11">
        <v>284</v>
      </c>
      <c r="B527" s="11">
        <v>1</v>
      </c>
      <c r="C527" s="11" t="s">
        <v>128</v>
      </c>
      <c r="D527" s="11">
        <f t="shared" ref="D527:D590" si="16">IF(A527=A526,D526+1,1)</f>
        <v>1</v>
      </c>
      <c r="E527">
        <f t="shared" ref="E527:E590" si="17">1000*A527+D527</f>
        <v>284001</v>
      </c>
      <c r="F527" s="11">
        <v>151</v>
      </c>
      <c r="G527" s="11" t="s">
        <v>28</v>
      </c>
      <c r="H527" s="3">
        <v>3849712.01</v>
      </c>
      <c r="K527" s="11"/>
      <c r="L527" s="11"/>
      <c r="M527" s="11"/>
      <c r="N527" s="11"/>
      <c r="P527" s="11"/>
      <c r="Q527" s="11"/>
      <c r="R527" s="3"/>
    </row>
    <row r="528" spans="1:18" x14ac:dyDescent="0.2">
      <c r="A528" s="11">
        <v>284</v>
      </c>
      <c r="B528" s="11">
        <v>1</v>
      </c>
      <c r="C528" s="11" t="s">
        <v>128</v>
      </c>
      <c r="D528" s="11">
        <f t="shared" si="16"/>
        <v>2</v>
      </c>
      <c r="E528">
        <f t="shared" si="17"/>
        <v>284002</v>
      </c>
      <c r="F528" s="11">
        <v>401</v>
      </c>
      <c r="G528" s="11" t="s">
        <v>29</v>
      </c>
      <c r="H528" s="3">
        <v>309307.40000000002</v>
      </c>
      <c r="K528" s="11"/>
      <c r="L528" s="11"/>
      <c r="M528" s="11"/>
      <c r="N528" s="11"/>
      <c r="P528" s="11"/>
      <c r="Q528" s="11"/>
      <c r="R528" s="3"/>
    </row>
    <row r="529" spans="1:18" x14ac:dyDescent="0.2">
      <c r="A529" s="11">
        <v>284</v>
      </c>
      <c r="B529" s="11">
        <v>1</v>
      </c>
      <c r="C529" s="11" t="s">
        <v>128</v>
      </c>
      <c r="D529" s="11">
        <f t="shared" si="16"/>
        <v>3</v>
      </c>
      <c r="E529">
        <f t="shared" si="17"/>
        <v>284003</v>
      </c>
      <c r="F529" s="11">
        <v>414</v>
      </c>
      <c r="G529" s="11" t="s">
        <v>9</v>
      </c>
      <c r="H529" s="3">
        <v>200022.83</v>
      </c>
      <c r="K529" s="11"/>
      <c r="L529" s="11"/>
      <c r="M529" s="11"/>
      <c r="N529" s="11"/>
      <c r="P529" s="11"/>
      <c r="Q529" s="11"/>
      <c r="R529" s="3"/>
    </row>
    <row r="530" spans="1:18" x14ac:dyDescent="0.2">
      <c r="A530" s="11">
        <v>284</v>
      </c>
      <c r="B530" s="11">
        <v>1</v>
      </c>
      <c r="C530" s="11" t="s">
        <v>128</v>
      </c>
      <c r="D530" s="11">
        <f t="shared" si="16"/>
        <v>4</v>
      </c>
      <c r="E530">
        <f t="shared" si="17"/>
        <v>284004</v>
      </c>
      <c r="F530" s="11">
        <v>417</v>
      </c>
      <c r="G530" s="11" t="s">
        <v>34</v>
      </c>
      <c r="H530" s="3">
        <v>27635.97</v>
      </c>
      <c r="K530" s="11"/>
      <c r="L530" s="11"/>
      <c r="M530" s="11"/>
      <c r="N530" s="11"/>
      <c r="P530" s="11"/>
      <c r="Q530" s="11"/>
      <c r="R530" s="3"/>
    </row>
    <row r="531" spans="1:18" x14ac:dyDescent="0.2">
      <c r="A531" s="11">
        <v>284</v>
      </c>
      <c r="B531" s="11">
        <v>1</v>
      </c>
      <c r="C531" s="11" t="s">
        <v>128</v>
      </c>
      <c r="D531" s="11">
        <f t="shared" si="16"/>
        <v>5</v>
      </c>
      <c r="E531">
        <f t="shared" si="17"/>
        <v>284005</v>
      </c>
      <c r="F531" s="11">
        <v>419</v>
      </c>
      <c r="G531" s="11" t="s">
        <v>10</v>
      </c>
      <c r="H531" s="3">
        <v>1739012.28</v>
      </c>
      <c r="K531" s="11"/>
      <c r="L531" s="11"/>
      <c r="M531" s="11"/>
      <c r="N531" s="11"/>
      <c r="P531" s="11"/>
      <c r="Q531" s="11"/>
      <c r="R531" s="3"/>
    </row>
    <row r="532" spans="1:18" x14ac:dyDescent="0.2">
      <c r="A532" s="11">
        <v>284</v>
      </c>
      <c r="B532" s="11">
        <v>1</v>
      </c>
      <c r="C532" s="11" t="s">
        <v>128</v>
      </c>
      <c r="D532" s="11">
        <f t="shared" si="16"/>
        <v>6</v>
      </c>
      <c r="E532">
        <f t="shared" si="17"/>
        <v>284006</v>
      </c>
      <c r="F532" s="11">
        <v>420</v>
      </c>
      <c r="G532" s="11" t="s">
        <v>11</v>
      </c>
      <c r="H532" s="3">
        <v>52875.17</v>
      </c>
      <c r="K532" s="11"/>
      <c r="L532" s="11"/>
      <c r="M532" s="11"/>
      <c r="N532" s="11"/>
      <c r="P532" s="11"/>
      <c r="Q532" s="11"/>
      <c r="R532" s="3"/>
    </row>
    <row r="533" spans="1:18" x14ac:dyDescent="0.2">
      <c r="A533" s="11">
        <v>284</v>
      </c>
      <c r="B533" s="11">
        <v>1</v>
      </c>
      <c r="C533" s="11" t="s">
        <v>128</v>
      </c>
      <c r="D533" s="11">
        <f t="shared" si="16"/>
        <v>7</v>
      </c>
      <c r="E533">
        <f t="shared" si="17"/>
        <v>284007</v>
      </c>
      <c r="F533" s="11">
        <v>422</v>
      </c>
      <c r="G533" s="11" t="s">
        <v>12</v>
      </c>
      <c r="H533" s="3">
        <v>195809.07</v>
      </c>
      <c r="K533" s="11"/>
      <c r="L533" s="11"/>
      <c r="M533" s="11"/>
      <c r="N533" s="11"/>
      <c r="P533" s="11"/>
      <c r="Q533" s="11"/>
      <c r="R533" s="3"/>
    </row>
    <row r="534" spans="1:18" x14ac:dyDescent="0.2">
      <c r="A534" s="11">
        <v>284</v>
      </c>
      <c r="B534" s="11">
        <v>1</v>
      </c>
      <c r="C534" s="11" t="s">
        <v>128</v>
      </c>
      <c r="D534" s="11">
        <f t="shared" si="16"/>
        <v>8</v>
      </c>
      <c r="E534">
        <f t="shared" si="17"/>
        <v>284008</v>
      </c>
      <c r="F534" s="11">
        <v>428</v>
      </c>
      <c r="G534" s="11" t="s">
        <v>13</v>
      </c>
      <c r="H534" s="3">
        <v>545844.63</v>
      </c>
      <c r="K534" s="11"/>
      <c r="L534" s="11"/>
      <c r="M534" s="11"/>
      <c r="N534" s="11"/>
      <c r="P534" s="11"/>
      <c r="Q534" s="11"/>
      <c r="R534" s="3"/>
    </row>
    <row r="535" spans="1:18" x14ac:dyDescent="0.2">
      <c r="A535" s="11">
        <v>284</v>
      </c>
      <c r="B535" s="11">
        <v>1</v>
      </c>
      <c r="C535" s="11" t="s">
        <v>128</v>
      </c>
      <c r="D535" s="11">
        <f t="shared" si="16"/>
        <v>9</v>
      </c>
      <c r="E535">
        <f t="shared" si="17"/>
        <v>284009</v>
      </c>
      <c r="F535" s="11">
        <v>433</v>
      </c>
      <c r="G535" s="11" t="s">
        <v>30</v>
      </c>
      <c r="H535" s="3">
        <v>19517.400000000001</v>
      </c>
      <c r="K535" s="11"/>
      <c r="L535" s="11"/>
      <c r="M535" s="11"/>
      <c r="N535" s="11"/>
      <c r="P535" s="11"/>
      <c r="Q535" s="11"/>
      <c r="R535" s="3"/>
    </row>
    <row r="536" spans="1:18" x14ac:dyDescent="0.2">
      <c r="A536" s="11">
        <v>284</v>
      </c>
      <c r="B536" s="11">
        <v>1</v>
      </c>
      <c r="C536" s="11" t="s">
        <v>128</v>
      </c>
      <c r="D536" s="11">
        <f t="shared" si="16"/>
        <v>10</v>
      </c>
      <c r="E536">
        <f t="shared" si="17"/>
        <v>284010</v>
      </c>
      <c r="F536" s="11">
        <v>437</v>
      </c>
      <c r="G536" s="11" t="s">
        <v>14</v>
      </c>
      <c r="H536" s="3">
        <v>1680</v>
      </c>
      <c r="K536" s="11"/>
      <c r="L536" s="11"/>
      <c r="M536" s="11"/>
      <c r="N536" s="11"/>
      <c r="P536" s="11"/>
      <c r="Q536" s="11"/>
      <c r="R536" s="3"/>
    </row>
    <row r="537" spans="1:18" x14ac:dyDescent="0.2">
      <c r="A537" s="11">
        <v>284</v>
      </c>
      <c r="B537" s="11">
        <v>1</v>
      </c>
      <c r="C537" s="11" t="s">
        <v>128</v>
      </c>
      <c r="D537" s="11">
        <f t="shared" si="16"/>
        <v>11</v>
      </c>
      <c r="E537">
        <f t="shared" si="17"/>
        <v>284011</v>
      </c>
      <c r="F537" s="11">
        <v>441</v>
      </c>
      <c r="G537" s="11" t="s">
        <v>16</v>
      </c>
      <c r="H537" s="3">
        <v>11725</v>
      </c>
      <c r="K537" s="11"/>
      <c r="L537" s="11"/>
      <c r="M537" s="11"/>
      <c r="N537" s="11"/>
      <c r="P537" s="11"/>
      <c r="Q537" s="11"/>
      <c r="R537" s="3"/>
    </row>
    <row r="538" spans="1:18" x14ac:dyDescent="0.2">
      <c r="A538" s="11">
        <v>284</v>
      </c>
      <c r="B538" s="11">
        <v>1</v>
      </c>
      <c r="C538" s="11" t="s">
        <v>128</v>
      </c>
      <c r="D538" s="11">
        <f t="shared" si="16"/>
        <v>12</v>
      </c>
      <c r="E538">
        <f t="shared" si="17"/>
        <v>284012</v>
      </c>
      <c r="F538" s="11">
        <v>480</v>
      </c>
      <c r="G538" s="11" t="s">
        <v>19</v>
      </c>
      <c r="H538" s="3">
        <v>2241449.59</v>
      </c>
      <c r="K538" s="11"/>
      <c r="L538" s="11"/>
      <c r="M538" s="11"/>
      <c r="N538" s="11"/>
      <c r="P538" s="11"/>
      <c r="Q538" s="11"/>
      <c r="R538" s="3"/>
    </row>
    <row r="539" spans="1:18" x14ac:dyDescent="0.2">
      <c r="A539" s="11">
        <v>284</v>
      </c>
      <c r="B539" s="11">
        <v>1</v>
      </c>
      <c r="C539" s="11" t="s">
        <v>128</v>
      </c>
      <c r="D539" s="11">
        <f t="shared" si="16"/>
        <v>13</v>
      </c>
      <c r="E539">
        <f t="shared" si="17"/>
        <v>284013</v>
      </c>
      <c r="F539" s="11">
        <v>484</v>
      </c>
      <c r="G539" s="11" t="s">
        <v>20</v>
      </c>
      <c r="H539" s="3">
        <v>91769.35</v>
      </c>
      <c r="K539" s="11"/>
      <c r="L539" s="11"/>
      <c r="M539" s="11"/>
      <c r="N539" s="11"/>
      <c r="P539" s="11"/>
      <c r="Q539" s="11"/>
      <c r="R539" s="3"/>
    </row>
    <row r="540" spans="1:18" x14ac:dyDescent="0.2">
      <c r="A540" s="11">
        <v>286</v>
      </c>
      <c r="B540" s="11">
        <v>1</v>
      </c>
      <c r="C540" s="11" t="s">
        <v>129</v>
      </c>
      <c r="D540" s="11">
        <f t="shared" si="16"/>
        <v>1</v>
      </c>
      <c r="E540">
        <f t="shared" si="17"/>
        <v>286001</v>
      </c>
      <c r="F540" s="11">
        <v>433</v>
      </c>
      <c r="G540" s="11" t="s">
        <v>30</v>
      </c>
      <c r="H540" s="3">
        <v>7232.2</v>
      </c>
      <c r="K540" s="11"/>
      <c r="L540" s="11"/>
      <c r="M540" s="11"/>
      <c r="N540" s="11"/>
      <c r="P540" s="11"/>
      <c r="Q540" s="11"/>
      <c r="R540" s="3"/>
    </row>
    <row r="541" spans="1:18" x14ac:dyDescent="0.2">
      <c r="A541" s="11">
        <v>286</v>
      </c>
      <c r="B541" s="11">
        <v>1</v>
      </c>
      <c r="C541" s="11" t="s">
        <v>129</v>
      </c>
      <c r="D541" s="11">
        <f t="shared" si="16"/>
        <v>2</v>
      </c>
      <c r="E541">
        <f t="shared" si="17"/>
        <v>286002</v>
      </c>
      <c r="F541" s="11">
        <v>470</v>
      </c>
      <c r="G541" s="11" t="s">
        <v>6</v>
      </c>
      <c r="H541" s="3">
        <v>216134.11</v>
      </c>
      <c r="K541" s="11"/>
      <c r="L541" s="11"/>
      <c r="M541" s="11"/>
      <c r="N541" s="11"/>
      <c r="P541" s="11"/>
      <c r="Q541" s="11"/>
      <c r="R541" s="3"/>
    </row>
    <row r="542" spans="1:18" x14ac:dyDescent="0.2">
      <c r="A542" s="11">
        <v>286</v>
      </c>
      <c r="B542" s="11">
        <v>1</v>
      </c>
      <c r="C542" s="11" t="s">
        <v>129</v>
      </c>
      <c r="D542" s="11">
        <f t="shared" si="16"/>
        <v>3</v>
      </c>
      <c r="E542">
        <f t="shared" si="17"/>
        <v>286003</v>
      </c>
      <c r="F542" s="11">
        <v>484</v>
      </c>
      <c r="G542" s="11" t="s">
        <v>20</v>
      </c>
      <c r="H542" s="3">
        <v>19606.919999999998</v>
      </c>
      <c r="K542" s="11"/>
      <c r="L542" s="11"/>
      <c r="M542" s="11"/>
      <c r="N542" s="11"/>
      <c r="P542" s="11"/>
      <c r="Q542" s="11"/>
      <c r="R542" s="3"/>
    </row>
    <row r="543" spans="1:18" x14ac:dyDescent="0.2">
      <c r="A543" s="11">
        <v>287</v>
      </c>
      <c r="B543" s="11">
        <v>6</v>
      </c>
      <c r="C543" s="11" t="s">
        <v>130</v>
      </c>
      <c r="D543" s="11">
        <f t="shared" si="16"/>
        <v>1</v>
      </c>
      <c r="E543">
        <f t="shared" si="17"/>
        <v>287001</v>
      </c>
      <c r="F543" s="11">
        <v>414</v>
      </c>
      <c r="G543" s="11" t="s">
        <v>9</v>
      </c>
      <c r="H543" s="3">
        <v>8315.57</v>
      </c>
      <c r="K543" s="11"/>
      <c r="L543" s="11"/>
      <c r="M543" s="11"/>
      <c r="N543" s="11"/>
      <c r="P543" s="11"/>
      <c r="Q543" s="11"/>
      <c r="R543" s="3"/>
    </row>
    <row r="544" spans="1:18" x14ac:dyDescent="0.2">
      <c r="A544" s="11">
        <v>287</v>
      </c>
      <c r="B544" s="11">
        <v>6</v>
      </c>
      <c r="C544" s="11" t="s">
        <v>130</v>
      </c>
      <c r="D544" s="11">
        <f t="shared" si="16"/>
        <v>2</v>
      </c>
      <c r="E544">
        <f t="shared" si="17"/>
        <v>287002</v>
      </c>
      <c r="F544" s="11">
        <v>417</v>
      </c>
      <c r="G544" s="11" t="s">
        <v>34</v>
      </c>
      <c r="H544" s="3">
        <v>28469.8</v>
      </c>
      <c r="K544" s="11"/>
      <c r="L544" s="11"/>
      <c r="M544" s="11"/>
      <c r="N544" s="11"/>
      <c r="P544" s="11"/>
      <c r="Q544" s="11"/>
      <c r="R544" s="3"/>
    </row>
    <row r="545" spans="1:18" x14ac:dyDescent="0.2">
      <c r="A545" s="11">
        <v>287</v>
      </c>
      <c r="B545" s="11">
        <v>6</v>
      </c>
      <c r="C545" s="11" t="s">
        <v>130</v>
      </c>
      <c r="D545" s="11">
        <f t="shared" si="16"/>
        <v>3</v>
      </c>
      <c r="E545">
        <f t="shared" si="17"/>
        <v>287003</v>
      </c>
      <c r="F545" s="11">
        <v>419</v>
      </c>
      <c r="G545" s="11" t="s">
        <v>10</v>
      </c>
      <c r="H545" s="3">
        <v>13620</v>
      </c>
      <c r="K545" s="11"/>
      <c r="L545" s="11"/>
      <c r="M545" s="11"/>
      <c r="N545" s="11"/>
      <c r="P545" s="11"/>
      <c r="Q545" s="11"/>
      <c r="R545" s="3"/>
    </row>
    <row r="546" spans="1:18" x14ac:dyDescent="0.2">
      <c r="A546" s="11">
        <v>287</v>
      </c>
      <c r="B546" s="11">
        <v>6</v>
      </c>
      <c r="C546" s="11" t="s">
        <v>130</v>
      </c>
      <c r="D546" s="11">
        <f t="shared" si="16"/>
        <v>4</v>
      </c>
      <c r="E546">
        <f t="shared" si="17"/>
        <v>287004</v>
      </c>
      <c r="F546" s="11">
        <v>433</v>
      </c>
      <c r="G546" s="11" t="s">
        <v>30</v>
      </c>
      <c r="H546" s="3">
        <v>2155.4899999999998</v>
      </c>
      <c r="K546" s="11"/>
      <c r="L546" s="11"/>
      <c r="M546" s="11"/>
      <c r="N546" s="11"/>
      <c r="P546" s="11"/>
      <c r="Q546" s="11"/>
      <c r="R546" s="3"/>
    </row>
    <row r="547" spans="1:18" x14ac:dyDescent="0.2">
      <c r="A547" s="11">
        <v>287</v>
      </c>
      <c r="B547" s="11">
        <v>6</v>
      </c>
      <c r="C547" s="11" t="s">
        <v>130</v>
      </c>
      <c r="D547" s="11">
        <f t="shared" si="16"/>
        <v>5</v>
      </c>
      <c r="E547">
        <f t="shared" si="17"/>
        <v>287005</v>
      </c>
      <c r="F547" s="11">
        <v>825</v>
      </c>
      <c r="G547" s="11" t="s">
        <v>131</v>
      </c>
      <c r="H547" s="3">
        <v>19756</v>
      </c>
      <c r="K547" s="11"/>
      <c r="L547" s="11"/>
      <c r="M547" s="11"/>
      <c r="N547" s="11"/>
      <c r="P547" s="11"/>
      <c r="Q547" s="11"/>
      <c r="R547" s="3"/>
    </row>
    <row r="548" spans="1:18" x14ac:dyDescent="0.2">
      <c r="A548" s="11">
        <v>287</v>
      </c>
      <c r="B548" s="11">
        <v>6</v>
      </c>
      <c r="C548" s="11" t="s">
        <v>130</v>
      </c>
      <c r="D548" s="11">
        <f t="shared" si="16"/>
        <v>6</v>
      </c>
      <c r="E548">
        <f t="shared" si="17"/>
        <v>287006</v>
      </c>
      <c r="F548" s="11">
        <v>862</v>
      </c>
      <c r="G548" s="11" t="s">
        <v>132</v>
      </c>
      <c r="H548" s="3">
        <v>650043</v>
      </c>
      <c r="K548" s="11"/>
      <c r="L548" s="11"/>
      <c r="M548" s="11"/>
      <c r="N548" s="11"/>
      <c r="P548" s="11"/>
      <c r="Q548" s="11"/>
      <c r="R548" s="3"/>
    </row>
    <row r="549" spans="1:18" x14ac:dyDescent="0.2">
      <c r="A549" s="11">
        <v>294</v>
      </c>
      <c r="B549" s="11">
        <v>1</v>
      </c>
      <c r="C549" s="11" t="s">
        <v>133</v>
      </c>
      <c r="D549" s="11">
        <f t="shared" si="16"/>
        <v>1</v>
      </c>
      <c r="E549">
        <f t="shared" si="17"/>
        <v>294001</v>
      </c>
      <c r="F549" s="11">
        <v>151</v>
      </c>
      <c r="G549" s="11" t="s">
        <v>28</v>
      </c>
      <c r="H549" s="3">
        <v>513149.84</v>
      </c>
      <c r="K549" s="11"/>
      <c r="L549" s="11"/>
      <c r="M549" s="11"/>
      <c r="N549" s="11"/>
      <c r="P549" s="11"/>
      <c r="Q549" s="11"/>
      <c r="R549" s="3"/>
    </row>
    <row r="550" spans="1:18" x14ac:dyDescent="0.2">
      <c r="A550" s="11">
        <v>294</v>
      </c>
      <c r="B550" s="11">
        <v>1</v>
      </c>
      <c r="C550" s="11" t="s">
        <v>133</v>
      </c>
      <c r="D550" s="11">
        <f t="shared" si="16"/>
        <v>2</v>
      </c>
      <c r="E550">
        <f t="shared" si="17"/>
        <v>294002</v>
      </c>
      <c r="F550" s="11">
        <v>401</v>
      </c>
      <c r="G550" s="11" t="s">
        <v>29</v>
      </c>
      <c r="H550" s="3">
        <v>60391.31</v>
      </c>
      <c r="K550" s="11"/>
      <c r="L550" s="11"/>
      <c r="M550" s="11"/>
      <c r="N550" s="11"/>
      <c r="P550" s="11"/>
      <c r="Q550" s="11"/>
      <c r="R550" s="3"/>
    </row>
    <row r="551" spans="1:18" x14ac:dyDescent="0.2">
      <c r="A551" s="11">
        <v>294</v>
      </c>
      <c r="B551" s="11">
        <v>1</v>
      </c>
      <c r="C551" s="11" t="s">
        <v>133</v>
      </c>
      <c r="D551" s="11">
        <f t="shared" si="16"/>
        <v>3</v>
      </c>
      <c r="E551">
        <f t="shared" si="17"/>
        <v>294003</v>
      </c>
      <c r="F551" s="11">
        <v>414</v>
      </c>
      <c r="G551" s="11" t="s">
        <v>9</v>
      </c>
      <c r="H551" s="3">
        <v>28230.62</v>
      </c>
      <c r="K551" s="11"/>
      <c r="L551" s="11"/>
      <c r="M551" s="11"/>
      <c r="N551" s="11"/>
      <c r="P551" s="11"/>
      <c r="Q551" s="11"/>
      <c r="R551" s="3"/>
    </row>
    <row r="552" spans="1:18" x14ac:dyDescent="0.2">
      <c r="A552" s="11">
        <v>294</v>
      </c>
      <c r="B552" s="11">
        <v>1</v>
      </c>
      <c r="C552" s="11" t="s">
        <v>133</v>
      </c>
      <c r="D552" s="11">
        <f t="shared" si="16"/>
        <v>4</v>
      </c>
      <c r="E552">
        <f t="shared" si="17"/>
        <v>294004</v>
      </c>
      <c r="F552" s="11">
        <v>433</v>
      </c>
      <c r="G552" s="11" t="s">
        <v>30</v>
      </c>
      <c r="H552" s="3">
        <v>2717.46</v>
      </c>
      <c r="K552" s="11"/>
      <c r="L552" s="11"/>
      <c r="M552" s="11"/>
      <c r="N552" s="11"/>
      <c r="P552" s="11"/>
      <c r="Q552" s="11"/>
      <c r="R552" s="3"/>
    </row>
    <row r="553" spans="1:18" x14ac:dyDescent="0.2">
      <c r="A553" s="11">
        <v>294</v>
      </c>
      <c r="B553" s="11">
        <v>1</v>
      </c>
      <c r="C553" s="11" t="s">
        <v>133</v>
      </c>
      <c r="D553" s="11">
        <f t="shared" si="16"/>
        <v>5</v>
      </c>
      <c r="E553">
        <f t="shared" si="17"/>
        <v>294005</v>
      </c>
      <c r="F553" s="11">
        <v>470</v>
      </c>
      <c r="G553" s="11" t="s">
        <v>6</v>
      </c>
      <c r="H553" s="3">
        <v>35778.370000000003</v>
      </c>
      <c r="K553" s="11"/>
      <c r="L553" s="11"/>
      <c r="M553" s="11"/>
      <c r="N553" s="11"/>
      <c r="P553" s="11"/>
      <c r="Q553" s="11"/>
      <c r="R553" s="3"/>
    </row>
    <row r="554" spans="1:18" x14ac:dyDescent="0.2">
      <c r="A554" s="11">
        <v>297</v>
      </c>
      <c r="B554" s="11">
        <v>1</v>
      </c>
      <c r="C554" s="11" t="s">
        <v>134</v>
      </c>
      <c r="D554" s="11">
        <f t="shared" si="16"/>
        <v>1</v>
      </c>
      <c r="E554">
        <f t="shared" si="17"/>
        <v>297001</v>
      </c>
      <c r="F554" s="11">
        <v>401</v>
      </c>
      <c r="G554" s="11" t="s">
        <v>29</v>
      </c>
      <c r="H554" s="3">
        <v>34047.550000000003</v>
      </c>
      <c r="K554" s="11"/>
      <c r="L554" s="11"/>
      <c r="M554" s="11"/>
      <c r="N554" s="11"/>
      <c r="P554" s="11"/>
      <c r="Q554" s="11"/>
      <c r="R554" s="3"/>
    </row>
    <row r="555" spans="1:18" x14ac:dyDescent="0.2">
      <c r="A555" s="11">
        <v>297</v>
      </c>
      <c r="B555" s="11">
        <v>1</v>
      </c>
      <c r="C555" s="11" t="s">
        <v>134</v>
      </c>
      <c r="D555" s="11">
        <f t="shared" si="16"/>
        <v>2</v>
      </c>
      <c r="E555">
        <f t="shared" si="17"/>
        <v>297002</v>
      </c>
      <c r="F555" s="11">
        <v>414</v>
      </c>
      <c r="G555" s="11" t="s">
        <v>9</v>
      </c>
      <c r="H555" s="3">
        <v>13916.22</v>
      </c>
      <c r="K555" s="11"/>
      <c r="L555" s="11"/>
      <c r="M555" s="11"/>
      <c r="N555" s="11"/>
      <c r="P555" s="11"/>
      <c r="Q555" s="11"/>
      <c r="R555" s="3"/>
    </row>
    <row r="556" spans="1:18" x14ac:dyDescent="0.2">
      <c r="A556" s="11">
        <v>297</v>
      </c>
      <c r="B556" s="11">
        <v>1</v>
      </c>
      <c r="C556" s="11" t="s">
        <v>134</v>
      </c>
      <c r="D556" s="11">
        <f t="shared" si="16"/>
        <v>3</v>
      </c>
      <c r="E556">
        <f t="shared" si="17"/>
        <v>297003</v>
      </c>
      <c r="F556" s="11">
        <v>433</v>
      </c>
      <c r="G556" s="11" t="s">
        <v>30</v>
      </c>
      <c r="H556" s="3">
        <v>884.72</v>
      </c>
      <c r="K556" s="11"/>
      <c r="L556" s="11"/>
      <c r="M556" s="11"/>
      <c r="N556" s="11"/>
      <c r="P556" s="11"/>
      <c r="Q556" s="11"/>
      <c r="R556" s="3"/>
    </row>
    <row r="557" spans="1:18" x14ac:dyDescent="0.2">
      <c r="A557" s="11">
        <v>297</v>
      </c>
      <c r="B557" s="11">
        <v>1</v>
      </c>
      <c r="C557" s="11" t="s">
        <v>134</v>
      </c>
      <c r="D557" s="11">
        <f t="shared" si="16"/>
        <v>4</v>
      </c>
      <c r="E557">
        <f t="shared" si="17"/>
        <v>297004</v>
      </c>
      <c r="F557" s="11">
        <v>470</v>
      </c>
      <c r="G557" s="11" t="s">
        <v>6</v>
      </c>
      <c r="H557" s="3">
        <v>20973.51</v>
      </c>
      <c r="K557" s="11"/>
      <c r="L557" s="11"/>
      <c r="M557" s="11"/>
      <c r="N557" s="11"/>
      <c r="P557" s="11"/>
      <c r="Q557" s="11"/>
      <c r="R557" s="3"/>
    </row>
    <row r="558" spans="1:18" x14ac:dyDescent="0.2">
      <c r="A558" s="11">
        <v>299</v>
      </c>
      <c r="B558" s="11">
        <v>1</v>
      </c>
      <c r="C558" s="11" t="s">
        <v>135</v>
      </c>
      <c r="D558" s="11">
        <f t="shared" si="16"/>
        <v>1</v>
      </c>
      <c r="E558">
        <f t="shared" si="17"/>
        <v>299001</v>
      </c>
      <c r="F558" s="11">
        <v>401</v>
      </c>
      <c r="G558" s="11" t="s">
        <v>29</v>
      </c>
      <c r="H558" s="3">
        <v>117851.48</v>
      </c>
      <c r="K558" s="11"/>
      <c r="L558" s="11"/>
      <c r="M558" s="11"/>
      <c r="N558" s="11"/>
      <c r="P558" s="11"/>
      <c r="Q558" s="11"/>
      <c r="R558" s="3"/>
    </row>
    <row r="559" spans="1:18" x14ac:dyDescent="0.2">
      <c r="A559" s="11">
        <v>299</v>
      </c>
      <c r="B559" s="11">
        <v>1</v>
      </c>
      <c r="C559" s="11" t="s">
        <v>135</v>
      </c>
      <c r="D559" s="11">
        <f t="shared" si="16"/>
        <v>2</v>
      </c>
      <c r="E559">
        <f t="shared" si="17"/>
        <v>299002</v>
      </c>
      <c r="F559" s="11">
        <v>414</v>
      </c>
      <c r="G559" s="11" t="s">
        <v>9</v>
      </c>
      <c r="H559" s="3">
        <v>43619.32</v>
      </c>
      <c r="K559" s="11"/>
      <c r="L559" s="11"/>
      <c r="M559" s="11"/>
      <c r="N559" s="11"/>
      <c r="P559" s="11"/>
      <c r="Q559" s="11"/>
      <c r="R559" s="3"/>
    </row>
    <row r="560" spans="1:18" x14ac:dyDescent="0.2">
      <c r="A560" s="11">
        <v>299</v>
      </c>
      <c r="B560" s="11">
        <v>1</v>
      </c>
      <c r="C560" s="11" t="s">
        <v>135</v>
      </c>
      <c r="D560" s="11">
        <f t="shared" si="16"/>
        <v>3</v>
      </c>
      <c r="E560">
        <f t="shared" si="17"/>
        <v>299003</v>
      </c>
      <c r="F560" s="11">
        <v>433</v>
      </c>
      <c r="G560" s="11" t="s">
        <v>30</v>
      </c>
      <c r="H560" s="3">
        <v>2836.4</v>
      </c>
      <c r="K560" s="11"/>
      <c r="L560" s="11"/>
      <c r="M560" s="11"/>
      <c r="N560" s="11"/>
      <c r="P560" s="11"/>
      <c r="Q560" s="11"/>
      <c r="R560" s="3"/>
    </row>
    <row r="561" spans="1:18" x14ac:dyDescent="0.2">
      <c r="A561" s="11">
        <v>299</v>
      </c>
      <c r="B561" s="11">
        <v>1</v>
      </c>
      <c r="C561" s="11" t="s">
        <v>135</v>
      </c>
      <c r="D561" s="11">
        <f t="shared" si="16"/>
        <v>4</v>
      </c>
      <c r="E561">
        <f t="shared" si="17"/>
        <v>299004</v>
      </c>
      <c r="F561" s="11">
        <v>438</v>
      </c>
      <c r="G561" s="11" t="s">
        <v>15</v>
      </c>
      <c r="H561" s="3">
        <v>6833.08</v>
      </c>
      <c r="K561" s="11"/>
      <c r="L561" s="11"/>
      <c r="M561" s="11"/>
      <c r="N561" s="11"/>
      <c r="P561" s="11"/>
      <c r="Q561" s="11"/>
      <c r="R561" s="3"/>
    </row>
    <row r="562" spans="1:18" x14ac:dyDescent="0.2">
      <c r="A562" s="11">
        <v>299</v>
      </c>
      <c r="B562" s="11">
        <v>1</v>
      </c>
      <c r="C562" s="11" t="s">
        <v>135</v>
      </c>
      <c r="D562" s="11">
        <f t="shared" si="16"/>
        <v>5</v>
      </c>
      <c r="E562">
        <f t="shared" si="17"/>
        <v>299005</v>
      </c>
      <c r="F562" s="11">
        <v>470</v>
      </c>
      <c r="G562" s="11" t="s">
        <v>6</v>
      </c>
      <c r="H562" s="3">
        <v>69089.259999999995</v>
      </c>
      <c r="K562" s="11"/>
      <c r="L562" s="11"/>
      <c r="M562" s="11"/>
      <c r="N562" s="11"/>
      <c r="P562" s="11"/>
      <c r="Q562" s="11"/>
      <c r="R562" s="3"/>
    </row>
    <row r="563" spans="1:18" x14ac:dyDescent="0.2">
      <c r="A563" s="11">
        <v>300</v>
      </c>
      <c r="B563" s="11">
        <v>1</v>
      </c>
      <c r="C563" s="11" t="s">
        <v>136</v>
      </c>
      <c r="D563" s="11">
        <f t="shared" si="16"/>
        <v>1</v>
      </c>
      <c r="E563">
        <f t="shared" si="17"/>
        <v>300001</v>
      </c>
      <c r="F563" s="11">
        <v>433</v>
      </c>
      <c r="G563" s="11" t="s">
        <v>30</v>
      </c>
      <c r="H563" s="3">
        <v>3439.6</v>
      </c>
      <c r="K563" s="11"/>
      <c r="L563" s="11"/>
      <c r="M563" s="11"/>
      <c r="N563" s="11"/>
      <c r="P563" s="11"/>
      <c r="Q563" s="11"/>
      <c r="R563" s="3"/>
    </row>
    <row r="564" spans="1:18" x14ac:dyDescent="0.2">
      <c r="A564" s="11">
        <v>300</v>
      </c>
      <c r="B564" s="11">
        <v>1</v>
      </c>
      <c r="C564" s="11" t="s">
        <v>136</v>
      </c>
      <c r="D564" s="11">
        <f t="shared" si="16"/>
        <v>2</v>
      </c>
      <c r="E564">
        <f t="shared" si="17"/>
        <v>300002</v>
      </c>
      <c r="F564" s="11">
        <v>470</v>
      </c>
      <c r="G564" s="11" t="s">
        <v>6</v>
      </c>
      <c r="H564" s="3">
        <v>67238.66</v>
      </c>
      <c r="K564" s="11"/>
      <c r="L564" s="11"/>
      <c r="M564" s="11"/>
      <c r="N564" s="11"/>
      <c r="P564" s="11"/>
      <c r="Q564" s="11"/>
      <c r="R564" s="3"/>
    </row>
    <row r="565" spans="1:18" x14ac:dyDescent="0.2">
      <c r="A565" s="11">
        <v>306</v>
      </c>
      <c r="B565" s="11">
        <v>1</v>
      </c>
      <c r="C565" s="11" t="s">
        <v>137</v>
      </c>
      <c r="D565" s="11">
        <f t="shared" si="16"/>
        <v>1</v>
      </c>
      <c r="E565">
        <f t="shared" si="17"/>
        <v>306001</v>
      </c>
      <c r="F565" s="11">
        <v>401</v>
      </c>
      <c r="G565" s="11" t="s">
        <v>29</v>
      </c>
      <c r="H565" s="3">
        <v>82614.559999999998</v>
      </c>
      <c r="K565" s="11"/>
      <c r="L565" s="11"/>
      <c r="M565" s="11"/>
      <c r="N565" s="11"/>
      <c r="P565" s="11"/>
      <c r="Q565" s="11"/>
      <c r="R565" s="3"/>
    </row>
    <row r="566" spans="1:18" x14ac:dyDescent="0.2">
      <c r="A566" s="11">
        <v>306</v>
      </c>
      <c r="B566" s="11">
        <v>1</v>
      </c>
      <c r="C566" s="11" t="s">
        <v>137</v>
      </c>
      <c r="D566" s="11">
        <f t="shared" si="16"/>
        <v>2</v>
      </c>
      <c r="E566">
        <f t="shared" si="17"/>
        <v>306002</v>
      </c>
      <c r="F566" s="11">
        <v>414</v>
      </c>
      <c r="G566" s="11" t="s">
        <v>9</v>
      </c>
      <c r="H566" s="3">
        <v>22308.57</v>
      </c>
      <c r="K566" s="11"/>
      <c r="L566" s="11"/>
      <c r="M566" s="11"/>
      <c r="N566" s="11"/>
      <c r="P566" s="11"/>
      <c r="Q566" s="11"/>
      <c r="R566" s="3"/>
    </row>
    <row r="567" spans="1:18" x14ac:dyDescent="0.2">
      <c r="A567" s="11">
        <v>306</v>
      </c>
      <c r="B567" s="11">
        <v>1</v>
      </c>
      <c r="C567" s="11" t="s">
        <v>137</v>
      </c>
      <c r="D567" s="11">
        <f t="shared" si="16"/>
        <v>3</v>
      </c>
      <c r="E567">
        <f t="shared" si="17"/>
        <v>306003</v>
      </c>
      <c r="F567" s="11">
        <v>433</v>
      </c>
      <c r="G567" s="11" t="s">
        <v>30</v>
      </c>
      <c r="H567" s="3">
        <v>1476.7</v>
      </c>
      <c r="K567" s="11"/>
      <c r="L567" s="11"/>
      <c r="M567" s="11"/>
      <c r="N567" s="11"/>
      <c r="P567" s="11"/>
      <c r="Q567" s="11"/>
      <c r="R567" s="3"/>
    </row>
    <row r="568" spans="1:18" x14ac:dyDescent="0.2">
      <c r="A568" s="11">
        <v>306</v>
      </c>
      <c r="B568" s="11">
        <v>1</v>
      </c>
      <c r="C568" s="11" t="s">
        <v>137</v>
      </c>
      <c r="D568" s="11">
        <f t="shared" si="16"/>
        <v>4</v>
      </c>
      <c r="E568">
        <f t="shared" si="17"/>
        <v>306004</v>
      </c>
      <c r="F568" s="11">
        <v>470</v>
      </c>
      <c r="G568" s="11" t="s">
        <v>6</v>
      </c>
      <c r="H568" s="3">
        <v>43840.3</v>
      </c>
      <c r="K568" s="11"/>
      <c r="L568" s="11"/>
      <c r="M568" s="11"/>
      <c r="N568" s="11"/>
      <c r="P568" s="11"/>
      <c r="Q568" s="11"/>
      <c r="R568" s="3"/>
    </row>
    <row r="569" spans="1:18" x14ac:dyDescent="0.2">
      <c r="A569" s="11">
        <v>308</v>
      </c>
      <c r="B569" s="11">
        <v>1</v>
      </c>
      <c r="C569" s="11" t="s">
        <v>138</v>
      </c>
      <c r="D569" s="11">
        <f t="shared" si="16"/>
        <v>1</v>
      </c>
      <c r="E569">
        <f t="shared" si="17"/>
        <v>308001</v>
      </c>
      <c r="F569" s="11">
        <v>706</v>
      </c>
      <c r="G569" s="11" t="s">
        <v>114</v>
      </c>
      <c r="H569" s="3">
        <v>20025</v>
      </c>
      <c r="K569" s="11"/>
      <c r="L569" s="11"/>
      <c r="M569" s="11"/>
      <c r="N569" s="11"/>
      <c r="P569" s="11"/>
      <c r="Q569" s="11"/>
      <c r="R569" s="3"/>
    </row>
    <row r="570" spans="1:18" x14ac:dyDescent="0.2">
      <c r="A570" s="11">
        <v>309</v>
      </c>
      <c r="B570" s="11">
        <v>1</v>
      </c>
      <c r="C570" s="11" t="s">
        <v>139</v>
      </c>
      <c r="D570" s="11">
        <f t="shared" si="16"/>
        <v>1</v>
      </c>
      <c r="E570">
        <f t="shared" si="17"/>
        <v>309001</v>
      </c>
      <c r="F570" s="11">
        <v>420</v>
      </c>
      <c r="G570" s="11" t="s">
        <v>11</v>
      </c>
      <c r="H570" s="3">
        <v>33887.64</v>
      </c>
      <c r="K570" s="11"/>
      <c r="L570" s="11"/>
      <c r="M570" s="11"/>
      <c r="N570" s="11"/>
      <c r="P570" s="11"/>
      <c r="Q570" s="11"/>
      <c r="R570" s="3"/>
    </row>
    <row r="571" spans="1:18" x14ac:dyDescent="0.2">
      <c r="A571" s="11">
        <v>309</v>
      </c>
      <c r="B571" s="11">
        <v>1</v>
      </c>
      <c r="C571" s="11" t="s">
        <v>139</v>
      </c>
      <c r="D571" s="11">
        <f t="shared" si="16"/>
        <v>2</v>
      </c>
      <c r="E571">
        <f t="shared" si="17"/>
        <v>309002</v>
      </c>
      <c r="F571" s="11">
        <v>435</v>
      </c>
      <c r="G571" s="11" t="s">
        <v>35</v>
      </c>
      <c r="H571" s="3">
        <v>6250</v>
      </c>
      <c r="K571" s="11"/>
      <c r="L571" s="11"/>
      <c r="M571" s="11"/>
      <c r="N571" s="11"/>
      <c r="P571" s="11"/>
      <c r="Q571" s="11"/>
      <c r="R571" s="3"/>
    </row>
    <row r="572" spans="1:18" x14ac:dyDescent="0.2">
      <c r="A572" s="11">
        <v>309</v>
      </c>
      <c r="B572" s="11">
        <v>1</v>
      </c>
      <c r="C572" s="11" t="s">
        <v>139</v>
      </c>
      <c r="D572" s="11">
        <f t="shared" si="16"/>
        <v>3</v>
      </c>
      <c r="E572">
        <f t="shared" si="17"/>
        <v>309003</v>
      </c>
      <c r="F572" s="11">
        <v>437</v>
      </c>
      <c r="G572" s="11" t="s">
        <v>14</v>
      </c>
      <c r="H572" s="3">
        <v>900</v>
      </c>
      <c r="K572" s="11"/>
      <c r="L572" s="11"/>
      <c r="M572" s="11"/>
      <c r="N572" s="11"/>
      <c r="P572" s="11"/>
      <c r="Q572" s="11"/>
      <c r="R572" s="3"/>
    </row>
    <row r="573" spans="1:18" x14ac:dyDescent="0.2">
      <c r="A573" s="11">
        <v>309</v>
      </c>
      <c r="B573" s="11">
        <v>1</v>
      </c>
      <c r="C573" s="11" t="s">
        <v>139</v>
      </c>
      <c r="D573" s="11">
        <f t="shared" si="16"/>
        <v>4</v>
      </c>
      <c r="E573">
        <f t="shared" si="17"/>
        <v>309004</v>
      </c>
      <c r="F573" s="11">
        <v>484</v>
      </c>
      <c r="G573" s="11" t="s">
        <v>20</v>
      </c>
      <c r="H573" s="3">
        <v>28725.07</v>
      </c>
      <c r="K573" s="11"/>
      <c r="L573" s="11"/>
      <c r="M573" s="11"/>
      <c r="N573" s="11"/>
      <c r="P573" s="11"/>
      <c r="Q573" s="11"/>
      <c r="R573" s="3"/>
    </row>
    <row r="574" spans="1:18" x14ac:dyDescent="0.2">
      <c r="A574" s="11">
        <v>309</v>
      </c>
      <c r="B574" s="11">
        <v>1</v>
      </c>
      <c r="C574" s="11" t="s">
        <v>139</v>
      </c>
      <c r="D574" s="11">
        <f t="shared" si="16"/>
        <v>5</v>
      </c>
      <c r="E574">
        <f t="shared" si="17"/>
        <v>309005</v>
      </c>
      <c r="F574" s="11">
        <v>486</v>
      </c>
      <c r="G574" s="11" t="s">
        <v>21</v>
      </c>
      <c r="H574" s="3">
        <v>16686.099999999999</v>
      </c>
      <c r="K574" s="11"/>
      <c r="L574" s="11"/>
      <c r="M574" s="11"/>
      <c r="N574" s="11"/>
      <c r="P574" s="11"/>
      <c r="Q574" s="11"/>
      <c r="R574" s="3"/>
    </row>
    <row r="575" spans="1:18" x14ac:dyDescent="0.2">
      <c r="A575" s="11">
        <v>314</v>
      </c>
      <c r="B575" s="11">
        <v>1</v>
      </c>
      <c r="C575" s="11" t="s">
        <v>140</v>
      </c>
      <c r="D575" s="11">
        <f t="shared" si="16"/>
        <v>1</v>
      </c>
      <c r="E575">
        <f t="shared" si="17"/>
        <v>314001</v>
      </c>
      <c r="F575" s="11">
        <v>151</v>
      </c>
      <c r="G575" s="11" t="s">
        <v>28</v>
      </c>
      <c r="H575" s="3">
        <v>373067.32</v>
      </c>
      <c r="K575" s="11"/>
      <c r="L575" s="11"/>
      <c r="M575" s="11"/>
      <c r="N575" s="11"/>
      <c r="P575" s="11"/>
      <c r="Q575" s="11"/>
      <c r="R575" s="3"/>
    </row>
    <row r="576" spans="1:18" x14ac:dyDescent="0.2">
      <c r="A576" s="11">
        <v>314</v>
      </c>
      <c r="B576" s="11">
        <v>1</v>
      </c>
      <c r="C576" s="11" t="s">
        <v>140</v>
      </c>
      <c r="D576" s="11">
        <f t="shared" si="16"/>
        <v>2</v>
      </c>
      <c r="E576">
        <f t="shared" si="17"/>
        <v>314002</v>
      </c>
      <c r="F576" s="11">
        <v>414</v>
      </c>
      <c r="G576" s="11" t="s">
        <v>9</v>
      </c>
      <c r="H576" s="3">
        <v>44960.12</v>
      </c>
      <c r="K576" s="11"/>
      <c r="L576" s="11"/>
      <c r="M576" s="11"/>
      <c r="N576" s="11"/>
      <c r="P576" s="11"/>
      <c r="Q576" s="11"/>
      <c r="R576" s="3"/>
    </row>
    <row r="577" spans="1:18" x14ac:dyDescent="0.2">
      <c r="A577" s="11">
        <v>314</v>
      </c>
      <c r="B577" s="11">
        <v>1</v>
      </c>
      <c r="C577" s="11" t="s">
        <v>140</v>
      </c>
      <c r="D577" s="11">
        <f t="shared" si="16"/>
        <v>3</v>
      </c>
      <c r="E577">
        <f t="shared" si="17"/>
        <v>314003</v>
      </c>
      <c r="F577" s="11">
        <v>433</v>
      </c>
      <c r="G577" s="11" t="s">
        <v>30</v>
      </c>
      <c r="H577" s="3">
        <v>2961.93</v>
      </c>
      <c r="K577" s="11"/>
      <c r="L577" s="11"/>
      <c r="M577" s="11"/>
      <c r="N577" s="11"/>
      <c r="P577" s="11"/>
      <c r="Q577" s="11"/>
      <c r="R577" s="3"/>
    </row>
    <row r="578" spans="1:18" x14ac:dyDescent="0.2">
      <c r="A578" s="11">
        <v>316</v>
      </c>
      <c r="B578" s="11">
        <v>1</v>
      </c>
      <c r="C578" s="11" t="s">
        <v>141</v>
      </c>
      <c r="D578" s="11">
        <f t="shared" si="16"/>
        <v>1</v>
      </c>
      <c r="E578">
        <f t="shared" si="17"/>
        <v>316001</v>
      </c>
      <c r="F578" s="11">
        <v>401</v>
      </c>
      <c r="G578" s="11" t="s">
        <v>29</v>
      </c>
      <c r="H578" s="3">
        <v>270953.43</v>
      </c>
      <c r="K578" s="11"/>
      <c r="L578" s="11"/>
      <c r="M578" s="11"/>
      <c r="N578" s="11"/>
      <c r="P578" s="11"/>
      <c r="Q578" s="11"/>
      <c r="R578" s="3"/>
    </row>
    <row r="579" spans="1:18" x14ac:dyDescent="0.2">
      <c r="A579" s="11">
        <v>316</v>
      </c>
      <c r="B579" s="11">
        <v>1</v>
      </c>
      <c r="C579" s="11" t="s">
        <v>141</v>
      </c>
      <c r="D579" s="11">
        <f t="shared" si="16"/>
        <v>2</v>
      </c>
      <c r="E579">
        <f t="shared" si="17"/>
        <v>316002</v>
      </c>
      <c r="F579" s="11">
        <v>414</v>
      </c>
      <c r="G579" s="11" t="s">
        <v>9</v>
      </c>
      <c r="H579" s="3">
        <v>81704.22</v>
      </c>
      <c r="K579" s="11"/>
      <c r="L579" s="11"/>
      <c r="M579" s="11"/>
      <c r="N579" s="11"/>
      <c r="P579" s="11"/>
      <c r="Q579" s="11"/>
      <c r="R579" s="3"/>
    </row>
    <row r="580" spans="1:18" x14ac:dyDescent="0.2">
      <c r="A580" s="11">
        <v>316</v>
      </c>
      <c r="B580" s="11">
        <v>1</v>
      </c>
      <c r="C580" s="11" t="s">
        <v>141</v>
      </c>
      <c r="D580" s="11">
        <f t="shared" si="16"/>
        <v>3</v>
      </c>
      <c r="E580">
        <f t="shared" si="17"/>
        <v>316003</v>
      </c>
      <c r="F580" s="11">
        <v>433</v>
      </c>
      <c r="G580" s="11" t="s">
        <v>30</v>
      </c>
      <c r="H580" s="3">
        <v>5114.3900000000003</v>
      </c>
      <c r="K580" s="11"/>
      <c r="L580" s="11"/>
      <c r="M580" s="11"/>
      <c r="N580" s="11"/>
      <c r="P580" s="11"/>
      <c r="Q580" s="11"/>
      <c r="R580" s="3"/>
    </row>
    <row r="581" spans="1:18" x14ac:dyDescent="0.2">
      <c r="A581" s="11">
        <v>316</v>
      </c>
      <c r="B581" s="11">
        <v>1</v>
      </c>
      <c r="C581" s="11" t="s">
        <v>141</v>
      </c>
      <c r="D581" s="11">
        <f t="shared" si="16"/>
        <v>4</v>
      </c>
      <c r="E581">
        <f t="shared" si="17"/>
        <v>316004</v>
      </c>
      <c r="F581" s="11">
        <v>470</v>
      </c>
      <c r="G581" s="11" t="s">
        <v>6</v>
      </c>
      <c r="H581" s="3">
        <v>121794.35</v>
      </c>
      <c r="K581" s="11"/>
      <c r="L581" s="11"/>
      <c r="M581" s="11"/>
      <c r="N581" s="11"/>
      <c r="P581" s="11"/>
      <c r="Q581" s="11"/>
      <c r="R581" s="3"/>
    </row>
    <row r="582" spans="1:18" x14ac:dyDescent="0.2">
      <c r="A582" s="11">
        <v>317</v>
      </c>
      <c r="B582" s="11">
        <v>1</v>
      </c>
      <c r="C582" s="11" t="s">
        <v>539</v>
      </c>
      <c r="D582" s="11">
        <f t="shared" si="16"/>
        <v>1</v>
      </c>
      <c r="E582">
        <f t="shared" si="17"/>
        <v>317001</v>
      </c>
      <c r="F582" s="11">
        <v>424</v>
      </c>
      <c r="G582" s="11" t="s">
        <v>48</v>
      </c>
      <c r="H582" s="3">
        <v>23275.03</v>
      </c>
      <c r="K582" s="11"/>
      <c r="L582" s="11"/>
      <c r="M582" s="11"/>
      <c r="N582" s="11"/>
      <c r="P582" s="11"/>
      <c r="Q582" s="11"/>
      <c r="R582" s="3"/>
    </row>
    <row r="583" spans="1:18" x14ac:dyDescent="0.2">
      <c r="A583" s="11">
        <v>318</v>
      </c>
      <c r="B583" s="11">
        <v>1</v>
      </c>
      <c r="C583" s="11" t="s">
        <v>142</v>
      </c>
      <c r="D583" s="11">
        <f t="shared" si="16"/>
        <v>1</v>
      </c>
      <c r="E583">
        <f t="shared" si="17"/>
        <v>318001</v>
      </c>
      <c r="F583" s="11">
        <v>406</v>
      </c>
      <c r="G583" s="11" t="s">
        <v>8</v>
      </c>
      <c r="H583" s="3">
        <v>164190.07999999999</v>
      </c>
      <c r="K583" s="11"/>
      <c r="L583" s="11"/>
      <c r="M583" s="11"/>
      <c r="N583" s="11"/>
      <c r="P583" s="11"/>
      <c r="Q583" s="11"/>
      <c r="R583" s="3"/>
    </row>
    <row r="584" spans="1:18" x14ac:dyDescent="0.2">
      <c r="A584" s="11">
        <v>318</v>
      </c>
      <c r="B584" s="11">
        <v>1</v>
      </c>
      <c r="C584" s="11" t="s">
        <v>142</v>
      </c>
      <c r="D584" s="11">
        <f t="shared" si="16"/>
        <v>2</v>
      </c>
      <c r="E584">
        <f t="shared" si="17"/>
        <v>318002</v>
      </c>
      <c r="F584" s="11">
        <v>419</v>
      </c>
      <c r="G584" s="11" t="s">
        <v>10</v>
      </c>
      <c r="H584" s="3">
        <v>628994.09</v>
      </c>
      <c r="K584" s="11"/>
      <c r="L584" s="11"/>
      <c r="M584" s="11"/>
      <c r="N584" s="11"/>
      <c r="P584" s="11"/>
      <c r="Q584" s="11"/>
      <c r="R584" s="3"/>
    </row>
    <row r="585" spans="1:18" x14ac:dyDescent="0.2">
      <c r="A585" s="11">
        <v>318</v>
      </c>
      <c r="B585" s="11">
        <v>1</v>
      </c>
      <c r="C585" s="11" t="s">
        <v>142</v>
      </c>
      <c r="D585" s="11">
        <f t="shared" si="16"/>
        <v>3</v>
      </c>
      <c r="E585">
        <f t="shared" si="17"/>
        <v>318003</v>
      </c>
      <c r="F585" s="11">
        <v>420</v>
      </c>
      <c r="G585" s="11" t="s">
        <v>11</v>
      </c>
      <c r="H585" s="3">
        <v>28392.98</v>
      </c>
      <c r="K585" s="11"/>
      <c r="L585" s="11"/>
      <c r="M585" s="11"/>
      <c r="N585" s="11"/>
      <c r="P585" s="11"/>
      <c r="Q585" s="11"/>
      <c r="R585" s="3"/>
    </row>
    <row r="586" spans="1:18" x14ac:dyDescent="0.2">
      <c r="A586" s="11">
        <v>318</v>
      </c>
      <c r="B586" s="11">
        <v>1</v>
      </c>
      <c r="C586" s="11" t="s">
        <v>142</v>
      </c>
      <c r="D586" s="11">
        <f t="shared" si="16"/>
        <v>4</v>
      </c>
      <c r="E586">
        <f t="shared" si="17"/>
        <v>318004</v>
      </c>
      <c r="F586" s="11">
        <v>422</v>
      </c>
      <c r="G586" s="11" t="s">
        <v>12</v>
      </c>
      <c r="H586" s="3">
        <v>39336.61</v>
      </c>
      <c r="K586" s="11"/>
      <c r="L586" s="11"/>
      <c r="M586" s="11"/>
      <c r="N586" s="11"/>
      <c r="P586" s="11"/>
      <c r="Q586" s="11"/>
      <c r="R586" s="3"/>
    </row>
    <row r="587" spans="1:18" x14ac:dyDescent="0.2">
      <c r="A587" s="11">
        <v>318</v>
      </c>
      <c r="B587" s="11">
        <v>1</v>
      </c>
      <c r="C587" s="11" t="s">
        <v>142</v>
      </c>
      <c r="D587" s="11">
        <f t="shared" si="16"/>
        <v>5</v>
      </c>
      <c r="E587">
        <f t="shared" si="17"/>
        <v>318005</v>
      </c>
      <c r="F587" s="11">
        <v>433</v>
      </c>
      <c r="G587" s="11" t="s">
        <v>30</v>
      </c>
      <c r="H587" s="3">
        <v>12439.01</v>
      </c>
      <c r="K587" s="11"/>
      <c r="L587" s="11"/>
      <c r="M587" s="11"/>
      <c r="N587" s="11"/>
      <c r="P587" s="11"/>
      <c r="Q587" s="11"/>
      <c r="R587" s="3"/>
    </row>
    <row r="588" spans="1:18" x14ac:dyDescent="0.2">
      <c r="A588" s="11">
        <v>318</v>
      </c>
      <c r="B588" s="11">
        <v>1</v>
      </c>
      <c r="C588" s="11" t="s">
        <v>142</v>
      </c>
      <c r="D588" s="11">
        <f t="shared" si="16"/>
        <v>6</v>
      </c>
      <c r="E588">
        <f t="shared" si="17"/>
        <v>318006</v>
      </c>
      <c r="F588" s="11">
        <v>435</v>
      </c>
      <c r="G588" s="11" t="s">
        <v>35</v>
      </c>
      <c r="H588" s="3">
        <v>5300</v>
      </c>
      <c r="K588" s="11"/>
      <c r="L588" s="11"/>
      <c r="M588" s="11"/>
      <c r="N588" s="11"/>
      <c r="P588" s="11"/>
      <c r="Q588" s="11"/>
      <c r="R588" s="3"/>
    </row>
    <row r="589" spans="1:18" x14ac:dyDescent="0.2">
      <c r="A589" s="11">
        <v>318</v>
      </c>
      <c r="B589" s="11">
        <v>1</v>
      </c>
      <c r="C589" s="11" t="s">
        <v>142</v>
      </c>
      <c r="D589" s="11">
        <f t="shared" si="16"/>
        <v>7</v>
      </c>
      <c r="E589">
        <f t="shared" si="17"/>
        <v>318007</v>
      </c>
      <c r="F589" s="11">
        <v>437</v>
      </c>
      <c r="G589" s="11" t="s">
        <v>14</v>
      </c>
      <c r="H589" s="3">
        <v>1140</v>
      </c>
      <c r="K589" s="11"/>
      <c r="L589" s="11"/>
      <c r="M589" s="11"/>
      <c r="N589" s="11"/>
      <c r="P589" s="11"/>
      <c r="Q589" s="11"/>
      <c r="R589" s="3"/>
    </row>
    <row r="590" spans="1:18" x14ac:dyDescent="0.2">
      <c r="A590" s="11">
        <v>318</v>
      </c>
      <c r="B590" s="11">
        <v>1</v>
      </c>
      <c r="C590" s="11" t="s">
        <v>142</v>
      </c>
      <c r="D590" s="11">
        <f t="shared" si="16"/>
        <v>8</v>
      </c>
      <c r="E590">
        <f t="shared" si="17"/>
        <v>318008</v>
      </c>
      <c r="F590" s="11">
        <v>441</v>
      </c>
      <c r="G590" s="11" t="s">
        <v>16</v>
      </c>
      <c r="H590" s="3">
        <v>3975</v>
      </c>
      <c r="K590" s="11"/>
      <c r="L590" s="11"/>
      <c r="M590" s="11"/>
      <c r="N590" s="11"/>
      <c r="P590" s="11"/>
      <c r="Q590" s="11"/>
      <c r="R590" s="3"/>
    </row>
    <row r="591" spans="1:18" x14ac:dyDescent="0.2">
      <c r="A591" s="11">
        <v>318</v>
      </c>
      <c r="B591" s="11">
        <v>1</v>
      </c>
      <c r="C591" s="11" t="s">
        <v>142</v>
      </c>
      <c r="D591" s="11">
        <f t="shared" ref="D591:D654" si="18">IF(A591=A590,D590+1,1)</f>
        <v>9</v>
      </c>
      <c r="E591">
        <f t="shared" ref="E591:E654" si="19">1000*A591+D591</f>
        <v>318009</v>
      </c>
      <c r="F591" s="11">
        <v>471</v>
      </c>
      <c r="G591" s="11" t="s">
        <v>17</v>
      </c>
      <c r="H591" s="3">
        <v>102982.87</v>
      </c>
      <c r="K591" s="11"/>
      <c r="L591" s="11"/>
      <c r="M591" s="11"/>
      <c r="N591" s="11"/>
      <c r="P591" s="11"/>
      <c r="Q591" s="11"/>
      <c r="R591" s="3"/>
    </row>
    <row r="592" spans="1:18" x14ac:dyDescent="0.2">
      <c r="A592" s="11">
        <v>318</v>
      </c>
      <c r="B592" s="11">
        <v>1</v>
      </c>
      <c r="C592" s="11" t="s">
        <v>142</v>
      </c>
      <c r="D592" s="11">
        <f t="shared" si="18"/>
        <v>10</v>
      </c>
      <c r="E592">
        <f t="shared" si="19"/>
        <v>318010</v>
      </c>
      <c r="F592" s="11">
        <v>484</v>
      </c>
      <c r="G592" s="11" t="s">
        <v>20</v>
      </c>
      <c r="H592" s="3">
        <v>35909.79</v>
      </c>
      <c r="K592" s="11"/>
      <c r="L592" s="11"/>
      <c r="M592" s="11"/>
      <c r="N592" s="11"/>
      <c r="P592" s="11"/>
      <c r="Q592" s="11"/>
      <c r="R592" s="3"/>
    </row>
    <row r="593" spans="1:18" x14ac:dyDescent="0.2">
      <c r="A593" s="11">
        <v>318</v>
      </c>
      <c r="B593" s="11">
        <v>1</v>
      </c>
      <c r="C593" s="11" t="s">
        <v>142</v>
      </c>
      <c r="D593" s="11">
        <f t="shared" si="18"/>
        <v>11</v>
      </c>
      <c r="E593">
        <f t="shared" si="19"/>
        <v>318011</v>
      </c>
      <c r="F593" s="11">
        <v>486</v>
      </c>
      <c r="G593" s="11" t="s">
        <v>21</v>
      </c>
      <c r="H593" s="3">
        <v>26221.01</v>
      </c>
      <c r="K593" s="11"/>
      <c r="L593" s="11"/>
      <c r="M593" s="11"/>
      <c r="N593" s="11"/>
      <c r="P593" s="11"/>
      <c r="Q593" s="11"/>
      <c r="R593" s="3"/>
    </row>
    <row r="594" spans="1:18" x14ac:dyDescent="0.2">
      <c r="A594" s="11">
        <v>319</v>
      </c>
      <c r="B594" s="11">
        <v>1</v>
      </c>
      <c r="C594" s="11" t="s">
        <v>143</v>
      </c>
      <c r="D594" s="11">
        <f t="shared" si="18"/>
        <v>1</v>
      </c>
      <c r="E594">
        <f t="shared" si="19"/>
        <v>319001</v>
      </c>
      <c r="F594" s="11">
        <v>151</v>
      </c>
      <c r="G594" s="11" t="s">
        <v>28</v>
      </c>
      <c r="H594" s="3">
        <v>262601.23</v>
      </c>
      <c r="K594" s="11"/>
      <c r="L594" s="11"/>
      <c r="M594" s="11"/>
      <c r="N594" s="11"/>
      <c r="P594" s="11"/>
      <c r="Q594" s="11"/>
      <c r="R594" s="3"/>
    </row>
    <row r="595" spans="1:18" x14ac:dyDescent="0.2">
      <c r="A595" s="11">
        <v>319</v>
      </c>
      <c r="B595" s="11">
        <v>1</v>
      </c>
      <c r="C595" s="11" t="s">
        <v>143</v>
      </c>
      <c r="D595" s="11">
        <f t="shared" si="18"/>
        <v>2</v>
      </c>
      <c r="E595">
        <f t="shared" si="19"/>
        <v>319002</v>
      </c>
      <c r="F595" s="11">
        <v>401</v>
      </c>
      <c r="G595" s="11" t="s">
        <v>29</v>
      </c>
      <c r="H595" s="3">
        <v>102246.35</v>
      </c>
      <c r="K595" s="11"/>
      <c r="L595" s="11"/>
      <c r="M595" s="11"/>
      <c r="N595" s="11"/>
      <c r="P595" s="11"/>
      <c r="Q595" s="11"/>
      <c r="R595" s="3"/>
    </row>
    <row r="596" spans="1:18" x14ac:dyDescent="0.2">
      <c r="A596" s="11">
        <v>319</v>
      </c>
      <c r="B596" s="11">
        <v>1</v>
      </c>
      <c r="C596" s="11" t="s">
        <v>143</v>
      </c>
      <c r="D596" s="11">
        <f t="shared" si="18"/>
        <v>3</v>
      </c>
      <c r="E596">
        <f t="shared" si="19"/>
        <v>319003</v>
      </c>
      <c r="F596" s="11">
        <v>414</v>
      </c>
      <c r="G596" s="11" t="s">
        <v>9</v>
      </c>
      <c r="H596" s="3">
        <v>34738.629999999997</v>
      </c>
      <c r="K596" s="11"/>
      <c r="L596" s="11"/>
      <c r="M596" s="11"/>
      <c r="N596" s="11"/>
      <c r="P596" s="11"/>
      <c r="Q596" s="11"/>
      <c r="R596" s="3"/>
    </row>
    <row r="597" spans="1:18" x14ac:dyDescent="0.2">
      <c r="A597" s="11">
        <v>319</v>
      </c>
      <c r="B597" s="11">
        <v>1</v>
      </c>
      <c r="C597" s="11" t="s">
        <v>143</v>
      </c>
      <c r="D597" s="11">
        <f t="shared" si="18"/>
        <v>4</v>
      </c>
      <c r="E597">
        <f t="shared" si="19"/>
        <v>319004</v>
      </c>
      <c r="F597" s="11">
        <v>433</v>
      </c>
      <c r="G597" s="11" t="s">
        <v>30</v>
      </c>
      <c r="H597" s="3">
        <v>2181.12</v>
      </c>
      <c r="K597" s="11"/>
      <c r="L597" s="11"/>
      <c r="M597" s="11"/>
      <c r="N597" s="11"/>
      <c r="P597" s="11"/>
      <c r="Q597" s="11"/>
      <c r="R597" s="3"/>
    </row>
    <row r="598" spans="1:18" x14ac:dyDescent="0.2">
      <c r="A598" s="11">
        <v>319</v>
      </c>
      <c r="B598" s="11">
        <v>1</v>
      </c>
      <c r="C598" s="11" t="s">
        <v>143</v>
      </c>
      <c r="D598" s="11">
        <f t="shared" si="18"/>
        <v>5</v>
      </c>
      <c r="E598">
        <f t="shared" si="19"/>
        <v>319005</v>
      </c>
      <c r="F598" s="11">
        <v>470</v>
      </c>
      <c r="G598" s="11" t="s">
        <v>6</v>
      </c>
      <c r="H598" s="3">
        <v>50583.22</v>
      </c>
      <c r="K598" s="11"/>
      <c r="L598" s="11"/>
      <c r="M598" s="11"/>
      <c r="N598" s="11"/>
      <c r="P598" s="11"/>
      <c r="Q598" s="11"/>
      <c r="R598" s="3"/>
    </row>
    <row r="599" spans="1:18" x14ac:dyDescent="0.2">
      <c r="A599" s="11">
        <v>330</v>
      </c>
      <c r="B599" s="11">
        <v>1</v>
      </c>
      <c r="C599" s="11" t="s">
        <v>144</v>
      </c>
      <c r="D599" s="11">
        <f t="shared" si="18"/>
        <v>1</v>
      </c>
      <c r="E599">
        <f t="shared" si="19"/>
        <v>330001</v>
      </c>
      <c r="F599" s="11">
        <v>401</v>
      </c>
      <c r="G599" s="11" t="s">
        <v>29</v>
      </c>
      <c r="H599" s="3">
        <v>33202.17</v>
      </c>
      <c r="K599" s="11"/>
      <c r="L599" s="11"/>
      <c r="M599" s="11"/>
      <c r="N599" s="11"/>
      <c r="P599" s="11"/>
      <c r="Q599" s="11"/>
      <c r="R599" s="3"/>
    </row>
    <row r="600" spans="1:18" x14ac:dyDescent="0.2">
      <c r="A600" s="11">
        <v>330</v>
      </c>
      <c r="B600" s="11">
        <v>1</v>
      </c>
      <c r="C600" s="11" t="s">
        <v>144</v>
      </c>
      <c r="D600" s="11">
        <f t="shared" si="18"/>
        <v>2</v>
      </c>
      <c r="E600">
        <f t="shared" si="19"/>
        <v>330002</v>
      </c>
      <c r="F600" s="11">
        <v>414</v>
      </c>
      <c r="G600" s="11" t="s">
        <v>9</v>
      </c>
      <c r="H600" s="3">
        <v>15427.62</v>
      </c>
      <c r="K600" s="11"/>
      <c r="L600" s="11"/>
      <c r="M600" s="11"/>
      <c r="N600" s="11"/>
      <c r="P600" s="11"/>
      <c r="Q600" s="11"/>
      <c r="R600" s="3"/>
    </row>
    <row r="601" spans="1:18" x14ac:dyDescent="0.2">
      <c r="A601" s="11">
        <v>330</v>
      </c>
      <c r="B601" s="11">
        <v>1</v>
      </c>
      <c r="C601" s="11" t="s">
        <v>144</v>
      </c>
      <c r="D601" s="11">
        <f t="shared" si="18"/>
        <v>3</v>
      </c>
      <c r="E601">
        <f t="shared" si="19"/>
        <v>330003</v>
      </c>
      <c r="F601" s="11">
        <v>417</v>
      </c>
      <c r="G601" s="11" t="s">
        <v>34</v>
      </c>
      <c r="H601" s="3">
        <v>20607.87</v>
      </c>
      <c r="K601" s="11"/>
      <c r="L601" s="11"/>
      <c r="M601" s="11"/>
      <c r="N601" s="11"/>
      <c r="P601" s="11"/>
      <c r="Q601" s="11"/>
      <c r="R601" s="3"/>
    </row>
    <row r="602" spans="1:18" x14ac:dyDescent="0.2">
      <c r="A602" s="11">
        <v>330</v>
      </c>
      <c r="B602" s="11">
        <v>1</v>
      </c>
      <c r="C602" s="11" t="s">
        <v>144</v>
      </c>
      <c r="D602" s="11">
        <f t="shared" si="18"/>
        <v>4</v>
      </c>
      <c r="E602">
        <f t="shared" si="19"/>
        <v>330004</v>
      </c>
      <c r="F602" s="11">
        <v>433</v>
      </c>
      <c r="G602" s="11" t="s">
        <v>30</v>
      </c>
      <c r="H602" s="3">
        <v>909.4</v>
      </c>
      <c r="K602" s="11"/>
      <c r="L602" s="11"/>
      <c r="M602" s="11"/>
      <c r="N602" s="11"/>
      <c r="P602" s="11"/>
      <c r="Q602" s="11"/>
      <c r="R602" s="3"/>
    </row>
    <row r="603" spans="1:18" x14ac:dyDescent="0.2">
      <c r="A603" s="11">
        <v>330</v>
      </c>
      <c r="B603" s="11">
        <v>1</v>
      </c>
      <c r="C603" s="11" t="s">
        <v>144</v>
      </c>
      <c r="D603" s="11">
        <f t="shared" si="18"/>
        <v>5</v>
      </c>
      <c r="E603">
        <f t="shared" si="19"/>
        <v>330005</v>
      </c>
      <c r="F603" s="11">
        <v>470</v>
      </c>
      <c r="G603" s="11" t="s">
        <v>6</v>
      </c>
      <c r="H603" s="3">
        <v>18438.169999999998</v>
      </c>
      <c r="K603" s="11"/>
      <c r="L603" s="11"/>
      <c r="M603" s="11"/>
      <c r="N603" s="11"/>
      <c r="P603" s="11"/>
      <c r="Q603" s="11"/>
      <c r="R603" s="3"/>
    </row>
    <row r="604" spans="1:18" x14ac:dyDescent="0.2">
      <c r="A604" s="11">
        <v>333</v>
      </c>
      <c r="B604" s="11">
        <v>1</v>
      </c>
      <c r="C604" s="11" t="s">
        <v>145</v>
      </c>
      <c r="D604" s="11">
        <f t="shared" si="18"/>
        <v>1</v>
      </c>
      <c r="E604">
        <f t="shared" si="19"/>
        <v>333001</v>
      </c>
      <c r="F604" s="11">
        <v>401</v>
      </c>
      <c r="G604" s="11" t="s">
        <v>29</v>
      </c>
      <c r="H604" s="3">
        <v>131625</v>
      </c>
      <c r="K604" s="11"/>
      <c r="L604" s="11"/>
      <c r="M604" s="11"/>
      <c r="N604" s="11"/>
      <c r="P604" s="11"/>
      <c r="Q604" s="11"/>
      <c r="R604" s="3"/>
    </row>
    <row r="605" spans="1:18" x14ac:dyDescent="0.2">
      <c r="A605" s="11">
        <v>333</v>
      </c>
      <c r="B605" s="11">
        <v>1</v>
      </c>
      <c r="C605" s="11" t="s">
        <v>145</v>
      </c>
      <c r="D605" s="11">
        <f t="shared" si="18"/>
        <v>2</v>
      </c>
      <c r="E605">
        <f t="shared" si="19"/>
        <v>333002</v>
      </c>
      <c r="F605" s="11">
        <v>414</v>
      </c>
      <c r="G605" s="11" t="s">
        <v>9</v>
      </c>
      <c r="H605" s="3">
        <v>44520.69</v>
      </c>
      <c r="K605" s="11"/>
      <c r="L605" s="11"/>
      <c r="M605" s="11"/>
      <c r="N605" s="11"/>
      <c r="P605" s="11"/>
      <c r="Q605" s="11"/>
      <c r="R605" s="3"/>
    </row>
    <row r="606" spans="1:18" x14ac:dyDescent="0.2">
      <c r="A606" s="11">
        <v>333</v>
      </c>
      <c r="B606" s="11">
        <v>1</v>
      </c>
      <c r="C606" s="11" t="s">
        <v>145</v>
      </c>
      <c r="D606" s="11">
        <f t="shared" si="18"/>
        <v>3</v>
      </c>
      <c r="E606">
        <f t="shared" si="19"/>
        <v>333003</v>
      </c>
      <c r="F606" s="11">
        <v>433</v>
      </c>
      <c r="G606" s="11" t="s">
        <v>30</v>
      </c>
      <c r="H606" s="3">
        <v>2570.9899999999998</v>
      </c>
      <c r="K606" s="11"/>
      <c r="L606" s="11"/>
      <c r="M606" s="11"/>
      <c r="N606" s="11"/>
      <c r="P606" s="11"/>
      <c r="Q606" s="11"/>
      <c r="R606" s="3"/>
    </row>
    <row r="607" spans="1:18" x14ac:dyDescent="0.2">
      <c r="A607" s="11">
        <v>333</v>
      </c>
      <c r="B607" s="11">
        <v>1</v>
      </c>
      <c r="C607" s="11" t="s">
        <v>145</v>
      </c>
      <c r="D607" s="11">
        <f t="shared" si="18"/>
        <v>4</v>
      </c>
      <c r="E607">
        <f t="shared" si="19"/>
        <v>333004</v>
      </c>
      <c r="F607" s="11">
        <v>470</v>
      </c>
      <c r="G607" s="11" t="s">
        <v>6</v>
      </c>
      <c r="H607" s="3">
        <v>66004.92</v>
      </c>
      <c r="K607" s="11"/>
      <c r="L607" s="11"/>
      <c r="M607" s="11"/>
      <c r="N607" s="11"/>
      <c r="P607" s="11"/>
      <c r="Q607" s="11"/>
      <c r="R607" s="3"/>
    </row>
    <row r="608" spans="1:18" x14ac:dyDescent="0.2">
      <c r="A608" s="11">
        <v>345</v>
      </c>
      <c r="B608" s="11">
        <v>1</v>
      </c>
      <c r="C608" s="11" t="s">
        <v>146</v>
      </c>
      <c r="D608" s="11">
        <f t="shared" si="18"/>
        <v>1</v>
      </c>
      <c r="E608">
        <f t="shared" si="19"/>
        <v>345001</v>
      </c>
      <c r="F608" s="11">
        <v>433</v>
      </c>
      <c r="G608" s="11" t="s">
        <v>30</v>
      </c>
      <c r="H608" s="3">
        <v>3559.22</v>
      </c>
      <c r="K608" s="11"/>
      <c r="L608" s="11"/>
      <c r="M608" s="11"/>
      <c r="N608" s="11"/>
      <c r="P608" s="11"/>
      <c r="Q608" s="11"/>
      <c r="R608" s="3"/>
    </row>
    <row r="609" spans="1:18" x14ac:dyDescent="0.2">
      <c r="A609" s="11">
        <v>347</v>
      </c>
      <c r="B609" s="11">
        <v>1</v>
      </c>
      <c r="C609" s="11" t="s">
        <v>147</v>
      </c>
      <c r="D609" s="11">
        <f t="shared" si="18"/>
        <v>1</v>
      </c>
      <c r="E609">
        <f t="shared" si="19"/>
        <v>347001</v>
      </c>
      <c r="F609" s="11">
        <v>706</v>
      </c>
      <c r="G609" s="11" t="s">
        <v>114</v>
      </c>
      <c r="H609" s="3">
        <v>148878.9</v>
      </c>
      <c r="K609" s="11"/>
      <c r="L609" s="11"/>
      <c r="M609" s="11"/>
      <c r="N609" s="11"/>
      <c r="P609" s="11"/>
      <c r="Q609" s="11"/>
      <c r="R609" s="3"/>
    </row>
    <row r="610" spans="1:18" x14ac:dyDescent="0.2">
      <c r="A610" s="11">
        <v>356</v>
      </c>
      <c r="B610" s="11">
        <v>1</v>
      </c>
      <c r="C610" s="11" t="s">
        <v>148</v>
      </c>
      <c r="D610" s="11">
        <f t="shared" si="18"/>
        <v>1</v>
      </c>
      <c r="E610">
        <f t="shared" si="19"/>
        <v>356001</v>
      </c>
      <c r="F610" s="11">
        <v>401</v>
      </c>
      <c r="G610" s="11" t="s">
        <v>29</v>
      </c>
      <c r="H610" s="3">
        <v>35048.5</v>
      </c>
      <c r="K610" s="11"/>
      <c r="L610" s="11"/>
      <c r="M610" s="11"/>
      <c r="N610" s="11"/>
      <c r="P610" s="11"/>
      <c r="Q610" s="11"/>
      <c r="R610" s="3"/>
    </row>
    <row r="611" spans="1:18" x14ac:dyDescent="0.2">
      <c r="A611" s="11">
        <v>356</v>
      </c>
      <c r="B611" s="11">
        <v>1</v>
      </c>
      <c r="C611" s="11" t="s">
        <v>148</v>
      </c>
      <c r="D611" s="11">
        <f t="shared" si="18"/>
        <v>2</v>
      </c>
      <c r="E611">
        <f t="shared" si="19"/>
        <v>356002</v>
      </c>
      <c r="F611" s="11">
        <v>433</v>
      </c>
      <c r="G611" s="11" t="s">
        <v>30</v>
      </c>
      <c r="H611" s="3">
        <v>722.89</v>
      </c>
      <c r="K611" s="11"/>
      <c r="L611" s="11"/>
      <c r="M611" s="11"/>
      <c r="N611" s="11"/>
      <c r="P611" s="11"/>
      <c r="Q611" s="11"/>
      <c r="R611" s="3"/>
    </row>
    <row r="612" spans="1:18" x14ac:dyDescent="0.2">
      <c r="A612" s="11">
        <v>361</v>
      </c>
      <c r="B612" s="11">
        <v>1</v>
      </c>
      <c r="C612" s="11" t="s">
        <v>149</v>
      </c>
      <c r="D612" s="11">
        <f t="shared" si="18"/>
        <v>1</v>
      </c>
      <c r="E612">
        <f t="shared" si="19"/>
        <v>361001</v>
      </c>
      <c r="F612" s="11">
        <v>470</v>
      </c>
      <c r="G612" s="11" t="s">
        <v>6</v>
      </c>
      <c r="H612" s="3">
        <v>159215.88</v>
      </c>
      <c r="K612" s="11"/>
      <c r="L612" s="11"/>
      <c r="M612" s="11"/>
      <c r="N612" s="11"/>
      <c r="P612" s="11"/>
      <c r="Q612" s="11"/>
      <c r="R612" s="3"/>
    </row>
    <row r="613" spans="1:18" x14ac:dyDescent="0.2">
      <c r="A613" s="11">
        <v>362</v>
      </c>
      <c r="B613" s="11">
        <v>1</v>
      </c>
      <c r="C613" s="11" t="s">
        <v>150</v>
      </c>
      <c r="D613" s="11">
        <f t="shared" si="18"/>
        <v>1</v>
      </c>
      <c r="E613">
        <f t="shared" si="19"/>
        <v>362001</v>
      </c>
      <c r="F613" s="11">
        <v>401</v>
      </c>
      <c r="G613" s="11" t="s">
        <v>29</v>
      </c>
      <c r="H613" s="3">
        <v>53711.26</v>
      </c>
      <c r="K613" s="11"/>
      <c r="L613" s="11"/>
      <c r="M613" s="11"/>
      <c r="N613" s="11"/>
      <c r="P613" s="11"/>
      <c r="Q613" s="11"/>
      <c r="R613" s="3"/>
    </row>
    <row r="614" spans="1:18" x14ac:dyDescent="0.2">
      <c r="A614" s="11">
        <v>362</v>
      </c>
      <c r="B614" s="11">
        <v>1</v>
      </c>
      <c r="C614" s="11" t="s">
        <v>150</v>
      </c>
      <c r="D614" s="11">
        <f t="shared" si="18"/>
        <v>2</v>
      </c>
      <c r="E614">
        <f t="shared" si="19"/>
        <v>362002</v>
      </c>
      <c r="F614" s="11">
        <v>433</v>
      </c>
      <c r="G614" s="11" t="s">
        <v>30</v>
      </c>
      <c r="H614" s="3">
        <v>1169.3</v>
      </c>
      <c r="K614" s="11"/>
      <c r="L614" s="11"/>
      <c r="M614" s="11"/>
      <c r="N614" s="11"/>
      <c r="P614" s="11"/>
      <c r="Q614" s="11"/>
      <c r="R614" s="3"/>
    </row>
    <row r="615" spans="1:18" x14ac:dyDescent="0.2">
      <c r="A615" s="11">
        <v>362</v>
      </c>
      <c r="B615" s="11">
        <v>1</v>
      </c>
      <c r="C615" s="11" t="s">
        <v>150</v>
      </c>
      <c r="D615" s="11">
        <f t="shared" si="18"/>
        <v>3</v>
      </c>
      <c r="E615">
        <f t="shared" si="19"/>
        <v>362003</v>
      </c>
      <c r="F615" s="11">
        <v>470</v>
      </c>
      <c r="G615" s="11" t="s">
        <v>6</v>
      </c>
      <c r="H615" s="3">
        <v>25291.61</v>
      </c>
      <c r="K615" s="11"/>
      <c r="L615" s="11"/>
      <c r="M615" s="11"/>
      <c r="N615" s="11"/>
      <c r="P615" s="11"/>
      <c r="Q615" s="11"/>
      <c r="R615" s="3"/>
    </row>
    <row r="616" spans="1:18" x14ac:dyDescent="0.2">
      <c r="A616" s="11">
        <v>363</v>
      </c>
      <c r="B616" s="11">
        <v>1</v>
      </c>
      <c r="C616" s="11" t="s">
        <v>151</v>
      </c>
      <c r="D616" s="11">
        <f t="shared" si="18"/>
        <v>1</v>
      </c>
      <c r="E616">
        <f t="shared" si="19"/>
        <v>363001</v>
      </c>
      <c r="F616" s="11">
        <v>401</v>
      </c>
      <c r="G616" s="11" t="s">
        <v>29</v>
      </c>
      <c r="H616" s="3">
        <v>75624.31</v>
      </c>
      <c r="K616" s="11"/>
      <c r="L616" s="11"/>
      <c r="M616" s="11"/>
      <c r="N616" s="11"/>
      <c r="P616" s="11"/>
      <c r="Q616" s="11"/>
      <c r="R616" s="3"/>
    </row>
    <row r="617" spans="1:18" x14ac:dyDescent="0.2">
      <c r="A617" s="11">
        <v>363</v>
      </c>
      <c r="B617" s="11">
        <v>1</v>
      </c>
      <c r="C617" s="11" t="s">
        <v>151</v>
      </c>
      <c r="D617" s="11">
        <f t="shared" si="18"/>
        <v>2</v>
      </c>
      <c r="E617">
        <f t="shared" si="19"/>
        <v>363002</v>
      </c>
      <c r="F617" s="11">
        <v>414</v>
      </c>
      <c r="G617" s="11" t="s">
        <v>9</v>
      </c>
      <c r="H617" s="3">
        <v>16958.12</v>
      </c>
      <c r="K617" s="11"/>
      <c r="L617" s="11"/>
      <c r="M617" s="11"/>
      <c r="N617" s="11"/>
      <c r="P617" s="11"/>
      <c r="Q617" s="11"/>
      <c r="R617" s="3"/>
    </row>
    <row r="618" spans="1:18" x14ac:dyDescent="0.2">
      <c r="A618" s="11">
        <v>363</v>
      </c>
      <c r="B618" s="11">
        <v>1</v>
      </c>
      <c r="C618" s="11" t="s">
        <v>151</v>
      </c>
      <c r="D618" s="11">
        <f t="shared" si="18"/>
        <v>3</v>
      </c>
      <c r="E618">
        <f t="shared" si="19"/>
        <v>363003</v>
      </c>
      <c r="F618" s="11">
        <v>433</v>
      </c>
      <c r="G618" s="11" t="s">
        <v>30</v>
      </c>
      <c r="H618" s="3">
        <v>1503.58</v>
      </c>
      <c r="K618" s="11"/>
      <c r="L618" s="11"/>
      <c r="M618" s="11"/>
      <c r="N618" s="11"/>
      <c r="P618" s="11"/>
      <c r="Q618" s="11"/>
      <c r="R618" s="3"/>
    </row>
    <row r="619" spans="1:18" x14ac:dyDescent="0.2">
      <c r="A619" s="11">
        <v>363</v>
      </c>
      <c r="B619" s="11">
        <v>1</v>
      </c>
      <c r="C619" s="11" t="s">
        <v>151</v>
      </c>
      <c r="D619" s="11">
        <f t="shared" si="18"/>
        <v>4</v>
      </c>
      <c r="E619">
        <f t="shared" si="19"/>
        <v>363004</v>
      </c>
      <c r="F619" s="11">
        <v>470</v>
      </c>
      <c r="G619" s="11" t="s">
        <v>6</v>
      </c>
      <c r="H619" s="3">
        <v>39458.160000000003</v>
      </c>
      <c r="K619" s="11"/>
      <c r="L619" s="11"/>
      <c r="M619" s="11"/>
      <c r="N619" s="11"/>
      <c r="P619" s="11"/>
      <c r="Q619" s="11"/>
      <c r="R619" s="3"/>
    </row>
    <row r="620" spans="1:18" x14ac:dyDescent="0.2">
      <c r="A620" s="11">
        <v>378</v>
      </c>
      <c r="B620" s="11">
        <v>1</v>
      </c>
      <c r="C620" s="11" t="s">
        <v>152</v>
      </c>
      <c r="D620" s="11">
        <f t="shared" si="18"/>
        <v>1</v>
      </c>
      <c r="E620">
        <f t="shared" si="19"/>
        <v>378001</v>
      </c>
      <c r="F620" s="11">
        <v>151</v>
      </c>
      <c r="G620" s="11" t="s">
        <v>28</v>
      </c>
      <c r="H620" s="3">
        <v>205894.87</v>
      </c>
      <c r="K620" s="11"/>
      <c r="L620" s="11"/>
      <c r="M620" s="11"/>
      <c r="N620" s="11"/>
      <c r="P620" s="11"/>
      <c r="Q620" s="11"/>
      <c r="R620" s="3"/>
    </row>
    <row r="621" spans="1:18" x14ac:dyDescent="0.2">
      <c r="A621" s="11">
        <v>378</v>
      </c>
      <c r="B621" s="11">
        <v>1</v>
      </c>
      <c r="C621" s="11" t="s">
        <v>152</v>
      </c>
      <c r="D621" s="11">
        <f t="shared" si="18"/>
        <v>2</v>
      </c>
      <c r="E621">
        <f t="shared" si="19"/>
        <v>378002</v>
      </c>
      <c r="F621" s="11">
        <v>401</v>
      </c>
      <c r="G621" s="11" t="s">
        <v>29</v>
      </c>
      <c r="H621" s="3">
        <v>49321.89</v>
      </c>
      <c r="K621" s="11"/>
      <c r="L621" s="11"/>
      <c r="M621" s="11"/>
      <c r="N621" s="11"/>
      <c r="P621" s="11"/>
      <c r="Q621" s="11"/>
      <c r="R621" s="3"/>
    </row>
    <row r="622" spans="1:18" x14ac:dyDescent="0.2">
      <c r="A622" s="11">
        <v>378</v>
      </c>
      <c r="B622" s="11">
        <v>1</v>
      </c>
      <c r="C622" s="11" t="s">
        <v>152</v>
      </c>
      <c r="D622" s="11">
        <f t="shared" si="18"/>
        <v>3</v>
      </c>
      <c r="E622">
        <f t="shared" si="19"/>
        <v>378003</v>
      </c>
      <c r="F622" s="11">
        <v>414</v>
      </c>
      <c r="G622" s="11" t="s">
        <v>9</v>
      </c>
      <c r="H622" s="3">
        <v>21100.78</v>
      </c>
      <c r="K622" s="11"/>
      <c r="L622" s="11"/>
      <c r="M622" s="11"/>
      <c r="N622" s="11"/>
      <c r="P622" s="11"/>
      <c r="Q622" s="11"/>
      <c r="R622" s="3"/>
    </row>
    <row r="623" spans="1:18" x14ac:dyDescent="0.2">
      <c r="A623" s="11">
        <v>378</v>
      </c>
      <c r="B623" s="11">
        <v>1</v>
      </c>
      <c r="C623" s="11" t="s">
        <v>152</v>
      </c>
      <c r="D623" s="11">
        <f t="shared" si="18"/>
        <v>4</v>
      </c>
      <c r="E623">
        <f t="shared" si="19"/>
        <v>378004</v>
      </c>
      <c r="F623" s="11">
        <v>422</v>
      </c>
      <c r="G623" s="11" t="s">
        <v>12</v>
      </c>
      <c r="H623" s="3">
        <v>5594.42</v>
      </c>
      <c r="K623" s="11"/>
      <c r="L623" s="11"/>
      <c r="M623" s="11"/>
      <c r="N623" s="11"/>
      <c r="P623" s="11"/>
      <c r="Q623" s="11"/>
      <c r="R623" s="3"/>
    </row>
    <row r="624" spans="1:18" x14ac:dyDescent="0.2">
      <c r="A624" s="11">
        <v>378</v>
      </c>
      <c r="B624" s="11">
        <v>1</v>
      </c>
      <c r="C624" s="11" t="s">
        <v>152</v>
      </c>
      <c r="D624" s="11">
        <f t="shared" si="18"/>
        <v>5</v>
      </c>
      <c r="E624">
        <f t="shared" si="19"/>
        <v>378005</v>
      </c>
      <c r="F624" s="11">
        <v>433</v>
      </c>
      <c r="G624" s="11" t="s">
        <v>30</v>
      </c>
      <c r="H624" s="3">
        <v>1338.28</v>
      </c>
      <c r="K624" s="11"/>
      <c r="L624" s="11"/>
      <c r="M624" s="11"/>
      <c r="N624" s="11"/>
      <c r="P624" s="11"/>
      <c r="Q624" s="11"/>
      <c r="R624" s="3"/>
    </row>
    <row r="625" spans="1:18" x14ac:dyDescent="0.2">
      <c r="A625" s="11">
        <v>378</v>
      </c>
      <c r="B625" s="11">
        <v>1</v>
      </c>
      <c r="C625" s="11" t="s">
        <v>152</v>
      </c>
      <c r="D625" s="11">
        <f t="shared" si="18"/>
        <v>6</v>
      </c>
      <c r="E625">
        <f t="shared" si="19"/>
        <v>378006</v>
      </c>
      <c r="F625" s="11">
        <v>441</v>
      </c>
      <c r="G625" s="11" t="s">
        <v>16</v>
      </c>
      <c r="H625" s="3">
        <v>450</v>
      </c>
      <c r="K625" s="11"/>
      <c r="L625" s="11"/>
      <c r="M625" s="11"/>
      <c r="N625" s="11"/>
      <c r="P625" s="11"/>
      <c r="Q625" s="11"/>
      <c r="R625" s="3"/>
    </row>
    <row r="626" spans="1:18" x14ac:dyDescent="0.2">
      <c r="A626" s="11">
        <v>378</v>
      </c>
      <c r="B626" s="11">
        <v>1</v>
      </c>
      <c r="C626" s="11" t="s">
        <v>152</v>
      </c>
      <c r="D626" s="11">
        <f t="shared" si="18"/>
        <v>7</v>
      </c>
      <c r="E626">
        <f t="shared" si="19"/>
        <v>378007</v>
      </c>
      <c r="F626" s="11">
        <v>470</v>
      </c>
      <c r="G626" s="11" t="s">
        <v>6</v>
      </c>
      <c r="H626" s="3">
        <v>30226.55</v>
      </c>
      <c r="K626" s="11"/>
      <c r="L626" s="11"/>
      <c r="M626" s="11"/>
      <c r="N626" s="11"/>
      <c r="P626" s="11"/>
      <c r="Q626" s="11"/>
      <c r="R626" s="3"/>
    </row>
    <row r="627" spans="1:18" x14ac:dyDescent="0.2">
      <c r="A627" s="11">
        <v>381</v>
      </c>
      <c r="B627" s="11">
        <v>1</v>
      </c>
      <c r="C627" s="11" t="s">
        <v>153</v>
      </c>
      <c r="D627" s="11">
        <f t="shared" si="18"/>
        <v>1</v>
      </c>
      <c r="E627">
        <f t="shared" si="19"/>
        <v>381001</v>
      </c>
      <c r="F627" s="11">
        <v>401</v>
      </c>
      <c r="G627" s="11" t="s">
        <v>29</v>
      </c>
      <c r="H627" s="3">
        <v>189042.93</v>
      </c>
      <c r="K627" s="11"/>
      <c r="L627" s="11"/>
      <c r="M627" s="11"/>
      <c r="N627" s="11"/>
      <c r="P627" s="11"/>
      <c r="Q627" s="11"/>
      <c r="R627" s="3"/>
    </row>
    <row r="628" spans="1:18" x14ac:dyDescent="0.2">
      <c r="A628" s="11">
        <v>381</v>
      </c>
      <c r="B628" s="11">
        <v>1</v>
      </c>
      <c r="C628" s="11" t="s">
        <v>153</v>
      </c>
      <c r="D628" s="11">
        <f t="shared" si="18"/>
        <v>2</v>
      </c>
      <c r="E628">
        <f t="shared" si="19"/>
        <v>381002</v>
      </c>
      <c r="F628" s="11">
        <v>414</v>
      </c>
      <c r="G628" s="11" t="s">
        <v>9</v>
      </c>
      <c r="H628" s="3">
        <v>78372.649999999994</v>
      </c>
      <c r="K628" s="11"/>
      <c r="L628" s="11"/>
      <c r="M628" s="11"/>
      <c r="N628" s="11"/>
      <c r="P628" s="11"/>
      <c r="Q628" s="11"/>
      <c r="R628" s="3"/>
    </row>
    <row r="629" spans="1:18" x14ac:dyDescent="0.2">
      <c r="A629" s="11">
        <v>381</v>
      </c>
      <c r="B629" s="11">
        <v>1</v>
      </c>
      <c r="C629" s="11" t="s">
        <v>153</v>
      </c>
      <c r="D629" s="11">
        <f t="shared" si="18"/>
        <v>3</v>
      </c>
      <c r="E629">
        <f t="shared" si="19"/>
        <v>381003</v>
      </c>
      <c r="F629" s="11">
        <v>433</v>
      </c>
      <c r="G629" s="11" t="s">
        <v>30</v>
      </c>
      <c r="H629" s="3">
        <v>4407.8</v>
      </c>
      <c r="K629" s="11"/>
      <c r="L629" s="11"/>
      <c r="M629" s="11"/>
      <c r="N629" s="11"/>
      <c r="P629" s="11"/>
      <c r="Q629" s="11"/>
      <c r="R629" s="3"/>
    </row>
    <row r="630" spans="1:18" x14ac:dyDescent="0.2">
      <c r="A630" s="11">
        <v>381</v>
      </c>
      <c r="B630" s="11">
        <v>1</v>
      </c>
      <c r="C630" s="11" t="s">
        <v>153</v>
      </c>
      <c r="D630" s="11">
        <f t="shared" si="18"/>
        <v>4</v>
      </c>
      <c r="E630">
        <f t="shared" si="19"/>
        <v>381004</v>
      </c>
      <c r="F630" s="11">
        <v>470</v>
      </c>
      <c r="G630" s="11" t="s">
        <v>6</v>
      </c>
      <c r="H630" s="3">
        <v>114120.66</v>
      </c>
      <c r="K630" s="11"/>
      <c r="L630" s="11"/>
      <c r="M630" s="11"/>
      <c r="N630" s="11"/>
      <c r="P630" s="11"/>
      <c r="Q630" s="11"/>
      <c r="R630" s="3"/>
    </row>
    <row r="631" spans="1:18" x14ac:dyDescent="0.2">
      <c r="A631" s="11">
        <v>382</v>
      </c>
      <c r="B631" s="11">
        <v>52</v>
      </c>
      <c r="C631" s="11" t="s">
        <v>154</v>
      </c>
      <c r="D631" s="11">
        <f t="shared" si="18"/>
        <v>1</v>
      </c>
      <c r="E631">
        <f t="shared" si="19"/>
        <v>382001</v>
      </c>
      <c r="F631" s="11">
        <v>422</v>
      </c>
      <c r="G631" s="11" t="s">
        <v>12</v>
      </c>
      <c r="H631" s="3">
        <v>9874.9500000000007</v>
      </c>
      <c r="K631" s="11"/>
      <c r="L631" s="11"/>
      <c r="M631" s="11"/>
      <c r="N631" s="11"/>
      <c r="P631" s="11"/>
      <c r="Q631" s="11"/>
      <c r="R631" s="3"/>
    </row>
    <row r="632" spans="1:18" x14ac:dyDescent="0.2">
      <c r="A632" s="11">
        <v>382</v>
      </c>
      <c r="B632" s="11">
        <v>52</v>
      </c>
      <c r="C632" s="11" t="s">
        <v>154</v>
      </c>
      <c r="D632" s="11">
        <f t="shared" si="18"/>
        <v>2</v>
      </c>
      <c r="E632">
        <f t="shared" si="19"/>
        <v>382002</v>
      </c>
      <c r="F632" s="11">
        <v>437</v>
      </c>
      <c r="G632" s="11" t="s">
        <v>14</v>
      </c>
      <c r="H632" s="3">
        <v>480</v>
      </c>
      <c r="K632" s="11"/>
      <c r="L632" s="11"/>
      <c r="M632" s="11"/>
      <c r="N632" s="11"/>
      <c r="P632" s="11"/>
      <c r="Q632" s="11"/>
      <c r="R632" s="3"/>
    </row>
    <row r="633" spans="1:18" x14ac:dyDescent="0.2">
      <c r="A633" s="11">
        <v>382</v>
      </c>
      <c r="B633" s="11">
        <v>52</v>
      </c>
      <c r="C633" s="11" t="s">
        <v>154</v>
      </c>
      <c r="D633" s="11">
        <f t="shared" si="18"/>
        <v>3</v>
      </c>
      <c r="E633">
        <f t="shared" si="19"/>
        <v>382003</v>
      </c>
      <c r="F633" s="11">
        <v>441</v>
      </c>
      <c r="G633" s="11" t="s">
        <v>16</v>
      </c>
      <c r="H633" s="3">
        <v>800</v>
      </c>
      <c r="K633" s="11"/>
      <c r="L633" s="11"/>
      <c r="M633" s="11"/>
      <c r="N633" s="11"/>
      <c r="P633" s="11"/>
      <c r="Q633" s="11"/>
      <c r="R633" s="3"/>
    </row>
    <row r="634" spans="1:18" x14ac:dyDescent="0.2">
      <c r="A634" s="11">
        <v>382</v>
      </c>
      <c r="B634" s="11">
        <v>52</v>
      </c>
      <c r="C634" s="11" t="s">
        <v>154</v>
      </c>
      <c r="D634" s="11">
        <f t="shared" si="18"/>
        <v>4</v>
      </c>
      <c r="E634">
        <f t="shared" si="19"/>
        <v>382004</v>
      </c>
      <c r="F634" s="11">
        <v>484</v>
      </c>
      <c r="G634" s="11" t="s">
        <v>20</v>
      </c>
      <c r="H634" s="3">
        <v>20504.650000000001</v>
      </c>
      <c r="K634" s="11"/>
      <c r="L634" s="11"/>
      <c r="M634" s="11"/>
      <c r="N634" s="11"/>
      <c r="P634" s="11"/>
      <c r="Q634" s="11"/>
      <c r="R634" s="3"/>
    </row>
    <row r="635" spans="1:18" x14ac:dyDescent="0.2">
      <c r="A635" s="11">
        <v>382</v>
      </c>
      <c r="B635" s="11">
        <v>52</v>
      </c>
      <c r="C635" s="11" t="s">
        <v>154</v>
      </c>
      <c r="D635" s="11">
        <f t="shared" si="18"/>
        <v>5</v>
      </c>
      <c r="E635">
        <f t="shared" si="19"/>
        <v>382005</v>
      </c>
      <c r="F635" s="11">
        <v>486</v>
      </c>
      <c r="G635" s="11" t="s">
        <v>21</v>
      </c>
      <c r="H635" s="3">
        <v>4767.46</v>
      </c>
      <c r="K635" s="11"/>
      <c r="L635" s="11"/>
      <c r="M635" s="11"/>
      <c r="N635" s="11"/>
      <c r="P635" s="11"/>
      <c r="Q635" s="11"/>
      <c r="R635" s="3"/>
    </row>
    <row r="636" spans="1:18" x14ac:dyDescent="0.2">
      <c r="A636" s="11">
        <v>390</v>
      </c>
      <c r="B636" s="11">
        <v>1</v>
      </c>
      <c r="C636" s="11" t="s">
        <v>155</v>
      </c>
      <c r="D636" s="11">
        <f t="shared" si="18"/>
        <v>1</v>
      </c>
      <c r="E636">
        <f t="shared" si="19"/>
        <v>390001</v>
      </c>
      <c r="F636" s="11">
        <v>151</v>
      </c>
      <c r="G636" s="11" t="s">
        <v>28</v>
      </c>
      <c r="H636" s="3">
        <v>257830.85</v>
      </c>
      <c r="K636" s="11"/>
      <c r="L636" s="11"/>
      <c r="M636" s="11"/>
      <c r="N636" s="11"/>
      <c r="P636" s="11"/>
      <c r="Q636" s="11"/>
      <c r="R636" s="3"/>
    </row>
    <row r="637" spans="1:18" x14ac:dyDescent="0.2">
      <c r="A637" s="11">
        <v>390</v>
      </c>
      <c r="B637" s="11">
        <v>1</v>
      </c>
      <c r="C637" s="11" t="s">
        <v>155</v>
      </c>
      <c r="D637" s="11">
        <f t="shared" si="18"/>
        <v>2</v>
      </c>
      <c r="E637">
        <f t="shared" si="19"/>
        <v>390002</v>
      </c>
      <c r="F637" s="11">
        <v>401</v>
      </c>
      <c r="G637" s="11" t="s">
        <v>29</v>
      </c>
      <c r="H637" s="3">
        <v>66300.28</v>
      </c>
      <c r="K637" s="11"/>
      <c r="L637" s="11"/>
      <c r="M637" s="11"/>
      <c r="N637" s="11"/>
      <c r="P637" s="11"/>
      <c r="Q637" s="11"/>
      <c r="R637" s="3"/>
    </row>
    <row r="638" spans="1:18" x14ac:dyDescent="0.2">
      <c r="A638" s="11">
        <v>390</v>
      </c>
      <c r="B638" s="11">
        <v>1</v>
      </c>
      <c r="C638" s="11" t="s">
        <v>155</v>
      </c>
      <c r="D638" s="11">
        <f t="shared" si="18"/>
        <v>3</v>
      </c>
      <c r="E638">
        <f t="shared" si="19"/>
        <v>390003</v>
      </c>
      <c r="F638" s="11">
        <v>414</v>
      </c>
      <c r="G638" s="11" t="s">
        <v>9</v>
      </c>
      <c r="H638" s="3">
        <v>31952.74</v>
      </c>
      <c r="K638" s="11"/>
      <c r="L638" s="11"/>
      <c r="M638" s="11"/>
      <c r="N638" s="11"/>
      <c r="P638" s="11"/>
      <c r="Q638" s="11"/>
      <c r="R638" s="3"/>
    </row>
    <row r="639" spans="1:18" x14ac:dyDescent="0.2">
      <c r="A639" s="11">
        <v>390</v>
      </c>
      <c r="B639" s="11">
        <v>1</v>
      </c>
      <c r="C639" s="11" t="s">
        <v>155</v>
      </c>
      <c r="D639" s="11">
        <f t="shared" si="18"/>
        <v>4</v>
      </c>
      <c r="E639">
        <f t="shared" si="19"/>
        <v>390004</v>
      </c>
      <c r="F639" s="11">
        <v>433</v>
      </c>
      <c r="G639" s="11" t="s">
        <v>30</v>
      </c>
      <c r="H639" s="3">
        <v>1575.04</v>
      </c>
      <c r="K639" s="11"/>
      <c r="L639" s="11"/>
      <c r="M639" s="11"/>
      <c r="N639" s="11"/>
      <c r="P639" s="11"/>
      <c r="Q639" s="11"/>
      <c r="R639" s="3"/>
    </row>
    <row r="640" spans="1:18" x14ac:dyDescent="0.2">
      <c r="A640" s="11">
        <v>390</v>
      </c>
      <c r="B640" s="11">
        <v>1</v>
      </c>
      <c r="C640" s="11" t="s">
        <v>155</v>
      </c>
      <c r="D640" s="11">
        <f t="shared" si="18"/>
        <v>5</v>
      </c>
      <c r="E640">
        <f t="shared" si="19"/>
        <v>390005</v>
      </c>
      <c r="F640" s="11">
        <v>470</v>
      </c>
      <c r="G640" s="11" t="s">
        <v>6</v>
      </c>
      <c r="H640" s="3">
        <v>43180.79</v>
      </c>
      <c r="K640" s="11"/>
      <c r="L640" s="11"/>
      <c r="M640" s="11"/>
      <c r="N640" s="11"/>
      <c r="P640" s="11"/>
      <c r="Q640" s="11"/>
      <c r="R640" s="3"/>
    </row>
    <row r="641" spans="1:18" x14ac:dyDescent="0.2">
      <c r="A641" s="11">
        <v>391</v>
      </c>
      <c r="B641" s="11">
        <v>1</v>
      </c>
      <c r="C641" s="11" t="s">
        <v>156</v>
      </c>
      <c r="D641" s="11">
        <f t="shared" si="18"/>
        <v>1</v>
      </c>
      <c r="E641">
        <f t="shared" si="19"/>
        <v>391001</v>
      </c>
      <c r="F641" s="11">
        <v>433</v>
      </c>
      <c r="G641" s="11" t="s">
        <v>30</v>
      </c>
      <c r="H641" s="3">
        <v>708.15</v>
      </c>
      <c r="K641" s="11"/>
      <c r="L641" s="11"/>
      <c r="M641" s="11"/>
      <c r="N641" s="11"/>
      <c r="P641" s="11"/>
      <c r="Q641" s="11"/>
      <c r="R641" s="3"/>
    </row>
    <row r="642" spans="1:18" x14ac:dyDescent="0.2">
      <c r="A642" s="11">
        <v>392</v>
      </c>
      <c r="B642" s="11">
        <v>1</v>
      </c>
      <c r="C642" s="11" t="s">
        <v>157</v>
      </c>
      <c r="D642" s="11">
        <f t="shared" si="18"/>
        <v>1</v>
      </c>
      <c r="E642">
        <f t="shared" si="19"/>
        <v>392001</v>
      </c>
      <c r="F642" s="11">
        <v>417</v>
      </c>
      <c r="G642" s="11" t="s">
        <v>34</v>
      </c>
      <c r="H642" s="3">
        <v>24300.59</v>
      </c>
      <c r="K642" s="11"/>
      <c r="L642" s="11"/>
      <c r="M642" s="11"/>
      <c r="N642" s="11"/>
      <c r="P642" s="11"/>
      <c r="Q642" s="11"/>
      <c r="R642" s="3"/>
    </row>
    <row r="643" spans="1:18" x14ac:dyDescent="0.2">
      <c r="A643" s="11">
        <v>392</v>
      </c>
      <c r="B643" s="11">
        <v>1</v>
      </c>
      <c r="C643" s="11" t="s">
        <v>157</v>
      </c>
      <c r="D643" s="11">
        <f t="shared" si="18"/>
        <v>2</v>
      </c>
      <c r="E643">
        <f t="shared" si="19"/>
        <v>392002</v>
      </c>
      <c r="F643" s="11">
        <v>433</v>
      </c>
      <c r="G643" s="11" t="s">
        <v>30</v>
      </c>
      <c r="H643" s="3">
        <v>1768.41</v>
      </c>
      <c r="K643" s="11"/>
      <c r="L643" s="11"/>
      <c r="M643" s="11"/>
      <c r="N643" s="11"/>
      <c r="P643" s="11"/>
      <c r="Q643" s="11"/>
      <c r="R643" s="3"/>
    </row>
    <row r="644" spans="1:18" x14ac:dyDescent="0.2">
      <c r="A644" s="11">
        <v>392</v>
      </c>
      <c r="B644" s="11">
        <v>1</v>
      </c>
      <c r="C644" s="11" t="s">
        <v>157</v>
      </c>
      <c r="D644" s="11">
        <f t="shared" si="18"/>
        <v>3</v>
      </c>
      <c r="E644">
        <f t="shared" si="19"/>
        <v>392003</v>
      </c>
      <c r="F644" s="11">
        <v>470</v>
      </c>
      <c r="G644" s="11" t="s">
        <v>6</v>
      </c>
      <c r="H644" s="3">
        <v>37628.99</v>
      </c>
      <c r="K644" s="11"/>
      <c r="L644" s="11"/>
      <c r="M644" s="11"/>
      <c r="N644" s="11"/>
      <c r="P644" s="11"/>
      <c r="Q644" s="11"/>
      <c r="R644" s="3"/>
    </row>
    <row r="645" spans="1:18" x14ac:dyDescent="0.2">
      <c r="A645" s="11">
        <v>394</v>
      </c>
      <c r="B645" s="11">
        <v>1</v>
      </c>
      <c r="C645" s="11" t="s">
        <v>158</v>
      </c>
      <c r="D645" s="11">
        <f t="shared" si="18"/>
        <v>1</v>
      </c>
      <c r="E645">
        <f t="shared" si="19"/>
        <v>394001</v>
      </c>
      <c r="F645" s="11">
        <v>401</v>
      </c>
      <c r="G645" s="11" t="s">
        <v>29</v>
      </c>
      <c r="H645" s="3">
        <v>108624.17</v>
      </c>
      <c r="K645" s="11"/>
      <c r="L645" s="11"/>
      <c r="M645" s="11"/>
      <c r="N645" s="11"/>
      <c r="P645" s="11"/>
      <c r="Q645" s="11"/>
      <c r="R645" s="3"/>
    </row>
    <row r="646" spans="1:18" x14ac:dyDescent="0.2">
      <c r="A646" s="11">
        <v>394</v>
      </c>
      <c r="B646" s="11">
        <v>1</v>
      </c>
      <c r="C646" s="11" t="s">
        <v>158</v>
      </c>
      <c r="D646" s="11">
        <f t="shared" si="18"/>
        <v>2</v>
      </c>
      <c r="E646">
        <f t="shared" si="19"/>
        <v>394002</v>
      </c>
      <c r="F646" s="11">
        <v>414</v>
      </c>
      <c r="G646" s="11" t="s">
        <v>9</v>
      </c>
      <c r="H646" s="3">
        <v>44018.53</v>
      </c>
      <c r="K646" s="11"/>
      <c r="L646" s="11"/>
      <c r="M646" s="11"/>
      <c r="N646" s="11"/>
      <c r="P646" s="11"/>
      <c r="Q646" s="11"/>
      <c r="R646" s="3"/>
    </row>
    <row r="647" spans="1:18" x14ac:dyDescent="0.2">
      <c r="A647" s="11">
        <v>394</v>
      </c>
      <c r="B647" s="11">
        <v>1</v>
      </c>
      <c r="C647" s="11" t="s">
        <v>158</v>
      </c>
      <c r="D647" s="11">
        <f t="shared" si="18"/>
        <v>3</v>
      </c>
      <c r="E647">
        <f t="shared" si="19"/>
        <v>394003</v>
      </c>
      <c r="F647" s="11">
        <v>419</v>
      </c>
      <c r="G647" s="11" t="s">
        <v>10</v>
      </c>
      <c r="H647" s="3">
        <v>137776.57999999999</v>
      </c>
      <c r="K647" s="11"/>
      <c r="L647" s="11"/>
      <c r="M647" s="11"/>
      <c r="N647" s="11"/>
      <c r="P647" s="11"/>
      <c r="Q647" s="11"/>
      <c r="R647" s="3"/>
    </row>
    <row r="648" spans="1:18" x14ac:dyDescent="0.2">
      <c r="A648" s="11">
        <v>394</v>
      </c>
      <c r="B648" s="11">
        <v>1</v>
      </c>
      <c r="C648" s="11" t="s">
        <v>158</v>
      </c>
      <c r="D648" s="11">
        <f t="shared" si="18"/>
        <v>4</v>
      </c>
      <c r="E648">
        <f t="shared" si="19"/>
        <v>394004</v>
      </c>
      <c r="F648" s="11">
        <v>420</v>
      </c>
      <c r="G648" s="11" t="s">
        <v>11</v>
      </c>
      <c r="H648" s="3">
        <v>13141</v>
      </c>
      <c r="K648" s="11"/>
      <c r="L648" s="11"/>
      <c r="M648" s="11"/>
      <c r="N648" s="11"/>
      <c r="P648" s="11"/>
      <c r="Q648" s="11"/>
      <c r="R648" s="3"/>
    </row>
    <row r="649" spans="1:18" x14ac:dyDescent="0.2">
      <c r="A649" s="11">
        <v>394</v>
      </c>
      <c r="B649" s="11">
        <v>1</v>
      </c>
      <c r="C649" s="11" t="s">
        <v>158</v>
      </c>
      <c r="D649" s="11">
        <f t="shared" si="18"/>
        <v>5</v>
      </c>
      <c r="E649">
        <f t="shared" si="19"/>
        <v>394005</v>
      </c>
      <c r="F649" s="11">
        <v>433</v>
      </c>
      <c r="G649" s="11" t="s">
        <v>30</v>
      </c>
      <c r="H649" s="3">
        <v>2960.72</v>
      </c>
      <c r="K649" s="11"/>
      <c r="L649" s="11"/>
      <c r="M649" s="11"/>
      <c r="N649" s="11"/>
      <c r="P649" s="11"/>
      <c r="Q649" s="11"/>
      <c r="R649" s="3"/>
    </row>
    <row r="650" spans="1:18" x14ac:dyDescent="0.2">
      <c r="A650" s="11">
        <v>394</v>
      </c>
      <c r="B650" s="11">
        <v>1</v>
      </c>
      <c r="C650" s="11" t="s">
        <v>158</v>
      </c>
      <c r="D650" s="11">
        <f t="shared" si="18"/>
        <v>6</v>
      </c>
      <c r="E650">
        <f t="shared" si="19"/>
        <v>394006</v>
      </c>
      <c r="F650" s="11">
        <v>470</v>
      </c>
      <c r="G650" s="11" t="s">
        <v>6</v>
      </c>
      <c r="H650" s="3">
        <v>66004.92</v>
      </c>
      <c r="K650" s="11"/>
      <c r="L650" s="11"/>
      <c r="M650" s="11"/>
      <c r="N650" s="11"/>
      <c r="P650" s="11"/>
      <c r="Q650" s="11"/>
      <c r="R650" s="3"/>
    </row>
    <row r="651" spans="1:18" x14ac:dyDescent="0.2">
      <c r="A651" s="11">
        <v>394</v>
      </c>
      <c r="B651" s="11">
        <v>1</v>
      </c>
      <c r="C651" s="11" t="s">
        <v>158</v>
      </c>
      <c r="D651" s="11">
        <f t="shared" si="18"/>
        <v>7</v>
      </c>
      <c r="E651">
        <f t="shared" si="19"/>
        <v>394007</v>
      </c>
      <c r="F651" s="11">
        <v>480</v>
      </c>
      <c r="G651" s="11" t="s">
        <v>19</v>
      </c>
      <c r="H651" s="3">
        <v>232477.04</v>
      </c>
      <c r="K651" s="11"/>
      <c r="L651" s="11"/>
      <c r="M651" s="11"/>
      <c r="N651" s="11"/>
      <c r="P651" s="11"/>
      <c r="Q651" s="11"/>
      <c r="R651" s="3"/>
    </row>
    <row r="652" spans="1:18" x14ac:dyDescent="0.2">
      <c r="A652" s="11">
        <v>394</v>
      </c>
      <c r="B652" s="11">
        <v>1</v>
      </c>
      <c r="C652" s="11" t="s">
        <v>158</v>
      </c>
      <c r="D652" s="11">
        <f t="shared" si="18"/>
        <v>8</v>
      </c>
      <c r="E652">
        <f t="shared" si="19"/>
        <v>394008</v>
      </c>
      <c r="F652" s="11">
        <v>484</v>
      </c>
      <c r="G652" s="11" t="s">
        <v>20</v>
      </c>
      <c r="H652" s="3">
        <v>9520.2900000000009</v>
      </c>
      <c r="K652" s="11"/>
      <c r="L652" s="11"/>
      <c r="M652" s="11"/>
      <c r="N652" s="11"/>
      <c r="P652" s="11"/>
      <c r="Q652" s="11"/>
      <c r="R652" s="3"/>
    </row>
    <row r="653" spans="1:18" x14ac:dyDescent="0.2">
      <c r="A653" s="11">
        <v>394</v>
      </c>
      <c r="B653" s="11">
        <v>1</v>
      </c>
      <c r="C653" s="11" t="s">
        <v>158</v>
      </c>
      <c r="D653" s="11">
        <f t="shared" si="18"/>
        <v>9</v>
      </c>
      <c r="E653">
        <f t="shared" si="19"/>
        <v>394009</v>
      </c>
      <c r="F653" s="11">
        <v>486</v>
      </c>
      <c r="G653" s="11" t="s">
        <v>21</v>
      </c>
      <c r="H653" s="3">
        <v>13110.5</v>
      </c>
      <c r="K653" s="11"/>
      <c r="L653" s="11"/>
      <c r="M653" s="11"/>
      <c r="N653" s="11"/>
      <c r="P653" s="11"/>
      <c r="Q653" s="11"/>
      <c r="R653" s="3"/>
    </row>
    <row r="654" spans="1:18" x14ac:dyDescent="0.2">
      <c r="A654" s="11">
        <v>397</v>
      </c>
      <c r="B654" s="11">
        <v>52</v>
      </c>
      <c r="C654" s="11" t="s">
        <v>159</v>
      </c>
      <c r="D654" s="11">
        <f t="shared" si="18"/>
        <v>1</v>
      </c>
      <c r="E654">
        <f t="shared" si="19"/>
        <v>397001</v>
      </c>
      <c r="F654" s="11">
        <v>435</v>
      </c>
      <c r="G654" s="11" t="s">
        <v>35</v>
      </c>
      <c r="H654" s="3">
        <v>5000</v>
      </c>
      <c r="K654" s="11"/>
      <c r="L654" s="11"/>
      <c r="M654" s="11"/>
      <c r="N654" s="11"/>
      <c r="P654" s="11"/>
      <c r="Q654" s="11"/>
      <c r="R654" s="3"/>
    </row>
    <row r="655" spans="1:18" x14ac:dyDescent="0.2">
      <c r="A655" s="11">
        <v>397</v>
      </c>
      <c r="B655" s="11">
        <v>52</v>
      </c>
      <c r="C655" s="11" t="s">
        <v>159</v>
      </c>
      <c r="D655" s="11">
        <f t="shared" ref="D655:D718" si="20">IF(A655=A654,D654+1,1)</f>
        <v>2</v>
      </c>
      <c r="E655">
        <f t="shared" ref="E655:E718" si="21">1000*A655+D655</f>
        <v>397002</v>
      </c>
      <c r="F655" s="11">
        <v>437</v>
      </c>
      <c r="G655" s="11" t="s">
        <v>14</v>
      </c>
      <c r="H655" s="3">
        <v>900</v>
      </c>
      <c r="K655" s="11"/>
      <c r="L655" s="11"/>
      <c r="M655" s="11"/>
      <c r="N655" s="11"/>
      <c r="P655" s="11"/>
      <c r="Q655" s="11"/>
      <c r="R655" s="3"/>
    </row>
    <row r="656" spans="1:18" x14ac:dyDescent="0.2">
      <c r="A656" s="11">
        <v>398</v>
      </c>
      <c r="B656" s="11">
        <v>52</v>
      </c>
      <c r="C656" s="11" t="s">
        <v>160</v>
      </c>
      <c r="D656" s="11">
        <f t="shared" si="20"/>
        <v>1</v>
      </c>
      <c r="E656">
        <f t="shared" si="21"/>
        <v>398001</v>
      </c>
      <c r="F656" s="11">
        <v>420</v>
      </c>
      <c r="G656" s="11" t="s">
        <v>11</v>
      </c>
      <c r="H656" s="3">
        <v>27850.1</v>
      </c>
      <c r="K656" s="11"/>
      <c r="L656" s="11"/>
      <c r="M656" s="11"/>
      <c r="N656" s="11"/>
      <c r="P656" s="11"/>
      <c r="Q656" s="11"/>
      <c r="R656" s="3"/>
    </row>
    <row r="657" spans="1:18" x14ac:dyDescent="0.2">
      <c r="A657" s="11">
        <v>398</v>
      </c>
      <c r="B657" s="11">
        <v>52</v>
      </c>
      <c r="C657" s="11" t="s">
        <v>160</v>
      </c>
      <c r="D657" s="11">
        <f t="shared" si="20"/>
        <v>2</v>
      </c>
      <c r="E657">
        <f t="shared" si="21"/>
        <v>398002</v>
      </c>
      <c r="F657" s="11">
        <v>484</v>
      </c>
      <c r="G657" s="11" t="s">
        <v>20</v>
      </c>
      <c r="H657" s="3">
        <v>29079.33</v>
      </c>
      <c r="K657" s="11"/>
      <c r="L657" s="11"/>
      <c r="M657" s="11"/>
      <c r="N657" s="11"/>
      <c r="P657" s="11"/>
      <c r="Q657" s="11"/>
      <c r="R657" s="3"/>
    </row>
    <row r="658" spans="1:18" x14ac:dyDescent="0.2">
      <c r="A658" s="11">
        <v>402</v>
      </c>
      <c r="B658" s="11">
        <v>1</v>
      </c>
      <c r="C658" s="11" t="s">
        <v>161</v>
      </c>
      <c r="D658" s="11">
        <f t="shared" si="20"/>
        <v>1</v>
      </c>
      <c r="E658">
        <f t="shared" si="21"/>
        <v>402001</v>
      </c>
      <c r="F658" s="11">
        <v>414</v>
      </c>
      <c r="G658" s="11" t="s">
        <v>9</v>
      </c>
      <c r="H658" s="3">
        <v>8625.39</v>
      </c>
      <c r="K658" s="11"/>
      <c r="L658" s="11"/>
      <c r="M658" s="11"/>
      <c r="N658" s="11"/>
      <c r="P658" s="11"/>
      <c r="Q658" s="11"/>
      <c r="R658" s="3"/>
    </row>
    <row r="659" spans="1:18" x14ac:dyDescent="0.2">
      <c r="A659" s="11">
        <v>402</v>
      </c>
      <c r="B659" s="11">
        <v>1</v>
      </c>
      <c r="C659" s="11" t="s">
        <v>161</v>
      </c>
      <c r="D659" s="11">
        <f t="shared" si="20"/>
        <v>2</v>
      </c>
      <c r="E659">
        <f t="shared" si="21"/>
        <v>402002</v>
      </c>
      <c r="F659" s="11">
        <v>433</v>
      </c>
      <c r="G659" s="11" t="s">
        <v>30</v>
      </c>
      <c r="H659" s="3">
        <v>502.42</v>
      </c>
      <c r="K659" s="11"/>
      <c r="L659" s="11"/>
      <c r="M659" s="11"/>
      <c r="N659" s="11"/>
      <c r="P659" s="11"/>
      <c r="Q659" s="11"/>
      <c r="R659" s="3"/>
    </row>
    <row r="660" spans="1:18" x14ac:dyDescent="0.2">
      <c r="A660" s="11">
        <v>402</v>
      </c>
      <c r="B660" s="11">
        <v>1</v>
      </c>
      <c r="C660" s="11" t="s">
        <v>161</v>
      </c>
      <c r="D660" s="11">
        <f t="shared" si="20"/>
        <v>3</v>
      </c>
      <c r="E660">
        <f t="shared" si="21"/>
        <v>402003</v>
      </c>
      <c r="F660" s="11">
        <v>470</v>
      </c>
      <c r="G660" s="11" t="s">
        <v>6</v>
      </c>
      <c r="H660" s="3">
        <v>12337.36</v>
      </c>
      <c r="K660" s="11"/>
      <c r="L660" s="11"/>
      <c r="M660" s="11"/>
      <c r="N660" s="11"/>
      <c r="P660" s="11"/>
      <c r="Q660" s="11"/>
      <c r="R660" s="3"/>
    </row>
    <row r="661" spans="1:18" x14ac:dyDescent="0.2">
      <c r="A661" s="11">
        <v>403</v>
      </c>
      <c r="B661" s="11">
        <v>1</v>
      </c>
      <c r="C661" s="11" t="s">
        <v>162</v>
      </c>
      <c r="D661" s="11">
        <f t="shared" si="20"/>
        <v>1</v>
      </c>
      <c r="E661">
        <f t="shared" si="21"/>
        <v>403001</v>
      </c>
      <c r="F661" s="11">
        <v>433</v>
      </c>
      <c r="G661" s="11" t="s">
        <v>30</v>
      </c>
      <c r="H661" s="3">
        <v>581.29999999999995</v>
      </c>
      <c r="K661" s="11"/>
      <c r="L661" s="11"/>
      <c r="M661" s="11"/>
      <c r="N661" s="11"/>
      <c r="P661" s="11"/>
      <c r="Q661" s="11"/>
      <c r="R661" s="3"/>
    </row>
    <row r="662" spans="1:18" x14ac:dyDescent="0.2">
      <c r="A662" s="11">
        <v>404</v>
      </c>
      <c r="B662" s="11">
        <v>1</v>
      </c>
      <c r="C662" s="11" t="s">
        <v>163</v>
      </c>
      <c r="D662" s="11">
        <f t="shared" si="20"/>
        <v>1</v>
      </c>
      <c r="E662">
        <f t="shared" si="21"/>
        <v>404001</v>
      </c>
      <c r="F662" s="11">
        <v>401</v>
      </c>
      <c r="G662" s="11" t="s">
        <v>29</v>
      </c>
      <c r="H662" s="3">
        <v>28021.72</v>
      </c>
      <c r="K662" s="11"/>
      <c r="L662" s="11"/>
      <c r="M662" s="11"/>
      <c r="N662" s="11"/>
      <c r="P662" s="11"/>
      <c r="Q662" s="11"/>
      <c r="R662" s="3"/>
    </row>
    <row r="663" spans="1:18" x14ac:dyDescent="0.2">
      <c r="A663" s="11">
        <v>404</v>
      </c>
      <c r="B663" s="11">
        <v>1</v>
      </c>
      <c r="C663" s="11" t="s">
        <v>163</v>
      </c>
      <c r="D663" s="11">
        <f t="shared" si="20"/>
        <v>2</v>
      </c>
      <c r="E663">
        <f t="shared" si="21"/>
        <v>404002</v>
      </c>
      <c r="F663" s="11">
        <v>414</v>
      </c>
      <c r="G663" s="11" t="s">
        <v>9</v>
      </c>
      <c r="H663" s="3">
        <v>10483</v>
      </c>
      <c r="K663" s="11"/>
      <c r="L663" s="11"/>
      <c r="M663" s="11"/>
      <c r="N663" s="11"/>
      <c r="P663" s="11"/>
      <c r="Q663" s="11"/>
      <c r="R663" s="3"/>
    </row>
    <row r="664" spans="1:18" x14ac:dyDescent="0.2">
      <c r="A664" s="11">
        <v>404</v>
      </c>
      <c r="B664" s="11">
        <v>1</v>
      </c>
      <c r="C664" s="11" t="s">
        <v>163</v>
      </c>
      <c r="D664" s="11">
        <f t="shared" si="20"/>
        <v>3</v>
      </c>
      <c r="E664">
        <f t="shared" si="21"/>
        <v>404003</v>
      </c>
      <c r="F664" s="11">
        <v>433</v>
      </c>
      <c r="G664" s="11" t="s">
        <v>30</v>
      </c>
      <c r="H664" s="3">
        <v>501.76</v>
      </c>
      <c r="K664" s="11"/>
      <c r="L664" s="11"/>
      <c r="M664" s="11"/>
      <c r="N664" s="11"/>
      <c r="P664" s="11"/>
      <c r="Q664" s="11"/>
      <c r="R664" s="3"/>
    </row>
    <row r="665" spans="1:18" x14ac:dyDescent="0.2">
      <c r="A665" s="11">
        <v>413</v>
      </c>
      <c r="B665" s="11">
        <v>1</v>
      </c>
      <c r="C665" s="11" t="s">
        <v>164</v>
      </c>
      <c r="D665" s="11">
        <f t="shared" si="20"/>
        <v>1</v>
      </c>
      <c r="E665">
        <f t="shared" si="21"/>
        <v>413001</v>
      </c>
      <c r="F665" s="11">
        <v>433</v>
      </c>
      <c r="G665" s="11" t="s">
        <v>30</v>
      </c>
      <c r="H665" s="3">
        <v>6427.7</v>
      </c>
      <c r="K665" s="11"/>
      <c r="L665" s="11"/>
      <c r="M665" s="11"/>
      <c r="N665" s="11"/>
      <c r="P665" s="11"/>
      <c r="Q665" s="11"/>
      <c r="R665" s="3"/>
    </row>
    <row r="666" spans="1:18" x14ac:dyDescent="0.2">
      <c r="A666" s="11">
        <v>413</v>
      </c>
      <c r="B666" s="11">
        <v>1</v>
      </c>
      <c r="C666" s="11" t="s">
        <v>164</v>
      </c>
      <c r="D666" s="11">
        <f t="shared" si="20"/>
        <v>2</v>
      </c>
      <c r="E666">
        <f t="shared" si="21"/>
        <v>413002</v>
      </c>
      <c r="F666" s="11">
        <v>438</v>
      </c>
      <c r="G666" s="11" t="s">
        <v>15</v>
      </c>
      <c r="H666" s="3">
        <v>61954.92</v>
      </c>
      <c r="K666" s="11"/>
      <c r="L666" s="11"/>
      <c r="M666" s="11"/>
      <c r="N666" s="11"/>
      <c r="P666" s="11"/>
      <c r="Q666" s="11"/>
      <c r="R666" s="3"/>
    </row>
    <row r="667" spans="1:18" x14ac:dyDescent="0.2">
      <c r="A667" s="11">
        <v>413</v>
      </c>
      <c r="B667" s="11">
        <v>1</v>
      </c>
      <c r="C667" s="11" t="s">
        <v>164</v>
      </c>
      <c r="D667" s="11">
        <f t="shared" si="20"/>
        <v>3</v>
      </c>
      <c r="E667">
        <f t="shared" si="21"/>
        <v>413003</v>
      </c>
      <c r="F667" s="11">
        <v>801</v>
      </c>
      <c r="G667" s="11" t="s">
        <v>22</v>
      </c>
      <c r="H667" s="3">
        <v>40000</v>
      </c>
      <c r="K667" s="11"/>
      <c r="L667" s="11"/>
      <c r="M667" s="11"/>
      <c r="N667" s="11"/>
      <c r="P667" s="11"/>
      <c r="Q667" s="11"/>
      <c r="R667" s="3"/>
    </row>
    <row r="668" spans="1:18" x14ac:dyDescent="0.2">
      <c r="A668" s="11">
        <v>415</v>
      </c>
      <c r="B668" s="11">
        <v>1</v>
      </c>
      <c r="C668" s="11" t="s">
        <v>165</v>
      </c>
      <c r="D668" s="11">
        <f t="shared" si="20"/>
        <v>1</v>
      </c>
      <c r="E668">
        <f t="shared" si="21"/>
        <v>415001</v>
      </c>
      <c r="F668" s="11">
        <v>401</v>
      </c>
      <c r="G668" s="11" t="s">
        <v>29</v>
      </c>
      <c r="H668" s="3">
        <v>14267.45</v>
      </c>
      <c r="K668" s="11"/>
      <c r="L668" s="11"/>
      <c r="M668" s="11"/>
      <c r="N668" s="11"/>
      <c r="P668" s="11"/>
      <c r="Q668" s="11"/>
      <c r="R668" s="3"/>
    </row>
    <row r="669" spans="1:18" x14ac:dyDescent="0.2">
      <c r="A669" s="11">
        <v>415</v>
      </c>
      <c r="B669" s="11">
        <v>1</v>
      </c>
      <c r="C669" s="11" t="s">
        <v>165</v>
      </c>
      <c r="D669" s="11">
        <f t="shared" si="20"/>
        <v>2</v>
      </c>
      <c r="E669">
        <f t="shared" si="21"/>
        <v>415002</v>
      </c>
      <c r="F669" s="11">
        <v>414</v>
      </c>
      <c r="G669" s="11" t="s">
        <v>9</v>
      </c>
      <c r="H669" s="3">
        <v>6940.07</v>
      </c>
      <c r="K669" s="11"/>
      <c r="L669" s="11"/>
      <c r="M669" s="11"/>
      <c r="N669" s="11"/>
      <c r="P669" s="11"/>
      <c r="Q669" s="11"/>
      <c r="R669" s="3"/>
    </row>
    <row r="670" spans="1:18" x14ac:dyDescent="0.2">
      <c r="A670" s="11">
        <v>415</v>
      </c>
      <c r="B670" s="11">
        <v>1</v>
      </c>
      <c r="C670" s="11" t="s">
        <v>165</v>
      </c>
      <c r="D670" s="11">
        <f t="shared" si="20"/>
        <v>3</v>
      </c>
      <c r="E670">
        <f t="shared" si="21"/>
        <v>415003</v>
      </c>
      <c r="F670" s="11">
        <v>433</v>
      </c>
      <c r="G670" s="11" t="s">
        <v>30</v>
      </c>
      <c r="H670" s="3">
        <v>354.9</v>
      </c>
      <c r="K670" s="11"/>
      <c r="L670" s="11"/>
      <c r="M670" s="11"/>
      <c r="N670" s="11"/>
      <c r="P670" s="11"/>
      <c r="Q670" s="11"/>
      <c r="R670" s="3"/>
    </row>
    <row r="671" spans="1:18" x14ac:dyDescent="0.2">
      <c r="A671" s="11">
        <v>415</v>
      </c>
      <c r="B671" s="11">
        <v>1</v>
      </c>
      <c r="C671" s="11" t="s">
        <v>165</v>
      </c>
      <c r="D671" s="11">
        <f t="shared" si="20"/>
        <v>4</v>
      </c>
      <c r="E671">
        <f t="shared" si="21"/>
        <v>415004</v>
      </c>
      <c r="F671" s="11">
        <v>470</v>
      </c>
      <c r="G671" s="11" t="s">
        <v>6</v>
      </c>
      <c r="H671" s="3">
        <v>8636.15</v>
      </c>
      <c r="K671" s="11"/>
      <c r="L671" s="11"/>
      <c r="M671" s="11"/>
      <c r="N671" s="11"/>
      <c r="P671" s="11"/>
      <c r="Q671" s="11"/>
      <c r="R671" s="3"/>
    </row>
    <row r="672" spans="1:18" x14ac:dyDescent="0.2">
      <c r="A672" s="11">
        <v>423</v>
      </c>
      <c r="B672" s="11">
        <v>1</v>
      </c>
      <c r="C672" s="11" t="s">
        <v>166</v>
      </c>
      <c r="D672" s="11">
        <f t="shared" si="20"/>
        <v>1</v>
      </c>
      <c r="E672">
        <f t="shared" si="21"/>
        <v>423001</v>
      </c>
      <c r="F672" s="11">
        <v>433</v>
      </c>
      <c r="G672" s="11" t="s">
        <v>30</v>
      </c>
      <c r="H672" s="3">
        <v>7748.91</v>
      </c>
      <c r="K672" s="11"/>
      <c r="L672" s="11"/>
      <c r="M672" s="11"/>
      <c r="N672" s="11"/>
      <c r="P672" s="11"/>
      <c r="Q672" s="11"/>
      <c r="R672" s="3"/>
    </row>
    <row r="673" spans="1:18" x14ac:dyDescent="0.2">
      <c r="A673" s="11">
        <v>423</v>
      </c>
      <c r="B673" s="11">
        <v>1</v>
      </c>
      <c r="C673" s="11" t="s">
        <v>166</v>
      </c>
      <c r="D673" s="11">
        <f t="shared" si="20"/>
        <v>2</v>
      </c>
      <c r="E673">
        <f t="shared" si="21"/>
        <v>423002</v>
      </c>
      <c r="F673" s="11">
        <v>435</v>
      </c>
      <c r="G673" s="11" t="s">
        <v>35</v>
      </c>
      <c r="H673" s="3">
        <v>5000</v>
      </c>
      <c r="K673" s="11"/>
      <c r="L673" s="11"/>
      <c r="M673" s="11"/>
      <c r="N673" s="11"/>
      <c r="P673" s="11"/>
      <c r="Q673" s="11"/>
      <c r="R673" s="3"/>
    </row>
    <row r="674" spans="1:18" x14ac:dyDescent="0.2">
      <c r="A674" s="11">
        <v>423</v>
      </c>
      <c r="B674" s="11">
        <v>1</v>
      </c>
      <c r="C674" s="11" t="s">
        <v>166</v>
      </c>
      <c r="D674" s="11">
        <f t="shared" si="20"/>
        <v>3</v>
      </c>
      <c r="E674">
        <f t="shared" si="21"/>
        <v>423003</v>
      </c>
      <c r="F674" s="11">
        <v>437</v>
      </c>
      <c r="G674" s="11" t="s">
        <v>14</v>
      </c>
      <c r="H674" s="3">
        <v>780</v>
      </c>
      <c r="K674" s="11"/>
      <c r="L674" s="11"/>
      <c r="M674" s="11"/>
      <c r="N674" s="11"/>
      <c r="P674" s="11"/>
      <c r="Q674" s="11"/>
      <c r="R674" s="3"/>
    </row>
    <row r="675" spans="1:18" x14ac:dyDescent="0.2">
      <c r="A675" s="11">
        <v>423</v>
      </c>
      <c r="B675" s="11">
        <v>1</v>
      </c>
      <c r="C675" s="11" t="s">
        <v>166</v>
      </c>
      <c r="D675" s="11">
        <f t="shared" si="20"/>
        <v>4</v>
      </c>
      <c r="E675">
        <f t="shared" si="21"/>
        <v>423004</v>
      </c>
      <c r="F675" s="11">
        <v>441</v>
      </c>
      <c r="G675" s="11" t="s">
        <v>16</v>
      </c>
      <c r="H675" s="3">
        <v>2475</v>
      </c>
      <c r="K675" s="11"/>
      <c r="L675" s="11"/>
      <c r="M675" s="11"/>
      <c r="N675" s="11"/>
      <c r="P675" s="11"/>
      <c r="Q675" s="11"/>
      <c r="R675" s="3"/>
    </row>
    <row r="676" spans="1:18" x14ac:dyDescent="0.2">
      <c r="A676" s="11">
        <v>423</v>
      </c>
      <c r="B676" s="11">
        <v>1</v>
      </c>
      <c r="C676" s="11" t="s">
        <v>166</v>
      </c>
      <c r="D676" s="11">
        <f t="shared" si="20"/>
        <v>5</v>
      </c>
      <c r="E676">
        <f t="shared" si="21"/>
        <v>423005</v>
      </c>
      <c r="F676" s="11">
        <v>486</v>
      </c>
      <c r="G676" s="11" t="s">
        <v>21</v>
      </c>
      <c r="H676" s="3">
        <v>36828.6</v>
      </c>
      <c r="K676" s="11"/>
      <c r="L676" s="11"/>
      <c r="M676" s="11"/>
      <c r="N676" s="11"/>
      <c r="P676" s="11"/>
      <c r="Q676" s="11"/>
      <c r="R676" s="3"/>
    </row>
    <row r="677" spans="1:18" x14ac:dyDescent="0.2">
      <c r="A677" s="11">
        <v>424</v>
      </c>
      <c r="B677" s="11">
        <v>1</v>
      </c>
      <c r="C677" s="11" t="s">
        <v>167</v>
      </c>
      <c r="D677" s="11">
        <f t="shared" si="20"/>
        <v>1</v>
      </c>
      <c r="E677">
        <f t="shared" si="21"/>
        <v>424001</v>
      </c>
      <c r="F677" s="11">
        <v>401</v>
      </c>
      <c r="G677" s="11" t="s">
        <v>29</v>
      </c>
      <c r="H677" s="3">
        <v>63693.95</v>
      </c>
      <c r="K677" s="11"/>
      <c r="L677" s="11"/>
      <c r="M677" s="11"/>
      <c r="N677" s="11"/>
      <c r="P677" s="11"/>
      <c r="Q677" s="11"/>
      <c r="R677" s="3"/>
    </row>
    <row r="678" spans="1:18" x14ac:dyDescent="0.2">
      <c r="A678" s="11">
        <v>424</v>
      </c>
      <c r="B678" s="11">
        <v>1</v>
      </c>
      <c r="C678" s="11" t="s">
        <v>167</v>
      </c>
      <c r="D678" s="11">
        <f t="shared" si="20"/>
        <v>2</v>
      </c>
      <c r="E678">
        <f t="shared" si="21"/>
        <v>424002</v>
      </c>
      <c r="F678" s="11">
        <v>414</v>
      </c>
      <c r="G678" s="11" t="s">
        <v>9</v>
      </c>
      <c r="H678" s="3">
        <v>20123.41</v>
      </c>
      <c r="K678" s="11"/>
      <c r="L678" s="11"/>
      <c r="M678" s="11"/>
      <c r="N678" s="11"/>
      <c r="P678" s="11"/>
      <c r="Q678" s="11"/>
      <c r="R678" s="3"/>
    </row>
    <row r="679" spans="1:18" x14ac:dyDescent="0.2">
      <c r="A679" s="11">
        <v>424</v>
      </c>
      <c r="B679" s="11">
        <v>1</v>
      </c>
      <c r="C679" s="11" t="s">
        <v>167</v>
      </c>
      <c r="D679" s="11">
        <f t="shared" si="20"/>
        <v>3</v>
      </c>
      <c r="E679">
        <f t="shared" si="21"/>
        <v>424003</v>
      </c>
      <c r="F679" s="11">
        <v>433</v>
      </c>
      <c r="G679" s="11" t="s">
        <v>30</v>
      </c>
      <c r="H679" s="3">
        <v>1419.99</v>
      </c>
      <c r="K679" s="11"/>
      <c r="L679" s="11"/>
      <c r="M679" s="11"/>
      <c r="N679" s="11"/>
      <c r="P679" s="11"/>
      <c r="Q679" s="11"/>
      <c r="R679" s="3"/>
    </row>
    <row r="680" spans="1:18" x14ac:dyDescent="0.2">
      <c r="A680" s="11">
        <v>424</v>
      </c>
      <c r="B680" s="11">
        <v>1</v>
      </c>
      <c r="C680" s="11" t="s">
        <v>167</v>
      </c>
      <c r="D680" s="11">
        <f t="shared" si="20"/>
        <v>4</v>
      </c>
      <c r="E680">
        <f t="shared" si="21"/>
        <v>424004</v>
      </c>
      <c r="F680" s="11">
        <v>470</v>
      </c>
      <c r="G680" s="11" t="s">
        <v>6</v>
      </c>
      <c r="H680" s="3">
        <v>37012.1</v>
      </c>
      <c r="K680" s="11"/>
      <c r="L680" s="11"/>
      <c r="M680" s="11"/>
      <c r="N680" s="11"/>
      <c r="P680" s="11"/>
      <c r="Q680" s="11"/>
      <c r="R680" s="3"/>
    </row>
    <row r="681" spans="1:18" x14ac:dyDescent="0.2">
      <c r="A681" s="11">
        <v>432</v>
      </c>
      <c r="B681" s="11">
        <v>1</v>
      </c>
      <c r="C681" s="11" t="s">
        <v>168</v>
      </c>
      <c r="D681" s="11">
        <f t="shared" si="20"/>
        <v>1</v>
      </c>
      <c r="E681">
        <f t="shared" si="21"/>
        <v>432001</v>
      </c>
      <c r="F681" s="11">
        <v>151</v>
      </c>
      <c r="G681" s="11" t="s">
        <v>28</v>
      </c>
      <c r="H681" s="3">
        <v>314842.5</v>
      </c>
      <c r="K681" s="11"/>
      <c r="L681" s="11"/>
      <c r="M681" s="11"/>
      <c r="N681" s="11"/>
      <c r="P681" s="11"/>
      <c r="Q681" s="11"/>
      <c r="R681" s="3"/>
    </row>
    <row r="682" spans="1:18" x14ac:dyDescent="0.2">
      <c r="A682" s="11">
        <v>432</v>
      </c>
      <c r="B682" s="11">
        <v>1</v>
      </c>
      <c r="C682" s="11" t="s">
        <v>168</v>
      </c>
      <c r="D682" s="11">
        <f t="shared" si="20"/>
        <v>2</v>
      </c>
      <c r="E682">
        <f t="shared" si="21"/>
        <v>432002</v>
      </c>
      <c r="F682" s="11">
        <v>401</v>
      </c>
      <c r="G682" s="11" t="s">
        <v>29</v>
      </c>
      <c r="H682" s="3">
        <v>283810.34999999998</v>
      </c>
      <c r="K682" s="11"/>
      <c r="L682" s="11"/>
      <c r="M682" s="11"/>
      <c r="N682" s="11"/>
      <c r="P682" s="11"/>
      <c r="Q682" s="11"/>
      <c r="R682" s="3"/>
    </row>
    <row r="683" spans="1:18" x14ac:dyDescent="0.2">
      <c r="A683" s="11">
        <v>432</v>
      </c>
      <c r="B683" s="11">
        <v>1</v>
      </c>
      <c r="C683" s="11" t="s">
        <v>168</v>
      </c>
      <c r="D683" s="11">
        <f t="shared" si="20"/>
        <v>3</v>
      </c>
      <c r="E683">
        <f t="shared" si="21"/>
        <v>432003</v>
      </c>
      <c r="F683" s="11">
        <v>414</v>
      </c>
      <c r="G683" s="11" t="s">
        <v>9</v>
      </c>
      <c r="H683" s="3">
        <v>65442.36</v>
      </c>
      <c r="K683" s="11"/>
      <c r="L683" s="11"/>
      <c r="M683" s="11"/>
      <c r="N683" s="11"/>
      <c r="P683" s="11"/>
      <c r="Q683" s="11"/>
      <c r="R683" s="3"/>
    </row>
    <row r="684" spans="1:18" x14ac:dyDescent="0.2">
      <c r="A684" s="11">
        <v>432</v>
      </c>
      <c r="B684" s="11">
        <v>1</v>
      </c>
      <c r="C684" s="11" t="s">
        <v>168</v>
      </c>
      <c r="D684" s="11">
        <f t="shared" si="20"/>
        <v>4</v>
      </c>
      <c r="E684">
        <f t="shared" si="21"/>
        <v>432004</v>
      </c>
      <c r="F684" s="11">
        <v>433</v>
      </c>
      <c r="G684" s="11" t="s">
        <v>30</v>
      </c>
      <c r="H684" s="3">
        <v>4692.22</v>
      </c>
      <c r="K684" s="11"/>
      <c r="L684" s="11"/>
      <c r="M684" s="11"/>
      <c r="N684" s="11"/>
      <c r="P684" s="11"/>
      <c r="Q684" s="11"/>
      <c r="R684" s="3"/>
    </row>
    <row r="685" spans="1:18" x14ac:dyDescent="0.2">
      <c r="A685" s="11">
        <v>432</v>
      </c>
      <c r="B685" s="11">
        <v>1</v>
      </c>
      <c r="C685" s="11" t="s">
        <v>168</v>
      </c>
      <c r="D685" s="11">
        <f t="shared" si="20"/>
        <v>5</v>
      </c>
      <c r="E685">
        <f t="shared" si="21"/>
        <v>432005</v>
      </c>
      <c r="F685" s="11">
        <v>470</v>
      </c>
      <c r="G685" s="11" t="s">
        <v>6</v>
      </c>
      <c r="H685" s="3">
        <v>214090.47</v>
      </c>
      <c r="K685" s="11"/>
      <c r="L685" s="11"/>
      <c r="M685" s="11"/>
      <c r="N685" s="11"/>
      <c r="P685" s="11"/>
      <c r="Q685" s="11"/>
      <c r="R685" s="3"/>
    </row>
    <row r="686" spans="1:18" x14ac:dyDescent="0.2">
      <c r="A686" s="11">
        <v>441</v>
      </c>
      <c r="B686" s="11">
        <v>1</v>
      </c>
      <c r="C686" s="11" t="s">
        <v>169</v>
      </c>
      <c r="D686" s="11">
        <f t="shared" si="20"/>
        <v>1</v>
      </c>
      <c r="E686">
        <f t="shared" si="21"/>
        <v>441001</v>
      </c>
      <c r="F686" s="11">
        <v>401</v>
      </c>
      <c r="G686" s="11" t="s">
        <v>29</v>
      </c>
      <c r="H686" s="3">
        <v>33970.1</v>
      </c>
      <c r="K686" s="11"/>
      <c r="L686" s="11"/>
      <c r="M686" s="11"/>
      <c r="N686" s="11"/>
      <c r="P686" s="11"/>
      <c r="Q686" s="11"/>
      <c r="R686" s="3"/>
    </row>
    <row r="687" spans="1:18" x14ac:dyDescent="0.2">
      <c r="A687" s="11">
        <v>441</v>
      </c>
      <c r="B687" s="11">
        <v>1</v>
      </c>
      <c r="C687" s="11" t="s">
        <v>169</v>
      </c>
      <c r="D687" s="11">
        <f t="shared" si="20"/>
        <v>2</v>
      </c>
      <c r="E687">
        <f t="shared" si="21"/>
        <v>441002</v>
      </c>
      <c r="F687" s="11">
        <v>414</v>
      </c>
      <c r="G687" s="11" t="s">
        <v>9</v>
      </c>
      <c r="H687" s="3">
        <v>21224.51</v>
      </c>
      <c r="K687" s="11"/>
      <c r="L687" s="11"/>
      <c r="M687" s="11"/>
      <c r="N687" s="11"/>
      <c r="P687" s="11"/>
      <c r="Q687" s="11"/>
      <c r="R687" s="3"/>
    </row>
    <row r="688" spans="1:18" x14ac:dyDescent="0.2">
      <c r="A688" s="11">
        <v>441</v>
      </c>
      <c r="B688" s="11">
        <v>1</v>
      </c>
      <c r="C688" s="11" t="s">
        <v>169</v>
      </c>
      <c r="D688" s="11">
        <f t="shared" si="20"/>
        <v>3</v>
      </c>
      <c r="E688">
        <f t="shared" si="21"/>
        <v>441003</v>
      </c>
      <c r="F688" s="11">
        <v>433</v>
      </c>
      <c r="G688" s="11" t="s">
        <v>30</v>
      </c>
      <c r="H688" s="3">
        <v>959.73</v>
      </c>
      <c r="K688" s="11"/>
      <c r="L688" s="11"/>
      <c r="M688" s="11"/>
      <c r="N688" s="11"/>
      <c r="P688" s="11"/>
      <c r="Q688" s="11"/>
      <c r="R688" s="3"/>
    </row>
    <row r="689" spans="1:18" x14ac:dyDescent="0.2">
      <c r="A689" s="11">
        <v>441</v>
      </c>
      <c r="B689" s="11">
        <v>1</v>
      </c>
      <c r="C689" s="11" t="s">
        <v>169</v>
      </c>
      <c r="D689" s="11">
        <f t="shared" si="20"/>
        <v>4</v>
      </c>
      <c r="E689">
        <f t="shared" si="21"/>
        <v>441004</v>
      </c>
      <c r="F689" s="11">
        <v>470</v>
      </c>
      <c r="G689" s="11" t="s">
        <v>6</v>
      </c>
      <c r="H689" s="3">
        <v>20356.66</v>
      </c>
      <c r="K689" s="11"/>
      <c r="L689" s="11"/>
      <c r="M689" s="11"/>
      <c r="N689" s="11"/>
      <c r="P689" s="11"/>
      <c r="Q689" s="11"/>
      <c r="R689" s="3"/>
    </row>
    <row r="690" spans="1:18" x14ac:dyDescent="0.2">
      <c r="A690" s="11">
        <v>447</v>
      </c>
      <c r="B690" s="11">
        <v>1</v>
      </c>
      <c r="C690" s="11" t="s">
        <v>170</v>
      </c>
      <c r="D690" s="11">
        <f t="shared" si="20"/>
        <v>1</v>
      </c>
      <c r="E690">
        <f t="shared" si="21"/>
        <v>447001</v>
      </c>
      <c r="F690" s="11">
        <v>401</v>
      </c>
      <c r="G690" s="11" t="s">
        <v>29</v>
      </c>
      <c r="H690" s="3">
        <v>31686.02</v>
      </c>
      <c r="K690" s="11"/>
      <c r="L690" s="11"/>
      <c r="M690" s="11"/>
      <c r="N690" s="11"/>
      <c r="P690" s="11"/>
      <c r="Q690" s="11"/>
      <c r="R690" s="3"/>
    </row>
    <row r="691" spans="1:18" x14ac:dyDescent="0.2">
      <c r="A691" s="11">
        <v>447</v>
      </c>
      <c r="B691" s="11">
        <v>1</v>
      </c>
      <c r="C691" s="11" t="s">
        <v>170</v>
      </c>
      <c r="D691" s="11">
        <f t="shared" si="20"/>
        <v>2</v>
      </c>
      <c r="E691">
        <f t="shared" si="21"/>
        <v>447002</v>
      </c>
      <c r="F691" s="11">
        <v>414</v>
      </c>
      <c r="G691" s="11" t="s">
        <v>9</v>
      </c>
      <c r="H691" s="3">
        <v>11893.33</v>
      </c>
      <c r="K691" s="11"/>
      <c r="L691" s="11"/>
      <c r="M691" s="11"/>
      <c r="N691" s="11"/>
      <c r="P691" s="11"/>
      <c r="Q691" s="11"/>
      <c r="R691" s="3"/>
    </row>
    <row r="692" spans="1:18" x14ac:dyDescent="0.2">
      <c r="A692" s="11">
        <v>447</v>
      </c>
      <c r="B692" s="11">
        <v>1</v>
      </c>
      <c r="C692" s="11" t="s">
        <v>170</v>
      </c>
      <c r="D692" s="11">
        <f t="shared" si="20"/>
        <v>3</v>
      </c>
      <c r="E692">
        <f t="shared" si="21"/>
        <v>447003</v>
      </c>
      <c r="F692" s="11">
        <v>433</v>
      </c>
      <c r="G692" s="11" t="s">
        <v>30</v>
      </c>
      <c r="H692" s="3">
        <v>677.53</v>
      </c>
      <c r="K692" s="11"/>
      <c r="L692" s="11"/>
      <c r="M692" s="11"/>
      <c r="N692" s="11"/>
      <c r="P692" s="11"/>
      <c r="Q692" s="11"/>
      <c r="R692" s="3"/>
    </row>
    <row r="693" spans="1:18" x14ac:dyDescent="0.2">
      <c r="A693" s="11">
        <v>447</v>
      </c>
      <c r="B693" s="11">
        <v>1</v>
      </c>
      <c r="C693" s="11" t="s">
        <v>170</v>
      </c>
      <c r="D693" s="11">
        <f t="shared" si="20"/>
        <v>4</v>
      </c>
      <c r="E693">
        <f t="shared" si="21"/>
        <v>447004</v>
      </c>
      <c r="F693" s="11">
        <v>470</v>
      </c>
      <c r="G693" s="11" t="s">
        <v>6</v>
      </c>
      <c r="H693" s="3">
        <v>17029.18</v>
      </c>
      <c r="K693" s="11"/>
      <c r="L693" s="11"/>
      <c r="M693" s="11"/>
      <c r="N693" s="11"/>
      <c r="P693" s="11"/>
      <c r="Q693" s="11"/>
      <c r="R693" s="3"/>
    </row>
    <row r="694" spans="1:18" x14ac:dyDescent="0.2">
      <c r="A694" s="11">
        <v>458</v>
      </c>
      <c r="B694" s="11">
        <v>1</v>
      </c>
      <c r="C694" s="11" t="s">
        <v>171</v>
      </c>
      <c r="D694" s="11">
        <f t="shared" si="20"/>
        <v>1</v>
      </c>
      <c r="E694">
        <f t="shared" si="21"/>
        <v>458001</v>
      </c>
      <c r="F694" s="11">
        <v>470</v>
      </c>
      <c r="G694" s="11" t="s">
        <v>6</v>
      </c>
      <c r="H694" s="3">
        <v>32077.16</v>
      </c>
      <c r="K694" s="11"/>
      <c r="L694" s="11"/>
      <c r="M694" s="11"/>
      <c r="N694" s="11"/>
      <c r="P694" s="11"/>
      <c r="Q694" s="11"/>
      <c r="R694" s="3"/>
    </row>
    <row r="695" spans="1:18" x14ac:dyDescent="0.2">
      <c r="A695" s="11">
        <v>465</v>
      </c>
      <c r="B695" s="11">
        <v>1</v>
      </c>
      <c r="C695" s="11" t="s">
        <v>173</v>
      </c>
      <c r="D695" s="11">
        <f t="shared" si="20"/>
        <v>1</v>
      </c>
      <c r="E695">
        <f t="shared" si="21"/>
        <v>465001</v>
      </c>
      <c r="F695" s="11">
        <v>433</v>
      </c>
      <c r="G695" s="11" t="s">
        <v>30</v>
      </c>
      <c r="H695" s="3">
        <v>5035.78</v>
      </c>
      <c r="K695" s="11"/>
      <c r="L695" s="11"/>
      <c r="M695" s="11"/>
      <c r="N695" s="11"/>
      <c r="P695" s="11"/>
      <c r="Q695" s="11"/>
      <c r="R695" s="3"/>
    </row>
    <row r="696" spans="1:18" x14ac:dyDescent="0.2">
      <c r="A696" s="11">
        <v>465</v>
      </c>
      <c r="B696" s="11">
        <v>1</v>
      </c>
      <c r="C696" s="11" t="s">
        <v>173</v>
      </c>
      <c r="D696" s="11">
        <f t="shared" si="20"/>
        <v>2</v>
      </c>
      <c r="E696">
        <f t="shared" si="21"/>
        <v>465002</v>
      </c>
      <c r="F696" s="11">
        <v>470</v>
      </c>
      <c r="G696" s="11" t="s">
        <v>6</v>
      </c>
      <c r="H696" s="3">
        <v>125224.29</v>
      </c>
      <c r="K696" s="11"/>
      <c r="L696" s="11"/>
      <c r="M696" s="11"/>
      <c r="N696" s="11"/>
      <c r="P696" s="11"/>
      <c r="Q696" s="11"/>
      <c r="R696" s="3"/>
    </row>
    <row r="697" spans="1:18" x14ac:dyDescent="0.2">
      <c r="A697" s="11">
        <v>466</v>
      </c>
      <c r="B697" s="11">
        <v>1</v>
      </c>
      <c r="C697" s="11" t="s">
        <v>174</v>
      </c>
      <c r="D697" s="11">
        <f t="shared" si="20"/>
        <v>1</v>
      </c>
      <c r="E697">
        <f t="shared" si="21"/>
        <v>466001</v>
      </c>
      <c r="F697" s="11">
        <v>406</v>
      </c>
      <c r="G697" s="11" t="s">
        <v>8</v>
      </c>
      <c r="H697" s="3">
        <v>50292.46</v>
      </c>
      <c r="K697" s="11"/>
      <c r="L697" s="11"/>
      <c r="M697" s="11"/>
      <c r="N697" s="11"/>
      <c r="P697" s="11"/>
      <c r="Q697" s="11"/>
      <c r="R697" s="3"/>
    </row>
    <row r="698" spans="1:18" x14ac:dyDescent="0.2">
      <c r="A698" s="11">
        <v>466</v>
      </c>
      <c r="B698" s="11">
        <v>1</v>
      </c>
      <c r="C698" s="11" t="s">
        <v>174</v>
      </c>
      <c r="D698" s="11">
        <f t="shared" si="20"/>
        <v>2</v>
      </c>
      <c r="E698">
        <f t="shared" si="21"/>
        <v>466002</v>
      </c>
      <c r="F698" s="11">
        <v>433</v>
      </c>
      <c r="G698" s="11" t="s">
        <v>30</v>
      </c>
      <c r="H698" s="3">
        <v>5776.99</v>
      </c>
      <c r="K698" s="11"/>
      <c r="L698" s="11"/>
      <c r="M698" s="11"/>
      <c r="N698" s="11"/>
      <c r="P698" s="11"/>
      <c r="Q698" s="11"/>
      <c r="R698" s="3"/>
    </row>
    <row r="699" spans="1:18" x14ac:dyDescent="0.2">
      <c r="A699" s="11">
        <v>473</v>
      </c>
      <c r="B699" s="11">
        <v>1</v>
      </c>
      <c r="C699" s="11" t="s">
        <v>175</v>
      </c>
      <c r="D699" s="11">
        <f t="shared" si="20"/>
        <v>1</v>
      </c>
      <c r="E699">
        <f t="shared" si="21"/>
        <v>473001</v>
      </c>
      <c r="F699" s="11">
        <v>414</v>
      </c>
      <c r="G699" s="11" t="s">
        <v>9</v>
      </c>
      <c r="H699" s="3">
        <v>24074.19</v>
      </c>
      <c r="K699" s="11"/>
      <c r="L699" s="11"/>
      <c r="M699" s="11"/>
      <c r="N699" s="11"/>
      <c r="P699" s="11"/>
      <c r="Q699" s="11"/>
      <c r="R699" s="3"/>
    </row>
    <row r="700" spans="1:18" x14ac:dyDescent="0.2">
      <c r="A700" s="11">
        <v>473</v>
      </c>
      <c r="B700" s="11">
        <v>1</v>
      </c>
      <c r="C700" s="11" t="s">
        <v>175</v>
      </c>
      <c r="D700" s="11">
        <f t="shared" si="20"/>
        <v>2</v>
      </c>
      <c r="E700">
        <f t="shared" si="21"/>
        <v>473002</v>
      </c>
      <c r="F700" s="11">
        <v>433</v>
      </c>
      <c r="G700" s="11" t="s">
        <v>30</v>
      </c>
      <c r="H700" s="3">
        <v>1276.69</v>
      </c>
      <c r="K700" s="11"/>
      <c r="L700" s="11"/>
      <c r="M700" s="11"/>
      <c r="N700" s="11"/>
      <c r="P700" s="11"/>
      <c r="Q700" s="11"/>
      <c r="R700" s="3"/>
    </row>
    <row r="701" spans="1:18" x14ac:dyDescent="0.2">
      <c r="A701" s="11">
        <v>473</v>
      </c>
      <c r="B701" s="11">
        <v>1</v>
      </c>
      <c r="C701" s="11" t="s">
        <v>175</v>
      </c>
      <c r="D701" s="11">
        <f t="shared" si="20"/>
        <v>3</v>
      </c>
      <c r="E701">
        <f t="shared" si="21"/>
        <v>473003</v>
      </c>
      <c r="F701" s="11">
        <v>470</v>
      </c>
      <c r="G701" s="11" t="s">
        <v>6</v>
      </c>
      <c r="H701" s="3">
        <v>24674.74</v>
      </c>
      <c r="K701" s="11"/>
      <c r="L701" s="11"/>
      <c r="M701" s="11"/>
      <c r="N701" s="11"/>
      <c r="P701" s="11"/>
      <c r="Q701" s="11"/>
      <c r="R701" s="3"/>
    </row>
    <row r="702" spans="1:18" x14ac:dyDescent="0.2">
      <c r="A702" s="11">
        <v>477</v>
      </c>
      <c r="B702" s="11">
        <v>1</v>
      </c>
      <c r="C702" s="11" t="s">
        <v>176</v>
      </c>
      <c r="D702" s="11">
        <f t="shared" si="20"/>
        <v>1</v>
      </c>
      <c r="E702">
        <f t="shared" si="21"/>
        <v>477001</v>
      </c>
      <c r="F702" s="11">
        <v>470</v>
      </c>
      <c r="G702" s="11" t="s">
        <v>6</v>
      </c>
      <c r="H702" s="3">
        <v>157301.45000000001</v>
      </c>
      <c r="K702" s="11"/>
      <c r="L702" s="11"/>
      <c r="M702" s="11"/>
      <c r="N702" s="11"/>
      <c r="P702" s="11"/>
      <c r="Q702" s="11"/>
      <c r="R702" s="3"/>
    </row>
    <row r="703" spans="1:18" x14ac:dyDescent="0.2">
      <c r="A703" s="11">
        <v>480</v>
      </c>
      <c r="B703" s="11">
        <v>1</v>
      </c>
      <c r="C703" s="11" t="s">
        <v>177</v>
      </c>
      <c r="D703" s="11">
        <f t="shared" si="20"/>
        <v>1</v>
      </c>
      <c r="E703">
        <f t="shared" si="21"/>
        <v>480001</v>
      </c>
      <c r="F703" s="11">
        <v>151</v>
      </c>
      <c r="G703" s="11" t="s">
        <v>28</v>
      </c>
      <c r="H703" s="3">
        <v>328090.2</v>
      </c>
      <c r="K703" s="11"/>
      <c r="L703" s="11"/>
      <c r="M703" s="11"/>
      <c r="N703" s="11"/>
      <c r="P703" s="11"/>
      <c r="Q703" s="11"/>
      <c r="R703" s="3"/>
    </row>
    <row r="704" spans="1:18" x14ac:dyDescent="0.2">
      <c r="A704" s="11">
        <v>480</v>
      </c>
      <c r="B704" s="11">
        <v>1</v>
      </c>
      <c r="C704" s="11" t="s">
        <v>177</v>
      </c>
      <c r="D704" s="11">
        <f t="shared" si="20"/>
        <v>2</v>
      </c>
      <c r="E704">
        <f t="shared" si="21"/>
        <v>480002</v>
      </c>
      <c r="F704" s="11">
        <v>401</v>
      </c>
      <c r="G704" s="11" t="s">
        <v>29</v>
      </c>
      <c r="H704" s="3">
        <v>382919.88</v>
      </c>
      <c r="K704" s="11"/>
      <c r="L704" s="11"/>
      <c r="M704" s="11"/>
      <c r="N704" s="11"/>
      <c r="P704" s="11"/>
      <c r="Q704" s="11"/>
      <c r="R704" s="3"/>
    </row>
    <row r="705" spans="1:18" x14ac:dyDescent="0.2">
      <c r="A705" s="11">
        <v>480</v>
      </c>
      <c r="B705" s="11">
        <v>1</v>
      </c>
      <c r="C705" s="11" t="s">
        <v>177</v>
      </c>
      <c r="D705" s="11">
        <f t="shared" si="20"/>
        <v>3</v>
      </c>
      <c r="E705">
        <f t="shared" si="21"/>
        <v>480003</v>
      </c>
      <c r="F705" s="11">
        <v>406</v>
      </c>
      <c r="G705" s="11" t="s">
        <v>8</v>
      </c>
      <c r="H705" s="3">
        <v>130168.71</v>
      </c>
      <c r="K705" s="11"/>
      <c r="L705" s="11"/>
      <c r="M705" s="11"/>
      <c r="N705" s="11"/>
      <c r="P705" s="11"/>
      <c r="Q705" s="11"/>
      <c r="R705" s="3"/>
    </row>
    <row r="706" spans="1:18" x14ac:dyDescent="0.2">
      <c r="A706" s="11">
        <v>480</v>
      </c>
      <c r="B706" s="11">
        <v>1</v>
      </c>
      <c r="C706" s="11" t="s">
        <v>177</v>
      </c>
      <c r="D706" s="11">
        <f t="shared" si="20"/>
        <v>4</v>
      </c>
      <c r="E706">
        <f t="shared" si="21"/>
        <v>480004</v>
      </c>
      <c r="F706" s="11">
        <v>414</v>
      </c>
      <c r="G706" s="11" t="s">
        <v>9</v>
      </c>
      <c r="H706" s="3">
        <v>80284.05</v>
      </c>
      <c r="K706" s="11"/>
      <c r="L706" s="11"/>
      <c r="M706" s="11"/>
      <c r="N706" s="11"/>
      <c r="P706" s="11"/>
      <c r="Q706" s="11"/>
      <c r="R706" s="3"/>
    </row>
    <row r="707" spans="1:18" x14ac:dyDescent="0.2">
      <c r="A707" s="11">
        <v>480</v>
      </c>
      <c r="B707" s="11">
        <v>1</v>
      </c>
      <c r="C707" s="11" t="s">
        <v>177</v>
      </c>
      <c r="D707" s="11">
        <f t="shared" si="20"/>
        <v>5</v>
      </c>
      <c r="E707">
        <f t="shared" si="21"/>
        <v>480005</v>
      </c>
      <c r="F707" s="11">
        <v>433</v>
      </c>
      <c r="G707" s="11" t="s">
        <v>30</v>
      </c>
      <c r="H707" s="3">
        <v>6119.41</v>
      </c>
      <c r="K707" s="11"/>
      <c r="L707" s="11"/>
      <c r="M707" s="11"/>
      <c r="N707" s="11"/>
      <c r="P707" s="11"/>
      <c r="Q707" s="11"/>
      <c r="R707" s="3"/>
    </row>
    <row r="708" spans="1:18" x14ac:dyDescent="0.2">
      <c r="A708" s="11">
        <v>480</v>
      </c>
      <c r="B708" s="11">
        <v>1</v>
      </c>
      <c r="C708" s="11" t="s">
        <v>177</v>
      </c>
      <c r="D708" s="11">
        <f t="shared" si="20"/>
        <v>6</v>
      </c>
      <c r="E708">
        <f t="shared" si="21"/>
        <v>480006</v>
      </c>
      <c r="F708" s="11">
        <v>470</v>
      </c>
      <c r="G708" s="11" t="s">
        <v>6</v>
      </c>
      <c r="H708" s="3">
        <v>260628.23</v>
      </c>
      <c r="K708" s="11"/>
      <c r="L708" s="11"/>
      <c r="M708" s="11"/>
      <c r="N708" s="11"/>
      <c r="P708" s="11"/>
      <c r="Q708" s="11"/>
      <c r="R708" s="3"/>
    </row>
    <row r="709" spans="1:18" x14ac:dyDescent="0.2">
      <c r="A709" s="11">
        <v>480</v>
      </c>
      <c r="B709" s="11">
        <v>1</v>
      </c>
      <c r="C709" s="11" t="s">
        <v>177</v>
      </c>
      <c r="D709" s="11">
        <f t="shared" si="20"/>
        <v>7</v>
      </c>
      <c r="E709">
        <f t="shared" si="21"/>
        <v>480007</v>
      </c>
      <c r="F709" s="11">
        <v>471</v>
      </c>
      <c r="G709" s="11" t="s">
        <v>17</v>
      </c>
      <c r="H709" s="3">
        <v>81644.070000000007</v>
      </c>
      <c r="K709" s="11"/>
      <c r="L709" s="11"/>
      <c r="M709" s="11"/>
      <c r="N709" s="11"/>
      <c r="P709" s="11"/>
      <c r="Q709" s="11"/>
      <c r="R709" s="3"/>
    </row>
    <row r="710" spans="1:18" x14ac:dyDescent="0.2">
      <c r="A710" s="11">
        <v>482</v>
      </c>
      <c r="B710" s="11">
        <v>1</v>
      </c>
      <c r="C710" s="11" t="s">
        <v>178</v>
      </c>
      <c r="D710" s="11">
        <f t="shared" si="20"/>
        <v>1</v>
      </c>
      <c r="E710">
        <f t="shared" si="21"/>
        <v>482001</v>
      </c>
      <c r="F710" s="11">
        <v>401</v>
      </c>
      <c r="G710" s="11" t="s">
        <v>29</v>
      </c>
      <c r="H710" s="3">
        <v>337123.06</v>
      </c>
      <c r="K710" s="11"/>
      <c r="L710" s="11"/>
      <c r="M710" s="11"/>
      <c r="N710" s="11"/>
      <c r="P710" s="11"/>
      <c r="Q710" s="11"/>
      <c r="R710" s="3"/>
    </row>
    <row r="711" spans="1:18" x14ac:dyDescent="0.2">
      <c r="A711" s="11">
        <v>482</v>
      </c>
      <c r="B711" s="11">
        <v>1</v>
      </c>
      <c r="C711" s="11" t="s">
        <v>178</v>
      </c>
      <c r="D711" s="11">
        <f t="shared" si="20"/>
        <v>2</v>
      </c>
      <c r="E711">
        <f t="shared" si="21"/>
        <v>482002</v>
      </c>
      <c r="F711" s="11">
        <v>414</v>
      </c>
      <c r="G711" s="11" t="s">
        <v>9</v>
      </c>
      <c r="H711" s="3">
        <v>163730.43</v>
      </c>
      <c r="K711" s="11"/>
      <c r="L711" s="11"/>
      <c r="M711" s="11"/>
      <c r="N711" s="11"/>
      <c r="P711" s="11"/>
      <c r="Q711" s="11"/>
      <c r="R711" s="3"/>
    </row>
    <row r="712" spans="1:18" x14ac:dyDescent="0.2">
      <c r="A712" s="11">
        <v>482</v>
      </c>
      <c r="B712" s="11">
        <v>1</v>
      </c>
      <c r="C712" s="11" t="s">
        <v>178</v>
      </c>
      <c r="D712" s="11">
        <f t="shared" si="20"/>
        <v>3</v>
      </c>
      <c r="E712">
        <f t="shared" si="21"/>
        <v>482003</v>
      </c>
      <c r="F712" s="11">
        <v>419</v>
      </c>
      <c r="G712" s="11" t="s">
        <v>10</v>
      </c>
      <c r="H712" s="3">
        <v>643796.41</v>
      </c>
      <c r="K712" s="11"/>
      <c r="L712" s="11"/>
      <c r="M712" s="11"/>
      <c r="N712" s="11"/>
      <c r="P712" s="11"/>
      <c r="Q712" s="11"/>
      <c r="R712" s="3"/>
    </row>
    <row r="713" spans="1:18" x14ac:dyDescent="0.2">
      <c r="A713" s="11">
        <v>482</v>
      </c>
      <c r="B713" s="11">
        <v>1</v>
      </c>
      <c r="C713" s="11" t="s">
        <v>178</v>
      </c>
      <c r="D713" s="11">
        <f t="shared" si="20"/>
        <v>4</v>
      </c>
      <c r="E713">
        <f t="shared" si="21"/>
        <v>482004</v>
      </c>
      <c r="F713" s="11">
        <v>420</v>
      </c>
      <c r="G713" s="11" t="s">
        <v>11</v>
      </c>
      <c r="H713" s="3">
        <v>29338.880000000001</v>
      </c>
      <c r="K713" s="11"/>
      <c r="L713" s="11"/>
      <c r="M713" s="11"/>
      <c r="N713" s="11"/>
      <c r="P713" s="11"/>
      <c r="Q713" s="11"/>
      <c r="R713" s="3"/>
    </row>
    <row r="714" spans="1:18" x14ac:dyDescent="0.2">
      <c r="A714" s="11">
        <v>482</v>
      </c>
      <c r="B714" s="11">
        <v>1</v>
      </c>
      <c r="C714" s="11" t="s">
        <v>178</v>
      </c>
      <c r="D714" s="11">
        <f t="shared" si="20"/>
        <v>5</v>
      </c>
      <c r="E714">
        <f t="shared" si="21"/>
        <v>482005</v>
      </c>
      <c r="F714" s="11">
        <v>433</v>
      </c>
      <c r="G714" s="11" t="s">
        <v>30</v>
      </c>
      <c r="H714" s="3">
        <v>8167.63</v>
      </c>
      <c r="K714" s="11"/>
      <c r="L714" s="11"/>
      <c r="M714" s="11"/>
      <c r="N714" s="11"/>
      <c r="P714" s="11"/>
      <c r="Q714" s="11"/>
      <c r="R714" s="3"/>
    </row>
    <row r="715" spans="1:18" x14ac:dyDescent="0.2">
      <c r="A715" s="11">
        <v>482</v>
      </c>
      <c r="B715" s="11">
        <v>1</v>
      </c>
      <c r="C715" s="11" t="s">
        <v>178</v>
      </c>
      <c r="D715" s="11">
        <f t="shared" si="20"/>
        <v>6</v>
      </c>
      <c r="E715">
        <f t="shared" si="21"/>
        <v>482006</v>
      </c>
      <c r="F715" s="11">
        <v>437</v>
      </c>
      <c r="G715" s="11" t="s">
        <v>14</v>
      </c>
      <c r="H715" s="3">
        <v>915</v>
      </c>
      <c r="K715" s="11"/>
      <c r="L715" s="11"/>
      <c r="M715" s="11"/>
      <c r="N715" s="11"/>
      <c r="P715" s="11"/>
      <c r="Q715" s="11"/>
      <c r="R715" s="3"/>
    </row>
    <row r="716" spans="1:18" x14ac:dyDescent="0.2">
      <c r="A716" s="11">
        <v>482</v>
      </c>
      <c r="B716" s="11">
        <v>1</v>
      </c>
      <c r="C716" s="11" t="s">
        <v>178</v>
      </c>
      <c r="D716" s="11">
        <f t="shared" si="20"/>
        <v>7</v>
      </c>
      <c r="E716">
        <f t="shared" si="21"/>
        <v>482007</v>
      </c>
      <c r="F716" s="11">
        <v>470</v>
      </c>
      <c r="G716" s="11" t="s">
        <v>6</v>
      </c>
      <c r="H716" s="3">
        <v>206034.07</v>
      </c>
      <c r="K716" s="11"/>
      <c r="L716" s="11"/>
      <c r="M716" s="11"/>
      <c r="N716" s="11"/>
      <c r="P716" s="11"/>
      <c r="Q716" s="11"/>
      <c r="R716" s="3"/>
    </row>
    <row r="717" spans="1:18" x14ac:dyDescent="0.2">
      <c r="A717" s="11">
        <v>482</v>
      </c>
      <c r="B717" s="11">
        <v>1</v>
      </c>
      <c r="C717" s="11" t="s">
        <v>178</v>
      </c>
      <c r="D717" s="11">
        <f t="shared" si="20"/>
        <v>8</v>
      </c>
      <c r="E717">
        <f t="shared" si="21"/>
        <v>482008</v>
      </c>
      <c r="F717" s="11">
        <v>480</v>
      </c>
      <c r="G717" s="11" t="s">
        <v>19</v>
      </c>
      <c r="H717" s="3">
        <v>620903.67000000004</v>
      </c>
      <c r="K717" s="11"/>
      <c r="L717" s="11"/>
      <c r="M717" s="11"/>
      <c r="N717" s="11"/>
      <c r="P717" s="11"/>
      <c r="Q717" s="11"/>
      <c r="R717" s="3"/>
    </row>
    <row r="718" spans="1:18" x14ac:dyDescent="0.2">
      <c r="A718" s="11">
        <v>482</v>
      </c>
      <c r="B718" s="11">
        <v>1</v>
      </c>
      <c r="C718" s="11" t="s">
        <v>178</v>
      </c>
      <c r="D718" s="11">
        <f t="shared" si="20"/>
        <v>9</v>
      </c>
      <c r="E718">
        <f t="shared" si="21"/>
        <v>482009</v>
      </c>
      <c r="F718" s="11">
        <v>484</v>
      </c>
      <c r="G718" s="11" t="s">
        <v>20</v>
      </c>
      <c r="H718" s="3">
        <v>25435.27</v>
      </c>
      <c r="K718" s="11"/>
      <c r="L718" s="11"/>
      <c r="M718" s="11"/>
      <c r="N718" s="11"/>
      <c r="P718" s="11"/>
      <c r="Q718" s="11"/>
      <c r="R718" s="3"/>
    </row>
    <row r="719" spans="1:18" x14ac:dyDescent="0.2">
      <c r="A719" s="11">
        <v>484</v>
      </c>
      <c r="B719" s="11">
        <v>1</v>
      </c>
      <c r="C719" s="11" t="s">
        <v>179</v>
      </c>
      <c r="D719" s="11">
        <f t="shared" ref="D719:D782" si="22">IF(A719=A718,D718+1,1)</f>
        <v>1</v>
      </c>
      <c r="E719">
        <f t="shared" ref="E719:E782" si="23">1000*A719+D719</f>
        <v>484001</v>
      </c>
      <c r="F719" s="11">
        <v>151</v>
      </c>
      <c r="G719" s="11" t="s">
        <v>28</v>
      </c>
      <c r="H719" s="3">
        <v>425404.49</v>
      </c>
      <c r="K719" s="11"/>
      <c r="L719" s="11"/>
      <c r="M719" s="11"/>
      <c r="N719" s="11"/>
      <c r="P719" s="11"/>
      <c r="Q719" s="11"/>
      <c r="R719" s="3"/>
    </row>
    <row r="720" spans="1:18" x14ac:dyDescent="0.2">
      <c r="A720" s="11">
        <v>484</v>
      </c>
      <c r="B720" s="11">
        <v>1</v>
      </c>
      <c r="C720" s="11" t="s">
        <v>179</v>
      </c>
      <c r="D720" s="11">
        <f t="shared" si="22"/>
        <v>2</v>
      </c>
      <c r="E720">
        <f t="shared" si="23"/>
        <v>484002</v>
      </c>
      <c r="F720" s="11">
        <v>401</v>
      </c>
      <c r="G720" s="11" t="s">
        <v>29</v>
      </c>
      <c r="H720" s="3">
        <v>107809.12</v>
      </c>
      <c r="K720" s="11"/>
      <c r="L720" s="11"/>
      <c r="M720" s="11"/>
      <c r="N720" s="11"/>
      <c r="P720" s="11"/>
      <c r="Q720" s="11"/>
      <c r="R720" s="3"/>
    </row>
    <row r="721" spans="1:18" x14ac:dyDescent="0.2">
      <c r="A721" s="11">
        <v>484</v>
      </c>
      <c r="B721" s="11">
        <v>1</v>
      </c>
      <c r="C721" s="11" t="s">
        <v>179</v>
      </c>
      <c r="D721" s="11">
        <f t="shared" si="22"/>
        <v>3</v>
      </c>
      <c r="E721">
        <f t="shared" si="23"/>
        <v>484003</v>
      </c>
      <c r="F721" s="11">
        <v>414</v>
      </c>
      <c r="G721" s="11" t="s">
        <v>9</v>
      </c>
      <c r="H721" s="3">
        <v>55854.879999999997</v>
      </c>
      <c r="K721" s="11"/>
      <c r="L721" s="11"/>
      <c r="M721" s="11"/>
      <c r="N721" s="11"/>
      <c r="P721" s="11"/>
      <c r="Q721" s="11"/>
      <c r="R721" s="3"/>
    </row>
    <row r="722" spans="1:18" x14ac:dyDescent="0.2">
      <c r="A722" s="11">
        <v>484</v>
      </c>
      <c r="B722" s="11">
        <v>1</v>
      </c>
      <c r="C722" s="11" t="s">
        <v>179</v>
      </c>
      <c r="D722" s="11">
        <f t="shared" si="22"/>
        <v>4</v>
      </c>
      <c r="E722">
        <f t="shared" si="23"/>
        <v>484004</v>
      </c>
      <c r="F722" s="11">
        <v>433</v>
      </c>
      <c r="G722" s="11" t="s">
        <v>30</v>
      </c>
      <c r="H722" s="3">
        <v>2998.72</v>
      </c>
      <c r="K722" s="11"/>
      <c r="L722" s="11"/>
      <c r="M722" s="11"/>
      <c r="N722" s="11"/>
      <c r="P722" s="11"/>
      <c r="Q722" s="11"/>
      <c r="R722" s="3"/>
    </row>
    <row r="723" spans="1:18" x14ac:dyDescent="0.2">
      <c r="A723" s="11">
        <v>484</v>
      </c>
      <c r="B723" s="11">
        <v>1</v>
      </c>
      <c r="C723" s="11" t="s">
        <v>179</v>
      </c>
      <c r="D723" s="11">
        <f t="shared" si="22"/>
        <v>5</v>
      </c>
      <c r="E723">
        <f t="shared" si="23"/>
        <v>484005</v>
      </c>
      <c r="F723" s="11">
        <v>470</v>
      </c>
      <c r="G723" s="11" t="s">
        <v>6</v>
      </c>
      <c r="H723" s="3">
        <v>66621.789999999994</v>
      </c>
      <c r="K723" s="11"/>
      <c r="L723" s="11"/>
      <c r="M723" s="11"/>
      <c r="N723" s="11"/>
      <c r="P723" s="11"/>
      <c r="Q723" s="11"/>
      <c r="R723" s="3"/>
    </row>
    <row r="724" spans="1:18" x14ac:dyDescent="0.2">
      <c r="A724" s="11">
        <v>485</v>
      </c>
      <c r="B724" s="11">
        <v>1</v>
      </c>
      <c r="C724" s="11" t="s">
        <v>180</v>
      </c>
      <c r="D724" s="11">
        <f t="shared" si="22"/>
        <v>1</v>
      </c>
      <c r="E724">
        <f t="shared" si="23"/>
        <v>485001</v>
      </c>
      <c r="F724" s="11">
        <v>151</v>
      </c>
      <c r="G724" s="11" t="s">
        <v>28</v>
      </c>
      <c r="H724" s="3">
        <v>276803.34999999998</v>
      </c>
      <c r="K724" s="11"/>
      <c r="L724" s="11"/>
      <c r="M724" s="11"/>
      <c r="N724" s="11"/>
      <c r="P724" s="11"/>
      <c r="Q724" s="11"/>
      <c r="R724" s="3"/>
    </row>
    <row r="725" spans="1:18" x14ac:dyDescent="0.2">
      <c r="A725" s="11">
        <v>485</v>
      </c>
      <c r="B725" s="11">
        <v>1</v>
      </c>
      <c r="C725" s="11" t="s">
        <v>180</v>
      </c>
      <c r="D725" s="11">
        <f t="shared" si="22"/>
        <v>2</v>
      </c>
      <c r="E725">
        <f t="shared" si="23"/>
        <v>485002</v>
      </c>
      <c r="F725" s="11">
        <v>401</v>
      </c>
      <c r="G725" s="11" t="s">
        <v>29</v>
      </c>
      <c r="H725" s="3">
        <v>75934.13</v>
      </c>
      <c r="K725" s="11"/>
      <c r="L725" s="11"/>
      <c r="M725" s="11"/>
      <c r="N725" s="11"/>
      <c r="P725" s="11"/>
      <c r="Q725" s="11"/>
      <c r="R725" s="3"/>
    </row>
    <row r="726" spans="1:18" x14ac:dyDescent="0.2">
      <c r="A726" s="11">
        <v>485</v>
      </c>
      <c r="B726" s="11">
        <v>1</v>
      </c>
      <c r="C726" s="11" t="s">
        <v>180</v>
      </c>
      <c r="D726" s="11">
        <f t="shared" si="22"/>
        <v>3</v>
      </c>
      <c r="E726">
        <f t="shared" si="23"/>
        <v>485003</v>
      </c>
      <c r="F726" s="11">
        <v>414</v>
      </c>
      <c r="G726" s="11" t="s">
        <v>9</v>
      </c>
      <c r="H726" s="3">
        <v>40423.449999999997</v>
      </c>
      <c r="K726" s="11"/>
      <c r="L726" s="11"/>
      <c r="M726" s="11"/>
      <c r="N726" s="11"/>
      <c r="P726" s="11"/>
      <c r="Q726" s="11"/>
      <c r="R726" s="3"/>
    </row>
    <row r="727" spans="1:18" x14ac:dyDescent="0.2">
      <c r="A727" s="11">
        <v>485</v>
      </c>
      <c r="B727" s="11">
        <v>1</v>
      </c>
      <c r="C727" s="11" t="s">
        <v>180</v>
      </c>
      <c r="D727" s="11">
        <f t="shared" si="22"/>
        <v>4</v>
      </c>
      <c r="E727">
        <f t="shared" si="23"/>
        <v>485004</v>
      </c>
      <c r="F727" s="11">
        <v>433</v>
      </c>
      <c r="G727" s="11" t="s">
        <v>30</v>
      </c>
      <c r="H727" s="3">
        <v>1980.88</v>
      </c>
      <c r="K727" s="11"/>
      <c r="L727" s="11"/>
      <c r="M727" s="11"/>
      <c r="N727" s="11"/>
      <c r="P727" s="11"/>
      <c r="Q727" s="11"/>
      <c r="R727" s="3"/>
    </row>
    <row r="728" spans="1:18" x14ac:dyDescent="0.2">
      <c r="A728" s="11">
        <v>485</v>
      </c>
      <c r="B728" s="11">
        <v>1</v>
      </c>
      <c r="C728" s="11" t="s">
        <v>180</v>
      </c>
      <c r="D728" s="11">
        <f t="shared" si="22"/>
        <v>5</v>
      </c>
      <c r="E728">
        <f t="shared" si="23"/>
        <v>485005</v>
      </c>
      <c r="F728" s="11">
        <v>470</v>
      </c>
      <c r="G728" s="11" t="s">
        <v>6</v>
      </c>
      <c r="H728" s="3">
        <v>45031.39</v>
      </c>
      <c r="K728" s="11"/>
      <c r="L728" s="11"/>
      <c r="M728" s="11"/>
      <c r="N728" s="11"/>
      <c r="P728" s="11"/>
      <c r="Q728" s="11"/>
      <c r="R728" s="3"/>
    </row>
    <row r="729" spans="1:18" x14ac:dyDescent="0.2">
      <c r="A729" s="11">
        <v>486</v>
      </c>
      <c r="B729" s="11">
        <v>1</v>
      </c>
      <c r="C729" s="11" t="s">
        <v>181</v>
      </c>
      <c r="D729" s="11">
        <f t="shared" si="22"/>
        <v>1</v>
      </c>
      <c r="E729">
        <f t="shared" si="23"/>
        <v>486001</v>
      </c>
      <c r="F729" s="11">
        <v>151</v>
      </c>
      <c r="G729" s="11" t="s">
        <v>28</v>
      </c>
      <c r="H729" s="3">
        <v>144396.74</v>
      </c>
      <c r="K729" s="11"/>
      <c r="L729" s="11"/>
      <c r="M729" s="11"/>
      <c r="N729" s="11"/>
      <c r="P729" s="11"/>
      <c r="Q729" s="11"/>
      <c r="R729" s="3"/>
    </row>
    <row r="730" spans="1:18" x14ac:dyDescent="0.2">
      <c r="A730" s="11">
        <v>486</v>
      </c>
      <c r="B730" s="11">
        <v>1</v>
      </c>
      <c r="C730" s="11" t="s">
        <v>181</v>
      </c>
      <c r="D730" s="11">
        <f t="shared" si="22"/>
        <v>2</v>
      </c>
      <c r="E730">
        <f t="shared" si="23"/>
        <v>486002</v>
      </c>
      <c r="F730" s="11">
        <v>401</v>
      </c>
      <c r="G730" s="11" t="s">
        <v>29</v>
      </c>
      <c r="H730" s="3">
        <v>47694.68</v>
      </c>
      <c r="K730" s="11"/>
      <c r="L730" s="11"/>
      <c r="M730" s="11"/>
      <c r="N730" s="11"/>
      <c r="P730" s="11"/>
      <c r="Q730" s="11"/>
      <c r="R730" s="3"/>
    </row>
    <row r="731" spans="1:18" x14ac:dyDescent="0.2">
      <c r="A731" s="11">
        <v>486</v>
      </c>
      <c r="B731" s="11">
        <v>1</v>
      </c>
      <c r="C731" s="11" t="s">
        <v>181</v>
      </c>
      <c r="D731" s="11">
        <f t="shared" si="22"/>
        <v>3</v>
      </c>
      <c r="E731">
        <f t="shared" si="23"/>
        <v>486003</v>
      </c>
      <c r="F731" s="11">
        <v>414</v>
      </c>
      <c r="G731" s="11" t="s">
        <v>9</v>
      </c>
      <c r="H731" s="3">
        <v>17875.25</v>
      </c>
      <c r="K731" s="11"/>
      <c r="L731" s="11"/>
      <c r="M731" s="11"/>
      <c r="N731" s="11"/>
      <c r="P731" s="11"/>
      <c r="Q731" s="11"/>
      <c r="R731" s="3"/>
    </row>
    <row r="732" spans="1:18" x14ac:dyDescent="0.2">
      <c r="A732" s="11">
        <v>486</v>
      </c>
      <c r="B732" s="11">
        <v>1</v>
      </c>
      <c r="C732" s="11" t="s">
        <v>181</v>
      </c>
      <c r="D732" s="11">
        <f t="shared" si="22"/>
        <v>4</v>
      </c>
      <c r="E732">
        <f t="shared" si="23"/>
        <v>486004</v>
      </c>
      <c r="F732" s="11">
        <v>433</v>
      </c>
      <c r="G732" s="11" t="s">
        <v>30</v>
      </c>
      <c r="H732" s="3">
        <v>1085.56</v>
      </c>
      <c r="K732" s="11"/>
      <c r="L732" s="11"/>
      <c r="M732" s="11"/>
      <c r="N732" s="11"/>
      <c r="P732" s="11"/>
      <c r="Q732" s="11"/>
      <c r="R732" s="3"/>
    </row>
    <row r="733" spans="1:18" x14ac:dyDescent="0.2">
      <c r="A733" s="11">
        <v>486</v>
      </c>
      <c r="B733" s="11">
        <v>1</v>
      </c>
      <c r="C733" s="11" t="s">
        <v>181</v>
      </c>
      <c r="D733" s="11">
        <f t="shared" si="22"/>
        <v>5</v>
      </c>
      <c r="E733">
        <f t="shared" si="23"/>
        <v>486005</v>
      </c>
      <c r="F733" s="11">
        <v>470</v>
      </c>
      <c r="G733" s="11" t="s">
        <v>6</v>
      </c>
      <c r="H733" s="3">
        <v>28992.82</v>
      </c>
      <c r="K733" s="11"/>
      <c r="L733" s="11"/>
      <c r="M733" s="11"/>
      <c r="N733" s="11"/>
      <c r="P733" s="11"/>
      <c r="Q733" s="11"/>
      <c r="R733" s="3"/>
    </row>
    <row r="734" spans="1:18" x14ac:dyDescent="0.2">
      <c r="A734" s="11">
        <v>486</v>
      </c>
      <c r="B734" s="11">
        <v>1</v>
      </c>
      <c r="C734" s="11" t="s">
        <v>181</v>
      </c>
      <c r="D734" s="11">
        <f t="shared" si="22"/>
        <v>6</v>
      </c>
      <c r="E734">
        <f t="shared" si="23"/>
        <v>486006</v>
      </c>
      <c r="F734" s="11">
        <v>869</v>
      </c>
      <c r="G734" s="11" t="s">
        <v>115</v>
      </c>
      <c r="H734" s="3">
        <v>100000</v>
      </c>
      <c r="K734" s="11"/>
      <c r="L734" s="11"/>
      <c r="M734" s="11"/>
      <c r="N734" s="11"/>
      <c r="P734" s="11"/>
      <c r="Q734" s="11"/>
      <c r="R734" s="3"/>
    </row>
    <row r="735" spans="1:18" x14ac:dyDescent="0.2">
      <c r="A735" s="11">
        <v>487</v>
      </c>
      <c r="B735" s="11">
        <v>1</v>
      </c>
      <c r="C735" s="11" t="s">
        <v>182</v>
      </c>
      <c r="D735" s="11">
        <f t="shared" si="22"/>
        <v>1</v>
      </c>
      <c r="E735">
        <f t="shared" si="23"/>
        <v>487001</v>
      </c>
      <c r="F735" s="11">
        <v>401</v>
      </c>
      <c r="G735" s="11" t="s">
        <v>29</v>
      </c>
      <c r="H735" s="3">
        <v>40639.69</v>
      </c>
      <c r="K735" s="11"/>
      <c r="L735" s="11"/>
      <c r="M735" s="11"/>
      <c r="N735" s="11"/>
      <c r="P735" s="11"/>
      <c r="Q735" s="11"/>
      <c r="R735" s="3"/>
    </row>
    <row r="736" spans="1:18" x14ac:dyDescent="0.2">
      <c r="A736" s="11">
        <v>487</v>
      </c>
      <c r="B736" s="11">
        <v>1</v>
      </c>
      <c r="C736" s="11" t="s">
        <v>182</v>
      </c>
      <c r="D736" s="11">
        <f t="shared" si="22"/>
        <v>2</v>
      </c>
      <c r="E736">
        <f t="shared" si="23"/>
        <v>487002</v>
      </c>
      <c r="F736" s="11">
        <v>414</v>
      </c>
      <c r="G736" s="11" t="s">
        <v>9</v>
      </c>
      <c r="H736" s="3">
        <v>20826.09</v>
      </c>
      <c r="K736" s="11"/>
      <c r="L736" s="11"/>
      <c r="M736" s="11"/>
      <c r="N736" s="11"/>
      <c r="P736" s="11"/>
      <c r="Q736" s="11"/>
      <c r="R736" s="3"/>
    </row>
    <row r="737" spans="1:18" x14ac:dyDescent="0.2">
      <c r="A737" s="11">
        <v>487</v>
      </c>
      <c r="B737" s="11">
        <v>1</v>
      </c>
      <c r="C737" s="11" t="s">
        <v>182</v>
      </c>
      <c r="D737" s="11">
        <f t="shared" si="22"/>
        <v>3</v>
      </c>
      <c r="E737">
        <f t="shared" si="23"/>
        <v>487003</v>
      </c>
      <c r="F737" s="11">
        <v>433</v>
      </c>
      <c r="G737" s="11" t="s">
        <v>30</v>
      </c>
      <c r="H737" s="3">
        <v>1063.8800000000001</v>
      </c>
      <c r="K737" s="11"/>
      <c r="L737" s="11"/>
      <c r="M737" s="11"/>
      <c r="N737" s="11"/>
      <c r="P737" s="11"/>
      <c r="Q737" s="11"/>
      <c r="R737" s="3"/>
    </row>
    <row r="738" spans="1:18" x14ac:dyDescent="0.2">
      <c r="A738" s="11">
        <v>487</v>
      </c>
      <c r="B738" s="11">
        <v>1</v>
      </c>
      <c r="C738" s="11" t="s">
        <v>182</v>
      </c>
      <c r="D738" s="11">
        <f t="shared" si="22"/>
        <v>4</v>
      </c>
      <c r="E738">
        <f t="shared" si="23"/>
        <v>487004</v>
      </c>
      <c r="F738" s="11">
        <v>470</v>
      </c>
      <c r="G738" s="11" t="s">
        <v>6</v>
      </c>
      <c r="H738" s="3">
        <v>24674.74</v>
      </c>
      <c r="K738" s="11"/>
      <c r="L738" s="11"/>
      <c r="M738" s="11"/>
      <c r="N738" s="11"/>
      <c r="P738" s="11"/>
      <c r="Q738" s="11"/>
      <c r="R738" s="3"/>
    </row>
    <row r="739" spans="1:18" x14ac:dyDescent="0.2">
      <c r="A739" s="11">
        <v>492</v>
      </c>
      <c r="B739" s="11">
        <v>1</v>
      </c>
      <c r="C739" s="11" t="s">
        <v>183</v>
      </c>
      <c r="D739" s="11">
        <f t="shared" si="22"/>
        <v>1</v>
      </c>
      <c r="E739">
        <f t="shared" si="23"/>
        <v>492001</v>
      </c>
      <c r="F739" s="11">
        <v>401</v>
      </c>
      <c r="G739" s="11" t="s">
        <v>29</v>
      </c>
      <c r="H739" s="3">
        <v>855359.17</v>
      </c>
      <c r="K739" s="11"/>
      <c r="L739" s="11"/>
      <c r="M739" s="11"/>
      <c r="N739" s="11"/>
      <c r="P739" s="11"/>
      <c r="Q739" s="11"/>
      <c r="R739" s="3"/>
    </row>
    <row r="740" spans="1:18" x14ac:dyDescent="0.2">
      <c r="A740" s="11">
        <v>492</v>
      </c>
      <c r="B740" s="11">
        <v>1</v>
      </c>
      <c r="C740" s="11" t="s">
        <v>183</v>
      </c>
      <c r="D740" s="11">
        <f t="shared" si="22"/>
        <v>2</v>
      </c>
      <c r="E740">
        <f t="shared" si="23"/>
        <v>492002</v>
      </c>
      <c r="F740" s="11">
        <v>414</v>
      </c>
      <c r="G740" s="11" t="s">
        <v>9</v>
      </c>
      <c r="H740" s="3">
        <v>203101.44</v>
      </c>
      <c r="K740" s="11"/>
      <c r="L740" s="11"/>
      <c r="M740" s="11"/>
      <c r="N740" s="11"/>
      <c r="P740" s="11"/>
      <c r="Q740" s="11"/>
      <c r="R740" s="3"/>
    </row>
    <row r="741" spans="1:18" x14ac:dyDescent="0.2">
      <c r="A741" s="11">
        <v>492</v>
      </c>
      <c r="B741" s="11">
        <v>1</v>
      </c>
      <c r="C741" s="11" t="s">
        <v>183</v>
      </c>
      <c r="D741" s="11">
        <f t="shared" si="22"/>
        <v>3</v>
      </c>
      <c r="E741">
        <f t="shared" si="23"/>
        <v>492003</v>
      </c>
      <c r="F741" s="11">
        <v>417</v>
      </c>
      <c r="G741" s="11" t="s">
        <v>34</v>
      </c>
      <c r="H741" s="3">
        <v>54557.2</v>
      </c>
      <c r="K741" s="11"/>
      <c r="L741" s="11"/>
      <c r="M741" s="11"/>
      <c r="N741" s="11"/>
      <c r="P741" s="11"/>
      <c r="Q741" s="11"/>
      <c r="R741" s="3"/>
    </row>
    <row r="742" spans="1:18" x14ac:dyDescent="0.2">
      <c r="A742" s="11">
        <v>492</v>
      </c>
      <c r="B742" s="11">
        <v>1</v>
      </c>
      <c r="C742" s="11" t="s">
        <v>183</v>
      </c>
      <c r="D742" s="11">
        <f t="shared" si="22"/>
        <v>4</v>
      </c>
      <c r="E742">
        <f t="shared" si="23"/>
        <v>492004</v>
      </c>
      <c r="F742" s="11">
        <v>420</v>
      </c>
      <c r="G742" s="11" t="s">
        <v>11</v>
      </c>
      <c r="H742" s="3">
        <v>28438.57</v>
      </c>
      <c r="K742" s="11"/>
      <c r="L742" s="11"/>
      <c r="M742" s="11"/>
      <c r="N742" s="11"/>
      <c r="P742" s="11"/>
      <c r="Q742" s="11"/>
      <c r="R742" s="3"/>
    </row>
    <row r="743" spans="1:18" x14ac:dyDescent="0.2">
      <c r="A743" s="11">
        <v>492</v>
      </c>
      <c r="B743" s="11">
        <v>1</v>
      </c>
      <c r="C743" s="11" t="s">
        <v>183</v>
      </c>
      <c r="D743" s="11">
        <f t="shared" si="22"/>
        <v>5</v>
      </c>
      <c r="E743">
        <f t="shared" si="23"/>
        <v>492005</v>
      </c>
      <c r="F743" s="11">
        <v>422</v>
      </c>
      <c r="G743" s="11" t="s">
        <v>12</v>
      </c>
      <c r="H743" s="3">
        <v>46717.39</v>
      </c>
      <c r="K743" s="11"/>
      <c r="L743" s="11"/>
      <c r="M743" s="11"/>
      <c r="N743" s="11"/>
      <c r="P743" s="11"/>
      <c r="Q743" s="11"/>
      <c r="R743" s="3"/>
    </row>
    <row r="744" spans="1:18" x14ac:dyDescent="0.2">
      <c r="A744" s="11">
        <v>492</v>
      </c>
      <c r="B744" s="11">
        <v>1</v>
      </c>
      <c r="C744" s="11" t="s">
        <v>183</v>
      </c>
      <c r="D744" s="11">
        <f t="shared" si="22"/>
        <v>6</v>
      </c>
      <c r="E744">
        <f t="shared" si="23"/>
        <v>492006</v>
      </c>
      <c r="F744" s="11">
        <v>437</v>
      </c>
      <c r="G744" s="11" t="s">
        <v>14</v>
      </c>
      <c r="H744" s="3">
        <v>1080</v>
      </c>
      <c r="K744" s="11"/>
      <c r="L744" s="11"/>
      <c r="M744" s="11"/>
      <c r="N744" s="11"/>
      <c r="P744" s="11"/>
      <c r="Q744" s="11"/>
      <c r="R744" s="3"/>
    </row>
    <row r="745" spans="1:18" x14ac:dyDescent="0.2">
      <c r="A745" s="11">
        <v>492</v>
      </c>
      <c r="B745" s="11">
        <v>1</v>
      </c>
      <c r="C745" s="11" t="s">
        <v>183</v>
      </c>
      <c r="D745" s="11">
        <f t="shared" si="22"/>
        <v>7</v>
      </c>
      <c r="E745">
        <f t="shared" si="23"/>
        <v>492007</v>
      </c>
      <c r="F745" s="11">
        <v>441</v>
      </c>
      <c r="G745" s="11" t="s">
        <v>16</v>
      </c>
      <c r="H745" s="3">
        <v>2300</v>
      </c>
      <c r="K745" s="11"/>
      <c r="L745" s="11"/>
      <c r="M745" s="11"/>
      <c r="N745" s="11"/>
      <c r="P745" s="11"/>
      <c r="Q745" s="11"/>
      <c r="R745" s="3"/>
    </row>
    <row r="746" spans="1:18" x14ac:dyDescent="0.2">
      <c r="A746" s="11">
        <v>492</v>
      </c>
      <c r="B746" s="11">
        <v>1</v>
      </c>
      <c r="C746" s="11" t="s">
        <v>183</v>
      </c>
      <c r="D746" s="11">
        <f t="shared" si="22"/>
        <v>8</v>
      </c>
      <c r="E746">
        <f t="shared" si="23"/>
        <v>492008</v>
      </c>
      <c r="F746" s="11">
        <v>470</v>
      </c>
      <c r="G746" s="11" t="s">
        <v>6</v>
      </c>
      <c r="H746" s="3">
        <v>467593.02</v>
      </c>
      <c r="K746" s="11"/>
      <c r="L746" s="11"/>
      <c r="M746" s="11"/>
      <c r="N746" s="11"/>
      <c r="P746" s="11"/>
      <c r="Q746" s="11"/>
      <c r="R746" s="3"/>
    </row>
    <row r="747" spans="1:18" x14ac:dyDescent="0.2">
      <c r="A747" s="11">
        <v>492</v>
      </c>
      <c r="B747" s="11">
        <v>1</v>
      </c>
      <c r="C747" s="11" t="s">
        <v>183</v>
      </c>
      <c r="D747" s="11">
        <f t="shared" si="22"/>
        <v>9</v>
      </c>
      <c r="E747">
        <f t="shared" si="23"/>
        <v>492009</v>
      </c>
      <c r="F747" s="11">
        <v>471</v>
      </c>
      <c r="G747" s="11" t="s">
        <v>17</v>
      </c>
      <c r="H747" s="3">
        <v>81644.070000000007</v>
      </c>
      <c r="K747" s="11"/>
      <c r="L747" s="11"/>
      <c r="M747" s="11"/>
      <c r="N747" s="11"/>
      <c r="P747" s="11"/>
      <c r="Q747" s="11"/>
      <c r="R747" s="3"/>
    </row>
    <row r="748" spans="1:18" x14ac:dyDescent="0.2">
      <c r="A748" s="11">
        <v>495</v>
      </c>
      <c r="B748" s="11">
        <v>1</v>
      </c>
      <c r="C748" s="11" t="s">
        <v>184</v>
      </c>
      <c r="D748" s="11">
        <f t="shared" si="22"/>
        <v>1</v>
      </c>
      <c r="E748">
        <f t="shared" si="23"/>
        <v>495001</v>
      </c>
      <c r="F748" s="11">
        <v>401</v>
      </c>
      <c r="G748" s="11" t="s">
        <v>29</v>
      </c>
      <c r="H748" s="3">
        <v>32396.61</v>
      </c>
      <c r="K748" s="11"/>
      <c r="L748" s="11"/>
      <c r="M748" s="11"/>
      <c r="N748" s="11"/>
      <c r="P748" s="11"/>
      <c r="Q748" s="11"/>
      <c r="R748" s="3"/>
    </row>
    <row r="749" spans="1:18" x14ac:dyDescent="0.2">
      <c r="A749" s="11">
        <v>495</v>
      </c>
      <c r="B749" s="11">
        <v>1</v>
      </c>
      <c r="C749" s="11" t="s">
        <v>184</v>
      </c>
      <c r="D749" s="11">
        <f t="shared" si="22"/>
        <v>2</v>
      </c>
      <c r="E749">
        <f t="shared" si="23"/>
        <v>495002</v>
      </c>
      <c r="F749" s="11">
        <v>414</v>
      </c>
      <c r="G749" s="11" t="s">
        <v>9</v>
      </c>
      <c r="H749" s="3">
        <v>8747.07</v>
      </c>
      <c r="K749" s="11"/>
      <c r="L749" s="11"/>
      <c r="M749" s="11"/>
      <c r="N749" s="11"/>
      <c r="P749" s="11"/>
      <c r="Q749" s="11"/>
      <c r="R749" s="3"/>
    </row>
    <row r="750" spans="1:18" x14ac:dyDescent="0.2">
      <c r="A750" s="11">
        <v>495</v>
      </c>
      <c r="B750" s="11">
        <v>1</v>
      </c>
      <c r="C750" s="11" t="s">
        <v>184</v>
      </c>
      <c r="D750" s="11">
        <f t="shared" si="22"/>
        <v>3</v>
      </c>
      <c r="E750">
        <f t="shared" si="23"/>
        <v>495003</v>
      </c>
      <c r="F750" s="11">
        <v>420</v>
      </c>
      <c r="G750" s="11" t="s">
        <v>11</v>
      </c>
      <c r="H750" s="3">
        <v>1024.6500000000001</v>
      </c>
      <c r="K750" s="11"/>
      <c r="L750" s="11"/>
      <c r="M750" s="11"/>
      <c r="N750" s="11"/>
      <c r="P750" s="11"/>
      <c r="Q750" s="11"/>
      <c r="R750" s="3"/>
    </row>
    <row r="751" spans="1:18" x14ac:dyDescent="0.2">
      <c r="A751" s="11">
        <v>495</v>
      </c>
      <c r="B751" s="11">
        <v>1</v>
      </c>
      <c r="C751" s="11" t="s">
        <v>184</v>
      </c>
      <c r="D751" s="11">
        <f t="shared" si="22"/>
        <v>4</v>
      </c>
      <c r="E751">
        <f t="shared" si="23"/>
        <v>495004</v>
      </c>
      <c r="F751" s="11">
        <v>433</v>
      </c>
      <c r="G751" s="11" t="s">
        <v>30</v>
      </c>
      <c r="H751" s="3">
        <v>921.75</v>
      </c>
      <c r="K751" s="11"/>
      <c r="L751" s="11"/>
      <c r="M751" s="11"/>
      <c r="N751" s="11"/>
      <c r="P751" s="11"/>
      <c r="Q751" s="11"/>
      <c r="R751" s="3"/>
    </row>
    <row r="752" spans="1:18" x14ac:dyDescent="0.2">
      <c r="A752" s="11">
        <v>495</v>
      </c>
      <c r="B752" s="11">
        <v>1</v>
      </c>
      <c r="C752" s="11" t="s">
        <v>184</v>
      </c>
      <c r="D752" s="11">
        <f t="shared" si="22"/>
        <v>5</v>
      </c>
      <c r="E752">
        <f t="shared" si="23"/>
        <v>495005</v>
      </c>
      <c r="F752" s="11">
        <v>470</v>
      </c>
      <c r="G752" s="11" t="s">
        <v>6</v>
      </c>
      <c r="H752" s="3">
        <v>21590.400000000001</v>
      </c>
      <c r="K752" s="11"/>
      <c r="L752" s="11"/>
      <c r="M752" s="11"/>
      <c r="N752" s="11"/>
      <c r="P752" s="11"/>
      <c r="Q752" s="11"/>
      <c r="R752" s="3"/>
    </row>
    <row r="753" spans="1:18" x14ac:dyDescent="0.2">
      <c r="A753" s="11">
        <v>495</v>
      </c>
      <c r="B753" s="11">
        <v>1</v>
      </c>
      <c r="C753" s="11" t="s">
        <v>184</v>
      </c>
      <c r="D753" s="11">
        <f t="shared" si="22"/>
        <v>6</v>
      </c>
      <c r="E753">
        <f t="shared" si="23"/>
        <v>495006</v>
      </c>
      <c r="F753" s="11">
        <v>484</v>
      </c>
      <c r="G753" s="11" t="s">
        <v>20</v>
      </c>
      <c r="H753" s="3">
        <v>3082</v>
      </c>
      <c r="K753" s="11"/>
      <c r="L753" s="11"/>
      <c r="M753" s="11"/>
      <c r="N753" s="11"/>
      <c r="P753" s="11"/>
      <c r="Q753" s="11"/>
      <c r="R753" s="3"/>
    </row>
    <row r="754" spans="1:18" x14ac:dyDescent="0.2">
      <c r="A754" s="11">
        <v>497</v>
      </c>
      <c r="B754" s="11">
        <v>1</v>
      </c>
      <c r="C754" s="11" t="s">
        <v>185</v>
      </c>
      <c r="D754" s="11">
        <f t="shared" si="22"/>
        <v>1</v>
      </c>
      <c r="E754">
        <f t="shared" si="23"/>
        <v>497001</v>
      </c>
      <c r="F754" s="11">
        <v>151</v>
      </c>
      <c r="G754" s="11" t="s">
        <v>28</v>
      </c>
      <c r="H754" s="3">
        <v>103081.72</v>
      </c>
      <c r="K754" s="11"/>
      <c r="L754" s="11"/>
      <c r="M754" s="11"/>
      <c r="N754" s="11"/>
      <c r="P754" s="11"/>
      <c r="Q754" s="11"/>
      <c r="R754" s="3"/>
    </row>
    <row r="755" spans="1:18" x14ac:dyDescent="0.2">
      <c r="A755" s="11">
        <v>497</v>
      </c>
      <c r="B755" s="11">
        <v>1</v>
      </c>
      <c r="C755" s="11" t="s">
        <v>185</v>
      </c>
      <c r="D755" s="11">
        <f t="shared" si="22"/>
        <v>2</v>
      </c>
      <c r="E755">
        <f t="shared" si="23"/>
        <v>497002</v>
      </c>
      <c r="F755" s="11">
        <v>401</v>
      </c>
      <c r="G755" s="11" t="s">
        <v>29</v>
      </c>
      <c r="H755" s="3">
        <v>29785.279999999999</v>
      </c>
      <c r="K755" s="11"/>
      <c r="L755" s="11"/>
      <c r="M755" s="11"/>
      <c r="N755" s="11"/>
      <c r="P755" s="11"/>
      <c r="Q755" s="11"/>
      <c r="R755" s="3"/>
    </row>
    <row r="756" spans="1:18" x14ac:dyDescent="0.2">
      <c r="A756" s="11">
        <v>497</v>
      </c>
      <c r="B756" s="11">
        <v>1</v>
      </c>
      <c r="C756" s="11" t="s">
        <v>185</v>
      </c>
      <c r="D756" s="11">
        <f t="shared" si="22"/>
        <v>3</v>
      </c>
      <c r="E756">
        <f t="shared" si="23"/>
        <v>497003</v>
      </c>
      <c r="F756" s="11">
        <v>414</v>
      </c>
      <c r="G756" s="11" t="s">
        <v>9</v>
      </c>
      <c r="H756" s="3">
        <v>14704.55</v>
      </c>
      <c r="K756" s="11"/>
      <c r="L756" s="11"/>
      <c r="M756" s="11"/>
      <c r="N756" s="11"/>
      <c r="P756" s="11"/>
      <c r="Q756" s="11"/>
      <c r="R756" s="3"/>
    </row>
    <row r="757" spans="1:18" x14ac:dyDescent="0.2">
      <c r="A757" s="11">
        <v>497</v>
      </c>
      <c r="B757" s="11">
        <v>1</v>
      </c>
      <c r="C757" s="11" t="s">
        <v>185</v>
      </c>
      <c r="D757" s="11">
        <f t="shared" si="22"/>
        <v>4</v>
      </c>
      <c r="E757">
        <f t="shared" si="23"/>
        <v>497004</v>
      </c>
      <c r="F757" s="11">
        <v>433</v>
      </c>
      <c r="G757" s="11" t="s">
        <v>30</v>
      </c>
      <c r="H757" s="3">
        <v>702.17</v>
      </c>
      <c r="K757" s="11"/>
      <c r="L757" s="11"/>
      <c r="M757" s="11"/>
      <c r="N757" s="11"/>
      <c r="P757" s="11"/>
      <c r="Q757" s="11"/>
      <c r="R757" s="3"/>
    </row>
    <row r="758" spans="1:18" x14ac:dyDescent="0.2">
      <c r="A758" s="11">
        <v>497</v>
      </c>
      <c r="B758" s="11">
        <v>1</v>
      </c>
      <c r="C758" s="11" t="s">
        <v>185</v>
      </c>
      <c r="D758" s="11">
        <f t="shared" si="22"/>
        <v>5</v>
      </c>
      <c r="E758">
        <f t="shared" si="23"/>
        <v>497005</v>
      </c>
      <c r="F758" s="11">
        <v>470</v>
      </c>
      <c r="G758" s="11" t="s">
        <v>6</v>
      </c>
      <c r="H758" s="3">
        <v>13188.5</v>
      </c>
      <c r="K758" s="11"/>
      <c r="L758" s="11"/>
      <c r="M758" s="11"/>
      <c r="N758" s="11"/>
      <c r="P758" s="11"/>
      <c r="Q758" s="11"/>
      <c r="R758" s="3"/>
    </row>
    <row r="759" spans="1:18" x14ac:dyDescent="0.2">
      <c r="A759" s="11">
        <v>499</v>
      </c>
      <c r="B759" s="11">
        <v>1</v>
      </c>
      <c r="C759" s="11" t="s">
        <v>186</v>
      </c>
      <c r="D759" s="11">
        <f t="shared" si="22"/>
        <v>1</v>
      </c>
      <c r="E759">
        <f t="shared" si="23"/>
        <v>499001</v>
      </c>
      <c r="F759" s="11">
        <v>401</v>
      </c>
      <c r="G759" s="11" t="s">
        <v>29</v>
      </c>
      <c r="H759" s="3">
        <v>36596.559999999998</v>
      </c>
      <c r="K759" s="11"/>
      <c r="L759" s="11"/>
      <c r="M759" s="11"/>
      <c r="N759" s="11"/>
      <c r="P759" s="11"/>
      <c r="Q759" s="11"/>
      <c r="R759" s="3"/>
    </row>
    <row r="760" spans="1:18" x14ac:dyDescent="0.2">
      <c r="A760" s="11">
        <v>499</v>
      </c>
      <c r="B760" s="11">
        <v>1</v>
      </c>
      <c r="C760" s="11" t="s">
        <v>186</v>
      </c>
      <c r="D760" s="11">
        <f t="shared" si="22"/>
        <v>2</v>
      </c>
      <c r="E760">
        <f t="shared" si="23"/>
        <v>499002</v>
      </c>
      <c r="F760" s="11">
        <v>414</v>
      </c>
      <c r="G760" s="11" t="s">
        <v>9</v>
      </c>
      <c r="H760" s="3">
        <v>18046.830000000002</v>
      </c>
      <c r="K760" s="11"/>
      <c r="L760" s="11"/>
      <c r="M760" s="11"/>
      <c r="N760" s="11"/>
      <c r="P760" s="11"/>
      <c r="Q760" s="11"/>
      <c r="R760" s="3"/>
    </row>
    <row r="761" spans="1:18" x14ac:dyDescent="0.2">
      <c r="A761" s="11">
        <v>499</v>
      </c>
      <c r="B761" s="11">
        <v>1</v>
      </c>
      <c r="C761" s="11" t="s">
        <v>186</v>
      </c>
      <c r="D761" s="11">
        <f t="shared" si="22"/>
        <v>3</v>
      </c>
      <c r="E761">
        <f t="shared" si="23"/>
        <v>499003</v>
      </c>
      <c r="F761" s="11">
        <v>433</v>
      </c>
      <c r="G761" s="11" t="s">
        <v>30</v>
      </c>
      <c r="H761" s="3">
        <v>875.26</v>
      </c>
      <c r="K761" s="11"/>
      <c r="L761" s="11"/>
      <c r="M761" s="11"/>
      <c r="N761" s="11"/>
      <c r="P761" s="11"/>
      <c r="Q761" s="11"/>
      <c r="R761" s="3"/>
    </row>
    <row r="762" spans="1:18" x14ac:dyDescent="0.2">
      <c r="A762" s="11">
        <v>499</v>
      </c>
      <c r="B762" s="11">
        <v>1</v>
      </c>
      <c r="C762" s="11" t="s">
        <v>186</v>
      </c>
      <c r="D762" s="11">
        <f t="shared" si="22"/>
        <v>4</v>
      </c>
      <c r="E762">
        <f t="shared" si="23"/>
        <v>499004</v>
      </c>
      <c r="F762" s="11">
        <v>470</v>
      </c>
      <c r="G762" s="11" t="s">
        <v>6</v>
      </c>
      <c r="H762" s="3">
        <v>22824.13</v>
      </c>
      <c r="K762" s="11"/>
      <c r="L762" s="11"/>
      <c r="M762" s="11"/>
      <c r="N762" s="11"/>
      <c r="P762" s="11"/>
      <c r="Q762" s="11"/>
      <c r="R762" s="3"/>
    </row>
    <row r="763" spans="1:18" x14ac:dyDescent="0.2">
      <c r="A763" s="11">
        <v>500</v>
      </c>
      <c r="B763" s="11">
        <v>1</v>
      </c>
      <c r="C763" s="11" t="s">
        <v>187</v>
      </c>
      <c r="D763" s="11">
        <f t="shared" si="22"/>
        <v>1</v>
      </c>
      <c r="E763">
        <f t="shared" si="23"/>
        <v>500001</v>
      </c>
      <c r="F763" s="11">
        <v>401</v>
      </c>
      <c r="G763" s="11" t="s">
        <v>29</v>
      </c>
      <c r="H763" s="3">
        <v>52674.400000000001</v>
      </c>
      <c r="K763" s="11"/>
      <c r="L763" s="11"/>
      <c r="M763" s="11"/>
      <c r="N763" s="11"/>
      <c r="P763" s="11"/>
      <c r="Q763" s="11"/>
      <c r="R763" s="3"/>
    </row>
    <row r="764" spans="1:18" x14ac:dyDescent="0.2">
      <c r="A764" s="11">
        <v>500</v>
      </c>
      <c r="B764" s="11">
        <v>1</v>
      </c>
      <c r="C764" s="11" t="s">
        <v>187</v>
      </c>
      <c r="D764" s="11">
        <f t="shared" si="22"/>
        <v>2</v>
      </c>
      <c r="E764">
        <f t="shared" si="23"/>
        <v>500002</v>
      </c>
      <c r="F764" s="11">
        <v>414</v>
      </c>
      <c r="G764" s="11" t="s">
        <v>9</v>
      </c>
      <c r="H764" s="3">
        <v>30372.57</v>
      </c>
      <c r="K764" s="11"/>
      <c r="L764" s="11"/>
      <c r="M764" s="11"/>
      <c r="N764" s="11"/>
      <c r="P764" s="11"/>
      <c r="Q764" s="11"/>
      <c r="R764" s="3"/>
    </row>
    <row r="765" spans="1:18" x14ac:dyDescent="0.2">
      <c r="A765" s="11">
        <v>500</v>
      </c>
      <c r="B765" s="11">
        <v>1</v>
      </c>
      <c r="C765" s="11" t="s">
        <v>187</v>
      </c>
      <c r="D765" s="11">
        <f t="shared" si="22"/>
        <v>3</v>
      </c>
      <c r="E765">
        <f t="shared" si="23"/>
        <v>500003</v>
      </c>
      <c r="F765" s="11">
        <v>433</v>
      </c>
      <c r="G765" s="11" t="s">
        <v>30</v>
      </c>
      <c r="H765" s="3">
        <v>1579.46</v>
      </c>
      <c r="K765" s="11"/>
      <c r="L765" s="11"/>
      <c r="M765" s="11"/>
      <c r="N765" s="11"/>
      <c r="P765" s="11"/>
      <c r="Q765" s="11"/>
      <c r="R765" s="3"/>
    </row>
    <row r="766" spans="1:18" x14ac:dyDescent="0.2">
      <c r="A766" s="11">
        <v>500</v>
      </c>
      <c r="B766" s="11">
        <v>1</v>
      </c>
      <c r="C766" s="11" t="s">
        <v>187</v>
      </c>
      <c r="D766" s="11">
        <f t="shared" si="22"/>
        <v>4</v>
      </c>
      <c r="E766">
        <f t="shared" si="23"/>
        <v>500004</v>
      </c>
      <c r="F766" s="11">
        <v>470</v>
      </c>
      <c r="G766" s="11" t="s">
        <v>6</v>
      </c>
      <c r="H766" s="3">
        <v>35161.5</v>
      </c>
      <c r="K766" s="11"/>
      <c r="L766" s="11"/>
      <c r="M766" s="11"/>
      <c r="N766" s="11"/>
      <c r="P766" s="11"/>
      <c r="Q766" s="11"/>
      <c r="R766" s="3"/>
    </row>
    <row r="767" spans="1:18" x14ac:dyDescent="0.2">
      <c r="A767" s="11">
        <v>505</v>
      </c>
      <c r="B767" s="11">
        <v>1</v>
      </c>
      <c r="C767" s="11" t="s">
        <v>188</v>
      </c>
      <c r="D767" s="11">
        <f t="shared" si="22"/>
        <v>1</v>
      </c>
      <c r="E767">
        <f t="shared" si="23"/>
        <v>505001</v>
      </c>
      <c r="F767" s="11">
        <v>401</v>
      </c>
      <c r="G767" s="11" t="s">
        <v>29</v>
      </c>
      <c r="H767" s="3">
        <v>47081.61</v>
      </c>
      <c r="K767" s="11"/>
      <c r="L767" s="11"/>
      <c r="M767" s="11"/>
      <c r="N767" s="11"/>
      <c r="P767" s="11"/>
      <c r="Q767" s="11"/>
      <c r="R767" s="3"/>
    </row>
    <row r="768" spans="1:18" x14ac:dyDescent="0.2">
      <c r="A768" s="11">
        <v>505</v>
      </c>
      <c r="B768" s="11">
        <v>1</v>
      </c>
      <c r="C768" s="11" t="s">
        <v>188</v>
      </c>
      <c r="D768" s="11">
        <f t="shared" si="22"/>
        <v>2</v>
      </c>
      <c r="E768">
        <f t="shared" si="23"/>
        <v>505002</v>
      </c>
      <c r="F768" s="11">
        <v>414</v>
      </c>
      <c r="G768" s="11" t="s">
        <v>9</v>
      </c>
      <c r="H768" s="3">
        <v>22964.97</v>
      </c>
      <c r="K768" s="11"/>
      <c r="L768" s="11"/>
      <c r="M768" s="11"/>
      <c r="N768" s="11"/>
      <c r="P768" s="11"/>
      <c r="Q768" s="11"/>
      <c r="R768" s="3"/>
    </row>
    <row r="769" spans="1:18" x14ac:dyDescent="0.2">
      <c r="A769" s="11">
        <v>505</v>
      </c>
      <c r="B769" s="11">
        <v>1</v>
      </c>
      <c r="C769" s="11" t="s">
        <v>188</v>
      </c>
      <c r="D769" s="11">
        <f t="shared" si="22"/>
        <v>3</v>
      </c>
      <c r="E769">
        <f t="shared" si="23"/>
        <v>505003</v>
      </c>
      <c r="F769" s="11">
        <v>433</v>
      </c>
      <c r="G769" s="11" t="s">
        <v>30</v>
      </c>
      <c r="H769" s="3">
        <v>1190.74</v>
      </c>
      <c r="K769" s="11"/>
      <c r="L769" s="11"/>
      <c r="M769" s="11"/>
      <c r="N769" s="11"/>
      <c r="P769" s="11"/>
      <c r="Q769" s="11"/>
      <c r="R769" s="3"/>
    </row>
    <row r="770" spans="1:18" x14ac:dyDescent="0.2">
      <c r="A770" s="11">
        <v>505</v>
      </c>
      <c r="B770" s="11">
        <v>1</v>
      </c>
      <c r="C770" s="11" t="s">
        <v>188</v>
      </c>
      <c r="D770" s="11">
        <f t="shared" si="22"/>
        <v>4</v>
      </c>
      <c r="E770">
        <f t="shared" si="23"/>
        <v>505004</v>
      </c>
      <c r="F770" s="11">
        <v>470</v>
      </c>
      <c r="G770" s="11" t="s">
        <v>6</v>
      </c>
      <c r="H770" s="3">
        <v>28375.95</v>
      </c>
      <c r="K770" s="11"/>
      <c r="L770" s="11"/>
      <c r="M770" s="11"/>
      <c r="N770" s="11"/>
      <c r="P770" s="11"/>
      <c r="Q770" s="11"/>
      <c r="R770" s="3"/>
    </row>
    <row r="771" spans="1:18" x14ac:dyDescent="0.2">
      <c r="A771" s="11">
        <v>507</v>
      </c>
      <c r="B771" s="11">
        <v>1</v>
      </c>
      <c r="C771" s="11" t="s">
        <v>189</v>
      </c>
      <c r="D771" s="11">
        <f t="shared" si="22"/>
        <v>1</v>
      </c>
      <c r="E771">
        <f t="shared" si="23"/>
        <v>507001</v>
      </c>
      <c r="F771" s="11">
        <v>401</v>
      </c>
      <c r="G771" s="11" t="s">
        <v>29</v>
      </c>
      <c r="H771" s="3">
        <v>32908.550000000003</v>
      </c>
      <c r="K771" s="11"/>
      <c r="L771" s="11"/>
      <c r="M771" s="11"/>
      <c r="N771" s="11"/>
      <c r="P771" s="11"/>
      <c r="Q771" s="11"/>
      <c r="R771" s="3"/>
    </row>
    <row r="772" spans="1:18" x14ac:dyDescent="0.2">
      <c r="A772" s="11">
        <v>507</v>
      </c>
      <c r="B772" s="11">
        <v>1</v>
      </c>
      <c r="C772" s="11" t="s">
        <v>189</v>
      </c>
      <c r="D772" s="11">
        <f t="shared" si="22"/>
        <v>2</v>
      </c>
      <c r="E772">
        <f t="shared" si="23"/>
        <v>507002</v>
      </c>
      <c r="F772" s="11">
        <v>414</v>
      </c>
      <c r="G772" s="11" t="s">
        <v>9</v>
      </c>
      <c r="H772" s="3">
        <v>12904.13</v>
      </c>
      <c r="K772" s="11"/>
      <c r="L772" s="11"/>
      <c r="M772" s="11"/>
      <c r="N772" s="11"/>
      <c r="P772" s="11"/>
      <c r="Q772" s="11"/>
      <c r="R772" s="3"/>
    </row>
    <row r="773" spans="1:18" x14ac:dyDescent="0.2">
      <c r="A773" s="11">
        <v>507</v>
      </c>
      <c r="B773" s="11">
        <v>1</v>
      </c>
      <c r="C773" s="11" t="s">
        <v>189</v>
      </c>
      <c r="D773" s="11">
        <f t="shared" si="22"/>
        <v>3</v>
      </c>
      <c r="E773">
        <f t="shared" si="23"/>
        <v>507003</v>
      </c>
      <c r="F773" s="11">
        <v>433</v>
      </c>
      <c r="G773" s="11" t="s">
        <v>30</v>
      </c>
      <c r="H773" s="3">
        <v>954.43</v>
      </c>
      <c r="K773" s="11"/>
      <c r="L773" s="11"/>
      <c r="M773" s="11"/>
      <c r="N773" s="11"/>
      <c r="P773" s="11"/>
      <c r="Q773" s="11"/>
      <c r="R773" s="3"/>
    </row>
    <row r="774" spans="1:18" x14ac:dyDescent="0.2">
      <c r="A774" s="11">
        <v>507</v>
      </c>
      <c r="B774" s="11">
        <v>1</v>
      </c>
      <c r="C774" s="11" t="s">
        <v>189</v>
      </c>
      <c r="D774" s="11">
        <f t="shared" si="22"/>
        <v>4</v>
      </c>
      <c r="E774">
        <f t="shared" si="23"/>
        <v>507004</v>
      </c>
      <c r="F774" s="11">
        <v>470</v>
      </c>
      <c r="G774" s="11" t="s">
        <v>6</v>
      </c>
      <c r="H774" s="3">
        <v>19122.93</v>
      </c>
      <c r="K774" s="11"/>
      <c r="L774" s="11"/>
      <c r="M774" s="11"/>
      <c r="N774" s="11"/>
      <c r="P774" s="11"/>
      <c r="Q774" s="11"/>
      <c r="R774" s="3"/>
    </row>
    <row r="775" spans="1:18" x14ac:dyDescent="0.2">
      <c r="A775" s="11">
        <v>508</v>
      </c>
      <c r="B775" s="11">
        <v>1</v>
      </c>
      <c r="C775" s="11" t="s">
        <v>190</v>
      </c>
      <c r="D775" s="11">
        <f t="shared" si="22"/>
        <v>1</v>
      </c>
      <c r="E775">
        <f t="shared" si="23"/>
        <v>508001</v>
      </c>
      <c r="F775" s="11">
        <v>401</v>
      </c>
      <c r="G775" s="11" t="s">
        <v>29</v>
      </c>
      <c r="H775" s="3">
        <v>210211.36</v>
      </c>
      <c r="K775" s="11"/>
      <c r="L775" s="11"/>
      <c r="M775" s="11"/>
      <c r="N775" s="11"/>
      <c r="P775" s="11"/>
      <c r="Q775" s="11"/>
      <c r="R775" s="3"/>
    </row>
    <row r="776" spans="1:18" x14ac:dyDescent="0.2">
      <c r="A776" s="11">
        <v>508</v>
      </c>
      <c r="B776" s="11">
        <v>1</v>
      </c>
      <c r="C776" s="11" t="s">
        <v>190</v>
      </c>
      <c r="D776" s="11">
        <f t="shared" si="22"/>
        <v>2</v>
      </c>
      <c r="E776">
        <f t="shared" si="23"/>
        <v>508002</v>
      </c>
      <c r="F776" s="11">
        <v>406</v>
      </c>
      <c r="G776" s="11" t="s">
        <v>8</v>
      </c>
      <c r="H776" s="3">
        <v>44375.7</v>
      </c>
      <c r="K776" s="11"/>
      <c r="L776" s="11"/>
      <c r="M776" s="11"/>
      <c r="N776" s="11"/>
      <c r="P776" s="11"/>
      <c r="Q776" s="11"/>
      <c r="R776" s="3"/>
    </row>
    <row r="777" spans="1:18" x14ac:dyDescent="0.2">
      <c r="A777" s="11">
        <v>508</v>
      </c>
      <c r="B777" s="11">
        <v>1</v>
      </c>
      <c r="C777" s="11" t="s">
        <v>190</v>
      </c>
      <c r="D777" s="11">
        <f t="shared" si="22"/>
        <v>3</v>
      </c>
      <c r="E777">
        <f t="shared" si="23"/>
        <v>508003</v>
      </c>
      <c r="F777" s="11">
        <v>414</v>
      </c>
      <c r="G777" s="11" t="s">
        <v>9</v>
      </c>
      <c r="H777" s="3">
        <v>92402.06</v>
      </c>
      <c r="K777" s="11"/>
      <c r="L777" s="11"/>
      <c r="M777" s="11"/>
      <c r="N777" s="11"/>
      <c r="P777" s="11"/>
      <c r="Q777" s="11"/>
      <c r="R777" s="3"/>
    </row>
    <row r="778" spans="1:18" x14ac:dyDescent="0.2">
      <c r="A778" s="11">
        <v>508</v>
      </c>
      <c r="B778" s="11">
        <v>1</v>
      </c>
      <c r="C778" s="11" t="s">
        <v>190</v>
      </c>
      <c r="D778" s="11">
        <f t="shared" si="22"/>
        <v>4</v>
      </c>
      <c r="E778">
        <f t="shared" si="23"/>
        <v>508004</v>
      </c>
      <c r="F778" s="11">
        <v>433</v>
      </c>
      <c r="G778" s="11" t="s">
        <v>30</v>
      </c>
      <c r="H778" s="3">
        <v>5323.75</v>
      </c>
      <c r="K778" s="11"/>
      <c r="L778" s="11"/>
      <c r="M778" s="11"/>
      <c r="N778" s="11"/>
      <c r="P778" s="11"/>
      <c r="Q778" s="11"/>
      <c r="R778" s="3"/>
    </row>
    <row r="779" spans="1:18" x14ac:dyDescent="0.2">
      <c r="A779" s="11">
        <v>508</v>
      </c>
      <c r="B779" s="11">
        <v>1</v>
      </c>
      <c r="C779" s="11" t="s">
        <v>190</v>
      </c>
      <c r="D779" s="11">
        <f t="shared" si="22"/>
        <v>5</v>
      </c>
      <c r="E779">
        <f t="shared" si="23"/>
        <v>508005</v>
      </c>
      <c r="F779" s="11">
        <v>470</v>
      </c>
      <c r="G779" s="11" t="s">
        <v>6</v>
      </c>
      <c r="H779" s="3">
        <v>128925.51</v>
      </c>
      <c r="K779" s="11"/>
      <c r="L779" s="11"/>
      <c r="M779" s="11"/>
      <c r="N779" s="11"/>
      <c r="P779" s="11"/>
      <c r="Q779" s="11"/>
      <c r="R779" s="3"/>
    </row>
    <row r="780" spans="1:18" x14ac:dyDescent="0.2">
      <c r="A780" s="11">
        <v>508</v>
      </c>
      <c r="B780" s="11">
        <v>1</v>
      </c>
      <c r="C780" s="11" t="s">
        <v>190</v>
      </c>
      <c r="D780" s="11">
        <f t="shared" si="22"/>
        <v>6</v>
      </c>
      <c r="E780">
        <f t="shared" si="23"/>
        <v>508006</v>
      </c>
      <c r="F780" s="11">
        <v>471</v>
      </c>
      <c r="G780" s="11" t="s">
        <v>17</v>
      </c>
      <c r="H780" s="3">
        <v>27833.21</v>
      </c>
      <c r="K780" s="11"/>
      <c r="L780" s="11"/>
      <c r="M780" s="11"/>
      <c r="N780" s="11"/>
      <c r="P780" s="11"/>
      <c r="Q780" s="11"/>
      <c r="R780" s="3"/>
    </row>
    <row r="781" spans="1:18" x14ac:dyDescent="0.2">
      <c r="A781" s="11">
        <v>511</v>
      </c>
      <c r="B781" s="11">
        <v>1</v>
      </c>
      <c r="C781" s="11" t="s">
        <v>191</v>
      </c>
      <c r="D781" s="11">
        <f t="shared" si="22"/>
        <v>1</v>
      </c>
      <c r="E781">
        <f t="shared" si="23"/>
        <v>511001</v>
      </c>
      <c r="F781" s="11">
        <v>151</v>
      </c>
      <c r="G781" s="11" t="s">
        <v>28</v>
      </c>
      <c r="H781" s="3">
        <v>256877.41</v>
      </c>
      <c r="K781" s="11"/>
      <c r="L781" s="11"/>
      <c r="M781" s="11"/>
      <c r="N781" s="11"/>
      <c r="P781" s="11"/>
      <c r="Q781" s="11"/>
      <c r="R781" s="3"/>
    </row>
    <row r="782" spans="1:18" x14ac:dyDescent="0.2">
      <c r="A782" s="11">
        <v>511</v>
      </c>
      <c r="B782" s="11">
        <v>1</v>
      </c>
      <c r="C782" s="11" t="s">
        <v>191</v>
      </c>
      <c r="D782" s="11">
        <f t="shared" si="22"/>
        <v>2</v>
      </c>
      <c r="E782">
        <f t="shared" si="23"/>
        <v>511002</v>
      </c>
      <c r="F782" s="11">
        <v>401</v>
      </c>
      <c r="G782" s="11" t="s">
        <v>29</v>
      </c>
      <c r="H782" s="3">
        <v>89800.21</v>
      </c>
      <c r="K782" s="11"/>
      <c r="L782" s="11"/>
      <c r="M782" s="11"/>
      <c r="N782" s="11"/>
      <c r="P782" s="11"/>
      <c r="Q782" s="11"/>
      <c r="R782" s="3"/>
    </row>
    <row r="783" spans="1:18" x14ac:dyDescent="0.2">
      <c r="A783" s="11">
        <v>511</v>
      </c>
      <c r="B783" s="11">
        <v>1</v>
      </c>
      <c r="C783" s="11" t="s">
        <v>191</v>
      </c>
      <c r="D783" s="11">
        <f t="shared" ref="D783:D846" si="24">IF(A783=A782,D782+1,1)</f>
        <v>3</v>
      </c>
      <c r="E783">
        <f t="shared" ref="E783:E846" si="25">1000*A783+D783</f>
        <v>511003</v>
      </c>
      <c r="F783" s="11">
        <v>414</v>
      </c>
      <c r="G783" s="11" t="s">
        <v>9</v>
      </c>
      <c r="H783" s="3">
        <v>25070.67</v>
      </c>
      <c r="K783" s="11"/>
      <c r="L783" s="11"/>
      <c r="M783" s="11"/>
      <c r="N783" s="11"/>
      <c r="P783" s="11"/>
      <c r="Q783" s="11"/>
      <c r="R783" s="3"/>
    </row>
    <row r="784" spans="1:18" x14ac:dyDescent="0.2">
      <c r="A784" s="11">
        <v>511</v>
      </c>
      <c r="B784" s="11">
        <v>1</v>
      </c>
      <c r="C784" s="11" t="s">
        <v>191</v>
      </c>
      <c r="D784" s="11">
        <f t="shared" si="24"/>
        <v>4</v>
      </c>
      <c r="E784">
        <f t="shared" si="25"/>
        <v>511004</v>
      </c>
      <c r="F784" s="11">
        <v>433</v>
      </c>
      <c r="G784" s="11" t="s">
        <v>30</v>
      </c>
      <c r="H784" s="3">
        <v>2006.79</v>
      </c>
      <c r="K784" s="11"/>
      <c r="L784" s="11"/>
      <c r="M784" s="11"/>
      <c r="N784" s="11"/>
      <c r="P784" s="11"/>
      <c r="Q784" s="11"/>
      <c r="R784" s="3"/>
    </row>
    <row r="785" spans="1:18" x14ac:dyDescent="0.2">
      <c r="A785" s="11">
        <v>511</v>
      </c>
      <c r="B785" s="11">
        <v>1</v>
      </c>
      <c r="C785" s="11" t="s">
        <v>191</v>
      </c>
      <c r="D785" s="11">
        <f t="shared" si="24"/>
        <v>5</v>
      </c>
      <c r="E785">
        <f t="shared" si="25"/>
        <v>511005</v>
      </c>
      <c r="F785" s="11">
        <v>470</v>
      </c>
      <c r="G785" s="11" t="s">
        <v>6</v>
      </c>
      <c r="H785" s="3">
        <v>45648.27</v>
      </c>
      <c r="K785" s="11"/>
      <c r="L785" s="11"/>
      <c r="M785" s="11"/>
      <c r="N785" s="11"/>
      <c r="P785" s="11"/>
      <c r="Q785" s="11"/>
      <c r="R785" s="3"/>
    </row>
    <row r="786" spans="1:18" x14ac:dyDescent="0.2">
      <c r="A786" s="11">
        <v>513</v>
      </c>
      <c r="B786" s="11">
        <v>1</v>
      </c>
      <c r="C786" s="11" t="s">
        <v>192</v>
      </c>
      <c r="D786" s="11">
        <f t="shared" si="24"/>
        <v>1</v>
      </c>
      <c r="E786">
        <f t="shared" si="25"/>
        <v>513001</v>
      </c>
      <c r="F786" s="11">
        <v>151</v>
      </c>
      <c r="G786" s="11" t="s">
        <v>28</v>
      </c>
      <c r="H786" s="3">
        <v>67559.11</v>
      </c>
      <c r="K786" s="11"/>
      <c r="L786" s="11"/>
      <c r="M786" s="11"/>
      <c r="N786" s="11"/>
      <c r="P786" s="11"/>
      <c r="Q786" s="11"/>
      <c r="R786" s="3"/>
    </row>
    <row r="787" spans="1:18" x14ac:dyDescent="0.2">
      <c r="A787" s="11">
        <v>513</v>
      </c>
      <c r="B787" s="11">
        <v>1</v>
      </c>
      <c r="C787" s="11" t="s">
        <v>192</v>
      </c>
      <c r="D787" s="11">
        <f t="shared" si="24"/>
        <v>2</v>
      </c>
      <c r="E787">
        <f t="shared" si="25"/>
        <v>513002</v>
      </c>
      <c r="F787" s="11">
        <v>401</v>
      </c>
      <c r="G787" s="11" t="s">
        <v>29</v>
      </c>
      <c r="H787" s="3">
        <v>41115.11</v>
      </c>
      <c r="K787" s="11"/>
      <c r="L787" s="11"/>
      <c r="M787" s="11"/>
      <c r="N787" s="11"/>
      <c r="P787" s="11"/>
      <c r="Q787" s="11"/>
      <c r="R787" s="3"/>
    </row>
    <row r="788" spans="1:18" x14ac:dyDescent="0.2">
      <c r="A788" s="11">
        <v>513</v>
      </c>
      <c r="B788" s="11">
        <v>1</v>
      </c>
      <c r="C788" s="11" t="s">
        <v>192</v>
      </c>
      <c r="D788" s="11">
        <f t="shared" si="24"/>
        <v>3</v>
      </c>
      <c r="E788">
        <f t="shared" si="25"/>
        <v>513003</v>
      </c>
      <c r="F788" s="11">
        <v>414</v>
      </c>
      <c r="G788" s="11" t="s">
        <v>9</v>
      </c>
      <c r="H788" s="3">
        <v>20336.23</v>
      </c>
      <c r="K788" s="11"/>
      <c r="L788" s="11"/>
      <c r="M788" s="11"/>
      <c r="N788" s="11"/>
      <c r="P788" s="11"/>
      <c r="Q788" s="11"/>
      <c r="R788" s="3"/>
    </row>
    <row r="789" spans="1:18" x14ac:dyDescent="0.2">
      <c r="A789" s="11">
        <v>513</v>
      </c>
      <c r="B789" s="11">
        <v>1</v>
      </c>
      <c r="C789" s="11" t="s">
        <v>192</v>
      </c>
      <c r="D789" s="11">
        <f t="shared" si="24"/>
        <v>4</v>
      </c>
      <c r="E789">
        <f t="shared" si="25"/>
        <v>513004</v>
      </c>
      <c r="F789" s="11">
        <v>433</v>
      </c>
      <c r="G789" s="11" t="s">
        <v>30</v>
      </c>
      <c r="H789" s="3">
        <v>905.27</v>
      </c>
      <c r="K789" s="11"/>
      <c r="L789" s="11"/>
      <c r="M789" s="11"/>
      <c r="N789" s="11"/>
      <c r="P789" s="11"/>
      <c r="Q789" s="11"/>
      <c r="R789" s="3"/>
    </row>
    <row r="790" spans="1:18" x14ac:dyDescent="0.2">
      <c r="A790" s="11">
        <v>513</v>
      </c>
      <c r="B790" s="11">
        <v>1</v>
      </c>
      <c r="C790" s="11" t="s">
        <v>192</v>
      </c>
      <c r="D790" s="11">
        <f t="shared" si="24"/>
        <v>5</v>
      </c>
      <c r="E790">
        <f t="shared" si="25"/>
        <v>513005</v>
      </c>
      <c r="F790" s="11">
        <v>470</v>
      </c>
      <c r="G790" s="11" t="s">
        <v>6</v>
      </c>
      <c r="H790" s="3">
        <v>21780.66</v>
      </c>
      <c r="K790" s="11"/>
      <c r="L790" s="11"/>
      <c r="M790" s="11"/>
      <c r="N790" s="11"/>
      <c r="P790" s="11"/>
      <c r="Q790" s="11"/>
      <c r="R790" s="3"/>
    </row>
    <row r="791" spans="1:18" x14ac:dyDescent="0.2">
      <c r="A791" s="11">
        <v>514</v>
      </c>
      <c r="B791" s="11">
        <v>1</v>
      </c>
      <c r="C791" s="11" t="s">
        <v>193</v>
      </c>
      <c r="D791" s="11">
        <f t="shared" si="24"/>
        <v>1</v>
      </c>
      <c r="E791">
        <f t="shared" si="25"/>
        <v>514001</v>
      </c>
      <c r="F791" s="11">
        <v>433</v>
      </c>
      <c r="G791" s="11" t="s">
        <v>30</v>
      </c>
      <c r="H791" s="3">
        <v>571.82000000000005</v>
      </c>
      <c r="K791" s="11"/>
      <c r="L791" s="11"/>
      <c r="M791" s="11"/>
      <c r="N791" s="11"/>
      <c r="P791" s="11"/>
      <c r="Q791" s="11"/>
      <c r="R791" s="3"/>
    </row>
    <row r="792" spans="1:18" x14ac:dyDescent="0.2">
      <c r="A792" s="11">
        <v>516</v>
      </c>
      <c r="B792" s="11">
        <v>1</v>
      </c>
      <c r="C792" s="11" t="s">
        <v>194</v>
      </c>
      <c r="D792" s="11">
        <f t="shared" si="24"/>
        <v>1</v>
      </c>
      <c r="E792">
        <f t="shared" si="25"/>
        <v>516001</v>
      </c>
      <c r="F792" s="11">
        <v>151</v>
      </c>
      <c r="G792" s="11" t="s">
        <v>28</v>
      </c>
      <c r="H792" s="3">
        <v>46705.41</v>
      </c>
      <c r="K792" s="11"/>
      <c r="L792" s="11"/>
      <c r="M792" s="11"/>
      <c r="N792" s="11"/>
      <c r="P792" s="11"/>
      <c r="Q792" s="11"/>
      <c r="R792" s="3"/>
    </row>
    <row r="793" spans="1:18" x14ac:dyDescent="0.2">
      <c r="A793" s="11">
        <v>518</v>
      </c>
      <c r="B793" s="11">
        <v>1</v>
      </c>
      <c r="C793" s="11" t="s">
        <v>195</v>
      </c>
      <c r="D793" s="11">
        <f t="shared" si="24"/>
        <v>1</v>
      </c>
      <c r="E793">
        <f t="shared" si="25"/>
        <v>518001</v>
      </c>
      <c r="F793" s="11">
        <v>441</v>
      </c>
      <c r="G793" s="11" t="s">
        <v>16</v>
      </c>
      <c r="H793" s="3">
        <v>1600</v>
      </c>
      <c r="K793" s="11"/>
      <c r="L793" s="11"/>
      <c r="M793" s="11"/>
      <c r="N793" s="11"/>
      <c r="P793" s="11"/>
      <c r="Q793" s="11"/>
      <c r="R793" s="3"/>
    </row>
    <row r="794" spans="1:18" x14ac:dyDescent="0.2">
      <c r="A794" s="11">
        <v>518</v>
      </c>
      <c r="B794" s="11">
        <v>1</v>
      </c>
      <c r="C794" s="11" t="s">
        <v>195</v>
      </c>
      <c r="D794" s="11">
        <f t="shared" si="24"/>
        <v>2</v>
      </c>
      <c r="E794">
        <f t="shared" si="25"/>
        <v>518002</v>
      </c>
      <c r="F794" s="11">
        <v>442</v>
      </c>
      <c r="G794" s="11" t="s">
        <v>112</v>
      </c>
      <c r="H794" s="3">
        <v>31365</v>
      </c>
      <c r="K794" s="11"/>
      <c r="L794" s="11"/>
      <c r="M794" s="11"/>
      <c r="N794" s="11"/>
      <c r="P794" s="11"/>
      <c r="Q794" s="11"/>
      <c r="R794" s="3"/>
    </row>
    <row r="795" spans="1:18" x14ac:dyDescent="0.2">
      <c r="A795" s="11">
        <v>518</v>
      </c>
      <c r="B795" s="11">
        <v>1</v>
      </c>
      <c r="C795" s="11" t="s">
        <v>195</v>
      </c>
      <c r="D795" s="11">
        <f t="shared" si="24"/>
        <v>3</v>
      </c>
      <c r="E795">
        <f t="shared" si="25"/>
        <v>518003</v>
      </c>
      <c r="F795" s="11">
        <v>480</v>
      </c>
      <c r="G795" s="11" t="s">
        <v>19</v>
      </c>
      <c r="H795" s="3">
        <v>566673.72</v>
      </c>
      <c r="K795" s="11"/>
      <c r="L795" s="11"/>
      <c r="M795" s="11"/>
      <c r="N795" s="11"/>
      <c r="P795" s="11"/>
      <c r="Q795" s="11"/>
      <c r="R795" s="3"/>
    </row>
    <row r="796" spans="1:18" x14ac:dyDescent="0.2">
      <c r="A796" s="11">
        <v>518</v>
      </c>
      <c r="B796" s="11">
        <v>1</v>
      </c>
      <c r="C796" s="11" t="s">
        <v>195</v>
      </c>
      <c r="D796" s="11">
        <f t="shared" si="24"/>
        <v>4</v>
      </c>
      <c r="E796">
        <f t="shared" si="25"/>
        <v>518004</v>
      </c>
      <c r="F796" s="11">
        <v>486</v>
      </c>
      <c r="G796" s="11" t="s">
        <v>21</v>
      </c>
      <c r="H796" s="3">
        <v>29319.86</v>
      </c>
      <c r="K796" s="11"/>
      <c r="L796" s="11"/>
      <c r="M796" s="11"/>
      <c r="N796" s="11"/>
      <c r="P796" s="11"/>
      <c r="Q796" s="11"/>
      <c r="R796" s="3"/>
    </row>
    <row r="797" spans="1:18" x14ac:dyDescent="0.2">
      <c r="A797" s="11">
        <v>531</v>
      </c>
      <c r="B797" s="11">
        <v>1</v>
      </c>
      <c r="C797" s="11" t="s">
        <v>196</v>
      </c>
      <c r="D797" s="11">
        <f t="shared" si="24"/>
        <v>1</v>
      </c>
      <c r="E797">
        <f t="shared" si="25"/>
        <v>531001</v>
      </c>
      <c r="F797" s="11">
        <v>433</v>
      </c>
      <c r="G797" s="11" t="s">
        <v>30</v>
      </c>
      <c r="H797" s="3">
        <v>3179.93</v>
      </c>
      <c r="K797" s="11"/>
      <c r="L797" s="11"/>
      <c r="M797" s="11"/>
      <c r="N797" s="11"/>
      <c r="P797" s="11"/>
      <c r="Q797" s="11"/>
      <c r="R797" s="3"/>
    </row>
    <row r="798" spans="1:18" x14ac:dyDescent="0.2">
      <c r="A798" s="11">
        <v>533</v>
      </c>
      <c r="B798" s="11">
        <v>1</v>
      </c>
      <c r="C798" s="11" t="s">
        <v>197</v>
      </c>
      <c r="D798" s="11">
        <f t="shared" si="24"/>
        <v>1</v>
      </c>
      <c r="E798">
        <f t="shared" si="25"/>
        <v>533001</v>
      </c>
      <c r="F798" s="11">
        <v>151</v>
      </c>
      <c r="G798" s="11" t="s">
        <v>28</v>
      </c>
      <c r="H798" s="3">
        <v>469173.7</v>
      </c>
      <c r="K798" s="11"/>
      <c r="L798" s="11"/>
      <c r="M798" s="11"/>
      <c r="N798" s="11"/>
      <c r="P798" s="11"/>
      <c r="Q798" s="11"/>
      <c r="R798" s="3"/>
    </row>
    <row r="799" spans="1:18" x14ac:dyDescent="0.2">
      <c r="A799" s="11">
        <v>533</v>
      </c>
      <c r="B799" s="11">
        <v>1</v>
      </c>
      <c r="C799" s="11" t="s">
        <v>197</v>
      </c>
      <c r="D799" s="11">
        <f t="shared" si="24"/>
        <v>2</v>
      </c>
      <c r="E799">
        <f t="shared" si="25"/>
        <v>533002</v>
      </c>
      <c r="F799" s="11">
        <v>401</v>
      </c>
      <c r="G799" s="11" t="s">
        <v>29</v>
      </c>
      <c r="H799" s="3">
        <v>45303.69</v>
      </c>
      <c r="K799" s="11"/>
      <c r="L799" s="11"/>
      <c r="M799" s="11"/>
      <c r="N799" s="11"/>
      <c r="P799" s="11"/>
      <c r="Q799" s="11"/>
      <c r="R799" s="3"/>
    </row>
    <row r="800" spans="1:18" x14ac:dyDescent="0.2">
      <c r="A800" s="11">
        <v>533</v>
      </c>
      <c r="B800" s="11">
        <v>1</v>
      </c>
      <c r="C800" s="11" t="s">
        <v>197</v>
      </c>
      <c r="D800" s="11">
        <f t="shared" si="24"/>
        <v>3</v>
      </c>
      <c r="E800">
        <f t="shared" si="25"/>
        <v>533003</v>
      </c>
      <c r="F800" s="11">
        <v>414</v>
      </c>
      <c r="G800" s="11" t="s">
        <v>9</v>
      </c>
      <c r="H800" s="3">
        <v>36471.129999999997</v>
      </c>
      <c r="K800" s="11"/>
      <c r="L800" s="11"/>
      <c r="M800" s="11"/>
      <c r="N800" s="11"/>
      <c r="P800" s="11"/>
      <c r="Q800" s="11"/>
      <c r="R800" s="3"/>
    </row>
    <row r="801" spans="1:18" x14ac:dyDescent="0.2">
      <c r="A801" s="11">
        <v>533</v>
      </c>
      <c r="B801" s="11">
        <v>1</v>
      </c>
      <c r="C801" s="11" t="s">
        <v>197</v>
      </c>
      <c r="D801" s="11">
        <f t="shared" si="24"/>
        <v>4</v>
      </c>
      <c r="E801">
        <f t="shared" si="25"/>
        <v>533004</v>
      </c>
      <c r="F801" s="11">
        <v>433</v>
      </c>
      <c r="G801" s="11" t="s">
        <v>30</v>
      </c>
      <c r="H801" s="3">
        <v>2067.89</v>
      </c>
      <c r="K801" s="11"/>
      <c r="L801" s="11"/>
      <c r="M801" s="11"/>
      <c r="N801" s="11"/>
      <c r="P801" s="11"/>
      <c r="Q801" s="11"/>
      <c r="R801" s="3"/>
    </row>
    <row r="802" spans="1:18" x14ac:dyDescent="0.2">
      <c r="A802" s="11">
        <v>533</v>
      </c>
      <c r="B802" s="11">
        <v>1</v>
      </c>
      <c r="C802" s="11" t="s">
        <v>197</v>
      </c>
      <c r="D802" s="11">
        <f t="shared" si="24"/>
        <v>5</v>
      </c>
      <c r="E802">
        <f t="shared" si="25"/>
        <v>533005</v>
      </c>
      <c r="F802" s="11">
        <v>470</v>
      </c>
      <c r="G802" s="11" t="s">
        <v>6</v>
      </c>
      <c r="H802" s="3">
        <v>27759.08</v>
      </c>
      <c r="K802" s="11"/>
      <c r="L802" s="11"/>
      <c r="M802" s="11"/>
      <c r="N802" s="11"/>
      <c r="P802" s="11"/>
      <c r="Q802" s="11"/>
      <c r="R802" s="3"/>
    </row>
    <row r="803" spans="1:18" x14ac:dyDescent="0.2">
      <c r="A803" s="11">
        <v>534</v>
      </c>
      <c r="B803" s="11">
        <v>1</v>
      </c>
      <c r="C803" s="11" t="s">
        <v>198</v>
      </c>
      <c r="D803" s="11">
        <f t="shared" si="24"/>
        <v>1</v>
      </c>
      <c r="E803">
        <f t="shared" si="25"/>
        <v>534001</v>
      </c>
      <c r="F803" s="11">
        <v>151</v>
      </c>
      <c r="G803" s="11" t="s">
        <v>28</v>
      </c>
      <c r="H803" s="3">
        <v>664733.53</v>
      </c>
      <c r="K803" s="11"/>
      <c r="L803" s="11"/>
      <c r="M803" s="11"/>
      <c r="N803" s="11"/>
      <c r="P803" s="11"/>
      <c r="Q803" s="11"/>
      <c r="R803" s="3"/>
    </row>
    <row r="804" spans="1:18" x14ac:dyDescent="0.2">
      <c r="A804" s="11">
        <v>534</v>
      </c>
      <c r="B804" s="11">
        <v>1</v>
      </c>
      <c r="C804" s="11" t="s">
        <v>198</v>
      </c>
      <c r="D804" s="11">
        <f t="shared" si="24"/>
        <v>2</v>
      </c>
      <c r="E804">
        <f t="shared" si="25"/>
        <v>534002</v>
      </c>
      <c r="F804" s="11">
        <v>401</v>
      </c>
      <c r="G804" s="11" t="s">
        <v>29</v>
      </c>
      <c r="H804" s="3">
        <v>118221.84</v>
      </c>
      <c r="K804" s="11"/>
      <c r="L804" s="11"/>
      <c r="M804" s="11"/>
      <c r="N804" s="11"/>
      <c r="P804" s="11"/>
      <c r="Q804" s="11"/>
      <c r="R804" s="3"/>
    </row>
    <row r="805" spans="1:18" x14ac:dyDescent="0.2">
      <c r="A805" s="11">
        <v>534</v>
      </c>
      <c r="B805" s="11">
        <v>1</v>
      </c>
      <c r="C805" s="11" t="s">
        <v>198</v>
      </c>
      <c r="D805" s="11">
        <f t="shared" si="24"/>
        <v>3</v>
      </c>
      <c r="E805">
        <f t="shared" si="25"/>
        <v>534003</v>
      </c>
      <c r="F805" s="11">
        <v>414</v>
      </c>
      <c r="G805" s="11" t="s">
        <v>9</v>
      </c>
      <c r="H805" s="3">
        <v>48955.67</v>
      </c>
      <c r="K805" s="11"/>
      <c r="L805" s="11"/>
      <c r="M805" s="11"/>
      <c r="N805" s="11"/>
      <c r="P805" s="11"/>
      <c r="Q805" s="11"/>
      <c r="R805" s="3"/>
    </row>
    <row r="806" spans="1:18" x14ac:dyDescent="0.2">
      <c r="A806" s="11">
        <v>534</v>
      </c>
      <c r="B806" s="11">
        <v>1</v>
      </c>
      <c r="C806" s="11" t="s">
        <v>198</v>
      </c>
      <c r="D806" s="11">
        <f t="shared" si="24"/>
        <v>4</v>
      </c>
      <c r="E806">
        <f t="shared" si="25"/>
        <v>534004</v>
      </c>
      <c r="F806" s="11">
        <v>433</v>
      </c>
      <c r="G806" s="11" t="s">
        <v>30</v>
      </c>
      <c r="H806" s="3">
        <v>3821.15</v>
      </c>
      <c r="K806" s="11"/>
      <c r="L806" s="11"/>
      <c r="M806" s="11"/>
      <c r="N806" s="11"/>
      <c r="P806" s="11"/>
      <c r="Q806" s="11"/>
      <c r="R806" s="3"/>
    </row>
    <row r="807" spans="1:18" x14ac:dyDescent="0.2">
      <c r="A807" s="11">
        <v>534</v>
      </c>
      <c r="B807" s="11">
        <v>1</v>
      </c>
      <c r="C807" s="11" t="s">
        <v>198</v>
      </c>
      <c r="D807" s="11">
        <f t="shared" si="24"/>
        <v>5</v>
      </c>
      <c r="E807">
        <f t="shared" si="25"/>
        <v>534005</v>
      </c>
      <c r="F807" s="11">
        <v>470</v>
      </c>
      <c r="G807" s="11" t="s">
        <v>6</v>
      </c>
      <c r="H807" s="3">
        <v>72790.47</v>
      </c>
      <c r="K807" s="11"/>
      <c r="L807" s="11"/>
      <c r="M807" s="11"/>
      <c r="N807" s="11"/>
      <c r="P807" s="11"/>
      <c r="Q807" s="11"/>
      <c r="R807" s="3"/>
    </row>
    <row r="808" spans="1:18" x14ac:dyDescent="0.2">
      <c r="A808" s="11">
        <v>535</v>
      </c>
      <c r="B808" s="11">
        <v>1</v>
      </c>
      <c r="C808" s="11" t="s">
        <v>199</v>
      </c>
      <c r="D808" s="11">
        <f t="shared" si="24"/>
        <v>1</v>
      </c>
      <c r="E808">
        <f t="shared" si="25"/>
        <v>535001</v>
      </c>
      <c r="F808" s="11">
        <v>420</v>
      </c>
      <c r="G808" s="11" t="s">
        <v>11</v>
      </c>
      <c r="H808" s="3">
        <v>56775.67</v>
      </c>
      <c r="K808" s="11"/>
      <c r="L808" s="11"/>
      <c r="M808" s="11"/>
      <c r="N808" s="11"/>
      <c r="P808" s="11"/>
      <c r="Q808" s="11"/>
      <c r="R808" s="3"/>
    </row>
    <row r="809" spans="1:18" x14ac:dyDescent="0.2">
      <c r="A809" s="11">
        <v>535</v>
      </c>
      <c r="B809" s="11">
        <v>1</v>
      </c>
      <c r="C809" s="11" t="s">
        <v>199</v>
      </c>
      <c r="D809" s="11">
        <f t="shared" si="24"/>
        <v>2</v>
      </c>
      <c r="E809">
        <f t="shared" si="25"/>
        <v>535002</v>
      </c>
      <c r="F809" s="11">
        <v>435</v>
      </c>
      <c r="G809" s="11" t="s">
        <v>35</v>
      </c>
      <c r="H809" s="3">
        <v>19700</v>
      </c>
      <c r="K809" s="11"/>
      <c r="L809" s="11"/>
      <c r="M809" s="11"/>
      <c r="N809" s="11"/>
      <c r="P809" s="11"/>
      <c r="Q809" s="11"/>
      <c r="R809" s="3"/>
    </row>
    <row r="810" spans="1:18" x14ac:dyDescent="0.2">
      <c r="A810" s="11">
        <v>535</v>
      </c>
      <c r="B810" s="11">
        <v>1</v>
      </c>
      <c r="C810" s="11" t="s">
        <v>199</v>
      </c>
      <c r="D810" s="11">
        <f t="shared" si="24"/>
        <v>3</v>
      </c>
      <c r="E810">
        <f t="shared" si="25"/>
        <v>535003</v>
      </c>
      <c r="F810" s="11">
        <v>437</v>
      </c>
      <c r="G810" s="11" t="s">
        <v>14</v>
      </c>
      <c r="H810" s="3">
        <v>3855</v>
      </c>
      <c r="K810" s="11"/>
      <c r="L810" s="11"/>
      <c r="M810" s="11"/>
      <c r="N810" s="11"/>
      <c r="P810" s="11"/>
      <c r="Q810" s="11"/>
      <c r="R810" s="3"/>
    </row>
    <row r="811" spans="1:18" x14ac:dyDescent="0.2">
      <c r="A811" s="11">
        <v>535</v>
      </c>
      <c r="B811" s="11">
        <v>1</v>
      </c>
      <c r="C811" s="11" t="s">
        <v>199</v>
      </c>
      <c r="D811" s="11">
        <f t="shared" si="24"/>
        <v>4</v>
      </c>
      <c r="E811">
        <f t="shared" si="25"/>
        <v>535004</v>
      </c>
      <c r="F811" s="11">
        <v>441</v>
      </c>
      <c r="G811" s="11" t="s">
        <v>16</v>
      </c>
      <c r="H811" s="3">
        <v>6425</v>
      </c>
      <c r="K811" s="11"/>
      <c r="L811" s="11"/>
      <c r="M811" s="11"/>
      <c r="N811" s="11"/>
      <c r="P811" s="11"/>
      <c r="Q811" s="11"/>
      <c r="R811" s="3"/>
    </row>
    <row r="812" spans="1:18" x14ac:dyDescent="0.2">
      <c r="A812" s="11">
        <v>535</v>
      </c>
      <c r="B812" s="11">
        <v>1</v>
      </c>
      <c r="C812" s="11" t="s">
        <v>199</v>
      </c>
      <c r="D812" s="11">
        <f t="shared" si="24"/>
        <v>5</v>
      </c>
      <c r="E812">
        <f t="shared" si="25"/>
        <v>535005</v>
      </c>
      <c r="F812" s="11">
        <v>484</v>
      </c>
      <c r="G812" s="11" t="s">
        <v>20</v>
      </c>
      <c r="H812" s="3">
        <v>156884.88</v>
      </c>
      <c r="K812" s="11"/>
      <c r="L812" s="11"/>
      <c r="M812" s="11"/>
      <c r="N812" s="11"/>
      <c r="P812" s="11"/>
      <c r="Q812" s="11"/>
      <c r="R812" s="3"/>
    </row>
    <row r="813" spans="1:18" x14ac:dyDescent="0.2">
      <c r="A813" s="11">
        <v>535</v>
      </c>
      <c r="B813" s="11">
        <v>1</v>
      </c>
      <c r="C813" s="11" t="s">
        <v>199</v>
      </c>
      <c r="D813" s="11">
        <f t="shared" si="24"/>
        <v>6</v>
      </c>
      <c r="E813">
        <f t="shared" si="25"/>
        <v>535006</v>
      </c>
      <c r="F813" s="11">
        <v>801</v>
      </c>
      <c r="G813" s="11" t="s">
        <v>22</v>
      </c>
      <c r="H813" s="3">
        <v>31017</v>
      </c>
      <c r="K813" s="11"/>
      <c r="L813" s="11"/>
      <c r="M813" s="11"/>
      <c r="N813" s="11"/>
      <c r="P813" s="11"/>
      <c r="Q813" s="11"/>
      <c r="R813" s="3"/>
    </row>
    <row r="814" spans="1:18" x14ac:dyDescent="0.2">
      <c r="A814" s="11">
        <v>535</v>
      </c>
      <c r="B814" s="11">
        <v>1</v>
      </c>
      <c r="C814" s="11" t="s">
        <v>199</v>
      </c>
      <c r="D814" s="11">
        <f t="shared" si="24"/>
        <v>7</v>
      </c>
      <c r="E814">
        <f t="shared" si="25"/>
        <v>535007</v>
      </c>
      <c r="F814" s="11">
        <v>869</v>
      </c>
      <c r="G814" s="11" t="s">
        <v>115</v>
      </c>
      <c r="H814" s="3">
        <v>86815</v>
      </c>
      <c r="K814" s="11"/>
      <c r="L814" s="11"/>
      <c r="M814" s="11"/>
      <c r="N814" s="11"/>
      <c r="P814" s="11"/>
      <c r="Q814" s="11"/>
      <c r="R814" s="3"/>
    </row>
    <row r="815" spans="1:18" x14ac:dyDescent="0.2">
      <c r="A815" s="11">
        <v>535</v>
      </c>
      <c r="B815" s="11">
        <v>1</v>
      </c>
      <c r="C815" s="11" t="s">
        <v>199</v>
      </c>
      <c r="D815" s="11">
        <f t="shared" si="24"/>
        <v>8</v>
      </c>
      <c r="E815">
        <f t="shared" si="25"/>
        <v>535008</v>
      </c>
      <c r="F815" s="11">
        <v>871</v>
      </c>
      <c r="G815" s="11" t="s">
        <v>125</v>
      </c>
      <c r="H815" s="3">
        <v>169000</v>
      </c>
      <c r="K815" s="11"/>
      <c r="L815" s="11"/>
      <c r="M815" s="11"/>
      <c r="N815" s="11"/>
      <c r="P815" s="11"/>
      <c r="Q815" s="11"/>
      <c r="R815" s="3"/>
    </row>
    <row r="816" spans="1:18" x14ac:dyDescent="0.2">
      <c r="A816" s="11">
        <v>544</v>
      </c>
      <c r="B816" s="11">
        <v>1</v>
      </c>
      <c r="C816" s="11" t="s">
        <v>200</v>
      </c>
      <c r="D816" s="11">
        <f t="shared" si="24"/>
        <v>1</v>
      </c>
      <c r="E816">
        <f t="shared" si="25"/>
        <v>544001</v>
      </c>
      <c r="F816" s="11">
        <v>433</v>
      </c>
      <c r="G816" s="11" t="s">
        <v>30</v>
      </c>
      <c r="H816" s="3">
        <v>8249.16</v>
      </c>
      <c r="K816" s="11"/>
      <c r="L816" s="11"/>
      <c r="M816" s="11"/>
      <c r="N816" s="11"/>
      <c r="P816" s="11"/>
      <c r="Q816" s="11"/>
      <c r="R816" s="3"/>
    </row>
    <row r="817" spans="1:18" x14ac:dyDescent="0.2">
      <c r="A817" s="11">
        <v>545</v>
      </c>
      <c r="B817" s="11">
        <v>1</v>
      </c>
      <c r="C817" s="11" t="s">
        <v>201</v>
      </c>
      <c r="D817" s="11">
        <f t="shared" si="24"/>
        <v>1</v>
      </c>
      <c r="E817">
        <f t="shared" si="25"/>
        <v>545001</v>
      </c>
      <c r="F817" s="11">
        <v>433</v>
      </c>
      <c r="G817" s="11" t="s">
        <v>30</v>
      </c>
      <c r="H817" s="3">
        <v>1222.52</v>
      </c>
      <c r="K817" s="11"/>
      <c r="L817" s="11"/>
      <c r="M817" s="11"/>
      <c r="N817" s="11"/>
      <c r="P817" s="11"/>
      <c r="Q817" s="11"/>
      <c r="R817" s="3"/>
    </row>
    <row r="818" spans="1:18" x14ac:dyDescent="0.2">
      <c r="A818" s="11">
        <v>547</v>
      </c>
      <c r="B818" s="11">
        <v>1</v>
      </c>
      <c r="C818" s="11" t="s">
        <v>202</v>
      </c>
      <c r="D818" s="11">
        <f t="shared" si="24"/>
        <v>1</v>
      </c>
      <c r="E818">
        <f t="shared" si="25"/>
        <v>547001</v>
      </c>
      <c r="F818" s="11">
        <v>151</v>
      </c>
      <c r="G818" s="11" t="s">
        <v>28</v>
      </c>
      <c r="H818" s="3">
        <v>232754.79</v>
      </c>
      <c r="K818" s="11"/>
      <c r="L818" s="11"/>
      <c r="M818" s="11"/>
      <c r="N818" s="11"/>
      <c r="P818" s="11"/>
      <c r="Q818" s="11"/>
      <c r="R818" s="3"/>
    </row>
    <row r="819" spans="1:18" x14ac:dyDescent="0.2">
      <c r="A819" s="11">
        <v>547</v>
      </c>
      <c r="B819" s="11">
        <v>1</v>
      </c>
      <c r="C819" s="11" t="s">
        <v>202</v>
      </c>
      <c r="D819" s="11">
        <f t="shared" si="24"/>
        <v>2</v>
      </c>
      <c r="E819">
        <f t="shared" si="25"/>
        <v>547002</v>
      </c>
      <c r="F819" s="11">
        <v>401</v>
      </c>
      <c r="G819" s="11" t="s">
        <v>29</v>
      </c>
      <c r="H819" s="3">
        <v>70203.429999999993</v>
      </c>
      <c r="K819" s="11"/>
      <c r="L819" s="11"/>
      <c r="M819" s="11"/>
      <c r="N819" s="11"/>
      <c r="P819" s="11"/>
      <c r="Q819" s="11"/>
      <c r="R819" s="3"/>
    </row>
    <row r="820" spans="1:18" x14ac:dyDescent="0.2">
      <c r="A820" s="11">
        <v>547</v>
      </c>
      <c r="B820" s="11">
        <v>1</v>
      </c>
      <c r="C820" s="11" t="s">
        <v>202</v>
      </c>
      <c r="D820" s="11">
        <f t="shared" si="24"/>
        <v>3</v>
      </c>
      <c r="E820">
        <f t="shared" si="25"/>
        <v>547003</v>
      </c>
      <c r="F820" s="11">
        <v>414</v>
      </c>
      <c r="G820" s="11" t="s">
        <v>9</v>
      </c>
      <c r="H820" s="3">
        <v>27925.54</v>
      </c>
      <c r="K820" s="11"/>
      <c r="L820" s="11"/>
      <c r="M820" s="11"/>
      <c r="N820" s="11"/>
      <c r="P820" s="11"/>
      <c r="Q820" s="11"/>
      <c r="R820" s="3"/>
    </row>
    <row r="821" spans="1:18" x14ac:dyDescent="0.2">
      <c r="A821" s="11">
        <v>547</v>
      </c>
      <c r="B821" s="11">
        <v>1</v>
      </c>
      <c r="C821" s="11" t="s">
        <v>202</v>
      </c>
      <c r="D821" s="11">
        <f t="shared" si="24"/>
        <v>4</v>
      </c>
      <c r="E821">
        <f t="shared" si="25"/>
        <v>547004</v>
      </c>
      <c r="F821" s="11">
        <v>433</v>
      </c>
      <c r="G821" s="11" t="s">
        <v>30</v>
      </c>
      <c r="H821" s="3">
        <v>1658.63</v>
      </c>
      <c r="K821" s="11"/>
      <c r="L821" s="11"/>
      <c r="M821" s="11"/>
      <c r="N821" s="11"/>
      <c r="P821" s="11"/>
      <c r="Q821" s="11"/>
      <c r="R821" s="3"/>
    </row>
    <row r="822" spans="1:18" x14ac:dyDescent="0.2">
      <c r="A822" s="11">
        <v>547</v>
      </c>
      <c r="B822" s="11">
        <v>1</v>
      </c>
      <c r="C822" s="11" t="s">
        <v>202</v>
      </c>
      <c r="D822" s="11">
        <f t="shared" si="24"/>
        <v>5</v>
      </c>
      <c r="E822">
        <f t="shared" si="25"/>
        <v>547005</v>
      </c>
      <c r="F822" s="11">
        <v>470</v>
      </c>
      <c r="G822" s="11" t="s">
        <v>6</v>
      </c>
      <c r="H822" s="3">
        <v>42563.92</v>
      </c>
      <c r="K822" s="11"/>
      <c r="L822" s="11"/>
      <c r="M822" s="11"/>
      <c r="N822" s="11"/>
      <c r="P822" s="11"/>
      <c r="Q822" s="11"/>
      <c r="R822" s="3"/>
    </row>
    <row r="823" spans="1:18" x14ac:dyDescent="0.2">
      <c r="A823" s="11">
        <v>548</v>
      </c>
      <c r="B823" s="11">
        <v>1</v>
      </c>
      <c r="C823" s="11" t="s">
        <v>203</v>
      </c>
      <c r="D823" s="11">
        <f t="shared" si="24"/>
        <v>1</v>
      </c>
      <c r="E823">
        <f t="shared" si="25"/>
        <v>548001</v>
      </c>
      <c r="F823" s="11">
        <v>151</v>
      </c>
      <c r="G823" s="11" t="s">
        <v>28</v>
      </c>
      <c r="H823" s="3">
        <v>426808.6</v>
      </c>
      <c r="K823" s="11"/>
      <c r="L823" s="11"/>
      <c r="M823" s="11"/>
      <c r="N823" s="11"/>
      <c r="P823" s="11"/>
      <c r="Q823" s="11"/>
      <c r="R823" s="3"/>
    </row>
    <row r="824" spans="1:18" x14ac:dyDescent="0.2">
      <c r="A824" s="11">
        <v>548</v>
      </c>
      <c r="B824" s="11">
        <v>1</v>
      </c>
      <c r="C824" s="11" t="s">
        <v>203</v>
      </c>
      <c r="D824" s="11">
        <f t="shared" si="24"/>
        <v>2</v>
      </c>
      <c r="E824">
        <f t="shared" si="25"/>
        <v>548002</v>
      </c>
      <c r="F824" s="11">
        <v>401</v>
      </c>
      <c r="G824" s="11" t="s">
        <v>29</v>
      </c>
      <c r="H824" s="3">
        <v>216067.23</v>
      </c>
      <c r="K824" s="11"/>
      <c r="L824" s="11"/>
      <c r="M824" s="11"/>
      <c r="N824" s="11"/>
      <c r="P824" s="11"/>
      <c r="Q824" s="11"/>
      <c r="R824" s="3"/>
    </row>
    <row r="825" spans="1:18" x14ac:dyDescent="0.2">
      <c r="A825" s="11">
        <v>548</v>
      </c>
      <c r="B825" s="11">
        <v>1</v>
      </c>
      <c r="C825" s="11" t="s">
        <v>203</v>
      </c>
      <c r="D825" s="11">
        <f t="shared" si="24"/>
        <v>3</v>
      </c>
      <c r="E825">
        <f t="shared" si="25"/>
        <v>548003</v>
      </c>
      <c r="F825" s="11">
        <v>414</v>
      </c>
      <c r="G825" s="11" t="s">
        <v>9</v>
      </c>
      <c r="H825" s="3">
        <v>50144.6</v>
      </c>
      <c r="K825" s="11"/>
      <c r="L825" s="11"/>
      <c r="M825" s="11"/>
      <c r="N825" s="11"/>
      <c r="P825" s="11"/>
      <c r="Q825" s="11"/>
      <c r="R825" s="3"/>
    </row>
    <row r="826" spans="1:18" x14ac:dyDescent="0.2">
      <c r="A826" s="11">
        <v>548</v>
      </c>
      <c r="B826" s="11">
        <v>1</v>
      </c>
      <c r="C826" s="11" t="s">
        <v>203</v>
      </c>
      <c r="D826" s="11">
        <f t="shared" si="24"/>
        <v>4</v>
      </c>
      <c r="E826">
        <f t="shared" si="25"/>
        <v>548004</v>
      </c>
      <c r="F826" s="11">
        <v>417</v>
      </c>
      <c r="G826" s="11" t="s">
        <v>34</v>
      </c>
      <c r="H826" s="3">
        <v>29065.41</v>
      </c>
      <c r="K826" s="11"/>
      <c r="L826" s="11"/>
      <c r="M826" s="11"/>
      <c r="N826" s="11"/>
      <c r="P826" s="11"/>
      <c r="Q826" s="11"/>
      <c r="R826" s="3"/>
    </row>
    <row r="827" spans="1:18" x14ac:dyDescent="0.2">
      <c r="A827" s="11">
        <v>548</v>
      </c>
      <c r="B827" s="11">
        <v>1</v>
      </c>
      <c r="C827" s="11" t="s">
        <v>203</v>
      </c>
      <c r="D827" s="11">
        <f t="shared" si="24"/>
        <v>5</v>
      </c>
      <c r="E827">
        <f t="shared" si="25"/>
        <v>548005</v>
      </c>
      <c r="F827" s="11">
        <v>470</v>
      </c>
      <c r="G827" s="11" t="s">
        <v>6</v>
      </c>
      <c r="H827" s="3">
        <v>114737.54</v>
      </c>
      <c r="K827" s="11"/>
      <c r="L827" s="11"/>
      <c r="M827" s="11"/>
      <c r="N827" s="11"/>
      <c r="P827" s="11"/>
      <c r="Q827" s="11"/>
      <c r="R827" s="3"/>
    </row>
    <row r="828" spans="1:18" x14ac:dyDescent="0.2">
      <c r="A828" s="11">
        <v>548</v>
      </c>
      <c r="B828" s="11">
        <v>1</v>
      </c>
      <c r="C828" s="11" t="s">
        <v>203</v>
      </c>
      <c r="D828" s="11">
        <f t="shared" si="24"/>
        <v>6</v>
      </c>
      <c r="E828">
        <f t="shared" si="25"/>
        <v>548006</v>
      </c>
      <c r="F828" s="11">
        <v>706</v>
      </c>
      <c r="G828" s="11" t="s">
        <v>114</v>
      </c>
      <c r="H828" s="3">
        <v>36158</v>
      </c>
      <c r="K828" s="11"/>
      <c r="L828" s="11"/>
      <c r="M828" s="11"/>
      <c r="N828" s="11"/>
      <c r="P828" s="11"/>
      <c r="Q828" s="11"/>
      <c r="R828" s="3"/>
    </row>
    <row r="829" spans="1:18" x14ac:dyDescent="0.2">
      <c r="A829" s="11">
        <v>548</v>
      </c>
      <c r="B829" s="11">
        <v>1</v>
      </c>
      <c r="C829" s="11" t="s">
        <v>203</v>
      </c>
      <c r="D829" s="11">
        <f t="shared" si="24"/>
        <v>7</v>
      </c>
      <c r="E829">
        <f t="shared" si="25"/>
        <v>548007</v>
      </c>
      <c r="F829" s="11">
        <v>853</v>
      </c>
      <c r="G829" s="11" t="s">
        <v>38</v>
      </c>
      <c r="H829" s="3">
        <v>149900</v>
      </c>
      <c r="K829" s="11"/>
      <c r="L829" s="11"/>
      <c r="M829" s="11"/>
      <c r="N829" s="11"/>
      <c r="P829" s="11"/>
      <c r="Q829" s="11"/>
      <c r="R829" s="3"/>
    </row>
    <row r="830" spans="1:18" x14ac:dyDescent="0.2">
      <c r="A830" s="11">
        <v>548</v>
      </c>
      <c r="B830" s="11">
        <v>1</v>
      </c>
      <c r="C830" s="11" t="s">
        <v>203</v>
      </c>
      <c r="D830" s="11">
        <f t="shared" si="24"/>
        <v>8</v>
      </c>
      <c r="E830">
        <f t="shared" si="25"/>
        <v>548008</v>
      </c>
      <c r="F830" s="11">
        <v>856</v>
      </c>
      <c r="G830" s="11" t="s">
        <v>39</v>
      </c>
      <c r="H830" s="3">
        <v>351517</v>
      </c>
      <c r="K830" s="11"/>
      <c r="L830" s="11"/>
      <c r="M830" s="11"/>
      <c r="N830" s="11"/>
      <c r="P830" s="11"/>
      <c r="Q830" s="11"/>
      <c r="R830" s="3"/>
    </row>
    <row r="831" spans="1:18" x14ac:dyDescent="0.2">
      <c r="A831" s="11">
        <v>549</v>
      </c>
      <c r="B831" s="11">
        <v>1</v>
      </c>
      <c r="C831" s="11" t="s">
        <v>204</v>
      </c>
      <c r="D831" s="11">
        <f t="shared" si="24"/>
        <v>1</v>
      </c>
      <c r="E831">
        <f t="shared" si="25"/>
        <v>549001</v>
      </c>
      <c r="F831" s="11">
        <v>401</v>
      </c>
      <c r="G831" s="11" t="s">
        <v>29</v>
      </c>
      <c r="H831" s="3">
        <v>198740.04</v>
      </c>
      <c r="K831" s="11"/>
      <c r="L831" s="11"/>
      <c r="M831" s="11"/>
      <c r="N831" s="11"/>
      <c r="P831" s="11"/>
      <c r="Q831" s="11"/>
      <c r="R831" s="3"/>
    </row>
    <row r="832" spans="1:18" x14ac:dyDescent="0.2">
      <c r="A832" s="11">
        <v>549</v>
      </c>
      <c r="B832" s="11">
        <v>1</v>
      </c>
      <c r="C832" s="11" t="s">
        <v>204</v>
      </c>
      <c r="D832" s="11">
        <f t="shared" si="24"/>
        <v>2</v>
      </c>
      <c r="E832">
        <f t="shared" si="25"/>
        <v>549002</v>
      </c>
      <c r="F832" s="11">
        <v>414</v>
      </c>
      <c r="G832" s="11" t="s">
        <v>9</v>
      </c>
      <c r="H832" s="3">
        <v>73903.78</v>
      </c>
      <c r="K832" s="11"/>
      <c r="L832" s="11"/>
      <c r="M832" s="11"/>
      <c r="N832" s="11"/>
      <c r="P832" s="11"/>
      <c r="Q832" s="11"/>
      <c r="R832" s="3"/>
    </row>
    <row r="833" spans="1:18" x14ac:dyDescent="0.2">
      <c r="A833" s="11">
        <v>549</v>
      </c>
      <c r="B833" s="11">
        <v>1</v>
      </c>
      <c r="C833" s="11" t="s">
        <v>204</v>
      </c>
      <c r="D833" s="11">
        <f t="shared" si="24"/>
        <v>3</v>
      </c>
      <c r="E833">
        <f t="shared" si="25"/>
        <v>549003</v>
      </c>
      <c r="F833" s="11">
        <v>433</v>
      </c>
      <c r="G833" s="11" t="s">
        <v>30</v>
      </c>
      <c r="H833" s="3">
        <v>4756.4799999999996</v>
      </c>
      <c r="K833" s="11"/>
      <c r="L833" s="11"/>
      <c r="M833" s="11"/>
      <c r="N833" s="11"/>
      <c r="P833" s="11"/>
      <c r="Q833" s="11"/>
      <c r="R833" s="3"/>
    </row>
    <row r="834" spans="1:18" x14ac:dyDescent="0.2">
      <c r="A834" s="11">
        <v>549</v>
      </c>
      <c r="B834" s="11">
        <v>1</v>
      </c>
      <c r="C834" s="11" t="s">
        <v>204</v>
      </c>
      <c r="D834" s="11">
        <f t="shared" si="24"/>
        <v>4</v>
      </c>
      <c r="E834">
        <f t="shared" si="25"/>
        <v>549004</v>
      </c>
      <c r="F834" s="11">
        <v>470</v>
      </c>
      <c r="G834" s="11" t="s">
        <v>6</v>
      </c>
      <c r="H834" s="3">
        <v>119055.61</v>
      </c>
      <c r="K834" s="11"/>
      <c r="L834" s="11"/>
      <c r="M834" s="11"/>
      <c r="N834" s="11"/>
      <c r="P834" s="11"/>
      <c r="Q834" s="11"/>
      <c r="R834" s="3"/>
    </row>
    <row r="835" spans="1:18" x14ac:dyDescent="0.2">
      <c r="A835" s="11">
        <v>550</v>
      </c>
      <c r="B835" s="11">
        <v>1</v>
      </c>
      <c r="C835" s="11" t="s">
        <v>205</v>
      </c>
      <c r="D835" s="11">
        <f t="shared" si="24"/>
        <v>1</v>
      </c>
      <c r="E835">
        <f t="shared" si="25"/>
        <v>550001</v>
      </c>
      <c r="F835" s="11">
        <v>401</v>
      </c>
      <c r="G835" s="11" t="s">
        <v>29</v>
      </c>
      <c r="H835" s="3">
        <v>46838.81</v>
      </c>
      <c r="K835" s="11"/>
      <c r="L835" s="11"/>
      <c r="M835" s="11"/>
      <c r="N835" s="11"/>
      <c r="P835" s="11"/>
      <c r="Q835" s="11"/>
      <c r="R835" s="3"/>
    </row>
    <row r="836" spans="1:18" x14ac:dyDescent="0.2">
      <c r="A836" s="11">
        <v>550</v>
      </c>
      <c r="B836" s="11">
        <v>1</v>
      </c>
      <c r="C836" s="11" t="s">
        <v>205</v>
      </c>
      <c r="D836" s="11">
        <f t="shared" si="24"/>
        <v>2</v>
      </c>
      <c r="E836">
        <f t="shared" si="25"/>
        <v>550002</v>
      </c>
      <c r="F836" s="11">
        <v>414</v>
      </c>
      <c r="G836" s="11" t="s">
        <v>9</v>
      </c>
      <c r="H836" s="3">
        <v>22313.52</v>
      </c>
      <c r="K836" s="11"/>
      <c r="L836" s="11"/>
      <c r="M836" s="11"/>
      <c r="N836" s="11"/>
      <c r="P836" s="11"/>
      <c r="Q836" s="11"/>
      <c r="R836" s="3"/>
    </row>
    <row r="837" spans="1:18" x14ac:dyDescent="0.2">
      <c r="A837" s="11">
        <v>550</v>
      </c>
      <c r="B837" s="11">
        <v>1</v>
      </c>
      <c r="C837" s="11" t="s">
        <v>205</v>
      </c>
      <c r="D837" s="11">
        <f t="shared" si="24"/>
        <v>3</v>
      </c>
      <c r="E837">
        <f t="shared" si="25"/>
        <v>550003</v>
      </c>
      <c r="F837" s="11">
        <v>433</v>
      </c>
      <c r="G837" s="11" t="s">
        <v>30</v>
      </c>
      <c r="H837" s="3">
        <v>1330.57</v>
      </c>
      <c r="K837" s="11"/>
      <c r="L837" s="11"/>
      <c r="M837" s="11"/>
      <c r="N837" s="11"/>
      <c r="P837" s="11"/>
      <c r="Q837" s="11"/>
      <c r="R837" s="3"/>
    </row>
    <row r="838" spans="1:18" x14ac:dyDescent="0.2">
      <c r="A838" s="11">
        <v>550</v>
      </c>
      <c r="B838" s="11">
        <v>1</v>
      </c>
      <c r="C838" s="11" t="s">
        <v>205</v>
      </c>
      <c r="D838" s="11">
        <f t="shared" si="24"/>
        <v>4</v>
      </c>
      <c r="E838">
        <f t="shared" si="25"/>
        <v>550004</v>
      </c>
      <c r="F838" s="11">
        <v>470</v>
      </c>
      <c r="G838" s="11" t="s">
        <v>6</v>
      </c>
      <c r="H838" s="3">
        <v>28992.82</v>
      </c>
      <c r="K838" s="11"/>
      <c r="L838" s="11"/>
      <c r="M838" s="11"/>
      <c r="N838" s="11"/>
      <c r="P838" s="11"/>
      <c r="Q838" s="11"/>
      <c r="R838" s="3"/>
    </row>
    <row r="839" spans="1:18" x14ac:dyDescent="0.2">
      <c r="A839" s="11">
        <v>553</v>
      </c>
      <c r="B839" s="11">
        <v>1</v>
      </c>
      <c r="C839" s="11" t="s">
        <v>206</v>
      </c>
      <c r="D839" s="11">
        <f t="shared" si="24"/>
        <v>1</v>
      </c>
      <c r="E839">
        <f t="shared" si="25"/>
        <v>553001</v>
      </c>
      <c r="F839" s="11">
        <v>869</v>
      </c>
      <c r="G839" s="11" t="s">
        <v>115</v>
      </c>
      <c r="H839" s="3">
        <v>100000</v>
      </c>
      <c r="K839" s="11"/>
      <c r="L839" s="11"/>
      <c r="M839" s="11"/>
      <c r="N839" s="11"/>
      <c r="P839" s="11"/>
      <c r="Q839" s="11"/>
      <c r="R839" s="3"/>
    </row>
    <row r="840" spans="1:18" x14ac:dyDescent="0.2">
      <c r="A840" s="11">
        <v>561</v>
      </c>
      <c r="B840" s="11">
        <v>1</v>
      </c>
      <c r="C840" s="11" t="s">
        <v>207</v>
      </c>
      <c r="D840" s="11">
        <f t="shared" si="24"/>
        <v>1</v>
      </c>
      <c r="E840">
        <f t="shared" si="25"/>
        <v>561001</v>
      </c>
      <c r="F840" s="11">
        <v>401</v>
      </c>
      <c r="G840" s="11" t="s">
        <v>29</v>
      </c>
      <c r="H840" s="3">
        <v>46250.92</v>
      </c>
      <c r="K840" s="11"/>
      <c r="L840" s="11"/>
      <c r="M840" s="11"/>
      <c r="N840" s="11"/>
      <c r="P840" s="11"/>
      <c r="Q840" s="11"/>
      <c r="R840" s="3"/>
    </row>
    <row r="841" spans="1:18" x14ac:dyDescent="0.2">
      <c r="A841" s="11">
        <v>561</v>
      </c>
      <c r="B841" s="11">
        <v>1</v>
      </c>
      <c r="C841" s="11" t="s">
        <v>207</v>
      </c>
      <c r="D841" s="11">
        <f t="shared" si="24"/>
        <v>2</v>
      </c>
      <c r="E841">
        <f t="shared" si="25"/>
        <v>561002</v>
      </c>
      <c r="F841" s="11">
        <v>414</v>
      </c>
      <c r="G841" s="11" t="s">
        <v>9</v>
      </c>
      <c r="H841" s="3">
        <v>13790.14</v>
      </c>
      <c r="K841" s="11"/>
      <c r="L841" s="11"/>
      <c r="M841" s="11"/>
      <c r="N841" s="11"/>
      <c r="P841" s="11"/>
      <c r="Q841" s="11"/>
      <c r="R841" s="3"/>
    </row>
    <row r="842" spans="1:18" x14ac:dyDescent="0.2">
      <c r="A842" s="11">
        <v>564</v>
      </c>
      <c r="B842" s="11">
        <v>1</v>
      </c>
      <c r="C842" s="11" t="s">
        <v>208</v>
      </c>
      <c r="D842" s="11">
        <f t="shared" si="24"/>
        <v>1</v>
      </c>
      <c r="E842">
        <f t="shared" si="25"/>
        <v>564001</v>
      </c>
      <c r="F842" s="11">
        <v>420</v>
      </c>
      <c r="G842" s="11" t="s">
        <v>11</v>
      </c>
      <c r="H842" s="3">
        <v>16210.31</v>
      </c>
      <c r="K842" s="11"/>
      <c r="L842" s="11"/>
      <c r="M842" s="11"/>
      <c r="N842" s="11"/>
      <c r="P842" s="11"/>
      <c r="Q842" s="11"/>
      <c r="R842" s="3"/>
    </row>
    <row r="843" spans="1:18" x14ac:dyDescent="0.2">
      <c r="A843" s="11">
        <v>564</v>
      </c>
      <c r="B843" s="11">
        <v>1</v>
      </c>
      <c r="C843" s="11" t="s">
        <v>208</v>
      </c>
      <c r="D843" s="11">
        <f t="shared" si="24"/>
        <v>2</v>
      </c>
      <c r="E843">
        <f t="shared" si="25"/>
        <v>564002</v>
      </c>
      <c r="F843" s="11">
        <v>422</v>
      </c>
      <c r="G843" s="11" t="s">
        <v>12</v>
      </c>
      <c r="H843" s="3">
        <v>12681</v>
      </c>
      <c r="K843" s="11"/>
      <c r="L843" s="11"/>
      <c r="M843" s="11"/>
      <c r="N843" s="11"/>
      <c r="P843" s="11"/>
      <c r="Q843" s="11"/>
      <c r="R843" s="3"/>
    </row>
    <row r="844" spans="1:18" x14ac:dyDescent="0.2">
      <c r="A844" s="11">
        <v>564</v>
      </c>
      <c r="B844" s="11">
        <v>1</v>
      </c>
      <c r="C844" s="11" t="s">
        <v>208</v>
      </c>
      <c r="D844" s="11">
        <f t="shared" si="24"/>
        <v>3</v>
      </c>
      <c r="E844">
        <f t="shared" si="25"/>
        <v>564003</v>
      </c>
      <c r="F844" s="11">
        <v>433</v>
      </c>
      <c r="G844" s="11" t="s">
        <v>30</v>
      </c>
      <c r="H844" s="3">
        <v>6090.37</v>
      </c>
      <c r="K844" s="11"/>
      <c r="L844" s="11"/>
      <c r="M844" s="11"/>
      <c r="N844" s="11"/>
      <c r="P844" s="11"/>
      <c r="Q844" s="11"/>
      <c r="R844" s="3"/>
    </row>
    <row r="845" spans="1:18" x14ac:dyDescent="0.2">
      <c r="A845" s="11">
        <v>564</v>
      </c>
      <c r="B845" s="11">
        <v>1</v>
      </c>
      <c r="C845" s="11" t="s">
        <v>208</v>
      </c>
      <c r="D845" s="11">
        <f t="shared" si="24"/>
        <v>4</v>
      </c>
      <c r="E845">
        <f t="shared" si="25"/>
        <v>564004</v>
      </c>
      <c r="F845" s="11">
        <v>437</v>
      </c>
      <c r="G845" s="11" t="s">
        <v>14</v>
      </c>
      <c r="H845" s="3">
        <v>555</v>
      </c>
      <c r="K845" s="11"/>
      <c r="L845" s="11"/>
      <c r="M845" s="11"/>
      <c r="N845" s="11"/>
      <c r="P845" s="11"/>
      <c r="Q845" s="11"/>
      <c r="R845" s="3"/>
    </row>
    <row r="846" spans="1:18" x14ac:dyDescent="0.2">
      <c r="A846" s="11">
        <v>564</v>
      </c>
      <c r="B846" s="11">
        <v>1</v>
      </c>
      <c r="C846" s="11" t="s">
        <v>208</v>
      </c>
      <c r="D846" s="11">
        <f t="shared" si="24"/>
        <v>5</v>
      </c>
      <c r="E846">
        <f t="shared" si="25"/>
        <v>564005</v>
      </c>
      <c r="F846" s="11">
        <v>441</v>
      </c>
      <c r="G846" s="11" t="s">
        <v>16</v>
      </c>
      <c r="H846" s="3">
        <v>950</v>
      </c>
      <c r="K846" s="11"/>
      <c r="L846" s="11"/>
      <c r="M846" s="11"/>
      <c r="N846" s="11"/>
      <c r="P846" s="11"/>
      <c r="Q846" s="11"/>
      <c r="R846" s="3"/>
    </row>
    <row r="847" spans="1:18" x14ac:dyDescent="0.2">
      <c r="A847" s="11">
        <v>564</v>
      </c>
      <c r="B847" s="11">
        <v>1</v>
      </c>
      <c r="C847" s="11" t="s">
        <v>208</v>
      </c>
      <c r="D847" s="11">
        <f t="shared" ref="D847:D910" si="26">IF(A847=A846,D846+1,1)</f>
        <v>6</v>
      </c>
      <c r="E847">
        <f t="shared" ref="E847:E910" si="27">1000*A847+D847</f>
        <v>564006</v>
      </c>
      <c r="F847" s="11">
        <v>480</v>
      </c>
      <c r="G847" s="11" t="s">
        <v>19</v>
      </c>
      <c r="H847" s="3">
        <v>440949.64</v>
      </c>
      <c r="K847" s="11"/>
      <c r="L847" s="11"/>
      <c r="M847" s="11"/>
      <c r="N847" s="11"/>
      <c r="P847" s="11"/>
      <c r="Q847" s="11"/>
      <c r="R847" s="3"/>
    </row>
    <row r="848" spans="1:18" x14ac:dyDescent="0.2">
      <c r="A848" s="11">
        <v>564</v>
      </c>
      <c r="B848" s="11">
        <v>1</v>
      </c>
      <c r="C848" s="11" t="s">
        <v>208</v>
      </c>
      <c r="D848" s="11">
        <f t="shared" si="26"/>
        <v>7</v>
      </c>
      <c r="E848">
        <f t="shared" si="27"/>
        <v>564007</v>
      </c>
      <c r="F848" s="11">
        <v>484</v>
      </c>
      <c r="G848" s="11" t="s">
        <v>20</v>
      </c>
      <c r="H848" s="3">
        <v>18061.39</v>
      </c>
      <c r="K848" s="11"/>
      <c r="L848" s="11"/>
      <c r="M848" s="11"/>
      <c r="N848" s="11"/>
      <c r="P848" s="11"/>
      <c r="Q848" s="11"/>
      <c r="R848" s="3"/>
    </row>
    <row r="849" spans="1:18" x14ac:dyDescent="0.2">
      <c r="A849" s="11">
        <v>564</v>
      </c>
      <c r="B849" s="11">
        <v>1</v>
      </c>
      <c r="C849" s="11" t="s">
        <v>208</v>
      </c>
      <c r="D849" s="11">
        <f t="shared" si="26"/>
        <v>8</v>
      </c>
      <c r="E849">
        <f t="shared" si="27"/>
        <v>564008</v>
      </c>
      <c r="F849" s="11">
        <v>486</v>
      </c>
      <c r="G849" s="11" t="s">
        <v>21</v>
      </c>
      <c r="H849" s="3">
        <v>16686.099999999999</v>
      </c>
      <c r="K849" s="11"/>
      <c r="L849" s="11"/>
      <c r="M849" s="11"/>
      <c r="N849" s="11"/>
      <c r="P849" s="11"/>
      <c r="Q849" s="11"/>
      <c r="R849" s="3"/>
    </row>
    <row r="850" spans="1:18" x14ac:dyDescent="0.2">
      <c r="A850" s="11">
        <v>578</v>
      </c>
      <c r="B850" s="11">
        <v>1</v>
      </c>
      <c r="C850" s="11" t="s">
        <v>210</v>
      </c>
      <c r="D850" s="11">
        <f t="shared" si="26"/>
        <v>1</v>
      </c>
      <c r="E850">
        <f t="shared" si="27"/>
        <v>578001</v>
      </c>
      <c r="F850" s="11">
        <v>151</v>
      </c>
      <c r="G850" s="11" t="s">
        <v>28</v>
      </c>
      <c r="H850" s="3">
        <v>639443.44999999995</v>
      </c>
      <c r="K850" s="11"/>
      <c r="L850" s="11"/>
      <c r="M850" s="11"/>
      <c r="N850" s="11"/>
      <c r="P850" s="11"/>
      <c r="Q850" s="11"/>
      <c r="R850" s="3"/>
    </row>
    <row r="851" spans="1:18" x14ac:dyDescent="0.2">
      <c r="A851" s="11">
        <v>578</v>
      </c>
      <c r="B851" s="11">
        <v>1</v>
      </c>
      <c r="C851" s="11" t="s">
        <v>210</v>
      </c>
      <c r="D851" s="11">
        <f t="shared" si="26"/>
        <v>2</v>
      </c>
      <c r="E851">
        <f t="shared" si="27"/>
        <v>578002</v>
      </c>
      <c r="F851" s="11">
        <v>401</v>
      </c>
      <c r="G851" s="11" t="s">
        <v>29</v>
      </c>
      <c r="H851" s="3">
        <v>201628.39</v>
      </c>
      <c r="K851" s="11"/>
      <c r="L851" s="11"/>
      <c r="M851" s="11"/>
      <c r="N851" s="11"/>
      <c r="P851" s="11"/>
      <c r="Q851" s="11"/>
      <c r="R851" s="3"/>
    </row>
    <row r="852" spans="1:18" x14ac:dyDescent="0.2">
      <c r="A852" s="11">
        <v>578</v>
      </c>
      <c r="B852" s="11">
        <v>1</v>
      </c>
      <c r="C852" s="11" t="s">
        <v>210</v>
      </c>
      <c r="D852" s="11">
        <f t="shared" si="26"/>
        <v>3</v>
      </c>
      <c r="E852">
        <f t="shared" si="27"/>
        <v>578003</v>
      </c>
      <c r="F852" s="11">
        <v>414</v>
      </c>
      <c r="G852" s="11" t="s">
        <v>9</v>
      </c>
      <c r="H852" s="3">
        <v>92611.82</v>
      </c>
      <c r="K852" s="11"/>
      <c r="L852" s="11"/>
      <c r="M852" s="11"/>
      <c r="N852" s="11"/>
      <c r="P852" s="11"/>
      <c r="Q852" s="11"/>
      <c r="R852" s="3"/>
    </row>
    <row r="853" spans="1:18" x14ac:dyDescent="0.2">
      <c r="A853" s="11">
        <v>578</v>
      </c>
      <c r="B853" s="11">
        <v>1</v>
      </c>
      <c r="C853" s="11" t="s">
        <v>210</v>
      </c>
      <c r="D853" s="11">
        <f t="shared" si="26"/>
        <v>4</v>
      </c>
      <c r="E853">
        <f t="shared" si="27"/>
        <v>578004</v>
      </c>
      <c r="F853" s="11">
        <v>433</v>
      </c>
      <c r="G853" s="11" t="s">
        <v>30</v>
      </c>
      <c r="H853" s="3">
        <v>4880.53</v>
      </c>
      <c r="K853" s="11"/>
      <c r="L853" s="11"/>
      <c r="M853" s="11"/>
      <c r="N853" s="11"/>
      <c r="P853" s="11"/>
      <c r="Q853" s="11"/>
      <c r="R853" s="3"/>
    </row>
    <row r="854" spans="1:18" x14ac:dyDescent="0.2">
      <c r="A854" s="11">
        <v>578</v>
      </c>
      <c r="B854" s="11">
        <v>1</v>
      </c>
      <c r="C854" s="11" t="s">
        <v>210</v>
      </c>
      <c r="D854" s="11">
        <f t="shared" si="26"/>
        <v>5</v>
      </c>
      <c r="E854">
        <f t="shared" si="27"/>
        <v>578005</v>
      </c>
      <c r="F854" s="11">
        <v>470</v>
      </c>
      <c r="G854" s="11" t="s">
        <v>6</v>
      </c>
      <c r="H854" s="3">
        <v>128925.51</v>
      </c>
      <c r="K854" s="11"/>
      <c r="L854" s="11"/>
      <c r="M854" s="11"/>
      <c r="N854" s="11"/>
      <c r="P854" s="11"/>
      <c r="Q854" s="11"/>
      <c r="R854" s="3"/>
    </row>
    <row r="855" spans="1:18" x14ac:dyDescent="0.2">
      <c r="A855" s="11">
        <v>592</v>
      </c>
      <c r="B855" s="11">
        <v>1</v>
      </c>
      <c r="C855" s="11" t="s">
        <v>211</v>
      </c>
      <c r="D855" s="11">
        <f t="shared" si="26"/>
        <v>1</v>
      </c>
      <c r="E855">
        <f t="shared" si="27"/>
        <v>592001</v>
      </c>
      <c r="F855" s="11">
        <v>433</v>
      </c>
      <c r="G855" s="11" t="s">
        <v>30</v>
      </c>
      <c r="H855" s="3">
        <v>766.77</v>
      </c>
      <c r="K855" s="11"/>
      <c r="L855" s="11"/>
      <c r="M855" s="11"/>
      <c r="N855" s="11"/>
      <c r="P855" s="11"/>
      <c r="Q855" s="11"/>
      <c r="R855" s="3"/>
    </row>
    <row r="856" spans="1:18" x14ac:dyDescent="0.2">
      <c r="A856" s="11">
        <v>592</v>
      </c>
      <c r="B856" s="11">
        <v>1</v>
      </c>
      <c r="C856" s="11" t="s">
        <v>211</v>
      </c>
      <c r="D856" s="11">
        <f t="shared" si="26"/>
        <v>2</v>
      </c>
      <c r="E856">
        <f t="shared" si="27"/>
        <v>592002</v>
      </c>
      <c r="F856" s="11">
        <v>706</v>
      </c>
      <c r="G856" s="11" t="s">
        <v>114</v>
      </c>
      <c r="H856" s="3">
        <v>7050</v>
      </c>
      <c r="K856" s="11"/>
      <c r="L856" s="11"/>
      <c r="M856" s="11"/>
      <c r="N856" s="11"/>
      <c r="P856" s="11"/>
      <c r="Q856" s="11"/>
      <c r="R856" s="3"/>
    </row>
    <row r="857" spans="1:18" x14ac:dyDescent="0.2">
      <c r="A857" s="11">
        <v>593</v>
      </c>
      <c r="B857" s="11">
        <v>1</v>
      </c>
      <c r="C857" s="11" t="s">
        <v>212</v>
      </c>
      <c r="D857" s="11">
        <f t="shared" si="26"/>
        <v>1</v>
      </c>
      <c r="E857">
        <f t="shared" si="27"/>
        <v>593001</v>
      </c>
      <c r="F857" s="11">
        <v>422</v>
      </c>
      <c r="G857" s="11" t="s">
        <v>12</v>
      </c>
      <c r="H857" s="3">
        <v>23997.66</v>
      </c>
      <c r="K857" s="11"/>
      <c r="L857" s="11"/>
      <c r="M857" s="11"/>
      <c r="N857" s="11"/>
      <c r="P857" s="11"/>
      <c r="Q857" s="11"/>
      <c r="R857" s="3"/>
    </row>
    <row r="858" spans="1:18" x14ac:dyDescent="0.2">
      <c r="A858" s="11">
        <v>593</v>
      </c>
      <c r="B858" s="11">
        <v>1</v>
      </c>
      <c r="C858" s="11" t="s">
        <v>212</v>
      </c>
      <c r="D858" s="11">
        <f t="shared" si="26"/>
        <v>2</v>
      </c>
      <c r="E858">
        <f t="shared" si="27"/>
        <v>593002</v>
      </c>
      <c r="F858" s="11">
        <v>441</v>
      </c>
      <c r="G858" s="11" t="s">
        <v>16</v>
      </c>
      <c r="H858" s="3">
        <v>1200</v>
      </c>
      <c r="K858" s="11"/>
      <c r="L858" s="11"/>
      <c r="M858" s="11"/>
      <c r="N858" s="11"/>
      <c r="P858" s="11"/>
      <c r="Q858" s="11"/>
      <c r="R858" s="3"/>
    </row>
    <row r="859" spans="1:18" x14ac:dyDescent="0.2">
      <c r="A859" s="11">
        <v>595</v>
      </c>
      <c r="B859" s="11">
        <v>1</v>
      </c>
      <c r="C859" s="11" t="s">
        <v>213</v>
      </c>
      <c r="D859" s="11">
        <f t="shared" si="26"/>
        <v>1</v>
      </c>
      <c r="E859">
        <f t="shared" si="27"/>
        <v>595001</v>
      </c>
      <c r="F859" s="11">
        <v>401</v>
      </c>
      <c r="G859" s="11" t="s">
        <v>29</v>
      </c>
      <c r="H859" s="3">
        <v>197160.45</v>
      </c>
      <c r="K859" s="11"/>
      <c r="L859" s="11"/>
      <c r="M859" s="11"/>
      <c r="N859" s="11"/>
      <c r="P859" s="11"/>
      <c r="Q859" s="11"/>
      <c r="R859" s="3"/>
    </row>
    <row r="860" spans="1:18" x14ac:dyDescent="0.2">
      <c r="A860" s="11">
        <v>595</v>
      </c>
      <c r="B860" s="11">
        <v>1</v>
      </c>
      <c r="C860" s="11" t="s">
        <v>213</v>
      </c>
      <c r="D860" s="11">
        <f t="shared" si="26"/>
        <v>2</v>
      </c>
      <c r="E860">
        <f t="shared" si="27"/>
        <v>595002</v>
      </c>
      <c r="F860" s="11">
        <v>414</v>
      </c>
      <c r="G860" s="11" t="s">
        <v>9</v>
      </c>
      <c r="H860" s="3">
        <v>103646.26</v>
      </c>
      <c r="K860" s="11"/>
      <c r="L860" s="11"/>
      <c r="M860" s="11"/>
      <c r="N860" s="11"/>
      <c r="P860" s="11"/>
      <c r="Q860" s="11"/>
      <c r="R860" s="3"/>
    </row>
    <row r="861" spans="1:18" x14ac:dyDescent="0.2">
      <c r="A861" s="11">
        <v>595</v>
      </c>
      <c r="B861" s="11">
        <v>1</v>
      </c>
      <c r="C861" s="11" t="s">
        <v>213</v>
      </c>
      <c r="D861" s="11">
        <f t="shared" si="26"/>
        <v>3</v>
      </c>
      <c r="E861">
        <f t="shared" si="27"/>
        <v>595003</v>
      </c>
      <c r="F861" s="11">
        <v>433</v>
      </c>
      <c r="G861" s="11" t="s">
        <v>30</v>
      </c>
      <c r="H861" s="3">
        <v>5375.89</v>
      </c>
      <c r="K861" s="11"/>
      <c r="L861" s="11"/>
      <c r="M861" s="11"/>
      <c r="N861" s="11"/>
      <c r="P861" s="11"/>
      <c r="Q861" s="11"/>
      <c r="R861" s="3"/>
    </row>
    <row r="862" spans="1:18" x14ac:dyDescent="0.2">
      <c r="A862" s="11">
        <v>595</v>
      </c>
      <c r="B862" s="11">
        <v>1</v>
      </c>
      <c r="C862" s="11" t="s">
        <v>213</v>
      </c>
      <c r="D862" s="11">
        <f t="shared" si="26"/>
        <v>4</v>
      </c>
      <c r="E862">
        <f t="shared" si="27"/>
        <v>595004</v>
      </c>
      <c r="F862" s="11">
        <v>470</v>
      </c>
      <c r="G862" s="11" t="s">
        <v>6</v>
      </c>
      <c r="H862" s="3">
        <v>120906.22</v>
      </c>
      <c r="K862" s="11"/>
      <c r="L862" s="11"/>
      <c r="M862" s="11"/>
      <c r="N862" s="11"/>
      <c r="P862" s="11"/>
      <c r="Q862" s="11"/>
      <c r="R862" s="3"/>
    </row>
    <row r="863" spans="1:18" x14ac:dyDescent="0.2">
      <c r="A863" s="11">
        <v>599</v>
      </c>
      <c r="B863" s="11">
        <v>1</v>
      </c>
      <c r="C863" s="11" t="s">
        <v>214</v>
      </c>
      <c r="D863" s="11">
        <f t="shared" si="26"/>
        <v>1</v>
      </c>
      <c r="E863">
        <f t="shared" si="27"/>
        <v>599001</v>
      </c>
      <c r="F863" s="11">
        <v>401</v>
      </c>
      <c r="G863" s="11" t="s">
        <v>29</v>
      </c>
      <c r="H863" s="3">
        <v>82785.39</v>
      </c>
      <c r="K863" s="11"/>
      <c r="L863" s="11"/>
      <c r="M863" s="11"/>
      <c r="N863" s="11"/>
      <c r="P863" s="11"/>
      <c r="Q863" s="11"/>
      <c r="R863" s="3"/>
    </row>
    <row r="864" spans="1:18" x14ac:dyDescent="0.2">
      <c r="A864" s="11">
        <v>599</v>
      </c>
      <c r="B864" s="11">
        <v>1</v>
      </c>
      <c r="C864" s="11" t="s">
        <v>214</v>
      </c>
      <c r="D864" s="11">
        <f t="shared" si="26"/>
        <v>2</v>
      </c>
      <c r="E864">
        <f t="shared" si="27"/>
        <v>599002</v>
      </c>
      <c r="F864" s="11">
        <v>414</v>
      </c>
      <c r="G864" s="11" t="s">
        <v>9</v>
      </c>
      <c r="H864" s="3">
        <v>30859.56</v>
      </c>
      <c r="K864" s="11"/>
      <c r="L864" s="11"/>
      <c r="M864" s="11"/>
      <c r="N864" s="11"/>
      <c r="P864" s="11"/>
      <c r="Q864" s="11"/>
      <c r="R864" s="3"/>
    </row>
    <row r="865" spans="1:18" x14ac:dyDescent="0.2">
      <c r="A865" s="11">
        <v>599</v>
      </c>
      <c r="B865" s="11">
        <v>1</v>
      </c>
      <c r="C865" s="11" t="s">
        <v>214</v>
      </c>
      <c r="D865" s="11">
        <f t="shared" si="26"/>
        <v>3</v>
      </c>
      <c r="E865">
        <f t="shared" si="27"/>
        <v>599003</v>
      </c>
      <c r="F865" s="11">
        <v>433</v>
      </c>
      <c r="G865" s="11" t="s">
        <v>30</v>
      </c>
      <c r="H865" s="3">
        <v>1716.2</v>
      </c>
      <c r="K865" s="11"/>
      <c r="L865" s="11"/>
      <c r="M865" s="11"/>
      <c r="N865" s="11"/>
      <c r="P865" s="11"/>
      <c r="Q865" s="11"/>
      <c r="R865" s="3"/>
    </row>
    <row r="866" spans="1:18" x14ac:dyDescent="0.2">
      <c r="A866" s="11">
        <v>599</v>
      </c>
      <c r="B866" s="11">
        <v>1</v>
      </c>
      <c r="C866" s="11" t="s">
        <v>214</v>
      </c>
      <c r="D866" s="11">
        <f t="shared" si="26"/>
        <v>4</v>
      </c>
      <c r="E866">
        <f t="shared" si="27"/>
        <v>599004</v>
      </c>
      <c r="F866" s="11">
        <v>470</v>
      </c>
      <c r="G866" s="11" t="s">
        <v>6</v>
      </c>
      <c r="H866" s="3">
        <v>44789.22</v>
      </c>
      <c r="K866" s="11"/>
      <c r="L866" s="11"/>
      <c r="M866" s="11"/>
      <c r="N866" s="11"/>
      <c r="P866" s="11"/>
      <c r="Q866" s="11"/>
      <c r="R866" s="3"/>
    </row>
    <row r="867" spans="1:18" x14ac:dyDescent="0.2">
      <c r="A867" s="11">
        <v>600</v>
      </c>
      <c r="B867" s="11">
        <v>1</v>
      </c>
      <c r="C867" s="11" t="s">
        <v>215</v>
      </c>
      <c r="D867" s="11">
        <f t="shared" si="26"/>
        <v>1</v>
      </c>
      <c r="E867">
        <f t="shared" si="27"/>
        <v>600001</v>
      </c>
      <c r="F867" s="11">
        <v>401</v>
      </c>
      <c r="G867" s="11" t="s">
        <v>29</v>
      </c>
      <c r="H867" s="3">
        <v>24213.21</v>
      </c>
      <c r="K867" s="11"/>
      <c r="L867" s="11"/>
      <c r="M867" s="11"/>
      <c r="N867" s="11"/>
      <c r="P867" s="11"/>
      <c r="Q867" s="11"/>
      <c r="R867" s="3"/>
    </row>
    <row r="868" spans="1:18" x14ac:dyDescent="0.2">
      <c r="A868" s="11">
        <v>600</v>
      </c>
      <c r="B868" s="11">
        <v>1</v>
      </c>
      <c r="C868" s="11" t="s">
        <v>215</v>
      </c>
      <c r="D868" s="11">
        <f t="shared" si="26"/>
        <v>2</v>
      </c>
      <c r="E868">
        <f t="shared" si="27"/>
        <v>600002</v>
      </c>
      <c r="F868" s="11">
        <v>414</v>
      </c>
      <c r="G868" s="11" t="s">
        <v>9</v>
      </c>
      <c r="H868" s="3">
        <v>7586.76</v>
      </c>
      <c r="K868" s="11"/>
      <c r="L868" s="11"/>
      <c r="M868" s="11"/>
      <c r="N868" s="11"/>
      <c r="P868" s="11"/>
      <c r="Q868" s="11"/>
      <c r="R868" s="3"/>
    </row>
    <row r="869" spans="1:18" x14ac:dyDescent="0.2">
      <c r="A869" s="11">
        <v>600</v>
      </c>
      <c r="B869" s="11">
        <v>1</v>
      </c>
      <c r="C869" s="11" t="s">
        <v>215</v>
      </c>
      <c r="D869" s="11">
        <f t="shared" si="26"/>
        <v>3</v>
      </c>
      <c r="E869">
        <f t="shared" si="27"/>
        <v>600003</v>
      </c>
      <c r="F869" s="11">
        <v>433</v>
      </c>
      <c r="G869" s="11" t="s">
        <v>30</v>
      </c>
      <c r="H869" s="3">
        <v>677.28</v>
      </c>
      <c r="K869" s="11"/>
      <c r="L869" s="11"/>
      <c r="M869" s="11"/>
      <c r="N869" s="11"/>
      <c r="P869" s="11"/>
      <c r="Q869" s="11"/>
      <c r="R869" s="3"/>
    </row>
    <row r="870" spans="1:18" x14ac:dyDescent="0.2">
      <c r="A870" s="11">
        <v>600</v>
      </c>
      <c r="B870" s="11">
        <v>1</v>
      </c>
      <c r="C870" s="11" t="s">
        <v>215</v>
      </c>
      <c r="D870" s="11">
        <f t="shared" si="26"/>
        <v>4</v>
      </c>
      <c r="E870">
        <f t="shared" si="27"/>
        <v>600004</v>
      </c>
      <c r="F870" s="11">
        <v>470</v>
      </c>
      <c r="G870" s="11" t="s">
        <v>6</v>
      </c>
      <c r="H870" s="3">
        <v>13571.11</v>
      </c>
      <c r="K870" s="11"/>
      <c r="L870" s="11"/>
      <c r="M870" s="11"/>
      <c r="N870" s="11"/>
      <c r="P870" s="11"/>
      <c r="Q870" s="11"/>
      <c r="R870" s="3"/>
    </row>
    <row r="871" spans="1:18" x14ac:dyDescent="0.2">
      <c r="A871" s="11">
        <v>601</v>
      </c>
      <c r="B871" s="11">
        <v>1</v>
      </c>
      <c r="C871" s="11" t="s">
        <v>216</v>
      </c>
      <c r="D871" s="11">
        <f t="shared" si="26"/>
        <v>1</v>
      </c>
      <c r="E871">
        <f t="shared" si="27"/>
        <v>601001</v>
      </c>
      <c r="F871" s="11">
        <v>433</v>
      </c>
      <c r="G871" s="11" t="s">
        <v>30</v>
      </c>
      <c r="H871" s="3">
        <v>2500.87</v>
      </c>
      <c r="K871" s="11"/>
      <c r="L871" s="11"/>
      <c r="M871" s="11"/>
      <c r="N871" s="11"/>
      <c r="P871" s="11"/>
      <c r="Q871" s="11"/>
      <c r="R871" s="3"/>
    </row>
    <row r="872" spans="1:18" x14ac:dyDescent="0.2">
      <c r="A872" s="11">
        <v>611</v>
      </c>
      <c r="B872" s="11">
        <v>1</v>
      </c>
      <c r="C872" s="11" t="s">
        <v>217</v>
      </c>
      <c r="D872" s="11">
        <f t="shared" si="26"/>
        <v>1</v>
      </c>
      <c r="E872">
        <f t="shared" si="27"/>
        <v>611001</v>
      </c>
      <c r="F872" s="11">
        <v>151</v>
      </c>
      <c r="G872" s="11" t="s">
        <v>28</v>
      </c>
      <c r="H872" s="3">
        <v>40272.35</v>
      </c>
      <c r="K872" s="11"/>
      <c r="L872" s="11"/>
      <c r="M872" s="11"/>
      <c r="N872" s="11"/>
      <c r="P872" s="11"/>
      <c r="Q872" s="11"/>
      <c r="R872" s="3"/>
    </row>
    <row r="873" spans="1:18" x14ac:dyDescent="0.2">
      <c r="A873" s="11">
        <v>611</v>
      </c>
      <c r="B873" s="11">
        <v>1</v>
      </c>
      <c r="C873" s="11" t="s">
        <v>217</v>
      </c>
      <c r="D873" s="11">
        <f t="shared" si="26"/>
        <v>2</v>
      </c>
      <c r="E873">
        <f t="shared" si="27"/>
        <v>611002</v>
      </c>
      <c r="F873" s="11">
        <v>401</v>
      </c>
      <c r="G873" s="11" t="s">
        <v>29</v>
      </c>
      <c r="H873" s="3">
        <v>21937.49</v>
      </c>
      <c r="K873" s="11"/>
      <c r="L873" s="11"/>
      <c r="M873" s="11"/>
      <c r="N873" s="11"/>
      <c r="P873" s="11"/>
      <c r="Q873" s="11"/>
      <c r="R873" s="3"/>
    </row>
    <row r="874" spans="1:18" x14ac:dyDescent="0.2">
      <c r="A874" s="11">
        <v>611</v>
      </c>
      <c r="B874" s="11">
        <v>1</v>
      </c>
      <c r="C874" s="11" t="s">
        <v>217</v>
      </c>
      <c r="D874" s="11">
        <f t="shared" si="26"/>
        <v>3</v>
      </c>
      <c r="E874">
        <f t="shared" si="27"/>
        <v>611003</v>
      </c>
      <c r="F874" s="11">
        <v>414</v>
      </c>
      <c r="G874" s="11" t="s">
        <v>9</v>
      </c>
      <c r="H874" s="3">
        <v>6736.21</v>
      </c>
      <c r="K874" s="11"/>
      <c r="L874" s="11"/>
      <c r="M874" s="11"/>
      <c r="N874" s="11"/>
      <c r="P874" s="11"/>
      <c r="Q874" s="11"/>
      <c r="R874" s="3"/>
    </row>
    <row r="875" spans="1:18" x14ac:dyDescent="0.2">
      <c r="A875" s="11">
        <v>611</v>
      </c>
      <c r="B875" s="11">
        <v>1</v>
      </c>
      <c r="C875" s="11" t="s">
        <v>217</v>
      </c>
      <c r="D875" s="11">
        <f t="shared" si="26"/>
        <v>4</v>
      </c>
      <c r="E875">
        <f t="shared" si="27"/>
        <v>611004</v>
      </c>
      <c r="F875" s="11">
        <v>433</v>
      </c>
      <c r="G875" s="11" t="s">
        <v>30</v>
      </c>
      <c r="H875" s="3">
        <v>387.46</v>
      </c>
      <c r="K875" s="11"/>
      <c r="L875" s="11"/>
      <c r="M875" s="11"/>
      <c r="N875" s="11"/>
      <c r="P875" s="11"/>
      <c r="Q875" s="11"/>
      <c r="R875" s="3"/>
    </row>
    <row r="876" spans="1:18" x14ac:dyDescent="0.2">
      <c r="A876" s="11">
        <v>611</v>
      </c>
      <c r="B876" s="11">
        <v>1</v>
      </c>
      <c r="C876" s="11" t="s">
        <v>217</v>
      </c>
      <c r="D876" s="11">
        <f t="shared" si="26"/>
        <v>5</v>
      </c>
      <c r="E876">
        <f t="shared" si="27"/>
        <v>611005</v>
      </c>
      <c r="F876" s="11">
        <v>470</v>
      </c>
      <c r="G876" s="11" t="s">
        <v>6</v>
      </c>
      <c r="H876" s="3">
        <v>11103.64</v>
      </c>
      <c r="K876" s="11"/>
      <c r="L876" s="11"/>
      <c r="M876" s="11"/>
      <c r="N876" s="11"/>
      <c r="P876" s="11"/>
      <c r="Q876" s="11"/>
      <c r="R876" s="3"/>
    </row>
    <row r="877" spans="1:18" x14ac:dyDescent="0.2">
      <c r="A877" s="11">
        <v>621</v>
      </c>
      <c r="B877" s="11">
        <v>1</v>
      </c>
      <c r="C877" s="11" t="s">
        <v>218</v>
      </c>
      <c r="D877" s="11">
        <f t="shared" si="26"/>
        <v>1</v>
      </c>
      <c r="E877">
        <f t="shared" si="27"/>
        <v>621001</v>
      </c>
      <c r="F877" s="11">
        <v>401</v>
      </c>
      <c r="G877" s="11" t="s">
        <v>29</v>
      </c>
      <c r="H877" s="3">
        <v>1019707.55</v>
      </c>
      <c r="K877" s="11"/>
      <c r="L877" s="11"/>
      <c r="M877" s="11"/>
      <c r="N877" s="11"/>
      <c r="P877" s="11"/>
      <c r="Q877" s="11"/>
      <c r="R877" s="3"/>
    </row>
    <row r="878" spans="1:18" x14ac:dyDescent="0.2">
      <c r="A878" s="11">
        <v>621</v>
      </c>
      <c r="B878" s="11">
        <v>1</v>
      </c>
      <c r="C878" s="11" t="s">
        <v>218</v>
      </c>
      <c r="D878" s="11">
        <f t="shared" si="26"/>
        <v>2</v>
      </c>
      <c r="E878">
        <f t="shared" si="27"/>
        <v>621002</v>
      </c>
      <c r="F878" s="11">
        <v>414</v>
      </c>
      <c r="G878" s="11" t="s">
        <v>9</v>
      </c>
      <c r="H878" s="3">
        <v>295397.52</v>
      </c>
      <c r="K878" s="11"/>
      <c r="L878" s="11"/>
      <c r="M878" s="11"/>
      <c r="N878" s="11"/>
      <c r="P878" s="11"/>
      <c r="Q878" s="11"/>
      <c r="R878" s="3"/>
    </row>
    <row r="879" spans="1:18" x14ac:dyDescent="0.2">
      <c r="A879" s="11">
        <v>621</v>
      </c>
      <c r="B879" s="11">
        <v>1</v>
      </c>
      <c r="C879" s="11" t="s">
        <v>218</v>
      </c>
      <c r="D879" s="11">
        <f t="shared" si="26"/>
        <v>3</v>
      </c>
      <c r="E879">
        <f t="shared" si="27"/>
        <v>621003</v>
      </c>
      <c r="F879" s="11">
        <v>417</v>
      </c>
      <c r="G879" s="11" t="s">
        <v>34</v>
      </c>
      <c r="H879" s="3">
        <v>52055.67</v>
      </c>
      <c r="K879" s="11"/>
      <c r="L879" s="11"/>
      <c r="M879" s="11"/>
      <c r="N879" s="11"/>
      <c r="P879" s="11"/>
      <c r="Q879" s="11"/>
      <c r="R879" s="3"/>
    </row>
    <row r="880" spans="1:18" x14ac:dyDescent="0.2">
      <c r="A880" s="11">
        <v>621</v>
      </c>
      <c r="B880" s="11">
        <v>1</v>
      </c>
      <c r="C880" s="11" t="s">
        <v>218</v>
      </c>
      <c r="D880" s="11">
        <f t="shared" si="26"/>
        <v>4</v>
      </c>
      <c r="E880">
        <f t="shared" si="27"/>
        <v>621004</v>
      </c>
      <c r="F880" s="11">
        <v>419</v>
      </c>
      <c r="G880" s="11" t="s">
        <v>10</v>
      </c>
      <c r="H880" s="3">
        <v>1901404.55</v>
      </c>
      <c r="K880" s="11"/>
      <c r="L880" s="11"/>
      <c r="M880" s="11"/>
      <c r="N880" s="11"/>
      <c r="P880" s="11"/>
      <c r="Q880" s="11"/>
      <c r="R880" s="3"/>
    </row>
    <row r="881" spans="1:18" x14ac:dyDescent="0.2">
      <c r="A881" s="11">
        <v>621</v>
      </c>
      <c r="B881" s="11">
        <v>1</v>
      </c>
      <c r="C881" s="11" t="s">
        <v>218</v>
      </c>
      <c r="D881" s="11">
        <f t="shared" si="26"/>
        <v>5</v>
      </c>
      <c r="E881">
        <f t="shared" si="27"/>
        <v>621005</v>
      </c>
      <c r="F881" s="11">
        <v>420</v>
      </c>
      <c r="G881" s="11" t="s">
        <v>11</v>
      </c>
      <c r="H881" s="3">
        <v>57203.49</v>
      </c>
      <c r="K881" s="11"/>
      <c r="L881" s="11"/>
      <c r="M881" s="11"/>
      <c r="N881" s="11"/>
      <c r="P881" s="11"/>
      <c r="Q881" s="11"/>
      <c r="R881" s="3"/>
    </row>
    <row r="882" spans="1:18" x14ac:dyDescent="0.2">
      <c r="A882" s="11">
        <v>621</v>
      </c>
      <c r="B882" s="11">
        <v>1</v>
      </c>
      <c r="C882" s="11" t="s">
        <v>218</v>
      </c>
      <c r="D882" s="11">
        <f t="shared" si="26"/>
        <v>6</v>
      </c>
      <c r="E882">
        <f t="shared" si="27"/>
        <v>621006</v>
      </c>
      <c r="F882" s="11">
        <v>433</v>
      </c>
      <c r="G882" s="11" t="s">
        <v>30</v>
      </c>
      <c r="H882" s="3">
        <v>27995.58</v>
      </c>
      <c r="K882" s="11"/>
      <c r="L882" s="11"/>
      <c r="M882" s="11"/>
      <c r="N882" s="11"/>
      <c r="P882" s="11"/>
      <c r="Q882" s="11"/>
      <c r="R882" s="3"/>
    </row>
    <row r="883" spans="1:18" x14ac:dyDescent="0.2">
      <c r="A883" s="11">
        <v>621</v>
      </c>
      <c r="B883" s="11">
        <v>1</v>
      </c>
      <c r="C883" s="11" t="s">
        <v>218</v>
      </c>
      <c r="D883" s="11">
        <f t="shared" si="26"/>
        <v>7</v>
      </c>
      <c r="E883">
        <f t="shared" si="27"/>
        <v>621007</v>
      </c>
      <c r="F883" s="11">
        <v>470</v>
      </c>
      <c r="G883" s="11" t="s">
        <v>6</v>
      </c>
      <c r="H883" s="3">
        <v>677013.13</v>
      </c>
      <c r="K883" s="11"/>
      <c r="L883" s="11"/>
      <c r="M883" s="11"/>
      <c r="N883" s="11"/>
      <c r="P883" s="11"/>
      <c r="Q883" s="11"/>
      <c r="R883" s="3"/>
    </row>
    <row r="884" spans="1:18" x14ac:dyDescent="0.2">
      <c r="A884" s="11">
        <v>621</v>
      </c>
      <c r="B884" s="11">
        <v>1</v>
      </c>
      <c r="C884" s="11" t="s">
        <v>218</v>
      </c>
      <c r="D884" s="11">
        <f t="shared" si="26"/>
        <v>8</v>
      </c>
      <c r="E884">
        <f t="shared" si="27"/>
        <v>621008</v>
      </c>
      <c r="F884" s="11">
        <v>480</v>
      </c>
      <c r="G884" s="11" t="s">
        <v>19</v>
      </c>
      <c r="H884" s="3">
        <v>2196864.7200000002</v>
      </c>
      <c r="K884" s="11"/>
      <c r="L884" s="11"/>
      <c r="M884" s="11"/>
      <c r="N884" s="11"/>
      <c r="P884" s="11"/>
      <c r="Q884" s="11"/>
      <c r="R884" s="3"/>
    </row>
    <row r="885" spans="1:18" x14ac:dyDescent="0.2">
      <c r="A885" s="11">
        <v>622</v>
      </c>
      <c r="B885" s="11">
        <v>1</v>
      </c>
      <c r="C885" s="11" t="s">
        <v>219</v>
      </c>
      <c r="D885" s="11">
        <f t="shared" si="26"/>
        <v>1</v>
      </c>
      <c r="E885">
        <f t="shared" si="27"/>
        <v>622001</v>
      </c>
      <c r="F885" s="11">
        <v>401</v>
      </c>
      <c r="G885" s="11" t="s">
        <v>29</v>
      </c>
      <c r="H885" s="3">
        <v>1229086.79</v>
      </c>
      <c r="K885" s="11"/>
      <c r="L885" s="11"/>
      <c r="M885" s="11"/>
      <c r="N885" s="11"/>
      <c r="P885" s="11"/>
      <c r="Q885" s="11"/>
      <c r="R885" s="3"/>
    </row>
    <row r="886" spans="1:18" x14ac:dyDescent="0.2">
      <c r="A886" s="11">
        <v>622</v>
      </c>
      <c r="B886" s="11">
        <v>1</v>
      </c>
      <c r="C886" s="11" t="s">
        <v>219</v>
      </c>
      <c r="D886" s="11">
        <f t="shared" si="26"/>
        <v>2</v>
      </c>
      <c r="E886">
        <f t="shared" si="27"/>
        <v>622002</v>
      </c>
      <c r="F886" s="11">
        <v>414</v>
      </c>
      <c r="G886" s="11" t="s">
        <v>9</v>
      </c>
      <c r="H886" s="3">
        <v>408736.65</v>
      </c>
      <c r="K886" s="11"/>
      <c r="L886" s="11"/>
      <c r="M886" s="11"/>
      <c r="N886" s="11"/>
      <c r="P886" s="11"/>
      <c r="Q886" s="11"/>
      <c r="R886" s="3"/>
    </row>
    <row r="887" spans="1:18" x14ac:dyDescent="0.2">
      <c r="A887" s="11">
        <v>622</v>
      </c>
      <c r="B887" s="11">
        <v>1</v>
      </c>
      <c r="C887" s="11" t="s">
        <v>219</v>
      </c>
      <c r="D887" s="11">
        <f t="shared" si="26"/>
        <v>3</v>
      </c>
      <c r="E887">
        <f t="shared" si="27"/>
        <v>622003</v>
      </c>
      <c r="F887" s="11">
        <v>417</v>
      </c>
      <c r="G887" s="11" t="s">
        <v>34</v>
      </c>
      <c r="H887" s="3">
        <v>77904.820000000007</v>
      </c>
      <c r="K887" s="11"/>
      <c r="L887" s="11"/>
      <c r="M887" s="11"/>
      <c r="N887" s="11"/>
      <c r="P887" s="11"/>
      <c r="Q887" s="11"/>
      <c r="R887" s="3"/>
    </row>
    <row r="888" spans="1:18" x14ac:dyDescent="0.2">
      <c r="A888" s="11">
        <v>622</v>
      </c>
      <c r="B888" s="11">
        <v>1</v>
      </c>
      <c r="C888" s="11" t="s">
        <v>219</v>
      </c>
      <c r="D888" s="11">
        <f t="shared" si="26"/>
        <v>4</v>
      </c>
      <c r="E888">
        <f t="shared" si="27"/>
        <v>622004</v>
      </c>
      <c r="F888" s="11">
        <v>419</v>
      </c>
      <c r="G888" s="11" t="s">
        <v>10</v>
      </c>
      <c r="H888" s="3">
        <v>2424357.31</v>
      </c>
      <c r="K888" s="11"/>
      <c r="L888" s="11"/>
      <c r="M888" s="11"/>
      <c r="N888" s="11"/>
      <c r="P888" s="11"/>
      <c r="Q888" s="11"/>
      <c r="R888" s="3"/>
    </row>
    <row r="889" spans="1:18" x14ac:dyDescent="0.2">
      <c r="A889" s="11">
        <v>622</v>
      </c>
      <c r="B889" s="11">
        <v>1</v>
      </c>
      <c r="C889" s="11" t="s">
        <v>219</v>
      </c>
      <c r="D889" s="11">
        <f t="shared" si="26"/>
        <v>5</v>
      </c>
      <c r="E889">
        <f t="shared" si="27"/>
        <v>622005</v>
      </c>
      <c r="F889" s="11">
        <v>420</v>
      </c>
      <c r="G889" s="11" t="s">
        <v>11</v>
      </c>
      <c r="H889" s="3">
        <v>68619.48</v>
      </c>
      <c r="K889" s="11"/>
      <c r="L889" s="11"/>
      <c r="M889" s="11"/>
      <c r="N889" s="11"/>
      <c r="P889" s="11"/>
      <c r="Q889" s="11"/>
      <c r="R889" s="3"/>
    </row>
    <row r="890" spans="1:18" x14ac:dyDescent="0.2">
      <c r="A890" s="11">
        <v>622</v>
      </c>
      <c r="B890" s="11">
        <v>1</v>
      </c>
      <c r="C890" s="11" t="s">
        <v>219</v>
      </c>
      <c r="D890" s="11">
        <f t="shared" si="26"/>
        <v>6</v>
      </c>
      <c r="E890">
        <f t="shared" si="27"/>
        <v>622006</v>
      </c>
      <c r="F890" s="11">
        <v>433</v>
      </c>
      <c r="G890" s="11" t="s">
        <v>30</v>
      </c>
      <c r="H890" s="3">
        <v>34298.18</v>
      </c>
      <c r="K890" s="11"/>
      <c r="L890" s="11"/>
      <c r="M890" s="11"/>
      <c r="N890" s="11"/>
      <c r="P890" s="11"/>
      <c r="Q890" s="11"/>
      <c r="R890" s="3"/>
    </row>
    <row r="891" spans="1:18" x14ac:dyDescent="0.2">
      <c r="A891" s="11">
        <v>622</v>
      </c>
      <c r="B891" s="11">
        <v>1</v>
      </c>
      <c r="C891" s="11" t="s">
        <v>219</v>
      </c>
      <c r="D891" s="11">
        <f t="shared" si="26"/>
        <v>7</v>
      </c>
      <c r="E891">
        <f t="shared" si="27"/>
        <v>622007</v>
      </c>
      <c r="F891" s="11">
        <v>435</v>
      </c>
      <c r="G891" s="11" t="s">
        <v>35</v>
      </c>
      <c r="H891" s="3">
        <v>16870</v>
      </c>
      <c r="K891" s="11"/>
      <c r="L891" s="11"/>
      <c r="M891" s="11"/>
      <c r="N891" s="11"/>
      <c r="P891" s="11"/>
      <c r="Q891" s="11"/>
      <c r="R891" s="3"/>
    </row>
    <row r="892" spans="1:18" x14ac:dyDescent="0.2">
      <c r="A892" s="11">
        <v>622</v>
      </c>
      <c r="B892" s="11">
        <v>1</v>
      </c>
      <c r="C892" s="11" t="s">
        <v>219</v>
      </c>
      <c r="D892" s="11">
        <f t="shared" si="26"/>
        <v>8</v>
      </c>
      <c r="E892">
        <f t="shared" si="27"/>
        <v>622008</v>
      </c>
      <c r="F892" s="11">
        <v>437</v>
      </c>
      <c r="G892" s="11" t="s">
        <v>14</v>
      </c>
      <c r="H892" s="3">
        <v>2595</v>
      </c>
      <c r="K892" s="11"/>
      <c r="L892" s="11"/>
      <c r="M892" s="11"/>
      <c r="N892" s="11"/>
      <c r="P892" s="11"/>
      <c r="Q892" s="11"/>
      <c r="R892" s="3"/>
    </row>
    <row r="893" spans="1:18" x14ac:dyDescent="0.2">
      <c r="A893" s="11">
        <v>622</v>
      </c>
      <c r="B893" s="11">
        <v>1</v>
      </c>
      <c r="C893" s="11" t="s">
        <v>219</v>
      </c>
      <c r="D893" s="11">
        <f t="shared" si="26"/>
        <v>9</v>
      </c>
      <c r="E893">
        <f t="shared" si="27"/>
        <v>622009</v>
      </c>
      <c r="F893" s="11">
        <v>470</v>
      </c>
      <c r="G893" s="11" t="s">
        <v>6</v>
      </c>
      <c r="H893" s="3">
        <v>852820.65</v>
      </c>
      <c r="K893" s="11"/>
      <c r="L893" s="11"/>
      <c r="M893" s="11"/>
      <c r="N893" s="11"/>
      <c r="P893" s="11"/>
      <c r="Q893" s="11"/>
      <c r="R893" s="3"/>
    </row>
    <row r="894" spans="1:18" x14ac:dyDescent="0.2">
      <c r="A894" s="11">
        <v>622</v>
      </c>
      <c r="B894" s="11">
        <v>1</v>
      </c>
      <c r="C894" s="11" t="s">
        <v>219</v>
      </c>
      <c r="D894" s="11">
        <f t="shared" si="26"/>
        <v>10</v>
      </c>
      <c r="E894">
        <f t="shared" si="27"/>
        <v>622010</v>
      </c>
      <c r="F894" s="11">
        <v>478</v>
      </c>
      <c r="G894" s="11" t="s">
        <v>18</v>
      </c>
      <c r="H894" s="3">
        <v>43750</v>
      </c>
      <c r="K894" s="11"/>
      <c r="L894" s="11"/>
      <c r="M894" s="11"/>
      <c r="N894" s="11"/>
      <c r="P894" s="11"/>
      <c r="Q894" s="11"/>
      <c r="R894" s="3"/>
    </row>
    <row r="895" spans="1:18" x14ac:dyDescent="0.2">
      <c r="A895" s="11">
        <v>622</v>
      </c>
      <c r="B895" s="11">
        <v>1</v>
      </c>
      <c r="C895" s="11" t="s">
        <v>219</v>
      </c>
      <c r="D895" s="11">
        <f t="shared" si="26"/>
        <v>11</v>
      </c>
      <c r="E895">
        <f t="shared" si="27"/>
        <v>622011</v>
      </c>
      <c r="F895" s="11">
        <v>480</v>
      </c>
      <c r="G895" s="11" t="s">
        <v>19</v>
      </c>
      <c r="H895" s="3">
        <v>2838750.36</v>
      </c>
      <c r="K895" s="11"/>
      <c r="L895" s="11"/>
      <c r="M895" s="11"/>
      <c r="N895" s="11"/>
      <c r="P895" s="11"/>
      <c r="Q895" s="11"/>
      <c r="R895" s="3"/>
    </row>
    <row r="896" spans="1:18" x14ac:dyDescent="0.2">
      <c r="A896" s="11">
        <v>622</v>
      </c>
      <c r="B896" s="11">
        <v>1</v>
      </c>
      <c r="C896" s="11" t="s">
        <v>219</v>
      </c>
      <c r="D896" s="11">
        <f t="shared" si="26"/>
        <v>12</v>
      </c>
      <c r="E896">
        <f t="shared" si="27"/>
        <v>622012</v>
      </c>
      <c r="F896" s="11">
        <v>484</v>
      </c>
      <c r="G896" s="11" t="s">
        <v>20</v>
      </c>
      <c r="H896" s="3">
        <v>116266.17</v>
      </c>
      <c r="K896" s="11"/>
      <c r="L896" s="11"/>
      <c r="M896" s="11"/>
      <c r="N896" s="11"/>
      <c r="P896" s="11"/>
      <c r="Q896" s="11"/>
      <c r="R896" s="3"/>
    </row>
    <row r="897" spans="1:18" x14ac:dyDescent="0.2">
      <c r="A897" s="11">
        <v>622</v>
      </c>
      <c r="B897" s="11">
        <v>1</v>
      </c>
      <c r="C897" s="11" t="s">
        <v>219</v>
      </c>
      <c r="D897" s="11">
        <f t="shared" si="26"/>
        <v>13</v>
      </c>
      <c r="E897">
        <f t="shared" si="27"/>
        <v>622013</v>
      </c>
      <c r="F897" s="11">
        <v>486</v>
      </c>
      <c r="G897" s="11" t="s">
        <v>21</v>
      </c>
      <c r="H897" s="3">
        <v>69366.490000000005</v>
      </c>
      <c r="K897" s="11"/>
      <c r="L897" s="11"/>
      <c r="M897" s="11"/>
      <c r="N897" s="11"/>
      <c r="P897" s="11"/>
      <c r="Q897" s="11"/>
      <c r="R897" s="3"/>
    </row>
    <row r="898" spans="1:18" x14ac:dyDescent="0.2">
      <c r="A898" s="11">
        <v>623</v>
      </c>
      <c r="B898" s="11">
        <v>1</v>
      </c>
      <c r="C898" s="11" t="s">
        <v>220</v>
      </c>
      <c r="D898" s="11">
        <f t="shared" si="26"/>
        <v>1</v>
      </c>
      <c r="E898">
        <f t="shared" si="27"/>
        <v>623001</v>
      </c>
      <c r="F898" s="11">
        <v>414</v>
      </c>
      <c r="G898" s="11" t="s">
        <v>9</v>
      </c>
      <c r="H898" s="3">
        <v>208654.51</v>
      </c>
      <c r="K898" s="11"/>
      <c r="L898" s="11"/>
      <c r="M898" s="11"/>
      <c r="N898" s="11"/>
      <c r="P898" s="11"/>
      <c r="Q898" s="11"/>
      <c r="R898" s="3"/>
    </row>
    <row r="899" spans="1:18" x14ac:dyDescent="0.2">
      <c r="A899" s="11">
        <v>623</v>
      </c>
      <c r="B899" s="11">
        <v>1</v>
      </c>
      <c r="C899" s="11" t="s">
        <v>220</v>
      </c>
      <c r="D899" s="11">
        <f t="shared" si="26"/>
        <v>2</v>
      </c>
      <c r="E899">
        <f t="shared" si="27"/>
        <v>623002</v>
      </c>
      <c r="F899" s="11">
        <v>417</v>
      </c>
      <c r="G899" s="11" t="s">
        <v>34</v>
      </c>
      <c r="H899" s="3">
        <v>87910.95</v>
      </c>
      <c r="K899" s="11"/>
      <c r="L899" s="11"/>
      <c r="M899" s="11"/>
      <c r="N899" s="11"/>
      <c r="P899" s="11"/>
      <c r="Q899" s="11"/>
      <c r="R899" s="3"/>
    </row>
    <row r="900" spans="1:18" x14ac:dyDescent="0.2">
      <c r="A900" s="11">
        <v>623</v>
      </c>
      <c r="B900" s="11">
        <v>1</v>
      </c>
      <c r="C900" s="11" t="s">
        <v>220</v>
      </c>
      <c r="D900" s="11">
        <f t="shared" si="26"/>
        <v>3</v>
      </c>
      <c r="E900">
        <f t="shared" si="27"/>
        <v>623003</v>
      </c>
      <c r="F900" s="11">
        <v>419</v>
      </c>
      <c r="G900" s="11" t="s">
        <v>10</v>
      </c>
      <c r="H900" s="3">
        <v>991201.32</v>
      </c>
      <c r="K900" s="11"/>
      <c r="L900" s="11"/>
      <c r="M900" s="11"/>
      <c r="N900" s="11"/>
      <c r="P900" s="11"/>
      <c r="Q900" s="11"/>
      <c r="R900" s="3"/>
    </row>
    <row r="901" spans="1:18" x14ac:dyDescent="0.2">
      <c r="A901" s="11">
        <v>623</v>
      </c>
      <c r="B901" s="11">
        <v>1</v>
      </c>
      <c r="C901" s="11" t="s">
        <v>220</v>
      </c>
      <c r="D901" s="11">
        <f t="shared" si="26"/>
        <v>4</v>
      </c>
      <c r="E901">
        <f t="shared" si="27"/>
        <v>623004</v>
      </c>
      <c r="F901" s="11">
        <v>420</v>
      </c>
      <c r="G901" s="11" t="s">
        <v>11</v>
      </c>
      <c r="H901" s="3">
        <v>33276.449999999997</v>
      </c>
      <c r="K901" s="11"/>
      <c r="L901" s="11"/>
      <c r="M901" s="11"/>
      <c r="N901" s="11"/>
      <c r="P901" s="11"/>
      <c r="Q901" s="11"/>
      <c r="R901" s="3"/>
    </row>
    <row r="902" spans="1:18" x14ac:dyDescent="0.2">
      <c r="A902" s="11">
        <v>623</v>
      </c>
      <c r="B902" s="11">
        <v>1</v>
      </c>
      <c r="C902" s="11" t="s">
        <v>220</v>
      </c>
      <c r="D902" s="11">
        <f t="shared" si="26"/>
        <v>5</v>
      </c>
      <c r="E902">
        <f t="shared" si="27"/>
        <v>623005</v>
      </c>
      <c r="F902" s="11">
        <v>433</v>
      </c>
      <c r="G902" s="11" t="s">
        <v>30</v>
      </c>
      <c r="H902" s="3">
        <v>20320.939999999999</v>
      </c>
      <c r="K902" s="11"/>
      <c r="L902" s="11"/>
      <c r="M902" s="11"/>
      <c r="N902" s="11"/>
      <c r="P902" s="11"/>
      <c r="Q902" s="11"/>
      <c r="R902" s="3"/>
    </row>
    <row r="903" spans="1:18" x14ac:dyDescent="0.2">
      <c r="A903" s="11">
        <v>623</v>
      </c>
      <c r="B903" s="11">
        <v>1</v>
      </c>
      <c r="C903" s="11" t="s">
        <v>220</v>
      </c>
      <c r="D903" s="11">
        <f t="shared" si="26"/>
        <v>6</v>
      </c>
      <c r="E903">
        <f t="shared" si="27"/>
        <v>623006</v>
      </c>
      <c r="F903" s="11">
        <v>437</v>
      </c>
      <c r="G903" s="11" t="s">
        <v>14</v>
      </c>
      <c r="H903" s="3">
        <v>1455</v>
      </c>
      <c r="K903" s="11"/>
      <c r="L903" s="11"/>
      <c r="M903" s="11"/>
      <c r="N903" s="11"/>
      <c r="P903" s="11"/>
      <c r="Q903" s="11"/>
      <c r="R903" s="3"/>
    </row>
    <row r="904" spans="1:18" x14ac:dyDescent="0.2">
      <c r="A904" s="11">
        <v>623</v>
      </c>
      <c r="B904" s="11">
        <v>1</v>
      </c>
      <c r="C904" s="11" t="s">
        <v>220</v>
      </c>
      <c r="D904" s="11">
        <f t="shared" si="26"/>
        <v>7</v>
      </c>
      <c r="E904">
        <f t="shared" si="27"/>
        <v>623007</v>
      </c>
      <c r="F904" s="11">
        <v>442</v>
      </c>
      <c r="G904" s="11" t="s">
        <v>112</v>
      </c>
      <c r="H904" s="3">
        <v>61101</v>
      </c>
      <c r="K904" s="11"/>
      <c r="L904" s="11"/>
      <c r="M904" s="11"/>
      <c r="N904" s="11"/>
      <c r="P904" s="11"/>
      <c r="Q904" s="11"/>
      <c r="R904" s="3"/>
    </row>
    <row r="905" spans="1:18" x14ac:dyDescent="0.2">
      <c r="A905" s="11">
        <v>623</v>
      </c>
      <c r="B905" s="11">
        <v>1</v>
      </c>
      <c r="C905" s="11" t="s">
        <v>220</v>
      </c>
      <c r="D905" s="11">
        <f t="shared" si="26"/>
        <v>8</v>
      </c>
      <c r="E905">
        <f t="shared" si="27"/>
        <v>623008</v>
      </c>
      <c r="F905" s="11">
        <v>470</v>
      </c>
      <c r="G905" s="11" t="s">
        <v>6</v>
      </c>
      <c r="H905" s="3">
        <v>454015.19</v>
      </c>
      <c r="K905" s="11"/>
      <c r="L905" s="11"/>
      <c r="M905" s="11"/>
      <c r="N905" s="11"/>
      <c r="P905" s="11"/>
      <c r="Q905" s="11"/>
      <c r="R905" s="3"/>
    </row>
    <row r="906" spans="1:18" x14ac:dyDescent="0.2">
      <c r="A906" s="11">
        <v>623</v>
      </c>
      <c r="B906" s="11">
        <v>1</v>
      </c>
      <c r="C906" s="11" t="s">
        <v>220</v>
      </c>
      <c r="D906" s="11">
        <f t="shared" si="26"/>
        <v>9</v>
      </c>
      <c r="E906">
        <f t="shared" si="27"/>
        <v>623009</v>
      </c>
      <c r="F906" s="11">
        <v>480</v>
      </c>
      <c r="G906" s="11" t="s">
        <v>19</v>
      </c>
      <c r="H906" s="3">
        <v>1674729.17</v>
      </c>
      <c r="K906" s="11"/>
      <c r="L906" s="11"/>
      <c r="M906" s="11"/>
      <c r="N906" s="11"/>
      <c r="P906" s="11"/>
      <c r="Q906" s="11"/>
      <c r="R906" s="3"/>
    </row>
    <row r="907" spans="1:18" x14ac:dyDescent="0.2">
      <c r="A907" s="11">
        <v>623</v>
      </c>
      <c r="B907" s="11">
        <v>1</v>
      </c>
      <c r="C907" s="11" t="s">
        <v>220</v>
      </c>
      <c r="D907" s="11">
        <f t="shared" si="26"/>
        <v>10</v>
      </c>
      <c r="E907">
        <f t="shared" si="27"/>
        <v>623010</v>
      </c>
      <c r="F907" s="11">
        <v>484</v>
      </c>
      <c r="G907" s="11" t="s">
        <v>20</v>
      </c>
      <c r="H907" s="3">
        <v>68593.39</v>
      </c>
      <c r="K907" s="11"/>
      <c r="L907" s="11"/>
      <c r="M907" s="11"/>
      <c r="N907" s="11"/>
      <c r="P907" s="11"/>
      <c r="Q907" s="11"/>
      <c r="R907" s="3"/>
    </row>
    <row r="908" spans="1:18" x14ac:dyDescent="0.2">
      <c r="A908" s="11">
        <v>623</v>
      </c>
      <c r="B908" s="11">
        <v>1</v>
      </c>
      <c r="C908" s="11" t="s">
        <v>220</v>
      </c>
      <c r="D908" s="11">
        <f t="shared" si="26"/>
        <v>11</v>
      </c>
      <c r="E908">
        <f t="shared" si="27"/>
        <v>623011</v>
      </c>
      <c r="F908" s="11">
        <v>486</v>
      </c>
      <c r="G908" s="11" t="s">
        <v>21</v>
      </c>
      <c r="H908" s="3">
        <v>40880.94</v>
      </c>
      <c r="K908" s="11"/>
      <c r="L908" s="11"/>
      <c r="M908" s="11"/>
      <c r="N908" s="11"/>
      <c r="P908" s="11"/>
      <c r="Q908" s="11"/>
      <c r="R908" s="3"/>
    </row>
    <row r="909" spans="1:18" x14ac:dyDescent="0.2">
      <c r="A909" s="11">
        <v>623</v>
      </c>
      <c r="B909" s="11">
        <v>1</v>
      </c>
      <c r="C909" s="11" t="s">
        <v>220</v>
      </c>
      <c r="D909" s="11">
        <f t="shared" si="26"/>
        <v>12</v>
      </c>
      <c r="E909">
        <f t="shared" si="27"/>
        <v>623012</v>
      </c>
      <c r="F909" s="11">
        <v>801</v>
      </c>
      <c r="G909" s="11" t="s">
        <v>22</v>
      </c>
      <c r="H909" s="3">
        <v>39470.980000000003</v>
      </c>
      <c r="K909" s="11"/>
      <c r="L909" s="11"/>
      <c r="M909" s="11"/>
      <c r="N909" s="11"/>
      <c r="P909" s="11"/>
      <c r="Q909" s="11"/>
      <c r="R909" s="3"/>
    </row>
    <row r="910" spans="1:18" x14ac:dyDescent="0.2">
      <c r="A910" s="11">
        <v>624</v>
      </c>
      <c r="B910" s="11">
        <v>1</v>
      </c>
      <c r="C910" s="11" t="s">
        <v>221</v>
      </c>
      <c r="D910" s="11">
        <f t="shared" si="26"/>
        <v>1</v>
      </c>
      <c r="E910">
        <f t="shared" si="27"/>
        <v>624001</v>
      </c>
      <c r="F910" s="11">
        <v>486</v>
      </c>
      <c r="G910" s="11" t="s">
        <v>21</v>
      </c>
      <c r="H910" s="3">
        <v>53633.88</v>
      </c>
      <c r="K910" s="11"/>
      <c r="L910" s="11"/>
      <c r="M910" s="11"/>
      <c r="N910" s="11"/>
      <c r="P910" s="11"/>
      <c r="Q910" s="11"/>
      <c r="R910" s="3"/>
    </row>
    <row r="911" spans="1:18" x14ac:dyDescent="0.2">
      <c r="A911" s="11">
        <v>625</v>
      </c>
      <c r="B911" s="11">
        <v>1</v>
      </c>
      <c r="C911" s="11" t="s">
        <v>222</v>
      </c>
      <c r="D911" s="11">
        <f t="shared" ref="D911:D974" si="28">IF(A911=A910,D910+1,1)</f>
        <v>1</v>
      </c>
      <c r="E911">
        <f t="shared" ref="E911:E974" si="29">1000*A911+D911</f>
        <v>625001</v>
      </c>
      <c r="F911" s="11">
        <v>406</v>
      </c>
      <c r="G911" s="11" t="s">
        <v>8</v>
      </c>
      <c r="H911" s="3">
        <v>421569.12</v>
      </c>
      <c r="K911" s="11"/>
      <c r="L911" s="11"/>
      <c r="M911" s="11"/>
      <c r="N911" s="11"/>
      <c r="P911" s="11"/>
      <c r="Q911" s="11"/>
      <c r="R911" s="3"/>
    </row>
    <row r="912" spans="1:18" x14ac:dyDescent="0.2">
      <c r="A912" s="11">
        <v>625</v>
      </c>
      <c r="B912" s="11">
        <v>1</v>
      </c>
      <c r="C912" s="11" t="s">
        <v>222</v>
      </c>
      <c r="D912" s="11">
        <f t="shared" si="28"/>
        <v>2</v>
      </c>
      <c r="E912">
        <f t="shared" si="29"/>
        <v>625002</v>
      </c>
      <c r="F912" s="11">
        <v>441</v>
      </c>
      <c r="G912" s="11" t="s">
        <v>16</v>
      </c>
      <c r="H912" s="3">
        <v>19575</v>
      </c>
      <c r="K912" s="11"/>
      <c r="L912" s="11"/>
      <c r="M912" s="11"/>
      <c r="N912" s="11"/>
      <c r="P912" s="11"/>
      <c r="Q912" s="11"/>
      <c r="R912" s="3"/>
    </row>
    <row r="913" spans="1:18" x14ac:dyDescent="0.2">
      <c r="A913" s="11">
        <v>625</v>
      </c>
      <c r="B913" s="11">
        <v>1</v>
      </c>
      <c r="C913" s="11" t="s">
        <v>222</v>
      </c>
      <c r="D913" s="11">
        <f t="shared" si="28"/>
        <v>3</v>
      </c>
      <c r="E913">
        <f t="shared" si="29"/>
        <v>625003</v>
      </c>
      <c r="F913" s="11">
        <v>471</v>
      </c>
      <c r="G913" s="11" t="s">
        <v>17</v>
      </c>
      <c r="H913" s="3">
        <v>264415.46999999997</v>
      </c>
      <c r="K913" s="11"/>
      <c r="L913" s="11"/>
      <c r="M913" s="11"/>
      <c r="N913" s="11"/>
      <c r="P913" s="11"/>
      <c r="Q913" s="11"/>
      <c r="R913" s="3"/>
    </row>
    <row r="914" spans="1:18" x14ac:dyDescent="0.2">
      <c r="A914" s="11">
        <v>625</v>
      </c>
      <c r="B914" s="11">
        <v>1</v>
      </c>
      <c r="C914" s="11" t="s">
        <v>222</v>
      </c>
      <c r="D914" s="11">
        <f t="shared" si="28"/>
        <v>4</v>
      </c>
      <c r="E914">
        <f t="shared" si="29"/>
        <v>625004</v>
      </c>
      <c r="F914" s="11">
        <v>478</v>
      </c>
      <c r="G914" s="11" t="s">
        <v>18</v>
      </c>
      <c r="H914" s="3">
        <v>125000</v>
      </c>
      <c r="K914" s="11"/>
      <c r="L914" s="11"/>
      <c r="M914" s="11"/>
      <c r="N914" s="11"/>
      <c r="P914" s="11"/>
      <c r="Q914" s="11"/>
      <c r="R914" s="3"/>
    </row>
    <row r="915" spans="1:18" x14ac:dyDescent="0.2">
      <c r="A915" s="11">
        <v>625</v>
      </c>
      <c r="B915" s="11">
        <v>1</v>
      </c>
      <c r="C915" s="11" t="s">
        <v>222</v>
      </c>
      <c r="D915" s="11">
        <f t="shared" si="28"/>
        <v>5</v>
      </c>
      <c r="E915">
        <f t="shared" si="29"/>
        <v>625005</v>
      </c>
      <c r="F915" s="11">
        <v>486</v>
      </c>
      <c r="G915" s="11" t="s">
        <v>21</v>
      </c>
      <c r="H915" s="3">
        <v>362326.68</v>
      </c>
      <c r="K915" s="11"/>
      <c r="L915" s="11"/>
      <c r="M915" s="11"/>
      <c r="N915" s="11"/>
      <c r="P915" s="11"/>
      <c r="Q915" s="11"/>
      <c r="R915" s="3"/>
    </row>
    <row r="916" spans="1:18" x14ac:dyDescent="0.2">
      <c r="A916" s="11">
        <v>625</v>
      </c>
      <c r="B916" s="11">
        <v>1</v>
      </c>
      <c r="C916" s="11" t="s">
        <v>222</v>
      </c>
      <c r="D916" s="11">
        <f t="shared" si="28"/>
        <v>6</v>
      </c>
      <c r="E916">
        <f t="shared" si="29"/>
        <v>625006</v>
      </c>
      <c r="F916" s="11">
        <v>706</v>
      </c>
      <c r="G916" s="11" t="s">
        <v>114</v>
      </c>
      <c r="H916" s="3">
        <v>626100</v>
      </c>
      <c r="K916" s="11"/>
      <c r="L916" s="11"/>
      <c r="M916" s="11"/>
      <c r="N916" s="11"/>
      <c r="P916" s="11"/>
      <c r="Q916" s="11"/>
      <c r="R916" s="3"/>
    </row>
    <row r="917" spans="1:18" x14ac:dyDescent="0.2">
      <c r="A917" s="11">
        <v>625</v>
      </c>
      <c r="B917" s="11">
        <v>1</v>
      </c>
      <c r="C917" s="11" t="s">
        <v>222</v>
      </c>
      <c r="D917" s="11">
        <f t="shared" si="28"/>
        <v>7</v>
      </c>
      <c r="E917">
        <f t="shared" si="29"/>
        <v>625007</v>
      </c>
      <c r="F917" s="11">
        <v>837</v>
      </c>
      <c r="G917" s="11" t="s">
        <v>69</v>
      </c>
      <c r="H917" s="3">
        <v>109912</v>
      </c>
      <c r="K917" s="11"/>
      <c r="L917" s="11"/>
      <c r="M917" s="11"/>
      <c r="N917" s="11"/>
      <c r="P917" s="11"/>
      <c r="Q917" s="11"/>
      <c r="R917" s="3"/>
    </row>
    <row r="918" spans="1:18" x14ac:dyDescent="0.2">
      <c r="A918" s="11">
        <v>625</v>
      </c>
      <c r="B918" s="11">
        <v>1</v>
      </c>
      <c r="C918" s="11" t="s">
        <v>222</v>
      </c>
      <c r="D918" s="11">
        <f t="shared" si="28"/>
        <v>8</v>
      </c>
      <c r="E918">
        <f t="shared" si="29"/>
        <v>625008</v>
      </c>
      <c r="F918" s="11">
        <v>848</v>
      </c>
      <c r="G918" s="11" t="s">
        <v>223</v>
      </c>
      <c r="H918" s="3">
        <v>860000</v>
      </c>
      <c r="K918" s="11"/>
      <c r="L918" s="11"/>
      <c r="M918" s="11"/>
      <c r="N918" s="11"/>
      <c r="P918" s="11"/>
      <c r="Q918" s="11"/>
      <c r="R918" s="3"/>
    </row>
    <row r="919" spans="1:18" x14ac:dyDescent="0.2">
      <c r="A919" s="11">
        <v>628</v>
      </c>
      <c r="B919" s="11">
        <v>1</v>
      </c>
      <c r="C919" s="11" t="s">
        <v>224</v>
      </c>
      <c r="D919" s="11">
        <f t="shared" si="28"/>
        <v>1</v>
      </c>
      <c r="E919">
        <f t="shared" si="29"/>
        <v>628001</v>
      </c>
      <c r="F919" s="11">
        <v>151</v>
      </c>
      <c r="G919" s="11" t="s">
        <v>28</v>
      </c>
      <c r="H919" s="3">
        <v>65144.11</v>
      </c>
      <c r="K919" s="11"/>
      <c r="L919" s="11"/>
      <c r="M919" s="11"/>
      <c r="N919" s="11"/>
      <c r="P919" s="11"/>
      <c r="Q919" s="11"/>
      <c r="R919" s="3"/>
    </row>
    <row r="920" spans="1:18" x14ac:dyDescent="0.2">
      <c r="A920" s="11">
        <v>628</v>
      </c>
      <c r="B920" s="11">
        <v>1</v>
      </c>
      <c r="C920" s="11" t="s">
        <v>224</v>
      </c>
      <c r="D920" s="11">
        <f t="shared" si="28"/>
        <v>2</v>
      </c>
      <c r="E920">
        <f t="shared" si="29"/>
        <v>628002</v>
      </c>
      <c r="F920" s="11">
        <v>401</v>
      </c>
      <c r="G920" s="11" t="s">
        <v>29</v>
      </c>
      <c r="H920" s="3">
        <v>16120.95</v>
      </c>
      <c r="K920" s="11"/>
      <c r="L920" s="11"/>
      <c r="M920" s="11"/>
      <c r="N920" s="11"/>
      <c r="P920" s="11"/>
      <c r="Q920" s="11"/>
      <c r="R920" s="3"/>
    </row>
    <row r="921" spans="1:18" x14ac:dyDescent="0.2">
      <c r="A921" s="11">
        <v>628</v>
      </c>
      <c r="B921" s="11">
        <v>1</v>
      </c>
      <c r="C921" s="11" t="s">
        <v>224</v>
      </c>
      <c r="D921" s="11">
        <f t="shared" si="28"/>
        <v>3</v>
      </c>
      <c r="E921">
        <f t="shared" si="29"/>
        <v>628003</v>
      </c>
      <c r="F921" s="11">
        <v>414</v>
      </c>
      <c r="G921" s="11" t="s">
        <v>9</v>
      </c>
      <c r="H921" s="3">
        <v>9830.36</v>
      </c>
      <c r="K921" s="11"/>
      <c r="L921" s="11"/>
      <c r="M921" s="11"/>
      <c r="N921" s="11"/>
      <c r="P921" s="11"/>
      <c r="Q921" s="11"/>
      <c r="R921" s="3"/>
    </row>
    <row r="922" spans="1:18" x14ac:dyDescent="0.2">
      <c r="A922" s="11">
        <v>628</v>
      </c>
      <c r="B922" s="11">
        <v>1</v>
      </c>
      <c r="C922" s="11" t="s">
        <v>224</v>
      </c>
      <c r="D922" s="11">
        <f t="shared" si="28"/>
        <v>4</v>
      </c>
      <c r="E922">
        <f t="shared" si="29"/>
        <v>628004</v>
      </c>
      <c r="F922" s="11">
        <v>433</v>
      </c>
      <c r="G922" s="11" t="s">
        <v>30</v>
      </c>
      <c r="H922" s="3">
        <v>467.56</v>
      </c>
      <c r="K922" s="11"/>
      <c r="L922" s="11"/>
      <c r="M922" s="11"/>
      <c r="N922" s="11"/>
      <c r="P922" s="11"/>
      <c r="Q922" s="11"/>
      <c r="R922" s="3"/>
    </row>
    <row r="923" spans="1:18" x14ac:dyDescent="0.2">
      <c r="A923" s="11">
        <v>628</v>
      </c>
      <c r="B923" s="11">
        <v>1</v>
      </c>
      <c r="C923" s="11" t="s">
        <v>224</v>
      </c>
      <c r="D923" s="11">
        <f t="shared" si="28"/>
        <v>5</v>
      </c>
      <c r="E923">
        <f t="shared" si="29"/>
        <v>628005</v>
      </c>
      <c r="F923" s="11">
        <v>470</v>
      </c>
      <c r="G923" s="11" t="s">
        <v>6</v>
      </c>
      <c r="H923" s="3">
        <v>9253.0300000000007</v>
      </c>
      <c r="K923" s="11"/>
      <c r="L923" s="11"/>
      <c r="M923" s="11"/>
      <c r="N923" s="11"/>
      <c r="P923" s="11"/>
      <c r="Q923" s="11"/>
      <c r="R923" s="3"/>
    </row>
    <row r="924" spans="1:18" x14ac:dyDescent="0.2">
      <c r="A924" s="11">
        <v>635</v>
      </c>
      <c r="B924" s="11">
        <v>1</v>
      </c>
      <c r="C924" s="11" t="s">
        <v>225</v>
      </c>
      <c r="D924" s="11">
        <f t="shared" si="28"/>
        <v>1</v>
      </c>
      <c r="E924">
        <f t="shared" si="29"/>
        <v>635001</v>
      </c>
      <c r="F924" s="11">
        <v>401</v>
      </c>
      <c r="G924" s="11" t="s">
        <v>29</v>
      </c>
      <c r="H924" s="3">
        <v>15923.49</v>
      </c>
      <c r="K924" s="11"/>
      <c r="L924" s="11"/>
      <c r="M924" s="11"/>
      <c r="N924" s="11"/>
      <c r="P924" s="11"/>
      <c r="Q924" s="11"/>
      <c r="R924" s="3"/>
    </row>
    <row r="925" spans="1:18" x14ac:dyDescent="0.2">
      <c r="A925" s="11">
        <v>635</v>
      </c>
      <c r="B925" s="11">
        <v>1</v>
      </c>
      <c r="C925" s="11" t="s">
        <v>225</v>
      </c>
      <c r="D925" s="11">
        <f t="shared" si="28"/>
        <v>2</v>
      </c>
      <c r="E925">
        <f t="shared" si="29"/>
        <v>635002</v>
      </c>
      <c r="F925" s="11">
        <v>414</v>
      </c>
      <c r="G925" s="11" t="s">
        <v>9</v>
      </c>
      <c r="H925" s="3">
        <v>6180.04</v>
      </c>
      <c r="K925" s="11"/>
      <c r="L925" s="11"/>
      <c r="M925" s="11"/>
      <c r="N925" s="11"/>
      <c r="P925" s="11"/>
      <c r="Q925" s="11"/>
      <c r="R925" s="3"/>
    </row>
    <row r="926" spans="1:18" x14ac:dyDescent="0.2">
      <c r="A926" s="11">
        <v>635</v>
      </c>
      <c r="B926" s="11">
        <v>1</v>
      </c>
      <c r="C926" s="11" t="s">
        <v>225</v>
      </c>
      <c r="D926" s="11">
        <f t="shared" si="28"/>
        <v>3</v>
      </c>
      <c r="E926">
        <f t="shared" si="29"/>
        <v>635003</v>
      </c>
      <c r="F926" s="11">
        <v>433</v>
      </c>
      <c r="G926" s="11" t="s">
        <v>30</v>
      </c>
      <c r="H926" s="3">
        <v>259.92</v>
      </c>
      <c r="K926" s="11"/>
      <c r="L926" s="11"/>
      <c r="M926" s="11"/>
      <c r="N926" s="11"/>
      <c r="P926" s="11"/>
      <c r="Q926" s="11"/>
      <c r="R926" s="3"/>
    </row>
    <row r="927" spans="1:18" x14ac:dyDescent="0.2">
      <c r="A927" s="11">
        <v>640</v>
      </c>
      <c r="B927" s="11">
        <v>1</v>
      </c>
      <c r="C927" s="11" t="s">
        <v>226</v>
      </c>
      <c r="D927" s="11">
        <f t="shared" si="28"/>
        <v>1</v>
      </c>
      <c r="E927">
        <f t="shared" si="29"/>
        <v>640001</v>
      </c>
      <c r="F927" s="11">
        <v>470</v>
      </c>
      <c r="G927" s="11" t="s">
        <v>6</v>
      </c>
      <c r="H927" s="3">
        <v>34544.639999999999</v>
      </c>
      <c r="K927" s="11"/>
      <c r="L927" s="11"/>
      <c r="M927" s="11"/>
      <c r="N927" s="11"/>
      <c r="P927" s="11"/>
      <c r="Q927" s="11"/>
      <c r="R927" s="3"/>
    </row>
    <row r="928" spans="1:18" x14ac:dyDescent="0.2">
      <c r="A928" s="11">
        <v>656</v>
      </c>
      <c r="B928" s="11">
        <v>1</v>
      </c>
      <c r="C928" s="11" t="s">
        <v>227</v>
      </c>
      <c r="D928" s="11">
        <f t="shared" si="28"/>
        <v>1</v>
      </c>
      <c r="E928">
        <f t="shared" si="29"/>
        <v>656001</v>
      </c>
      <c r="F928" s="11">
        <v>422</v>
      </c>
      <c r="G928" s="11" t="s">
        <v>12</v>
      </c>
      <c r="H928" s="3">
        <v>68547.009999999995</v>
      </c>
      <c r="K928" s="11"/>
      <c r="L928" s="11"/>
      <c r="M928" s="11"/>
      <c r="N928" s="11"/>
      <c r="P928" s="11"/>
      <c r="Q928" s="11"/>
      <c r="R928" s="3"/>
    </row>
    <row r="929" spans="1:18" x14ac:dyDescent="0.2">
      <c r="A929" s="11">
        <v>656</v>
      </c>
      <c r="B929" s="11">
        <v>1</v>
      </c>
      <c r="C929" s="11" t="s">
        <v>227</v>
      </c>
      <c r="D929" s="11">
        <f t="shared" si="28"/>
        <v>2</v>
      </c>
      <c r="E929">
        <f t="shared" si="29"/>
        <v>656002</v>
      </c>
      <c r="F929" s="11">
        <v>438</v>
      </c>
      <c r="G929" s="11" t="s">
        <v>15</v>
      </c>
      <c r="H929" s="3">
        <v>18040.75</v>
      </c>
      <c r="K929" s="11"/>
      <c r="L929" s="11"/>
      <c r="M929" s="11"/>
      <c r="N929" s="11"/>
      <c r="P929" s="11"/>
      <c r="Q929" s="11"/>
      <c r="R929" s="3"/>
    </row>
    <row r="930" spans="1:18" x14ac:dyDescent="0.2">
      <c r="A930" s="11">
        <v>656</v>
      </c>
      <c r="B930" s="11">
        <v>1</v>
      </c>
      <c r="C930" s="11" t="s">
        <v>227</v>
      </c>
      <c r="D930" s="11">
        <f t="shared" si="28"/>
        <v>3</v>
      </c>
      <c r="E930">
        <f t="shared" si="29"/>
        <v>656003</v>
      </c>
      <c r="F930" s="11">
        <v>484</v>
      </c>
      <c r="G930" s="11" t="s">
        <v>20</v>
      </c>
      <c r="H930" s="3">
        <v>45532.3</v>
      </c>
      <c r="K930" s="11"/>
      <c r="L930" s="11"/>
      <c r="M930" s="11"/>
      <c r="N930" s="11"/>
      <c r="P930" s="11"/>
      <c r="Q930" s="11"/>
      <c r="R930" s="3"/>
    </row>
    <row r="931" spans="1:18" x14ac:dyDescent="0.2">
      <c r="A931" s="11">
        <v>656</v>
      </c>
      <c r="B931" s="11">
        <v>1</v>
      </c>
      <c r="C931" s="11" t="s">
        <v>227</v>
      </c>
      <c r="D931" s="11">
        <f t="shared" si="28"/>
        <v>4</v>
      </c>
      <c r="E931">
        <f t="shared" si="29"/>
        <v>656004</v>
      </c>
      <c r="F931" s="11">
        <v>801</v>
      </c>
      <c r="G931" s="11" t="s">
        <v>22</v>
      </c>
      <c r="H931" s="3">
        <v>17052</v>
      </c>
      <c r="K931" s="11"/>
      <c r="L931" s="11"/>
      <c r="M931" s="11"/>
      <c r="N931" s="11"/>
      <c r="P931" s="11"/>
      <c r="Q931" s="11"/>
      <c r="R931" s="3"/>
    </row>
    <row r="932" spans="1:18" x14ac:dyDescent="0.2">
      <c r="A932" s="11">
        <v>659</v>
      </c>
      <c r="B932" s="11">
        <v>1</v>
      </c>
      <c r="C932" s="11" t="s">
        <v>228</v>
      </c>
      <c r="D932" s="11">
        <f t="shared" si="28"/>
        <v>1</v>
      </c>
      <c r="E932">
        <f t="shared" si="29"/>
        <v>659001</v>
      </c>
      <c r="F932" s="11">
        <v>401</v>
      </c>
      <c r="G932" s="11" t="s">
        <v>29</v>
      </c>
      <c r="H932" s="3">
        <v>243161.59</v>
      </c>
      <c r="K932" s="11"/>
      <c r="L932" s="11"/>
      <c r="M932" s="11"/>
      <c r="N932" s="11"/>
      <c r="P932" s="11"/>
      <c r="Q932" s="11"/>
      <c r="R932" s="3"/>
    </row>
    <row r="933" spans="1:18" x14ac:dyDescent="0.2">
      <c r="A933" s="11">
        <v>659</v>
      </c>
      <c r="B933" s="11">
        <v>1</v>
      </c>
      <c r="C933" s="11" t="s">
        <v>228</v>
      </c>
      <c r="D933" s="11">
        <f t="shared" si="28"/>
        <v>2</v>
      </c>
      <c r="E933">
        <f t="shared" si="29"/>
        <v>659002</v>
      </c>
      <c r="F933" s="11">
        <v>414</v>
      </c>
      <c r="G933" s="11" t="s">
        <v>9</v>
      </c>
      <c r="H933" s="3">
        <v>128794.18</v>
      </c>
      <c r="K933" s="11"/>
      <c r="L933" s="11"/>
      <c r="M933" s="11"/>
      <c r="N933" s="11"/>
      <c r="P933" s="11"/>
      <c r="Q933" s="11"/>
      <c r="R933" s="3"/>
    </row>
    <row r="934" spans="1:18" x14ac:dyDescent="0.2">
      <c r="A934" s="11">
        <v>659</v>
      </c>
      <c r="B934" s="11">
        <v>1</v>
      </c>
      <c r="C934" s="11" t="s">
        <v>228</v>
      </c>
      <c r="D934" s="11">
        <f t="shared" si="28"/>
        <v>3</v>
      </c>
      <c r="E934">
        <f t="shared" si="29"/>
        <v>659003</v>
      </c>
      <c r="F934" s="11">
        <v>417</v>
      </c>
      <c r="G934" s="11" t="s">
        <v>34</v>
      </c>
      <c r="H934" s="3">
        <v>35378.800000000003</v>
      </c>
      <c r="K934" s="11"/>
      <c r="L934" s="11"/>
      <c r="M934" s="11"/>
      <c r="N934" s="11"/>
      <c r="P934" s="11"/>
      <c r="Q934" s="11"/>
      <c r="R934" s="3"/>
    </row>
    <row r="935" spans="1:18" x14ac:dyDescent="0.2">
      <c r="A935" s="11">
        <v>659</v>
      </c>
      <c r="B935" s="11">
        <v>1</v>
      </c>
      <c r="C935" s="11" t="s">
        <v>228</v>
      </c>
      <c r="D935" s="11">
        <f t="shared" si="28"/>
        <v>4</v>
      </c>
      <c r="E935">
        <f t="shared" si="29"/>
        <v>659004</v>
      </c>
      <c r="F935" s="11">
        <v>419</v>
      </c>
      <c r="G935" s="11" t="s">
        <v>10</v>
      </c>
      <c r="H935" s="3">
        <v>714526.8</v>
      </c>
      <c r="K935" s="11"/>
      <c r="L935" s="11"/>
      <c r="M935" s="11"/>
      <c r="N935" s="11"/>
      <c r="P935" s="11"/>
      <c r="Q935" s="11"/>
      <c r="R935" s="3"/>
    </row>
    <row r="936" spans="1:18" x14ac:dyDescent="0.2">
      <c r="A936" s="11">
        <v>659</v>
      </c>
      <c r="B936" s="11">
        <v>1</v>
      </c>
      <c r="C936" s="11" t="s">
        <v>228</v>
      </c>
      <c r="D936" s="11">
        <f t="shared" si="28"/>
        <v>5</v>
      </c>
      <c r="E936">
        <f t="shared" si="29"/>
        <v>659005</v>
      </c>
      <c r="F936" s="11">
        <v>420</v>
      </c>
      <c r="G936" s="11" t="s">
        <v>11</v>
      </c>
      <c r="H936" s="3">
        <v>11767.19</v>
      </c>
      <c r="K936" s="11"/>
      <c r="L936" s="11"/>
      <c r="M936" s="11"/>
      <c r="N936" s="11"/>
      <c r="P936" s="11"/>
      <c r="Q936" s="11"/>
      <c r="R936" s="3"/>
    </row>
    <row r="937" spans="1:18" x14ac:dyDescent="0.2">
      <c r="A937" s="11">
        <v>659</v>
      </c>
      <c r="B937" s="11">
        <v>1</v>
      </c>
      <c r="C937" s="11" t="s">
        <v>228</v>
      </c>
      <c r="D937" s="11">
        <f t="shared" si="28"/>
        <v>6</v>
      </c>
      <c r="E937">
        <f t="shared" si="29"/>
        <v>659006</v>
      </c>
      <c r="F937" s="11">
        <v>437</v>
      </c>
      <c r="G937" s="11" t="s">
        <v>14</v>
      </c>
      <c r="H937" s="3">
        <v>675</v>
      </c>
      <c r="K937" s="11"/>
      <c r="L937" s="11"/>
      <c r="M937" s="11"/>
      <c r="N937" s="11"/>
      <c r="P937" s="11"/>
      <c r="Q937" s="11"/>
      <c r="R937" s="3"/>
    </row>
    <row r="938" spans="1:18" x14ac:dyDescent="0.2">
      <c r="A938" s="11">
        <v>659</v>
      </c>
      <c r="B938" s="11">
        <v>1</v>
      </c>
      <c r="C938" s="11" t="s">
        <v>228</v>
      </c>
      <c r="D938" s="11">
        <f t="shared" si="28"/>
        <v>7</v>
      </c>
      <c r="E938">
        <f t="shared" si="29"/>
        <v>659007</v>
      </c>
      <c r="F938" s="11">
        <v>470</v>
      </c>
      <c r="G938" s="11" t="s">
        <v>6</v>
      </c>
      <c r="H938" s="3">
        <v>149899.04</v>
      </c>
      <c r="K938" s="11"/>
      <c r="L938" s="11"/>
      <c r="M938" s="11"/>
      <c r="N938" s="11"/>
      <c r="P938" s="11"/>
      <c r="Q938" s="11"/>
      <c r="R938" s="3"/>
    </row>
    <row r="939" spans="1:18" x14ac:dyDescent="0.2">
      <c r="A939" s="11">
        <v>659</v>
      </c>
      <c r="B939" s="11">
        <v>1</v>
      </c>
      <c r="C939" s="11" t="s">
        <v>228</v>
      </c>
      <c r="D939" s="11">
        <f t="shared" si="28"/>
        <v>8</v>
      </c>
      <c r="E939">
        <f t="shared" si="29"/>
        <v>659008</v>
      </c>
      <c r="F939" s="11">
        <v>484</v>
      </c>
      <c r="G939" s="11" t="s">
        <v>20</v>
      </c>
      <c r="H939" s="3">
        <v>33001.65</v>
      </c>
      <c r="K939" s="11"/>
      <c r="L939" s="11"/>
      <c r="M939" s="11"/>
      <c r="N939" s="11"/>
      <c r="P939" s="11"/>
      <c r="Q939" s="11"/>
      <c r="R939" s="3"/>
    </row>
    <row r="940" spans="1:18" x14ac:dyDescent="0.2">
      <c r="A940" s="11">
        <v>659</v>
      </c>
      <c r="B940" s="11">
        <v>1</v>
      </c>
      <c r="C940" s="11" t="s">
        <v>228</v>
      </c>
      <c r="D940" s="11">
        <f t="shared" si="28"/>
        <v>9</v>
      </c>
      <c r="E940">
        <f t="shared" si="29"/>
        <v>659009</v>
      </c>
      <c r="F940" s="11">
        <v>486</v>
      </c>
      <c r="G940" s="11" t="s">
        <v>21</v>
      </c>
      <c r="H940" s="3">
        <v>16566.91</v>
      </c>
      <c r="K940" s="11"/>
      <c r="L940" s="11"/>
      <c r="M940" s="11"/>
      <c r="N940" s="11"/>
      <c r="P940" s="11"/>
      <c r="Q940" s="11"/>
      <c r="R940" s="3"/>
    </row>
    <row r="941" spans="1:18" x14ac:dyDescent="0.2">
      <c r="A941" s="11">
        <v>671</v>
      </c>
      <c r="B941" s="11">
        <v>1</v>
      </c>
      <c r="C941" s="11" t="s">
        <v>229</v>
      </c>
      <c r="D941" s="11">
        <f t="shared" si="28"/>
        <v>1</v>
      </c>
      <c r="E941">
        <f t="shared" si="29"/>
        <v>671001</v>
      </c>
      <c r="F941" s="11">
        <v>151</v>
      </c>
      <c r="G941" s="11" t="s">
        <v>28</v>
      </c>
      <c r="H941" s="3">
        <v>132205.91</v>
      </c>
      <c r="K941" s="11"/>
      <c r="L941" s="11"/>
      <c r="M941" s="11"/>
      <c r="N941" s="11"/>
      <c r="P941" s="11"/>
      <c r="Q941" s="11"/>
      <c r="R941" s="3"/>
    </row>
    <row r="942" spans="1:18" x14ac:dyDescent="0.2">
      <c r="A942" s="11">
        <v>671</v>
      </c>
      <c r="B942" s="11">
        <v>1</v>
      </c>
      <c r="C942" s="11" t="s">
        <v>229</v>
      </c>
      <c r="D942" s="11">
        <f t="shared" si="28"/>
        <v>2</v>
      </c>
      <c r="E942">
        <f t="shared" si="29"/>
        <v>671002</v>
      </c>
      <c r="F942" s="11">
        <v>401</v>
      </c>
      <c r="G942" s="11" t="s">
        <v>29</v>
      </c>
      <c r="H942" s="3">
        <v>31802.240000000002</v>
      </c>
      <c r="K942" s="11"/>
      <c r="L942" s="11"/>
      <c r="M942" s="11"/>
      <c r="N942" s="11"/>
      <c r="P942" s="11"/>
      <c r="Q942" s="11"/>
      <c r="R942" s="3"/>
    </row>
    <row r="943" spans="1:18" x14ac:dyDescent="0.2">
      <c r="A943" s="11">
        <v>671</v>
      </c>
      <c r="B943" s="11">
        <v>1</v>
      </c>
      <c r="C943" s="11" t="s">
        <v>229</v>
      </c>
      <c r="D943" s="11">
        <f t="shared" si="28"/>
        <v>3</v>
      </c>
      <c r="E943">
        <f t="shared" si="29"/>
        <v>671003</v>
      </c>
      <c r="F943" s="11">
        <v>414</v>
      </c>
      <c r="G943" s="11" t="s">
        <v>9</v>
      </c>
      <c r="H943" s="3">
        <v>13195.63</v>
      </c>
      <c r="K943" s="11"/>
      <c r="L943" s="11"/>
      <c r="M943" s="11"/>
      <c r="N943" s="11"/>
      <c r="P943" s="11"/>
      <c r="Q943" s="11"/>
      <c r="R943" s="3"/>
    </row>
    <row r="944" spans="1:18" x14ac:dyDescent="0.2">
      <c r="A944" s="11">
        <v>671</v>
      </c>
      <c r="B944" s="11">
        <v>1</v>
      </c>
      <c r="C944" s="11" t="s">
        <v>229</v>
      </c>
      <c r="D944" s="11">
        <f t="shared" si="28"/>
        <v>4</v>
      </c>
      <c r="E944">
        <f t="shared" si="29"/>
        <v>671004</v>
      </c>
      <c r="F944" s="11">
        <v>433</v>
      </c>
      <c r="G944" s="11" t="s">
        <v>30</v>
      </c>
      <c r="H944" s="3">
        <v>893.1</v>
      </c>
      <c r="K944" s="11"/>
      <c r="L944" s="11"/>
      <c r="M944" s="11"/>
      <c r="N944" s="11"/>
      <c r="P944" s="11"/>
      <c r="Q944" s="11"/>
      <c r="R944" s="3"/>
    </row>
    <row r="945" spans="1:18" x14ac:dyDescent="0.2">
      <c r="A945" s="11">
        <v>671</v>
      </c>
      <c r="B945" s="11">
        <v>1</v>
      </c>
      <c r="C945" s="11" t="s">
        <v>229</v>
      </c>
      <c r="D945" s="11">
        <f t="shared" si="28"/>
        <v>5</v>
      </c>
      <c r="E945">
        <f t="shared" si="29"/>
        <v>671005</v>
      </c>
      <c r="F945" s="11">
        <v>470</v>
      </c>
      <c r="G945" s="11" t="s">
        <v>6</v>
      </c>
      <c r="H945" s="3">
        <v>18506.05</v>
      </c>
      <c r="K945" s="11"/>
      <c r="L945" s="11"/>
      <c r="M945" s="11"/>
      <c r="N945" s="11"/>
      <c r="P945" s="11"/>
      <c r="Q945" s="11"/>
      <c r="R945" s="3"/>
    </row>
    <row r="946" spans="1:18" x14ac:dyDescent="0.2">
      <c r="A946" s="11">
        <v>676</v>
      </c>
      <c r="B946" s="11">
        <v>1</v>
      </c>
      <c r="C946" s="11" t="s">
        <v>230</v>
      </c>
      <c r="D946" s="11">
        <f t="shared" si="28"/>
        <v>1</v>
      </c>
      <c r="E946">
        <f t="shared" si="29"/>
        <v>676001</v>
      </c>
      <c r="F946" s="11">
        <v>401</v>
      </c>
      <c r="G946" s="11" t="s">
        <v>29</v>
      </c>
      <c r="H946" s="3">
        <v>27514.18</v>
      </c>
      <c r="K946" s="11"/>
      <c r="L946" s="11"/>
      <c r="M946" s="11"/>
      <c r="N946" s="11"/>
      <c r="P946" s="11"/>
      <c r="Q946" s="11"/>
      <c r="R946" s="3"/>
    </row>
    <row r="947" spans="1:18" x14ac:dyDescent="0.2">
      <c r="A947" s="11">
        <v>676</v>
      </c>
      <c r="B947" s="11">
        <v>1</v>
      </c>
      <c r="C947" s="11" t="s">
        <v>230</v>
      </c>
      <c r="D947" s="11">
        <f t="shared" si="28"/>
        <v>2</v>
      </c>
      <c r="E947">
        <f t="shared" si="29"/>
        <v>676002</v>
      </c>
      <c r="F947" s="11">
        <v>414</v>
      </c>
      <c r="G947" s="11" t="s">
        <v>9</v>
      </c>
      <c r="H947" s="3">
        <v>11744.31</v>
      </c>
      <c r="K947" s="11"/>
      <c r="L947" s="11"/>
      <c r="M947" s="11"/>
      <c r="N947" s="11"/>
      <c r="P947" s="11"/>
      <c r="Q947" s="11"/>
      <c r="R947" s="3"/>
    </row>
    <row r="948" spans="1:18" x14ac:dyDescent="0.2">
      <c r="A948" s="11">
        <v>676</v>
      </c>
      <c r="B948" s="11">
        <v>1</v>
      </c>
      <c r="C948" s="11" t="s">
        <v>230</v>
      </c>
      <c r="D948" s="11">
        <f t="shared" si="28"/>
        <v>3</v>
      </c>
      <c r="E948">
        <f t="shared" si="29"/>
        <v>676003</v>
      </c>
      <c r="F948" s="11">
        <v>433</v>
      </c>
      <c r="G948" s="11" t="s">
        <v>30</v>
      </c>
      <c r="H948" s="3">
        <v>659.92</v>
      </c>
      <c r="K948" s="11"/>
      <c r="L948" s="11"/>
      <c r="M948" s="11"/>
      <c r="N948" s="11"/>
      <c r="P948" s="11"/>
      <c r="Q948" s="11"/>
      <c r="R948" s="3"/>
    </row>
    <row r="949" spans="1:18" x14ac:dyDescent="0.2">
      <c r="A949" s="11">
        <v>676</v>
      </c>
      <c r="B949" s="11">
        <v>1</v>
      </c>
      <c r="C949" s="11" t="s">
        <v>230</v>
      </c>
      <c r="D949" s="11">
        <f t="shared" si="28"/>
        <v>4</v>
      </c>
      <c r="E949">
        <f t="shared" si="29"/>
        <v>676004</v>
      </c>
      <c r="F949" s="11">
        <v>470</v>
      </c>
      <c r="G949" s="11" t="s">
        <v>6</v>
      </c>
      <c r="H949" s="3">
        <v>17889.18</v>
      </c>
      <c r="K949" s="11"/>
      <c r="L949" s="11"/>
      <c r="M949" s="11"/>
      <c r="N949" s="11"/>
      <c r="P949" s="11"/>
      <c r="Q949" s="11"/>
      <c r="R949" s="3"/>
    </row>
    <row r="950" spans="1:18" x14ac:dyDescent="0.2">
      <c r="A950" s="11">
        <v>682</v>
      </c>
      <c r="B950" s="11">
        <v>1</v>
      </c>
      <c r="C950" s="11" t="s">
        <v>231</v>
      </c>
      <c r="D950" s="11">
        <f t="shared" si="28"/>
        <v>1</v>
      </c>
      <c r="E950">
        <f t="shared" si="29"/>
        <v>682001</v>
      </c>
      <c r="F950" s="11">
        <v>151</v>
      </c>
      <c r="G950" s="11" t="s">
        <v>28</v>
      </c>
      <c r="H950" s="3">
        <v>513473.7</v>
      </c>
      <c r="K950" s="11"/>
      <c r="L950" s="11"/>
      <c r="M950" s="11"/>
      <c r="N950" s="11"/>
      <c r="P950" s="11"/>
      <c r="Q950" s="11"/>
      <c r="R950" s="3"/>
    </row>
    <row r="951" spans="1:18" x14ac:dyDescent="0.2">
      <c r="A951" s="11">
        <v>682</v>
      </c>
      <c r="B951" s="11">
        <v>1</v>
      </c>
      <c r="C951" s="11" t="s">
        <v>231</v>
      </c>
      <c r="D951" s="11">
        <f t="shared" si="28"/>
        <v>2</v>
      </c>
      <c r="E951">
        <f t="shared" si="29"/>
        <v>682002</v>
      </c>
      <c r="F951" s="11">
        <v>401</v>
      </c>
      <c r="G951" s="11" t="s">
        <v>29</v>
      </c>
      <c r="H951" s="3">
        <v>84535.03</v>
      </c>
      <c r="K951" s="11"/>
      <c r="L951" s="11"/>
      <c r="M951" s="11"/>
      <c r="N951" s="11"/>
      <c r="P951" s="11"/>
      <c r="Q951" s="11"/>
      <c r="R951" s="3"/>
    </row>
    <row r="952" spans="1:18" x14ac:dyDescent="0.2">
      <c r="A952" s="11">
        <v>682</v>
      </c>
      <c r="B952" s="11">
        <v>1</v>
      </c>
      <c r="C952" s="11" t="s">
        <v>231</v>
      </c>
      <c r="D952" s="11">
        <f t="shared" si="28"/>
        <v>3</v>
      </c>
      <c r="E952">
        <f t="shared" si="29"/>
        <v>682003</v>
      </c>
      <c r="F952" s="11">
        <v>414</v>
      </c>
      <c r="G952" s="11" t="s">
        <v>9</v>
      </c>
      <c r="H952" s="3">
        <v>38258.080000000002</v>
      </c>
      <c r="K952" s="11"/>
      <c r="L952" s="11"/>
      <c r="M952" s="11"/>
      <c r="N952" s="11"/>
      <c r="P952" s="11"/>
      <c r="Q952" s="11"/>
      <c r="R952" s="3"/>
    </row>
    <row r="953" spans="1:18" x14ac:dyDescent="0.2">
      <c r="A953" s="11">
        <v>682</v>
      </c>
      <c r="B953" s="11">
        <v>1</v>
      </c>
      <c r="C953" s="11" t="s">
        <v>231</v>
      </c>
      <c r="D953" s="11">
        <f t="shared" si="28"/>
        <v>4</v>
      </c>
      <c r="E953">
        <f t="shared" si="29"/>
        <v>682004</v>
      </c>
      <c r="F953" s="11">
        <v>433</v>
      </c>
      <c r="G953" s="11" t="s">
        <v>30</v>
      </c>
      <c r="H953" s="3">
        <v>2778.87</v>
      </c>
      <c r="K953" s="11"/>
      <c r="L953" s="11"/>
      <c r="M953" s="11"/>
      <c r="N953" s="11"/>
      <c r="P953" s="11"/>
      <c r="Q953" s="11"/>
      <c r="R953" s="3"/>
    </row>
    <row r="954" spans="1:18" x14ac:dyDescent="0.2">
      <c r="A954" s="11">
        <v>682</v>
      </c>
      <c r="B954" s="11">
        <v>1</v>
      </c>
      <c r="C954" s="11" t="s">
        <v>231</v>
      </c>
      <c r="D954" s="11">
        <f t="shared" si="28"/>
        <v>5</v>
      </c>
      <c r="E954">
        <f t="shared" si="29"/>
        <v>682005</v>
      </c>
      <c r="F954" s="11">
        <v>470</v>
      </c>
      <c r="G954" s="11" t="s">
        <v>6</v>
      </c>
      <c r="H954" s="3">
        <v>51200.07</v>
      </c>
      <c r="K954" s="11"/>
      <c r="L954" s="11"/>
      <c r="M954" s="11"/>
      <c r="N954" s="11"/>
      <c r="P954" s="11"/>
      <c r="Q954" s="11"/>
      <c r="R954" s="3"/>
    </row>
    <row r="955" spans="1:18" x14ac:dyDescent="0.2">
      <c r="A955" s="11">
        <v>682</v>
      </c>
      <c r="B955" s="11">
        <v>1</v>
      </c>
      <c r="C955" s="11" t="s">
        <v>231</v>
      </c>
      <c r="D955" s="11">
        <f t="shared" si="28"/>
        <v>6</v>
      </c>
      <c r="E955">
        <f t="shared" si="29"/>
        <v>682006</v>
      </c>
      <c r="F955" s="11">
        <v>484</v>
      </c>
      <c r="G955" s="11" t="s">
        <v>20</v>
      </c>
      <c r="H955" s="3">
        <v>10383.57</v>
      </c>
      <c r="K955" s="11"/>
      <c r="L955" s="11"/>
      <c r="M955" s="11"/>
      <c r="N955" s="11"/>
      <c r="P955" s="11"/>
      <c r="Q955" s="11"/>
      <c r="R955" s="3"/>
    </row>
    <row r="956" spans="1:18" x14ac:dyDescent="0.2">
      <c r="A956" s="11">
        <v>682</v>
      </c>
      <c r="B956" s="11">
        <v>1</v>
      </c>
      <c r="C956" s="11" t="s">
        <v>231</v>
      </c>
      <c r="D956" s="11">
        <f t="shared" si="28"/>
        <v>7</v>
      </c>
      <c r="E956">
        <f t="shared" si="29"/>
        <v>682007</v>
      </c>
      <c r="F956" s="11">
        <v>486</v>
      </c>
      <c r="G956" s="11" t="s">
        <v>21</v>
      </c>
      <c r="H956" s="3">
        <v>4767.46</v>
      </c>
      <c r="K956" s="11"/>
      <c r="L956" s="11"/>
      <c r="M956" s="11"/>
      <c r="N956" s="11"/>
      <c r="P956" s="11"/>
      <c r="Q956" s="11"/>
      <c r="R956" s="3"/>
    </row>
    <row r="957" spans="1:18" x14ac:dyDescent="0.2">
      <c r="A957" s="11">
        <v>690</v>
      </c>
      <c r="B957" s="11">
        <v>1</v>
      </c>
      <c r="C957" s="11" t="s">
        <v>232</v>
      </c>
      <c r="D957" s="11">
        <f t="shared" si="28"/>
        <v>1</v>
      </c>
      <c r="E957">
        <f t="shared" si="29"/>
        <v>690001</v>
      </c>
      <c r="F957" s="11">
        <v>151</v>
      </c>
      <c r="G957" s="11" t="s">
        <v>28</v>
      </c>
      <c r="H957" s="3">
        <v>486182.31</v>
      </c>
      <c r="K957" s="11"/>
      <c r="L957" s="11"/>
      <c r="M957" s="11"/>
      <c r="N957" s="11"/>
      <c r="P957" s="11"/>
      <c r="Q957" s="11"/>
      <c r="R957" s="3"/>
    </row>
    <row r="958" spans="1:18" x14ac:dyDescent="0.2">
      <c r="A958" s="11">
        <v>690</v>
      </c>
      <c r="B958" s="11">
        <v>1</v>
      </c>
      <c r="C958" s="11" t="s">
        <v>232</v>
      </c>
      <c r="D958" s="11">
        <f t="shared" si="28"/>
        <v>2</v>
      </c>
      <c r="E958">
        <f t="shared" si="29"/>
        <v>690002</v>
      </c>
      <c r="F958" s="11">
        <v>401</v>
      </c>
      <c r="G958" s="11" t="s">
        <v>29</v>
      </c>
      <c r="H958" s="3">
        <v>105812.57</v>
      </c>
      <c r="K958" s="11"/>
      <c r="L958" s="11"/>
      <c r="M958" s="11"/>
      <c r="N958" s="11"/>
      <c r="P958" s="11"/>
      <c r="Q958" s="11"/>
      <c r="R958" s="3"/>
    </row>
    <row r="959" spans="1:18" x14ac:dyDescent="0.2">
      <c r="A959" s="11">
        <v>690</v>
      </c>
      <c r="B959" s="11">
        <v>1</v>
      </c>
      <c r="C959" s="11" t="s">
        <v>232</v>
      </c>
      <c r="D959" s="11">
        <f t="shared" si="28"/>
        <v>3</v>
      </c>
      <c r="E959">
        <f t="shared" si="29"/>
        <v>690003</v>
      </c>
      <c r="F959" s="11">
        <v>414</v>
      </c>
      <c r="G959" s="11" t="s">
        <v>9</v>
      </c>
      <c r="H959" s="3">
        <v>45295.98</v>
      </c>
      <c r="K959" s="11"/>
      <c r="L959" s="11"/>
      <c r="M959" s="11"/>
      <c r="N959" s="11"/>
      <c r="P959" s="11"/>
      <c r="Q959" s="11"/>
      <c r="R959" s="3"/>
    </row>
    <row r="960" spans="1:18" x14ac:dyDescent="0.2">
      <c r="A960" s="11">
        <v>690</v>
      </c>
      <c r="B960" s="11">
        <v>1</v>
      </c>
      <c r="C960" s="11" t="s">
        <v>232</v>
      </c>
      <c r="D960" s="11">
        <f t="shared" si="28"/>
        <v>4</v>
      </c>
      <c r="E960">
        <f t="shared" si="29"/>
        <v>690004</v>
      </c>
      <c r="F960" s="11">
        <v>419</v>
      </c>
      <c r="G960" s="11" t="s">
        <v>10</v>
      </c>
      <c r="H960" s="3">
        <v>254392.21</v>
      </c>
      <c r="K960" s="11"/>
      <c r="L960" s="11"/>
      <c r="M960" s="11"/>
      <c r="N960" s="11"/>
      <c r="P960" s="11"/>
      <c r="Q960" s="11"/>
      <c r="R960" s="3"/>
    </row>
    <row r="961" spans="1:18" x14ac:dyDescent="0.2">
      <c r="A961" s="11">
        <v>690</v>
      </c>
      <c r="B961" s="11">
        <v>1</v>
      </c>
      <c r="C961" s="11" t="s">
        <v>232</v>
      </c>
      <c r="D961" s="11">
        <f t="shared" si="28"/>
        <v>5</v>
      </c>
      <c r="E961">
        <f t="shared" si="29"/>
        <v>690005</v>
      </c>
      <c r="F961" s="11">
        <v>420</v>
      </c>
      <c r="G961" s="11" t="s">
        <v>11</v>
      </c>
      <c r="H961" s="3">
        <v>11632.25</v>
      </c>
      <c r="K961" s="11"/>
      <c r="L961" s="11"/>
      <c r="M961" s="11"/>
      <c r="N961" s="11"/>
      <c r="P961" s="11"/>
      <c r="Q961" s="11"/>
      <c r="R961" s="3"/>
    </row>
    <row r="962" spans="1:18" x14ac:dyDescent="0.2">
      <c r="A962" s="11">
        <v>690</v>
      </c>
      <c r="B962" s="11">
        <v>1</v>
      </c>
      <c r="C962" s="11" t="s">
        <v>232</v>
      </c>
      <c r="D962" s="11">
        <f t="shared" si="28"/>
        <v>6</v>
      </c>
      <c r="E962">
        <f t="shared" si="29"/>
        <v>690006</v>
      </c>
      <c r="F962" s="11">
        <v>433</v>
      </c>
      <c r="G962" s="11" t="s">
        <v>30</v>
      </c>
      <c r="H962" s="3">
        <v>2899.6</v>
      </c>
      <c r="K962" s="11"/>
      <c r="L962" s="11"/>
      <c r="M962" s="11"/>
      <c r="N962" s="11"/>
      <c r="P962" s="11"/>
      <c r="Q962" s="11"/>
      <c r="R962" s="3"/>
    </row>
    <row r="963" spans="1:18" x14ac:dyDescent="0.2">
      <c r="A963" s="11">
        <v>690</v>
      </c>
      <c r="B963" s="11">
        <v>1</v>
      </c>
      <c r="C963" s="11" t="s">
        <v>232</v>
      </c>
      <c r="D963" s="11">
        <f t="shared" si="28"/>
        <v>7</v>
      </c>
      <c r="E963">
        <f t="shared" si="29"/>
        <v>690007</v>
      </c>
      <c r="F963" s="11">
        <v>435</v>
      </c>
      <c r="G963" s="11" t="s">
        <v>35</v>
      </c>
      <c r="H963" s="3">
        <v>5000</v>
      </c>
      <c r="K963" s="11"/>
      <c r="L963" s="11"/>
      <c r="M963" s="11"/>
      <c r="N963" s="11"/>
      <c r="P963" s="11"/>
      <c r="Q963" s="11"/>
      <c r="R963" s="3"/>
    </row>
    <row r="964" spans="1:18" x14ac:dyDescent="0.2">
      <c r="A964" s="11">
        <v>690</v>
      </c>
      <c r="B964" s="11">
        <v>1</v>
      </c>
      <c r="C964" s="11" t="s">
        <v>232</v>
      </c>
      <c r="D964" s="11">
        <f t="shared" si="28"/>
        <v>8</v>
      </c>
      <c r="E964">
        <f t="shared" si="29"/>
        <v>690008</v>
      </c>
      <c r="F964" s="11">
        <v>470</v>
      </c>
      <c r="G964" s="11" t="s">
        <v>6</v>
      </c>
      <c r="H964" s="3">
        <v>64771.18</v>
      </c>
      <c r="K964" s="11"/>
      <c r="L964" s="11"/>
      <c r="M964" s="11"/>
      <c r="N964" s="11"/>
      <c r="P964" s="11"/>
      <c r="Q964" s="11"/>
      <c r="R964" s="3"/>
    </row>
    <row r="965" spans="1:18" x14ac:dyDescent="0.2">
      <c r="A965" s="11">
        <v>690</v>
      </c>
      <c r="B965" s="11">
        <v>1</v>
      </c>
      <c r="C965" s="11" t="s">
        <v>232</v>
      </c>
      <c r="D965" s="11">
        <f t="shared" si="28"/>
        <v>9</v>
      </c>
      <c r="E965">
        <f t="shared" si="29"/>
        <v>690009</v>
      </c>
      <c r="F965" s="11">
        <v>480</v>
      </c>
      <c r="G965" s="11" t="s">
        <v>19</v>
      </c>
      <c r="H965" s="3">
        <v>237257.78</v>
      </c>
      <c r="K965" s="11"/>
      <c r="L965" s="11"/>
      <c r="M965" s="11"/>
      <c r="N965" s="11"/>
      <c r="P965" s="11"/>
      <c r="Q965" s="11"/>
      <c r="R965" s="3"/>
    </row>
    <row r="966" spans="1:18" x14ac:dyDescent="0.2">
      <c r="A966" s="11">
        <v>690</v>
      </c>
      <c r="B966" s="11">
        <v>1</v>
      </c>
      <c r="C966" s="11" t="s">
        <v>232</v>
      </c>
      <c r="D966" s="11">
        <f t="shared" si="28"/>
        <v>10</v>
      </c>
      <c r="E966">
        <f t="shared" si="29"/>
        <v>690010</v>
      </c>
      <c r="F966" s="11">
        <v>484</v>
      </c>
      <c r="G966" s="11" t="s">
        <v>20</v>
      </c>
      <c r="H966" s="3">
        <v>9717.9500000000007</v>
      </c>
      <c r="K966" s="11"/>
      <c r="L966" s="11"/>
      <c r="M966" s="11"/>
      <c r="N966" s="11"/>
      <c r="P966" s="11"/>
      <c r="Q966" s="11"/>
      <c r="R966" s="3"/>
    </row>
    <row r="967" spans="1:18" x14ac:dyDescent="0.2">
      <c r="A967" s="11">
        <v>690</v>
      </c>
      <c r="B967" s="11">
        <v>1</v>
      </c>
      <c r="C967" s="11" t="s">
        <v>232</v>
      </c>
      <c r="D967" s="11">
        <f t="shared" si="28"/>
        <v>11</v>
      </c>
      <c r="E967">
        <f t="shared" si="29"/>
        <v>690011</v>
      </c>
      <c r="F967" s="11">
        <v>486</v>
      </c>
      <c r="G967" s="11" t="s">
        <v>21</v>
      </c>
      <c r="H967" s="3">
        <v>4767.46</v>
      </c>
      <c r="K967" s="11"/>
      <c r="L967" s="11"/>
      <c r="M967" s="11"/>
      <c r="N967" s="11"/>
      <c r="P967" s="11"/>
      <c r="Q967" s="11"/>
      <c r="R967" s="3"/>
    </row>
    <row r="968" spans="1:18" x14ac:dyDescent="0.2">
      <c r="A968" s="11">
        <v>695</v>
      </c>
      <c r="B968" s="11">
        <v>1</v>
      </c>
      <c r="C968" s="11" t="s">
        <v>233</v>
      </c>
      <c r="D968" s="11">
        <f t="shared" si="28"/>
        <v>1</v>
      </c>
      <c r="E968">
        <f t="shared" si="29"/>
        <v>695001</v>
      </c>
      <c r="F968" s="11">
        <v>401</v>
      </c>
      <c r="G968" s="11" t="s">
        <v>29</v>
      </c>
      <c r="H968" s="3">
        <v>203157.79</v>
      </c>
      <c r="K968" s="11"/>
      <c r="L968" s="11"/>
      <c r="M968" s="11"/>
      <c r="N968" s="11"/>
      <c r="P968" s="11"/>
      <c r="Q968" s="11"/>
      <c r="R968" s="3"/>
    </row>
    <row r="969" spans="1:18" x14ac:dyDescent="0.2">
      <c r="A969" s="11">
        <v>695</v>
      </c>
      <c r="B969" s="11">
        <v>1</v>
      </c>
      <c r="C969" s="11" t="s">
        <v>233</v>
      </c>
      <c r="D969" s="11">
        <f t="shared" si="28"/>
        <v>2</v>
      </c>
      <c r="E969">
        <f t="shared" si="29"/>
        <v>695002</v>
      </c>
      <c r="F969" s="11">
        <v>414</v>
      </c>
      <c r="G969" s="11" t="s">
        <v>9</v>
      </c>
      <c r="H969" s="3">
        <v>31665.31</v>
      </c>
      <c r="K969" s="11"/>
      <c r="L969" s="11"/>
      <c r="M969" s="11"/>
      <c r="N969" s="11"/>
      <c r="P969" s="11"/>
      <c r="Q969" s="11"/>
      <c r="R969" s="3"/>
    </row>
    <row r="970" spans="1:18" x14ac:dyDescent="0.2">
      <c r="A970" s="11">
        <v>695</v>
      </c>
      <c r="B970" s="11">
        <v>1</v>
      </c>
      <c r="C970" s="11" t="s">
        <v>233</v>
      </c>
      <c r="D970" s="11">
        <f t="shared" si="28"/>
        <v>3</v>
      </c>
      <c r="E970">
        <f t="shared" si="29"/>
        <v>695003</v>
      </c>
      <c r="F970" s="11">
        <v>433</v>
      </c>
      <c r="G970" s="11" t="s">
        <v>30</v>
      </c>
      <c r="H970" s="3">
        <v>3703.52</v>
      </c>
      <c r="K970" s="11"/>
      <c r="L970" s="11"/>
      <c r="M970" s="11"/>
      <c r="N970" s="11"/>
      <c r="P970" s="11"/>
      <c r="Q970" s="11"/>
      <c r="R970" s="3"/>
    </row>
    <row r="971" spans="1:18" x14ac:dyDescent="0.2">
      <c r="A971" s="11">
        <v>695</v>
      </c>
      <c r="B971" s="11">
        <v>1</v>
      </c>
      <c r="C971" s="11" t="s">
        <v>233</v>
      </c>
      <c r="D971" s="11">
        <f t="shared" si="28"/>
        <v>4</v>
      </c>
      <c r="E971">
        <f t="shared" si="29"/>
        <v>695004</v>
      </c>
      <c r="F971" s="11">
        <v>470</v>
      </c>
      <c r="G971" s="11" t="s">
        <v>6</v>
      </c>
      <c r="H971" s="3">
        <v>122367.76</v>
      </c>
      <c r="K971" s="11"/>
      <c r="L971" s="11"/>
      <c r="M971" s="11"/>
      <c r="N971" s="11"/>
      <c r="P971" s="11"/>
      <c r="Q971" s="11"/>
      <c r="R971" s="3"/>
    </row>
    <row r="972" spans="1:18" x14ac:dyDescent="0.2">
      <c r="A972" s="11">
        <v>696</v>
      </c>
      <c r="B972" s="11">
        <v>1</v>
      </c>
      <c r="C972" s="11" t="s">
        <v>234</v>
      </c>
      <c r="D972" s="11">
        <f t="shared" si="28"/>
        <v>1</v>
      </c>
      <c r="E972">
        <f t="shared" si="29"/>
        <v>696001</v>
      </c>
      <c r="F972" s="11">
        <v>151</v>
      </c>
      <c r="G972" s="11" t="s">
        <v>28</v>
      </c>
      <c r="H972" s="3">
        <v>228634.18</v>
      </c>
      <c r="K972" s="11"/>
      <c r="L972" s="11"/>
      <c r="M972" s="11"/>
      <c r="N972" s="11"/>
      <c r="P972" s="11"/>
      <c r="Q972" s="11"/>
      <c r="R972" s="3"/>
    </row>
    <row r="973" spans="1:18" x14ac:dyDescent="0.2">
      <c r="A973" s="11">
        <v>696</v>
      </c>
      <c r="B973" s="11">
        <v>1</v>
      </c>
      <c r="C973" s="11" t="s">
        <v>234</v>
      </c>
      <c r="D973" s="11">
        <f t="shared" si="28"/>
        <v>2</v>
      </c>
      <c r="E973">
        <f t="shared" si="29"/>
        <v>696002</v>
      </c>
      <c r="F973" s="11">
        <v>401</v>
      </c>
      <c r="G973" s="11" t="s">
        <v>29</v>
      </c>
      <c r="H973" s="3">
        <v>126552.39</v>
      </c>
      <c r="K973" s="11"/>
      <c r="L973" s="11"/>
      <c r="M973" s="11"/>
      <c r="N973" s="11"/>
      <c r="P973" s="11"/>
      <c r="Q973" s="11"/>
      <c r="R973" s="3"/>
    </row>
    <row r="974" spans="1:18" x14ac:dyDescent="0.2">
      <c r="A974" s="11">
        <v>696</v>
      </c>
      <c r="B974" s="11">
        <v>1</v>
      </c>
      <c r="C974" s="11" t="s">
        <v>234</v>
      </c>
      <c r="D974" s="11">
        <f t="shared" si="28"/>
        <v>3</v>
      </c>
      <c r="E974">
        <f t="shared" si="29"/>
        <v>696003</v>
      </c>
      <c r="F974" s="11">
        <v>414</v>
      </c>
      <c r="G974" s="11" t="s">
        <v>9</v>
      </c>
      <c r="H974" s="3">
        <v>39098.239999999998</v>
      </c>
      <c r="K974" s="11"/>
      <c r="L974" s="11"/>
      <c r="M974" s="11"/>
      <c r="N974" s="11"/>
      <c r="P974" s="11"/>
      <c r="Q974" s="11"/>
      <c r="R974" s="3"/>
    </row>
    <row r="975" spans="1:18" x14ac:dyDescent="0.2">
      <c r="A975" s="11">
        <v>696</v>
      </c>
      <c r="B975" s="11">
        <v>1</v>
      </c>
      <c r="C975" s="11" t="s">
        <v>234</v>
      </c>
      <c r="D975" s="11">
        <f t="shared" ref="D975:D1038" si="30">IF(A975=A974,D974+1,1)</f>
        <v>4</v>
      </c>
      <c r="E975">
        <f t="shared" ref="E975:E1038" si="31">1000*A975+D975</f>
        <v>696004</v>
      </c>
      <c r="F975" s="11">
        <v>433</v>
      </c>
      <c r="G975" s="11" t="s">
        <v>30</v>
      </c>
      <c r="H975" s="3">
        <v>2429.0700000000002</v>
      </c>
      <c r="K975" s="11"/>
      <c r="L975" s="11"/>
      <c r="M975" s="11"/>
      <c r="N975" s="11"/>
      <c r="P975" s="11"/>
      <c r="Q975" s="11"/>
      <c r="R975" s="3"/>
    </row>
    <row r="976" spans="1:18" x14ac:dyDescent="0.2">
      <c r="A976" s="11">
        <v>696</v>
      </c>
      <c r="B976" s="11">
        <v>1</v>
      </c>
      <c r="C976" s="11" t="s">
        <v>234</v>
      </c>
      <c r="D976" s="11">
        <f t="shared" si="30"/>
        <v>5</v>
      </c>
      <c r="E976">
        <f t="shared" si="31"/>
        <v>696005</v>
      </c>
      <c r="F976" s="11">
        <v>470</v>
      </c>
      <c r="G976" s="11" t="s">
        <v>6</v>
      </c>
      <c r="H976" s="3">
        <v>70241.69</v>
      </c>
      <c r="K976" s="11"/>
      <c r="L976" s="11"/>
      <c r="M976" s="11"/>
      <c r="N976" s="11"/>
      <c r="P976" s="11"/>
      <c r="Q976" s="11"/>
      <c r="R976" s="3"/>
    </row>
    <row r="977" spans="1:18" x14ac:dyDescent="0.2">
      <c r="A977" s="11">
        <v>698</v>
      </c>
      <c r="B977" s="11">
        <v>1</v>
      </c>
      <c r="C977" s="11" t="s">
        <v>235</v>
      </c>
      <c r="D977" s="11">
        <f t="shared" si="30"/>
        <v>1</v>
      </c>
      <c r="E977">
        <f t="shared" si="31"/>
        <v>698001</v>
      </c>
      <c r="F977" s="11">
        <v>401</v>
      </c>
      <c r="G977" s="11" t="s">
        <v>29</v>
      </c>
      <c r="H977" s="3">
        <v>72256.639999999999</v>
      </c>
      <c r="K977" s="11"/>
      <c r="L977" s="11"/>
      <c r="M977" s="11"/>
      <c r="N977" s="11"/>
      <c r="P977" s="11"/>
      <c r="Q977" s="11"/>
      <c r="R977" s="3"/>
    </row>
    <row r="978" spans="1:18" x14ac:dyDescent="0.2">
      <c r="A978" s="11">
        <v>698</v>
      </c>
      <c r="B978" s="11">
        <v>1</v>
      </c>
      <c r="C978" s="11" t="s">
        <v>235</v>
      </c>
      <c r="D978" s="11">
        <f t="shared" si="30"/>
        <v>2</v>
      </c>
      <c r="E978">
        <f t="shared" si="31"/>
        <v>698002</v>
      </c>
      <c r="F978" s="11">
        <v>414</v>
      </c>
      <c r="G978" s="11" t="s">
        <v>9</v>
      </c>
      <c r="H978" s="3">
        <v>15009.87</v>
      </c>
      <c r="K978" s="11"/>
      <c r="L978" s="11"/>
      <c r="M978" s="11"/>
      <c r="N978" s="11"/>
      <c r="P978" s="11"/>
      <c r="Q978" s="11"/>
      <c r="R978" s="3"/>
    </row>
    <row r="979" spans="1:18" x14ac:dyDescent="0.2">
      <c r="A979" s="11">
        <v>698</v>
      </c>
      <c r="B979" s="11">
        <v>1</v>
      </c>
      <c r="C979" s="11" t="s">
        <v>235</v>
      </c>
      <c r="D979" s="11">
        <f t="shared" si="30"/>
        <v>3</v>
      </c>
      <c r="E979">
        <f t="shared" si="31"/>
        <v>698003</v>
      </c>
      <c r="F979" s="11">
        <v>433</v>
      </c>
      <c r="G979" s="11" t="s">
        <v>30</v>
      </c>
      <c r="H979" s="3">
        <v>1411.74</v>
      </c>
      <c r="K979" s="11"/>
      <c r="L979" s="11"/>
      <c r="M979" s="11"/>
      <c r="N979" s="11"/>
      <c r="P979" s="11"/>
      <c r="Q979" s="11"/>
      <c r="R979" s="3"/>
    </row>
    <row r="980" spans="1:18" x14ac:dyDescent="0.2">
      <c r="A980" s="11">
        <v>698</v>
      </c>
      <c r="B980" s="11">
        <v>1</v>
      </c>
      <c r="C980" s="11" t="s">
        <v>235</v>
      </c>
      <c r="D980" s="11">
        <f t="shared" si="30"/>
        <v>4</v>
      </c>
      <c r="E980">
        <f t="shared" si="31"/>
        <v>698004</v>
      </c>
      <c r="F980" s="11">
        <v>470</v>
      </c>
      <c r="G980" s="11" t="s">
        <v>6</v>
      </c>
      <c r="H980" s="3">
        <v>47467.89</v>
      </c>
      <c r="K980" s="11"/>
      <c r="L980" s="11"/>
      <c r="M980" s="11"/>
      <c r="N980" s="11"/>
      <c r="P980" s="11"/>
      <c r="Q980" s="11"/>
      <c r="R980" s="3"/>
    </row>
    <row r="981" spans="1:18" x14ac:dyDescent="0.2">
      <c r="A981" s="11">
        <v>701</v>
      </c>
      <c r="B981" s="11">
        <v>1</v>
      </c>
      <c r="C981" s="11" t="s">
        <v>236</v>
      </c>
      <c r="D981" s="11">
        <f t="shared" si="30"/>
        <v>1</v>
      </c>
      <c r="E981">
        <f t="shared" si="31"/>
        <v>701001</v>
      </c>
      <c r="F981" s="11">
        <v>422</v>
      </c>
      <c r="G981" s="11" t="s">
        <v>12</v>
      </c>
      <c r="H981" s="3">
        <v>14372.96</v>
      </c>
      <c r="K981" s="11"/>
      <c r="L981" s="11"/>
      <c r="M981" s="11"/>
      <c r="N981" s="11"/>
      <c r="P981" s="11"/>
      <c r="Q981" s="11"/>
      <c r="R981" s="3"/>
    </row>
    <row r="982" spans="1:18" x14ac:dyDescent="0.2">
      <c r="A982" s="11">
        <v>701</v>
      </c>
      <c r="B982" s="11">
        <v>1</v>
      </c>
      <c r="C982" s="11" t="s">
        <v>236</v>
      </c>
      <c r="D982" s="11">
        <f t="shared" si="30"/>
        <v>2</v>
      </c>
      <c r="E982">
        <f t="shared" si="31"/>
        <v>701002</v>
      </c>
      <c r="F982" s="11">
        <v>435</v>
      </c>
      <c r="G982" s="11" t="s">
        <v>35</v>
      </c>
      <c r="H982" s="3">
        <v>5000</v>
      </c>
      <c r="K982" s="11"/>
      <c r="L982" s="11"/>
      <c r="M982" s="11"/>
      <c r="N982" s="11"/>
      <c r="P982" s="11"/>
      <c r="Q982" s="11"/>
      <c r="R982" s="3"/>
    </row>
    <row r="983" spans="1:18" x14ac:dyDescent="0.2">
      <c r="A983" s="11">
        <v>701</v>
      </c>
      <c r="B983" s="11">
        <v>1</v>
      </c>
      <c r="C983" s="11" t="s">
        <v>236</v>
      </c>
      <c r="D983" s="11">
        <f t="shared" si="30"/>
        <v>3</v>
      </c>
      <c r="E983">
        <f t="shared" si="31"/>
        <v>701003</v>
      </c>
      <c r="F983" s="11">
        <v>437</v>
      </c>
      <c r="G983" s="11" t="s">
        <v>14</v>
      </c>
      <c r="H983" s="3">
        <v>495</v>
      </c>
      <c r="K983" s="11"/>
      <c r="L983" s="11"/>
      <c r="M983" s="11"/>
      <c r="N983" s="11"/>
      <c r="P983" s="11"/>
      <c r="Q983" s="11"/>
      <c r="R983" s="3"/>
    </row>
    <row r="984" spans="1:18" x14ac:dyDescent="0.2">
      <c r="A984" s="11">
        <v>701</v>
      </c>
      <c r="B984" s="11">
        <v>1</v>
      </c>
      <c r="C984" s="11" t="s">
        <v>236</v>
      </c>
      <c r="D984" s="11">
        <f t="shared" si="30"/>
        <v>4</v>
      </c>
      <c r="E984">
        <f t="shared" si="31"/>
        <v>701004</v>
      </c>
      <c r="F984" s="11">
        <v>441</v>
      </c>
      <c r="G984" s="11" t="s">
        <v>16</v>
      </c>
      <c r="H984" s="3">
        <v>825</v>
      </c>
      <c r="K984" s="11"/>
      <c r="L984" s="11"/>
      <c r="M984" s="11"/>
      <c r="N984" s="11"/>
      <c r="P984" s="11"/>
      <c r="Q984" s="11"/>
      <c r="R984" s="3"/>
    </row>
    <row r="985" spans="1:18" x14ac:dyDescent="0.2">
      <c r="A985" s="11">
        <v>701</v>
      </c>
      <c r="B985" s="11">
        <v>1</v>
      </c>
      <c r="C985" s="11" t="s">
        <v>236</v>
      </c>
      <c r="D985" s="11">
        <f t="shared" si="30"/>
        <v>5</v>
      </c>
      <c r="E985">
        <f t="shared" si="31"/>
        <v>701005</v>
      </c>
      <c r="F985" s="11">
        <v>470</v>
      </c>
      <c r="G985" s="11" t="s">
        <v>6</v>
      </c>
      <c r="H985" s="3">
        <v>323618.84999999998</v>
      </c>
      <c r="K985" s="11"/>
      <c r="L985" s="11"/>
      <c r="M985" s="11"/>
      <c r="N985" s="11"/>
      <c r="P985" s="11"/>
      <c r="Q985" s="11"/>
      <c r="R985" s="3"/>
    </row>
    <row r="986" spans="1:18" x14ac:dyDescent="0.2">
      <c r="A986" s="11">
        <v>701</v>
      </c>
      <c r="B986" s="11">
        <v>1</v>
      </c>
      <c r="C986" s="11" t="s">
        <v>236</v>
      </c>
      <c r="D986" s="11">
        <f t="shared" si="30"/>
        <v>6</v>
      </c>
      <c r="E986">
        <f t="shared" si="31"/>
        <v>701006</v>
      </c>
      <c r="F986" s="11">
        <v>486</v>
      </c>
      <c r="G986" s="11" t="s">
        <v>21</v>
      </c>
      <c r="H986" s="3">
        <v>11918.64</v>
      </c>
      <c r="K986" s="11"/>
      <c r="L986" s="11"/>
      <c r="M986" s="11"/>
      <c r="N986" s="11"/>
      <c r="P986" s="11"/>
      <c r="Q986" s="11"/>
      <c r="R986" s="3"/>
    </row>
    <row r="987" spans="1:18" x14ac:dyDescent="0.2">
      <c r="A987" s="11">
        <v>704</v>
      </c>
      <c r="B987" s="11">
        <v>1</v>
      </c>
      <c r="C987" s="11" t="s">
        <v>237</v>
      </c>
      <c r="D987" s="11">
        <f t="shared" si="30"/>
        <v>1</v>
      </c>
      <c r="E987">
        <f t="shared" si="31"/>
        <v>704001</v>
      </c>
      <c r="F987" s="11">
        <v>401</v>
      </c>
      <c r="G987" s="11" t="s">
        <v>29</v>
      </c>
      <c r="H987" s="3">
        <v>139505.15</v>
      </c>
      <c r="K987" s="11"/>
      <c r="L987" s="11"/>
      <c r="M987" s="11"/>
      <c r="N987" s="11"/>
      <c r="P987" s="11"/>
      <c r="Q987" s="11"/>
      <c r="R987" s="3"/>
    </row>
    <row r="988" spans="1:18" x14ac:dyDescent="0.2">
      <c r="A988" s="11">
        <v>704</v>
      </c>
      <c r="B988" s="11">
        <v>1</v>
      </c>
      <c r="C988" s="11" t="s">
        <v>237</v>
      </c>
      <c r="D988" s="11">
        <f t="shared" si="30"/>
        <v>2</v>
      </c>
      <c r="E988">
        <f t="shared" si="31"/>
        <v>704002</v>
      </c>
      <c r="F988" s="11">
        <v>414</v>
      </c>
      <c r="G988" s="11" t="s">
        <v>9</v>
      </c>
      <c r="H988" s="3">
        <v>64331.85</v>
      </c>
      <c r="K988" s="11"/>
      <c r="L988" s="11"/>
      <c r="M988" s="11"/>
      <c r="N988" s="11"/>
      <c r="P988" s="11"/>
      <c r="Q988" s="11"/>
      <c r="R988" s="3"/>
    </row>
    <row r="989" spans="1:18" x14ac:dyDescent="0.2">
      <c r="A989" s="11">
        <v>704</v>
      </c>
      <c r="B989" s="11">
        <v>1</v>
      </c>
      <c r="C989" s="11" t="s">
        <v>237</v>
      </c>
      <c r="D989" s="11">
        <f t="shared" si="30"/>
        <v>3</v>
      </c>
      <c r="E989">
        <f t="shared" si="31"/>
        <v>704003</v>
      </c>
      <c r="F989" s="11">
        <v>433</v>
      </c>
      <c r="G989" s="11" t="s">
        <v>30</v>
      </c>
      <c r="H989" s="3">
        <v>4229.4399999999996</v>
      </c>
      <c r="K989" s="11"/>
      <c r="L989" s="11"/>
      <c r="M989" s="11"/>
      <c r="N989" s="11"/>
      <c r="P989" s="11"/>
      <c r="Q989" s="11"/>
      <c r="R989" s="3"/>
    </row>
    <row r="990" spans="1:18" x14ac:dyDescent="0.2">
      <c r="A990" s="11">
        <v>704</v>
      </c>
      <c r="B990" s="11">
        <v>1</v>
      </c>
      <c r="C990" s="11" t="s">
        <v>237</v>
      </c>
      <c r="D990" s="11">
        <f t="shared" si="30"/>
        <v>4</v>
      </c>
      <c r="E990">
        <f t="shared" si="31"/>
        <v>704004</v>
      </c>
      <c r="F990" s="11">
        <v>470</v>
      </c>
      <c r="G990" s="11" t="s">
        <v>6</v>
      </c>
      <c r="H990" s="3">
        <v>86361.58</v>
      </c>
      <c r="K990" s="11"/>
      <c r="L990" s="11"/>
      <c r="M990" s="11"/>
      <c r="N990" s="11"/>
      <c r="P990" s="11"/>
      <c r="Q990" s="11"/>
      <c r="R990" s="3"/>
    </row>
    <row r="991" spans="1:18" x14ac:dyDescent="0.2">
      <c r="A991" s="11">
        <v>706</v>
      </c>
      <c r="B991" s="11">
        <v>1</v>
      </c>
      <c r="C991" s="11" t="s">
        <v>238</v>
      </c>
      <c r="D991" s="11">
        <f t="shared" si="30"/>
        <v>1</v>
      </c>
      <c r="E991">
        <f t="shared" si="31"/>
        <v>706001</v>
      </c>
      <c r="F991" s="11">
        <v>151</v>
      </c>
      <c r="G991" s="11" t="s">
        <v>28</v>
      </c>
      <c r="H991" s="3">
        <v>633670.03</v>
      </c>
      <c r="K991" s="11"/>
      <c r="L991" s="11"/>
      <c r="M991" s="11"/>
      <c r="N991" s="11"/>
      <c r="P991" s="11"/>
      <c r="Q991" s="11"/>
      <c r="R991" s="3"/>
    </row>
    <row r="992" spans="1:18" x14ac:dyDescent="0.2">
      <c r="A992" s="11">
        <v>706</v>
      </c>
      <c r="B992" s="11">
        <v>1</v>
      </c>
      <c r="C992" s="11" t="s">
        <v>238</v>
      </c>
      <c r="D992" s="11">
        <f t="shared" si="30"/>
        <v>2</v>
      </c>
      <c r="E992">
        <f t="shared" si="31"/>
        <v>706002</v>
      </c>
      <c r="F992" s="11">
        <v>401</v>
      </c>
      <c r="G992" s="11" t="s">
        <v>29</v>
      </c>
      <c r="H992" s="3">
        <v>293417.74</v>
      </c>
      <c r="K992" s="11"/>
      <c r="L992" s="11"/>
      <c r="M992" s="11"/>
      <c r="N992" s="11"/>
      <c r="P992" s="11"/>
      <c r="Q992" s="11"/>
      <c r="R992" s="3"/>
    </row>
    <row r="993" spans="1:18" x14ac:dyDescent="0.2">
      <c r="A993" s="11">
        <v>706</v>
      </c>
      <c r="B993" s="11">
        <v>1</v>
      </c>
      <c r="C993" s="11" t="s">
        <v>238</v>
      </c>
      <c r="D993" s="11">
        <f t="shared" si="30"/>
        <v>3</v>
      </c>
      <c r="E993">
        <f t="shared" si="31"/>
        <v>706003</v>
      </c>
      <c r="F993" s="11">
        <v>414</v>
      </c>
      <c r="G993" s="11" t="s">
        <v>9</v>
      </c>
      <c r="H993" s="3">
        <v>79210.52</v>
      </c>
      <c r="K993" s="11"/>
      <c r="L993" s="11"/>
      <c r="M993" s="11"/>
      <c r="N993" s="11"/>
      <c r="P993" s="11"/>
      <c r="Q993" s="11"/>
      <c r="R993" s="3"/>
    </row>
    <row r="994" spans="1:18" x14ac:dyDescent="0.2">
      <c r="A994" s="11">
        <v>706</v>
      </c>
      <c r="B994" s="11">
        <v>1</v>
      </c>
      <c r="C994" s="11" t="s">
        <v>238</v>
      </c>
      <c r="D994" s="11">
        <f t="shared" si="30"/>
        <v>4</v>
      </c>
      <c r="E994">
        <f t="shared" si="31"/>
        <v>706004</v>
      </c>
      <c r="F994" s="11">
        <v>433</v>
      </c>
      <c r="G994" s="11" t="s">
        <v>30</v>
      </c>
      <c r="H994" s="3">
        <v>6001.41</v>
      </c>
      <c r="K994" s="11"/>
      <c r="L994" s="11"/>
      <c r="M994" s="11"/>
      <c r="N994" s="11"/>
      <c r="P994" s="11"/>
      <c r="Q994" s="11"/>
      <c r="R994" s="3"/>
    </row>
    <row r="995" spans="1:18" x14ac:dyDescent="0.2">
      <c r="A995" s="11">
        <v>706</v>
      </c>
      <c r="B995" s="11">
        <v>1</v>
      </c>
      <c r="C995" s="11" t="s">
        <v>238</v>
      </c>
      <c r="D995" s="11">
        <f t="shared" si="30"/>
        <v>5</v>
      </c>
      <c r="E995">
        <f t="shared" si="31"/>
        <v>706005</v>
      </c>
      <c r="F995" s="11">
        <v>470</v>
      </c>
      <c r="G995" s="11" t="s">
        <v>6</v>
      </c>
      <c r="H995" s="3">
        <v>162215.26</v>
      </c>
      <c r="K995" s="11"/>
      <c r="L995" s="11"/>
      <c r="M995" s="11"/>
      <c r="N995" s="11"/>
      <c r="P995" s="11"/>
      <c r="Q995" s="11"/>
      <c r="R995" s="3"/>
    </row>
    <row r="996" spans="1:18" x14ac:dyDescent="0.2">
      <c r="A996" s="11">
        <v>707</v>
      </c>
      <c r="B996" s="11">
        <v>1</v>
      </c>
      <c r="C996" s="11" t="s">
        <v>239</v>
      </c>
      <c r="D996" s="11">
        <f t="shared" si="30"/>
        <v>1</v>
      </c>
      <c r="E996">
        <f t="shared" si="31"/>
        <v>707001</v>
      </c>
      <c r="F996" s="11">
        <v>433</v>
      </c>
      <c r="G996" s="11" t="s">
        <v>30</v>
      </c>
      <c r="H996" s="3">
        <v>692.65</v>
      </c>
      <c r="K996" s="11"/>
      <c r="L996" s="11"/>
      <c r="M996" s="11"/>
      <c r="N996" s="11"/>
      <c r="P996" s="11"/>
      <c r="Q996" s="11"/>
      <c r="R996" s="3"/>
    </row>
    <row r="997" spans="1:18" x14ac:dyDescent="0.2">
      <c r="A997" s="11">
        <v>709</v>
      </c>
      <c r="B997" s="11">
        <v>1</v>
      </c>
      <c r="C997" s="11" t="s">
        <v>240</v>
      </c>
      <c r="D997" s="11">
        <f t="shared" si="30"/>
        <v>1</v>
      </c>
      <c r="E997">
        <f t="shared" si="31"/>
        <v>709001</v>
      </c>
      <c r="F997" s="11">
        <v>433</v>
      </c>
      <c r="G997" s="11" t="s">
        <v>30</v>
      </c>
      <c r="H997" s="3">
        <v>55991.48</v>
      </c>
      <c r="K997" s="11"/>
      <c r="L997" s="11"/>
      <c r="M997" s="11"/>
      <c r="N997" s="11"/>
      <c r="P997" s="11"/>
      <c r="Q997" s="11"/>
      <c r="R997" s="3"/>
    </row>
    <row r="998" spans="1:18" x14ac:dyDescent="0.2">
      <c r="A998" s="11">
        <v>709</v>
      </c>
      <c r="B998" s="11">
        <v>1</v>
      </c>
      <c r="C998" s="11" t="s">
        <v>240</v>
      </c>
      <c r="D998" s="11">
        <f t="shared" si="30"/>
        <v>2</v>
      </c>
      <c r="E998">
        <f t="shared" si="31"/>
        <v>709002</v>
      </c>
      <c r="F998" s="11">
        <v>441</v>
      </c>
      <c r="G998" s="11" t="s">
        <v>16</v>
      </c>
      <c r="H998" s="3">
        <v>5175</v>
      </c>
      <c r="K998" s="11"/>
      <c r="L998" s="11"/>
      <c r="M998" s="11"/>
      <c r="N998" s="11"/>
      <c r="P998" s="11"/>
      <c r="Q998" s="11"/>
      <c r="R998" s="3"/>
    </row>
    <row r="999" spans="1:18" x14ac:dyDescent="0.2">
      <c r="A999" s="11">
        <v>709</v>
      </c>
      <c r="B999" s="11">
        <v>1</v>
      </c>
      <c r="C999" s="11" t="s">
        <v>240</v>
      </c>
      <c r="D999" s="11">
        <f t="shared" si="30"/>
        <v>3</v>
      </c>
      <c r="E999">
        <f t="shared" si="31"/>
        <v>709003</v>
      </c>
      <c r="F999" s="11">
        <v>478</v>
      </c>
      <c r="G999" s="11" t="s">
        <v>18</v>
      </c>
      <c r="H999" s="3">
        <v>65025</v>
      </c>
      <c r="K999" s="11"/>
      <c r="L999" s="11"/>
      <c r="M999" s="11"/>
      <c r="N999" s="11"/>
      <c r="P999" s="11"/>
      <c r="Q999" s="11"/>
      <c r="R999" s="3"/>
    </row>
    <row r="1000" spans="1:18" x14ac:dyDescent="0.2">
      <c r="A1000" s="11">
        <v>712</v>
      </c>
      <c r="B1000" s="11">
        <v>1</v>
      </c>
      <c r="C1000" s="11" t="s">
        <v>241</v>
      </c>
      <c r="D1000" s="11">
        <f t="shared" si="30"/>
        <v>1</v>
      </c>
      <c r="E1000">
        <f t="shared" si="31"/>
        <v>712001</v>
      </c>
      <c r="F1000" s="11">
        <v>433</v>
      </c>
      <c r="G1000" s="11" t="s">
        <v>30</v>
      </c>
      <c r="H1000" s="3">
        <v>3938.48</v>
      </c>
      <c r="K1000" s="11"/>
      <c r="L1000" s="11"/>
      <c r="M1000" s="11"/>
      <c r="N1000" s="11"/>
      <c r="P1000" s="11"/>
      <c r="Q1000" s="11"/>
      <c r="R1000" s="3"/>
    </row>
    <row r="1001" spans="1:18" x14ac:dyDescent="0.2">
      <c r="A1001" s="11">
        <v>716</v>
      </c>
      <c r="B1001" s="11">
        <v>1</v>
      </c>
      <c r="C1001" s="11" t="s">
        <v>242</v>
      </c>
      <c r="D1001" s="11">
        <f t="shared" si="30"/>
        <v>1</v>
      </c>
      <c r="E1001">
        <f t="shared" si="31"/>
        <v>716001</v>
      </c>
      <c r="F1001" s="11">
        <v>401</v>
      </c>
      <c r="G1001" s="11" t="s">
        <v>29</v>
      </c>
      <c r="H1001" s="3">
        <v>113372.09</v>
      </c>
      <c r="K1001" s="11"/>
      <c r="L1001" s="11"/>
      <c r="M1001" s="11"/>
      <c r="N1001" s="11"/>
      <c r="P1001" s="11"/>
      <c r="Q1001" s="11"/>
      <c r="R1001" s="3"/>
    </row>
    <row r="1002" spans="1:18" x14ac:dyDescent="0.2">
      <c r="A1002" s="11">
        <v>716</v>
      </c>
      <c r="B1002" s="11">
        <v>1</v>
      </c>
      <c r="C1002" s="11" t="s">
        <v>242</v>
      </c>
      <c r="D1002" s="11">
        <f t="shared" si="30"/>
        <v>2</v>
      </c>
      <c r="E1002">
        <f t="shared" si="31"/>
        <v>716002</v>
      </c>
      <c r="F1002" s="11">
        <v>414</v>
      </c>
      <c r="G1002" s="11" t="s">
        <v>9</v>
      </c>
      <c r="H1002" s="3">
        <v>40159.089999999997</v>
      </c>
      <c r="K1002" s="11"/>
      <c r="L1002" s="11"/>
      <c r="M1002" s="11"/>
      <c r="N1002" s="11"/>
      <c r="P1002" s="11"/>
      <c r="Q1002" s="11"/>
      <c r="R1002" s="3"/>
    </row>
    <row r="1003" spans="1:18" x14ac:dyDescent="0.2">
      <c r="A1003" s="11">
        <v>716</v>
      </c>
      <c r="B1003" s="11">
        <v>1</v>
      </c>
      <c r="C1003" s="11" t="s">
        <v>242</v>
      </c>
      <c r="D1003" s="11">
        <f t="shared" si="30"/>
        <v>3</v>
      </c>
      <c r="E1003">
        <f t="shared" si="31"/>
        <v>716003</v>
      </c>
      <c r="F1003" s="11">
        <v>419</v>
      </c>
      <c r="G1003" s="11" t="s">
        <v>10</v>
      </c>
      <c r="H1003" s="3">
        <v>176558.58</v>
      </c>
      <c r="K1003" s="11"/>
      <c r="L1003" s="11"/>
      <c r="M1003" s="11"/>
      <c r="N1003" s="11"/>
      <c r="P1003" s="11"/>
      <c r="Q1003" s="11"/>
      <c r="R1003" s="3"/>
    </row>
    <row r="1004" spans="1:18" x14ac:dyDescent="0.2">
      <c r="A1004" s="11">
        <v>716</v>
      </c>
      <c r="B1004" s="11">
        <v>1</v>
      </c>
      <c r="C1004" s="11" t="s">
        <v>242</v>
      </c>
      <c r="D1004" s="11">
        <f t="shared" si="30"/>
        <v>4</v>
      </c>
      <c r="E1004">
        <f t="shared" si="31"/>
        <v>716004</v>
      </c>
      <c r="F1004" s="11">
        <v>420</v>
      </c>
      <c r="G1004" s="11" t="s">
        <v>11</v>
      </c>
      <c r="H1004" s="3">
        <v>5104.7700000000004</v>
      </c>
      <c r="K1004" s="11"/>
      <c r="L1004" s="11"/>
      <c r="M1004" s="11"/>
      <c r="N1004" s="11"/>
      <c r="P1004" s="11"/>
      <c r="Q1004" s="11"/>
      <c r="R1004" s="3"/>
    </row>
    <row r="1005" spans="1:18" x14ac:dyDescent="0.2">
      <c r="A1005" s="11">
        <v>716</v>
      </c>
      <c r="B1005" s="11">
        <v>1</v>
      </c>
      <c r="C1005" s="11" t="s">
        <v>242</v>
      </c>
      <c r="D1005" s="11">
        <f t="shared" si="30"/>
        <v>5</v>
      </c>
      <c r="E1005">
        <f t="shared" si="31"/>
        <v>716005</v>
      </c>
      <c r="F1005" s="11">
        <v>433</v>
      </c>
      <c r="G1005" s="11" t="s">
        <v>30</v>
      </c>
      <c r="H1005" s="3">
        <v>3561.07</v>
      </c>
      <c r="K1005" s="11"/>
      <c r="L1005" s="11"/>
      <c r="M1005" s="11"/>
      <c r="N1005" s="11"/>
      <c r="P1005" s="11"/>
      <c r="Q1005" s="11"/>
      <c r="R1005" s="3"/>
    </row>
    <row r="1006" spans="1:18" x14ac:dyDescent="0.2">
      <c r="A1006" s="11">
        <v>716</v>
      </c>
      <c r="B1006" s="11">
        <v>1</v>
      </c>
      <c r="C1006" s="11" t="s">
        <v>242</v>
      </c>
      <c r="D1006" s="11">
        <f t="shared" si="30"/>
        <v>6</v>
      </c>
      <c r="E1006">
        <f t="shared" si="31"/>
        <v>716006</v>
      </c>
      <c r="F1006" s="11">
        <v>470</v>
      </c>
      <c r="G1006" s="11" t="s">
        <v>6</v>
      </c>
      <c r="H1006" s="3">
        <v>67855.539999999994</v>
      </c>
      <c r="K1006" s="11"/>
      <c r="L1006" s="11"/>
      <c r="M1006" s="11"/>
      <c r="N1006" s="11"/>
      <c r="P1006" s="11"/>
      <c r="Q1006" s="11"/>
      <c r="R1006" s="3"/>
    </row>
    <row r="1007" spans="1:18" x14ac:dyDescent="0.2">
      <c r="A1007" s="11">
        <v>716</v>
      </c>
      <c r="B1007" s="11">
        <v>1</v>
      </c>
      <c r="C1007" s="11" t="s">
        <v>242</v>
      </c>
      <c r="D1007" s="11">
        <f t="shared" si="30"/>
        <v>7</v>
      </c>
      <c r="E1007">
        <f t="shared" si="31"/>
        <v>716007</v>
      </c>
      <c r="F1007" s="11">
        <v>480</v>
      </c>
      <c r="G1007" s="11" t="s">
        <v>19</v>
      </c>
      <c r="H1007" s="3">
        <v>302388.58</v>
      </c>
      <c r="K1007" s="11"/>
      <c r="L1007" s="11"/>
      <c r="M1007" s="11"/>
      <c r="N1007" s="11"/>
      <c r="P1007" s="11"/>
      <c r="Q1007" s="11"/>
      <c r="R1007" s="3"/>
    </row>
    <row r="1008" spans="1:18" x14ac:dyDescent="0.2">
      <c r="A1008" s="11">
        <v>716</v>
      </c>
      <c r="B1008" s="11">
        <v>1</v>
      </c>
      <c r="C1008" s="11" t="s">
        <v>242</v>
      </c>
      <c r="D1008" s="11">
        <f t="shared" si="30"/>
        <v>8</v>
      </c>
      <c r="E1008">
        <f t="shared" si="31"/>
        <v>716008</v>
      </c>
      <c r="F1008" s="11">
        <v>484</v>
      </c>
      <c r="G1008" s="11" t="s">
        <v>20</v>
      </c>
      <c r="H1008" s="3">
        <v>12381.5</v>
      </c>
      <c r="K1008" s="11"/>
      <c r="L1008" s="11"/>
      <c r="M1008" s="11"/>
      <c r="N1008" s="11"/>
      <c r="P1008" s="11"/>
      <c r="Q1008" s="11"/>
      <c r="R1008" s="3"/>
    </row>
    <row r="1009" spans="1:18" x14ac:dyDescent="0.2">
      <c r="A1009" s="11">
        <v>716</v>
      </c>
      <c r="B1009" s="11">
        <v>1</v>
      </c>
      <c r="C1009" s="11" t="s">
        <v>242</v>
      </c>
      <c r="D1009" s="11">
        <f t="shared" si="30"/>
        <v>9</v>
      </c>
      <c r="E1009">
        <f t="shared" si="31"/>
        <v>716009</v>
      </c>
      <c r="F1009" s="11">
        <v>486</v>
      </c>
      <c r="G1009" s="11" t="s">
        <v>21</v>
      </c>
      <c r="H1009" s="3">
        <v>7151.18</v>
      </c>
      <c r="K1009" s="11"/>
      <c r="L1009" s="11"/>
      <c r="M1009" s="11"/>
      <c r="N1009" s="11"/>
      <c r="P1009" s="11"/>
      <c r="Q1009" s="11"/>
      <c r="R1009" s="3"/>
    </row>
    <row r="1010" spans="1:18" x14ac:dyDescent="0.2">
      <c r="A1010" s="11">
        <v>717</v>
      </c>
      <c r="B1010" s="11">
        <v>1</v>
      </c>
      <c r="C1010" s="11" t="s">
        <v>243</v>
      </c>
      <c r="D1010" s="11">
        <f t="shared" si="30"/>
        <v>1</v>
      </c>
      <c r="E1010">
        <f t="shared" si="31"/>
        <v>717001</v>
      </c>
      <c r="F1010" s="11">
        <v>420</v>
      </c>
      <c r="G1010" s="11" t="s">
        <v>11</v>
      </c>
      <c r="H1010" s="3">
        <v>6125.32</v>
      </c>
      <c r="K1010" s="11"/>
      <c r="L1010" s="11"/>
      <c r="M1010" s="11"/>
      <c r="N1010" s="11"/>
      <c r="P1010" s="11"/>
      <c r="Q1010" s="11"/>
      <c r="R1010" s="3"/>
    </row>
    <row r="1011" spans="1:18" x14ac:dyDescent="0.2">
      <c r="A1011" s="11">
        <v>717</v>
      </c>
      <c r="B1011" s="11">
        <v>1</v>
      </c>
      <c r="C1011" s="11" t="s">
        <v>243</v>
      </c>
      <c r="D1011" s="11">
        <f t="shared" si="30"/>
        <v>2</v>
      </c>
      <c r="E1011">
        <f t="shared" si="31"/>
        <v>717002</v>
      </c>
      <c r="F1011" s="11">
        <v>433</v>
      </c>
      <c r="G1011" s="11" t="s">
        <v>30</v>
      </c>
      <c r="H1011" s="3">
        <v>3868.27</v>
      </c>
      <c r="K1011" s="11"/>
      <c r="L1011" s="11"/>
      <c r="M1011" s="11"/>
      <c r="N1011" s="11"/>
      <c r="P1011" s="11"/>
      <c r="Q1011" s="11"/>
      <c r="R1011" s="3"/>
    </row>
    <row r="1012" spans="1:18" x14ac:dyDescent="0.2">
      <c r="A1012" s="11">
        <v>717</v>
      </c>
      <c r="B1012" s="11">
        <v>1</v>
      </c>
      <c r="C1012" s="11" t="s">
        <v>243</v>
      </c>
      <c r="D1012" s="11">
        <f t="shared" si="30"/>
        <v>3</v>
      </c>
      <c r="E1012">
        <f t="shared" si="31"/>
        <v>717003</v>
      </c>
      <c r="F1012" s="11">
        <v>437</v>
      </c>
      <c r="G1012" s="11" t="s">
        <v>14</v>
      </c>
      <c r="H1012" s="3">
        <v>465</v>
      </c>
      <c r="K1012" s="11"/>
      <c r="L1012" s="11"/>
      <c r="M1012" s="11"/>
      <c r="N1012" s="11"/>
      <c r="P1012" s="11"/>
      <c r="Q1012" s="11"/>
      <c r="R1012" s="3"/>
    </row>
    <row r="1013" spans="1:18" x14ac:dyDescent="0.2">
      <c r="A1013" s="11">
        <v>717</v>
      </c>
      <c r="B1013" s="11">
        <v>1</v>
      </c>
      <c r="C1013" s="11" t="s">
        <v>243</v>
      </c>
      <c r="D1013" s="11">
        <f t="shared" si="30"/>
        <v>4</v>
      </c>
      <c r="E1013">
        <f t="shared" si="31"/>
        <v>717004</v>
      </c>
      <c r="F1013" s="11">
        <v>480</v>
      </c>
      <c r="G1013" s="11" t="s">
        <v>19</v>
      </c>
      <c r="H1013" s="3">
        <v>361141.43</v>
      </c>
      <c r="K1013" s="11"/>
      <c r="L1013" s="11"/>
      <c r="M1013" s="11"/>
      <c r="N1013" s="11"/>
      <c r="P1013" s="11"/>
      <c r="Q1013" s="11"/>
      <c r="R1013" s="3"/>
    </row>
    <row r="1014" spans="1:18" x14ac:dyDescent="0.2">
      <c r="A1014" s="11">
        <v>717</v>
      </c>
      <c r="B1014" s="11">
        <v>1</v>
      </c>
      <c r="C1014" s="11" t="s">
        <v>243</v>
      </c>
      <c r="D1014" s="11">
        <f t="shared" si="30"/>
        <v>5</v>
      </c>
      <c r="E1014">
        <f t="shared" si="31"/>
        <v>717005</v>
      </c>
      <c r="F1014" s="11">
        <v>484</v>
      </c>
      <c r="G1014" s="11" t="s">
        <v>20</v>
      </c>
      <c r="H1014" s="3">
        <v>14789.1</v>
      </c>
      <c r="K1014" s="11"/>
      <c r="L1014" s="11"/>
      <c r="M1014" s="11"/>
      <c r="N1014" s="11"/>
      <c r="P1014" s="11"/>
      <c r="Q1014" s="11"/>
      <c r="R1014" s="3"/>
    </row>
    <row r="1015" spans="1:18" x14ac:dyDescent="0.2">
      <c r="A1015" s="11">
        <v>717</v>
      </c>
      <c r="B1015" s="11">
        <v>1</v>
      </c>
      <c r="C1015" s="11" t="s">
        <v>243</v>
      </c>
      <c r="D1015" s="11">
        <f t="shared" si="30"/>
        <v>6</v>
      </c>
      <c r="E1015">
        <f t="shared" si="31"/>
        <v>717006</v>
      </c>
      <c r="F1015" s="11">
        <v>486</v>
      </c>
      <c r="G1015" s="11" t="s">
        <v>21</v>
      </c>
      <c r="H1015" s="3">
        <v>5959.32</v>
      </c>
      <c r="K1015" s="11"/>
      <c r="L1015" s="11"/>
      <c r="M1015" s="11"/>
      <c r="N1015" s="11"/>
      <c r="P1015" s="11"/>
      <c r="Q1015" s="11"/>
      <c r="R1015" s="3"/>
    </row>
    <row r="1016" spans="1:18" x14ac:dyDescent="0.2">
      <c r="A1016" s="11">
        <v>719</v>
      </c>
      <c r="B1016" s="11">
        <v>1</v>
      </c>
      <c r="C1016" s="11" t="s">
        <v>244</v>
      </c>
      <c r="D1016" s="11">
        <f t="shared" si="30"/>
        <v>1</v>
      </c>
      <c r="E1016">
        <f t="shared" si="31"/>
        <v>719001</v>
      </c>
      <c r="F1016" s="11">
        <v>417</v>
      </c>
      <c r="G1016" s="11" t="s">
        <v>34</v>
      </c>
      <c r="H1016" s="3">
        <v>21679.94</v>
      </c>
      <c r="K1016" s="11"/>
      <c r="L1016" s="11"/>
      <c r="M1016" s="11"/>
      <c r="N1016" s="11"/>
      <c r="P1016" s="11"/>
      <c r="Q1016" s="11"/>
      <c r="R1016" s="3"/>
    </row>
    <row r="1017" spans="1:18" x14ac:dyDescent="0.2">
      <c r="A1017" s="11">
        <v>719</v>
      </c>
      <c r="B1017" s="11">
        <v>1</v>
      </c>
      <c r="C1017" s="11" t="s">
        <v>244</v>
      </c>
      <c r="D1017" s="11">
        <f t="shared" si="30"/>
        <v>2</v>
      </c>
      <c r="E1017">
        <f t="shared" si="31"/>
        <v>719002</v>
      </c>
      <c r="F1017" s="11">
        <v>420</v>
      </c>
      <c r="G1017" s="11" t="s">
        <v>11</v>
      </c>
      <c r="H1017" s="3">
        <v>18866.849999999999</v>
      </c>
      <c r="K1017" s="11"/>
      <c r="L1017" s="11"/>
      <c r="M1017" s="11"/>
      <c r="N1017" s="11"/>
      <c r="P1017" s="11"/>
      <c r="Q1017" s="11"/>
      <c r="R1017" s="3"/>
    </row>
    <row r="1018" spans="1:18" x14ac:dyDescent="0.2">
      <c r="A1018" s="11">
        <v>719</v>
      </c>
      <c r="B1018" s="11">
        <v>1</v>
      </c>
      <c r="C1018" s="11" t="s">
        <v>244</v>
      </c>
      <c r="D1018" s="11">
        <f t="shared" si="30"/>
        <v>3</v>
      </c>
      <c r="E1018">
        <f t="shared" si="31"/>
        <v>719003</v>
      </c>
      <c r="F1018" s="11">
        <v>437</v>
      </c>
      <c r="G1018" s="11" t="s">
        <v>14</v>
      </c>
      <c r="H1018" s="3">
        <v>1410</v>
      </c>
      <c r="K1018" s="11"/>
      <c r="L1018" s="11"/>
      <c r="M1018" s="11"/>
      <c r="N1018" s="11"/>
      <c r="P1018" s="11"/>
      <c r="Q1018" s="11"/>
      <c r="R1018" s="3"/>
    </row>
    <row r="1019" spans="1:18" x14ac:dyDescent="0.2">
      <c r="A1019" s="11">
        <v>719</v>
      </c>
      <c r="B1019" s="11">
        <v>1</v>
      </c>
      <c r="C1019" s="11" t="s">
        <v>244</v>
      </c>
      <c r="D1019" s="11">
        <f t="shared" si="30"/>
        <v>4</v>
      </c>
      <c r="E1019">
        <f t="shared" si="31"/>
        <v>719004</v>
      </c>
      <c r="F1019" s="11">
        <v>484</v>
      </c>
      <c r="G1019" s="11" t="s">
        <v>20</v>
      </c>
      <c r="H1019" s="3">
        <v>57441.65</v>
      </c>
      <c r="K1019" s="11"/>
      <c r="L1019" s="11"/>
      <c r="M1019" s="11"/>
      <c r="N1019" s="11"/>
      <c r="P1019" s="11"/>
      <c r="Q1019" s="11"/>
      <c r="R1019" s="3"/>
    </row>
    <row r="1020" spans="1:18" x14ac:dyDescent="0.2">
      <c r="A1020" s="11">
        <v>719</v>
      </c>
      <c r="B1020" s="11">
        <v>1</v>
      </c>
      <c r="C1020" s="11" t="s">
        <v>244</v>
      </c>
      <c r="D1020" s="11">
        <f t="shared" si="30"/>
        <v>5</v>
      </c>
      <c r="E1020">
        <f t="shared" si="31"/>
        <v>719005</v>
      </c>
      <c r="F1020" s="11">
        <v>486</v>
      </c>
      <c r="G1020" s="11" t="s">
        <v>21</v>
      </c>
      <c r="H1020" s="3">
        <v>21811.11</v>
      </c>
      <c r="K1020" s="11"/>
      <c r="L1020" s="11"/>
      <c r="M1020" s="11"/>
      <c r="N1020" s="11"/>
      <c r="P1020" s="11"/>
      <c r="Q1020" s="11"/>
      <c r="R1020" s="3"/>
    </row>
    <row r="1021" spans="1:18" x14ac:dyDescent="0.2">
      <c r="A1021" s="11">
        <v>720</v>
      </c>
      <c r="B1021" s="11">
        <v>1</v>
      </c>
      <c r="C1021" s="11" t="s">
        <v>245</v>
      </c>
      <c r="D1021" s="11">
        <f t="shared" si="30"/>
        <v>1</v>
      </c>
      <c r="E1021">
        <f t="shared" si="31"/>
        <v>720001</v>
      </c>
      <c r="F1021" s="11">
        <v>401</v>
      </c>
      <c r="G1021" s="11" t="s">
        <v>29</v>
      </c>
      <c r="H1021" s="3">
        <v>316244.03000000003</v>
      </c>
      <c r="K1021" s="11"/>
      <c r="L1021" s="11"/>
      <c r="M1021" s="11"/>
      <c r="N1021" s="11"/>
      <c r="P1021" s="11"/>
      <c r="Q1021" s="11"/>
      <c r="R1021" s="3"/>
    </row>
    <row r="1022" spans="1:18" x14ac:dyDescent="0.2">
      <c r="A1022" s="11">
        <v>720</v>
      </c>
      <c r="B1022" s="11">
        <v>1</v>
      </c>
      <c r="C1022" s="11" t="s">
        <v>245</v>
      </c>
      <c r="D1022" s="11">
        <f t="shared" si="30"/>
        <v>2</v>
      </c>
      <c r="E1022">
        <f t="shared" si="31"/>
        <v>720002</v>
      </c>
      <c r="F1022" s="11">
        <v>414</v>
      </c>
      <c r="G1022" s="11" t="s">
        <v>9</v>
      </c>
      <c r="H1022" s="3">
        <v>103440.31</v>
      </c>
      <c r="K1022" s="11"/>
      <c r="L1022" s="11"/>
      <c r="M1022" s="11"/>
      <c r="N1022" s="11"/>
      <c r="P1022" s="11"/>
      <c r="Q1022" s="11"/>
      <c r="R1022" s="3"/>
    </row>
    <row r="1023" spans="1:18" x14ac:dyDescent="0.2">
      <c r="A1023" s="11">
        <v>720</v>
      </c>
      <c r="B1023" s="11">
        <v>1</v>
      </c>
      <c r="C1023" s="11" t="s">
        <v>245</v>
      </c>
      <c r="D1023" s="11">
        <f t="shared" si="30"/>
        <v>3</v>
      </c>
      <c r="E1023">
        <f t="shared" si="31"/>
        <v>720003</v>
      </c>
      <c r="F1023" s="11">
        <v>417</v>
      </c>
      <c r="G1023" s="11" t="s">
        <v>34</v>
      </c>
      <c r="H1023" s="3">
        <v>105183.43</v>
      </c>
      <c r="K1023" s="11"/>
      <c r="L1023" s="11"/>
      <c r="M1023" s="11"/>
      <c r="N1023" s="11"/>
      <c r="P1023" s="11"/>
      <c r="Q1023" s="11"/>
      <c r="R1023" s="3"/>
    </row>
    <row r="1024" spans="1:18" x14ac:dyDescent="0.2">
      <c r="A1024" s="11">
        <v>720</v>
      </c>
      <c r="B1024" s="11">
        <v>1</v>
      </c>
      <c r="C1024" s="11" t="s">
        <v>245</v>
      </c>
      <c r="D1024" s="11">
        <f t="shared" si="30"/>
        <v>4</v>
      </c>
      <c r="E1024">
        <f t="shared" si="31"/>
        <v>720004</v>
      </c>
      <c r="F1024" s="11">
        <v>419</v>
      </c>
      <c r="G1024" s="11" t="s">
        <v>10</v>
      </c>
      <c r="H1024" s="3">
        <v>1088093.81</v>
      </c>
      <c r="K1024" s="11"/>
      <c r="L1024" s="11"/>
      <c r="M1024" s="11"/>
      <c r="N1024" s="11"/>
      <c r="P1024" s="11"/>
      <c r="Q1024" s="11"/>
      <c r="R1024" s="3"/>
    </row>
    <row r="1025" spans="1:18" x14ac:dyDescent="0.2">
      <c r="A1025" s="11">
        <v>720</v>
      </c>
      <c r="B1025" s="11">
        <v>1</v>
      </c>
      <c r="C1025" s="11" t="s">
        <v>245</v>
      </c>
      <c r="D1025" s="11">
        <f t="shared" si="30"/>
        <v>5</v>
      </c>
      <c r="E1025">
        <f t="shared" si="31"/>
        <v>720005</v>
      </c>
      <c r="F1025" s="11">
        <v>420</v>
      </c>
      <c r="G1025" s="11" t="s">
        <v>11</v>
      </c>
      <c r="H1025" s="3">
        <v>30047.88</v>
      </c>
      <c r="K1025" s="11"/>
      <c r="L1025" s="11"/>
      <c r="M1025" s="11"/>
      <c r="N1025" s="11"/>
      <c r="P1025" s="11"/>
      <c r="Q1025" s="11"/>
      <c r="R1025" s="3"/>
    </row>
    <row r="1026" spans="1:18" x14ac:dyDescent="0.2">
      <c r="A1026" s="11">
        <v>720</v>
      </c>
      <c r="B1026" s="11">
        <v>1</v>
      </c>
      <c r="C1026" s="11" t="s">
        <v>245</v>
      </c>
      <c r="D1026" s="11">
        <f t="shared" si="30"/>
        <v>6</v>
      </c>
      <c r="E1026">
        <f t="shared" si="31"/>
        <v>720006</v>
      </c>
      <c r="F1026" s="11">
        <v>433</v>
      </c>
      <c r="G1026" s="11" t="s">
        <v>30</v>
      </c>
      <c r="H1026" s="3">
        <v>13616.34</v>
      </c>
      <c r="K1026" s="11"/>
      <c r="L1026" s="11"/>
      <c r="M1026" s="11"/>
      <c r="N1026" s="11"/>
      <c r="P1026" s="11"/>
      <c r="Q1026" s="11"/>
      <c r="R1026" s="3"/>
    </row>
    <row r="1027" spans="1:18" x14ac:dyDescent="0.2">
      <c r="A1027" s="11">
        <v>720</v>
      </c>
      <c r="B1027" s="11">
        <v>1</v>
      </c>
      <c r="C1027" s="11" t="s">
        <v>245</v>
      </c>
      <c r="D1027" s="11">
        <f t="shared" si="30"/>
        <v>7</v>
      </c>
      <c r="E1027">
        <f t="shared" si="31"/>
        <v>720007</v>
      </c>
      <c r="F1027" s="11">
        <v>435</v>
      </c>
      <c r="G1027" s="11" t="s">
        <v>35</v>
      </c>
      <c r="H1027" s="3">
        <v>10370</v>
      </c>
      <c r="K1027" s="11"/>
      <c r="L1027" s="11"/>
      <c r="M1027" s="11"/>
      <c r="N1027" s="11"/>
      <c r="P1027" s="11"/>
      <c r="Q1027" s="11"/>
      <c r="R1027" s="3"/>
    </row>
    <row r="1028" spans="1:18" x14ac:dyDescent="0.2">
      <c r="A1028" s="11">
        <v>720</v>
      </c>
      <c r="B1028" s="11">
        <v>1</v>
      </c>
      <c r="C1028" s="11" t="s">
        <v>245</v>
      </c>
      <c r="D1028" s="11">
        <f t="shared" si="30"/>
        <v>8</v>
      </c>
      <c r="E1028">
        <f t="shared" si="31"/>
        <v>720008</v>
      </c>
      <c r="F1028" s="11">
        <v>437</v>
      </c>
      <c r="G1028" s="11" t="s">
        <v>14</v>
      </c>
      <c r="H1028" s="3">
        <v>2055</v>
      </c>
      <c r="K1028" s="11"/>
      <c r="L1028" s="11"/>
      <c r="M1028" s="11"/>
      <c r="N1028" s="11"/>
      <c r="P1028" s="11"/>
      <c r="Q1028" s="11"/>
      <c r="R1028" s="3"/>
    </row>
    <row r="1029" spans="1:18" x14ac:dyDescent="0.2">
      <c r="A1029" s="11">
        <v>720</v>
      </c>
      <c r="B1029" s="11">
        <v>1</v>
      </c>
      <c r="C1029" s="11" t="s">
        <v>245</v>
      </c>
      <c r="D1029" s="11">
        <f t="shared" si="30"/>
        <v>9</v>
      </c>
      <c r="E1029">
        <f t="shared" si="31"/>
        <v>720009</v>
      </c>
      <c r="F1029" s="11">
        <v>470</v>
      </c>
      <c r="G1029" s="11" t="s">
        <v>6</v>
      </c>
      <c r="H1029" s="3">
        <v>199248.51</v>
      </c>
      <c r="K1029" s="11"/>
      <c r="L1029" s="11"/>
      <c r="M1029" s="11"/>
      <c r="N1029" s="11"/>
      <c r="P1029" s="11"/>
      <c r="Q1029" s="11"/>
      <c r="R1029" s="3"/>
    </row>
    <row r="1030" spans="1:18" x14ac:dyDescent="0.2">
      <c r="A1030" s="11">
        <v>720</v>
      </c>
      <c r="B1030" s="11">
        <v>1</v>
      </c>
      <c r="C1030" s="11" t="s">
        <v>245</v>
      </c>
      <c r="D1030" s="11">
        <f t="shared" si="30"/>
        <v>10</v>
      </c>
      <c r="E1030">
        <f t="shared" si="31"/>
        <v>720010</v>
      </c>
      <c r="F1030" s="11">
        <v>480</v>
      </c>
      <c r="G1030" s="11" t="s">
        <v>19</v>
      </c>
      <c r="H1030" s="3">
        <v>1487686.89</v>
      </c>
      <c r="K1030" s="11"/>
      <c r="L1030" s="11"/>
      <c r="M1030" s="11"/>
      <c r="N1030" s="11"/>
      <c r="P1030" s="11"/>
      <c r="Q1030" s="11"/>
      <c r="R1030" s="3"/>
    </row>
    <row r="1031" spans="1:18" x14ac:dyDescent="0.2">
      <c r="A1031" s="11">
        <v>720</v>
      </c>
      <c r="B1031" s="11">
        <v>1</v>
      </c>
      <c r="C1031" s="11" t="s">
        <v>245</v>
      </c>
      <c r="D1031" s="11">
        <f t="shared" si="30"/>
        <v>11</v>
      </c>
      <c r="E1031">
        <f t="shared" si="31"/>
        <v>720011</v>
      </c>
      <c r="F1031" s="11">
        <v>484</v>
      </c>
      <c r="G1031" s="11" t="s">
        <v>20</v>
      </c>
      <c r="H1031" s="3">
        <v>60927.09</v>
      </c>
      <c r="K1031" s="11"/>
      <c r="L1031" s="11"/>
      <c r="M1031" s="11"/>
      <c r="N1031" s="11"/>
      <c r="P1031" s="11"/>
      <c r="Q1031" s="11"/>
      <c r="R1031" s="3"/>
    </row>
    <row r="1032" spans="1:18" x14ac:dyDescent="0.2">
      <c r="A1032" s="11">
        <v>720</v>
      </c>
      <c r="B1032" s="11">
        <v>1</v>
      </c>
      <c r="C1032" s="11" t="s">
        <v>245</v>
      </c>
      <c r="D1032" s="11">
        <f t="shared" si="30"/>
        <v>12</v>
      </c>
      <c r="E1032">
        <f t="shared" si="31"/>
        <v>720012</v>
      </c>
      <c r="F1032" s="11">
        <v>486</v>
      </c>
      <c r="G1032" s="11" t="s">
        <v>21</v>
      </c>
      <c r="H1032" s="3">
        <v>58758.9</v>
      </c>
      <c r="K1032" s="11"/>
      <c r="L1032" s="11"/>
      <c r="M1032" s="11"/>
      <c r="N1032" s="11"/>
      <c r="P1032" s="11"/>
      <c r="Q1032" s="11"/>
      <c r="R1032" s="3"/>
    </row>
    <row r="1033" spans="1:18" x14ac:dyDescent="0.2">
      <c r="A1033" s="11">
        <v>721</v>
      </c>
      <c r="B1033" s="11">
        <v>1</v>
      </c>
      <c r="C1033" s="11" t="s">
        <v>246</v>
      </c>
      <c r="D1033" s="11">
        <f t="shared" si="30"/>
        <v>1</v>
      </c>
      <c r="E1033">
        <f t="shared" si="31"/>
        <v>721001</v>
      </c>
      <c r="F1033" s="11">
        <v>401</v>
      </c>
      <c r="G1033" s="11" t="s">
        <v>29</v>
      </c>
      <c r="H1033" s="3">
        <v>84259.26</v>
      </c>
      <c r="K1033" s="11"/>
      <c r="L1033" s="11"/>
      <c r="M1033" s="11"/>
      <c r="N1033" s="11"/>
      <c r="P1033" s="11"/>
      <c r="Q1033" s="11"/>
      <c r="R1033" s="3"/>
    </row>
    <row r="1034" spans="1:18" x14ac:dyDescent="0.2">
      <c r="A1034" s="11">
        <v>721</v>
      </c>
      <c r="B1034" s="11">
        <v>1</v>
      </c>
      <c r="C1034" s="11" t="s">
        <v>246</v>
      </c>
      <c r="D1034" s="11">
        <f t="shared" si="30"/>
        <v>2</v>
      </c>
      <c r="E1034">
        <f t="shared" si="31"/>
        <v>721002</v>
      </c>
      <c r="F1034" s="11">
        <v>414</v>
      </c>
      <c r="G1034" s="11" t="s">
        <v>9</v>
      </c>
      <c r="H1034" s="3">
        <v>56259.26</v>
      </c>
      <c r="K1034" s="11"/>
      <c r="L1034" s="11"/>
      <c r="M1034" s="11"/>
      <c r="N1034" s="11"/>
      <c r="P1034" s="11"/>
      <c r="Q1034" s="11"/>
      <c r="R1034" s="3"/>
    </row>
    <row r="1035" spans="1:18" x14ac:dyDescent="0.2">
      <c r="A1035" s="11">
        <v>721</v>
      </c>
      <c r="B1035" s="11">
        <v>1</v>
      </c>
      <c r="C1035" s="11" t="s">
        <v>246</v>
      </c>
      <c r="D1035" s="11">
        <f t="shared" si="30"/>
        <v>3</v>
      </c>
      <c r="E1035">
        <f t="shared" si="31"/>
        <v>721003</v>
      </c>
      <c r="F1035" s="11">
        <v>419</v>
      </c>
      <c r="G1035" s="11" t="s">
        <v>10</v>
      </c>
      <c r="H1035" s="3">
        <v>333078.93</v>
      </c>
      <c r="K1035" s="11"/>
      <c r="L1035" s="11"/>
      <c r="M1035" s="11"/>
      <c r="N1035" s="11"/>
      <c r="P1035" s="11"/>
      <c r="Q1035" s="11"/>
      <c r="R1035" s="3"/>
    </row>
    <row r="1036" spans="1:18" x14ac:dyDescent="0.2">
      <c r="A1036" s="11">
        <v>721</v>
      </c>
      <c r="B1036" s="11">
        <v>1</v>
      </c>
      <c r="C1036" s="11" t="s">
        <v>246</v>
      </c>
      <c r="D1036" s="11">
        <f t="shared" si="30"/>
        <v>4</v>
      </c>
      <c r="E1036">
        <f t="shared" si="31"/>
        <v>721004</v>
      </c>
      <c r="F1036" s="11">
        <v>420</v>
      </c>
      <c r="G1036" s="11" t="s">
        <v>11</v>
      </c>
      <c r="H1036" s="3">
        <v>17293.07</v>
      </c>
      <c r="K1036" s="11"/>
      <c r="L1036" s="11"/>
      <c r="M1036" s="11"/>
      <c r="N1036" s="11"/>
      <c r="P1036" s="11"/>
      <c r="Q1036" s="11"/>
      <c r="R1036" s="3"/>
    </row>
    <row r="1037" spans="1:18" x14ac:dyDescent="0.2">
      <c r="A1037" s="11">
        <v>721</v>
      </c>
      <c r="B1037" s="11">
        <v>1</v>
      </c>
      <c r="C1037" s="11" t="s">
        <v>246</v>
      </c>
      <c r="D1037" s="11">
        <f t="shared" si="30"/>
        <v>5</v>
      </c>
      <c r="E1037">
        <f t="shared" si="31"/>
        <v>721005</v>
      </c>
      <c r="F1037" s="11">
        <v>433</v>
      </c>
      <c r="G1037" s="11" t="s">
        <v>30</v>
      </c>
      <c r="H1037" s="3">
        <v>6308.76</v>
      </c>
      <c r="K1037" s="11"/>
      <c r="L1037" s="11"/>
      <c r="M1037" s="11"/>
      <c r="N1037" s="11"/>
      <c r="P1037" s="11"/>
      <c r="Q1037" s="11"/>
      <c r="R1037" s="3"/>
    </row>
    <row r="1038" spans="1:18" x14ac:dyDescent="0.2">
      <c r="A1038" s="11">
        <v>721</v>
      </c>
      <c r="B1038" s="11">
        <v>1</v>
      </c>
      <c r="C1038" s="11" t="s">
        <v>246</v>
      </c>
      <c r="D1038" s="11">
        <f t="shared" si="30"/>
        <v>6</v>
      </c>
      <c r="E1038">
        <f t="shared" si="31"/>
        <v>721006</v>
      </c>
      <c r="F1038" s="11">
        <v>480</v>
      </c>
      <c r="G1038" s="11" t="s">
        <v>19</v>
      </c>
      <c r="H1038" s="3">
        <v>762139.47</v>
      </c>
      <c r="K1038" s="11"/>
      <c r="L1038" s="11"/>
      <c r="M1038" s="11"/>
      <c r="N1038" s="11"/>
      <c r="P1038" s="11"/>
      <c r="Q1038" s="11"/>
      <c r="R1038" s="3"/>
    </row>
    <row r="1039" spans="1:18" x14ac:dyDescent="0.2">
      <c r="A1039" s="11">
        <v>727</v>
      </c>
      <c r="B1039" s="11">
        <v>1</v>
      </c>
      <c r="C1039" s="11" t="s">
        <v>247</v>
      </c>
      <c r="D1039" s="11">
        <f t="shared" ref="D1039:D1102" si="32">IF(A1039=A1038,D1038+1,1)</f>
        <v>1</v>
      </c>
      <c r="E1039">
        <f t="shared" ref="E1039:E1102" si="33">1000*A1039+D1039</f>
        <v>727001</v>
      </c>
      <c r="F1039" s="11">
        <v>401</v>
      </c>
      <c r="G1039" s="11" t="s">
        <v>29</v>
      </c>
      <c r="H1039" s="3">
        <v>97236.02</v>
      </c>
      <c r="K1039" s="11"/>
      <c r="L1039" s="11"/>
      <c r="M1039" s="11"/>
      <c r="N1039" s="11"/>
      <c r="P1039" s="11"/>
      <c r="Q1039" s="11"/>
      <c r="R1039" s="3"/>
    </row>
    <row r="1040" spans="1:18" x14ac:dyDescent="0.2">
      <c r="A1040" s="11">
        <v>727</v>
      </c>
      <c r="B1040" s="11">
        <v>1</v>
      </c>
      <c r="C1040" s="11" t="s">
        <v>247</v>
      </c>
      <c r="D1040" s="11">
        <f t="shared" si="32"/>
        <v>2</v>
      </c>
      <c r="E1040">
        <f t="shared" si="33"/>
        <v>727002</v>
      </c>
      <c r="F1040" s="11">
        <v>414</v>
      </c>
      <c r="G1040" s="11" t="s">
        <v>9</v>
      </c>
      <c r="H1040" s="3">
        <v>67627.66</v>
      </c>
      <c r="K1040" s="11"/>
      <c r="L1040" s="11"/>
      <c r="M1040" s="11"/>
      <c r="N1040" s="11"/>
      <c r="P1040" s="11"/>
      <c r="Q1040" s="11"/>
      <c r="R1040" s="3"/>
    </row>
    <row r="1041" spans="1:18" x14ac:dyDescent="0.2">
      <c r="A1041" s="11">
        <v>727</v>
      </c>
      <c r="B1041" s="11">
        <v>1</v>
      </c>
      <c r="C1041" s="11" t="s">
        <v>247</v>
      </c>
      <c r="D1041" s="11">
        <f t="shared" si="32"/>
        <v>3</v>
      </c>
      <c r="E1041">
        <f t="shared" si="33"/>
        <v>727003</v>
      </c>
      <c r="F1041" s="11">
        <v>433</v>
      </c>
      <c r="G1041" s="11" t="s">
        <v>30</v>
      </c>
      <c r="H1041" s="3">
        <v>5840.52</v>
      </c>
      <c r="K1041" s="11"/>
      <c r="L1041" s="11"/>
      <c r="M1041" s="11"/>
      <c r="N1041" s="11"/>
      <c r="P1041" s="11"/>
      <c r="Q1041" s="11"/>
      <c r="R1041" s="3"/>
    </row>
    <row r="1042" spans="1:18" x14ac:dyDescent="0.2">
      <c r="A1042" s="11">
        <v>728</v>
      </c>
      <c r="B1042" s="11">
        <v>1</v>
      </c>
      <c r="C1042" s="11" t="s">
        <v>248</v>
      </c>
      <c r="D1042" s="11">
        <f t="shared" si="32"/>
        <v>1</v>
      </c>
      <c r="E1042">
        <f t="shared" si="33"/>
        <v>728001</v>
      </c>
      <c r="F1042" s="11">
        <v>433</v>
      </c>
      <c r="G1042" s="11" t="s">
        <v>30</v>
      </c>
      <c r="H1042" s="3">
        <v>20407.59</v>
      </c>
      <c r="K1042" s="11"/>
      <c r="L1042" s="11"/>
      <c r="M1042" s="11"/>
      <c r="N1042" s="11"/>
      <c r="P1042" s="11"/>
      <c r="Q1042" s="11"/>
      <c r="R1042" s="3"/>
    </row>
    <row r="1043" spans="1:18" x14ac:dyDescent="0.2">
      <c r="A1043" s="11">
        <v>728</v>
      </c>
      <c r="B1043" s="11">
        <v>1</v>
      </c>
      <c r="C1043" s="11" t="s">
        <v>248</v>
      </c>
      <c r="D1043" s="11">
        <f t="shared" si="32"/>
        <v>2</v>
      </c>
      <c r="E1043">
        <f t="shared" si="33"/>
        <v>728002</v>
      </c>
      <c r="F1043" s="11">
        <v>437</v>
      </c>
      <c r="G1043" s="11" t="s">
        <v>14</v>
      </c>
      <c r="H1043" s="3">
        <v>3855</v>
      </c>
      <c r="K1043" s="11"/>
      <c r="L1043" s="11"/>
      <c r="M1043" s="11"/>
      <c r="N1043" s="11"/>
      <c r="P1043" s="11"/>
      <c r="Q1043" s="11"/>
      <c r="R1043" s="3"/>
    </row>
    <row r="1044" spans="1:18" x14ac:dyDescent="0.2">
      <c r="A1044" s="11">
        <v>728</v>
      </c>
      <c r="B1044" s="11">
        <v>1</v>
      </c>
      <c r="C1044" s="11" t="s">
        <v>248</v>
      </c>
      <c r="D1044" s="11">
        <f t="shared" si="32"/>
        <v>3</v>
      </c>
      <c r="E1044">
        <f t="shared" si="33"/>
        <v>728003</v>
      </c>
      <c r="F1044" s="11">
        <v>480</v>
      </c>
      <c r="G1044" s="11" t="s">
        <v>19</v>
      </c>
      <c r="H1044" s="3">
        <v>2556878.42</v>
      </c>
      <c r="K1044" s="11"/>
      <c r="L1044" s="11"/>
      <c r="M1044" s="11"/>
      <c r="N1044" s="11"/>
      <c r="P1044" s="11"/>
      <c r="Q1044" s="11"/>
      <c r="R1044" s="3"/>
    </row>
    <row r="1045" spans="1:18" x14ac:dyDescent="0.2">
      <c r="A1045" s="11">
        <v>728</v>
      </c>
      <c r="B1045" s="11">
        <v>1</v>
      </c>
      <c r="C1045" s="11" t="s">
        <v>248</v>
      </c>
      <c r="D1045" s="11">
        <f t="shared" si="32"/>
        <v>4</v>
      </c>
      <c r="E1045">
        <f t="shared" si="33"/>
        <v>728004</v>
      </c>
      <c r="F1045" s="11">
        <v>484</v>
      </c>
      <c r="G1045" s="11" t="s">
        <v>20</v>
      </c>
      <c r="H1045" s="3">
        <v>104693.73</v>
      </c>
      <c r="K1045" s="11"/>
      <c r="L1045" s="11"/>
      <c r="M1045" s="11"/>
      <c r="N1045" s="11"/>
      <c r="P1045" s="11"/>
      <c r="Q1045" s="11"/>
      <c r="R1045" s="3"/>
    </row>
    <row r="1046" spans="1:18" x14ac:dyDescent="0.2">
      <c r="A1046" s="11">
        <v>728</v>
      </c>
      <c r="B1046" s="11">
        <v>1</v>
      </c>
      <c r="C1046" s="11" t="s">
        <v>248</v>
      </c>
      <c r="D1046" s="11">
        <f t="shared" si="32"/>
        <v>5</v>
      </c>
      <c r="E1046">
        <f t="shared" si="33"/>
        <v>728005</v>
      </c>
      <c r="F1046" s="11">
        <v>486</v>
      </c>
      <c r="G1046" s="11" t="s">
        <v>21</v>
      </c>
      <c r="H1046" s="3">
        <v>92965.4</v>
      </c>
      <c r="K1046" s="11"/>
      <c r="L1046" s="11"/>
      <c r="M1046" s="11"/>
      <c r="N1046" s="11"/>
      <c r="P1046" s="11"/>
      <c r="Q1046" s="11"/>
      <c r="R1046" s="3"/>
    </row>
    <row r="1047" spans="1:18" x14ac:dyDescent="0.2">
      <c r="A1047" s="11">
        <v>738</v>
      </c>
      <c r="B1047" s="11">
        <v>1</v>
      </c>
      <c r="C1047" s="11" t="s">
        <v>249</v>
      </c>
      <c r="D1047" s="11">
        <f t="shared" si="32"/>
        <v>1</v>
      </c>
      <c r="E1047">
        <f t="shared" si="33"/>
        <v>738001</v>
      </c>
      <c r="F1047" s="11">
        <v>401</v>
      </c>
      <c r="G1047" s="11" t="s">
        <v>29</v>
      </c>
      <c r="H1047" s="3">
        <v>91409.45</v>
      </c>
      <c r="K1047" s="11"/>
      <c r="L1047" s="11"/>
      <c r="M1047" s="11"/>
      <c r="N1047" s="11"/>
      <c r="P1047" s="11"/>
      <c r="Q1047" s="11"/>
      <c r="R1047" s="3"/>
    </row>
    <row r="1048" spans="1:18" x14ac:dyDescent="0.2">
      <c r="A1048" s="11">
        <v>738</v>
      </c>
      <c r="B1048" s="11">
        <v>1</v>
      </c>
      <c r="C1048" s="11" t="s">
        <v>249</v>
      </c>
      <c r="D1048" s="11">
        <f t="shared" si="32"/>
        <v>2</v>
      </c>
      <c r="E1048">
        <f t="shared" si="33"/>
        <v>738002</v>
      </c>
      <c r="F1048" s="11">
        <v>414</v>
      </c>
      <c r="G1048" s="11" t="s">
        <v>9</v>
      </c>
      <c r="H1048" s="3">
        <v>48892.97</v>
      </c>
      <c r="K1048" s="11"/>
      <c r="L1048" s="11"/>
      <c r="M1048" s="11"/>
      <c r="N1048" s="11"/>
      <c r="P1048" s="11"/>
      <c r="Q1048" s="11"/>
      <c r="R1048" s="3"/>
    </row>
    <row r="1049" spans="1:18" x14ac:dyDescent="0.2">
      <c r="A1049" s="11">
        <v>738</v>
      </c>
      <c r="B1049" s="11">
        <v>1</v>
      </c>
      <c r="C1049" s="11" t="s">
        <v>249</v>
      </c>
      <c r="D1049" s="11">
        <f t="shared" si="32"/>
        <v>3</v>
      </c>
      <c r="E1049">
        <f t="shared" si="33"/>
        <v>738003</v>
      </c>
      <c r="F1049" s="11">
        <v>433</v>
      </c>
      <c r="G1049" s="11" t="s">
        <v>30</v>
      </c>
      <c r="H1049" s="3">
        <v>2548.0300000000002</v>
      </c>
      <c r="K1049" s="11"/>
      <c r="L1049" s="11"/>
      <c r="M1049" s="11"/>
      <c r="N1049" s="11"/>
      <c r="P1049" s="11"/>
      <c r="Q1049" s="11"/>
      <c r="R1049" s="3"/>
    </row>
    <row r="1050" spans="1:18" x14ac:dyDescent="0.2">
      <c r="A1050" s="11">
        <v>738</v>
      </c>
      <c r="B1050" s="11">
        <v>1</v>
      </c>
      <c r="C1050" s="11" t="s">
        <v>249</v>
      </c>
      <c r="D1050" s="11">
        <f t="shared" si="32"/>
        <v>4</v>
      </c>
      <c r="E1050">
        <f t="shared" si="33"/>
        <v>738004</v>
      </c>
      <c r="F1050" s="11">
        <v>470</v>
      </c>
      <c r="G1050" s="11" t="s">
        <v>6</v>
      </c>
      <c r="H1050" s="3">
        <v>56135.040000000001</v>
      </c>
      <c r="K1050" s="11"/>
      <c r="L1050" s="11"/>
      <c r="M1050" s="11"/>
      <c r="N1050" s="11"/>
      <c r="P1050" s="11"/>
      <c r="Q1050" s="11"/>
      <c r="R1050" s="3"/>
    </row>
    <row r="1051" spans="1:18" x14ac:dyDescent="0.2">
      <c r="A1051" s="11">
        <v>742</v>
      </c>
      <c r="B1051" s="11">
        <v>1</v>
      </c>
      <c r="C1051" s="11" t="s">
        <v>250</v>
      </c>
      <c r="D1051" s="11">
        <f t="shared" si="32"/>
        <v>1</v>
      </c>
      <c r="E1051">
        <f t="shared" si="33"/>
        <v>742001</v>
      </c>
      <c r="F1051" s="11">
        <v>406</v>
      </c>
      <c r="G1051" s="11" t="s">
        <v>8</v>
      </c>
      <c r="H1051" s="3">
        <v>20708.66</v>
      </c>
      <c r="K1051" s="11"/>
      <c r="L1051" s="11"/>
      <c r="M1051" s="11"/>
      <c r="N1051" s="11"/>
      <c r="P1051" s="11"/>
      <c r="Q1051" s="11"/>
      <c r="R1051" s="3"/>
    </row>
    <row r="1052" spans="1:18" x14ac:dyDescent="0.2">
      <c r="A1052" s="11">
        <v>742</v>
      </c>
      <c r="B1052" s="11">
        <v>1</v>
      </c>
      <c r="C1052" s="11" t="s">
        <v>250</v>
      </c>
      <c r="D1052" s="11">
        <f t="shared" si="32"/>
        <v>2</v>
      </c>
      <c r="E1052">
        <f t="shared" si="33"/>
        <v>742002</v>
      </c>
      <c r="F1052" s="11">
        <v>417</v>
      </c>
      <c r="G1052" s="11" t="s">
        <v>34</v>
      </c>
      <c r="H1052" s="3">
        <v>117691.08</v>
      </c>
      <c r="K1052" s="11"/>
      <c r="L1052" s="11"/>
      <c r="M1052" s="11"/>
      <c r="N1052" s="11"/>
      <c r="P1052" s="11"/>
      <c r="Q1052" s="11"/>
      <c r="R1052" s="3"/>
    </row>
    <row r="1053" spans="1:18" x14ac:dyDescent="0.2">
      <c r="A1053" s="11">
        <v>742</v>
      </c>
      <c r="B1053" s="11">
        <v>1</v>
      </c>
      <c r="C1053" s="11" t="s">
        <v>250</v>
      </c>
      <c r="D1053" s="11">
        <f t="shared" si="32"/>
        <v>3</v>
      </c>
      <c r="E1053">
        <f t="shared" si="33"/>
        <v>742003</v>
      </c>
      <c r="F1053" s="11">
        <v>420</v>
      </c>
      <c r="G1053" s="11" t="s">
        <v>11</v>
      </c>
      <c r="H1053" s="3">
        <v>103794.07</v>
      </c>
      <c r="K1053" s="11"/>
      <c r="L1053" s="11"/>
      <c r="M1053" s="11"/>
      <c r="N1053" s="11"/>
      <c r="P1053" s="11"/>
      <c r="Q1053" s="11"/>
      <c r="R1053" s="3"/>
    </row>
    <row r="1054" spans="1:18" x14ac:dyDescent="0.2">
      <c r="A1054" s="11">
        <v>742</v>
      </c>
      <c r="B1054" s="11">
        <v>1</v>
      </c>
      <c r="C1054" s="11" t="s">
        <v>250</v>
      </c>
      <c r="D1054" s="11">
        <f t="shared" si="32"/>
        <v>4</v>
      </c>
      <c r="E1054">
        <f t="shared" si="33"/>
        <v>742004</v>
      </c>
      <c r="F1054" s="11">
        <v>435</v>
      </c>
      <c r="G1054" s="11" t="s">
        <v>35</v>
      </c>
      <c r="H1054" s="3">
        <v>19740</v>
      </c>
      <c r="K1054" s="11"/>
      <c r="L1054" s="11"/>
      <c r="M1054" s="11"/>
      <c r="N1054" s="11"/>
      <c r="P1054" s="11"/>
      <c r="Q1054" s="11"/>
      <c r="R1054" s="3"/>
    </row>
    <row r="1055" spans="1:18" x14ac:dyDescent="0.2">
      <c r="A1055" s="11">
        <v>742</v>
      </c>
      <c r="B1055" s="11">
        <v>1</v>
      </c>
      <c r="C1055" s="11" t="s">
        <v>250</v>
      </c>
      <c r="D1055" s="11">
        <f t="shared" si="32"/>
        <v>5</v>
      </c>
      <c r="E1055">
        <f t="shared" si="33"/>
        <v>742005</v>
      </c>
      <c r="F1055" s="11">
        <v>438</v>
      </c>
      <c r="G1055" s="11" t="s">
        <v>15</v>
      </c>
      <c r="H1055" s="3">
        <v>58793.4</v>
      </c>
      <c r="K1055" s="11"/>
      <c r="L1055" s="11"/>
      <c r="M1055" s="11"/>
      <c r="N1055" s="11"/>
      <c r="P1055" s="11"/>
      <c r="Q1055" s="11"/>
      <c r="R1055" s="3"/>
    </row>
    <row r="1056" spans="1:18" x14ac:dyDescent="0.2">
      <c r="A1056" s="11">
        <v>742</v>
      </c>
      <c r="B1056" s="11">
        <v>1</v>
      </c>
      <c r="C1056" s="11" t="s">
        <v>250</v>
      </c>
      <c r="D1056" s="11">
        <f t="shared" si="32"/>
        <v>6</v>
      </c>
      <c r="E1056">
        <f t="shared" si="33"/>
        <v>742006</v>
      </c>
      <c r="F1056" s="11">
        <v>470</v>
      </c>
      <c r="G1056" s="11" t="s">
        <v>6</v>
      </c>
      <c r="H1056" s="3">
        <v>1017524.52</v>
      </c>
      <c r="K1056" s="11"/>
      <c r="L1056" s="11"/>
      <c r="M1056" s="11"/>
      <c r="N1056" s="11"/>
      <c r="P1056" s="11"/>
      <c r="Q1056" s="11"/>
      <c r="R1056" s="3"/>
    </row>
    <row r="1057" spans="1:18" x14ac:dyDescent="0.2">
      <c r="A1057" s="11">
        <v>742</v>
      </c>
      <c r="B1057" s="11">
        <v>1</v>
      </c>
      <c r="C1057" s="11" t="s">
        <v>250</v>
      </c>
      <c r="D1057" s="11">
        <f t="shared" si="32"/>
        <v>7</v>
      </c>
      <c r="E1057">
        <f t="shared" si="33"/>
        <v>742007</v>
      </c>
      <c r="F1057" s="11">
        <v>471</v>
      </c>
      <c r="G1057" s="11" t="s">
        <v>17</v>
      </c>
      <c r="H1057" s="3">
        <v>12988.83</v>
      </c>
      <c r="K1057" s="11"/>
      <c r="L1057" s="11"/>
      <c r="M1057" s="11"/>
      <c r="N1057" s="11"/>
      <c r="P1057" s="11"/>
      <c r="Q1057" s="11"/>
      <c r="R1057" s="3"/>
    </row>
    <row r="1058" spans="1:18" x14ac:dyDescent="0.2">
      <c r="A1058" s="11">
        <v>742</v>
      </c>
      <c r="B1058" s="11">
        <v>1</v>
      </c>
      <c r="C1058" s="11" t="s">
        <v>250</v>
      </c>
      <c r="D1058" s="11">
        <f t="shared" si="32"/>
        <v>8</v>
      </c>
      <c r="E1058">
        <f t="shared" si="33"/>
        <v>742008</v>
      </c>
      <c r="F1058" s="11">
        <v>478</v>
      </c>
      <c r="G1058" s="11" t="s">
        <v>18</v>
      </c>
      <c r="H1058" s="3">
        <v>40845</v>
      </c>
      <c r="K1058" s="11"/>
      <c r="L1058" s="11"/>
      <c r="M1058" s="11"/>
      <c r="N1058" s="11"/>
      <c r="P1058" s="11"/>
      <c r="Q1058" s="11"/>
      <c r="R1058" s="3"/>
    </row>
    <row r="1059" spans="1:18" x14ac:dyDescent="0.2">
      <c r="A1059" s="11">
        <v>742</v>
      </c>
      <c r="B1059" s="11">
        <v>1</v>
      </c>
      <c r="C1059" s="11" t="s">
        <v>250</v>
      </c>
      <c r="D1059" s="11">
        <f t="shared" si="32"/>
        <v>9</v>
      </c>
      <c r="E1059">
        <f t="shared" si="33"/>
        <v>742009</v>
      </c>
      <c r="F1059" s="11">
        <v>484</v>
      </c>
      <c r="G1059" s="11" t="s">
        <v>20</v>
      </c>
      <c r="H1059" s="3">
        <v>106522.41</v>
      </c>
      <c r="K1059" s="11"/>
      <c r="L1059" s="11"/>
      <c r="M1059" s="11"/>
      <c r="N1059" s="11"/>
      <c r="P1059" s="11"/>
      <c r="Q1059" s="11"/>
      <c r="R1059" s="3"/>
    </row>
    <row r="1060" spans="1:18" x14ac:dyDescent="0.2">
      <c r="A1060" s="11">
        <v>742</v>
      </c>
      <c r="B1060" s="11">
        <v>1</v>
      </c>
      <c r="C1060" s="11" t="s">
        <v>250</v>
      </c>
      <c r="D1060" s="11">
        <f t="shared" si="32"/>
        <v>10</v>
      </c>
      <c r="E1060">
        <f t="shared" si="33"/>
        <v>742010</v>
      </c>
      <c r="F1060" s="11">
        <v>486</v>
      </c>
      <c r="G1060" s="11" t="s">
        <v>21</v>
      </c>
      <c r="H1060" s="3">
        <v>90462.48</v>
      </c>
      <c r="K1060" s="11"/>
      <c r="L1060" s="11"/>
      <c r="M1060" s="11"/>
      <c r="N1060" s="11"/>
      <c r="P1060" s="11"/>
      <c r="Q1060" s="11"/>
      <c r="R1060" s="3"/>
    </row>
    <row r="1061" spans="1:18" x14ac:dyDescent="0.2">
      <c r="A1061" s="11">
        <v>742</v>
      </c>
      <c r="B1061" s="11">
        <v>1</v>
      </c>
      <c r="C1061" s="11" t="s">
        <v>250</v>
      </c>
      <c r="D1061" s="11">
        <f t="shared" si="32"/>
        <v>11</v>
      </c>
      <c r="E1061">
        <f t="shared" si="33"/>
        <v>742011</v>
      </c>
      <c r="F1061" s="11">
        <v>706</v>
      </c>
      <c r="G1061" s="11" t="s">
        <v>114</v>
      </c>
      <c r="H1061" s="3">
        <v>152138</v>
      </c>
      <c r="K1061" s="11"/>
      <c r="L1061" s="11"/>
      <c r="M1061" s="11"/>
      <c r="N1061" s="11"/>
      <c r="P1061" s="11"/>
      <c r="Q1061" s="11"/>
      <c r="R1061" s="3"/>
    </row>
    <row r="1062" spans="1:18" x14ac:dyDescent="0.2">
      <c r="A1062" s="11">
        <v>742</v>
      </c>
      <c r="B1062" s="11">
        <v>1</v>
      </c>
      <c r="C1062" s="11" t="s">
        <v>250</v>
      </c>
      <c r="D1062" s="11">
        <f t="shared" si="32"/>
        <v>12</v>
      </c>
      <c r="E1062">
        <f t="shared" si="33"/>
        <v>742012</v>
      </c>
      <c r="F1062" s="11">
        <v>869</v>
      </c>
      <c r="G1062" s="11" t="s">
        <v>115</v>
      </c>
      <c r="H1062" s="3">
        <v>99997</v>
      </c>
      <c r="K1062" s="11"/>
      <c r="L1062" s="11"/>
      <c r="M1062" s="11"/>
      <c r="N1062" s="11"/>
      <c r="P1062" s="11"/>
      <c r="Q1062" s="11"/>
      <c r="R1062" s="3"/>
    </row>
    <row r="1063" spans="1:18" x14ac:dyDescent="0.2">
      <c r="A1063" s="11">
        <v>748</v>
      </c>
      <c r="B1063" s="11">
        <v>1</v>
      </c>
      <c r="C1063" s="11" t="s">
        <v>251</v>
      </c>
      <c r="D1063" s="11">
        <f t="shared" si="32"/>
        <v>1</v>
      </c>
      <c r="E1063">
        <f t="shared" si="33"/>
        <v>748001</v>
      </c>
      <c r="F1063" s="11">
        <v>433</v>
      </c>
      <c r="G1063" s="11" t="s">
        <v>30</v>
      </c>
      <c r="H1063" s="3">
        <v>6757.19</v>
      </c>
      <c r="K1063" s="11"/>
      <c r="L1063" s="11"/>
      <c r="M1063" s="11"/>
      <c r="N1063" s="11"/>
      <c r="P1063" s="11"/>
      <c r="Q1063" s="11"/>
      <c r="R1063" s="3"/>
    </row>
    <row r="1064" spans="1:18" x14ac:dyDescent="0.2">
      <c r="A1064" s="11">
        <v>750</v>
      </c>
      <c r="B1064" s="11">
        <v>1</v>
      </c>
      <c r="C1064" s="11" t="s">
        <v>252</v>
      </c>
      <c r="D1064" s="11">
        <f t="shared" si="32"/>
        <v>1</v>
      </c>
      <c r="E1064">
        <f t="shared" si="33"/>
        <v>750001</v>
      </c>
      <c r="F1064" s="11">
        <v>414</v>
      </c>
      <c r="G1064" s="11" t="s">
        <v>9</v>
      </c>
      <c r="H1064" s="3">
        <v>63457.26</v>
      </c>
      <c r="K1064" s="11"/>
      <c r="L1064" s="11"/>
      <c r="M1064" s="11"/>
      <c r="N1064" s="11"/>
      <c r="P1064" s="11"/>
      <c r="Q1064" s="11"/>
      <c r="R1064" s="3"/>
    </row>
    <row r="1065" spans="1:18" x14ac:dyDescent="0.2">
      <c r="A1065" s="11">
        <v>750</v>
      </c>
      <c r="B1065" s="11">
        <v>1</v>
      </c>
      <c r="C1065" s="11" t="s">
        <v>252</v>
      </c>
      <c r="D1065" s="11">
        <f t="shared" si="32"/>
        <v>2</v>
      </c>
      <c r="E1065">
        <f t="shared" si="33"/>
        <v>750002</v>
      </c>
      <c r="F1065" s="11">
        <v>433</v>
      </c>
      <c r="G1065" s="11" t="s">
        <v>30</v>
      </c>
      <c r="H1065" s="3">
        <v>5578.74</v>
      </c>
      <c r="K1065" s="11"/>
      <c r="L1065" s="11"/>
      <c r="M1065" s="11"/>
      <c r="N1065" s="11"/>
      <c r="P1065" s="11"/>
      <c r="Q1065" s="11"/>
      <c r="R1065" s="3"/>
    </row>
    <row r="1066" spans="1:18" x14ac:dyDescent="0.2">
      <c r="A1066" s="11">
        <v>756</v>
      </c>
      <c r="B1066" s="11">
        <v>1</v>
      </c>
      <c r="C1066" s="11" t="s">
        <v>253</v>
      </c>
      <c r="D1066" s="11">
        <f t="shared" si="32"/>
        <v>1</v>
      </c>
      <c r="E1066">
        <f t="shared" si="33"/>
        <v>756001</v>
      </c>
      <c r="F1066" s="11">
        <v>151</v>
      </c>
      <c r="G1066" s="11" t="s">
        <v>28</v>
      </c>
      <c r="H1066" s="3">
        <v>274857.34000000003</v>
      </c>
      <c r="K1066" s="11"/>
      <c r="L1066" s="11"/>
      <c r="M1066" s="11"/>
      <c r="N1066" s="11"/>
      <c r="P1066" s="11"/>
      <c r="Q1066" s="11"/>
      <c r="R1066" s="3"/>
    </row>
    <row r="1067" spans="1:18" x14ac:dyDescent="0.2">
      <c r="A1067" s="11">
        <v>756</v>
      </c>
      <c r="B1067" s="11">
        <v>1</v>
      </c>
      <c r="C1067" s="11" t="s">
        <v>253</v>
      </c>
      <c r="D1067" s="11">
        <f t="shared" si="32"/>
        <v>2</v>
      </c>
      <c r="E1067">
        <f t="shared" si="33"/>
        <v>756002</v>
      </c>
      <c r="F1067" s="11">
        <v>401</v>
      </c>
      <c r="G1067" s="11" t="s">
        <v>29</v>
      </c>
      <c r="H1067" s="3">
        <v>81717.63</v>
      </c>
      <c r="K1067" s="11"/>
      <c r="L1067" s="11"/>
      <c r="M1067" s="11"/>
      <c r="N1067" s="11"/>
      <c r="P1067" s="11"/>
      <c r="Q1067" s="11"/>
      <c r="R1067" s="3"/>
    </row>
    <row r="1068" spans="1:18" x14ac:dyDescent="0.2">
      <c r="A1068" s="11">
        <v>756</v>
      </c>
      <c r="B1068" s="11">
        <v>1</v>
      </c>
      <c r="C1068" s="11" t="s">
        <v>253</v>
      </c>
      <c r="D1068" s="11">
        <f t="shared" si="32"/>
        <v>3</v>
      </c>
      <c r="E1068">
        <f t="shared" si="33"/>
        <v>756003</v>
      </c>
      <c r="F1068" s="11">
        <v>414</v>
      </c>
      <c r="G1068" s="11" t="s">
        <v>9</v>
      </c>
      <c r="H1068" s="3">
        <v>52039.94</v>
      </c>
      <c r="K1068" s="11"/>
      <c r="L1068" s="11"/>
      <c r="M1068" s="11"/>
      <c r="N1068" s="11"/>
      <c r="P1068" s="11"/>
      <c r="Q1068" s="11"/>
      <c r="R1068" s="3"/>
    </row>
    <row r="1069" spans="1:18" x14ac:dyDescent="0.2">
      <c r="A1069" s="11">
        <v>756</v>
      </c>
      <c r="B1069" s="11">
        <v>1</v>
      </c>
      <c r="C1069" s="11" t="s">
        <v>253</v>
      </c>
      <c r="D1069" s="11">
        <f t="shared" si="32"/>
        <v>4</v>
      </c>
      <c r="E1069">
        <f t="shared" si="33"/>
        <v>756004</v>
      </c>
      <c r="F1069" s="11">
        <v>433</v>
      </c>
      <c r="G1069" s="11" t="s">
        <v>30</v>
      </c>
      <c r="H1069" s="3">
        <v>1998.31</v>
      </c>
      <c r="K1069" s="11"/>
      <c r="L1069" s="11"/>
      <c r="M1069" s="11"/>
      <c r="N1069" s="11"/>
      <c r="P1069" s="11"/>
      <c r="Q1069" s="11"/>
      <c r="R1069" s="3"/>
    </row>
    <row r="1070" spans="1:18" x14ac:dyDescent="0.2">
      <c r="A1070" s="11">
        <v>756</v>
      </c>
      <c r="B1070" s="11">
        <v>1</v>
      </c>
      <c r="C1070" s="11" t="s">
        <v>253</v>
      </c>
      <c r="D1070" s="11">
        <f t="shared" si="32"/>
        <v>5</v>
      </c>
      <c r="E1070">
        <f t="shared" si="33"/>
        <v>756005</v>
      </c>
      <c r="F1070" s="11">
        <v>470</v>
      </c>
      <c r="G1070" s="11" t="s">
        <v>6</v>
      </c>
      <c r="H1070" s="3">
        <v>48732.6</v>
      </c>
      <c r="K1070" s="11"/>
      <c r="L1070" s="11"/>
      <c r="M1070" s="11"/>
      <c r="N1070" s="11"/>
      <c r="P1070" s="11"/>
      <c r="Q1070" s="11"/>
      <c r="R1070" s="3"/>
    </row>
    <row r="1071" spans="1:18" x14ac:dyDescent="0.2">
      <c r="A1071" s="11">
        <v>761</v>
      </c>
      <c r="B1071" s="11">
        <v>1</v>
      </c>
      <c r="C1071" s="11" t="s">
        <v>254</v>
      </c>
      <c r="D1071" s="11">
        <f t="shared" si="32"/>
        <v>1</v>
      </c>
      <c r="E1071">
        <f t="shared" si="33"/>
        <v>761001</v>
      </c>
      <c r="F1071" s="11">
        <v>438</v>
      </c>
      <c r="G1071" s="11" t="s">
        <v>15</v>
      </c>
      <c r="H1071" s="3">
        <v>33789.14</v>
      </c>
      <c r="K1071" s="11"/>
      <c r="L1071" s="11"/>
      <c r="M1071" s="11"/>
      <c r="N1071" s="11"/>
      <c r="P1071" s="11"/>
      <c r="Q1071" s="11"/>
      <c r="R1071" s="3"/>
    </row>
    <row r="1072" spans="1:18" x14ac:dyDescent="0.2">
      <c r="A1072" s="11">
        <v>761</v>
      </c>
      <c r="B1072" s="11">
        <v>1</v>
      </c>
      <c r="C1072" s="11" t="s">
        <v>254</v>
      </c>
      <c r="D1072" s="11">
        <f t="shared" si="32"/>
        <v>2</v>
      </c>
      <c r="E1072">
        <f t="shared" si="33"/>
        <v>761002</v>
      </c>
      <c r="F1072" s="11">
        <v>484</v>
      </c>
      <c r="G1072" s="11" t="s">
        <v>20</v>
      </c>
      <c r="H1072" s="3">
        <v>51941.96</v>
      </c>
      <c r="K1072" s="11"/>
      <c r="L1072" s="11"/>
      <c r="M1072" s="11"/>
      <c r="N1072" s="11"/>
      <c r="P1072" s="11"/>
      <c r="Q1072" s="11"/>
      <c r="R1072" s="3"/>
    </row>
    <row r="1073" spans="1:18" x14ac:dyDescent="0.2">
      <c r="A1073" s="11">
        <v>761</v>
      </c>
      <c r="B1073" s="11">
        <v>1</v>
      </c>
      <c r="C1073" s="11" t="s">
        <v>254</v>
      </c>
      <c r="D1073" s="11">
        <f t="shared" si="32"/>
        <v>3</v>
      </c>
      <c r="E1073">
        <f t="shared" si="33"/>
        <v>761003</v>
      </c>
      <c r="F1073" s="11">
        <v>486</v>
      </c>
      <c r="G1073" s="11" t="s">
        <v>21</v>
      </c>
      <c r="H1073" s="3">
        <v>28604.74</v>
      </c>
      <c r="K1073" s="11"/>
      <c r="L1073" s="11"/>
      <c r="M1073" s="11"/>
      <c r="N1073" s="11"/>
      <c r="P1073" s="11"/>
      <c r="Q1073" s="11"/>
      <c r="R1073" s="3"/>
    </row>
    <row r="1074" spans="1:18" x14ac:dyDescent="0.2">
      <c r="A1074" s="11">
        <v>763</v>
      </c>
      <c r="B1074" s="11">
        <v>1</v>
      </c>
      <c r="C1074" s="11" t="s">
        <v>255</v>
      </c>
      <c r="D1074" s="11">
        <f t="shared" si="32"/>
        <v>1</v>
      </c>
      <c r="E1074">
        <f t="shared" si="33"/>
        <v>763001</v>
      </c>
      <c r="F1074" s="11">
        <v>414</v>
      </c>
      <c r="G1074" s="11" t="s">
        <v>9</v>
      </c>
      <c r="H1074" s="3">
        <v>16175.5</v>
      </c>
      <c r="K1074" s="11"/>
      <c r="L1074" s="11"/>
      <c r="M1074" s="11"/>
      <c r="N1074" s="11"/>
      <c r="P1074" s="11"/>
      <c r="Q1074" s="11"/>
      <c r="R1074" s="3"/>
    </row>
    <row r="1075" spans="1:18" x14ac:dyDescent="0.2">
      <c r="A1075" s="11">
        <v>763</v>
      </c>
      <c r="B1075" s="11">
        <v>1</v>
      </c>
      <c r="C1075" s="11" t="s">
        <v>255</v>
      </c>
      <c r="D1075" s="11">
        <f t="shared" si="32"/>
        <v>2</v>
      </c>
      <c r="E1075">
        <f t="shared" si="33"/>
        <v>763002</v>
      </c>
      <c r="F1075" s="11">
        <v>470</v>
      </c>
      <c r="G1075" s="11" t="s">
        <v>6</v>
      </c>
      <c r="H1075" s="3">
        <v>20973.51</v>
      </c>
      <c r="K1075" s="11"/>
      <c r="L1075" s="11"/>
      <c r="M1075" s="11"/>
      <c r="N1075" s="11"/>
      <c r="P1075" s="11"/>
      <c r="Q1075" s="11"/>
      <c r="R1075" s="3"/>
    </row>
    <row r="1076" spans="1:18" x14ac:dyDescent="0.2">
      <c r="A1076" s="11">
        <v>769</v>
      </c>
      <c r="B1076" s="11">
        <v>1</v>
      </c>
      <c r="C1076" s="11" t="s">
        <v>256</v>
      </c>
      <c r="D1076" s="11">
        <f t="shared" si="32"/>
        <v>1</v>
      </c>
      <c r="E1076">
        <f t="shared" si="33"/>
        <v>769001</v>
      </c>
      <c r="F1076" s="11">
        <v>414</v>
      </c>
      <c r="G1076" s="11" t="s">
        <v>9</v>
      </c>
      <c r="H1076" s="3">
        <v>36209.42</v>
      </c>
      <c r="K1076" s="11"/>
      <c r="L1076" s="11"/>
      <c r="M1076" s="11"/>
      <c r="N1076" s="11"/>
      <c r="P1076" s="11"/>
      <c r="Q1076" s="11"/>
      <c r="R1076" s="3"/>
    </row>
    <row r="1077" spans="1:18" x14ac:dyDescent="0.2">
      <c r="A1077" s="11">
        <v>769</v>
      </c>
      <c r="B1077" s="11">
        <v>1</v>
      </c>
      <c r="C1077" s="11" t="s">
        <v>256</v>
      </c>
      <c r="D1077" s="11">
        <f t="shared" si="32"/>
        <v>2</v>
      </c>
      <c r="E1077">
        <f t="shared" si="33"/>
        <v>769002</v>
      </c>
      <c r="F1077" s="11">
        <v>433</v>
      </c>
      <c r="G1077" s="11" t="s">
        <v>30</v>
      </c>
      <c r="H1077" s="3">
        <v>2150.39</v>
      </c>
      <c r="K1077" s="11"/>
      <c r="L1077" s="11"/>
      <c r="M1077" s="11"/>
      <c r="N1077" s="11"/>
      <c r="P1077" s="11"/>
      <c r="Q1077" s="11"/>
      <c r="R1077" s="3"/>
    </row>
    <row r="1078" spans="1:18" x14ac:dyDescent="0.2">
      <c r="A1078" s="11">
        <v>771</v>
      </c>
      <c r="B1078" s="11">
        <v>1</v>
      </c>
      <c r="C1078" s="11" t="s">
        <v>257</v>
      </c>
      <c r="D1078" s="11">
        <f t="shared" si="32"/>
        <v>1</v>
      </c>
      <c r="E1078">
        <f t="shared" si="33"/>
        <v>771001</v>
      </c>
      <c r="F1078" s="11">
        <v>401</v>
      </c>
      <c r="G1078" s="11" t="s">
        <v>29</v>
      </c>
      <c r="H1078" s="3">
        <v>23314.2</v>
      </c>
      <c r="K1078" s="11"/>
      <c r="L1078" s="11"/>
      <c r="M1078" s="11"/>
      <c r="N1078" s="11"/>
      <c r="P1078" s="11"/>
      <c r="Q1078" s="11"/>
      <c r="R1078" s="3"/>
    </row>
    <row r="1079" spans="1:18" x14ac:dyDescent="0.2">
      <c r="A1079" s="11">
        <v>771</v>
      </c>
      <c r="B1079" s="11">
        <v>1</v>
      </c>
      <c r="C1079" s="11" t="s">
        <v>257</v>
      </c>
      <c r="D1079" s="11">
        <f t="shared" si="32"/>
        <v>2</v>
      </c>
      <c r="E1079">
        <f t="shared" si="33"/>
        <v>771002</v>
      </c>
      <c r="F1079" s="11">
        <v>414</v>
      </c>
      <c r="G1079" s="11" t="s">
        <v>9</v>
      </c>
      <c r="H1079" s="3">
        <v>11733.75</v>
      </c>
      <c r="K1079" s="11"/>
      <c r="L1079" s="11"/>
      <c r="M1079" s="11"/>
      <c r="N1079" s="11"/>
      <c r="P1079" s="11"/>
      <c r="Q1079" s="11"/>
      <c r="R1079" s="3"/>
    </row>
    <row r="1080" spans="1:18" x14ac:dyDescent="0.2">
      <c r="A1080" s="11">
        <v>771</v>
      </c>
      <c r="B1080" s="11">
        <v>1</v>
      </c>
      <c r="C1080" s="11" t="s">
        <v>257</v>
      </c>
      <c r="D1080" s="11">
        <f t="shared" si="32"/>
        <v>3</v>
      </c>
      <c r="E1080">
        <f t="shared" si="33"/>
        <v>771003</v>
      </c>
      <c r="F1080" s="11">
        <v>433</v>
      </c>
      <c r="G1080" s="11" t="s">
        <v>30</v>
      </c>
      <c r="H1080" s="3">
        <v>522.05999999999995</v>
      </c>
      <c r="K1080" s="11"/>
      <c r="L1080" s="11"/>
      <c r="M1080" s="11"/>
      <c r="N1080" s="11"/>
      <c r="P1080" s="11"/>
      <c r="Q1080" s="11"/>
      <c r="R1080" s="3"/>
    </row>
    <row r="1081" spans="1:18" x14ac:dyDescent="0.2">
      <c r="A1081" s="11">
        <v>786</v>
      </c>
      <c r="B1081" s="11">
        <v>1</v>
      </c>
      <c r="C1081" s="11" t="s">
        <v>258</v>
      </c>
      <c r="D1081" s="11">
        <f t="shared" si="32"/>
        <v>1</v>
      </c>
      <c r="E1081">
        <f t="shared" si="33"/>
        <v>786001</v>
      </c>
      <c r="F1081" s="11">
        <v>401</v>
      </c>
      <c r="G1081" s="11" t="s">
        <v>29</v>
      </c>
      <c r="H1081" s="3">
        <v>92196.77</v>
      </c>
      <c r="K1081" s="11"/>
      <c r="L1081" s="11"/>
      <c r="M1081" s="11"/>
      <c r="N1081" s="11"/>
      <c r="P1081" s="11"/>
      <c r="Q1081" s="11"/>
      <c r="R1081" s="3"/>
    </row>
    <row r="1082" spans="1:18" x14ac:dyDescent="0.2">
      <c r="A1082" s="11">
        <v>786</v>
      </c>
      <c r="B1082" s="11">
        <v>1</v>
      </c>
      <c r="C1082" s="11" t="s">
        <v>258</v>
      </c>
      <c r="D1082" s="11">
        <f t="shared" si="32"/>
        <v>2</v>
      </c>
      <c r="E1082">
        <f t="shared" si="33"/>
        <v>786002</v>
      </c>
      <c r="F1082" s="11">
        <v>414</v>
      </c>
      <c r="G1082" s="11" t="s">
        <v>9</v>
      </c>
      <c r="H1082" s="3">
        <v>46941.91</v>
      </c>
      <c r="K1082" s="11"/>
      <c r="L1082" s="11"/>
      <c r="M1082" s="11"/>
      <c r="N1082" s="11"/>
      <c r="P1082" s="11"/>
      <c r="Q1082" s="11"/>
      <c r="R1082" s="3"/>
    </row>
    <row r="1083" spans="1:18" x14ac:dyDescent="0.2">
      <c r="A1083" s="11">
        <v>786</v>
      </c>
      <c r="B1083" s="11">
        <v>1</v>
      </c>
      <c r="C1083" s="11" t="s">
        <v>258</v>
      </c>
      <c r="D1083" s="11">
        <f t="shared" si="32"/>
        <v>3</v>
      </c>
      <c r="E1083">
        <f t="shared" si="33"/>
        <v>786003</v>
      </c>
      <c r="F1083" s="11">
        <v>470</v>
      </c>
      <c r="G1083" s="11" t="s">
        <v>6</v>
      </c>
      <c r="H1083" s="3">
        <v>53493.599999999999</v>
      </c>
      <c r="K1083" s="11"/>
      <c r="L1083" s="11"/>
      <c r="M1083" s="11"/>
      <c r="N1083" s="11"/>
      <c r="P1083" s="11"/>
      <c r="Q1083" s="11"/>
      <c r="R1083" s="3"/>
    </row>
    <row r="1084" spans="1:18" x14ac:dyDescent="0.2">
      <c r="A1084" s="11">
        <v>786</v>
      </c>
      <c r="B1084" s="11">
        <v>1</v>
      </c>
      <c r="C1084" s="11" t="s">
        <v>258</v>
      </c>
      <c r="D1084" s="11">
        <f t="shared" si="32"/>
        <v>4</v>
      </c>
      <c r="E1084">
        <f t="shared" si="33"/>
        <v>786004</v>
      </c>
      <c r="F1084" s="11">
        <v>869</v>
      </c>
      <c r="G1084" s="11" t="s">
        <v>115</v>
      </c>
      <c r="H1084" s="3">
        <v>100000</v>
      </c>
      <c r="K1084" s="11"/>
      <c r="L1084" s="11"/>
      <c r="M1084" s="11"/>
      <c r="N1084" s="11"/>
      <c r="P1084" s="11"/>
      <c r="Q1084" s="11"/>
      <c r="R1084" s="3"/>
    </row>
    <row r="1085" spans="1:18" x14ac:dyDescent="0.2">
      <c r="A1085" s="11">
        <v>787</v>
      </c>
      <c r="B1085" s="11">
        <v>1</v>
      </c>
      <c r="C1085" s="11" t="s">
        <v>259</v>
      </c>
      <c r="D1085" s="11">
        <f t="shared" si="32"/>
        <v>1</v>
      </c>
      <c r="E1085">
        <f t="shared" si="33"/>
        <v>787001</v>
      </c>
      <c r="F1085" s="11">
        <v>151</v>
      </c>
      <c r="G1085" s="11" t="s">
        <v>28</v>
      </c>
      <c r="H1085" s="3">
        <v>216620.51</v>
      </c>
      <c r="K1085" s="11"/>
      <c r="L1085" s="11"/>
      <c r="M1085" s="11"/>
      <c r="N1085" s="11"/>
      <c r="P1085" s="11"/>
      <c r="Q1085" s="11"/>
      <c r="R1085" s="3"/>
    </row>
    <row r="1086" spans="1:18" x14ac:dyDescent="0.2">
      <c r="A1086" s="11">
        <v>787</v>
      </c>
      <c r="B1086" s="11">
        <v>1</v>
      </c>
      <c r="C1086" s="11" t="s">
        <v>259</v>
      </c>
      <c r="D1086" s="11">
        <f t="shared" si="32"/>
        <v>2</v>
      </c>
      <c r="E1086">
        <f t="shared" si="33"/>
        <v>787002</v>
      </c>
      <c r="F1086" s="11">
        <v>401</v>
      </c>
      <c r="G1086" s="11" t="s">
        <v>29</v>
      </c>
      <c r="H1086" s="3">
        <v>80382.399999999994</v>
      </c>
      <c r="K1086" s="11"/>
      <c r="L1086" s="11"/>
      <c r="M1086" s="11"/>
      <c r="N1086" s="11"/>
      <c r="P1086" s="11"/>
      <c r="Q1086" s="11"/>
      <c r="R1086" s="3"/>
    </row>
    <row r="1087" spans="1:18" x14ac:dyDescent="0.2">
      <c r="A1087" s="11">
        <v>787</v>
      </c>
      <c r="B1087" s="11">
        <v>1</v>
      </c>
      <c r="C1087" s="11" t="s">
        <v>259</v>
      </c>
      <c r="D1087" s="11">
        <f t="shared" si="32"/>
        <v>3</v>
      </c>
      <c r="E1087">
        <f t="shared" si="33"/>
        <v>787003</v>
      </c>
      <c r="F1087" s="11">
        <v>414</v>
      </c>
      <c r="G1087" s="11" t="s">
        <v>9</v>
      </c>
      <c r="H1087" s="3">
        <v>29082.18</v>
      </c>
      <c r="K1087" s="11"/>
      <c r="L1087" s="11"/>
      <c r="M1087" s="11"/>
      <c r="N1087" s="11"/>
      <c r="P1087" s="11"/>
      <c r="Q1087" s="11"/>
      <c r="R1087" s="3"/>
    </row>
    <row r="1088" spans="1:18" x14ac:dyDescent="0.2">
      <c r="A1088" s="11">
        <v>787</v>
      </c>
      <c r="B1088" s="11">
        <v>1</v>
      </c>
      <c r="C1088" s="11" t="s">
        <v>259</v>
      </c>
      <c r="D1088" s="11">
        <f t="shared" si="32"/>
        <v>4</v>
      </c>
      <c r="E1088">
        <f t="shared" si="33"/>
        <v>787004</v>
      </c>
      <c r="F1088" s="11">
        <v>433</v>
      </c>
      <c r="G1088" s="11" t="s">
        <v>30</v>
      </c>
      <c r="H1088" s="3">
        <v>1763.71</v>
      </c>
      <c r="K1088" s="11"/>
      <c r="L1088" s="11"/>
      <c r="M1088" s="11"/>
      <c r="N1088" s="11"/>
      <c r="P1088" s="11"/>
      <c r="Q1088" s="11"/>
      <c r="R1088" s="3"/>
    </row>
    <row r="1089" spans="1:18" x14ac:dyDescent="0.2">
      <c r="A1089" s="11">
        <v>787</v>
      </c>
      <c r="B1089" s="11">
        <v>1</v>
      </c>
      <c r="C1089" s="11" t="s">
        <v>259</v>
      </c>
      <c r="D1089" s="11">
        <f t="shared" si="32"/>
        <v>5</v>
      </c>
      <c r="E1089">
        <f t="shared" si="33"/>
        <v>787005</v>
      </c>
      <c r="F1089" s="11">
        <v>470</v>
      </c>
      <c r="G1089" s="11" t="s">
        <v>6</v>
      </c>
      <c r="H1089" s="3">
        <v>46105.46</v>
      </c>
      <c r="K1089" s="11"/>
      <c r="L1089" s="11"/>
      <c r="M1089" s="11"/>
      <c r="N1089" s="11"/>
      <c r="P1089" s="11"/>
      <c r="Q1089" s="11"/>
      <c r="R1089" s="3"/>
    </row>
    <row r="1090" spans="1:18" x14ac:dyDescent="0.2">
      <c r="A1090" s="11">
        <v>801</v>
      </c>
      <c r="B1090" s="11">
        <v>1</v>
      </c>
      <c r="C1090" s="11" t="s">
        <v>260</v>
      </c>
      <c r="D1090" s="11">
        <f t="shared" si="32"/>
        <v>1</v>
      </c>
      <c r="E1090">
        <f t="shared" si="33"/>
        <v>801001</v>
      </c>
      <c r="F1090" s="11">
        <v>151</v>
      </c>
      <c r="G1090" s="11" t="s">
        <v>28</v>
      </c>
      <c r="H1090" s="3">
        <v>54323.29</v>
      </c>
      <c r="K1090" s="11"/>
      <c r="L1090" s="11"/>
      <c r="M1090" s="11"/>
      <c r="N1090" s="11"/>
      <c r="P1090" s="11"/>
      <c r="Q1090" s="11"/>
      <c r="R1090" s="3"/>
    </row>
    <row r="1091" spans="1:18" x14ac:dyDescent="0.2">
      <c r="A1091" s="11">
        <v>801</v>
      </c>
      <c r="B1091" s="11">
        <v>1</v>
      </c>
      <c r="C1091" s="11" t="s">
        <v>260</v>
      </c>
      <c r="D1091" s="11">
        <f t="shared" si="32"/>
        <v>2</v>
      </c>
      <c r="E1091">
        <f t="shared" si="33"/>
        <v>801002</v>
      </c>
      <c r="F1091" s="11">
        <v>401</v>
      </c>
      <c r="G1091" s="11" t="s">
        <v>29</v>
      </c>
      <c r="H1091" s="3">
        <v>37948.83</v>
      </c>
      <c r="K1091" s="11"/>
      <c r="L1091" s="11"/>
      <c r="M1091" s="11"/>
      <c r="N1091" s="11"/>
      <c r="P1091" s="11"/>
      <c r="Q1091" s="11"/>
      <c r="R1091" s="3"/>
    </row>
    <row r="1092" spans="1:18" x14ac:dyDescent="0.2">
      <c r="A1092" s="11">
        <v>801</v>
      </c>
      <c r="B1092" s="11">
        <v>1</v>
      </c>
      <c r="C1092" s="11" t="s">
        <v>260</v>
      </c>
      <c r="D1092" s="11">
        <f t="shared" si="32"/>
        <v>3</v>
      </c>
      <c r="E1092">
        <f t="shared" si="33"/>
        <v>801003</v>
      </c>
      <c r="F1092" s="11">
        <v>414</v>
      </c>
      <c r="G1092" s="11" t="s">
        <v>9</v>
      </c>
      <c r="H1092" s="3">
        <v>15765.66</v>
      </c>
      <c r="K1092" s="11"/>
      <c r="L1092" s="11"/>
      <c r="M1092" s="11"/>
      <c r="N1092" s="11"/>
      <c r="P1092" s="11"/>
      <c r="Q1092" s="11"/>
      <c r="R1092" s="3"/>
    </row>
    <row r="1093" spans="1:18" x14ac:dyDescent="0.2">
      <c r="A1093" s="11">
        <v>801</v>
      </c>
      <c r="B1093" s="11">
        <v>1</v>
      </c>
      <c r="C1093" s="11" t="s">
        <v>260</v>
      </c>
      <c r="D1093" s="11">
        <f t="shared" si="32"/>
        <v>4</v>
      </c>
      <c r="E1093">
        <f t="shared" si="33"/>
        <v>801004</v>
      </c>
      <c r="F1093" s="11">
        <v>433</v>
      </c>
      <c r="G1093" s="11" t="s">
        <v>30</v>
      </c>
      <c r="H1093" s="3">
        <v>676.92</v>
      </c>
      <c r="K1093" s="11"/>
      <c r="L1093" s="11"/>
      <c r="M1093" s="11"/>
      <c r="N1093" s="11"/>
      <c r="P1093" s="11"/>
      <c r="Q1093" s="11"/>
      <c r="R1093" s="3"/>
    </row>
    <row r="1094" spans="1:18" x14ac:dyDescent="0.2">
      <c r="A1094" s="11">
        <v>801</v>
      </c>
      <c r="B1094" s="11">
        <v>1</v>
      </c>
      <c r="C1094" s="11" t="s">
        <v>260</v>
      </c>
      <c r="D1094" s="11">
        <f t="shared" si="32"/>
        <v>5</v>
      </c>
      <c r="E1094">
        <f t="shared" si="33"/>
        <v>801005</v>
      </c>
      <c r="F1094" s="11">
        <v>470</v>
      </c>
      <c r="G1094" s="11" t="s">
        <v>6</v>
      </c>
      <c r="H1094" s="3">
        <v>12878.31</v>
      </c>
      <c r="K1094" s="11"/>
      <c r="L1094" s="11"/>
      <c r="M1094" s="11"/>
      <c r="N1094" s="11"/>
      <c r="P1094" s="11"/>
      <c r="Q1094" s="11"/>
      <c r="R1094" s="3"/>
    </row>
    <row r="1095" spans="1:18" x14ac:dyDescent="0.2">
      <c r="A1095" s="11">
        <v>803</v>
      </c>
      <c r="B1095" s="11">
        <v>1</v>
      </c>
      <c r="C1095" s="11" t="s">
        <v>261</v>
      </c>
      <c r="D1095" s="11">
        <f t="shared" si="32"/>
        <v>1</v>
      </c>
      <c r="E1095">
        <f t="shared" si="33"/>
        <v>803001</v>
      </c>
      <c r="F1095" s="11">
        <v>401</v>
      </c>
      <c r="G1095" s="11" t="s">
        <v>29</v>
      </c>
      <c r="H1095" s="3">
        <v>41715.54</v>
      </c>
      <c r="K1095" s="11"/>
      <c r="L1095" s="11"/>
      <c r="M1095" s="11"/>
      <c r="N1095" s="11"/>
      <c r="P1095" s="11"/>
      <c r="Q1095" s="11"/>
      <c r="R1095" s="3"/>
    </row>
    <row r="1096" spans="1:18" x14ac:dyDescent="0.2">
      <c r="A1096" s="11">
        <v>803</v>
      </c>
      <c r="B1096" s="11">
        <v>1</v>
      </c>
      <c r="C1096" s="11" t="s">
        <v>261</v>
      </c>
      <c r="D1096" s="11">
        <f t="shared" si="32"/>
        <v>2</v>
      </c>
      <c r="E1096">
        <f t="shared" si="33"/>
        <v>803002</v>
      </c>
      <c r="F1096" s="11">
        <v>414</v>
      </c>
      <c r="G1096" s="11" t="s">
        <v>9</v>
      </c>
      <c r="H1096" s="3">
        <v>18315.810000000001</v>
      </c>
      <c r="K1096" s="11"/>
      <c r="L1096" s="11"/>
      <c r="M1096" s="11"/>
      <c r="N1096" s="11"/>
      <c r="P1096" s="11"/>
      <c r="Q1096" s="11"/>
      <c r="R1096" s="3"/>
    </row>
    <row r="1097" spans="1:18" x14ac:dyDescent="0.2">
      <c r="A1097" s="11">
        <v>803</v>
      </c>
      <c r="B1097" s="11">
        <v>1</v>
      </c>
      <c r="C1097" s="11" t="s">
        <v>261</v>
      </c>
      <c r="D1097" s="11">
        <f t="shared" si="32"/>
        <v>3</v>
      </c>
      <c r="E1097">
        <f t="shared" si="33"/>
        <v>803003</v>
      </c>
      <c r="F1097" s="11">
        <v>433</v>
      </c>
      <c r="G1097" s="11" t="s">
        <v>30</v>
      </c>
      <c r="H1097" s="3">
        <v>1077.1099999999999</v>
      </c>
      <c r="K1097" s="11"/>
      <c r="L1097" s="11"/>
      <c r="M1097" s="11"/>
      <c r="N1097" s="11"/>
      <c r="P1097" s="11"/>
      <c r="Q1097" s="11"/>
      <c r="R1097" s="3"/>
    </row>
    <row r="1098" spans="1:18" x14ac:dyDescent="0.2">
      <c r="A1098" s="11">
        <v>803</v>
      </c>
      <c r="B1098" s="11">
        <v>1</v>
      </c>
      <c r="C1098" s="11" t="s">
        <v>261</v>
      </c>
      <c r="D1098" s="11">
        <f t="shared" si="32"/>
        <v>4</v>
      </c>
      <c r="E1098">
        <f t="shared" si="33"/>
        <v>803004</v>
      </c>
      <c r="F1098" s="11">
        <v>470</v>
      </c>
      <c r="G1098" s="11" t="s">
        <v>6</v>
      </c>
      <c r="H1098" s="3">
        <v>24674.74</v>
      </c>
      <c r="K1098" s="11"/>
      <c r="L1098" s="11"/>
      <c r="M1098" s="11"/>
      <c r="N1098" s="11"/>
      <c r="P1098" s="11"/>
      <c r="Q1098" s="11"/>
      <c r="R1098" s="3"/>
    </row>
    <row r="1099" spans="1:18" x14ac:dyDescent="0.2">
      <c r="A1099" s="11">
        <v>811</v>
      </c>
      <c r="B1099" s="11">
        <v>1</v>
      </c>
      <c r="C1099" s="11" t="s">
        <v>262</v>
      </c>
      <c r="D1099" s="11">
        <f t="shared" si="32"/>
        <v>1</v>
      </c>
      <c r="E1099">
        <f t="shared" si="33"/>
        <v>811001</v>
      </c>
      <c r="F1099" s="11">
        <v>151</v>
      </c>
      <c r="G1099" s="11" t="s">
        <v>28</v>
      </c>
      <c r="H1099" s="3">
        <v>248731.7</v>
      </c>
      <c r="K1099" s="11"/>
      <c r="L1099" s="11"/>
      <c r="M1099" s="11"/>
      <c r="N1099" s="11"/>
      <c r="P1099" s="11"/>
      <c r="Q1099" s="11"/>
      <c r="R1099" s="3"/>
    </row>
    <row r="1100" spans="1:18" x14ac:dyDescent="0.2">
      <c r="A1100" s="11">
        <v>811</v>
      </c>
      <c r="B1100" s="11">
        <v>1</v>
      </c>
      <c r="C1100" s="11" t="s">
        <v>262</v>
      </c>
      <c r="D1100" s="11">
        <f t="shared" si="32"/>
        <v>2</v>
      </c>
      <c r="E1100">
        <f t="shared" si="33"/>
        <v>811002</v>
      </c>
      <c r="F1100" s="11">
        <v>401</v>
      </c>
      <c r="G1100" s="11" t="s">
        <v>29</v>
      </c>
      <c r="H1100" s="3">
        <v>63693.95</v>
      </c>
      <c r="K1100" s="11"/>
      <c r="L1100" s="11"/>
      <c r="M1100" s="11"/>
      <c r="N1100" s="11"/>
      <c r="P1100" s="11"/>
      <c r="Q1100" s="11"/>
      <c r="R1100" s="3"/>
    </row>
    <row r="1101" spans="1:18" x14ac:dyDescent="0.2">
      <c r="A1101" s="11">
        <v>811</v>
      </c>
      <c r="B1101" s="11">
        <v>1</v>
      </c>
      <c r="C1101" s="11" t="s">
        <v>262</v>
      </c>
      <c r="D1101" s="11">
        <f t="shared" si="32"/>
        <v>3</v>
      </c>
      <c r="E1101">
        <f t="shared" si="33"/>
        <v>811003</v>
      </c>
      <c r="F1101" s="11">
        <v>414</v>
      </c>
      <c r="G1101" s="11" t="s">
        <v>9</v>
      </c>
      <c r="H1101" s="3">
        <v>35649.160000000003</v>
      </c>
      <c r="K1101" s="11"/>
      <c r="L1101" s="11"/>
      <c r="M1101" s="11"/>
      <c r="N1101" s="11"/>
      <c r="P1101" s="11"/>
      <c r="Q1101" s="11"/>
      <c r="R1101" s="3"/>
    </row>
    <row r="1102" spans="1:18" x14ac:dyDescent="0.2">
      <c r="A1102" s="11">
        <v>811</v>
      </c>
      <c r="B1102" s="11">
        <v>1</v>
      </c>
      <c r="C1102" s="11" t="s">
        <v>262</v>
      </c>
      <c r="D1102" s="11">
        <f t="shared" si="32"/>
        <v>4</v>
      </c>
      <c r="E1102">
        <f t="shared" si="33"/>
        <v>811004</v>
      </c>
      <c r="F1102" s="11">
        <v>433</v>
      </c>
      <c r="G1102" s="11" t="s">
        <v>30</v>
      </c>
      <c r="H1102" s="3">
        <v>1757.75</v>
      </c>
      <c r="K1102" s="11"/>
      <c r="L1102" s="11"/>
      <c r="M1102" s="11"/>
      <c r="N1102" s="11"/>
      <c r="P1102" s="11"/>
      <c r="Q1102" s="11"/>
      <c r="R1102" s="3"/>
    </row>
    <row r="1103" spans="1:18" x14ac:dyDescent="0.2">
      <c r="A1103" s="11">
        <v>811</v>
      </c>
      <c r="B1103" s="11">
        <v>1</v>
      </c>
      <c r="C1103" s="11" t="s">
        <v>262</v>
      </c>
      <c r="D1103" s="11">
        <f t="shared" ref="D1103:D1166" si="34">IF(A1103=A1102,D1102+1,1)</f>
        <v>5</v>
      </c>
      <c r="E1103">
        <f t="shared" ref="E1103:E1166" si="35">1000*A1103+D1103</f>
        <v>811005</v>
      </c>
      <c r="F1103" s="11">
        <v>470</v>
      </c>
      <c r="G1103" s="11" t="s">
        <v>6</v>
      </c>
      <c r="H1103" s="3">
        <v>38245.839999999997</v>
      </c>
      <c r="K1103" s="11"/>
      <c r="L1103" s="11"/>
      <c r="M1103" s="11"/>
      <c r="N1103" s="11"/>
      <c r="P1103" s="11"/>
      <c r="Q1103" s="11"/>
      <c r="R1103" s="3"/>
    </row>
    <row r="1104" spans="1:18" x14ac:dyDescent="0.2">
      <c r="A1104" s="11">
        <v>813</v>
      </c>
      <c r="B1104" s="11">
        <v>1</v>
      </c>
      <c r="C1104" s="11" t="s">
        <v>263</v>
      </c>
      <c r="D1104" s="11">
        <f t="shared" si="34"/>
        <v>1</v>
      </c>
      <c r="E1104">
        <f t="shared" si="35"/>
        <v>813001</v>
      </c>
      <c r="F1104" s="11">
        <v>433</v>
      </c>
      <c r="G1104" s="11" t="s">
        <v>30</v>
      </c>
      <c r="H1104" s="3">
        <v>3389.12</v>
      </c>
      <c r="K1104" s="11"/>
      <c r="L1104" s="11"/>
      <c r="M1104" s="11"/>
      <c r="N1104" s="11"/>
      <c r="P1104" s="11"/>
      <c r="Q1104" s="11"/>
      <c r="R1104" s="3"/>
    </row>
    <row r="1105" spans="1:18" x14ac:dyDescent="0.2">
      <c r="A1105" s="11">
        <v>813</v>
      </c>
      <c r="B1105" s="11">
        <v>1</v>
      </c>
      <c r="C1105" s="11" t="s">
        <v>263</v>
      </c>
      <c r="D1105" s="11">
        <f t="shared" si="34"/>
        <v>2</v>
      </c>
      <c r="E1105">
        <f t="shared" si="35"/>
        <v>813002</v>
      </c>
      <c r="F1105" s="11">
        <v>470</v>
      </c>
      <c r="G1105" s="11" t="s">
        <v>6</v>
      </c>
      <c r="H1105" s="3">
        <v>70939.87</v>
      </c>
      <c r="K1105" s="11"/>
      <c r="L1105" s="11"/>
      <c r="M1105" s="11"/>
      <c r="N1105" s="11"/>
      <c r="P1105" s="11"/>
      <c r="Q1105" s="11"/>
      <c r="R1105" s="3"/>
    </row>
    <row r="1106" spans="1:18" x14ac:dyDescent="0.2">
      <c r="A1106" s="11">
        <v>815</v>
      </c>
      <c r="B1106" s="11">
        <v>2</v>
      </c>
      <c r="C1106" s="11" t="s">
        <v>264</v>
      </c>
      <c r="D1106" s="11">
        <f t="shared" si="34"/>
        <v>1</v>
      </c>
      <c r="E1106">
        <f t="shared" si="35"/>
        <v>815001</v>
      </c>
      <c r="F1106" s="11">
        <v>401</v>
      </c>
      <c r="G1106" s="11" t="s">
        <v>29</v>
      </c>
      <c r="H1106" s="3">
        <v>15146.46</v>
      </c>
      <c r="K1106" s="11"/>
      <c r="L1106" s="11"/>
      <c r="M1106" s="11"/>
      <c r="N1106" s="11"/>
      <c r="P1106" s="11"/>
      <c r="Q1106" s="11"/>
      <c r="R1106" s="3"/>
    </row>
    <row r="1107" spans="1:18" x14ac:dyDescent="0.2">
      <c r="A1107" s="11">
        <v>815</v>
      </c>
      <c r="B1107" s="11">
        <v>2</v>
      </c>
      <c r="C1107" s="11" t="s">
        <v>264</v>
      </c>
      <c r="D1107" s="11">
        <f t="shared" si="34"/>
        <v>2</v>
      </c>
      <c r="E1107">
        <f t="shared" si="35"/>
        <v>815002</v>
      </c>
      <c r="F1107" s="11">
        <v>414</v>
      </c>
      <c r="G1107" s="11" t="s">
        <v>9</v>
      </c>
      <c r="H1107" s="3">
        <v>9355.86</v>
      </c>
      <c r="K1107" s="11"/>
      <c r="L1107" s="11"/>
      <c r="M1107" s="11"/>
      <c r="N1107" s="11"/>
      <c r="P1107" s="11"/>
      <c r="Q1107" s="11"/>
      <c r="R1107" s="3"/>
    </row>
    <row r="1108" spans="1:18" x14ac:dyDescent="0.2">
      <c r="A1108" s="11">
        <v>815</v>
      </c>
      <c r="B1108" s="11">
        <v>2</v>
      </c>
      <c r="C1108" s="11" t="s">
        <v>264</v>
      </c>
      <c r="D1108" s="11">
        <f t="shared" si="34"/>
        <v>3</v>
      </c>
      <c r="E1108">
        <f t="shared" si="35"/>
        <v>815003</v>
      </c>
      <c r="F1108" s="11">
        <v>433</v>
      </c>
      <c r="G1108" s="11" t="s">
        <v>30</v>
      </c>
      <c r="H1108" s="3">
        <v>587.20000000000005</v>
      </c>
      <c r="K1108" s="11"/>
      <c r="L1108" s="11"/>
      <c r="M1108" s="11"/>
      <c r="N1108" s="11"/>
      <c r="P1108" s="11"/>
      <c r="Q1108" s="11"/>
      <c r="R1108" s="3"/>
    </row>
    <row r="1109" spans="1:18" x14ac:dyDescent="0.2">
      <c r="A1109" s="11">
        <v>815</v>
      </c>
      <c r="B1109" s="11">
        <v>2</v>
      </c>
      <c r="C1109" s="11" t="s">
        <v>264</v>
      </c>
      <c r="D1109" s="11">
        <f t="shared" si="34"/>
        <v>4</v>
      </c>
      <c r="E1109">
        <f t="shared" si="35"/>
        <v>815004</v>
      </c>
      <c r="F1109" s="11">
        <v>470</v>
      </c>
      <c r="G1109" s="11" t="s">
        <v>6</v>
      </c>
      <c r="H1109" s="3">
        <v>9253.0300000000007</v>
      </c>
      <c r="K1109" s="11"/>
      <c r="L1109" s="11"/>
      <c r="M1109" s="11"/>
      <c r="N1109" s="11"/>
      <c r="P1109" s="11"/>
      <c r="Q1109" s="11"/>
      <c r="R1109" s="3"/>
    </row>
    <row r="1110" spans="1:18" x14ac:dyDescent="0.2">
      <c r="A1110" s="11">
        <v>818</v>
      </c>
      <c r="B1110" s="11">
        <v>1</v>
      </c>
      <c r="C1110" s="11" t="s">
        <v>265</v>
      </c>
      <c r="D1110" s="11">
        <f t="shared" si="34"/>
        <v>1</v>
      </c>
      <c r="E1110">
        <f t="shared" si="35"/>
        <v>818001</v>
      </c>
      <c r="F1110" s="11">
        <v>151</v>
      </c>
      <c r="G1110" s="11" t="s">
        <v>28</v>
      </c>
      <c r="H1110" s="3">
        <v>186344.2</v>
      </c>
      <c r="K1110" s="11"/>
      <c r="L1110" s="11"/>
      <c r="M1110" s="11"/>
      <c r="N1110" s="11"/>
      <c r="P1110" s="11"/>
      <c r="Q1110" s="11"/>
      <c r="R1110" s="3"/>
    </row>
    <row r="1111" spans="1:18" x14ac:dyDescent="0.2">
      <c r="A1111" s="11">
        <v>818</v>
      </c>
      <c r="B1111" s="11">
        <v>1</v>
      </c>
      <c r="C1111" s="11" t="s">
        <v>265</v>
      </c>
      <c r="D1111" s="11">
        <f t="shared" si="34"/>
        <v>2</v>
      </c>
      <c r="E1111">
        <f t="shared" si="35"/>
        <v>818002</v>
      </c>
      <c r="F1111" s="11">
        <v>401</v>
      </c>
      <c r="G1111" s="11" t="s">
        <v>29</v>
      </c>
      <c r="H1111" s="3">
        <v>55480.7</v>
      </c>
      <c r="K1111" s="11"/>
      <c r="L1111" s="11"/>
      <c r="M1111" s="11"/>
      <c r="N1111" s="11"/>
      <c r="P1111" s="11"/>
      <c r="Q1111" s="11"/>
      <c r="R1111" s="3"/>
    </row>
    <row r="1112" spans="1:18" x14ac:dyDescent="0.2">
      <c r="A1112" s="11">
        <v>818</v>
      </c>
      <c r="B1112" s="11">
        <v>1</v>
      </c>
      <c r="C1112" s="11" t="s">
        <v>265</v>
      </c>
      <c r="D1112" s="11">
        <f t="shared" si="34"/>
        <v>3</v>
      </c>
      <c r="E1112">
        <f t="shared" si="35"/>
        <v>818003</v>
      </c>
      <c r="F1112" s="11">
        <v>414</v>
      </c>
      <c r="G1112" s="11" t="s">
        <v>9</v>
      </c>
      <c r="H1112" s="3">
        <v>30491.1</v>
      </c>
      <c r="K1112" s="11"/>
      <c r="L1112" s="11"/>
      <c r="M1112" s="11"/>
      <c r="N1112" s="11"/>
      <c r="P1112" s="11"/>
      <c r="Q1112" s="11"/>
      <c r="R1112" s="3"/>
    </row>
    <row r="1113" spans="1:18" x14ac:dyDescent="0.2">
      <c r="A1113" s="11">
        <v>818</v>
      </c>
      <c r="B1113" s="11">
        <v>1</v>
      </c>
      <c r="C1113" s="11" t="s">
        <v>265</v>
      </c>
      <c r="D1113" s="11">
        <f t="shared" si="34"/>
        <v>4</v>
      </c>
      <c r="E1113">
        <f t="shared" si="35"/>
        <v>818004</v>
      </c>
      <c r="F1113" s="11">
        <v>433</v>
      </c>
      <c r="G1113" s="11" t="s">
        <v>30</v>
      </c>
      <c r="H1113" s="3">
        <v>1338.85</v>
      </c>
      <c r="K1113" s="11"/>
      <c r="L1113" s="11"/>
      <c r="M1113" s="11"/>
      <c r="N1113" s="11"/>
      <c r="P1113" s="11"/>
      <c r="Q1113" s="11"/>
      <c r="R1113" s="3"/>
    </row>
    <row r="1114" spans="1:18" x14ac:dyDescent="0.2">
      <c r="A1114" s="11">
        <v>818</v>
      </c>
      <c r="B1114" s="11">
        <v>1</v>
      </c>
      <c r="C1114" s="11" t="s">
        <v>265</v>
      </c>
      <c r="D1114" s="11">
        <f t="shared" si="34"/>
        <v>5</v>
      </c>
      <c r="E1114">
        <f t="shared" si="35"/>
        <v>818005</v>
      </c>
      <c r="F1114" s="11">
        <v>470</v>
      </c>
      <c r="G1114" s="11" t="s">
        <v>6</v>
      </c>
      <c r="H1114" s="3">
        <v>23801.53</v>
      </c>
      <c r="K1114" s="11"/>
      <c r="L1114" s="11"/>
      <c r="M1114" s="11"/>
      <c r="N1114" s="11"/>
      <c r="P1114" s="11"/>
      <c r="Q1114" s="11"/>
      <c r="R1114" s="3"/>
    </row>
    <row r="1115" spans="1:18" x14ac:dyDescent="0.2">
      <c r="A1115" s="11">
        <v>820</v>
      </c>
      <c r="B1115" s="11">
        <v>1</v>
      </c>
      <c r="C1115" s="11" t="s">
        <v>266</v>
      </c>
      <c r="D1115" s="11">
        <f t="shared" si="34"/>
        <v>1</v>
      </c>
      <c r="E1115">
        <f t="shared" si="35"/>
        <v>820001</v>
      </c>
      <c r="F1115" s="11">
        <v>151</v>
      </c>
      <c r="G1115" s="11" t="s">
        <v>28</v>
      </c>
      <c r="H1115" s="3">
        <v>237114.58</v>
      </c>
      <c r="K1115" s="11"/>
      <c r="L1115" s="11"/>
      <c r="M1115" s="11"/>
      <c r="N1115" s="11"/>
      <c r="P1115" s="11"/>
      <c r="Q1115" s="11"/>
      <c r="R1115" s="3"/>
    </row>
    <row r="1116" spans="1:18" x14ac:dyDescent="0.2">
      <c r="A1116" s="11">
        <v>820</v>
      </c>
      <c r="B1116" s="11">
        <v>1</v>
      </c>
      <c r="C1116" s="11" t="s">
        <v>266</v>
      </c>
      <c r="D1116" s="11">
        <f t="shared" si="34"/>
        <v>2</v>
      </c>
      <c r="E1116">
        <f t="shared" si="35"/>
        <v>820002</v>
      </c>
      <c r="F1116" s="11">
        <v>401</v>
      </c>
      <c r="G1116" s="11" t="s">
        <v>29</v>
      </c>
      <c r="H1116" s="3">
        <v>104827.35</v>
      </c>
      <c r="K1116" s="11"/>
      <c r="L1116" s="11"/>
      <c r="M1116" s="11"/>
      <c r="N1116" s="11"/>
      <c r="P1116" s="11"/>
      <c r="Q1116" s="11"/>
      <c r="R1116" s="3"/>
    </row>
    <row r="1117" spans="1:18" x14ac:dyDescent="0.2">
      <c r="A1117" s="11">
        <v>820</v>
      </c>
      <c r="B1117" s="11">
        <v>1</v>
      </c>
      <c r="C1117" s="11" t="s">
        <v>266</v>
      </c>
      <c r="D1117" s="11">
        <f t="shared" si="34"/>
        <v>3</v>
      </c>
      <c r="E1117">
        <f t="shared" si="35"/>
        <v>820003</v>
      </c>
      <c r="F1117" s="11">
        <v>414</v>
      </c>
      <c r="G1117" s="11" t="s">
        <v>9</v>
      </c>
      <c r="H1117" s="3">
        <v>42602.52</v>
      </c>
      <c r="K1117" s="11"/>
      <c r="L1117" s="11"/>
      <c r="M1117" s="11"/>
      <c r="N1117" s="11"/>
      <c r="P1117" s="11"/>
      <c r="Q1117" s="11"/>
      <c r="R1117" s="3"/>
    </row>
    <row r="1118" spans="1:18" x14ac:dyDescent="0.2">
      <c r="A1118" s="11">
        <v>820</v>
      </c>
      <c r="B1118" s="11">
        <v>1</v>
      </c>
      <c r="C1118" s="11" t="s">
        <v>266</v>
      </c>
      <c r="D1118" s="11">
        <f t="shared" si="34"/>
        <v>4</v>
      </c>
      <c r="E1118">
        <f t="shared" si="35"/>
        <v>820004</v>
      </c>
      <c r="F1118" s="11">
        <v>433</v>
      </c>
      <c r="G1118" s="11" t="s">
        <v>30</v>
      </c>
      <c r="H1118" s="3">
        <v>2059.9499999999998</v>
      </c>
      <c r="K1118" s="11"/>
      <c r="L1118" s="11"/>
      <c r="M1118" s="11"/>
      <c r="N1118" s="11"/>
      <c r="P1118" s="11"/>
      <c r="Q1118" s="11"/>
      <c r="R1118" s="3"/>
    </row>
    <row r="1119" spans="1:18" x14ac:dyDescent="0.2">
      <c r="A1119" s="11">
        <v>820</v>
      </c>
      <c r="B1119" s="11">
        <v>1</v>
      </c>
      <c r="C1119" s="11" t="s">
        <v>266</v>
      </c>
      <c r="D1119" s="11">
        <f t="shared" si="34"/>
        <v>5</v>
      </c>
      <c r="E1119">
        <f t="shared" si="35"/>
        <v>820005</v>
      </c>
      <c r="F1119" s="11">
        <v>470</v>
      </c>
      <c r="G1119" s="11" t="s">
        <v>6</v>
      </c>
      <c r="H1119" s="3">
        <v>59791.92</v>
      </c>
      <c r="K1119" s="11"/>
      <c r="L1119" s="11"/>
      <c r="M1119" s="11"/>
      <c r="N1119" s="11"/>
      <c r="P1119" s="11"/>
      <c r="Q1119" s="11"/>
      <c r="R1119" s="3"/>
    </row>
    <row r="1120" spans="1:18" x14ac:dyDescent="0.2">
      <c r="A1120" s="11">
        <v>821</v>
      </c>
      <c r="B1120" s="11">
        <v>1</v>
      </c>
      <c r="C1120" s="11" t="s">
        <v>267</v>
      </c>
      <c r="D1120" s="11">
        <f t="shared" si="34"/>
        <v>1</v>
      </c>
      <c r="E1120">
        <f t="shared" si="35"/>
        <v>821001</v>
      </c>
      <c r="F1120" s="11">
        <v>401</v>
      </c>
      <c r="G1120" s="11" t="s">
        <v>29</v>
      </c>
      <c r="H1120" s="3">
        <v>162147.91</v>
      </c>
      <c r="K1120" s="11"/>
      <c r="L1120" s="11"/>
      <c r="M1120" s="11"/>
      <c r="N1120" s="11"/>
      <c r="P1120" s="11"/>
      <c r="Q1120" s="11"/>
      <c r="R1120" s="3"/>
    </row>
    <row r="1121" spans="1:18" x14ac:dyDescent="0.2">
      <c r="A1121" s="11">
        <v>821</v>
      </c>
      <c r="B1121" s="11">
        <v>1</v>
      </c>
      <c r="C1121" s="11" t="s">
        <v>267</v>
      </c>
      <c r="D1121" s="11">
        <f t="shared" si="34"/>
        <v>2</v>
      </c>
      <c r="E1121">
        <f t="shared" si="35"/>
        <v>821002</v>
      </c>
      <c r="F1121" s="11">
        <v>414</v>
      </c>
      <c r="G1121" s="11" t="s">
        <v>9</v>
      </c>
      <c r="H1121" s="3">
        <v>49016.75</v>
      </c>
      <c r="K1121" s="11"/>
      <c r="L1121" s="11"/>
      <c r="M1121" s="11"/>
      <c r="N1121" s="11"/>
      <c r="P1121" s="11"/>
      <c r="Q1121" s="11"/>
      <c r="R1121" s="3"/>
    </row>
    <row r="1122" spans="1:18" x14ac:dyDescent="0.2">
      <c r="A1122" s="11">
        <v>821</v>
      </c>
      <c r="B1122" s="11">
        <v>1</v>
      </c>
      <c r="C1122" s="11" t="s">
        <v>267</v>
      </c>
      <c r="D1122" s="11">
        <f t="shared" si="34"/>
        <v>3</v>
      </c>
      <c r="E1122">
        <f t="shared" si="35"/>
        <v>821003</v>
      </c>
      <c r="F1122" s="11">
        <v>433</v>
      </c>
      <c r="G1122" s="11" t="s">
        <v>30</v>
      </c>
      <c r="H1122" s="3">
        <v>3151.61</v>
      </c>
      <c r="K1122" s="11"/>
      <c r="L1122" s="11"/>
      <c r="M1122" s="11"/>
      <c r="N1122" s="11"/>
      <c r="P1122" s="11"/>
      <c r="Q1122" s="11"/>
      <c r="R1122" s="3"/>
    </row>
    <row r="1123" spans="1:18" x14ac:dyDescent="0.2">
      <c r="A1123" s="11">
        <v>821</v>
      </c>
      <c r="B1123" s="11">
        <v>1</v>
      </c>
      <c r="C1123" s="11" t="s">
        <v>267</v>
      </c>
      <c r="D1123" s="11">
        <f t="shared" si="34"/>
        <v>4</v>
      </c>
      <c r="E1123">
        <f t="shared" si="35"/>
        <v>821004</v>
      </c>
      <c r="F1123" s="11">
        <v>470</v>
      </c>
      <c r="G1123" s="11" t="s">
        <v>6</v>
      </c>
      <c r="H1123" s="3">
        <v>94385.95</v>
      </c>
      <c r="K1123" s="11"/>
      <c r="L1123" s="11"/>
      <c r="M1123" s="11"/>
      <c r="N1123" s="11"/>
      <c r="P1123" s="11"/>
      <c r="Q1123" s="11"/>
      <c r="R1123" s="3"/>
    </row>
    <row r="1124" spans="1:18" x14ac:dyDescent="0.2">
      <c r="A1124" s="11">
        <v>829</v>
      </c>
      <c r="B1124" s="11">
        <v>1</v>
      </c>
      <c r="C1124" s="11" t="s">
        <v>268</v>
      </c>
      <c r="D1124" s="11">
        <f t="shared" si="34"/>
        <v>1</v>
      </c>
      <c r="E1124">
        <f t="shared" si="35"/>
        <v>829001</v>
      </c>
      <c r="F1124" s="11">
        <v>401</v>
      </c>
      <c r="G1124" s="11" t="s">
        <v>29</v>
      </c>
      <c r="H1124" s="3">
        <v>233344.97</v>
      </c>
      <c r="K1124" s="11"/>
      <c r="L1124" s="11"/>
      <c r="M1124" s="11"/>
      <c r="N1124" s="11"/>
      <c r="P1124" s="11"/>
      <c r="Q1124" s="11"/>
      <c r="R1124" s="3"/>
    </row>
    <row r="1125" spans="1:18" x14ac:dyDescent="0.2">
      <c r="A1125" s="11">
        <v>829</v>
      </c>
      <c r="B1125" s="11">
        <v>1</v>
      </c>
      <c r="C1125" s="11" t="s">
        <v>268</v>
      </c>
      <c r="D1125" s="11">
        <f t="shared" si="34"/>
        <v>2</v>
      </c>
      <c r="E1125">
        <f t="shared" si="35"/>
        <v>829002</v>
      </c>
      <c r="F1125" s="11">
        <v>414</v>
      </c>
      <c r="G1125" s="11" t="s">
        <v>9</v>
      </c>
      <c r="H1125" s="3">
        <v>74224.320000000007</v>
      </c>
      <c r="K1125" s="11"/>
      <c r="L1125" s="11"/>
      <c r="M1125" s="11"/>
      <c r="N1125" s="11"/>
      <c r="P1125" s="11"/>
      <c r="Q1125" s="11"/>
      <c r="R1125" s="3"/>
    </row>
    <row r="1126" spans="1:18" x14ac:dyDescent="0.2">
      <c r="A1126" s="11">
        <v>829</v>
      </c>
      <c r="B1126" s="11">
        <v>1</v>
      </c>
      <c r="C1126" s="11" t="s">
        <v>268</v>
      </c>
      <c r="D1126" s="11">
        <f t="shared" si="34"/>
        <v>3</v>
      </c>
      <c r="E1126">
        <f t="shared" si="35"/>
        <v>829003</v>
      </c>
      <c r="F1126" s="11">
        <v>433</v>
      </c>
      <c r="G1126" s="11" t="s">
        <v>30</v>
      </c>
      <c r="H1126" s="3">
        <v>5742.83</v>
      </c>
      <c r="K1126" s="11"/>
      <c r="L1126" s="11"/>
      <c r="M1126" s="11"/>
      <c r="N1126" s="11"/>
      <c r="P1126" s="11"/>
      <c r="Q1126" s="11"/>
      <c r="R1126" s="3"/>
    </row>
    <row r="1127" spans="1:18" x14ac:dyDescent="0.2">
      <c r="A1127" s="11">
        <v>829</v>
      </c>
      <c r="B1127" s="11">
        <v>1</v>
      </c>
      <c r="C1127" s="11" t="s">
        <v>268</v>
      </c>
      <c r="D1127" s="11">
        <f t="shared" si="34"/>
        <v>4</v>
      </c>
      <c r="E1127">
        <f t="shared" si="35"/>
        <v>829004</v>
      </c>
      <c r="F1127" s="11">
        <v>438</v>
      </c>
      <c r="G1127" s="11" t="s">
        <v>15</v>
      </c>
      <c r="H1127" s="3">
        <v>8626.52</v>
      </c>
      <c r="K1127" s="11"/>
      <c r="L1127" s="11"/>
      <c r="M1127" s="11"/>
      <c r="N1127" s="11"/>
      <c r="P1127" s="11"/>
      <c r="Q1127" s="11"/>
      <c r="R1127" s="3"/>
    </row>
    <row r="1128" spans="1:18" x14ac:dyDescent="0.2">
      <c r="A1128" s="11">
        <v>829</v>
      </c>
      <c r="B1128" s="11">
        <v>1</v>
      </c>
      <c r="C1128" s="11" t="s">
        <v>268</v>
      </c>
      <c r="D1128" s="11">
        <f t="shared" si="34"/>
        <v>5</v>
      </c>
      <c r="E1128">
        <f t="shared" si="35"/>
        <v>829005</v>
      </c>
      <c r="F1128" s="11">
        <v>441</v>
      </c>
      <c r="G1128" s="11" t="s">
        <v>16</v>
      </c>
      <c r="H1128" s="3">
        <v>2525</v>
      </c>
      <c r="K1128" s="11"/>
      <c r="L1128" s="11"/>
      <c r="M1128" s="11"/>
      <c r="N1128" s="11"/>
      <c r="P1128" s="11"/>
      <c r="Q1128" s="11"/>
      <c r="R1128" s="3"/>
    </row>
    <row r="1129" spans="1:18" x14ac:dyDescent="0.2">
      <c r="A1129" s="11">
        <v>829</v>
      </c>
      <c r="B1129" s="11">
        <v>1</v>
      </c>
      <c r="C1129" s="11" t="s">
        <v>268</v>
      </c>
      <c r="D1129" s="11">
        <f t="shared" si="34"/>
        <v>6</v>
      </c>
      <c r="E1129">
        <f t="shared" si="35"/>
        <v>829006</v>
      </c>
      <c r="F1129" s="11">
        <v>470</v>
      </c>
      <c r="G1129" s="11" t="s">
        <v>6</v>
      </c>
      <c r="H1129" s="3">
        <v>138795.4</v>
      </c>
      <c r="K1129" s="11"/>
      <c r="L1129" s="11"/>
      <c r="M1129" s="11"/>
      <c r="N1129" s="11"/>
      <c r="P1129" s="11"/>
      <c r="Q1129" s="11"/>
      <c r="R1129" s="3"/>
    </row>
    <row r="1130" spans="1:18" x14ac:dyDescent="0.2">
      <c r="A1130" s="11">
        <v>829</v>
      </c>
      <c r="B1130" s="11">
        <v>1</v>
      </c>
      <c r="C1130" s="11" t="s">
        <v>268</v>
      </c>
      <c r="D1130" s="11">
        <f t="shared" si="34"/>
        <v>7</v>
      </c>
      <c r="E1130">
        <f t="shared" si="35"/>
        <v>829007</v>
      </c>
      <c r="F1130" s="11">
        <v>480</v>
      </c>
      <c r="G1130" s="11" t="s">
        <v>19</v>
      </c>
      <c r="H1130" s="3">
        <v>1013155.22</v>
      </c>
      <c r="K1130" s="11"/>
      <c r="L1130" s="11"/>
      <c r="M1130" s="11"/>
      <c r="N1130" s="11"/>
      <c r="P1130" s="11"/>
      <c r="Q1130" s="11"/>
      <c r="R1130" s="3"/>
    </row>
    <row r="1131" spans="1:18" x14ac:dyDescent="0.2">
      <c r="A1131" s="11">
        <v>829</v>
      </c>
      <c r="B1131" s="11">
        <v>1</v>
      </c>
      <c r="C1131" s="11" t="s">
        <v>268</v>
      </c>
      <c r="D1131" s="11">
        <f t="shared" si="34"/>
        <v>8</v>
      </c>
      <c r="E1131">
        <f t="shared" si="35"/>
        <v>829008</v>
      </c>
      <c r="F1131" s="11">
        <v>484</v>
      </c>
      <c r="G1131" s="11" t="s">
        <v>20</v>
      </c>
      <c r="H1131" s="3">
        <v>41496.14</v>
      </c>
      <c r="K1131" s="11"/>
      <c r="L1131" s="11"/>
      <c r="M1131" s="11"/>
      <c r="N1131" s="11"/>
      <c r="P1131" s="11"/>
      <c r="Q1131" s="11"/>
      <c r="R1131" s="3"/>
    </row>
    <row r="1132" spans="1:18" x14ac:dyDescent="0.2">
      <c r="A1132" s="11">
        <v>829</v>
      </c>
      <c r="B1132" s="11">
        <v>1</v>
      </c>
      <c r="C1132" s="11" t="s">
        <v>268</v>
      </c>
      <c r="D1132" s="11">
        <f t="shared" si="34"/>
        <v>9</v>
      </c>
      <c r="E1132">
        <f t="shared" si="35"/>
        <v>829009</v>
      </c>
      <c r="F1132" s="11">
        <v>486</v>
      </c>
      <c r="G1132" s="11" t="s">
        <v>21</v>
      </c>
      <c r="H1132" s="3">
        <v>23837.279999999999</v>
      </c>
      <c r="K1132" s="11"/>
      <c r="L1132" s="11"/>
      <c r="M1132" s="11"/>
      <c r="N1132" s="11"/>
      <c r="P1132" s="11"/>
      <c r="Q1132" s="11"/>
      <c r="R1132" s="3"/>
    </row>
    <row r="1133" spans="1:18" x14ac:dyDescent="0.2">
      <c r="A1133" s="11">
        <v>831</v>
      </c>
      <c r="B1133" s="11">
        <v>1</v>
      </c>
      <c r="C1133" s="11" t="s">
        <v>269</v>
      </c>
      <c r="D1133" s="11">
        <f t="shared" si="34"/>
        <v>1</v>
      </c>
      <c r="E1133">
        <f t="shared" si="35"/>
        <v>831001</v>
      </c>
      <c r="F1133" s="11">
        <v>414</v>
      </c>
      <c r="G1133" s="11" t="s">
        <v>9</v>
      </c>
      <c r="H1133" s="3">
        <v>197096.88</v>
      </c>
      <c r="K1133" s="11"/>
      <c r="L1133" s="11"/>
      <c r="M1133" s="11"/>
      <c r="N1133" s="11"/>
      <c r="P1133" s="11"/>
      <c r="Q1133" s="11"/>
      <c r="R1133" s="3"/>
    </row>
    <row r="1134" spans="1:18" x14ac:dyDescent="0.2">
      <c r="A1134" s="11">
        <v>831</v>
      </c>
      <c r="B1134" s="11">
        <v>1</v>
      </c>
      <c r="C1134" s="11" t="s">
        <v>269</v>
      </c>
      <c r="D1134" s="11">
        <f t="shared" si="34"/>
        <v>2</v>
      </c>
      <c r="E1134">
        <f t="shared" si="35"/>
        <v>831002</v>
      </c>
      <c r="F1134" s="11">
        <v>417</v>
      </c>
      <c r="G1134" s="11" t="s">
        <v>34</v>
      </c>
      <c r="H1134" s="3">
        <v>11435.57</v>
      </c>
      <c r="K1134" s="11"/>
      <c r="L1134" s="11"/>
      <c r="M1134" s="11"/>
      <c r="N1134" s="11"/>
      <c r="P1134" s="11"/>
      <c r="Q1134" s="11"/>
      <c r="R1134" s="3"/>
    </row>
    <row r="1135" spans="1:18" x14ac:dyDescent="0.2">
      <c r="A1135" s="11">
        <v>831</v>
      </c>
      <c r="B1135" s="11">
        <v>1</v>
      </c>
      <c r="C1135" s="11" t="s">
        <v>269</v>
      </c>
      <c r="D1135" s="11">
        <f t="shared" si="34"/>
        <v>3</v>
      </c>
      <c r="E1135">
        <f t="shared" si="35"/>
        <v>831003</v>
      </c>
      <c r="F1135" s="11">
        <v>420</v>
      </c>
      <c r="G1135" s="11" t="s">
        <v>11</v>
      </c>
      <c r="H1135" s="3">
        <v>36744.67</v>
      </c>
      <c r="K1135" s="11"/>
      <c r="L1135" s="11"/>
      <c r="M1135" s="11"/>
      <c r="N1135" s="11"/>
      <c r="P1135" s="11"/>
      <c r="Q1135" s="11"/>
      <c r="R1135" s="3"/>
    </row>
    <row r="1136" spans="1:18" x14ac:dyDescent="0.2">
      <c r="A1136" s="11">
        <v>831</v>
      </c>
      <c r="B1136" s="11">
        <v>1</v>
      </c>
      <c r="C1136" s="11" t="s">
        <v>269</v>
      </c>
      <c r="D1136" s="11">
        <f t="shared" si="34"/>
        <v>4</v>
      </c>
      <c r="E1136">
        <f t="shared" si="35"/>
        <v>831004</v>
      </c>
      <c r="F1136" s="11">
        <v>435</v>
      </c>
      <c r="G1136" s="11" t="s">
        <v>35</v>
      </c>
      <c r="H1136" s="3">
        <v>9630</v>
      </c>
      <c r="K1136" s="11"/>
      <c r="L1136" s="11"/>
      <c r="M1136" s="11"/>
      <c r="N1136" s="11"/>
      <c r="P1136" s="11"/>
      <c r="Q1136" s="11"/>
      <c r="R1136" s="3"/>
    </row>
    <row r="1137" spans="1:18" x14ac:dyDescent="0.2">
      <c r="A1137" s="11">
        <v>831</v>
      </c>
      <c r="B1137" s="11">
        <v>1</v>
      </c>
      <c r="C1137" s="11" t="s">
        <v>269</v>
      </c>
      <c r="D1137" s="11">
        <f t="shared" si="34"/>
        <v>5</v>
      </c>
      <c r="E1137">
        <f t="shared" si="35"/>
        <v>831005</v>
      </c>
      <c r="F1137" s="11">
        <v>470</v>
      </c>
      <c r="G1137" s="11" t="s">
        <v>6</v>
      </c>
      <c r="H1137" s="3">
        <v>285610.09999999998</v>
      </c>
      <c r="K1137" s="11"/>
      <c r="L1137" s="11"/>
      <c r="M1137" s="11"/>
      <c r="N1137" s="11"/>
      <c r="P1137" s="11"/>
      <c r="Q1137" s="11"/>
      <c r="R1137" s="3"/>
    </row>
    <row r="1138" spans="1:18" x14ac:dyDescent="0.2">
      <c r="A1138" s="11">
        <v>831</v>
      </c>
      <c r="B1138" s="11">
        <v>1</v>
      </c>
      <c r="C1138" s="11" t="s">
        <v>269</v>
      </c>
      <c r="D1138" s="11">
        <f t="shared" si="34"/>
        <v>6</v>
      </c>
      <c r="E1138">
        <f t="shared" si="35"/>
        <v>831006</v>
      </c>
      <c r="F1138" s="11">
        <v>480</v>
      </c>
      <c r="G1138" s="11" t="s">
        <v>19</v>
      </c>
      <c r="H1138" s="3">
        <v>1488727.15</v>
      </c>
      <c r="K1138" s="11"/>
      <c r="L1138" s="11"/>
      <c r="M1138" s="11"/>
      <c r="N1138" s="11"/>
      <c r="P1138" s="11"/>
      <c r="Q1138" s="11"/>
      <c r="R1138" s="3"/>
    </row>
    <row r="1139" spans="1:18" x14ac:dyDescent="0.2">
      <c r="A1139" s="11">
        <v>831</v>
      </c>
      <c r="B1139" s="11">
        <v>1</v>
      </c>
      <c r="C1139" s="11" t="s">
        <v>269</v>
      </c>
      <c r="D1139" s="11">
        <f t="shared" si="34"/>
        <v>7</v>
      </c>
      <c r="E1139">
        <f t="shared" si="35"/>
        <v>831007</v>
      </c>
      <c r="F1139" s="11">
        <v>484</v>
      </c>
      <c r="G1139" s="11" t="s">
        <v>20</v>
      </c>
      <c r="H1139" s="3">
        <v>60961.51</v>
      </c>
      <c r="K1139" s="11"/>
      <c r="L1139" s="11"/>
      <c r="M1139" s="11"/>
      <c r="N1139" s="11"/>
      <c r="P1139" s="11"/>
      <c r="Q1139" s="11"/>
      <c r="R1139" s="3"/>
    </row>
    <row r="1140" spans="1:18" x14ac:dyDescent="0.2">
      <c r="A1140" s="11">
        <v>831</v>
      </c>
      <c r="B1140" s="11">
        <v>1</v>
      </c>
      <c r="C1140" s="11" t="s">
        <v>269</v>
      </c>
      <c r="D1140" s="11">
        <f t="shared" si="34"/>
        <v>8</v>
      </c>
      <c r="E1140">
        <f t="shared" si="35"/>
        <v>831008</v>
      </c>
      <c r="F1140" s="11">
        <v>486</v>
      </c>
      <c r="G1140" s="11" t="s">
        <v>21</v>
      </c>
      <c r="H1140" s="3">
        <v>54825.75</v>
      </c>
      <c r="K1140" s="11"/>
      <c r="L1140" s="11"/>
      <c r="M1140" s="11"/>
      <c r="N1140" s="11"/>
      <c r="P1140" s="11"/>
      <c r="Q1140" s="11"/>
      <c r="R1140" s="3"/>
    </row>
    <row r="1141" spans="1:18" x14ac:dyDescent="0.2">
      <c r="A1141" s="11">
        <v>832</v>
      </c>
      <c r="B1141" s="11">
        <v>1</v>
      </c>
      <c r="C1141" s="11" t="s">
        <v>270</v>
      </c>
      <c r="D1141" s="11">
        <f t="shared" si="34"/>
        <v>1</v>
      </c>
      <c r="E1141">
        <f t="shared" si="35"/>
        <v>832001</v>
      </c>
      <c r="F1141" s="11">
        <v>435</v>
      </c>
      <c r="G1141" s="11" t="s">
        <v>35</v>
      </c>
      <c r="H1141" s="3">
        <v>5000</v>
      </c>
      <c r="K1141" s="11"/>
      <c r="L1141" s="11"/>
      <c r="M1141" s="11"/>
      <c r="N1141" s="11"/>
      <c r="P1141" s="11"/>
      <c r="Q1141" s="11"/>
      <c r="R1141" s="3"/>
    </row>
    <row r="1142" spans="1:18" x14ac:dyDescent="0.2">
      <c r="A1142" s="11">
        <v>832</v>
      </c>
      <c r="B1142" s="11">
        <v>1</v>
      </c>
      <c r="C1142" s="11" t="s">
        <v>270</v>
      </c>
      <c r="D1142" s="11">
        <f t="shared" si="34"/>
        <v>2</v>
      </c>
      <c r="E1142">
        <f t="shared" si="35"/>
        <v>832002</v>
      </c>
      <c r="F1142" s="11">
        <v>437</v>
      </c>
      <c r="G1142" s="11" t="s">
        <v>14</v>
      </c>
      <c r="H1142" s="3">
        <v>555</v>
      </c>
      <c r="K1142" s="11"/>
      <c r="L1142" s="11"/>
      <c r="M1142" s="11"/>
      <c r="N1142" s="11"/>
      <c r="P1142" s="11"/>
      <c r="Q1142" s="11"/>
      <c r="R1142" s="3"/>
    </row>
    <row r="1143" spans="1:18" x14ac:dyDescent="0.2">
      <c r="A1143" s="11">
        <v>832</v>
      </c>
      <c r="B1143" s="11">
        <v>1</v>
      </c>
      <c r="C1143" s="11" t="s">
        <v>270</v>
      </c>
      <c r="D1143" s="11">
        <f t="shared" si="34"/>
        <v>3</v>
      </c>
      <c r="E1143">
        <f t="shared" si="35"/>
        <v>832003</v>
      </c>
      <c r="F1143" s="11">
        <v>486</v>
      </c>
      <c r="G1143" s="11" t="s">
        <v>21</v>
      </c>
      <c r="H1143" s="3">
        <v>5959.32</v>
      </c>
      <c r="K1143" s="11"/>
      <c r="L1143" s="11"/>
      <c r="M1143" s="11"/>
      <c r="N1143" s="11"/>
      <c r="P1143" s="11"/>
      <c r="Q1143" s="11"/>
      <c r="R1143" s="3"/>
    </row>
    <row r="1144" spans="1:18" x14ac:dyDescent="0.2">
      <c r="A1144" s="11">
        <v>833</v>
      </c>
      <c r="B1144" s="11">
        <v>1</v>
      </c>
      <c r="C1144" s="11" t="s">
        <v>271</v>
      </c>
      <c r="D1144" s="11">
        <f t="shared" si="34"/>
        <v>1</v>
      </c>
      <c r="E1144">
        <f t="shared" si="35"/>
        <v>833001</v>
      </c>
      <c r="F1144" s="11">
        <v>437</v>
      </c>
      <c r="G1144" s="11" t="s">
        <v>14</v>
      </c>
      <c r="H1144" s="3">
        <v>3195</v>
      </c>
      <c r="K1144" s="11"/>
      <c r="L1144" s="11"/>
      <c r="M1144" s="11"/>
      <c r="N1144" s="11"/>
      <c r="P1144" s="11"/>
      <c r="Q1144" s="11"/>
      <c r="R1144" s="3"/>
    </row>
    <row r="1145" spans="1:18" x14ac:dyDescent="0.2">
      <c r="A1145" s="11">
        <v>833</v>
      </c>
      <c r="B1145" s="11">
        <v>1</v>
      </c>
      <c r="C1145" s="11" t="s">
        <v>271</v>
      </c>
      <c r="D1145" s="11">
        <f t="shared" si="34"/>
        <v>2</v>
      </c>
      <c r="E1145">
        <f t="shared" si="35"/>
        <v>833002</v>
      </c>
      <c r="F1145" s="11">
        <v>438</v>
      </c>
      <c r="G1145" s="11" t="s">
        <v>15</v>
      </c>
      <c r="H1145" s="3">
        <v>18670.009999999998</v>
      </c>
      <c r="K1145" s="11"/>
      <c r="L1145" s="11"/>
      <c r="M1145" s="11"/>
      <c r="N1145" s="11"/>
      <c r="P1145" s="11"/>
      <c r="Q1145" s="11"/>
      <c r="R1145" s="3"/>
    </row>
    <row r="1146" spans="1:18" x14ac:dyDescent="0.2">
      <c r="A1146" s="11">
        <v>833</v>
      </c>
      <c r="B1146" s="11">
        <v>1</v>
      </c>
      <c r="C1146" s="11" t="s">
        <v>271</v>
      </c>
      <c r="D1146" s="11">
        <f t="shared" si="34"/>
        <v>3</v>
      </c>
      <c r="E1146">
        <f t="shared" si="35"/>
        <v>833003</v>
      </c>
      <c r="F1146" s="11">
        <v>480</v>
      </c>
      <c r="G1146" s="11" t="s">
        <v>19</v>
      </c>
      <c r="H1146" s="3">
        <v>3399674.49</v>
      </c>
      <c r="K1146" s="11"/>
      <c r="L1146" s="11"/>
      <c r="M1146" s="11"/>
      <c r="N1146" s="11"/>
      <c r="P1146" s="11"/>
      <c r="Q1146" s="11"/>
      <c r="R1146" s="3"/>
    </row>
    <row r="1147" spans="1:18" x14ac:dyDescent="0.2">
      <c r="A1147" s="11">
        <v>833</v>
      </c>
      <c r="B1147" s="11">
        <v>1</v>
      </c>
      <c r="C1147" s="11" t="s">
        <v>271</v>
      </c>
      <c r="D1147" s="11">
        <f t="shared" si="34"/>
        <v>4</v>
      </c>
      <c r="E1147">
        <f t="shared" si="35"/>
        <v>833004</v>
      </c>
      <c r="F1147" s="11">
        <v>486</v>
      </c>
      <c r="G1147" s="11" t="s">
        <v>21</v>
      </c>
      <c r="H1147" s="3">
        <v>96660.18</v>
      </c>
      <c r="K1147" s="11"/>
      <c r="L1147" s="11"/>
      <c r="M1147" s="11"/>
      <c r="N1147" s="11"/>
      <c r="P1147" s="11"/>
      <c r="Q1147" s="11"/>
      <c r="R1147" s="3"/>
    </row>
    <row r="1148" spans="1:18" x14ac:dyDescent="0.2">
      <c r="A1148" s="11">
        <v>833</v>
      </c>
      <c r="B1148" s="11">
        <v>1</v>
      </c>
      <c r="C1148" s="11" t="s">
        <v>271</v>
      </c>
      <c r="D1148" s="11">
        <f t="shared" si="34"/>
        <v>5</v>
      </c>
      <c r="E1148">
        <f t="shared" si="35"/>
        <v>833005</v>
      </c>
      <c r="F1148" s="11">
        <v>825</v>
      </c>
      <c r="G1148" s="11" t="s">
        <v>131</v>
      </c>
      <c r="H1148" s="3">
        <v>20000</v>
      </c>
      <c r="K1148" s="11"/>
      <c r="L1148" s="11"/>
      <c r="M1148" s="11"/>
      <c r="N1148" s="11"/>
      <c r="P1148" s="11"/>
      <c r="Q1148" s="11"/>
      <c r="R1148" s="3"/>
    </row>
    <row r="1149" spans="1:18" x14ac:dyDescent="0.2">
      <c r="A1149" s="11">
        <v>834</v>
      </c>
      <c r="B1149" s="11">
        <v>1</v>
      </c>
      <c r="C1149" s="11" t="s">
        <v>272</v>
      </c>
      <c r="D1149" s="11">
        <f t="shared" si="34"/>
        <v>1</v>
      </c>
      <c r="E1149">
        <f t="shared" si="35"/>
        <v>834001</v>
      </c>
      <c r="F1149" s="11">
        <v>151</v>
      </c>
      <c r="G1149" s="11" t="s">
        <v>28</v>
      </c>
      <c r="H1149" s="3">
        <v>3338133.5</v>
      </c>
      <c r="K1149" s="11"/>
      <c r="L1149" s="11"/>
      <c r="M1149" s="11"/>
      <c r="N1149" s="11"/>
      <c r="P1149" s="11"/>
      <c r="Q1149" s="11"/>
      <c r="R1149" s="3"/>
    </row>
    <row r="1150" spans="1:18" x14ac:dyDescent="0.2">
      <c r="A1150" s="11">
        <v>834</v>
      </c>
      <c r="B1150" s="11">
        <v>1</v>
      </c>
      <c r="C1150" s="11" t="s">
        <v>272</v>
      </c>
      <c r="D1150" s="11">
        <f t="shared" si="34"/>
        <v>2</v>
      </c>
      <c r="E1150">
        <f t="shared" si="35"/>
        <v>834002</v>
      </c>
      <c r="F1150" s="11">
        <v>401</v>
      </c>
      <c r="G1150" s="11" t="s">
        <v>29</v>
      </c>
      <c r="H1150" s="3">
        <v>314601.23</v>
      </c>
      <c r="K1150" s="11"/>
      <c r="L1150" s="11"/>
      <c r="M1150" s="11"/>
      <c r="N1150" s="11"/>
      <c r="P1150" s="11"/>
      <c r="Q1150" s="11"/>
      <c r="R1150" s="3"/>
    </row>
    <row r="1151" spans="1:18" x14ac:dyDescent="0.2">
      <c r="A1151" s="11">
        <v>834</v>
      </c>
      <c r="B1151" s="11">
        <v>1</v>
      </c>
      <c r="C1151" s="11" t="s">
        <v>272</v>
      </c>
      <c r="D1151" s="11">
        <f t="shared" si="34"/>
        <v>3</v>
      </c>
      <c r="E1151">
        <f t="shared" si="35"/>
        <v>834003</v>
      </c>
      <c r="F1151" s="11">
        <v>414</v>
      </c>
      <c r="G1151" s="11" t="s">
        <v>9</v>
      </c>
      <c r="H1151" s="3">
        <v>210626.47</v>
      </c>
      <c r="K1151" s="11"/>
      <c r="L1151" s="11"/>
      <c r="M1151" s="11"/>
      <c r="N1151" s="11"/>
      <c r="P1151" s="11"/>
      <c r="Q1151" s="11"/>
      <c r="R1151" s="3"/>
    </row>
    <row r="1152" spans="1:18" x14ac:dyDescent="0.2">
      <c r="A1152" s="11">
        <v>834</v>
      </c>
      <c r="B1152" s="11">
        <v>1</v>
      </c>
      <c r="C1152" s="11" t="s">
        <v>272</v>
      </c>
      <c r="D1152" s="11">
        <f t="shared" si="34"/>
        <v>4</v>
      </c>
      <c r="E1152">
        <f t="shared" si="35"/>
        <v>834004</v>
      </c>
      <c r="F1152" s="11">
        <v>417</v>
      </c>
      <c r="G1152" s="11" t="s">
        <v>34</v>
      </c>
      <c r="H1152" s="3">
        <v>11078.21</v>
      </c>
      <c r="K1152" s="11"/>
      <c r="L1152" s="11"/>
      <c r="M1152" s="11"/>
      <c r="N1152" s="11"/>
      <c r="P1152" s="11"/>
      <c r="Q1152" s="11"/>
      <c r="R1152" s="3"/>
    </row>
    <row r="1153" spans="1:18" x14ac:dyDescent="0.2">
      <c r="A1153" s="11">
        <v>834</v>
      </c>
      <c r="B1153" s="11">
        <v>1</v>
      </c>
      <c r="C1153" s="11" t="s">
        <v>272</v>
      </c>
      <c r="D1153" s="11">
        <f t="shared" si="34"/>
        <v>5</v>
      </c>
      <c r="E1153">
        <f t="shared" si="35"/>
        <v>834005</v>
      </c>
      <c r="F1153" s="11">
        <v>419</v>
      </c>
      <c r="G1153" s="11" t="s">
        <v>10</v>
      </c>
      <c r="H1153" s="3">
        <v>1489978.42</v>
      </c>
      <c r="K1153" s="11"/>
      <c r="L1153" s="11"/>
      <c r="M1153" s="11"/>
      <c r="N1153" s="11"/>
      <c r="P1153" s="11"/>
      <c r="Q1153" s="11"/>
      <c r="R1153" s="3"/>
    </row>
    <row r="1154" spans="1:18" x14ac:dyDescent="0.2">
      <c r="A1154" s="11">
        <v>834</v>
      </c>
      <c r="B1154" s="11">
        <v>1</v>
      </c>
      <c r="C1154" s="11" t="s">
        <v>272</v>
      </c>
      <c r="D1154" s="11">
        <f t="shared" si="34"/>
        <v>6</v>
      </c>
      <c r="E1154">
        <f t="shared" si="35"/>
        <v>834006</v>
      </c>
      <c r="F1154" s="11">
        <v>420</v>
      </c>
      <c r="G1154" s="11" t="s">
        <v>11</v>
      </c>
      <c r="H1154" s="3">
        <v>41851.22</v>
      </c>
      <c r="K1154" s="11"/>
      <c r="L1154" s="11"/>
      <c r="M1154" s="11"/>
      <c r="N1154" s="11"/>
      <c r="P1154" s="11"/>
      <c r="Q1154" s="11"/>
      <c r="R1154" s="3"/>
    </row>
    <row r="1155" spans="1:18" x14ac:dyDescent="0.2">
      <c r="A1155" s="11">
        <v>834</v>
      </c>
      <c r="B1155" s="11">
        <v>1</v>
      </c>
      <c r="C1155" s="11" t="s">
        <v>272</v>
      </c>
      <c r="D1155" s="11">
        <f t="shared" si="34"/>
        <v>7</v>
      </c>
      <c r="E1155">
        <f t="shared" si="35"/>
        <v>834007</v>
      </c>
      <c r="F1155" s="11">
        <v>433</v>
      </c>
      <c r="G1155" s="11" t="s">
        <v>30</v>
      </c>
      <c r="H1155" s="3">
        <v>15770.29</v>
      </c>
      <c r="K1155" s="11"/>
      <c r="L1155" s="11"/>
      <c r="M1155" s="11"/>
      <c r="N1155" s="11"/>
      <c r="P1155" s="11"/>
      <c r="Q1155" s="11"/>
      <c r="R1155" s="3"/>
    </row>
    <row r="1156" spans="1:18" x14ac:dyDescent="0.2">
      <c r="A1156" s="11">
        <v>834</v>
      </c>
      <c r="B1156" s="11">
        <v>1</v>
      </c>
      <c r="C1156" s="11" t="s">
        <v>272</v>
      </c>
      <c r="D1156" s="11">
        <f t="shared" si="34"/>
        <v>8</v>
      </c>
      <c r="E1156">
        <f t="shared" si="35"/>
        <v>834008</v>
      </c>
      <c r="F1156" s="11">
        <v>480</v>
      </c>
      <c r="G1156" s="11" t="s">
        <v>19</v>
      </c>
      <c r="H1156" s="3">
        <v>1724515.75</v>
      </c>
      <c r="K1156" s="11"/>
      <c r="L1156" s="11"/>
      <c r="M1156" s="11"/>
      <c r="N1156" s="11"/>
      <c r="P1156" s="11"/>
      <c r="Q1156" s="11"/>
      <c r="R1156" s="3"/>
    </row>
    <row r="1157" spans="1:18" x14ac:dyDescent="0.2">
      <c r="A1157" s="11">
        <v>834</v>
      </c>
      <c r="B1157" s="11">
        <v>1</v>
      </c>
      <c r="C1157" s="11" t="s">
        <v>272</v>
      </c>
      <c r="D1157" s="11">
        <f t="shared" si="34"/>
        <v>9</v>
      </c>
      <c r="E1157">
        <f t="shared" si="35"/>
        <v>834009</v>
      </c>
      <c r="F1157" s="11">
        <v>484</v>
      </c>
      <c r="G1157" s="11" t="s">
        <v>20</v>
      </c>
      <c r="H1157" s="3">
        <v>70605.539999999994</v>
      </c>
      <c r="K1157" s="11"/>
      <c r="L1157" s="11"/>
      <c r="M1157" s="11"/>
      <c r="N1157" s="11"/>
      <c r="P1157" s="11"/>
      <c r="Q1157" s="11"/>
      <c r="R1157" s="3"/>
    </row>
    <row r="1158" spans="1:18" x14ac:dyDescent="0.2">
      <c r="A1158" s="11">
        <v>834</v>
      </c>
      <c r="B1158" s="11">
        <v>1</v>
      </c>
      <c r="C1158" s="11" t="s">
        <v>272</v>
      </c>
      <c r="D1158" s="11">
        <f t="shared" si="34"/>
        <v>10</v>
      </c>
      <c r="E1158">
        <f t="shared" si="35"/>
        <v>834010</v>
      </c>
      <c r="F1158" s="11">
        <v>486</v>
      </c>
      <c r="G1158" s="11" t="s">
        <v>21</v>
      </c>
      <c r="H1158" s="3">
        <v>49104.800000000003</v>
      </c>
      <c r="K1158" s="11"/>
      <c r="L1158" s="11"/>
      <c r="M1158" s="11"/>
      <c r="N1158" s="11"/>
      <c r="P1158" s="11"/>
      <c r="Q1158" s="11"/>
      <c r="R1158" s="3"/>
    </row>
    <row r="1159" spans="1:18" x14ac:dyDescent="0.2">
      <c r="A1159" s="11">
        <v>836</v>
      </c>
      <c r="B1159" s="11">
        <v>1</v>
      </c>
      <c r="C1159" s="11" t="s">
        <v>273</v>
      </c>
      <c r="D1159" s="11">
        <f t="shared" si="34"/>
        <v>1</v>
      </c>
      <c r="E1159">
        <f t="shared" si="35"/>
        <v>836001</v>
      </c>
      <c r="F1159" s="11">
        <v>401</v>
      </c>
      <c r="G1159" s="11" t="s">
        <v>29</v>
      </c>
      <c r="H1159" s="3">
        <v>23338.47</v>
      </c>
      <c r="K1159" s="11"/>
      <c r="L1159" s="11"/>
      <c r="M1159" s="11"/>
      <c r="N1159" s="11"/>
      <c r="P1159" s="11"/>
      <c r="Q1159" s="11"/>
      <c r="R1159" s="3"/>
    </row>
    <row r="1160" spans="1:18" x14ac:dyDescent="0.2">
      <c r="A1160" s="11">
        <v>836</v>
      </c>
      <c r="B1160" s="11">
        <v>1</v>
      </c>
      <c r="C1160" s="11" t="s">
        <v>273</v>
      </c>
      <c r="D1160" s="11">
        <f t="shared" si="34"/>
        <v>2</v>
      </c>
      <c r="E1160">
        <f t="shared" si="35"/>
        <v>836002</v>
      </c>
      <c r="F1160" s="11">
        <v>414</v>
      </c>
      <c r="G1160" s="11" t="s">
        <v>9</v>
      </c>
      <c r="H1160" s="3">
        <v>9651.2900000000009</v>
      </c>
      <c r="K1160" s="11"/>
      <c r="L1160" s="11"/>
      <c r="M1160" s="11"/>
      <c r="N1160" s="11"/>
      <c r="P1160" s="11"/>
      <c r="Q1160" s="11"/>
      <c r="R1160" s="3"/>
    </row>
    <row r="1161" spans="1:18" x14ac:dyDescent="0.2">
      <c r="A1161" s="11">
        <v>836</v>
      </c>
      <c r="B1161" s="11">
        <v>1</v>
      </c>
      <c r="C1161" s="11" t="s">
        <v>273</v>
      </c>
      <c r="D1161" s="11">
        <f t="shared" si="34"/>
        <v>3</v>
      </c>
      <c r="E1161">
        <f t="shared" si="35"/>
        <v>836003</v>
      </c>
      <c r="F1161" s="11">
        <v>433</v>
      </c>
      <c r="G1161" s="11" t="s">
        <v>30</v>
      </c>
      <c r="H1161" s="3">
        <v>616.5</v>
      </c>
      <c r="K1161" s="11"/>
      <c r="L1161" s="11"/>
      <c r="M1161" s="11"/>
      <c r="N1161" s="11"/>
      <c r="P1161" s="11"/>
      <c r="Q1161" s="11"/>
      <c r="R1161" s="3"/>
    </row>
    <row r="1162" spans="1:18" x14ac:dyDescent="0.2">
      <c r="A1162" s="11">
        <v>836</v>
      </c>
      <c r="B1162" s="11">
        <v>1</v>
      </c>
      <c r="C1162" s="11" t="s">
        <v>273</v>
      </c>
      <c r="D1162" s="11">
        <f t="shared" si="34"/>
        <v>4</v>
      </c>
      <c r="E1162">
        <f t="shared" si="35"/>
        <v>836004</v>
      </c>
      <c r="F1162" s="11">
        <v>470</v>
      </c>
      <c r="G1162" s="11" t="s">
        <v>6</v>
      </c>
      <c r="H1162" s="3">
        <v>14187.97</v>
      </c>
      <c r="K1162" s="11"/>
      <c r="L1162" s="11"/>
      <c r="M1162" s="11"/>
      <c r="N1162" s="11"/>
      <c r="P1162" s="11"/>
      <c r="Q1162" s="11"/>
      <c r="R1162" s="3"/>
    </row>
    <row r="1163" spans="1:18" x14ac:dyDescent="0.2">
      <c r="A1163" s="11">
        <v>837</v>
      </c>
      <c r="B1163" s="11">
        <v>1</v>
      </c>
      <c r="C1163" s="11" t="s">
        <v>274</v>
      </c>
      <c r="D1163" s="11">
        <f t="shared" si="34"/>
        <v>1</v>
      </c>
      <c r="E1163">
        <f t="shared" si="35"/>
        <v>837001</v>
      </c>
      <c r="F1163" s="11">
        <v>401</v>
      </c>
      <c r="G1163" s="11" t="s">
        <v>29</v>
      </c>
      <c r="H1163" s="3">
        <v>70866.39</v>
      </c>
      <c r="K1163" s="11"/>
      <c r="L1163" s="11"/>
      <c r="M1163" s="11"/>
      <c r="N1163" s="11"/>
      <c r="P1163" s="11"/>
      <c r="Q1163" s="11"/>
      <c r="R1163" s="3"/>
    </row>
    <row r="1164" spans="1:18" x14ac:dyDescent="0.2">
      <c r="A1164" s="11">
        <v>837</v>
      </c>
      <c r="B1164" s="11">
        <v>1</v>
      </c>
      <c r="C1164" s="11" t="s">
        <v>274</v>
      </c>
      <c r="D1164" s="11">
        <f t="shared" si="34"/>
        <v>2</v>
      </c>
      <c r="E1164">
        <f t="shared" si="35"/>
        <v>837002</v>
      </c>
      <c r="F1164" s="11">
        <v>414</v>
      </c>
      <c r="G1164" s="11" t="s">
        <v>9</v>
      </c>
      <c r="H1164" s="3">
        <v>32155.96</v>
      </c>
      <c r="K1164" s="11"/>
      <c r="L1164" s="11"/>
      <c r="M1164" s="11"/>
      <c r="N1164" s="11"/>
      <c r="P1164" s="11"/>
      <c r="Q1164" s="11"/>
      <c r="R1164" s="3"/>
    </row>
    <row r="1165" spans="1:18" x14ac:dyDescent="0.2">
      <c r="A1165" s="11">
        <v>837</v>
      </c>
      <c r="B1165" s="11">
        <v>1</v>
      </c>
      <c r="C1165" s="11" t="s">
        <v>274</v>
      </c>
      <c r="D1165" s="11">
        <f t="shared" si="34"/>
        <v>3</v>
      </c>
      <c r="E1165">
        <f t="shared" si="35"/>
        <v>837003</v>
      </c>
      <c r="F1165" s="11">
        <v>433</v>
      </c>
      <c r="G1165" s="11" t="s">
        <v>30</v>
      </c>
      <c r="H1165" s="3">
        <v>1702.39</v>
      </c>
      <c r="K1165" s="11"/>
      <c r="L1165" s="11"/>
      <c r="M1165" s="11"/>
      <c r="N1165" s="11"/>
      <c r="P1165" s="11"/>
      <c r="Q1165" s="11"/>
      <c r="R1165" s="3"/>
    </row>
    <row r="1166" spans="1:18" x14ac:dyDescent="0.2">
      <c r="A1166" s="11">
        <v>837</v>
      </c>
      <c r="B1166" s="11">
        <v>1</v>
      </c>
      <c r="C1166" s="11" t="s">
        <v>274</v>
      </c>
      <c r="D1166" s="11">
        <f t="shared" si="34"/>
        <v>4</v>
      </c>
      <c r="E1166">
        <f t="shared" si="35"/>
        <v>837004</v>
      </c>
      <c r="F1166" s="11">
        <v>470</v>
      </c>
      <c r="G1166" s="11" t="s">
        <v>6</v>
      </c>
      <c r="H1166" s="3">
        <v>43797.67</v>
      </c>
      <c r="K1166" s="11"/>
      <c r="L1166" s="11"/>
      <c r="M1166" s="11"/>
      <c r="N1166" s="11"/>
      <c r="P1166" s="11"/>
      <c r="Q1166" s="11"/>
      <c r="R1166" s="3"/>
    </row>
    <row r="1167" spans="1:18" x14ac:dyDescent="0.2">
      <c r="A1167" s="11">
        <v>846</v>
      </c>
      <c r="B1167" s="11">
        <v>1</v>
      </c>
      <c r="C1167" s="11" t="s">
        <v>275</v>
      </c>
      <c r="D1167" s="11">
        <f t="shared" ref="D1167:D1230" si="36">IF(A1167=A1166,D1166+1,1)</f>
        <v>1</v>
      </c>
      <c r="E1167">
        <f t="shared" ref="E1167:E1230" si="37">1000*A1167+D1167</f>
        <v>846001</v>
      </c>
      <c r="F1167" s="11">
        <v>401</v>
      </c>
      <c r="G1167" s="11" t="s">
        <v>29</v>
      </c>
      <c r="H1167" s="3">
        <v>85986.82</v>
      </c>
      <c r="K1167" s="11"/>
      <c r="L1167" s="11"/>
      <c r="M1167" s="11"/>
      <c r="N1167" s="11"/>
      <c r="P1167" s="11"/>
      <c r="Q1167" s="11"/>
      <c r="R1167" s="3"/>
    </row>
    <row r="1168" spans="1:18" x14ac:dyDescent="0.2">
      <c r="A1168" s="11">
        <v>846</v>
      </c>
      <c r="B1168" s="11">
        <v>1</v>
      </c>
      <c r="C1168" s="11" t="s">
        <v>275</v>
      </c>
      <c r="D1168" s="11">
        <f t="shared" si="36"/>
        <v>2</v>
      </c>
      <c r="E1168">
        <f t="shared" si="37"/>
        <v>846002</v>
      </c>
      <c r="F1168" s="11">
        <v>406</v>
      </c>
      <c r="G1168" s="11" t="s">
        <v>8</v>
      </c>
      <c r="H1168" s="3">
        <v>19229.47</v>
      </c>
      <c r="K1168" s="11"/>
      <c r="L1168" s="11"/>
      <c r="M1168" s="11"/>
      <c r="N1168" s="11"/>
      <c r="P1168" s="11"/>
      <c r="Q1168" s="11"/>
      <c r="R1168" s="3"/>
    </row>
    <row r="1169" spans="1:18" x14ac:dyDescent="0.2">
      <c r="A1169" s="11">
        <v>846</v>
      </c>
      <c r="B1169" s="11">
        <v>1</v>
      </c>
      <c r="C1169" s="11" t="s">
        <v>275</v>
      </c>
      <c r="D1169" s="11">
        <f t="shared" si="36"/>
        <v>3</v>
      </c>
      <c r="E1169">
        <f t="shared" si="37"/>
        <v>846003</v>
      </c>
      <c r="F1169" s="11">
        <v>414</v>
      </c>
      <c r="G1169" s="11" t="s">
        <v>9</v>
      </c>
      <c r="H1169" s="3">
        <v>45802</v>
      </c>
      <c r="K1169" s="11"/>
      <c r="L1169" s="11"/>
      <c r="M1169" s="11"/>
      <c r="N1169" s="11"/>
      <c r="P1169" s="11"/>
      <c r="Q1169" s="11"/>
      <c r="R1169" s="3"/>
    </row>
    <row r="1170" spans="1:18" x14ac:dyDescent="0.2">
      <c r="A1170" s="11">
        <v>846</v>
      </c>
      <c r="B1170" s="11">
        <v>1</v>
      </c>
      <c r="C1170" s="11" t="s">
        <v>275</v>
      </c>
      <c r="D1170" s="11">
        <f t="shared" si="36"/>
        <v>4</v>
      </c>
      <c r="E1170">
        <f t="shared" si="37"/>
        <v>846004</v>
      </c>
      <c r="F1170" s="11">
        <v>433</v>
      </c>
      <c r="G1170" s="11" t="s">
        <v>30</v>
      </c>
      <c r="H1170" s="3">
        <v>2344.6799999999998</v>
      </c>
      <c r="K1170" s="11"/>
      <c r="L1170" s="11"/>
      <c r="M1170" s="11"/>
      <c r="N1170" s="11"/>
      <c r="P1170" s="11"/>
      <c r="Q1170" s="11"/>
      <c r="R1170" s="3"/>
    </row>
    <row r="1171" spans="1:18" x14ac:dyDescent="0.2">
      <c r="A1171" s="11">
        <v>846</v>
      </c>
      <c r="B1171" s="11">
        <v>1</v>
      </c>
      <c r="C1171" s="11" t="s">
        <v>275</v>
      </c>
      <c r="D1171" s="11">
        <f t="shared" si="36"/>
        <v>5</v>
      </c>
      <c r="E1171">
        <f t="shared" si="37"/>
        <v>846005</v>
      </c>
      <c r="F1171" s="11">
        <v>470</v>
      </c>
      <c r="G1171" s="11" t="s">
        <v>6</v>
      </c>
      <c r="H1171" s="3">
        <v>55518.16</v>
      </c>
      <c r="K1171" s="11"/>
      <c r="L1171" s="11"/>
      <c r="M1171" s="11"/>
      <c r="N1171" s="11"/>
      <c r="P1171" s="11"/>
      <c r="Q1171" s="11"/>
      <c r="R1171" s="3"/>
    </row>
    <row r="1172" spans="1:18" x14ac:dyDescent="0.2">
      <c r="A1172" s="11">
        <v>846</v>
      </c>
      <c r="B1172" s="11">
        <v>1</v>
      </c>
      <c r="C1172" s="11" t="s">
        <v>275</v>
      </c>
      <c r="D1172" s="11">
        <f t="shared" si="36"/>
        <v>6</v>
      </c>
      <c r="E1172">
        <f t="shared" si="37"/>
        <v>846006</v>
      </c>
      <c r="F1172" s="11">
        <v>471</v>
      </c>
      <c r="G1172" s="11" t="s">
        <v>17</v>
      </c>
      <c r="H1172" s="3">
        <v>12061.06</v>
      </c>
      <c r="K1172" s="11"/>
      <c r="L1172" s="11"/>
      <c r="M1172" s="11"/>
      <c r="N1172" s="11"/>
      <c r="P1172" s="11"/>
      <c r="Q1172" s="11"/>
      <c r="R1172" s="3"/>
    </row>
    <row r="1173" spans="1:18" x14ac:dyDescent="0.2">
      <c r="A1173" s="11">
        <v>850</v>
      </c>
      <c r="B1173" s="11">
        <v>1</v>
      </c>
      <c r="C1173" s="11" t="s">
        <v>276</v>
      </c>
      <c r="D1173" s="11">
        <f t="shared" si="36"/>
        <v>1</v>
      </c>
      <c r="E1173">
        <f t="shared" si="37"/>
        <v>850001</v>
      </c>
      <c r="F1173" s="11">
        <v>401</v>
      </c>
      <c r="G1173" s="11" t="s">
        <v>29</v>
      </c>
      <c r="H1173" s="3">
        <v>24369.07</v>
      </c>
      <c r="K1173" s="11"/>
      <c r="L1173" s="11"/>
      <c r="M1173" s="11"/>
      <c r="N1173" s="11"/>
      <c r="P1173" s="11"/>
      <c r="Q1173" s="11"/>
      <c r="R1173" s="3"/>
    </row>
    <row r="1174" spans="1:18" x14ac:dyDescent="0.2">
      <c r="A1174" s="11">
        <v>850</v>
      </c>
      <c r="B1174" s="11">
        <v>1</v>
      </c>
      <c r="C1174" s="11" t="s">
        <v>276</v>
      </c>
      <c r="D1174" s="11">
        <f t="shared" si="36"/>
        <v>2</v>
      </c>
      <c r="E1174">
        <f t="shared" si="37"/>
        <v>850002</v>
      </c>
      <c r="F1174" s="11">
        <v>414</v>
      </c>
      <c r="G1174" s="11" t="s">
        <v>9</v>
      </c>
      <c r="H1174" s="3">
        <v>6248.21</v>
      </c>
      <c r="K1174" s="11"/>
      <c r="L1174" s="11"/>
      <c r="M1174" s="11"/>
      <c r="N1174" s="11"/>
      <c r="P1174" s="11"/>
      <c r="Q1174" s="11"/>
      <c r="R1174" s="3"/>
    </row>
    <row r="1175" spans="1:18" x14ac:dyDescent="0.2">
      <c r="A1175" s="11">
        <v>850</v>
      </c>
      <c r="B1175" s="11">
        <v>1</v>
      </c>
      <c r="C1175" s="11" t="s">
        <v>276</v>
      </c>
      <c r="D1175" s="11">
        <f t="shared" si="36"/>
        <v>3</v>
      </c>
      <c r="E1175">
        <f t="shared" si="37"/>
        <v>850003</v>
      </c>
      <c r="F1175" s="11">
        <v>433</v>
      </c>
      <c r="G1175" s="11" t="s">
        <v>30</v>
      </c>
      <c r="H1175" s="3">
        <v>590.42999999999995</v>
      </c>
      <c r="K1175" s="11"/>
      <c r="L1175" s="11"/>
      <c r="M1175" s="11"/>
      <c r="N1175" s="11"/>
      <c r="P1175" s="11"/>
      <c r="Q1175" s="11"/>
      <c r="R1175" s="3"/>
    </row>
    <row r="1176" spans="1:18" x14ac:dyDescent="0.2">
      <c r="A1176" s="11">
        <v>850</v>
      </c>
      <c r="B1176" s="11">
        <v>1</v>
      </c>
      <c r="C1176" s="11" t="s">
        <v>276</v>
      </c>
      <c r="D1176" s="11">
        <f t="shared" si="36"/>
        <v>4</v>
      </c>
      <c r="E1176">
        <f t="shared" si="37"/>
        <v>850004</v>
      </c>
      <c r="F1176" s="11">
        <v>470</v>
      </c>
      <c r="G1176" s="11" t="s">
        <v>6</v>
      </c>
      <c r="H1176" s="3">
        <v>14804.83</v>
      </c>
      <c r="K1176" s="11"/>
      <c r="L1176" s="11"/>
      <c r="M1176" s="11"/>
      <c r="N1176" s="11"/>
      <c r="P1176" s="11"/>
      <c r="Q1176" s="11"/>
      <c r="R1176" s="3"/>
    </row>
    <row r="1177" spans="1:18" x14ac:dyDescent="0.2">
      <c r="A1177" s="11">
        <v>852</v>
      </c>
      <c r="B1177" s="11">
        <v>1</v>
      </c>
      <c r="C1177" s="11" t="s">
        <v>277</v>
      </c>
      <c r="D1177" s="11">
        <f t="shared" si="36"/>
        <v>1</v>
      </c>
      <c r="E1177">
        <f t="shared" si="37"/>
        <v>852001</v>
      </c>
      <c r="F1177" s="11">
        <v>433</v>
      </c>
      <c r="G1177" s="11" t="s">
        <v>30</v>
      </c>
      <c r="H1177" s="3">
        <v>330.72</v>
      </c>
      <c r="K1177" s="11"/>
      <c r="L1177" s="11"/>
      <c r="M1177" s="11"/>
      <c r="N1177" s="11"/>
      <c r="P1177" s="11"/>
      <c r="Q1177" s="11"/>
      <c r="R1177" s="3"/>
    </row>
    <row r="1178" spans="1:18" x14ac:dyDescent="0.2">
      <c r="A1178" s="11">
        <v>857</v>
      </c>
      <c r="B1178" s="11">
        <v>1</v>
      </c>
      <c r="C1178" s="11" t="s">
        <v>278</v>
      </c>
      <c r="D1178" s="11">
        <f t="shared" si="36"/>
        <v>1</v>
      </c>
      <c r="E1178">
        <f t="shared" si="37"/>
        <v>857001</v>
      </c>
      <c r="F1178" s="11">
        <v>433</v>
      </c>
      <c r="G1178" s="11" t="s">
        <v>30</v>
      </c>
      <c r="H1178" s="3">
        <v>2406.31</v>
      </c>
      <c r="K1178" s="11"/>
      <c r="L1178" s="11"/>
      <c r="M1178" s="11"/>
      <c r="N1178" s="11"/>
      <c r="P1178" s="11"/>
      <c r="Q1178" s="11"/>
      <c r="R1178" s="3"/>
    </row>
    <row r="1179" spans="1:18" x14ac:dyDescent="0.2">
      <c r="A1179" s="11">
        <v>858</v>
      </c>
      <c r="B1179" s="11">
        <v>1</v>
      </c>
      <c r="C1179" s="11" t="s">
        <v>279</v>
      </c>
      <c r="D1179" s="11">
        <f t="shared" si="36"/>
        <v>1</v>
      </c>
      <c r="E1179">
        <f t="shared" si="37"/>
        <v>858001</v>
      </c>
      <c r="F1179" s="11">
        <v>151</v>
      </c>
      <c r="G1179" s="11" t="s">
        <v>28</v>
      </c>
      <c r="H1179" s="3">
        <v>392692.44</v>
      </c>
      <c r="K1179" s="11"/>
      <c r="L1179" s="11"/>
      <c r="M1179" s="11"/>
      <c r="N1179" s="11"/>
      <c r="P1179" s="11"/>
      <c r="Q1179" s="11"/>
      <c r="R1179" s="3"/>
    </row>
    <row r="1180" spans="1:18" x14ac:dyDescent="0.2">
      <c r="A1180" s="11">
        <v>858</v>
      </c>
      <c r="B1180" s="11">
        <v>1</v>
      </c>
      <c r="C1180" s="11" t="s">
        <v>279</v>
      </c>
      <c r="D1180" s="11">
        <f t="shared" si="36"/>
        <v>2</v>
      </c>
      <c r="E1180">
        <f t="shared" si="37"/>
        <v>858002</v>
      </c>
      <c r="F1180" s="11">
        <v>401</v>
      </c>
      <c r="G1180" s="11" t="s">
        <v>29</v>
      </c>
      <c r="H1180" s="3">
        <v>184690.24</v>
      </c>
      <c r="K1180" s="11"/>
      <c r="L1180" s="11"/>
      <c r="M1180" s="11"/>
      <c r="N1180" s="11"/>
      <c r="P1180" s="11"/>
      <c r="Q1180" s="11"/>
      <c r="R1180" s="3"/>
    </row>
    <row r="1181" spans="1:18" x14ac:dyDescent="0.2">
      <c r="A1181" s="11">
        <v>858</v>
      </c>
      <c r="B1181" s="11">
        <v>1</v>
      </c>
      <c r="C1181" s="11" t="s">
        <v>279</v>
      </c>
      <c r="D1181" s="11">
        <f t="shared" si="36"/>
        <v>3</v>
      </c>
      <c r="E1181">
        <f t="shared" si="37"/>
        <v>858003</v>
      </c>
      <c r="F1181" s="11">
        <v>414</v>
      </c>
      <c r="G1181" s="11" t="s">
        <v>9</v>
      </c>
      <c r="H1181" s="3">
        <v>55018.01</v>
      </c>
      <c r="K1181" s="11"/>
      <c r="L1181" s="11"/>
      <c r="M1181" s="11"/>
      <c r="N1181" s="11"/>
      <c r="P1181" s="11"/>
      <c r="Q1181" s="11"/>
      <c r="R1181" s="3"/>
    </row>
    <row r="1182" spans="1:18" x14ac:dyDescent="0.2">
      <c r="A1182" s="11">
        <v>858</v>
      </c>
      <c r="B1182" s="11">
        <v>1</v>
      </c>
      <c r="C1182" s="11" t="s">
        <v>279</v>
      </c>
      <c r="D1182" s="11">
        <f t="shared" si="36"/>
        <v>4</v>
      </c>
      <c r="E1182">
        <f t="shared" si="37"/>
        <v>858004</v>
      </c>
      <c r="F1182" s="11">
        <v>433</v>
      </c>
      <c r="G1182" s="11" t="s">
        <v>30</v>
      </c>
      <c r="H1182" s="3">
        <v>3811.5</v>
      </c>
      <c r="K1182" s="11"/>
      <c r="L1182" s="11"/>
      <c r="M1182" s="11"/>
      <c r="N1182" s="11"/>
      <c r="P1182" s="11"/>
      <c r="Q1182" s="11"/>
      <c r="R1182" s="3"/>
    </row>
    <row r="1183" spans="1:18" x14ac:dyDescent="0.2">
      <c r="A1183" s="11">
        <v>858</v>
      </c>
      <c r="B1183" s="11">
        <v>1</v>
      </c>
      <c r="C1183" s="11" t="s">
        <v>279</v>
      </c>
      <c r="D1183" s="11">
        <f t="shared" si="36"/>
        <v>5</v>
      </c>
      <c r="E1183">
        <f t="shared" si="37"/>
        <v>858005</v>
      </c>
      <c r="F1183" s="11">
        <v>470</v>
      </c>
      <c r="G1183" s="11" t="s">
        <v>6</v>
      </c>
      <c r="H1183" s="3">
        <v>100395.15</v>
      </c>
      <c r="K1183" s="11"/>
      <c r="L1183" s="11"/>
      <c r="M1183" s="11"/>
      <c r="N1183" s="11"/>
      <c r="P1183" s="11"/>
      <c r="Q1183" s="11"/>
      <c r="R1183" s="3"/>
    </row>
    <row r="1184" spans="1:18" x14ac:dyDescent="0.2">
      <c r="A1184" s="11">
        <v>861</v>
      </c>
      <c r="B1184" s="11">
        <v>1</v>
      </c>
      <c r="C1184" s="11" t="s">
        <v>280</v>
      </c>
      <c r="D1184" s="11">
        <f t="shared" si="36"/>
        <v>1</v>
      </c>
      <c r="E1184">
        <f t="shared" si="37"/>
        <v>861001</v>
      </c>
      <c r="F1184" s="11">
        <v>151</v>
      </c>
      <c r="G1184" s="11" t="s">
        <v>28</v>
      </c>
      <c r="H1184" s="3">
        <v>1424809.78</v>
      </c>
      <c r="K1184" s="11"/>
      <c r="L1184" s="11"/>
      <c r="M1184" s="11"/>
      <c r="N1184" s="11"/>
      <c r="P1184" s="11"/>
      <c r="Q1184" s="11"/>
      <c r="R1184" s="3"/>
    </row>
    <row r="1185" spans="1:18" x14ac:dyDescent="0.2">
      <c r="A1185" s="11">
        <v>861</v>
      </c>
      <c r="B1185" s="11">
        <v>1</v>
      </c>
      <c r="C1185" s="11" t="s">
        <v>280</v>
      </c>
      <c r="D1185" s="11">
        <f t="shared" si="36"/>
        <v>2</v>
      </c>
      <c r="E1185">
        <f t="shared" si="37"/>
        <v>861002</v>
      </c>
      <c r="F1185" s="11">
        <v>401</v>
      </c>
      <c r="G1185" s="11" t="s">
        <v>29</v>
      </c>
      <c r="H1185" s="3">
        <v>497310.17</v>
      </c>
      <c r="K1185" s="11"/>
      <c r="L1185" s="11"/>
      <c r="M1185" s="11"/>
      <c r="N1185" s="11"/>
      <c r="P1185" s="11"/>
      <c r="Q1185" s="11"/>
      <c r="R1185" s="3"/>
    </row>
    <row r="1186" spans="1:18" x14ac:dyDescent="0.2">
      <c r="A1186" s="11">
        <v>861</v>
      </c>
      <c r="B1186" s="11">
        <v>1</v>
      </c>
      <c r="C1186" s="11" t="s">
        <v>280</v>
      </c>
      <c r="D1186" s="11">
        <f t="shared" si="36"/>
        <v>3</v>
      </c>
      <c r="E1186">
        <f t="shared" si="37"/>
        <v>861003</v>
      </c>
      <c r="F1186" s="11">
        <v>406</v>
      </c>
      <c r="G1186" s="11" t="s">
        <v>8</v>
      </c>
      <c r="H1186" s="3">
        <v>14791.9</v>
      </c>
      <c r="K1186" s="11"/>
      <c r="L1186" s="11"/>
      <c r="M1186" s="11"/>
      <c r="N1186" s="11"/>
      <c r="P1186" s="11"/>
      <c r="Q1186" s="11"/>
      <c r="R1186" s="3"/>
    </row>
    <row r="1187" spans="1:18" x14ac:dyDescent="0.2">
      <c r="A1187" s="11">
        <v>861</v>
      </c>
      <c r="B1187" s="11">
        <v>1</v>
      </c>
      <c r="C1187" s="11" t="s">
        <v>280</v>
      </c>
      <c r="D1187" s="11">
        <f t="shared" si="36"/>
        <v>4</v>
      </c>
      <c r="E1187">
        <f t="shared" si="37"/>
        <v>861004</v>
      </c>
      <c r="F1187" s="11">
        <v>414</v>
      </c>
      <c r="G1187" s="11" t="s">
        <v>9</v>
      </c>
      <c r="H1187" s="3">
        <v>202859.27</v>
      </c>
      <c r="K1187" s="11"/>
      <c r="L1187" s="11"/>
      <c r="M1187" s="11"/>
      <c r="N1187" s="11"/>
      <c r="P1187" s="11"/>
      <c r="Q1187" s="11"/>
      <c r="R1187" s="3"/>
    </row>
    <row r="1188" spans="1:18" x14ac:dyDescent="0.2">
      <c r="A1188" s="11">
        <v>861</v>
      </c>
      <c r="B1188" s="11">
        <v>1</v>
      </c>
      <c r="C1188" s="11" t="s">
        <v>280</v>
      </c>
      <c r="D1188" s="11">
        <f t="shared" si="36"/>
        <v>5</v>
      </c>
      <c r="E1188">
        <f t="shared" si="37"/>
        <v>861005</v>
      </c>
      <c r="F1188" s="11">
        <v>417</v>
      </c>
      <c r="G1188" s="11" t="s">
        <v>34</v>
      </c>
      <c r="H1188" s="3">
        <v>12865.01</v>
      </c>
      <c r="K1188" s="11"/>
      <c r="L1188" s="11"/>
      <c r="M1188" s="11"/>
      <c r="N1188" s="11"/>
      <c r="P1188" s="11"/>
      <c r="Q1188" s="11"/>
      <c r="R1188" s="3"/>
    </row>
    <row r="1189" spans="1:18" x14ac:dyDescent="0.2">
      <c r="A1189" s="11">
        <v>861</v>
      </c>
      <c r="B1189" s="11">
        <v>1</v>
      </c>
      <c r="C1189" s="11" t="s">
        <v>280</v>
      </c>
      <c r="D1189" s="11">
        <f t="shared" si="36"/>
        <v>6</v>
      </c>
      <c r="E1189">
        <f t="shared" si="37"/>
        <v>861006</v>
      </c>
      <c r="F1189" s="11">
        <v>470</v>
      </c>
      <c r="G1189" s="11" t="s">
        <v>6</v>
      </c>
      <c r="H1189" s="3">
        <v>303499.28000000003</v>
      </c>
      <c r="K1189" s="11"/>
      <c r="L1189" s="11"/>
      <c r="M1189" s="11"/>
      <c r="N1189" s="11"/>
      <c r="P1189" s="11"/>
      <c r="Q1189" s="11"/>
      <c r="R1189" s="3"/>
    </row>
    <row r="1190" spans="1:18" x14ac:dyDescent="0.2">
      <c r="A1190" s="11">
        <v>861</v>
      </c>
      <c r="B1190" s="11">
        <v>1</v>
      </c>
      <c r="C1190" s="11" t="s">
        <v>280</v>
      </c>
      <c r="D1190" s="11">
        <f t="shared" si="36"/>
        <v>7</v>
      </c>
      <c r="E1190">
        <f t="shared" si="37"/>
        <v>861007</v>
      </c>
      <c r="F1190" s="11">
        <v>471</v>
      </c>
      <c r="G1190" s="11" t="s">
        <v>17</v>
      </c>
      <c r="H1190" s="3">
        <v>9277.74</v>
      </c>
      <c r="K1190" s="11"/>
      <c r="L1190" s="11"/>
      <c r="M1190" s="11"/>
      <c r="N1190" s="11"/>
      <c r="P1190" s="11"/>
      <c r="Q1190" s="11"/>
      <c r="R1190" s="3"/>
    </row>
    <row r="1191" spans="1:18" x14ac:dyDescent="0.2">
      <c r="A1191" s="11">
        <v>870</v>
      </c>
      <c r="B1191" s="11">
        <v>52</v>
      </c>
      <c r="C1191" s="11" t="s">
        <v>281</v>
      </c>
      <c r="D1191" s="11">
        <f t="shared" si="36"/>
        <v>1</v>
      </c>
      <c r="E1191">
        <f t="shared" si="37"/>
        <v>870001</v>
      </c>
      <c r="F1191" s="11">
        <v>420</v>
      </c>
      <c r="G1191" s="11" t="s">
        <v>11</v>
      </c>
      <c r="H1191" s="3">
        <v>17236.849999999999</v>
      </c>
      <c r="K1191" s="11"/>
      <c r="L1191" s="11"/>
      <c r="M1191" s="11"/>
      <c r="N1191" s="11"/>
      <c r="P1191" s="11"/>
      <c r="Q1191" s="11"/>
      <c r="R1191" s="3"/>
    </row>
    <row r="1192" spans="1:18" x14ac:dyDescent="0.2">
      <c r="A1192" s="11">
        <v>876</v>
      </c>
      <c r="B1192" s="11">
        <v>1</v>
      </c>
      <c r="C1192" s="11" t="s">
        <v>282</v>
      </c>
      <c r="D1192" s="11">
        <f t="shared" si="36"/>
        <v>1</v>
      </c>
      <c r="E1192">
        <f t="shared" si="37"/>
        <v>876001</v>
      </c>
      <c r="F1192" s="11">
        <v>401</v>
      </c>
      <c r="G1192" s="11" t="s">
        <v>29</v>
      </c>
      <c r="H1192" s="3">
        <v>205857.47</v>
      </c>
      <c r="K1192" s="11"/>
      <c r="L1192" s="11"/>
      <c r="M1192" s="11"/>
      <c r="N1192" s="11"/>
      <c r="P1192" s="11"/>
      <c r="Q1192" s="11"/>
      <c r="R1192" s="3"/>
    </row>
    <row r="1193" spans="1:18" x14ac:dyDescent="0.2">
      <c r="A1193" s="11">
        <v>876</v>
      </c>
      <c r="B1193" s="11">
        <v>1</v>
      </c>
      <c r="C1193" s="11" t="s">
        <v>282</v>
      </c>
      <c r="D1193" s="11">
        <f t="shared" si="36"/>
        <v>2</v>
      </c>
      <c r="E1193">
        <f t="shared" si="37"/>
        <v>876002</v>
      </c>
      <c r="F1193" s="11">
        <v>414</v>
      </c>
      <c r="G1193" s="11" t="s">
        <v>9</v>
      </c>
      <c r="H1193" s="3">
        <v>71235.259999999995</v>
      </c>
      <c r="K1193" s="11"/>
      <c r="L1193" s="11"/>
      <c r="M1193" s="11"/>
      <c r="N1193" s="11"/>
      <c r="P1193" s="11"/>
      <c r="Q1193" s="11"/>
      <c r="R1193" s="3"/>
    </row>
    <row r="1194" spans="1:18" x14ac:dyDescent="0.2">
      <c r="A1194" s="11">
        <v>876</v>
      </c>
      <c r="B1194" s="11">
        <v>1</v>
      </c>
      <c r="C1194" s="11" t="s">
        <v>282</v>
      </c>
      <c r="D1194" s="11">
        <f t="shared" si="36"/>
        <v>3</v>
      </c>
      <c r="E1194">
        <f t="shared" si="37"/>
        <v>876003</v>
      </c>
      <c r="F1194" s="11">
        <v>433</v>
      </c>
      <c r="G1194" s="11" t="s">
        <v>30</v>
      </c>
      <c r="H1194" s="3">
        <v>4962.07</v>
      </c>
      <c r="K1194" s="11"/>
      <c r="L1194" s="11"/>
      <c r="M1194" s="11"/>
      <c r="N1194" s="11"/>
      <c r="P1194" s="11"/>
      <c r="Q1194" s="11"/>
      <c r="R1194" s="3"/>
    </row>
    <row r="1195" spans="1:18" x14ac:dyDescent="0.2">
      <c r="A1195" s="11">
        <v>876</v>
      </c>
      <c r="B1195" s="11">
        <v>1</v>
      </c>
      <c r="C1195" s="11" t="s">
        <v>282</v>
      </c>
      <c r="D1195" s="11">
        <f t="shared" si="36"/>
        <v>4</v>
      </c>
      <c r="E1195">
        <f t="shared" si="37"/>
        <v>876004</v>
      </c>
      <c r="F1195" s="11">
        <v>470</v>
      </c>
      <c r="G1195" s="11" t="s">
        <v>6</v>
      </c>
      <c r="H1195" s="3">
        <v>125224.29</v>
      </c>
      <c r="K1195" s="11"/>
      <c r="L1195" s="11"/>
      <c r="M1195" s="11"/>
      <c r="N1195" s="11"/>
      <c r="P1195" s="11"/>
      <c r="Q1195" s="11"/>
      <c r="R1195" s="3"/>
    </row>
    <row r="1196" spans="1:18" x14ac:dyDescent="0.2">
      <c r="A1196" s="11">
        <v>877</v>
      </c>
      <c r="B1196" s="11">
        <v>1</v>
      </c>
      <c r="C1196" s="11" t="s">
        <v>283</v>
      </c>
      <c r="D1196" s="11">
        <f t="shared" si="36"/>
        <v>1</v>
      </c>
      <c r="E1196">
        <f t="shared" si="37"/>
        <v>877001</v>
      </c>
      <c r="F1196" s="11">
        <v>401</v>
      </c>
      <c r="G1196" s="11" t="s">
        <v>29</v>
      </c>
      <c r="H1196" s="3">
        <v>379161.38</v>
      </c>
      <c r="K1196" s="11"/>
      <c r="L1196" s="11"/>
      <c r="M1196" s="11"/>
      <c r="N1196" s="11"/>
      <c r="P1196" s="11"/>
      <c r="Q1196" s="11"/>
      <c r="R1196" s="3"/>
    </row>
    <row r="1197" spans="1:18" x14ac:dyDescent="0.2">
      <c r="A1197" s="11">
        <v>877</v>
      </c>
      <c r="B1197" s="11">
        <v>1</v>
      </c>
      <c r="C1197" s="11" t="s">
        <v>283</v>
      </c>
      <c r="D1197" s="11">
        <f t="shared" si="36"/>
        <v>2</v>
      </c>
      <c r="E1197">
        <f t="shared" si="37"/>
        <v>877002</v>
      </c>
      <c r="F1197" s="11">
        <v>414</v>
      </c>
      <c r="G1197" s="11" t="s">
        <v>9</v>
      </c>
      <c r="H1197" s="3">
        <v>133295.51</v>
      </c>
      <c r="K1197" s="11"/>
      <c r="L1197" s="11"/>
      <c r="M1197" s="11"/>
      <c r="N1197" s="11"/>
      <c r="P1197" s="11"/>
      <c r="Q1197" s="11"/>
      <c r="R1197" s="3"/>
    </row>
    <row r="1198" spans="1:18" x14ac:dyDescent="0.2">
      <c r="A1198" s="11">
        <v>877</v>
      </c>
      <c r="B1198" s="11">
        <v>1</v>
      </c>
      <c r="C1198" s="11" t="s">
        <v>283</v>
      </c>
      <c r="D1198" s="11">
        <f t="shared" si="36"/>
        <v>3</v>
      </c>
      <c r="E1198">
        <f t="shared" si="37"/>
        <v>877003</v>
      </c>
      <c r="F1198" s="11">
        <v>417</v>
      </c>
      <c r="G1198" s="11" t="s">
        <v>34</v>
      </c>
      <c r="H1198" s="3">
        <v>16915.12</v>
      </c>
      <c r="K1198" s="11"/>
      <c r="L1198" s="11"/>
      <c r="M1198" s="11"/>
      <c r="N1198" s="11"/>
      <c r="P1198" s="11"/>
      <c r="Q1198" s="11"/>
      <c r="R1198" s="3"/>
    </row>
    <row r="1199" spans="1:18" x14ac:dyDescent="0.2">
      <c r="A1199" s="11">
        <v>877</v>
      </c>
      <c r="B1199" s="11">
        <v>1</v>
      </c>
      <c r="C1199" s="11" t="s">
        <v>283</v>
      </c>
      <c r="D1199" s="11">
        <f t="shared" si="36"/>
        <v>4</v>
      </c>
      <c r="E1199">
        <f t="shared" si="37"/>
        <v>877004</v>
      </c>
      <c r="F1199" s="11">
        <v>419</v>
      </c>
      <c r="G1199" s="11" t="s">
        <v>10</v>
      </c>
      <c r="H1199" s="3">
        <v>655238.04</v>
      </c>
      <c r="K1199" s="11"/>
      <c r="L1199" s="11"/>
      <c r="M1199" s="11"/>
      <c r="N1199" s="11"/>
      <c r="P1199" s="11"/>
      <c r="Q1199" s="11"/>
      <c r="R1199" s="3"/>
    </row>
    <row r="1200" spans="1:18" x14ac:dyDescent="0.2">
      <c r="A1200" s="11">
        <v>877</v>
      </c>
      <c r="B1200" s="11">
        <v>1</v>
      </c>
      <c r="C1200" s="11" t="s">
        <v>283</v>
      </c>
      <c r="D1200" s="11">
        <f t="shared" si="36"/>
        <v>5</v>
      </c>
      <c r="E1200">
        <f t="shared" si="37"/>
        <v>877005</v>
      </c>
      <c r="F1200" s="11">
        <v>420</v>
      </c>
      <c r="G1200" s="11" t="s">
        <v>11</v>
      </c>
      <c r="H1200" s="3">
        <v>21928.94</v>
      </c>
      <c r="K1200" s="11"/>
      <c r="L1200" s="11"/>
      <c r="M1200" s="11"/>
      <c r="N1200" s="11"/>
      <c r="P1200" s="11"/>
      <c r="Q1200" s="11"/>
      <c r="R1200" s="3"/>
    </row>
    <row r="1201" spans="1:18" x14ac:dyDescent="0.2">
      <c r="A1201" s="11">
        <v>877</v>
      </c>
      <c r="B1201" s="11">
        <v>1</v>
      </c>
      <c r="C1201" s="11" t="s">
        <v>283</v>
      </c>
      <c r="D1201" s="11">
        <f t="shared" si="36"/>
        <v>6</v>
      </c>
      <c r="E1201">
        <f t="shared" si="37"/>
        <v>877006</v>
      </c>
      <c r="F1201" s="11">
        <v>433</v>
      </c>
      <c r="G1201" s="11" t="s">
        <v>30</v>
      </c>
      <c r="H1201" s="3">
        <v>12941.27</v>
      </c>
      <c r="K1201" s="11"/>
      <c r="L1201" s="11"/>
      <c r="M1201" s="11"/>
      <c r="N1201" s="11"/>
      <c r="P1201" s="11"/>
      <c r="Q1201" s="11"/>
      <c r="R1201" s="3"/>
    </row>
    <row r="1202" spans="1:18" x14ac:dyDescent="0.2">
      <c r="A1202" s="11">
        <v>877</v>
      </c>
      <c r="B1202" s="11">
        <v>1</v>
      </c>
      <c r="C1202" s="11" t="s">
        <v>283</v>
      </c>
      <c r="D1202" s="11">
        <f t="shared" si="36"/>
        <v>7</v>
      </c>
      <c r="E1202">
        <f t="shared" si="37"/>
        <v>877007</v>
      </c>
      <c r="F1202" s="11">
        <v>470</v>
      </c>
      <c r="G1202" s="11" t="s">
        <v>6</v>
      </c>
      <c r="H1202" s="3">
        <v>224540.12</v>
      </c>
      <c r="K1202" s="11"/>
      <c r="L1202" s="11"/>
      <c r="M1202" s="11"/>
      <c r="N1202" s="11"/>
      <c r="P1202" s="11"/>
      <c r="Q1202" s="11"/>
      <c r="R1202" s="3"/>
    </row>
    <row r="1203" spans="1:18" x14ac:dyDescent="0.2">
      <c r="A1203" s="11">
        <v>877</v>
      </c>
      <c r="B1203" s="11">
        <v>1</v>
      </c>
      <c r="C1203" s="11" t="s">
        <v>283</v>
      </c>
      <c r="D1203" s="11">
        <f t="shared" si="36"/>
        <v>8</v>
      </c>
      <c r="E1203">
        <f t="shared" si="37"/>
        <v>877008</v>
      </c>
      <c r="F1203" s="11">
        <v>480</v>
      </c>
      <c r="G1203" s="11" t="s">
        <v>19</v>
      </c>
      <c r="H1203" s="3">
        <v>1209178.1499999999</v>
      </c>
      <c r="K1203" s="11"/>
      <c r="L1203" s="11"/>
      <c r="M1203" s="11"/>
      <c r="N1203" s="11"/>
      <c r="P1203" s="11"/>
      <c r="Q1203" s="11"/>
      <c r="R1203" s="3"/>
    </row>
    <row r="1204" spans="1:18" x14ac:dyDescent="0.2">
      <c r="A1204" s="11">
        <v>877</v>
      </c>
      <c r="B1204" s="11">
        <v>1</v>
      </c>
      <c r="C1204" s="11" t="s">
        <v>283</v>
      </c>
      <c r="D1204" s="11">
        <f t="shared" si="36"/>
        <v>9</v>
      </c>
      <c r="E1204">
        <f t="shared" si="37"/>
        <v>877009</v>
      </c>
      <c r="F1204" s="11">
        <v>484</v>
      </c>
      <c r="G1204" s="11" t="s">
        <v>20</v>
      </c>
      <c r="H1204" s="3">
        <v>49518.720000000001</v>
      </c>
      <c r="K1204" s="11"/>
      <c r="L1204" s="11"/>
      <c r="M1204" s="11"/>
      <c r="N1204" s="11"/>
      <c r="P1204" s="11"/>
      <c r="Q1204" s="11"/>
      <c r="R1204" s="3"/>
    </row>
    <row r="1205" spans="1:18" x14ac:dyDescent="0.2">
      <c r="A1205" s="11">
        <v>877</v>
      </c>
      <c r="B1205" s="11">
        <v>1</v>
      </c>
      <c r="C1205" s="11" t="s">
        <v>283</v>
      </c>
      <c r="D1205" s="11">
        <f t="shared" si="36"/>
        <v>10</v>
      </c>
      <c r="E1205">
        <f t="shared" si="37"/>
        <v>877010</v>
      </c>
      <c r="F1205" s="11">
        <v>486</v>
      </c>
      <c r="G1205" s="11" t="s">
        <v>21</v>
      </c>
      <c r="H1205" s="3">
        <v>38139.65</v>
      </c>
      <c r="K1205" s="11"/>
      <c r="L1205" s="11"/>
      <c r="M1205" s="11"/>
      <c r="N1205" s="11"/>
      <c r="P1205" s="11"/>
      <c r="Q1205" s="11"/>
      <c r="R1205" s="3"/>
    </row>
    <row r="1206" spans="1:18" x14ac:dyDescent="0.2">
      <c r="A1206" s="11">
        <v>879</v>
      </c>
      <c r="B1206" s="11">
        <v>1</v>
      </c>
      <c r="C1206" s="11" t="s">
        <v>284</v>
      </c>
      <c r="D1206" s="11">
        <f t="shared" si="36"/>
        <v>1</v>
      </c>
      <c r="E1206">
        <f t="shared" si="37"/>
        <v>879001</v>
      </c>
      <c r="F1206" s="11">
        <v>433</v>
      </c>
      <c r="G1206" s="11" t="s">
        <v>30</v>
      </c>
      <c r="H1206" s="3">
        <v>3892.55</v>
      </c>
      <c r="K1206" s="11"/>
      <c r="L1206" s="11"/>
      <c r="M1206" s="11"/>
      <c r="N1206" s="11"/>
      <c r="P1206" s="11"/>
      <c r="Q1206" s="11"/>
      <c r="R1206" s="3"/>
    </row>
    <row r="1207" spans="1:18" x14ac:dyDescent="0.2">
      <c r="A1207" s="11">
        <v>881</v>
      </c>
      <c r="B1207" s="11">
        <v>1</v>
      </c>
      <c r="C1207" s="11" t="s">
        <v>285</v>
      </c>
      <c r="D1207" s="11">
        <f t="shared" si="36"/>
        <v>1</v>
      </c>
      <c r="E1207">
        <f t="shared" si="37"/>
        <v>881001</v>
      </c>
      <c r="F1207" s="11">
        <v>433</v>
      </c>
      <c r="G1207" s="11" t="s">
        <v>30</v>
      </c>
      <c r="H1207" s="3">
        <v>1849.17</v>
      </c>
      <c r="K1207" s="11"/>
      <c r="L1207" s="11"/>
      <c r="M1207" s="11"/>
      <c r="N1207" s="11"/>
      <c r="P1207" s="11"/>
      <c r="Q1207" s="11"/>
      <c r="R1207" s="3"/>
    </row>
    <row r="1208" spans="1:18" x14ac:dyDescent="0.2">
      <c r="A1208" s="11">
        <v>882</v>
      </c>
      <c r="B1208" s="11">
        <v>1</v>
      </c>
      <c r="C1208" s="11" t="s">
        <v>286</v>
      </c>
      <c r="D1208" s="11">
        <f t="shared" si="36"/>
        <v>1</v>
      </c>
      <c r="E1208">
        <f t="shared" si="37"/>
        <v>882001</v>
      </c>
      <c r="F1208" s="11">
        <v>401</v>
      </c>
      <c r="G1208" s="11" t="s">
        <v>29</v>
      </c>
      <c r="H1208" s="3">
        <v>220008.08</v>
      </c>
      <c r="K1208" s="11"/>
      <c r="L1208" s="11"/>
      <c r="M1208" s="11"/>
      <c r="N1208" s="11"/>
      <c r="P1208" s="11"/>
      <c r="Q1208" s="11"/>
      <c r="R1208" s="3"/>
    </row>
    <row r="1209" spans="1:18" x14ac:dyDescent="0.2">
      <c r="A1209" s="11">
        <v>882</v>
      </c>
      <c r="B1209" s="11">
        <v>1</v>
      </c>
      <c r="C1209" s="11" t="s">
        <v>286</v>
      </c>
      <c r="D1209" s="11">
        <f t="shared" si="36"/>
        <v>2</v>
      </c>
      <c r="E1209">
        <f t="shared" si="37"/>
        <v>882002</v>
      </c>
      <c r="F1209" s="11">
        <v>414</v>
      </c>
      <c r="G1209" s="11" t="s">
        <v>9</v>
      </c>
      <c r="H1209" s="3">
        <v>111340.8</v>
      </c>
      <c r="K1209" s="11"/>
      <c r="L1209" s="11"/>
      <c r="M1209" s="11"/>
      <c r="N1209" s="11"/>
      <c r="P1209" s="11"/>
      <c r="Q1209" s="11"/>
      <c r="R1209" s="3"/>
    </row>
    <row r="1210" spans="1:18" x14ac:dyDescent="0.2">
      <c r="A1210" s="11">
        <v>882</v>
      </c>
      <c r="B1210" s="11">
        <v>1</v>
      </c>
      <c r="C1210" s="11" t="s">
        <v>286</v>
      </c>
      <c r="D1210" s="11">
        <f t="shared" si="36"/>
        <v>3</v>
      </c>
      <c r="E1210">
        <f t="shared" si="37"/>
        <v>882003</v>
      </c>
      <c r="F1210" s="11">
        <v>417</v>
      </c>
      <c r="G1210" s="11" t="s">
        <v>34</v>
      </c>
      <c r="H1210" s="3">
        <v>11554.69</v>
      </c>
      <c r="K1210" s="11"/>
      <c r="L1210" s="11"/>
      <c r="M1210" s="11"/>
      <c r="N1210" s="11"/>
      <c r="P1210" s="11"/>
      <c r="Q1210" s="11"/>
      <c r="R1210" s="3"/>
    </row>
    <row r="1211" spans="1:18" x14ac:dyDescent="0.2">
      <c r="A1211" s="11">
        <v>882</v>
      </c>
      <c r="B1211" s="11">
        <v>1</v>
      </c>
      <c r="C1211" s="11" t="s">
        <v>286</v>
      </c>
      <c r="D1211" s="11">
        <f t="shared" si="36"/>
        <v>4</v>
      </c>
      <c r="E1211">
        <f t="shared" si="37"/>
        <v>882004</v>
      </c>
      <c r="F1211" s="11">
        <v>433</v>
      </c>
      <c r="G1211" s="11" t="s">
        <v>30</v>
      </c>
      <c r="H1211" s="3">
        <v>8034.25</v>
      </c>
      <c r="K1211" s="11"/>
      <c r="L1211" s="11"/>
      <c r="M1211" s="11"/>
      <c r="N1211" s="11"/>
      <c r="P1211" s="11"/>
      <c r="Q1211" s="11"/>
      <c r="R1211" s="3"/>
    </row>
    <row r="1212" spans="1:18" x14ac:dyDescent="0.2">
      <c r="A1212" s="11">
        <v>882</v>
      </c>
      <c r="B1212" s="11">
        <v>1</v>
      </c>
      <c r="C1212" s="11" t="s">
        <v>286</v>
      </c>
      <c r="D1212" s="11">
        <f t="shared" si="36"/>
        <v>5</v>
      </c>
      <c r="E1212">
        <f t="shared" si="37"/>
        <v>882005</v>
      </c>
      <c r="F1212" s="11">
        <v>437</v>
      </c>
      <c r="G1212" s="11" t="s">
        <v>14</v>
      </c>
      <c r="H1212" s="3">
        <v>3285</v>
      </c>
      <c r="K1212" s="11"/>
      <c r="L1212" s="11"/>
      <c r="M1212" s="11"/>
      <c r="N1212" s="11"/>
      <c r="P1212" s="11"/>
      <c r="Q1212" s="11"/>
      <c r="R1212" s="3"/>
    </row>
    <row r="1213" spans="1:18" x14ac:dyDescent="0.2">
      <c r="A1213" s="11">
        <v>882</v>
      </c>
      <c r="B1213" s="11">
        <v>1</v>
      </c>
      <c r="C1213" s="11" t="s">
        <v>286</v>
      </c>
      <c r="D1213" s="11">
        <f t="shared" si="36"/>
        <v>6</v>
      </c>
      <c r="E1213">
        <f t="shared" si="37"/>
        <v>882006</v>
      </c>
      <c r="F1213" s="11">
        <v>441</v>
      </c>
      <c r="G1213" s="11" t="s">
        <v>16</v>
      </c>
      <c r="H1213" s="3">
        <v>8900</v>
      </c>
      <c r="K1213" s="11"/>
      <c r="L1213" s="11"/>
      <c r="M1213" s="11"/>
      <c r="N1213" s="11"/>
      <c r="P1213" s="11"/>
      <c r="Q1213" s="11"/>
      <c r="R1213" s="3"/>
    </row>
    <row r="1214" spans="1:18" x14ac:dyDescent="0.2">
      <c r="A1214" s="11">
        <v>882</v>
      </c>
      <c r="B1214" s="11">
        <v>1</v>
      </c>
      <c r="C1214" s="11" t="s">
        <v>286</v>
      </c>
      <c r="D1214" s="11">
        <f t="shared" si="36"/>
        <v>7</v>
      </c>
      <c r="E1214">
        <f t="shared" si="37"/>
        <v>882007</v>
      </c>
      <c r="F1214" s="11">
        <v>470</v>
      </c>
      <c r="G1214" s="11" t="s">
        <v>6</v>
      </c>
      <c r="H1214" s="3">
        <v>138178.54</v>
      </c>
      <c r="K1214" s="11"/>
      <c r="L1214" s="11"/>
      <c r="M1214" s="11"/>
      <c r="N1214" s="11"/>
      <c r="P1214" s="11"/>
      <c r="Q1214" s="11"/>
      <c r="R1214" s="3"/>
    </row>
    <row r="1215" spans="1:18" x14ac:dyDescent="0.2">
      <c r="A1215" s="11">
        <v>882</v>
      </c>
      <c r="B1215" s="11">
        <v>1</v>
      </c>
      <c r="C1215" s="11" t="s">
        <v>286</v>
      </c>
      <c r="D1215" s="11">
        <f t="shared" si="36"/>
        <v>8</v>
      </c>
      <c r="E1215">
        <f t="shared" si="37"/>
        <v>882008</v>
      </c>
      <c r="F1215" s="11">
        <v>484</v>
      </c>
      <c r="G1215" s="11" t="s">
        <v>20</v>
      </c>
      <c r="H1215" s="3">
        <v>124086.08</v>
      </c>
      <c r="K1215" s="11"/>
      <c r="L1215" s="11"/>
      <c r="M1215" s="11"/>
      <c r="N1215" s="11"/>
      <c r="P1215" s="11"/>
      <c r="Q1215" s="11"/>
      <c r="R1215" s="3"/>
    </row>
    <row r="1216" spans="1:18" x14ac:dyDescent="0.2">
      <c r="A1216" s="11">
        <v>882</v>
      </c>
      <c r="B1216" s="11">
        <v>1</v>
      </c>
      <c r="C1216" s="11" t="s">
        <v>286</v>
      </c>
      <c r="D1216" s="11">
        <f t="shared" si="36"/>
        <v>9</v>
      </c>
      <c r="E1216">
        <f t="shared" si="37"/>
        <v>882009</v>
      </c>
      <c r="F1216" s="11">
        <v>486</v>
      </c>
      <c r="G1216" s="11" t="s">
        <v>21</v>
      </c>
      <c r="H1216" s="3">
        <v>85814.22</v>
      </c>
      <c r="K1216" s="11"/>
      <c r="L1216" s="11"/>
      <c r="M1216" s="11"/>
      <c r="N1216" s="11"/>
      <c r="P1216" s="11"/>
      <c r="Q1216" s="11"/>
      <c r="R1216" s="3"/>
    </row>
    <row r="1217" spans="1:18" x14ac:dyDescent="0.2">
      <c r="A1217" s="11">
        <v>883</v>
      </c>
      <c r="B1217" s="11">
        <v>1</v>
      </c>
      <c r="C1217" s="11" t="s">
        <v>287</v>
      </c>
      <c r="D1217" s="11">
        <f t="shared" si="36"/>
        <v>1</v>
      </c>
      <c r="E1217">
        <f t="shared" si="37"/>
        <v>883001</v>
      </c>
      <c r="F1217" s="11">
        <v>414</v>
      </c>
      <c r="G1217" s="11" t="s">
        <v>9</v>
      </c>
      <c r="H1217" s="3">
        <v>32580.82</v>
      </c>
      <c r="K1217" s="11"/>
      <c r="L1217" s="11"/>
      <c r="M1217" s="11"/>
      <c r="N1217" s="11"/>
      <c r="P1217" s="11"/>
      <c r="Q1217" s="11"/>
      <c r="R1217" s="3"/>
    </row>
    <row r="1218" spans="1:18" x14ac:dyDescent="0.2">
      <c r="A1218" s="11">
        <v>883</v>
      </c>
      <c r="B1218" s="11">
        <v>1</v>
      </c>
      <c r="C1218" s="11" t="s">
        <v>287</v>
      </c>
      <c r="D1218" s="11">
        <f t="shared" si="36"/>
        <v>2</v>
      </c>
      <c r="E1218">
        <f t="shared" si="37"/>
        <v>883002</v>
      </c>
      <c r="F1218" s="11">
        <v>433</v>
      </c>
      <c r="G1218" s="11" t="s">
        <v>30</v>
      </c>
      <c r="H1218" s="3">
        <v>3745.25</v>
      </c>
      <c r="K1218" s="11"/>
      <c r="L1218" s="11"/>
      <c r="M1218" s="11"/>
      <c r="N1218" s="11"/>
      <c r="P1218" s="11"/>
      <c r="Q1218" s="11"/>
      <c r="R1218" s="3"/>
    </row>
    <row r="1219" spans="1:18" x14ac:dyDescent="0.2">
      <c r="A1219" s="11">
        <v>883</v>
      </c>
      <c r="B1219" s="11">
        <v>1</v>
      </c>
      <c r="C1219" s="11" t="s">
        <v>287</v>
      </c>
      <c r="D1219" s="11">
        <f t="shared" si="36"/>
        <v>3</v>
      </c>
      <c r="E1219">
        <f t="shared" si="37"/>
        <v>883003</v>
      </c>
      <c r="F1219" s="11">
        <v>470</v>
      </c>
      <c r="G1219" s="11" t="s">
        <v>6</v>
      </c>
      <c r="H1219" s="3">
        <v>82660.38</v>
      </c>
      <c r="K1219" s="11"/>
      <c r="L1219" s="11"/>
      <c r="M1219" s="11"/>
      <c r="N1219" s="11"/>
      <c r="P1219" s="11"/>
      <c r="Q1219" s="11"/>
      <c r="R1219" s="3"/>
    </row>
    <row r="1220" spans="1:18" x14ac:dyDescent="0.2">
      <c r="A1220" s="11">
        <v>891</v>
      </c>
      <c r="B1220" s="11">
        <v>1</v>
      </c>
      <c r="C1220" s="11" t="s">
        <v>288</v>
      </c>
      <c r="D1220" s="11">
        <f t="shared" si="36"/>
        <v>1</v>
      </c>
      <c r="E1220">
        <f t="shared" si="37"/>
        <v>891001</v>
      </c>
      <c r="F1220" s="11">
        <v>151</v>
      </c>
      <c r="G1220" s="11" t="s">
        <v>28</v>
      </c>
      <c r="H1220" s="3">
        <v>231353.37</v>
      </c>
      <c r="K1220" s="11"/>
      <c r="L1220" s="11"/>
      <c r="M1220" s="11"/>
      <c r="N1220" s="11"/>
      <c r="P1220" s="11"/>
      <c r="Q1220" s="11"/>
      <c r="R1220" s="3"/>
    </row>
    <row r="1221" spans="1:18" x14ac:dyDescent="0.2">
      <c r="A1221" s="11">
        <v>891</v>
      </c>
      <c r="B1221" s="11">
        <v>1</v>
      </c>
      <c r="C1221" s="11" t="s">
        <v>288</v>
      </c>
      <c r="D1221" s="11">
        <f t="shared" si="36"/>
        <v>2</v>
      </c>
      <c r="E1221">
        <f t="shared" si="37"/>
        <v>891002</v>
      </c>
      <c r="F1221" s="11">
        <v>401</v>
      </c>
      <c r="G1221" s="11" t="s">
        <v>29</v>
      </c>
      <c r="H1221" s="3">
        <v>76759.7</v>
      </c>
      <c r="K1221" s="11"/>
      <c r="L1221" s="11"/>
      <c r="M1221" s="11"/>
      <c r="N1221" s="11"/>
      <c r="P1221" s="11"/>
      <c r="Q1221" s="11"/>
      <c r="R1221" s="3"/>
    </row>
    <row r="1222" spans="1:18" x14ac:dyDescent="0.2">
      <c r="A1222" s="11">
        <v>891</v>
      </c>
      <c r="B1222" s="11">
        <v>1</v>
      </c>
      <c r="C1222" s="11" t="s">
        <v>288</v>
      </c>
      <c r="D1222" s="11">
        <f t="shared" si="36"/>
        <v>3</v>
      </c>
      <c r="E1222">
        <f t="shared" si="37"/>
        <v>891003</v>
      </c>
      <c r="F1222" s="11">
        <v>414</v>
      </c>
      <c r="G1222" s="11" t="s">
        <v>9</v>
      </c>
      <c r="H1222" s="3">
        <v>34399.949999999997</v>
      </c>
      <c r="K1222" s="11"/>
      <c r="L1222" s="11"/>
      <c r="M1222" s="11"/>
      <c r="N1222" s="11"/>
      <c r="P1222" s="11"/>
      <c r="Q1222" s="11"/>
      <c r="R1222" s="3"/>
    </row>
    <row r="1223" spans="1:18" x14ac:dyDescent="0.2">
      <c r="A1223" s="11">
        <v>891</v>
      </c>
      <c r="B1223" s="11">
        <v>1</v>
      </c>
      <c r="C1223" s="11" t="s">
        <v>288</v>
      </c>
      <c r="D1223" s="11">
        <f t="shared" si="36"/>
        <v>4</v>
      </c>
      <c r="E1223">
        <f t="shared" si="37"/>
        <v>891004</v>
      </c>
      <c r="F1223" s="11">
        <v>433</v>
      </c>
      <c r="G1223" s="11" t="s">
        <v>30</v>
      </c>
      <c r="H1223" s="3">
        <v>1778.02</v>
      </c>
      <c r="K1223" s="11"/>
      <c r="L1223" s="11"/>
      <c r="M1223" s="11"/>
      <c r="N1223" s="11"/>
      <c r="P1223" s="11"/>
      <c r="Q1223" s="11"/>
      <c r="R1223" s="3"/>
    </row>
    <row r="1224" spans="1:18" x14ac:dyDescent="0.2">
      <c r="A1224" s="11">
        <v>891</v>
      </c>
      <c r="B1224" s="11">
        <v>1</v>
      </c>
      <c r="C1224" s="11" t="s">
        <v>288</v>
      </c>
      <c r="D1224" s="11">
        <f t="shared" si="36"/>
        <v>5</v>
      </c>
      <c r="E1224">
        <f t="shared" si="37"/>
        <v>891005</v>
      </c>
      <c r="F1224" s="11">
        <v>470</v>
      </c>
      <c r="G1224" s="11" t="s">
        <v>6</v>
      </c>
      <c r="H1224" s="3">
        <v>46882</v>
      </c>
      <c r="K1224" s="11"/>
      <c r="L1224" s="11"/>
      <c r="M1224" s="11"/>
      <c r="N1224" s="11"/>
      <c r="P1224" s="11"/>
      <c r="Q1224" s="11"/>
      <c r="R1224" s="3"/>
    </row>
    <row r="1225" spans="1:18" x14ac:dyDescent="0.2">
      <c r="A1225" s="11">
        <v>901</v>
      </c>
      <c r="B1225" s="11">
        <v>52</v>
      </c>
      <c r="C1225" s="11" t="s">
        <v>289</v>
      </c>
      <c r="D1225" s="11">
        <f t="shared" si="36"/>
        <v>1</v>
      </c>
      <c r="E1225">
        <f t="shared" si="37"/>
        <v>901001</v>
      </c>
      <c r="F1225" s="11">
        <v>419</v>
      </c>
      <c r="G1225" s="11" t="s">
        <v>10</v>
      </c>
      <c r="H1225" s="3">
        <v>787969.19</v>
      </c>
      <c r="K1225" s="11"/>
      <c r="L1225" s="11"/>
      <c r="M1225" s="11"/>
      <c r="N1225" s="11"/>
      <c r="P1225" s="11"/>
      <c r="Q1225" s="11"/>
      <c r="R1225" s="3"/>
    </row>
    <row r="1226" spans="1:18" x14ac:dyDescent="0.2">
      <c r="A1226" s="11">
        <v>901</v>
      </c>
      <c r="B1226" s="11">
        <v>52</v>
      </c>
      <c r="C1226" s="11" t="s">
        <v>289</v>
      </c>
      <c r="D1226" s="11">
        <f t="shared" si="36"/>
        <v>2</v>
      </c>
      <c r="E1226">
        <f t="shared" si="37"/>
        <v>901002</v>
      </c>
      <c r="F1226" s="11">
        <v>420</v>
      </c>
      <c r="G1226" s="11" t="s">
        <v>11</v>
      </c>
      <c r="H1226" s="3">
        <v>23332.78</v>
      </c>
      <c r="K1226" s="11"/>
      <c r="L1226" s="11"/>
      <c r="M1226" s="11"/>
      <c r="N1226" s="11"/>
      <c r="P1226" s="11"/>
      <c r="Q1226" s="11"/>
      <c r="R1226" s="3"/>
    </row>
    <row r="1227" spans="1:18" x14ac:dyDescent="0.2">
      <c r="A1227" s="11">
        <v>901</v>
      </c>
      <c r="B1227" s="11">
        <v>52</v>
      </c>
      <c r="C1227" s="11" t="s">
        <v>289</v>
      </c>
      <c r="D1227" s="11">
        <f t="shared" si="36"/>
        <v>3</v>
      </c>
      <c r="E1227">
        <f t="shared" si="37"/>
        <v>901003</v>
      </c>
      <c r="F1227" s="11">
        <v>437</v>
      </c>
      <c r="G1227" s="11" t="s">
        <v>14</v>
      </c>
      <c r="H1227" s="3">
        <v>1245</v>
      </c>
      <c r="K1227" s="11"/>
      <c r="L1227" s="11"/>
      <c r="M1227" s="11"/>
      <c r="N1227" s="11"/>
      <c r="P1227" s="11"/>
      <c r="Q1227" s="11"/>
      <c r="R1227" s="3"/>
    </row>
    <row r="1228" spans="1:18" x14ac:dyDescent="0.2">
      <c r="A1228" s="11">
        <v>901</v>
      </c>
      <c r="B1228" s="11">
        <v>52</v>
      </c>
      <c r="C1228" s="11" t="s">
        <v>289</v>
      </c>
      <c r="D1228" s="11">
        <f t="shared" si="36"/>
        <v>4</v>
      </c>
      <c r="E1228">
        <f t="shared" si="37"/>
        <v>901004</v>
      </c>
      <c r="F1228" s="11">
        <v>480</v>
      </c>
      <c r="G1228" s="11" t="s">
        <v>19</v>
      </c>
      <c r="H1228" s="3">
        <v>761977.84</v>
      </c>
      <c r="K1228" s="11"/>
      <c r="L1228" s="11"/>
      <c r="M1228" s="11"/>
      <c r="N1228" s="11"/>
      <c r="P1228" s="11"/>
      <c r="Q1228" s="11"/>
      <c r="R1228" s="3"/>
    </row>
    <row r="1229" spans="1:18" x14ac:dyDescent="0.2">
      <c r="A1229" s="11">
        <v>901</v>
      </c>
      <c r="B1229" s="11">
        <v>52</v>
      </c>
      <c r="C1229" s="11" t="s">
        <v>289</v>
      </c>
      <c r="D1229" s="11">
        <f t="shared" si="36"/>
        <v>5</v>
      </c>
      <c r="E1229">
        <f t="shared" si="37"/>
        <v>901005</v>
      </c>
      <c r="F1229" s="11">
        <v>484</v>
      </c>
      <c r="G1229" s="11" t="s">
        <v>20</v>
      </c>
      <c r="H1229" s="3">
        <v>31220.32</v>
      </c>
      <c r="K1229" s="11"/>
      <c r="L1229" s="11"/>
      <c r="M1229" s="11"/>
      <c r="N1229" s="11"/>
      <c r="P1229" s="11"/>
      <c r="Q1229" s="11"/>
      <c r="R1229" s="3"/>
    </row>
    <row r="1230" spans="1:18" x14ac:dyDescent="0.2">
      <c r="A1230" s="11">
        <v>901</v>
      </c>
      <c r="B1230" s="11">
        <v>52</v>
      </c>
      <c r="C1230" s="11" t="s">
        <v>289</v>
      </c>
      <c r="D1230" s="11">
        <f t="shared" si="36"/>
        <v>6</v>
      </c>
      <c r="E1230">
        <f t="shared" si="37"/>
        <v>901006</v>
      </c>
      <c r="F1230" s="11">
        <v>486</v>
      </c>
      <c r="G1230" s="11" t="s">
        <v>21</v>
      </c>
      <c r="H1230" s="3">
        <v>11918.64</v>
      </c>
      <c r="K1230" s="11"/>
      <c r="L1230" s="11"/>
      <c r="M1230" s="11"/>
      <c r="N1230" s="11"/>
      <c r="P1230" s="11"/>
      <c r="Q1230" s="11"/>
      <c r="R1230" s="3"/>
    </row>
    <row r="1231" spans="1:18" x14ac:dyDescent="0.2">
      <c r="A1231" s="11">
        <v>911</v>
      </c>
      <c r="B1231" s="11">
        <v>1</v>
      </c>
      <c r="C1231" s="11" t="s">
        <v>290</v>
      </c>
      <c r="D1231" s="11">
        <f t="shared" ref="D1231:D1294" si="38">IF(A1231=A1230,D1230+1,1)</f>
        <v>1</v>
      </c>
      <c r="E1231">
        <f t="shared" ref="E1231:E1294" si="39">1000*A1231+D1231</f>
        <v>911001</v>
      </c>
      <c r="F1231" s="11">
        <v>401</v>
      </c>
      <c r="G1231" s="11" t="s">
        <v>29</v>
      </c>
      <c r="H1231" s="3">
        <v>440724.23</v>
      </c>
      <c r="K1231" s="11"/>
      <c r="L1231" s="11"/>
      <c r="M1231" s="11"/>
      <c r="N1231" s="11"/>
      <c r="P1231" s="11"/>
      <c r="Q1231" s="11"/>
      <c r="R1231" s="3"/>
    </row>
    <row r="1232" spans="1:18" x14ac:dyDescent="0.2">
      <c r="A1232" s="11">
        <v>911</v>
      </c>
      <c r="B1232" s="11">
        <v>1</v>
      </c>
      <c r="C1232" s="11" t="s">
        <v>290</v>
      </c>
      <c r="D1232" s="11">
        <f t="shared" si="38"/>
        <v>2</v>
      </c>
      <c r="E1232">
        <f t="shared" si="39"/>
        <v>911002</v>
      </c>
      <c r="F1232" s="11">
        <v>414</v>
      </c>
      <c r="G1232" s="11" t="s">
        <v>9</v>
      </c>
      <c r="H1232" s="3">
        <v>158510.6</v>
      </c>
      <c r="K1232" s="11"/>
      <c r="L1232" s="11"/>
      <c r="M1232" s="11"/>
      <c r="N1232" s="11"/>
      <c r="P1232" s="11"/>
      <c r="Q1232" s="11"/>
      <c r="R1232" s="3"/>
    </row>
    <row r="1233" spans="1:18" x14ac:dyDescent="0.2">
      <c r="A1233" s="11">
        <v>911</v>
      </c>
      <c r="B1233" s="11">
        <v>1</v>
      </c>
      <c r="C1233" s="11" t="s">
        <v>290</v>
      </c>
      <c r="D1233" s="11">
        <f t="shared" si="38"/>
        <v>3</v>
      </c>
      <c r="E1233">
        <f t="shared" si="39"/>
        <v>911003</v>
      </c>
      <c r="F1233" s="11">
        <v>433</v>
      </c>
      <c r="G1233" s="11" t="s">
        <v>30</v>
      </c>
      <c r="H1233" s="3">
        <v>12892.51</v>
      </c>
      <c r="K1233" s="11"/>
      <c r="L1233" s="11"/>
      <c r="M1233" s="11"/>
      <c r="N1233" s="11"/>
      <c r="P1233" s="11"/>
      <c r="Q1233" s="11"/>
      <c r="R1233" s="3"/>
    </row>
    <row r="1234" spans="1:18" x14ac:dyDescent="0.2">
      <c r="A1234" s="11">
        <v>911</v>
      </c>
      <c r="B1234" s="11">
        <v>1</v>
      </c>
      <c r="C1234" s="11" t="s">
        <v>290</v>
      </c>
      <c r="D1234" s="11">
        <f t="shared" si="38"/>
        <v>4</v>
      </c>
      <c r="E1234">
        <f t="shared" si="39"/>
        <v>911004</v>
      </c>
      <c r="F1234" s="11">
        <v>470</v>
      </c>
      <c r="G1234" s="11" t="s">
        <v>6</v>
      </c>
      <c r="H1234" s="3">
        <v>273889.59000000003</v>
      </c>
      <c r="K1234" s="11"/>
      <c r="L1234" s="11"/>
      <c r="M1234" s="11"/>
      <c r="N1234" s="11"/>
      <c r="P1234" s="11"/>
      <c r="Q1234" s="11"/>
      <c r="R1234" s="3"/>
    </row>
    <row r="1235" spans="1:18" x14ac:dyDescent="0.2">
      <c r="A1235" s="11">
        <v>912</v>
      </c>
      <c r="B1235" s="11">
        <v>1</v>
      </c>
      <c r="C1235" s="11" t="s">
        <v>291</v>
      </c>
      <c r="D1235" s="11">
        <f t="shared" si="38"/>
        <v>1</v>
      </c>
      <c r="E1235">
        <f t="shared" si="39"/>
        <v>912001</v>
      </c>
      <c r="F1235" s="11">
        <v>151</v>
      </c>
      <c r="G1235" s="11" t="s">
        <v>28</v>
      </c>
      <c r="H1235" s="3">
        <v>749270.76</v>
      </c>
      <c r="K1235" s="11"/>
      <c r="L1235" s="11"/>
      <c r="M1235" s="11"/>
      <c r="N1235" s="11"/>
      <c r="P1235" s="11"/>
      <c r="Q1235" s="11"/>
      <c r="R1235" s="3"/>
    </row>
    <row r="1236" spans="1:18" x14ac:dyDescent="0.2">
      <c r="A1236" s="11">
        <v>912</v>
      </c>
      <c r="B1236" s="11">
        <v>1</v>
      </c>
      <c r="C1236" s="11" t="s">
        <v>291</v>
      </c>
      <c r="D1236" s="11">
        <f t="shared" si="38"/>
        <v>2</v>
      </c>
      <c r="E1236">
        <f t="shared" si="39"/>
        <v>912002</v>
      </c>
      <c r="F1236" s="11">
        <v>401</v>
      </c>
      <c r="G1236" s="11" t="s">
        <v>29</v>
      </c>
      <c r="H1236" s="3">
        <v>218967.44</v>
      </c>
      <c r="K1236" s="11"/>
      <c r="L1236" s="11"/>
      <c r="M1236" s="11"/>
      <c r="N1236" s="11"/>
      <c r="P1236" s="11"/>
      <c r="Q1236" s="11"/>
      <c r="R1236" s="3"/>
    </row>
    <row r="1237" spans="1:18" x14ac:dyDescent="0.2">
      <c r="A1237" s="11">
        <v>912</v>
      </c>
      <c r="B1237" s="11">
        <v>1</v>
      </c>
      <c r="C1237" s="11" t="s">
        <v>291</v>
      </c>
      <c r="D1237" s="11">
        <f t="shared" si="38"/>
        <v>3</v>
      </c>
      <c r="E1237">
        <f t="shared" si="39"/>
        <v>912003</v>
      </c>
      <c r="F1237" s="11">
        <v>414</v>
      </c>
      <c r="G1237" s="11" t="s">
        <v>9</v>
      </c>
      <c r="H1237" s="3">
        <v>83250.899999999994</v>
      </c>
      <c r="K1237" s="11"/>
      <c r="L1237" s="11"/>
      <c r="M1237" s="11"/>
      <c r="N1237" s="11"/>
      <c r="P1237" s="11"/>
      <c r="Q1237" s="11"/>
      <c r="R1237" s="3"/>
    </row>
    <row r="1238" spans="1:18" x14ac:dyDescent="0.2">
      <c r="A1238" s="11">
        <v>912</v>
      </c>
      <c r="B1238" s="11">
        <v>1</v>
      </c>
      <c r="C1238" s="11" t="s">
        <v>291</v>
      </c>
      <c r="D1238" s="11">
        <f t="shared" si="38"/>
        <v>4</v>
      </c>
      <c r="E1238">
        <f t="shared" si="39"/>
        <v>912004</v>
      </c>
      <c r="F1238" s="11">
        <v>433</v>
      </c>
      <c r="G1238" s="11" t="s">
        <v>30</v>
      </c>
      <c r="H1238" s="3">
        <v>5539.85</v>
      </c>
      <c r="K1238" s="11"/>
      <c r="L1238" s="11"/>
      <c r="M1238" s="11"/>
      <c r="N1238" s="11"/>
      <c r="P1238" s="11"/>
      <c r="Q1238" s="11"/>
      <c r="R1238" s="3"/>
    </row>
    <row r="1239" spans="1:18" x14ac:dyDescent="0.2">
      <c r="A1239" s="11">
        <v>912</v>
      </c>
      <c r="B1239" s="11">
        <v>1</v>
      </c>
      <c r="C1239" s="11" t="s">
        <v>291</v>
      </c>
      <c r="D1239" s="11">
        <f t="shared" si="38"/>
        <v>5</v>
      </c>
      <c r="E1239">
        <f t="shared" si="39"/>
        <v>912005</v>
      </c>
      <c r="F1239" s="11">
        <v>470</v>
      </c>
      <c r="G1239" s="11" t="s">
        <v>6</v>
      </c>
      <c r="H1239" s="3">
        <v>135711.04999999999</v>
      </c>
      <c r="K1239" s="11"/>
      <c r="L1239" s="11"/>
      <c r="M1239" s="11"/>
      <c r="N1239" s="11"/>
      <c r="P1239" s="11"/>
      <c r="Q1239" s="11"/>
      <c r="R1239" s="3"/>
    </row>
    <row r="1240" spans="1:18" x14ac:dyDescent="0.2">
      <c r="A1240" s="11">
        <v>914</v>
      </c>
      <c r="B1240" s="11">
        <v>1</v>
      </c>
      <c r="C1240" s="11" t="s">
        <v>292</v>
      </c>
      <c r="D1240" s="11">
        <f t="shared" si="38"/>
        <v>1</v>
      </c>
      <c r="E1240">
        <f t="shared" si="39"/>
        <v>914001</v>
      </c>
      <c r="F1240" s="11">
        <v>433</v>
      </c>
      <c r="G1240" s="11" t="s">
        <v>30</v>
      </c>
      <c r="H1240" s="3">
        <v>983.13</v>
      </c>
      <c r="K1240" s="11"/>
      <c r="L1240" s="11"/>
      <c r="M1240" s="11"/>
      <c r="N1240" s="11"/>
      <c r="P1240" s="11"/>
      <c r="Q1240" s="11"/>
      <c r="R1240" s="3"/>
    </row>
    <row r="1241" spans="1:18" x14ac:dyDescent="0.2">
      <c r="A1241" s="11">
        <v>915</v>
      </c>
      <c r="B1241" s="11">
        <v>52</v>
      </c>
      <c r="C1241" s="11" t="s">
        <v>293</v>
      </c>
      <c r="D1241" s="11">
        <f t="shared" si="38"/>
        <v>1</v>
      </c>
      <c r="E1241">
        <f t="shared" si="39"/>
        <v>915001</v>
      </c>
      <c r="F1241" s="11">
        <v>419</v>
      </c>
      <c r="G1241" s="11" t="s">
        <v>10</v>
      </c>
      <c r="H1241" s="3">
        <v>997475.36</v>
      </c>
      <c r="K1241" s="11"/>
      <c r="L1241" s="11"/>
      <c r="M1241" s="11"/>
      <c r="N1241" s="11"/>
      <c r="P1241" s="11"/>
      <c r="Q1241" s="11"/>
      <c r="R1241" s="3"/>
    </row>
    <row r="1242" spans="1:18" x14ac:dyDescent="0.2">
      <c r="A1242" s="11">
        <v>915</v>
      </c>
      <c r="B1242" s="11">
        <v>52</v>
      </c>
      <c r="C1242" s="11" t="s">
        <v>293</v>
      </c>
      <c r="D1242" s="11">
        <f t="shared" si="38"/>
        <v>2</v>
      </c>
      <c r="E1242">
        <f t="shared" si="39"/>
        <v>915002</v>
      </c>
      <c r="F1242" s="11">
        <v>422</v>
      </c>
      <c r="G1242" s="11" t="s">
        <v>12</v>
      </c>
      <c r="H1242" s="3">
        <v>33752.15</v>
      </c>
      <c r="K1242" s="11"/>
      <c r="L1242" s="11"/>
      <c r="M1242" s="11"/>
      <c r="N1242" s="11"/>
      <c r="P1242" s="11"/>
      <c r="Q1242" s="11"/>
      <c r="R1242" s="3"/>
    </row>
    <row r="1243" spans="1:18" x14ac:dyDescent="0.2">
      <c r="A1243" s="11">
        <v>915</v>
      </c>
      <c r="B1243" s="11">
        <v>52</v>
      </c>
      <c r="C1243" s="11" t="s">
        <v>293</v>
      </c>
      <c r="D1243" s="11">
        <f t="shared" si="38"/>
        <v>3</v>
      </c>
      <c r="E1243">
        <f t="shared" si="39"/>
        <v>915003</v>
      </c>
      <c r="F1243" s="11">
        <v>441</v>
      </c>
      <c r="G1243" s="11" t="s">
        <v>16</v>
      </c>
      <c r="H1243" s="3">
        <v>3300</v>
      </c>
      <c r="K1243" s="11"/>
      <c r="L1243" s="11"/>
      <c r="M1243" s="11"/>
      <c r="N1243" s="11"/>
      <c r="P1243" s="11"/>
      <c r="Q1243" s="11"/>
      <c r="R1243" s="3"/>
    </row>
    <row r="1244" spans="1:18" x14ac:dyDescent="0.2">
      <c r="A1244" s="11">
        <v>915</v>
      </c>
      <c r="B1244" s="11">
        <v>52</v>
      </c>
      <c r="C1244" s="11" t="s">
        <v>293</v>
      </c>
      <c r="D1244" s="11">
        <f t="shared" si="38"/>
        <v>4</v>
      </c>
      <c r="E1244">
        <f t="shared" si="39"/>
        <v>915004</v>
      </c>
      <c r="F1244" s="11">
        <v>486</v>
      </c>
      <c r="G1244" s="11" t="s">
        <v>21</v>
      </c>
      <c r="H1244" s="3">
        <v>36113.480000000003</v>
      </c>
      <c r="K1244" s="11"/>
      <c r="L1244" s="11"/>
      <c r="M1244" s="11"/>
      <c r="N1244" s="11"/>
      <c r="P1244" s="11"/>
      <c r="Q1244" s="11"/>
      <c r="R1244" s="3"/>
    </row>
    <row r="1245" spans="1:18" x14ac:dyDescent="0.2">
      <c r="A1245" s="11">
        <v>916</v>
      </c>
      <c r="B1245" s="11">
        <v>6</v>
      </c>
      <c r="C1245" s="11" t="s">
        <v>294</v>
      </c>
      <c r="D1245" s="11">
        <f t="shared" si="38"/>
        <v>1</v>
      </c>
      <c r="E1245">
        <f t="shared" si="39"/>
        <v>916001</v>
      </c>
      <c r="F1245" s="11">
        <v>414</v>
      </c>
      <c r="G1245" s="11" t="s">
        <v>9</v>
      </c>
      <c r="H1245" s="3">
        <v>2618.04</v>
      </c>
      <c r="K1245" s="11"/>
      <c r="L1245" s="11"/>
      <c r="M1245" s="11"/>
      <c r="N1245" s="11"/>
      <c r="P1245" s="11"/>
      <c r="Q1245" s="11"/>
      <c r="R1245" s="3"/>
    </row>
    <row r="1246" spans="1:18" x14ac:dyDescent="0.2">
      <c r="A1246" s="11">
        <v>916</v>
      </c>
      <c r="B1246" s="11">
        <v>6</v>
      </c>
      <c r="C1246" s="11" t="s">
        <v>294</v>
      </c>
      <c r="D1246" s="11">
        <f t="shared" si="38"/>
        <v>2</v>
      </c>
      <c r="E1246">
        <f t="shared" si="39"/>
        <v>916002</v>
      </c>
      <c r="F1246" s="11">
        <v>419</v>
      </c>
      <c r="G1246" s="11" t="s">
        <v>10</v>
      </c>
      <c r="H1246" s="3">
        <v>8080</v>
      </c>
      <c r="K1246" s="11"/>
      <c r="L1246" s="11"/>
      <c r="M1246" s="11"/>
      <c r="N1246" s="11"/>
      <c r="P1246" s="11"/>
      <c r="Q1246" s="11"/>
      <c r="R1246" s="3"/>
    </row>
    <row r="1247" spans="1:18" x14ac:dyDescent="0.2">
      <c r="A1247" s="11">
        <v>916</v>
      </c>
      <c r="B1247" s="11">
        <v>6</v>
      </c>
      <c r="C1247" s="11" t="s">
        <v>294</v>
      </c>
      <c r="D1247" s="11">
        <f t="shared" si="38"/>
        <v>3</v>
      </c>
      <c r="E1247">
        <f t="shared" si="39"/>
        <v>916003</v>
      </c>
      <c r="F1247" s="11">
        <v>428</v>
      </c>
      <c r="G1247" s="11" t="s">
        <v>13</v>
      </c>
      <c r="H1247" s="3">
        <v>613662.93000000005</v>
      </c>
      <c r="K1247" s="11"/>
      <c r="L1247" s="11"/>
      <c r="M1247" s="11"/>
      <c r="N1247" s="11"/>
      <c r="P1247" s="11"/>
      <c r="Q1247" s="11"/>
      <c r="R1247" s="3"/>
    </row>
    <row r="1248" spans="1:18" x14ac:dyDescent="0.2">
      <c r="A1248" s="11">
        <v>917</v>
      </c>
      <c r="B1248" s="11">
        <v>6</v>
      </c>
      <c r="C1248" s="11" t="s">
        <v>295</v>
      </c>
      <c r="D1248" s="11">
        <f t="shared" si="38"/>
        <v>1</v>
      </c>
      <c r="E1248">
        <f t="shared" si="39"/>
        <v>917001</v>
      </c>
      <c r="F1248" s="11">
        <v>419</v>
      </c>
      <c r="G1248" s="11" t="s">
        <v>10</v>
      </c>
      <c r="H1248" s="3">
        <v>8380</v>
      </c>
      <c r="K1248" s="11"/>
      <c r="L1248" s="11"/>
      <c r="M1248" s="11"/>
      <c r="N1248" s="11"/>
      <c r="P1248" s="11"/>
      <c r="Q1248" s="11"/>
      <c r="R1248" s="3"/>
    </row>
    <row r="1249" spans="1:18" x14ac:dyDescent="0.2">
      <c r="A1249" s="11">
        <v>917</v>
      </c>
      <c r="B1249" s="11">
        <v>6</v>
      </c>
      <c r="C1249" s="11" t="s">
        <v>295</v>
      </c>
      <c r="D1249" s="11">
        <f t="shared" si="38"/>
        <v>2</v>
      </c>
      <c r="E1249">
        <f t="shared" si="39"/>
        <v>917002</v>
      </c>
      <c r="F1249" s="11">
        <v>422</v>
      </c>
      <c r="G1249" s="11" t="s">
        <v>12</v>
      </c>
      <c r="H1249" s="3">
        <v>440266.71</v>
      </c>
      <c r="K1249" s="11"/>
      <c r="L1249" s="11"/>
      <c r="M1249" s="11"/>
      <c r="N1249" s="11"/>
      <c r="P1249" s="11"/>
      <c r="Q1249" s="11"/>
      <c r="R1249" s="3"/>
    </row>
    <row r="1250" spans="1:18" x14ac:dyDescent="0.2">
      <c r="A1250" s="11">
        <v>917</v>
      </c>
      <c r="B1250" s="11">
        <v>6</v>
      </c>
      <c r="C1250" s="11" t="s">
        <v>295</v>
      </c>
      <c r="D1250" s="11">
        <f t="shared" si="38"/>
        <v>3</v>
      </c>
      <c r="E1250">
        <f t="shared" si="39"/>
        <v>917003</v>
      </c>
      <c r="F1250" s="11">
        <v>435</v>
      </c>
      <c r="G1250" s="11" t="s">
        <v>35</v>
      </c>
      <c r="H1250" s="3">
        <v>5000</v>
      </c>
      <c r="K1250" s="11"/>
      <c r="L1250" s="11"/>
      <c r="M1250" s="11"/>
      <c r="N1250" s="11"/>
      <c r="P1250" s="11"/>
      <c r="Q1250" s="11"/>
      <c r="R1250" s="3"/>
    </row>
    <row r="1251" spans="1:18" x14ac:dyDescent="0.2">
      <c r="A1251" s="11">
        <v>917</v>
      </c>
      <c r="B1251" s="11">
        <v>6</v>
      </c>
      <c r="C1251" s="11" t="s">
        <v>295</v>
      </c>
      <c r="D1251" s="11">
        <f t="shared" si="38"/>
        <v>4</v>
      </c>
      <c r="E1251">
        <f t="shared" si="39"/>
        <v>917004</v>
      </c>
      <c r="F1251" s="11">
        <v>441</v>
      </c>
      <c r="G1251" s="11" t="s">
        <v>16</v>
      </c>
      <c r="H1251" s="3">
        <v>33625</v>
      </c>
      <c r="K1251" s="11"/>
      <c r="L1251" s="11"/>
      <c r="M1251" s="11"/>
      <c r="N1251" s="11"/>
      <c r="P1251" s="11"/>
      <c r="Q1251" s="11"/>
      <c r="R1251" s="3"/>
    </row>
    <row r="1252" spans="1:18" x14ac:dyDescent="0.2">
      <c r="A1252" s="11">
        <v>919</v>
      </c>
      <c r="B1252" s="11">
        <v>51</v>
      </c>
      <c r="C1252" s="11" t="s">
        <v>296</v>
      </c>
      <c r="D1252" s="11">
        <f t="shared" si="38"/>
        <v>1</v>
      </c>
      <c r="E1252">
        <f t="shared" si="39"/>
        <v>919001</v>
      </c>
      <c r="F1252" s="11">
        <v>428</v>
      </c>
      <c r="G1252" s="11" t="s">
        <v>13</v>
      </c>
      <c r="H1252" s="3">
        <v>184389.32</v>
      </c>
      <c r="K1252" s="11"/>
      <c r="L1252" s="11"/>
      <c r="M1252" s="11"/>
      <c r="N1252" s="11"/>
      <c r="P1252" s="11"/>
      <c r="Q1252" s="11"/>
      <c r="R1252" s="3"/>
    </row>
    <row r="1253" spans="1:18" x14ac:dyDescent="0.2">
      <c r="A1253" s="11">
        <v>920</v>
      </c>
      <c r="B1253" s="11">
        <v>83</v>
      </c>
      <c r="C1253" s="11" t="s">
        <v>297</v>
      </c>
      <c r="D1253" s="11">
        <f t="shared" si="38"/>
        <v>1</v>
      </c>
      <c r="E1253">
        <f t="shared" si="39"/>
        <v>920001</v>
      </c>
      <c r="F1253" s="11">
        <v>487</v>
      </c>
      <c r="G1253" s="11" t="s">
        <v>298</v>
      </c>
      <c r="H1253" s="3">
        <v>587059</v>
      </c>
      <c r="K1253" s="11"/>
      <c r="L1253" s="11"/>
      <c r="M1253" s="11"/>
      <c r="N1253" s="11"/>
      <c r="P1253" s="11"/>
      <c r="Q1253" s="11"/>
      <c r="R1253" s="3"/>
    </row>
    <row r="1254" spans="1:18" x14ac:dyDescent="0.2">
      <c r="A1254" s="11">
        <v>920</v>
      </c>
      <c r="B1254" s="11">
        <v>83</v>
      </c>
      <c r="C1254" s="11" t="s">
        <v>297</v>
      </c>
      <c r="D1254" s="11">
        <f t="shared" si="38"/>
        <v>2</v>
      </c>
      <c r="E1254">
        <f t="shared" si="39"/>
        <v>920002</v>
      </c>
      <c r="F1254" s="11">
        <v>831</v>
      </c>
      <c r="G1254" s="11" t="s">
        <v>299</v>
      </c>
      <c r="H1254" s="3">
        <v>50000</v>
      </c>
      <c r="K1254" s="11"/>
      <c r="L1254" s="11"/>
      <c r="M1254" s="11"/>
      <c r="N1254" s="11"/>
      <c r="P1254" s="11"/>
      <c r="Q1254" s="11"/>
      <c r="R1254" s="3"/>
    </row>
    <row r="1255" spans="1:18" x14ac:dyDescent="0.2">
      <c r="A1255" s="11">
        <v>922</v>
      </c>
      <c r="B1255" s="11">
        <v>83</v>
      </c>
      <c r="C1255" s="11" t="s">
        <v>300</v>
      </c>
      <c r="D1255" s="11">
        <f t="shared" si="38"/>
        <v>1</v>
      </c>
      <c r="E1255">
        <f t="shared" si="39"/>
        <v>922001</v>
      </c>
      <c r="F1255" s="11">
        <v>421</v>
      </c>
      <c r="G1255" s="11" t="s">
        <v>301</v>
      </c>
      <c r="H1255" s="3">
        <v>342552.7</v>
      </c>
      <c r="K1255" s="11"/>
      <c r="L1255" s="11"/>
      <c r="M1255" s="11"/>
      <c r="N1255" s="11"/>
      <c r="P1255" s="11"/>
      <c r="Q1255" s="11"/>
      <c r="R1255" s="3"/>
    </row>
    <row r="1256" spans="1:18" x14ac:dyDescent="0.2">
      <c r="A1256" s="11">
        <v>922</v>
      </c>
      <c r="B1256" s="11">
        <v>83</v>
      </c>
      <c r="C1256" s="11" t="s">
        <v>300</v>
      </c>
      <c r="D1256" s="11">
        <f t="shared" si="38"/>
        <v>2</v>
      </c>
      <c r="E1256">
        <f t="shared" si="39"/>
        <v>922002</v>
      </c>
      <c r="F1256" s="11">
        <v>440</v>
      </c>
      <c r="G1256" s="11" t="s">
        <v>302</v>
      </c>
      <c r="H1256" s="3">
        <v>10000</v>
      </c>
      <c r="K1256" s="11"/>
      <c r="L1256" s="11"/>
      <c r="M1256" s="11"/>
      <c r="N1256" s="11"/>
      <c r="P1256" s="11"/>
      <c r="Q1256" s="11"/>
      <c r="R1256" s="3"/>
    </row>
    <row r="1257" spans="1:18" x14ac:dyDescent="0.2">
      <c r="A1257" s="11">
        <v>922</v>
      </c>
      <c r="B1257" s="11">
        <v>83</v>
      </c>
      <c r="C1257" s="11" t="s">
        <v>300</v>
      </c>
      <c r="D1257" s="11">
        <f t="shared" si="38"/>
        <v>3</v>
      </c>
      <c r="E1257">
        <f t="shared" si="39"/>
        <v>922003</v>
      </c>
      <c r="F1257" s="11">
        <v>487</v>
      </c>
      <c r="G1257" s="11" t="s">
        <v>298</v>
      </c>
      <c r="H1257" s="3">
        <v>108638</v>
      </c>
      <c r="K1257" s="11"/>
      <c r="L1257" s="11"/>
      <c r="M1257" s="11"/>
      <c r="N1257" s="11"/>
      <c r="P1257" s="11"/>
      <c r="Q1257" s="11"/>
      <c r="R1257" s="3"/>
    </row>
    <row r="1258" spans="1:18" x14ac:dyDescent="0.2">
      <c r="A1258" s="11">
        <v>922</v>
      </c>
      <c r="B1258" s="11">
        <v>83</v>
      </c>
      <c r="C1258" s="11" t="s">
        <v>300</v>
      </c>
      <c r="D1258" s="11">
        <f t="shared" si="38"/>
        <v>4</v>
      </c>
      <c r="E1258">
        <f t="shared" si="39"/>
        <v>922004</v>
      </c>
      <c r="F1258" s="11">
        <v>848</v>
      </c>
      <c r="G1258" s="11" t="s">
        <v>223</v>
      </c>
      <c r="H1258" s="3">
        <v>220000</v>
      </c>
      <c r="K1258" s="11"/>
      <c r="L1258" s="11"/>
      <c r="M1258" s="11"/>
      <c r="N1258" s="11"/>
      <c r="P1258" s="11"/>
      <c r="Q1258" s="11"/>
      <c r="R1258" s="3"/>
    </row>
    <row r="1259" spans="1:18" x14ac:dyDescent="0.2">
      <c r="A1259" s="11">
        <v>922</v>
      </c>
      <c r="B1259" s="11">
        <v>83</v>
      </c>
      <c r="C1259" s="11" t="s">
        <v>300</v>
      </c>
      <c r="D1259" s="11">
        <f t="shared" si="38"/>
        <v>5</v>
      </c>
      <c r="E1259">
        <f t="shared" si="39"/>
        <v>922005</v>
      </c>
      <c r="F1259" s="11">
        <v>862</v>
      </c>
      <c r="G1259" s="11" t="s">
        <v>132</v>
      </c>
      <c r="H1259" s="3">
        <v>60977</v>
      </c>
      <c r="K1259" s="11"/>
      <c r="L1259" s="11"/>
      <c r="M1259" s="11"/>
      <c r="N1259" s="11"/>
      <c r="P1259" s="11"/>
      <c r="Q1259" s="11"/>
      <c r="R1259" s="3"/>
    </row>
    <row r="1260" spans="1:18" x14ac:dyDescent="0.2">
      <c r="A1260" s="11">
        <v>923</v>
      </c>
      <c r="B1260" s="11">
        <v>83</v>
      </c>
      <c r="C1260" s="11" t="s">
        <v>303</v>
      </c>
      <c r="D1260" s="11">
        <f t="shared" si="38"/>
        <v>1</v>
      </c>
      <c r="E1260">
        <f t="shared" si="39"/>
        <v>923001</v>
      </c>
      <c r="F1260" s="11">
        <v>862</v>
      </c>
      <c r="G1260" s="11" t="s">
        <v>132</v>
      </c>
      <c r="H1260" s="3">
        <v>131828</v>
      </c>
      <c r="K1260" s="11"/>
      <c r="L1260" s="11"/>
      <c r="M1260" s="11"/>
      <c r="N1260" s="11"/>
      <c r="P1260" s="11"/>
      <c r="Q1260" s="11"/>
      <c r="R1260" s="3"/>
    </row>
    <row r="1261" spans="1:18" x14ac:dyDescent="0.2">
      <c r="A1261" s="11">
        <v>924</v>
      </c>
      <c r="B1261" s="11">
        <v>83</v>
      </c>
      <c r="C1261" s="11" t="s">
        <v>304</v>
      </c>
      <c r="D1261" s="11">
        <f t="shared" si="38"/>
        <v>1</v>
      </c>
      <c r="E1261">
        <f t="shared" si="39"/>
        <v>924001</v>
      </c>
      <c r="F1261" s="11">
        <v>440</v>
      </c>
      <c r="G1261" s="11" t="s">
        <v>302</v>
      </c>
      <c r="H1261" s="3">
        <v>10000</v>
      </c>
      <c r="K1261" s="11"/>
      <c r="L1261" s="11"/>
      <c r="M1261" s="11"/>
      <c r="N1261" s="11"/>
      <c r="P1261" s="11"/>
      <c r="Q1261" s="11"/>
      <c r="R1261" s="3"/>
    </row>
    <row r="1262" spans="1:18" x14ac:dyDescent="0.2">
      <c r="A1262" s="11">
        <v>926</v>
      </c>
      <c r="B1262" s="11">
        <v>83</v>
      </c>
      <c r="C1262" s="11" t="s">
        <v>305</v>
      </c>
      <c r="D1262" s="11">
        <f t="shared" si="38"/>
        <v>1</v>
      </c>
      <c r="E1262">
        <f t="shared" si="39"/>
        <v>926001</v>
      </c>
      <c r="F1262" s="11">
        <v>421</v>
      </c>
      <c r="G1262" s="11" t="s">
        <v>301</v>
      </c>
      <c r="H1262" s="3">
        <v>322300.3</v>
      </c>
      <c r="K1262" s="11"/>
      <c r="L1262" s="11"/>
      <c r="M1262" s="11"/>
      <c r="N1262" s="11"/>
      <c r="P1262" s="11"/>
      <c r="Q1262" s="11"/>
      <c r="R1262" s="3"/>
    </row>
    <row r="1263" spans="1:18" x14ac:dyDescent="0.2">
      <c r="A1263" s="11">
        <v>926</v>
      </c>
      <c r="B1263" s="11">
        <v>83</v>
      </c>
      <c r="C1263" s="11" t="s">
        <v>305</v>
      </c>
      <c r="D1263" s="11">
        <f t="shared" si="38"/>
        <v>2</v>
      </c>
      <c r="E1263">
        <f t="shared" si="39"/>
        <v>926002</v>
      </c>
      <c r="F1263" s="11">
        <v>428</v>
      </c>
      <c r="G1263" s="11" t="s">
        <v>13</v>
      </c>
      <c r="H1263" s="3">
        <v>231688.92</v>
      </c>
      <c r="K1263" s="11"/>
      <c r="L1263" s="11"/>
      <c r="M1263" s="11"/>
      <c r="N1263" s="11"/>
      <c r="P1263" s="11"/>
      <c r="Q1263" s="11"/>
      <c r="R1263" s="3"/>
    </row>
    <row r="1264" spans="1:18" x14ac:dyDescent="0.2">
      <c r="A1264" s="11">
        <v>926</v>
      </c>
      <c r="B1264" s="11">
        <v>83</v>
      </c>
      <c r="C1264" s="11" t="s">
        <v>305</v>
      </c>
      <c r="D1264" s="11">
        <f t="shared" si="38"/>
        <v>3</v>
      </c>
      <c r="E1264">
        <f t="shared" si="39"/>
        <v>926003</v>
      </c>
      <c r="F1264" s="11">
        <v>432</v>
      </c>
      <c r="G1264" s="11" t="s">
        <v>306</v>
      </c>
      <c r="H1264" s="3">
        <v>41040</v>
      </c>
      <c r="K1264" s="11"/>
      <c r="L1264" s="11"/>
      <c r="M1264" s="11"/>
      <c r="N1264" s="11"/>
      <c r="P1264" s="11"/>
      <c r="Q1264" s="11"/>
      <c r="R1264" s="3"/>
    </row>
    <row r="1265" spans="1:18" x14ac:dyDescent="0.2">
      <c r="A1265" s="11">
        <v>926</v>
      </c>
      <c r="B1265" s="11">
        <v>83</v>
      </c>
      <c r="C1265" s="11" t="s">
        <v>305</v>
      </c>
      <c r="D1265" s="11">
        <f t="shared" si="38"/>
        <v>4</v>
      </c>
      <c r="E1265">
        <f t="shared" si="39"/>
        <v>926004</v>
      </c>
      <c r="F1265" s="11">
        <v>440</v>
      </c>
      <c r="G1265" s="11" t="s">
        <v>302</v>
      </c>
      <c r="H1265" s="3">
        <v>10000</v>
      </c>
      <c r="K1265" s="11"/>
      <c r="L1265" s="11"/>
      <c r="M1265" s="11"/>
      <c r="N1265" s="11"/>
      <c r="P1265" s="11"/>
      <c r="Q1265" s="11"/>
      <c r="R1265" s="3"/>
    </row>
    <row r="1266" spans="1:18" x14ac:dyDescent="0.2">
      <c r="A1266" s="11">
        <v>926</v>
      </c>
      <c r="B1266" s="11">
        <v>83</v>
      </c>
      <c r="C1266" s="11" t="s">
        <v>305</v>
      </c>
      <c r="D1266" s="11">
        <f t="shared" si="38"/>
        <v>5</v>
      </c>
      <c r="E1266">
        <f t="shared" si="39"/>
        <v>926005</v>
      </c>
      <c r="F1266" s="11">
        <v>487</v>
      </c>
      <c r="G1266" s="11" t="s">
        <v>298</v>
      </c>
      <c r="H1266" s="3">
        <v>96619</v>
      </c>
      <c r="K1266" s="11"/>
      <c r="L1266" s="11"/>
      <c r="M1266" s="11"/>
      <c r="N1266" s="11"/>
      <c r="P1266" s="11"/>
      <c r="Q1266" s="11"/>
      <c r="R1266" s="3"/>
    </row>
    <row r="1267" spans="1:18" x14ac:dyDescent="0.2">
      <c r="A1267" s="11">
        <v>926</v>
      </c>
      <c r="B1267" s="11">
        <v>83</v>
      </c>
      <c r="C1267" s="11" t="s">
        <v>305</v>
      </c>
      <c r="D1267" s="11">
        <f t="shared" si="38"/>
        <v>6</v>
      </c>
      <c r="E1267">
        <f t="shared" si="39"/>
        <v>926006</v>
      </c>
      <c r="F1267" s="11">
        <v>848</v>
      </c>
      <c r="G1267" s="11" t="s">
        <v>223</v>
      </c>
      <c r="H1267" s="3">
        <v>265900</v>
      </c>
      <c r="K1267" s="11"/>
      <c r="L1267" s="11"/>
      <c r="M1267" s="11"/>
      <c r="N1267" s="11"/>
      <c r="P1267" s="11"/>
      <c r="Q1267" s="11"/>
      <c r="R1267" s="3"/>
    </row>
    <row r="1268" spans="1:18" x14ac:dyDescent="0.2">
      <c r="A1268" s="11">
        <v>926</v>
      </c>
      <c r="B1268" s="11">
        <v>83</v>
      </c>
      <c r="C1268" s="11" t="s">
        <v>305</v>
      </c>
      <c r="D1268" s="11">
        <f t="shared" si="38"/>
        <v>7</v>
      </c>
      <c r="E1268">
        <f t="shared" si="39"/>
        <v>926007</v>
      </c>
      <c r="F1268" s="11">
        <v>862</v>
      </c>
      <c r="G1268" s="11" t="s">
        <v>132</v>
      </c>
      <c r="H1268" s="3">
        <v>59445</v>
      </c>
      <c r="K1268" s="11"/>
      <c r="L1268" s="11"/>
      <c r="M1268" s="11"/>
      <c r="N1268" s="11"/>
      <c r="P1268" s="11"/>
      <c r="Q1268" s="11"/>
      <c r="R1268" s="3"/>
    </row>
    <row r="1269" spans="1:18" x14ac:dyDescent="0.2">
      <c r="A1269" s="11">
        <v>927</v>
      </c>
      <c r="B1269" s="11">
        <v>83</v>
      </c>
      <c r="C1269" s="11" t="s">
        <v>307</v>
      </c>
      <c r="D1269" s="11">
        <f t="shared" si="38"/>
        <v>1</v>
      </c>
      <c r="E1269">
        <f t="shared" si="39"/>
        <v>927001</v>
      </c>
      <c r="F1269" s="11">
        <v>432</v>
      </c>
      <c r="G1269" s="11" t="s">
        <v>306</v>
      </c>
      <c r="H1269" s="3">
        <v>49540</v>
      </c>
      <c r="K1269" s="11"/>
      <c r="L1269" s="11"/>
      <c r="M1269" s="11"/>
      <c r="N1269" s="11"/>
      <c r="P1269" s="11"/>
      <c r="Q1269" s="11"/>
      <c r="R1269" s="3"/>
    </row>
    <row r="1270" spans="1:18" x14ac:dyDescent="0.2">
      <c r="A1270" s="11">
        <v>927</v>
      </c>
      <c r="B1270" s="11">
        <v>83</v>
      </c>
      <c r="C1270" s="11" t="s">
        <v>307</v>
      </c>
      <c r="D1270" s="11">
        <f t="shared" si="38"/>
        <v>2</v>
      </c>
      <c r="E1270">
        <f t="shared" si="39"/>
        <v>927002</v>
      </c>
      <c r="F1270" s="11">
        <v>440</v>
      </c>
      <c r="G1270" s="11" t="s">
        <v>302</v>
      </c>
      <c r="H1270" s="3">
        <v>10000</v>
      </c>
      <c r="K1270" s="11"/>
      <c r="L1270" s="11"/>
      <c r="M1270" s="11"/>
      <c r="N1270" s="11"/>
      <c r="P1270" s="11"/>
      <c r="Q1270" s="11"/>
      <c r="R1270" s="3"/>
    </row>
    <row r="1271" spans="1:18" x14ac:dyDescent="0.2">
      <c r="A1271" s="11">
        <v>927</v>
      </c>
      <c r="B1271" s="11">
        <v>83</v>
      </c>
      <c r="C1271" s="11" t="s">
        <v>307</v>
      </c>
      <c r="D1271" s="11">
        <f t="shared" si="38"/>
        <v>3</v>
      </c>
      <c r="E1271">
        <f t="shared" si="39"/>
        <v>927003</v>
      </c>
      <c r="F1271" s="11">
        <v>487</v>
      </c>
      <c r="G1271" s="11" t="s">
        <v>298</v>
      </c>
      <c r="H1271" s="3">
        <v>101095</v>
      </c>
      <c r="K1271" s="11"/>
      <c r="L1271" s="11"/>
      <c r="M1271" s="11"/>
      <c r="N1271" s="11"/>
      <c r="P1271" s="11"/>
      <c r="Q1271" s="11"/>
      <c r="R1271" s="3"/>
    </row>
    <row r="1272" spans="1:18" x14ac:dyDescent="0.2">
      <c r="A1272" s="11">
        <v>927</v>
      </c>
      <c r="B1272" s="11">
        <v>83</v>
      </c>
      <c r="C1272" s="11" t="s">
        <v>307</v>
      </c>
      <c r="D1272" s="11">
        <f t="shared" si="38"/>
        <v>4</v>
      </c>
      <c r="E1272">
        <f t="shared" si="39"/>
        <v>927004</v>
      </c>
      <c r="F1272" s="11">
        <v>848</v>
      </c>
      <c r="G1272" s="11" t="s">
        <v>223</v>
      </c>
      <c r="H1272" s="3">
        <v>266600</v>
      </c>
      <c r="K1272" s="11"/>
      <c r="L1272" s="11"/>
      <c r="M1272" s="11"/>
      <c r="N1272" s="11"/>
      <c r="P1272" s="11"/>
      <c r="Q1272" s="11"/>
      <c r="R1272" s="3"/>
    </row>
    <row r="1273" spans="1:18" x14ac:dyDescent="0.2">
      <c r="A1273" s="11">
        <v>927</v>
      </c>
      <c r="B1273" s="11">
        <v>83</v>
      </c>
      <c r="C1273" s="11" t="s">
        <v>307</v>
      </c>
      <c r="D1273" s="11">
        <f t="shared" si="38"/>
        <v>5</v>
      </c>
      <c r="E1273">
        <f t="shared" si="39"/>
        <v>927005</v>
      </c>
      <c r="F1273" s="11">
        <v>853</v>
      </c>
      <c r="G1273" s="11" t="s">
        <v>38</v>
      </c>
      <c r="H1273" s="3">
        <v>150000</v>
      </c>
      <c r="K1273" s="11"/>
      <c r="L1273" s="11"/>
      <c r="M1273" s="11"/>
      <c r="N1273" s="11"/>
      <c r="P1273" s="11"/>
      <c r="Q1273" s="11"/>
      <c r="R1273" s="3"/>
    </row>
    <row r="1274" spans="1:18" x14ac:dyDescent="0.2">
      <c r="A1274" s="11">
        <v>927</v>
      </c>
      <c r="B1274" s="11">
        <v>83</v>
      </c>
      <c r="C1274" s="11" t="s">
        <v>307</v>
      </c>
      <c r="D1274" s="11">
        <f t="shared" si="38"/>
        <v>6</v>
      </c>
      <c r="E1274">
        <f t="shared" si="39"/>
        <v>927006</v>
      </c>
      <c r="F1274" s="11">
        <v>862</v>
      </c>
      <c r="G1274" s="11" t="s">
        <v>132</v>
      </c>
      <c r="H1274" s="3">
        <v>76464</v>
      </c>
      <c r="K1274" s="11"/>
      <c r="L1274" s="11"/>
      <c r="M1274" s="11"/>
      <c r="N1274" s="11"/>
      <c r="P1274" s="11"/>
      <c r="Q1274" s="11"/>
      <c r="R1274" s="3"/>
    </row>
    <row r="1275" spans="1:18" x14ac:dyDescent="0.2">
      <c r="A1275" s="11">
        <v>928</v>
      </c>
      <c r="B1275" s="11">
        <v>83</v>
      </c>
      <c r="C1275" s="11" t="s">
        <v>308</v>
      </c>
      <c r="D1275" s="11">
        <f t="shared" si="38"/>
        <v>1</v>
      </c>
      <c r="E1275">
        <f t="shared" si="39"/>
        <v>928001</v>
      </c>
      <c r="F1275" s="11">
        <v>438</v>
      </c>
      <c r="G1275" s="11" t="s">
        <v>15</v>
      </c>
      <c r="H1275" s="3">
        <v>16546.7</v>
      </c>
      <c r="K1275" s="11"/>
      <c r="L1275" s="11"/>
      <c r="M1275" s="11"/>
      <c r="N1275" s="11"/>
      <c r="P1275" s="11"/>
      <c r="Q1275" s="11"/>
      <c r="R1275" s="3"/>
    </row>
    <row r="1276" spans="1:18" x14ac:dyDescent="0.2">
      <c r="A1276" s="11">
        <v>928</v>
      </c>
      <c r="B1276" s="11">
        <v>83</v>
      </c>
      <c r="C1276" s="11" t="s">
        <v>308</v>
      </c>
      <c r="D1276" s="11">
        <f t="shared" si="38"/>
        <v>2</v>
      </c>
      <c r="E1276">
        <f t="shared" si="39"/>
        <v>928002</v>
      </c>
      <c r="F1276" s="11">
        <v>848</v>
      </c>
      <c r="G1276" s="11" t="s">
        <v>223</v>
      </c>
      <c r="H1276" s="3">
        <v>321800</v>
      </c>
      <c r="K1276" s="11"/>
      <c r="L1276" s="11"/>
      <c r="M1276" s="11"/>
      <c r="N1276" s="11"/>
      <c r="P1276" s="11"/>
      <c r="Q1276" s="11"/>
      <c r="R1276" s="3"/>
    </row>
    <row r="1277" spans="1:18" x14ac:dyDescent="0.2">
      <c r="A1277" s="11">
        <v>928</v>
      </c>
      <c r="B1277" s="11">
        <v>83</v>
      </c>
      <c r="C1277" s="11" t="s">
        <v>308</v>
      </c>
      <c r="D1277" s="11">
        <f t="shared" si="38"/>
        <v>3</v>
      </c>
      <c r="E1277">
        <f t="shared" si="39"/>
        <v>928003</v>
      </c>
      <c r="F1277" s="11">
        <v>862</v>
      </c>
      <c r="G1277" s="11" t="s">
        <v>132</v>
      </c>
      <c r="H1277" s="3">
        <v>57746</v>
      </c>
      <c r="K1277" s="11"/>
      <c r="L1277" s="11"/>
      <c r="M1277" s="11"/>
      <c r="N1277" s="11"/>
      <c r="P1277" s="11"/>
      <c r="Q1277" s="11"/>
      <c r="R1277" s="3"/>
    </row>
    <row r="1278" spans="1:18" x14ac:dyDescent="0.2">
      <c r="A1278" s="11">
        <v>930</v>
      </c>
      <c r="B1278" s="11">
        <v>53</v>
      </c>
      <c r="C1278" s="11" t="s">
        <v>309</v>
      </c>
      <c r="D1278" s="11">
        <f t="shared" si="38"/>
        <v>1</v>
      </c>
      <c r="E1278">
        <f t="shared" si="39"/>
        <v>930001</v>
      </c>
      <c r="F1278" s="11">
        <v>428</v>
      </c>
      <c r="G1278" s="11" t="s">
        <v>13</v>
      </c>
      <c r="H1278" s="3">
        <v>364901.39</v>
      </c>
      <c r="K1278" s="11"/>
      <c r="L1278" s="11"/>
      <c r="M1278" s="11"/>
      <c r="N1278" s="11"/>
      <c r="P1278" s="11"/>
      <c r="Q1278" s="11"/>
      <c r="R1278" s="3"/>
    </row>
    <row r="1279" spans="1:18" x14ac:dyDescent="0.2">
      <c r="A1279" s="11">
        <v>930</v>
      </c>
      <c r="B1279" s="11">
        <v>53</v>
      </c>
      <c r="C1279" s="11" t="s">
        <v>309</v>
      </c>
      <c r="D1279" s="11">
        <f t="shared" si="38"/>
        <v>2</v>
      </c>
      <c r="E1279">
        <f t="shared" si="39"/>
        <v>930002</v>
      </c>
      <c r="F1279" s="11">
        <v>438</v>
      </c>
      <c r="G1279" s="11" t="s">
        <v>15</v>
      </c>
      <c r="H1279" s="3">
        <v>40214.71</v>
      </c>
      <c r="K1279" s="11"/>
      <c r="L1279" s="11"/>
      <c r="M1279" s="11"/>
      <c r="N1279" s="11"/>
      <c r="P1279" s="11"/>
      <c r="Q1279" s="11"/>
      <c r="R1279" s="3"/>
    </row>
    <row r="1280" spans="1:18" x14ac:dyDescent="0.2">
      <c r="A1280" s="11">
        <v>935</v>
      </c>
      <c r="B1280" s="11">
        <v>52</v>
      </c>
      <c r="C1280" s="11" t="s">
        <v>310</v>
      </c>
      <c r="D1280" s="11">
        <f t="shared" si="38"/>
        <v>1</v>
      </c>
      <c r="E1280">
        <f t="shared" si="39"/>
        <v>935001</v>
      </c>
      <c r="F1280" s="11">
        <v>419</v>
      </c>
      <c r="G1280" s="11" t="s">
        <v>10</v>
      </c>
      <c r="H1280" s="3">
        <v>1383793.04</v>
      </c>
      <c r="K1280" s="11"/>
      <c r="L1280" s="11"/>
      <c r="M1280" s="11"/>
      <c r="N1280" s="11"/>
      <c r="P1280" s="11"/>
      <c r="Q1280" s="11"/>
      <c r="R1280" s="3"/>
    </row>
    <row r="1281" spans="1:18" x14ac:dyDescent="0.2">
      <c r="A1281" s="11">
        <v>935</v>
      </c>
      <c r="B1281" s="11">
        <v>52</v>
      </c>
      <c r="C1281" s="11" t="s">
        <v>310</v>
      </c>
      <c r="D1281" s="11">
        <f t="shared" si="38"/>
        <v>2</v>
      </c>
      <c r="E1281">
        <f t="shared" si="39"/>
        <v>935002</v>
      </c>
      <c r="F1281" s="11">
        <v>420</v>
      </c>
      <c r="G1281" s="11" t="s">
        <v>11</v>
      </c>
      <c r="H1281" s="3">
        <v>32035.79</v>
      </c>
      <c r="K1281" s="11"/>
      <c r="L1281" s="11"/>
      <c r="M1281" s="11"/>
      <c r="N1281" s="11"/>
      <c r="P1281" s="11"/>
      <c r="Q1281" s="11"/>
      <c r="R1281" s="3"/>
    </row>
    <row r="1282" spans="1:18" x14ac:dyDescent="0.2">
      <c r="A1282" s="11">
        <v>935</v>
      </c>
      <c r="B1282" s="11">
        <v>52</v>
      </c>
      <c r="C1282" s="11" t="s">
        <v>310</v>
      </c>
      <c r="D1282" s="11">
        <f t="shared" si="38"/>
        <v>3</v>
      </c>
      <c r="E1282">
        <f t="shared" si="39"/>
        <v>935003</v>
      </c>
      <c r="F1282" s="11">
        <v>422</v>
      </c>
      <c r="G1282" s="11" t="s">
        <v>12</v>
      </c>
      <c r="H1282" s="3">
        <v>32789.800000000003</v>
      </c>
      <c r="K1282" s="11"/>
      <c r="L1282" s="11"/>
      <c r="M1282" s="11"/>
      <c r="N1282" s="11"/>
      <c r="P1282" s="11"/>
      <c r="Q1282" s="11"/>
      <c r="R1282" s="3"/>
    </row>
    <row r="1283" spans="1:18" x14ac:dyDescent="0.2">
      <c r="A1283" s="11">
        <v>935</v>
      </c>
      <c r="B1283" s="11">
        <v>52</v>
      </c>
      <c r="C1283" s="11" t="s">
        <v>310</v>
      </c>
      <c r="D1283" s="11">
        <f t="shared" si="38"/>
        <v>4</v>
      </c>
      <c r="E1283">
        <f t="shared" si="39"/>
        <v>935004</v>
      </c>
      <c r="F1283" s="11">
        <v>437</v>
      </c>
      <c r="G1283" s="11" t="s">
        <v>14</v>
      </c>
      <c r="H1283" s="3">
        <v>1065</v>
      </c>
      <c r="K1283" s="11"/>
      <c r="L1283" s="11"/>
      <c r="M1283" s="11"/>
      <c r="N1283" s="11"/>
      <c r="P1283" s="11"/>
      <c r="Q1283" s="11"/>
      <c r="R1283" s="3"/>
    </row>
    <row r="1284" spans="1:18" x14ac:dyDescent="0.2">
      <c r="A1284" s="11">
        <v>935</v>
      </c>
      <c r="B1284" s="11">
        <v>52</v>
      </c>
      <c r="C1284" s="11" t="s">
        <v>310</v>
      </c>
      <c r="D1284" s="11">
        <f t="shared" si="38"/>
        <v>5</v>
      </c>
      <c r="E1284">
        <f t="shared" si="39"/>
        <v>935005</v>
      </c>
      <c r="F1284" s="11">
        <v>441</v>
      </c>
      <c r="G1284" s="11" t="s">
        <v>16</v>
      </c>
      <c r="H1284" s="3">
        <v>1750</v>
      </c>
      <c r="K1284" s="11"/>
      <c r="L1284" s="11"/>
      <c r="M1284" s="11"/>
      <c r="N1284" s="11"/>
      <c r="P1284" s="11"/>
      <c r="Q1284" s="11"/>
      <c r="R1284" s="3"/>
    </row>
    <row r="1285" spans="1:18" x14ac:dyDescent="0.2">
      <c r="A1285" s="11">
        <v>935</v>
      </c>
      <c r="B1285" s="11">
        <v>52</v>
      </c>
      <c r="C1285" s="11" t="s">
        <v>310</v>
      </c>
      <c r="D1285" s="11">
        <f t="shared" si="38"/>
        <v>6</v>
      </c>
      <c r="E1285">
        <f t="shared" si="39"/>
        <v>935006</v>
      </c>
      <c r="F1285" s="11">
        <v>480</v>
      </c>
      <c r="G1285" s="11" t="s">
        <v>19</v>
      </c>
      <c r="H1285" s="3">
        <v>1380992.46</v>
      </c>
      <c r="K1285" s="11"/>
      <c r="L1285" s="11"/>
      <c r="M1285" s="11"/>
      <c r="N1285" s="11"/>
      <c r="P1285" s="11"/>
      <c r="Q1285" s="11"/>
      <c r="R1285" s="3"/>
    </row>
    <row r="1286" spans="1:18" x14ac:dyDescent="0.2">
      <c r="A1286" s="11">
        <v>935</v>
      </c>
      <c r="B1286" s="11">
        <v>52</v>
      </c>
      <c r="C1286" s="11" t="s">
        <v>310</v>
      </c>
      <c r="D1286" s="11">
        <f t="shared" si="38"/>
        <v>7</v>
      </c>
      <c r="E1286">
        <f t="shared" si="39"/>
        <v>935007</v>
      </c>
      <c r="F1286" s="11">
        <v>484</v>
      </c>
      <c r="G1286" s="11" t="s">
        <v>20</v>
      </c>
      <c r="H1286" s="3">
        <v>56564.74</v>
      </c>
      <c r="K1286" s="11"/>
      <c r="L1286" s="11"/>
      <c r="M1286" s="11"/>
      <c r="N1286" s="11"/>
      <c r="P1286" s="11"/>
      <c r="Q1286" s="11"/>
      <c r="R1286" s="3"/>
    </row>
    <row r="1287" spans="1:18" x14ac:dyDescent="0.2">
      <c r="A1287" s="11">
        <v>935</v>
      </c>
      <c r="B1287" s="11">
        <v>52</v>
      </c>
      <c r="C1287" s="11" t="s">
        <v>310</v>
      </c>
      <c r="D1287" s="11">
        <f t="shared" si="38"/>
        <v>8</v>
      </c>
      <c r="E1287">
        <f t="shared" si="39"/>
        <v>935008</v>
      </c>
      <c r="F1287" s="11">
        <v>486</v>
      </c>
      <c r="G1287" s="11" t="s">
        <v>21</v>
      </c>
      <c r="H1287" s="3">
        <v>33372.19</v>
      </c>
      <c r="K1287" s="11"/>
      <c r="L1287" s="11"/>
      <c r="M1287" s="11"/>
      <c r="N1287" s="11"/>
      <c r="P1287" s="11"/>
      <c r="Q1287" s="11"/>
      <c r="R1287" s="3"/>
    </row>
    <row r="1288" spans="1:18" x14ac:dyDescent="0.2">
      <c r="A1288" s="11">
        <v>938</v>
      </c>
      <c r="B1288" s="11">
        <v>52</v>
      </c>
      <c r="C1288" s="11" t="s">
        <v>311</v>
      </c>
      <c r="D1288" s="11">
        <f t="shared" si="38"/>
        <v>1</v>
      </c>
      <c r="E1288">
        <f t="shared" si="39"/>
        <v>938001</v>
      </c>
      <c r="F1288" s="11">
        <v>420</v>
      </c>
      <c r="G1288" s="11" t="s">
        <v>11</v>
      </c>
      <c r="H1288" s="3">
        <v>84664.51</v>
      </c>
      <c r="K1288" s="11"/>
      <c r="L1288" s="11"/>
      <c r="M1288" s="11"/>
      <c r="N1288" s="11"/>
      <c r="P1288" s="11"/>
      <c r="Q1288" s="11"/>
      <c r="R1288" s="3"/>
    </row>
    <row r="1289" spans="1:18" x14ac:dyDescent="0.2">
      <c r="A1289" s="11">
        <v>938</v>
      </c>
      <c r="B1289" s="11">
        <v>52</v>
      </c>
      <c r="C1289" s="11" t="s">
        <v>311</v>
      </c>
      <c r="D1289" s="11">
        <f t="shared" si="38"/>
        <v>2</v>
      </c>
      <c r="E1289">
        <f t="shared" si="39"/>
        <v>938002</v>
      </c>
      <c r="F1289" s="11">
        <v>437</v>
      </c>
      <c r="G1289" s="11" t="s">
        <v>14</v>
      </c>
      <c r="H1289" s="3">
        <v>3165</v>
      </c>
      <c r="K1289" s="11"/>
      <c r="L1289" s="11"/>
      <c r="M1289" s="11"/>
      <c r="N1289" s="11"/>
      <c r="P1289" s="11"/>
      <c r="Q1289" s="11"/>
      <c r="R1289" s="3"/>
    </row>
    <row r="1290" spans="1:18" x14ac:dyDescent="0.2">
      <c r="A1290" s="11">
        <v>938</v>
      </c>
      <c r="B1290" s="11">
        <v>52</v>
      </c>
      <c r="C1290" s="11" t="s">
        <v>311</v>
      </c>
      <c r="D1290" s="11">
        <f t="shared" si="38"/>
        <v>3</v>
      </c>
      <c r="E1290">
        <f t="shared" si="39"/>
        <v>938003</v>
      </c>
      <c r="F1290" s="11">
        <v>441</v>
      </c>
      <c r="G1290" s="11" t="s">
        <v>16</v>
      </c>
      <c r="H1290" s="3">
        <v>10725</v>
      </c>
      <c r="K1290" s="11"/>
      <c r="L1290" s="11"/>
      <c r="M1290" s="11"/>
      <c r="N1290" s="11"/>
      <c r="P1290" s="11"/>
      <c r="Q1290" s="11"/>
      <c r="R1290" s="3"/>
    </row>
    <row r="1291" spans="1:18" x14ac:dyDescent="0.2">
      <c r="A1291" s="11">
        <v>938</v>
      </c>
      <c r="B1291" s="11">
        <v>52</v>
      </c>
      <c r="C1291" s="11" t="s">
        <v>311</v>
      </c>
      <c r="D1291" s="11">
        <f t="shared" si="38"/>
        <v>4</v>
      </c>
      <c r="E1291">
        <f t="shared" si="39"/>
        <v>938004</v>
      </c>
      <c r="F1291" s="11">
        <v>484</v>
      </c>
      <c r="G1291" s="11" t="s">
        <v>20</v>
      </c>
      <c r="H1291" s="3">
        <v>105806.83</v>
      </c>
      <c r="K1291" s="11"/>
      <c r="L1291" s="11"/>
      <c r="M1291" s="11"/>
      <c r="N1291" s="11"/>
      <c r="P1291" s="11"/>
      <c r="Q1291" s="11"/>
      <c r="R1291" s="3"/>
    </row>
    <row r="1292" spans="1:18" x14ac:dyDescent="0.2">
      <c r="A1292" s="11">
        <v>978</v>
      </c>
      <c r="B1292" s="11">
        <v>52</v>
      </c>
      <c r="C1292" s="11" t="s">
        <v>312</v>
      </c>
      <c r="D1292" s="11">
        <f t="shared" si="38"/>
        <v>1</v>
      </c>
      <c r="E1292">
        <f t="shared" si="39"/>
        <v>978001</v>
      </c>
      <c r="F1292" s="11">
        <v>419</v>
      </c>
      <c r="G1292" s="11" t="s">
        <v>10</v>
      </c>
      <c r="H1292" s="3">
        <v>422306.94</v>
      </c>
      <c r="K1292" s="11"/>
      <c r="L1292" s="11"/>
      <c r="M1292" s="11"/>
      <c r="N1292" s="11"/>
      <c r="P1292" s="11"/>
      <c r="Q1292" s="11"/>
      <c r="R1292" s="3"/>
    </row>
    <row r="1293" spans="1:18" x14ac:dyDescent="0.2">
      <c r="A1293" s="11">
        <v>978</v>
      </c>
      <c r="B1293" s="11">
        <v>52</v>
      </c>
      <c r="C1293" s="11" t="s">
        <v>312</v>
      </c>
      <c r="D1293" s="11">
        <f t="shared" si="38"/>
        <v>2</v>
      </c>
      <c r="E1293">
        <f t="shared" si="39"/>
        <v>978002</v>
      </c>
      <c r="F1293" s="11">
        <v>420</v>
      </c>
      <c r="G1293" s="11" t="s">
        <v>11</v>
      </c>
      <c r="H1293" s="3">
        <v>16700.38</v>
      </c>
      <c r="K1293" s="11"/>
      <c r="L1293" s="11"/>
      <c r="M1293" s="11"/>
      <c r="N1293" s="11"/>
      <c r="P1293" s="11"/>
      <c r="Q1293" s="11"/>
      <c r="R1293" s="3"/>
    </row>
    <row r="1294" spans="1:18" x14ac:dyDescent="0.2">
      <c r="A1294" s="11">
        <v>978</v>
      </c>
      <c r="B1294" s="11">
        <v>52</v>
      </c>
      <c r="C1294" s="11" t="s">
        <v>312</v>
      </c>
      <c r="D1294" s="11">
        <f t="shared" si="38"/>
        <v>3</v>
      </c>
      <c r="E1294">
        <f t="shared" si="39"/>
        <v>978003</v>
      </c>
      <c r="F1294" s="11">
        <v>484</v>
      </c>
      <c r="G1294" s="11" t="s">
        <v>20</v>
      </c>
      <c r="H1294" s="3">
        <v>15780.97</v>
      </c>
      <c r="K1294" s="11"/>
      <c r="L1294" s="11"/>
      <c r="M1294" s="11"/>
      <c r="N1294" s="11"/>
      <c r="P1294" s="11"/>
      <c r="Q1294" s="11"/>
      <c r="R1294" s="3"/>
    </row>
    <row r="1295" spans="1:18" x14ac:dyDescent="0.2">
      <c r="A1295" s="11">
        <v>978</v>
      </c>
      <c r="B1295" s="11">
        <v>52</v>
      </c>
      <c r="C1295" s="11" t="s">
        <v>312</v>
      </c>
      <c r="D1295" s="11">
        <f t="shared" ref="D1295:D1358" si="40">IF(A1295=A1294,D1294+1,1)</f>
        <v>4</v>
      </c>
      <c r="E1295">
        <f t="shared" ref="E1295:E1358" si="41">1000*A1295+D1295</f>
        <v>978004</v>
      </c>
      <c r="F1295" s="11">
        <v>486</v>
      </c>
      <c r="G1295" s="11" t="s">
        <v>21</v>
      </c>
      <c r="H1295" s="3">
        <v>10726.78</v>
      </c>
      <c r="K1295" s="11"/>
      <c r="L1295" s="11"/>
      <c r="M1295" s="11"/>
      <c r="N1295" s="11"/>
      <c r="P1295" s="11"/>
      <c r="Q1295" s="11"/>
      <c r="R1295" s="3"/>
    </row>
    <row r="1296" spans="1:18" x14ac:dyDescent="0.2">
      <c r="A1296" s="11">
        <v>991</v>
      </c>
      <c r="B1296" s="11">
        <v>83</v>
      </c>
      <c r="C1296" s="11" t="s">
        <v>313</v>
      </c>
      <c r="D1296" s="11">
        <f t="shared" si="40"/>
        <v>1</v>
      </c>
      <c r="E1296">
        <f t="shared" si="41"/>
        <v>991001</v>
      </c>
      <c r="F1296" s="11">
        <v>440</v>
      </c>
      <c r="G1296" s="11" t="s">
        <v>302</v>
      </c>
      <c r="H1296" s="3">
        <v>10000</v>
      </c>
      <c r="K1296" s="11"/>
      <c r="L1296" s="11"/>
      <c r="M1296" s="11"/>
      <c r="N1296" s="11"/>
      <c r="P1296" s="11"/>
      <c r="Q1296" s="11"/>
      <c r="R1296" s="3"/>
    </row>
    <row r="1297" spans="1:18" x14ac:dyDescent="0.2">
      <c r="A1297" s="11">
        <v>991</v>
      </c>
      <c r="B1297" s="11">
        <v>83</v>
      </c>
      <c r="C1297" s="11" t="s">
        <v>313</v>
      </c>
      <c r="D1297" s="11">
        <f t="shared" si="40"/>
        <v>2</v>
      </c>
      <c r="E1297">
        <f t="shared" si="41"/>
        <v>991002</v>
      </c>
      <c r="F1297" s="11">
        <v>486</v>
      </c>
      <c r="G1297" s="11" t="s">
        <v>21</v>
      </c>
      <c r="H1297" s="3">
        <v>236227.46</v>
      </c>
      <c r="K1297" s="11"/>
      <c r="L1297" s="11"/>
      <c r="M1297" s="11"/>
      <c r="N1297" s="11"/>
      <c r="P1297" s="11"/>
      <c r="Q1297" s="11"/>
      <c r="R1297" s="3"/>
    </row>
    <row r="1298" spans="1:18" x14ac:dyDescent="0.2">
      <c r="A1298" s="11">
        <v>991</v>
      </c>
      <c r="B1298" s="11">
        <v>83</v>
      </c>
      <c r="C1298" s="11" t="s">
        <v>313</v>
      </c>
      <c r="D1298" s="11">
        <f t="shared" si="40"/>
        <v>3</v>
      </c>
      <c r="E1298">
        <f t="shared" si="41"/>
        <v>991003</v>
      </c>
      <c r="F1298" s="11">
        <v>487</v>
      </c>
      <c r="G1298" s="11" t="s">
        <v>298</v>
      </c>
      <c r="H1298" s="3">
        <v>108336</v>
      </c>
      <c r="K1298" s="11"/>
      <c r="L1298" s="11"/>
      <c r="M1298" s="11"/>
      <c r="N1298" s="11"/>
      <c r="P1298" s="11"/>
      <c r="Q1298" s="11"/>
      <c r="R1298" s="3"/>
    </row>
    <row r="1299" spans="1:18" x14ac:dyDescent="0.2">
      <c r="A1299" s="11">
        <v>997</v>
      </c>
      <c r="B1299" s="11">
        <v>52</v>
      </c>
      <c r="C1299" s="11" t="s">
        <v>314</v>
      </c>
      <c r="D1299" s="11">
        <f t="shared" si="40"/>
        <v>1</v>
      </c>
      <c r="E1299">
        <f t="shared" si="41"/>
        <v>997001</v>
      </c>
      <c r="F1299" s="11">
        <v>422</v>
      </c>
      <c r="G1299" s="11" t="s">
        <v>12</v>
      </c>
      <c r="H1299" s="3">
        <v>9338.1299999999992</v>
      </c>
      <c r="K1299" s="11"/>
      <c r="L1299" s="11"/>
      <c r="M1299" s="11"/>
      <c r="N1299" s="11"/>
      <c r="P1299" s="11"/>
      <c r="Q1299" s="11"/>
      <c r="R1299" s="3"/>
    </row>
    <row r="1300" spans="1:18" x14ac:dyDescent="0.2">
      <c r="A1300" s="11">
        <v>997</v>
      </c>
      <c r="B1300" s="11">
        <v>52</v>
      </c>
      <c r="C1300" s="11" t="s">
        <v>314</v>
      </c>
      <c r="D1300" s="11">
        <f t="shared" si="40"/>
        <v>2</v>
      </c>
      <c r="E1300">
        <f t="shared" si="41"/>
        <v>997002</v>
      </c>
      <c r="F1300" s="11">
        <v>437</v>
      </c>
      <c r="G1300" s="11" t="s">
        <v>14</v>
      </c>
      <c r="H1300" s="3">
        <v>1455</v>
      </c>
      <c r="K1300" s="11"/>
      <c r="L1300" s="11"/>
      <c r="M1300" s="11"/>
      <c r="N1300" s="11"/>
      <c r="P1300" s="11"/>
      <c r="Q1300" s="11"/>
      <c r="R1300" s="3"/>
    </row>
    <row r="1301" spans="1:18" x14ac:dyDescent="0.2">
      <c r="A1301" s="11">
        <v>997</v>
      </c>
      <c r="B1301" s="11">
        <v>52</v>
      </c>
      <c r="C1301" s="11" t="s">
        <v>314</v>
      </c>
      <c r="D1301" s="11">
        <f t="shared" si="40"/>
        <v>3</v>
      </c>
      <c r="E1301">
        <f t="shared" si="41"/>
        <v>997003</v>
      </c>
      <c r="F1301" s="11">
        <v>441</v>
      </c>
      <c r="G1301" s="11" t="s">
        <v>16</v>
      </c>
      <c r="H1301" s="3">
        <v>1250</v>
      </c>
      <c r="K1301" s="11"/>
      <c r="L1301" s="11"/>
      <c r="M1301" s="11"/>
      <c r="N1301" s="11"/>
      <c r="P1301" s="11"/>
      <c r="Q1301" s="11"/>
      <c r="R1301" s="3"/>
    </row>
    <row r="1302" spans="1:18" x14ac:dyDescent="0.2">
      <c r="A1302" s="11">
        <v>998</v>
      </c>
      <c r="B1302" s="11">
        <v>52</v>
      </c>
      <c r="C1302" s="11" t="s">
        <v>315</v>
      </c>
      <c r="D1302" s="11">
        <f t="shared" si="40"/>
        <v>1</v>
      </c>
      <c r="E1302">
        <f t="shared" si="41"/>
        <v>998001</v>
      </c>
      <c r="F1302" s="11">
        <v>422</v>
      </c>
      <c r="G1302" s="11" t="s">
        <v>12</v>
      </c>
      <c r="H1302" s="3">
        <v>33893.14</v>
      </c>
      <c r="K1302" s="11"/>
      <c r="L1302" s="11"/>
      <c r="M1302" s="11"/>
      <c r="N1302" s="11"/>
      <c r="P1302" s="11"/>
      <c r="Q1302" s="11"/>
      <c r="R1302" s="3"/>
    </row>
    <row r="1303" spans="1:18" x14ac:dyDescent="0.2">
      <c r="A1303" s="11">
        <v>998</v>
      </c>
      <c r="B1303" s="11">
        <v>52</v>
      </c>
      <c r="C1303" s="11" t="s">
        <v>315</v>
      </c>
      <c r="D1303" s="11">
        <f t="shared" si="40"/>
        <v>2</v>
      </c>
      <c r="E1303">
        <f t="shared" si="41"/>
        <v>998002</v>
      </c>
      <c r="F1303" s="11">
        <v>437</v>
      </c>
      <c r="G1303" s="11" t="s">
        <v>14</v>
      </c>
      <c r="H1303" s="3">
        <v>1965</v>
      </c>
      <c r="K1303" s="11"/>
      <c r="L1303" s="11"/>
      <c r="M1303" s="11"/>
      <c r="N1303" s="11"/>
      <c r="P1303" s="11"/>
      <c r="Q1303" s="11"/>
      <c r="R1303" s="3"/>
    </row>
    <row r="1304" spans="1:18" x14ac:dyDescent="0.2">
      <c r="A1304" s="11">
        <v>998</v>
      </c>
      <c r="B1304" s="11">
        <v>52</v>
      </c>
      <c r="C1304" s="11" t="s">
        <v>315</v>
      </c>
      <c r="D1304" s="11">
        <f t="shared" si="40"/>
        <v>3</v>
      </c>
      <c r="E1304">
        <f t="shared" si="41"/>
        <v>998003</v>
      </c>
      <c r="F1304" s="11">
        <v>440</v>
      </c>
      <c r="G1304" s="11" t="s">
        <v>302</v>
      </c>
      <c r="H1304" s="3">
        <v>10000</v>
      </c>
      <c r="K1304" s="11"/>
      <c r="L1304" s="11"/>
      <c r="M1304" s="11"/>
      <c r="N1304" s="11"/>
      <c r="P1304" s="11"/>
      <c r="Q1304" s="11"/>
      <c r="R1304" s="3"/>
    </row>
    <row r="1305" spans="1:18" x14ac:dyDescent="0.2">
      <c r="A1305" s="11">
        <v>998</v>
      </c>
      <c r="B1305" s="11">
        <v>52</v>
      </c>
      <c r="C1305" s="11" t="s">
        <v>315</v>
      </c>
      <c r="D1305" s="11">
        <f t="shared" si="40"/>
        <v>4</v>
      </c>
      <c r="E1305">
        <f t="shared" si="41"/>
        <v>998004</v>
      </c>
      <c r="F1305" s="11">
        <v>441</v>
      </c>
      <c r="G1305" s="11" t="s">
        <v>16</v>
      </c>
      <c r="H1305" s="3">
        <v>3225</v>
      </c>
      <c r="K1305" s="11"/>
      <c r="L1305" s="11"/>
      <c r="M1305" s="11"/>
      <c r="N1305" s="11"/>
      <c r="P1305" s="11"/>
      <c r="Q1305" s="11"/>
      <c r="R1305" s="3"/>
    </row>
    <row r="1306" spans="1:18" x14ac:dyDescent="0.2">
      <c r="A1306" s="11">
        <v>998</v>
      </c>
      <c r="B1306" s="11">
        <v>52</v>
      </c>
      <c r="C1306" s="11" t="s">
        <v>315</v>
      </c>
      <c r="D1306" s="11">
        <f t="shared" si="40"/>
        <v>5</v>
      </c>
      <c r="E1306">
        <f t="shared" si="41"/>
        <v>998005</v>
      </c>
      <c r="F1306" s="11">
        <v>484</v>
      </c>
      <c r="G1306" s="11" t="s">
        <v>20</v>
      </c>
      <c r="H1306" s="3">
        <v>60964.97</v>
      </c>
      <c r="K1306" s="11"/>
      <c r="L1306" s="11"/>
      <c r="M1306" s="11"/>
      <c r="N1306" s="11"/>
      <c r="P1306" s="11"/>
      <c r="Q1306" s="11"/>
      <c r="R1306" s="3"/>
    </row>
    <row r="1307" spans="1:18" x14ac:dyDescent="0.2">
      <c r="A1307" s="11">
        <v>998</v>
      </c>
      <c r="B1307" s="11">
        <v>52</v>
      </c>
      <c r="C1307" s="11" t="s">
        <v>315</v>
      </c>
      <c r="D1307" s="11">
        <f t="shared" si="40"/>
        <v>6</v>
      </c>
      <c r="E1307">
        <f t="shared" si="41"/>
        <v>998006</v>
      </c>
      <c r="F1307" s="11">
        <v>486</v>
      </c>
      <c r="G1307" s="11" t="s">
        <v>21</v>
      </c>
      <c r="H1307" s="3">
        <v>44098.97</v>
      </c>
      <c r="K1307" s="11"/>
      <c r="L1307" s="11"/>
      <c r="M1307" s="11"/>
      <c r="N1307" s="11"/>
      <c r="P1307" s="11"/>
      <c r="Q1307" s="11"/>
      <c r="R1307" s="3"/>
    </row>
    <row r="1308" spans="1:18" x14ac:dyDescent="0.2">
      <c r="A1308" s="11">
        <v>998</v>
      </c>
      <c r="B1308" s="11">
        <v>52</v>
      </c>
      <c r="C1308" s="11" t="s">
        <v>315</v>
      </c>
      <c r="D1308" s="11">
        <f t="shared" si="40"/>
        <v>7</v>
      </c>
      <c r="E1308">
        <f t="shared" si="41"/>
        <v>998007</v>
      </c>
      <c r="F1308" s="11">
        <v>487</v>
      </c>
      <c r="G1308" s="11" t="s">
        <v>298</v>
      </c>
      <c r="H1308" s="3">
        <v>85555</v>
      </c>
      <c r="K1308" s="11"/>
      <c r="L1308" s="11"/>
      <c r="M1308" s="11"/>
      <c r="N1308" s="11"/>
      <c r="P1308" s="11"/>
      <c r="Q1308" s="11"/>
      <c r="R1308" s="3"/>
    </row>
    <row r="1309" spans="1:18" x14ac:dyDescent="0.2">
      <c r="A1309" s="11">
        <v>1435</v>
      </c>
      <c r="B1309" s="11">
        <v>34</v>
      </c>
      <c r="C1309" s="11" t="s">
        <v>316</v>
      </c>
      <c r="D1309" s="11">
        <f t="shared" si="40"/>
        <v>1</v>
      </c>
      <c r="E1309">
        <f t="shared" si="41"/>
        <v>1435001</v>
      </c>
      <c r="F1309" s="11">
        <v>706</v>
      </c>
      <c r="G1309" s="11" t="s">
        <v>114</v>
      </c>
      <c r="H1309" s="3">
        <v>3975</v>
      </c>
      <c r="K1309" s="11"/>
      <c r="L1309" s="11"/>
      <c r="M1309" s="11"/>
      <c r="N1309" s="11"/>
      <c r="P1309" s="11"/>
      <c r="Q1309" s="11"/>
      <c r="R1309" s="3"/>
    </row>
    <row r="1310" spans="1:18" x14ac:dyDescent="0.2">
      <c r="A1310" s="11">
        <v>2071</v>
      </c>
      <c r="B1310" s="11">
        <v>1</v>
      </c>
      <c r="C1310" s="11" t="s">
        <v>317</v>
      </c>
      <c r="D1310" s="11">
        <f t="shared" si="40"/>
        <v>1</v>
      </c>
      <c r="E1310">
        <f t="shared" si="41"/>
        <v>2071001</v>
      </c>
      <c r="F1310" s="11">
        <v>433</v>
      </c>
      <c r="G1310" s="11" t="s">
        <v>30</v>
      </c>
      <c r="H1310" s="3">
        <v>2009.4</v>
      </c>
      <c r="K1310" s="11"/>
      <c r="L1310" s="11"/>
      <c r="M1310" s="11"/>
      <c r="N1310" s="11"/>
      <c r="P1310" s="11"/>
      <c r="Q1310" s="11"/>
      <c r="R1310" s="3"/>
    </row>
    <row r="1311" spans="1:18" x14ac:dyDescent="0.2">
      <c r="A1311" s="11">
        <v>2071</v>
      </c>
      <c r="B1311" s="11">
        <v>1</v>
      </c>
      <c r="C1311" s="11" t="s">
        <v>317</v>
      </c>
      <c r="D1311" s="11">
        <f t="shared" si="40"/>
        <v>2</v>
      </c>
      <c r="E1311">
        <f t="shared" si="41"/>
        <v>2071002</v>
      </c>
      <c r="F1311" s="11">
        <v>470</v>
      </c>
      <c r="G1311" s="11" t="s">
        <v>6</v>
      </c>
      <c r="H1311" s="3">
        <v>43797.67</v>
      </c>
      <c r="K1311" s="11"/>
      <c r="L1311" s="11"/>
      <c r="M1311" s="11"/>
      <c r="N1311" s="11"/>
      <c r="P1311" s="11"/>
      <c r="Q1311" s="11"/>
      <c r="R1311" s="3"/>
    </row>
    <row r="1312" spans="1:18" x14ac:dyDescent="0.2">
      <c r="A1312" s="11">
        <v>2125</v>
      </c>
      <c r="B1312" s="11">
        <v>1</v>
      </c>
      <c r="C1312" s="11" t="s">
        <v>318</v>
      </c>
      <c r="D1312" s="11">
        <f t="shared" si="40"/>
        <v>1</v>
      </c>
      <c r="E1312">
        <f t="shared" si="41"/>
        <v>2125001</v>
      </c>
      <c r="F1312" s="11">
        <v>401</v>
      </c>
      <c r="G1312" s="11" t="s">
        <v>29</v>
      </c>
      <c r="H1312" s="3">
        <v>137632.62</v>
      </c>
      <c r="K1312" s="11"/>
      <c r="L1312" s="11"/>
      <c r="M1312" s="11"/>
      <c r="N1312" s="11"/>
      <c r="P1312" s="11"/>
      <c r="Q1312" s="11"/>
      <c r="R1312" s="3"/>
    </row>
    <row r="1313" spans="1:18" x14ac:dyDescent="0.2">
      <c r="A1313" s="11">
        <v>2125</v>
      </c>
      <c r="B1313" s="11">
        <v>1</v>
      </c>
      <c r="C1313" s="11" t="s">
        <v>318</v>
      </c>
      <c r="D1313" s="11">
        <f t="shared" si="40"/>
        <v>2</v>
      </c>
      <c r="E1313">
        <f t="shared" si="41"/>
        <v>2125002</v>
      </c>
      <c r="F1313" s="11">
        <v>414</v>
      </c>
      <c r="G1313" s="11" t="s">
        <v>9</v>
      </c>
      <c r="H1313" s="3">
        <v>46133.22</v>
      </c>
      <c r="K1313" s="11"/>
      <c r="L1313" s="11"/>
      <c r="M1313" s="11"/>
      <c r="N1313" s="11"/>
      <c r="P1313" s="11"/>
      <c r="Q1313" s="11"/>
      <c r="R1313" s="3"/>
    </row>
    <row r="1314" spans="1:18" x14ac:dyDescent="0.2">
      <c r="A1314" s="11">
        <v>2125</v>
      </c>
      <c r="B1314" s="11">
        <v>1</v>
      </c>
      <c r="C1314" s="11" t="s">
        <v>318</v>
      </c>
      <c r="D1314" s="11">
        <f t="shared" si="40"/>
        <v>3</v>
      </c>
      <c r="E1314">
        <f t="shared" si="41"/>
        <v>2125003</v>
      </c>
      <c r="F1314" s="11">
        <v>433</v>
      </c>
      <c r="G1314" s="11" t="s">
        <v>30</v>
      </c>
      <c r="H1314" s="3">
        <v>3318.53</v>
      </c>
      <c r="K1314" s="11"/>
      <c r="L1314" s="11"/>
      <c r="M1314" s="11"/>
      <c r="N1314" s="11"/>
      <c r="P1314" s="11"/>
      <c r="Q1314" s="11"/>
      <c r="R1314" s="3"/>
    </row>
    <row r="1315" spans="1:18" x14ac:dyDescent="0.2">
      <c r="A1315" s="11">
        <v>2125</v>
      </c>
      <c r="B1315" s="11">
        <v>1</v>
      </c>
      <c r="C1315" s="11" t="s">
        <v>318</v>
      </c>
      <c r="D1315" s="11">
        <f t="shared" si="40"/>
        <v>4</v>
      </c>
      <c r="E1315">
        <f t="shared" si="41"/>
        <v>2125004</v>
      </c>
      <c r="F1315" s="11">
        <v>470</v>
      </c>
      <c r="G1315" s="11" t="s">
        <v>6</v>
      </c>
      <c r="H1315" s="3">
        <v>83894.12</v>
      </c>
      <c r="K1315" s="11"/>
      <c r="L1315" s="11"/>
      <c r="M1315" s="11"/>
      <c r="N1315" s="11"/>
      <c r="P1315" s="11"/>
      <c r="Q1315" s="11"/>
      <c r="R1315" s="3"/>
    </row>
    <row r="1316" spans="1:18" x14ac:dyDescent="0.2">
      <c r="A1316" s="11">
        <v>2134</v>
      </c>
      <c r="B1316" s="11">
        <v>1</v>
      </c>
      <c r="C1316" s="11" t="s">
        <v>319</v>
      </c>
      <c r="D1316" s="11">
        <f t="shared" si="40"/>
        <v>1</v>
      </c>
      <c r="E1316">
        <f t="shared" si="41"/>
        <v>2134001</v>
      </c>
      <c r="F1316" s="11">
        <v>433</v>
      </c>
      <c r="G1316" s="11" t="s">
        <v>30</v>
      </c>
      <c r="H1316" s="3">
        <v>2772.29</v>
      </c>
      <c r="K1316" s="11"/>
      <c r="L1316" s="11"/>
      <c r="M1316" s="11"/>
      <c r="N1316" s="11"/>
      <c r="P1316" s="11"/>
      <c r="Q1316" s="11"/>
      <c r="R1316" s="3"/>
    </row>
    <row r="1317" spans="1:18" x14ac:dyDescent="0.2">
      <c r="A1317" s="11">
        <v>2135</v>
      </c>
      <c r="B1317" s="11">
        <v>1</v>
      </c>
      <c r="C1317" s="11" t="s">
        <v>320</v>
      </c>
      <c r="D1317" s="11">
        <f t="shared" si="40"/>
        <v>1</v>
      </c>
      <c r="E1317">
        <f t="shared" si="41"/>
        <v>2135001</v>
      </c>
      <c r="F1317" s="11">
        <v>433</v>
      </c>
      <c r="G1317" s="11" t="s">
        <v>30</v>
      </c>
      <c r="H1317" s="3">
        <v>3526.69</v>
      </c>
      <c r="K1317" s="11"/>
      <c r="L1317" s="11"/>
      <c r="M1317" s="11"/>
      <c r="N1317" s="11"/>
      <c r="P1317" s="11"/>
      <c r="Q1317" s="11"/>
      <c r="R1317" s="3"/>
    </row>
    <row r="1318" spans="1:18" x14ac:dyDescent="0.2">
      <c r="A1318" s="11">
        <v>2137</v>
      </c>
      <c r="B1318" s="11">
        <v>1</v>
      </c>
      <c r="C1318" s="11" t="s">
        <v>321</v>
      </c>
      <c r="D1318" s="11">
        <f t="shared" si="40"/>
        <v>1</v>
      </c>
      <c r="E1318">
        <f t="shared" si="41"/>
        <v>2137001</v>
      </c>
      <c r="F1318" s="11">
        <v>419</v>
      </c>
      <c r="G1318" s="11" t="s">
        <v>10</v>
      </c>
      <c r="H1318" s="3">
        <v>185749.43</v>
      </c>
      <c r="K1318" s="11"/>
      <c r="L1318" s="11"/>
      <c r="M1318" s="11"/>
      <c r="N1318" s="11"/>
      <c r="P1318" s="11"/>
      <c r="Q1318" s="11"/>
      <c r="R1318" s="3"/>
    </row>
    <row r="1319" spans="1:18" x14ac:dyDescent="0.2">
      <c r="A1319" s="11">
        <v>2137</v>
      </c>
      <c r="B1319" s="11">
        <v>1</v>
      </c>
      <c r="C1319" s="11" t="s">
        <v>321</v>
      </c>
      <c r="D1319" s="11">
        <f t="shared" si="40"/>
        <v>2</v>
      </c>
      <c r="E1319">
        <f t="shared" si="41"/>
        <v>2137002</v>
      </c>
      <c r="F1319" s="11">
        <v>433</v>
      </c>
      <c r="G1319" s="11" t="s">
        <v>30</v>
      </c>
      <c r="H1319" s="3">
        <v>2138.9699999999998</v>
      </c>
      <c r="K1319" s="11"/>
      <c r="L1319" s="11"/>
      <c r="M1319" s="11"/>
      <c r="N1319" s="11"/>
      <c r="P1319" s="11"/>
      <c r="Q1319" s="11"/>
      <c r="R1319" s="3"/>
    </row>
    <row r="1320" spans="1:18" x14ac:dyDescent="0.2">
      <c r="A1320" s="11">
        <v>2137</v>
      </c>
      <c r="B1320" s="11">
        <v>1</v>
      </c>
      <c r="C1320" s="11" t="s">
        <v>321</v>
      </c>
      <c r="D1320" s="11">
        <f t="shared" si="40"/>
        <v>3</v>
      </c>
      <c r="E1320">
        <f t="shared" si="41"/>
        <v>2137003</v>
      </c>
      <c r="F1320" s="11">
        <v>484</v>
      </c>
      <c r="G1320" s="11" t="s">
        <v>20</v>
      </c>
      <c r="H1320" s="3">
        <v>6670.99</v>
      </c>
      <c r="K1320" s="11"/>
      <c r="L1320" s="11"/>
      <c r="M1320" s="11"/>
      <c r="N1320" s="11"/>
      <c r="P1320" s="11"/>
      <c r="Q1320" s="11"/>
      <c r="R1320" s="3"/>
    </row>
    <row r="1321" spans="1:18" x14ac:dyDescent="0.2">
      <c r="A1321" s="11">
        <v>2137</v>
      </c>
      <c r="B1321" s="11">
        <v>1</v>
      </c>
      <c r="C1321" s="11" t="s">
        <v>321</v>
      </c>
      <c r="D1321" s="11">
        <f t="shared" si="40"/>
        <v>4</v>
      </c>
      <c r="E1321">
        <f t="shared" si="41"/>
        <v>2137004</v>
      </c>
      <c r="F1321" s="11">
        <v>486</v>
      </c>
      <c r="G1321" s="11" t="s">
        <v>21</v>
      </c>
      <c r="H1321" s="3">
        <v>1191.8599999999999</v>
      </c>
      <c r="K1321" s="11"/>
      <c r="L1321" s="11"/>
      <c r="M1321" s="11"/>
      <c r="N1321" s="11"/>
      <c r="P1321" s="11"/>
      <c r="Q1321" s="11"/>
      <c r="R1321" s="3"/>
    </row>
    <row r="1322" spans="1:18" x14ac:dyDescent="0.2">
      <c r="A1322" s="11">
        <v>2142</v>
      </c>
      <c r="B1322" s="11">
        <v>1</v>
      </c>
      <c r="C1322" s="11" t="s">
        <v>322</v>
      </c>
      <c r="D1322" s="11">
        <f t="shared" si="40"/>
        <v>1</v>
      </c>
      <c r="E1322">
        <f t="shared" si="41"/>
        <v>2142001</v>
      </c>
      <c r="F1322" s="11">
        <v>433</v>
      </c>
      <c r="G1322" s="11" t="s">
        <v>30</v>
      </c>
      <c r="H1322" s="3">
        <v>9534.2800000000007</v>
      </c>
      <c r="K1322" s="11"/>
      <c r="L1322" s="11"/>
      <c r="M1322" s="11"/>
      <c r="N1322" s="11"/>
      <c r="P1322" s="11"/>
      <c r="Q1322" s="11"/>
      <c r="R1322" s="3"/>
    </row>
    <row r="1323" spans="1:18" x14ac:dyDescent="0.2">
      <c r="A1323" s="11">
        <v>2142</v>
      </c>
      <c r="B1323" s="11">
        <v>1</v>
      </c>
      <c r="C1323" s="11" t="s">
        <v>322</v>
      </c>
      <c r="D1323" s="11">
        <f t="shared" si="40"/>
        <v>2</v>
      </c>
      <c r="E1323">
        <f t="shared" si="41"/>
        <v>2142002</v>
      </c>
      <c r="F1323" s="11">
        <v>470</v>
      </c>
      <c r="G1323" s="11" t="s">
        <v>6</v>
      </c>
      <c r="H1323" s="3">
        <v>293433.77</v>
      </c>
      <c r="K1323" s="11"/>
      <c r="L1323" s="11"/>
      <c r="M1323" s="11"/>
      <c r="N1323" s="11"/>
      <c r="P1323" s="11"/>
      <c r="Q1323" s="11"/>
      <c r="R1323" s="3"/>
    </row>
    <row r="1324" spans="1:18" x14ac:dyDescent="0.2">
      <c r="A1324" s="11">
        <v>2143</v>
      </c>
      <c r="B1324" s="11">
        <v>1</v>
      </c>
      <c r="C1324" s="11" t="s">
        <v>323</v>
      </c>
      <c r="D1324" s="11">
        <f t="shared" si="40"/>
        <v>1</v>
      </c>
      <c r="E1324">
        <f t="shared" si="41"/>
        <v>2143001</v>
      </c>
      <c r="F1324" s="11">
        <v>433</v>
      </c>
      <c r="G1324" s="11" t="s">
        <v>30</v>
      </c>
      <c r="H1324" s="3">
        <v>2782.18</v>
      </c>
      <c r="K1324" s="11"/>
      <c r="L1324" s="11"/>
      <c r="M1324" s="11"/>
      <c r="N1324" s="11"/>
      <c r="P1324" s="11"/>
      <c r="Q1324" s="11"/>
      <c r="R1324" s="3"/>
    </row>
    <row r="1325" spans="1:18" x14ac:dyDescent="0.2">
      <c r="A1325" s="11">
        <v>2144</v>
      </c>
      <c r="B1325" s="11">
        <v>1</v>
      </c>
      <c r="C1325" s="11" t="s">
        <v>324</v>
      </c>
      <c r="D1325" s="11">
        <f t="shared" si="40"/>
        <v>1</v>
      </c>
      <c r="E1325">
        <f t="shared" si="41"/>
        <v>2144001</v>
      </c>
      <c r="F1325" s="11">
        <v>401</v>
      </c>
      <c r="G1325" s="11" t="s">
        <v>29</v>
      </c>
      <c r="H1325" s="3">
        <v>208797.15</v>
      </c>
      <c r="K1325" s="11"/>
      <c r="L1325" s="11"/>
      <c r="M1325" s="11"/>
      <c r="N1325" s="11"/>
      <c r="P1325" s="11"/>
      <c r="Q1325" s="11"/>
      <c r="R1325" s="3"/>
    </row>
    <row r="1326" spans="1:18" x14ac:dyDescent="0.2">
      <c r="A1326" s="11">
        <v>2144</v>
      </c>
      <c r="B1326" s="11">
        <v>1</v>
      </c>
      <c r="C1326" s="11" t="s">
        <v>324</v>
      </c>
      <c r="D1326" s="11">
        <f t="shared" si="40"/>
        <v>2</v>
      </c>
      <c r="E1326">
        <f t="shared" si="41"/>
        <v>2144002</v>
      </c>
      <c r="F1326" s="11">
        <v>414</v>
      </c>
      <c r="G1326" s="11" t="s">
        <v>9</v>
      </c>
      <c r="H1326" s="3">
        <v>103670.73</v>
      </c>
      <c r="K1326" s="11"/>
      <c r="L1326" s="11"/>
      <c r="M1326" s="11"/>
      <c r="N1326" s="11"/>
      <c r="P1326" s="11"/>
      <c r="Q1326" s="11"/>
      <c r="R1326" s="3"/>
    </row>
    <row r="1327" spans="1:18" x14ac:dyDescent="0.2">
      <c r="A1327" s="11">
        <v>2144</v>
      </c>
      <c r="B1327" s="11">
        <v>1</v>
      </c>
      <c r="C1327" s="11" t="s">
        <v>324</v>
      </c>
      <c r="D1327" s="11">
        <f t="shared" si="40"/>
        <v>3</v>
      </c>
      <c r="E1327">
        <f t="shared" si="41"/>
        <v>2144003</v>
      </c>
      <c r="F1327" s="11">
        <v>433</v>
      </c>
      <c r="G1327" s="11" t="s">
        <v>30</v>
      </c>
      <c r="H1327" s="3">
        <v>7462.75</v>
      </c>
      <c r="K1327" s="11"/>
      <c r="L1327" s="11"/>
      <c r="M1327" s="11"/>
      <c r="N1327" s="11"/>
      <c r="P1327" s="11"/>
      <c r="Q1327" s="11"/>
      <c r="R1327" s="3"/>
    </row>
    <row r="1328" spans="1:18" x14ac:dyDescent="0.2">
      <c r="A1328" s="11">
        <v>2144</v>
      </c>
      <c r="B1328" s="11">
        <v>1</v>
      </c>
      <c r="C1328" s="11" t="s">
        <v>324</v>
      </c>
      <c r="D1328" s="11">
        <f t="shared" si="40"/>
        <v>4</v>
      </c>
      <c r="E1328">
        <f t="shared" si="41"/>
        <v>2144004</v>
      </c>
      <c r="F1328" s="11">
        <v>470</v>
      </c>
      <c r="G1328" s="11" t="s">
        <v>6</v>
      </c>
      <c r="H1328" s="3">
        <v>128925.51</v>
      </c>
      <c r="K1328" s="11"/>
      <c r="L1328" s="11"/>
      <c r="M1328" s="11"/>
      <c r="N1328" s="11"/>
      <c r="P1328" s="11"/>
      <c r="Q1328" s="11"/>
      <c r="R1328" s="3"/>
    </row>
    <row r="1329" spans="1:18" x14ac:dyDescent="0.2">
      <c r="A1329" s="11">
        <v>2154</v>
      </c>
      <c r="B1329" s="11">
        <v>1</v>
      </c>
      <c r="C1329" s="11" t="s">
        <v>325</v>
      </c>
      <c r="D1329" s="11">
        <f t="shared" si="40"/>
        <v>1</v>
      </c>
      <c r="E1329">
        <f t="shared" si="41"/>
        <v>2154001</v>
      </c>
      <c r="F1329" s="11">
        <v>433</v>
      </c>
      <c r="G1329" s="11" t="s">
        <v>30</v>
      </c>
      <c r="H1329" s="3">
        <v>4499.09</v>
      </c>
      <c r="K1329" s="11"/>
      <c r="L1329" s="11"/>
      <c r="M1329" s="11"/>
      <c r="N1329" s="11"/>
      <c r="P1329" s="11"/>
      <c r="Q1329" s="11"/>
      <c r="R1329" s="3"/>
    </row>
    <row r="1330" spans="1:18" x14ac:dyDescent="0.2">
      <c r="A1330" s="11">
        <v>2155</v>
      </c>
      <c r="B1330" s="11">
        <v>1</v>
      </c>
      <c r="C1330" s="11" t="s">
        <v>326</v>
      </c>
      <c r="D1330" s="11">
        <f t="shared" si="40"/>
        <v>1</v>
      </c>
      <c r="E1330">
        <f t="shared" si="41"/>
        <v>2155001</v>
      </c>
      <c r="F1330" s="11">
        <v>414</v>
      </c>
      <c r="G1330" s="11" t="s">
        <v>9</v>
      </c>
      <c r="H1330" s="3">
        <v>76533.22</v>
      </c>
      <c r="K1330" s="11"/>
      <c r="L1330" s="11"/>
      <c r="M1330" s="11"/>
      <c r="N1330" s="11"/>
      <c r="P1330" s="11"/>
      <c r="Q1330" s="11"/>
      <c r="R1330" s="3"/>
    </row>
    <row r="1331" spans="1:18" x14ac:dyDescent="0.2">
      <c r="A1331" s="11">
        <v>2155</v>
      </c>
      <c r="B1331" s="11">
        <v>1</v>
      </c>
      <c r="C1331" s="11" t="s">
        <v>326</v>
      </c>
      <c r="D1331" s="11">
        <f t="shared" si="40"/>
        <v>2</v>
      </c>
      <c r="E1331">
        <f t="shared" si="41"/>
        <v>2155002</v>
      </c>
      <c r="F1331" s="11">
        <v>433</v>
      </c>
      <c r="G1331" s="11" t="s">
        <v>30</v>
      </c>
      <c r="H1331" s="3">
        <v>5181.0200000000004</v>
      </c>
      <c r="K1331" s="11"/>
      <c r="L1331" s="11"/>
      <c r="M1331" s="11"/>
      <c r="N1331" s="11"/>
      <c r="P1331" s="11"/>
      <c r="Q1331" s="11"/>
      <c r="R1331" s="3"/>
    </row>
    <row r="1332" spans="1:18" x14ac:dyDescent="0.2">
      <c r="A1332" s="11">
        <v>2155</v>
      </c>
      <c r="B1332" s="11">
        <v>1</v>
      </c>
      <c r="C1332" s="11" t="s">
        <v>326</v>
      </c>
      <c r="D1332" s="11">
        <f t="shared" si="40"/>
        <v>3</v>
      </c>
      <c r="E1332">
        <f t="shared" si="41"/>
        <v>2155003</v>
      </c>
      <c r="F1332" s="11">
        <v>438</v>
      </c>
      <c r="G1332" s="11" t="s">
        <v>15</v>
      </c>
      <c r="H1332" s="3">
        <v>16339.5</v>
      </c>
      <c r="K1332" s="11"/>
      <c r="L1332" s="11"/>
      <c r="M1332" s="11"/>
      <c r="N1332" s="11"/>
      <c r="P1332" s="11"/>
      <c r="Q1332" s="11"/>
      <c r="R1332" s="3"/>
    </row>
    <row r="1333" spans="1:18" x14ac:dyDescent="0.2">
      <c r="A1333" s="11">
        <v>2155</v>
      </c>
      <c r="B1333" s="11">
        <v>1</v>
      </c>
      <c r="C1333" s="11" t="s">
        <v>326</v>
      </c>
      <c r="D1333" s="11">
        <f t="shared" si="40"/>
        <v>4</v>
      </c>
      <c r="E1333">
        <f t="shared" si="41"/>
        <v>2155004</v>
      </c>
      <c r="F1333" s="11">
        <v>706</v>
      </c>
      <c r="G1333" s="11" t="s">
        <v>114</v>
      </c>
      <c r="H1333" s="3">
        <v>37975</v>
      </c>
      <c r="K1333" s="11"/>
      <c r="L1333" s="11"/>
      <c r="M1333" s="11"/>
      <c r="N1333" s="11"/>
      <c r="P1333" s="11"/>
      <c r="Q1333" s="11"/>
      <c r="R1333" s="3"/>
    </row>
    <row r="1334" spans="1:18" x14ac:dyDescent="0.2">
      <c r="A1334" s="11">
        <v>2159</v>
      </c>
      <c r="B1334" s="11">
        <v>1</v>
      </c>
      <c r="C1334" s="11" t="s">
        <v>327</v>
      </c>
      <c r="D1334" s="11">
        <f t="shared" si="40"/>
        <v>1</v>
      </c>
      <c r="E1334">
        <f t="shared" si="41"/>
        <v>2159001</v>
      </c>
      <c r="F1334" s="11">
        <v>470</v>
      </c>
      <c r="G1334" s="11" t="s">
        <v>6</v>
      </c>
      <c r="H1334" s="3">
        <v>54901.3</v>
      </c>
      <c r="K1334" s="11"/>
      <c r="L1334" s="11"/>
      <c r="M1334" s="11"/>
      <c r="N1334" s="11"/>
      <c r="P1334" s="11"/>
      <c r="Q1334" s="11"/>
      <c r="R1334" s="3"/>
    </row>
    <row r="1335" spans="1:18" x14ac:dyDescent="0.2">
      <c r="A1335" s="11">
        <v>2164</v>
      </c>
      <c r="B1335" s="11">
        <v>1</v>
      </c>
      <c r="C1335" s="11" t="s">
        <v>328</v>
      </c>
      <c r="D1335" s="11">
        <f t="shared" si="40"/>
        <v>1</v>
      </c>
      <c r="E1335">
        <f t="shared" si="41"/>
        <v>2164001</v>
      </c>
      <c r="F1335" s="11">
        <v>151</v>
      </c>
      <c r="G1335" s="11" t="s">
        <v>28</v>
      </c>
      <c r="H1335" s="3">
        <v>504065.73</v>
      </c>
      <c r="K1335" s="11"/>
      <c r="L1335" s="11"/>
      <c r="M1335" s="11"/>
      <c r="N1335" s="11"/>
      <c r="P1335" s="11"/>
      <c r="Q1335" s="11"/>
      <c r="R1335" s="3"/>
    </row>
    <row r="1336" spans="1:18" x14ac:dyDescent="0.2">
      <c r="A1336" s="11">
        <v>2164</v>
      </c>
      <c r="B1336" s="11">
        <v>1</v>
      </c>
      <c r="C1336" s="11" t="s">
        <v>328</v>
      </c>
      <c r="D1336" s="11">
        <f t="shared" si="40"/>
        <v>2</v>
      </c>
      <c r="E1336">
        <f t="shared" si="41"/>
        <v>2164002</v>
      </c>
      <c r="F1336" s="11">
        <v>401</v>
      </c>
      <c r="G1336" s="11" t="s">
        <v>29</v>
      </c>
      <c r="H1336" s="3">
        <v>211400.66</v>
      </c>
      <c r="K1336" s="11"/>
      <c r="L1336" s="11"/>
      <c r="M1336" s="11"/>
      <c r="N1336" s="11"/>
      <c r="P1336" s="11"/>
      <c r="Q1336" s="11"/>
      <c r="R1336" s="3"/>
    </row>
    <row r="1337" spans="1:18" x14ac:dyDescent="0.2">
      <c r="A1337" s="11">
        <v>2164</v>
      </c>
      <c r="B1337" s="11">
        <v>1</v>
      </c>
      <c r="C1337" s="11" t="s">
        <v>328</v>
      </c>
      <c r="D1337" s="11">
        <f t="shared" si="40"/>
        <v>3</v>
      </c>
      <c r="E1337">
        <f t="shared" si="41"/>
        <v>2164003</v>
      </c>
      <c r="F1337" s="11">
        <v>414</v>
      </c>
      <c r="G1337" s="11" t="s">
        <v>9</v>
      </c>
      <c r="H1337" s="3">
        <v>61281.61</v>
      </c>
      <c r="K1337" s="11"/>
      <c r="L1337" s="11"/>
      <c r="M1337" s="11"/>
      <c r="N1337" s="11"/>
      <c r="P1337" s="11"/>
      <c r="Q1337" s="11"/>
      <c r="R1337" s="3"/>
    </row>
    <row r="1338" spans="1:18" x14ac:dyDescent="0.2">
      <c r="A1338" s="11">
        <v>2164</v>
      </c>
      <c r="B1338" s="11">
        <v>1</v>
      </c>
      <c r="C1338" s="11" t="s">
        <v>328</v>
      </c>
      <c r="D1338" s="11">
        <f t="shared" si="40"/>
        <v>4</v>
      </c>
      <c r="E1338">
        <f t="shared" si="41"/>
        <v>2164004</v>
      </c>
      <c r="F1338" s="11">
        <v>419</v>
      </c>
      <c r="G1338" s="11" t="s">
        <v>10</v>
      </c>
      <c r="H1338" s="3">
        <v>197295.64</v>
      </c>
      <c r="K1338" s="11"/>
      <c r="L1338" s="11"/>
      <c r="M1338" s="11"/>
      <c r="N1338" s="11"/>
      <c r="P1338" s="11"/>
      <c r="Q1338" s="11"/>
      <c r="R1338" s="3"/>
    </row>
    <row r="1339" spans="1:18" x14ac:dyDescent="0.2">
      <c r="A1339" s="11">
        <v>2164</v>
      </c>
      <c r="B1339" s="11">
        <v>1</v>
      </c>
      <c r="C1339" s="11" t="s">
        <v>328</v>
      </c>
      <c r="D1339" s="11">
        <f t="shared" si="40"/>
        <v>5</v>
      </c>
      <c r="E1339">
        <f t="shared" si="41"/>
        <v>2164005</v>
      </c>
      <c r="F1339" s="11">
        <v>420</v>
      </c>
      <c r="G1339" s="11" t="s">
        <v>11</v>
      </c>
      <c r="H1339" s="3">
        <v>7616.58</v>
      </c>
      <c r="K1339" s="11"/>
      <c r="L1339" s="11"/>
      <c r="M1339" s="11"/>
      <c r="N1339" s="11"/>
      <c r="P1339" s="11"/>
      <c r="Q1339" s="11"/>
      <c r="R1339" s="3"/>
    </row>
    <row r="1340" spans="1:18" x14ac:dyDescent="0.2">
      <c r="A1340" s="11">
        <v>2164</v>
      </c>
      <c r="B1340" s="11">
        <v>1</v>
      </c>
      <c r="C1340" s="11" t="s">
        <v>328</v>
      </c>
      <c r="D1340" s="11">
        <f t="shared" si="40"/>
        <v>6</v>
      </c>
      <c r="E1340">
        <f t="shared" si="41"/>
        <v>2164006</v>
      </c>
      <c r="F1340" s="11">
        <v>433</v>
      </c>
      <c r="G1340" s="11" t="s">
        <v>30</v>
      </c>
      <c r="H1340" s="3">
        <v>4601.1099999999997</v>
      </c>
      <c r="K1340" s="11"/>
      <c r="L1340" s="11"/>
      <c r="M1340" s="11"/>
      <c r="N1340" s="11"/>
      <c r="P1340" s="11"/>
      <c r="Q1340" s="11"/>
      <c r="R1340" s="3"/>
    </row>
    <row r="1341" spans="1:18" x14ac:dyDescent="0.2">
      <c r="A1341" s="11">
        <v>2164</v>
      </c>
      <c r="B1341" s="11">
        <v>1</v>
      </c>
      <c r="C1341" s="11" t="s">
        <v>328</v>
      </c>
      <c r="D1341" s="11">
        <f t="shared" si="40"/>
        <v>7</v>
      </c>
      <c r="E1341">
        <f t="shared" si="41"/>
        <v>2164007</v>
      </c>
      <c r="F1341" s="11">
        <v>470</v>
      </c>
      <c r="G1341" s="11" t="s">
        <v>6</v>
      </c>
      <c r="H1341" s="3">
        <v>111653.2</v>
      </c>
      <c r="K1341" s="11"/>
      <c r="L1341" s="11"/>
      <c r="M1341" s="11"/>
      <c r="N1341" s="11"/>
      <c r="P1341" s="11"/>
      <c r="Q1341" s="11"/>
      <c r="R1341" s="3"/>
    </row>
    <row r="1342" spans="1:18" x14ac:dyDescent="0.2">
      <c r="A1342" s="11">
        <v>2164</v>
      </c>
      <c r="B1342" s="11">
        <v>1</v>
      </c>
      <c r="C1342" s="11" t="s">
        <v>328</v>
      </c>
      <c r="D1342" s="11">
        <f t="shared" si="40"/>
        <v>8</v>
      </c>
      <c r="E1342">
        <f t="shared" si="41"/>
        <v>2164008</v>
      </c>
      <c r="F1342" s="11">
        <v>480</v>
      </c>
      <c r="G1342" s="11" t="s">
        <v>19</v>
      </c>
      <c r="H1342" s="3">
        <v>282575.5</v>
      </c>
      <c r="K1342" s="11"/>
      <c r="L1342" s="11"/>
      <c r="M1342" s="11"/>
      <c r="N1342" s="11"/>
      <c r="P1342" s="11"/>
      <c r="Q1342" s="11"/>
      <c r="R1342" s="3"/>
    </row>
    <row r="1343" spans="1:18" x14ac:dyDescent="0.2">
      <c r="A1343" s="11">
        <v>2164</v>
      </c>
      <c r="B1343" s="11">
        <v>1</v>
      </c>
      <c r="C1343" s="11" t="s">
        <v>328</v>
      </c>
      <c r="D1343" s="11">
        <f t="shared" si="40"/>
        <v>9</v>
      </c>
      <c r="E1343">
        <f t="shared" si="41"/>
        <v>2164009</v>
      </c>
      <c r="F1343" s="11">
        <v>484</v>
      </c>
      <c r="G1343" s="11" t="s">
        <v>20</v>
      </c>
      <c r="H1343" s="3">
        <v>11572.75</v>
      </c>
      <c r="K1343" s="11"/>
      <c r="L1343" s="11"/>
      <c r="M1343" s="11"/>
      <c r="N1343" s="11"/>
      <c r="P1343" s="11"/>
      <c r="Q1343" s="11"/>
      <c r="R1343" s="3"/>
    </row>
    <row r="1344" spans="1:18" x14ac:dyDescent="0.2">
      <c r="A1344" s="11">
        <v>2164</v>
      </c>
      <c r="B1344" s="11">
        <v>1</v>
      </c>
      <c r="C1344" s="11" t="s">
        <v>328</v>
      </c>
      <c r="D1344" s="11">
        <f t="shared" si="40"/>
        <v>10</v>
      </c>
      <c r="E1344">
        <f t="shared" si="41"/>
        <v>2164010</v>
      </c>
      <c r="F1344" s="11">
        <v>486</v>
      </c>
      <c r="G1344" s="11" t="s">
        <v>21</v>
      </c>
      <c r="H1344" s="3">
        <v>8343.0499999999993</v>
      </c>
      <c r="K1344" s="11"/>
      <c r="L1344" s="11"/>
      <c r="M1344" s="11"/>
      <c r="N1344" s="11"/>
      <c r="P1344" s="11"/>
      <c r="Q1344" s="11"/>
      <c r="R1344" s="3"/>
    </row>
    <row r="1345" spans="1:18" x14ac:dyDescent="0.2">
      <c r="A1345" s="11">
        <v>2165</v>
      </c>
      <c r="B1345" s="11">
        <v>1</v>
      </c>
      <c r="C1345" s="11" t="s">
        <v>329</v>
      </c>
      <c r="D1345" s="11">
        <f t="shared" si="40"/>
        <v>1</v>
      </c>
      <c r="E1345">
        <f t="shared" si="41"/>
        <v>2165001</v>
      </c>
      <c r="F1345" s="11">
        <v>401</v>
      </c>
      <c r="G1345" s="11" t="s">
        <v>29</v>
      </c>
      <c r="H1345" s="3">
        <v>271598.62</v>
      </c>
      <c r="K1345" s="11"/>
      <c r="L1345" s="11"/>
      <c r="M1345" s="11"/>
      <c r="N1345" s="11"/>
      <c r="P1345" s="11"/>
      <c r="Q1345" s="11"/>
      <c r="R1345" s="3"/>
    </row>
    <row r="1346" spans="1:18" x14ac:dyDescent="0.2">
      <c r="A1346" s="11">
        <v>2165</v>
      </c>
      <c r="B1346" s="11">
        <v>1</v>
      </c>
      <c r="C1346" s="11" t="s">
        <v>329</v>
      </c>
      <c r="D1346" s="11">
        <f t="shared" si="40"/>
        <v>2</v>
      </c>
      <c r="E1346">
        <f t="shared" si="41"/>
        <v>2165002</v>
      </c>
      <c r="F1346" s="11">
        <v>414</v>
      </c>
      <c r="G1346" s="11" t="s">
        <v>9</v>
      </c>
      <c r="H1346" s="3">
        <v>67000.570000000007</v>
      </c>
      <c r="K1346" s="11"/>
      <c r="L1346" s="11"/>
      <c r="M1346" s="11"/>
      <c r="N1346" s="11"/>
      <c r="P1346" s="11"/>
      <c r="Q1346" s="11"/>
      <c r="R1346" s="3"/>
    </row>
    <row r="1347" spans="1:18" x14ac:dyDescent="0.2">
      <c r="A1347" s="11">
        <v>2165</v>
      </c>
      <c r="B1347" s="11">
        <v>1</v>
      </c>
      <c r="C1347" s="11" t="s">
        <v>329</v>
      </c>
      <c r="D1347" s="11">
        <f t="shared" si="40"/>
        <v>3</v>
      </c>
      <c r="E1347">
        <f t="shared" si="41"/>
        <v>2165003</v>
      </c>
      <c r="F1347" s="11">
        <v>433</v>
      </c>
      <c r="G1347" s="11" t="s">
        <v>30</v>
      </c>
      <c r="H1347" s="3">
        <v>4983.8599999999997</v>
      </c>
      <c r="K1347" s="11"/>
      <c r="L1347" s="11"/>
      <c r="M1347" s="11"/>
      <c r="N1347" s="11"/>
      <c r="P1347" s="11"/>
      <c r="Q1347" s="11"/>
      <c r="R1347" s="3"/>
    </row>
    <row r="1348" spans="1:18" x14ac:dyDescent="0.2">
      <c r="A1348" s="11">
        <v>2165</v>
      </c>
      <c r="B1348" s="11">
        <v>1</v>
      </c>
      <c r="C1348" s="11" t="s">
        <v>329</v>
      </c>
      <c r="D1348" s="11">
        <f t="shared" si="40"/>
        <v>4</v>
      </c>
      <c r="E1348">
        <f t="shared" si="41"/>
        <v>2165004</v>
      </c>
      <c r="F1348" s="11">
        <v>470</v>
      </c>
      <c r="G1348" s="11" t="s">
        <v>6</v>
      </c>
      <c r="H1348" s="3">
        <v>151367.43</v>
      </c>
      <c r="K1348" s="11"/>
      <c r="L1348" s="11"/>
      <c r="M1348" s="11"/>
      <c r="N1348" s="11"/>
      <c r="P1348" s="11"/>
      <c r="Q1348" s="11"/>
      <c r="R1348" s="3"/>
    </row>
    <row r="1349" spans="1:18" x14ac:dyDescent="0.2">
      <c r="A1349" s="11">
        <v>2167</v>
      </c>
      <c r="B1349" s="11">
        <v>1</v>
      </c>
      <c r="C1349" s="11" t="s">
        <v>330</v>
      </c>
      <c r="D1349" s="11">
        <f t="shared" si="40"/>
        <v>1</v>
      </c>
      <c r="E1349">
        <f t="shared" si="41"/>
        <v>2167001</v>
      </c>
      <c r="F1349" s="11">
        <v>433</v>
      </c>
      <c r="G1349" s="11" t="s">
        <v>30</v>
      </c>
      <c r="H1349" s="3">
        <v>1308.93</v>
      </c>
      <c r="K1349" s="11"/>
      <c r="L1349" s="11"/>
      <c r="M1349" s="11"/>
      <c r="N1349" s="11"/>
      <c r="P1349" s="11"/>
      <c r="Q1349" s="11"/>
      <c r="R1349" s="3"/>
    </row>
    <row r="1350" spans="1:18" x14ac:dyDescent="0.2">
      <c r="A1350" s="11">
        <v>2169</v>
      </c>
      <c r="B1350" s="11">
        <v>1</v>
      </c>
      <c r="C1350" s="11" t="s">
        <v>331</v>
      </c>
      <c r="D1350" s="11">
        <f t="shared" si="40"/>
        <v>1</v>
      </c>
      <c r="E1350">
        <f t="shared" si="41"/>
        <v>2169001</v>
      </c>
      <c r="F1350" s="11">
        <v>422</v>
      </c>
      <c r="G1350" s="11" t="s">
        <v>12</v>
      </c>
      <c r="H1350" s="3">
        <v>6622.29</v>
      </c>
      <c r="K1350" s="11"/>
      <c r="L1350" s="11"/>
      <c r="M1350" s="11"/>
      <c r="N1350" s="11"/>
      <c r="P1350" s="11"/>
      <c r="Q1350" s="11"/>
      <c r="R1350" s="3"/>
    </row>
    <row r="1351" spans="1:18" x14ac:dyDescent="0.2">
      <c r="A1351" s="11">
        <v>2169</v>
      </c>
      <c r="B1351" s="11">
        <v>1</v>
      </c>
      <c r="C1351" s="11" t="s">
        <v>331</v>
      </c>
      <c r="D1351" s="11">
        <f t="shared" si="40"/>
        <v>2</v>
      </c>
      <c r="E1351">
        <f t="shared" si="41"/>
        <v>2169002</v>
      </c>
      <c r="F1351" s="11">
        <v>441</v>
      </c>
      <c r="G1351" s="11" t="s">
        <v>16</v>
      </c>
      <c r="H1351" s="3">
        <v>450</v>
      </c>
      <c r="K1351" s="11"/>
      <c r="L1351" s="11"/>
      <c r="M1351" s="11"/>
      <c r="N1351" s="11"/>
      <c r="P1351" s="11"/>
      <c r="Q1351" s="11"/>
      <c r="R1351" s="3"/>
    </row>
    <row r="1352" spans="1:18" x14ac:dyDescent="0.2">
      <c r="A1352" s="11">
        <v>2170</v>
      </c>
      <c r="B1352" s="11">
        <v>1</v>
      </c>
      <c r="C1352" s="11" t="s">
        <v>332</v>
      </c>
      <c r="D1352" s="11">
        <f t="shared" si="40"/>
        <v>1</v>
      </c>
      <c r="E1352">
        <f t="shared" si="41"/>
        <v>2170001</v>
      </c>
      <c r="F1352" s="11">
        <v>151</v>
      </c>
      <c r="G1352" s="11" t="s">
        <v>28</v>
      </c>
      <c r="H1352" s="3">
        <v>626363.87</v>
      </c>
      <c r="K1352" s="11"/>
      <c r="L1352" s="11"/>
      <c r="M1352" s="11"/>
      <c r="N1352" s="11"/>
      <c r="P1352" s="11"/>
      <c r="Q1352" s="11"/>
      <c r="R1352" s="3"/>
    </row>
    <row r="1353" spans="1:18" x14ac:dyDescent="0.2">
      <c r="A1353" s="11">
        <v>2170</v>
      </c>
      <c r="B1353" s="11">
        <v>1</v>
      </c>
      <c r="C1353" s="11" t="s">
        <v>332</v>
      </c>
      <c r="D1353" s="11">
        <f t="shared" si="40"/>
        <v>2</v>
      </c>
      <c r="E1353">
        <f t="shared" si="41"/>
        <v>2170002</v>
      </c>
      <c r="F1353" s="11">
        <v>401</v>
      </c>
      <c r="G1353" s="11" t="s">
        <v>29</v>
      </c>
      <c r="H1353" s="3">
        <v>333083.77</v>
      </c>
      <c r="K1353" s="11"/>
      <c r="L1353" s="11"/>
      <c r="M1353" s="11"/>
      <c r="N1353" s="11"/>
      <c r="P1353" s="11"/>
      <c r="Q1353" s="11"/>
      <c r="R1353" s="3"/>
    </row>
    <row r="1354" spans="1:18" x14ac:dyDescent="0.2">
      <c r="A1354" s="11">
        <v>2170</v>
      </c>
      <c r="B1354" s="11">
        <v>1</v>
      </c>
      <c r="C1354" s="11" t="s">
        <v>332</v>
      </c>
      <c r="D1354" s="11">
        <f t="shared" si="40"/>
        <v>3</v>
      </c>
      <c r="E1354">
        <f t="shared" si="41"/>
        <v>2170003</v>
      </c>
      <c r="F1354" s="11">
        <v>414</v>
      </c>
      <c r="G1354" s="11" t="s">
        <v>9</v>
      </c>
      <c r="H1354" s="3">
        <v>118927.02</v>
      </c>
      <c r="K1354" s="11"/>
      <c r="L1354" s="11"/>
      <c r="M1354" s="11"/>
      <c r="N1354" s="11"/>
      <c r="P1354" s="11"/>
      <c r="Q1354" s="11"/>
      <c r="R1354" s="3"/>
    </row>
    <row r="1355" spans="1:18" x14ac:dyDescent="0.2">
      <c r="A1355" s="11">
        <v>2170</v>
      </c>
      <c r="B1355" s="11">
        <v>1</v>
      </c>
      <c r="C1355" s="11" t="s">
        <v>332</v>
      </c>
      <c r="D1355" s="11">
        <f t="shared" si="40"/>
        <v>4</v>
      </c>
      <c r="E1355">
        <f t="shared" si="41"/>
        <v>2170004</v>
      </c>
      <c r="F1355" s="11">
        <v>433</v>
      </c>
      <c r="G1355" s="11" t="s">
        <v>30</v>
      </c>
      <c r="H1355" s="3">
        <v>6300.57</v>
      </c>
      <c r="K1355" s="11"/>
      <c r="L1355" s="11"/>
      <c r="M1355" s="11"/>
      <c r="N1355" s="11"/>
      <c r="P1355" s="11"/>
      <c r="Q1355" s="11"/>
      <c r="R1355" s="3"/>
    </row>
    <row r="1356" spans="1:18" x14ac:dyDescent="0.2">
      <c r="A1356" s="11">
        <v>2170</v>
      </c>
      <c r="B1356" s="11">
        <v>1</v>
      </c>
      <c r="C1356" s="11" t="s">
        <v>332</v>
      </c>
      <c r="D1356" s="11">
        <f t="shared" si="40"/>
        <v>5</v>
      </c>
      <c r="E1356">
        <f t="shared" si="41"/>
        <v>2170005</v>
      </c>
      <c r="F1356" s="11">
        <v>470</v>
      </c>
      <c r="G1356" s="11" t="s">
        <v>6</v>
      </c>
      <c r="H1356" s="3">
        <v>193066.84</v>
      </c>
      <c r="K1356" s="11"/>
      <c r="L1356" s="11"/>
      <c r="M1356" s="11"/>
      <c r="N1356" s="11"/>
      <c r="P1356" s="11"/>
      <c r="Q1356" s="11"/>
      <c r="R1356" s="3"/>
    </row>
    <row r="1357" spans="1:18" x14ac:dyDescent="0.2">
      <c r="A1357" s="11">
        <v>2171</v>
      </c>
      <c r="B1357" s="11">
        <v>1</v>
      </c>
      <c r="C1357" s="11" t="s">
        <v>333</v>
      </c>
      <c r="D1357" s="11">
        <f t="shared" si="40"/>
        <v>1</v>
      </c>
      <c r="E1357">
        <f t="shared" si="41"/>
        <v>2171001</v>
      </c>
      <c r="F1357" s="11">
        <v>151</v>
      </c>
      <c r="G1357" s="11" t="s">
        <v>28</v>
      </c>
      <c r="H1357" s="3">
        <v>141572.64000000001</v>
      </c>
      <c r="K1357" s="11"/>
      <c r="L1357" s="11"/>
      <c r="M1357" s="11"/>
      <c r="N1357" s="11"/>
      <c r="P1357" s="11"/>
      <c r="Q1357" s="11"/>
      <c r="R1357" s="3"/>
    </row>
    <row r="1358" spans="1:18" x14ac:dyDescent="0.2">
      <c r="A1358" s="11">
        <v>2171</v>
      </c>
      <c r="B1358" s="11">
        <v>1</v>
      </c>
      <c r="C1358" s="11" t="s">
        <v>333</v>
      </c>
      <c r="D1358" s="11">
        <f t="shared" si="40"/>
        <v>2</v>
      </c>
      <c r="E1358">
        <f t="shared" si="41"/>
        <v>2171002</v>
      </c>
      <c r="F1358" s="11">
        <v>401</v>
      </c>
      <c r="G1358" s="11" t="s">
        <v>29</v>
      </c>
      <c r="H1358" s="3">
        <v>28417.16</v>
      </c>
      <c r="K1358" s="11"/>
      <c r="L1358" s="11"/>
      <c r="M1358" s="11"/>
      <c r="N1358" s="11"/>
      <c r="P1358" s="11"/>
      <c r="Q1358" s="11"/>
      <c r="R1358" s="3"/>
    </row>
    <row r="1359" spans="1:18" x14ac:dyDescent="0.2">
      <c r="A1359" s="11">
        <v>2171</v>
      </c>
      <c r="B1359" s="11">
        <v>1</v>
      </c>
      <c r="C1359" s="11" t="s">
        <v>333</v>
      </c>
      <c r="D1359" s="11">
        <f t="shared" ref="D1359:D1422" si="42">IF(A1359=A1358,D1358+1,1)</f>
        <v>3</v>
      </c>
      <c r="E1359">
        <f t="shared" ref="E1359:E1422" si="43">1000*A1359+D1359</f>
        <v>2171003</v>
      </c>
      <c r="F1359" s="11">
        <v>414</v>
      </c>
      <c r="G1359" s="11" t="s">
        <v>9</v>
      </c>
      <c r="H1359" s="3">
        <v>16491.810000000001</v>
      </c>
      <c r="K1359" s="11"/>
      <c r="L1359" s="11"/>
      <c r="M1359" s="11"/>
      <c r="N1359" s="11"/>
      <c r="P1359" s="11"/>
      <c r="Q1359" s="11"/>
      <c r="R1359" s="3"/>
    </row>
    <row r="1360" spans="1:18" x14ac:dyDescent="0.2">
      <c r="A1360" s="11">
        <v>2171</v>
      </c>
      <c r="B1360" s="11">
        <v>1</v>
      </c>
      <c r="C1360" s="11" t="s">
        <v>333</v>
      </c>
      <c r="D1360" s="11">
        <f t="shared" si="42"/>
        <v>4</v>
      </c>
      <c r="E1360">
        <f t="shared" si="43"/>
        <v>2171004</v>
      </c>
      <c r="F1360" s="11">
        <v>433</v>
      </c>
      <c r="G1360" s="11" t="s">
        <v>30</v>
      </c>
      <c r="H1360" s="3">
        <v>777.83</v>
      </c>
      <c r="K1360" s="11"/>
      <c r="L1360" s="11"/>
      <c r="M1360" s="11"/>
      <c r="N1360" s="11"/>
      <c r="P1360" s="11"/>
      <c r="Q1360" s="11"/>
      <c r="R1360" s="3"/>
    </row>
    <row r="1361" spans="1:18" x14ac:dyDescent="0.2">
      <c r="A1361" s="11">
        <v>2171</v>
      </c>
      <c r="B1361" s="11">
        <v>1</v>
      </c>
      <c r="C1361" s="11" t="s">
        <v>333</v>
      </c>
      <c r="D1361" s="11">
        <f t="shared" si="42"/>
        <v>5</v>
      </c>
      <c r="E1361">
        <f t="shared" si="43"/>
        <v>2171005</v>
      </c>
      <c r="F1361" s="11">
        <v>470</v>
      </c>
      <c r="G1361" s="11" t="s">
        <v>6</v>
      </c>
      <c r="H1361" s="3">
        <v>17889.18</v>
      </c>
      <c r="K1361" s="11"/>
      <c r="L1361" s="11"/>
      <c r="M1361" s="11"/>
      <c r="N1361" s="11"/>
      <c r="P1361" s="11"/>
      <c r="Q1361" s="11"/>
      <c r="R1361" s="3"/>
    </row>
    <row r="1362" spans="1:18" x14ac:dyDescent="0.2">
      <c r="A1362" s="11">
        <v>2172</v>
      </c>
      <c r="B1362" s="11">
        <v>1</v>
      </c>
      <c r="C1362" s="11" t="s">
        <v>334</v>
      </c>
      <c r="D1362" s="11">
        <f t="shared" si="42"/>
        <v>1</v>
      </c>
      <c r="E1362">
        <f t="shared" si="43"/>
        <v>2172001</v>
      </c>
      <c r="F1362" s="11">
        <v>401</v>
      </c>
      <c r="G1362" s="11" t="s">
        <v>29</v>
      </c>
      <c r="H1362" s="3">
        <v>75313.63</v>
      </c>
      <c r="K1362" s="11"/>
      <c r="L1362" s="11"/>
      <c r="M1362" s="11"/>
      <c r="N1362" s="11"/>
      <c r="P1362" s="11"/>
      <c r="Q1362" s="11"/>
      <c r="R1362" s="3"/>
    </row>
    <row r="1363" spans="1:18" x14ac:dyDescent="0.2">
      <c r="A1363" s="11">
        <v>2172</v>
      </c>
      <c r="B1363" s="11">
        <v>1</v>
      </c>
      <c r="C1363" s="11" t="s">
        <v>334</v>
      </c>
      <c r="D1363" s="11">
        <f t="shared" si="42"/>
        <v>2</v>
      </c>
      <c r="E1363">
        <f t="shared" si="43"/>
        <v>2172002</v>
      </c>
      <c r="F1363" s="11">
        <v>414</v>
      </c>
      <c r="G1363" s="11" t="s">
        <v>9</v>
      </c>
      <c r="H1363" s="3">
        <v>32379.55</v>
      </c>
      <c r="K1363" s="11"/>
      <c r="L1363" s="11"/>
      <c r="M1363" s="11"/>
      <c r="N1363" s="11"/>
      <c r="P1363" s="11"/>
      <c r="Q1363" s="11"/>
      <c r="R1363" s="3"/>
    </row>
    <row r="1364" spans="1:18" x14ac:dyDescent="0.2">
      <c r="A1364" s="11">
        <v>2172</v>
      </c>
      <c r="B1364" s="11">
        <v>1</v>
      </c>
      <c r="C1364" s="11" t="s">
        <v>334</v>
      </c>
      <c r="D1364" s="11">
        <f t="shared" si="42"/>
        <v>3</v>
      </c>
      <c r="E1364">
        <f t="shared" si="43"/>
        <v>2172003</v>
      </c>
      <c r="F1364" s="11">
        <v>433</v>
      </c>
      <c r="G1364" s="11" t="s">
        <v>30</v>
      </c>
      <c r="H1364" s="3">
        <v>2111.7399999999998</v>
      </c>
      <c r="K1364" s="11"/>
      <c r="L1364" s="11"/>
      <c r="M1364" s="11"/>
      <c r="N1364" s="11"/>
      <c r="P1364" s="11"/>
      <c r="Q1364" s="11"/>
      <c r="R1364" s="3"/>
    </row>
    <row r="1365" spans="1:18" x14ac:dyDescent="0.2">
      <c r="A1365" s="11">
        <v>2172</v>
      </c>
      <c r="B1365" s="11">
        <v>1</v>
      </c>
      <c r="C1365" s="11" t="s">
        <v>334</v>
      </c>
      <c r="D1365" s="11">
        <f t="shared" si="42"/>
        <v>4</v>
      </c>
      <c r="E1365">
        <f t="shared" si="43"/>
        <v>2172004</v>
      </c>
      <c r="F1365" s="11">
        <v>470</v>
      </c>
      <c r="G1365" s="11" t="s">
        <v>6</v>
      </c>
      <c r="H1365" s="3">
        <v>44414.53</v>
      </c>
      <c r="K1365" s="11"/>
      <c r="L1365" s="11"/>
      <c r="M1365" s="11"/>
      <c r="N1365" s="11"/>
      <c r="P1365" s="11"/>
      <c r="Q1365" s="11"/>
      <c r="R1365" s="3"/>
    </row>
    <row r="1366" spans="1:18" x14ac:dyDescent="0.2">
      <c r="A1366" s="11">
        <v>2174</v>
      </c>
      <c r="B1366" s="11">
        <v>1</v>
      </c>
      <c r="C1366" s="11" t="s">
        <v>335</v>
      </c>
      <c r="D1366" s="11">
        <f t="shared" si="42"/>
        <v>1</v>
      </c>
      <c r="E1366">
        <f t="shared" si="43"/>
        <v>2174001</v>
      </c>
      <c r="F1366" s="11">
        <v>433</v>
      </c>
      <c r="G1366" s="11" t="s">
        <v>30</v>
      </c>
      <c r="H1366" s="3">
        <v>4974.72</v>
      </c>
      <c r="K1366" s="11"/>
      <c r="L1366" s="11"/>
      <c r="M1366" s="11"/>
      <c r="N1366" s="11"/>
      <c r="P1366" s="11"/>
      <c r="Q1366" s="11"/>
      <c r="R1366" s="3"/>
    </row>
    <row r="1367" spans="1:18" x14ac:dyDescent="0.2">
      <c r="A1367" s="11">
        <v>2176</v>
      </c>
      <c r="B1367" s="11">
        <v>1</v>
      </c>
      <c r="C1367" s="11" t="s">
        <v>336</v>
      </c>
      <c r="D1367" s="11">
        <f t="shared" si="42"/>
        <v>1</v>
      </c>
      <c r="E1367">
        <f t="shared" si="43"/>
        <v>2176001</v>
      </c>
      <c r="F1367" s="11">
        <v>433</v>
      </c>
      <c r="G1367" s="11" t="s">
        <v>30</v>
      </c>
      <c r="H1367" s="3">
        <v>1513.02</v>
      </c>
      <c r="K1367" s="11"/>
      <c r="L1367" s="11"/>
      <c r="M1367" s="11"/>
      <c r="N1367" s="11"/>
      <c r="P1367" s="11"/>
      <c r="Q1367" s="11"/>
      <c r="R1367" s="3"/>
    </row>
    <row r="1368" spans="1:18" x14ac:dyDescent="0.2">
      <c r="A1368" s="11">
        <v>2180</v>
      </c>
      <c r="B1368" s="11">
        <v>1</v>
      </c>
      <c r="C1368" s="11" t="s">
        <v>337</v>
      </c>
      <c r="D1368" s="11">
        <f t="shared" si="42"/>
        <v>1</v>
      </c>
      <c r="E1368">
        <f t="shared" si="43"/>
        <v>2180001</v>
      </c>
      <c r="F1368" s="11">
        <v>151</v>
      </c>
      <c r="G1368" s="11" t="s">
        <v>28</v>
      </c>
      <c r="H1368" s="3">
        <v>296823.69</v>
      </c>
      <c r="K1368" s="11"/>
      <c r="L1368" s="11"/>
      <c r="M1368" s="11"/>
      <c r="N1368" s="11"/>
      <c r="P1368" s="11"/>
      <c r="Q1368" s="11"/>
      <c r="R1368" s="3"/>
    </row>
    <row r="1369" spans="1:18" x14ac:dyDescent="0.2">
      <c r="A1369" s="11">
        <v>2180</v>
      </c>
      <c r="B1369" s="11">
        <v>1</v>
      </c>
      <c r="C1369" s="11" t="s">
        <v>337</v>
      </c>
      <c r="D1369" s="11">
        <f t="shared" si="42"/>
        <v>2</v>
      </c>
      <c r="E1369">
        <f t="shared" si="43"/>
        <v>2180002</v>
      </c>
      <c r="F1369" s="11">
        <v>401</v>
      </c>
      <c r="G1369" s="11" t="s">
        <v>29</v>
      </c>
      <c r="H1369" s="3">
        <v>83987.31</v>
      </c>
      <c r="K1369" s="11"/>
      <c r="L1369" s="11"/>
      <c r="M1369" s="11"/>
      <c r="N1369" s="11"/>
      <c r="P1369" s="11"/>
      <c r="Q1369" s="11"/>
      <c r="R1369" s="3"/>
    </row>
    <row r="1370" spans="1:18" x14ac:dyDescent="0.2">
      <c r="A1370" s="11">
        <v>2180</v>
      </c>
      <c r="B1370" s="11">
        <v>1</v>
      </c>
      <c r="C1370" s="11" t="s">
        <v>337</v>
      </c>
      <c r="D1370" s="11">
        <f t="shared" si="42"/>
        <v>3</v>
      </c>
      <c r="E1370">
        <f t="shared" si="43"/>
        <v>2180003</v>
      </c>
      <c r="F1370" s="11">
        <v>414</v>
      </c>
      <c r="G1370" s="11" t="s">
        <v>9</v>
      </c>
      <c r="H1370" s="3">
        <v>38251.46</v>
      </c>
      <c r="K1370" s="11"/>
      <c r="L1370" s="11"/>
      <c r="M1370" s="11"/>
      <c r="N1370" s="11"/>
      <c r="P1370" s="11"/>
      <c r="Q1370" s="11"/>
      <c r="R1370" s="3"/>
    </row>
    <row r="1371" spans="1:18" x14ac:dyDescent="0.2">
      <c r="A1371" s="11">
        <v>2180</v>
      </c>
      <c r="B1371" s="11">
        <v>1</v>
      </c>
      <c r="C1371" s="11" t="s">
        <v>337</v>
      </c>
      <c r="D1371" s="11">
        <f t="shared" si="42"/>
        <v>4</v>
      </c>
      <c r="E1371">
        <f t="shared" si="43"/>
        <v>2180004</v>
      </c>
      <c r="F1371" s="11">
        <v>433</v>
      </c>
      <c r="G1371" s="11" t="s">
        <v>30</v>
      </c>
      <c r="H1371" s="3">
        <v>2031.5</v>
      </c>
      <c r="K1371" s="11"/>
      <c r="L1371" s="11"/>
      <c r="M1371" s="11"/>
      <c r="N1371" s="11"/>
      <c r="P1371" s="11"/>
      <c r="Q1371" s="11"/>
      <c r="R1371" s="3"/>
    </row>
    <row r="1372" spans="1:18" x14ac:dyDescent="0.2">
      <c r="A1372" s="11">
        <v>2180</v>
      </c>
      <c r="B1372" s="11">
        <v>1</v>
      </c>
      <c r="C1372" s="11" t="s">
        <v>337</v>
      </c>
      <c r="D1372" s="11">
        <f t="shared" si="42"/>
        <v>5</v>
      </c>
      <c r="E1372">
        <f t="shared" si="43"/>
        <v>2180005</v>
      </c>
      <c r="F1372" s="11">
        <v>470</v>
      </c>
      <c r="G1372" s="11" t="s">
        <v>6</v>
      </c>
      <c r="H1372" s="3">
        <v>51200.07</v>
      </c>
      <c r="K1372" s="11"/>
      <c r="L1372" s="11"/>
      <c r="M1372" s="11"/>
      <c r="N1372" s="11"/>
      <c r="P1372" s="11"/>
      <c r="Q1372" s="11"/>
      <c r="R1372" s="3"/>
    </row>
    <row r="1373" spans="1:18" x14ac:dyDescent="0.2">
      <c r="A1373" s="11">
        <v>2184</v>
      </c>
      <c r="B1373" s="11">
        <v>1</v>
      </c>
      <c r="C1373" s="11" t="s">
        <v>338</v>
      </c>
      <c r="D1373" s="11">
        <f t="shared" si="42"/>
        <v>1</v>
      </c>
      <c r="E1373">
        <f t="shared" si="43"/>
        <v>2184001</v>
      </c>
      <c r="F1373" s="11">
        <v>422</v>
      </c>
      <c r="G1373" s="11" t="s">
        <v>12</v>
      </c>
      <c r="H1373" s="3">
        <v>8596.91</v>
      </c>
      <c r="K1373" s="11"/>
      <c r="L1373" s="11"/>
      <c r="M1373" s="11"/>
      <c r="N1373" s="11"/>
      <c r="P1373" s="11"/>
      <c r="Q1373" s="11"/>
      <c r="R1373" s="3"/>
    </row>
    <row r="1374" spans="1:18" x14ac:dyDescent="0.2">
      <c r="A1374" s="11">
        <v>2184</v>
      </c>
      <c r="B1374" s="11">
        <v>1</v>
      </c>
      <c r="C1374" s="11" t="s">
        <v>338</v>
      </c>
      <c r="D1374" s="11">
        <f t="shared" si="42"/>
        <v>2</v>
      </c>
      <c r="E1374">
        <f t="shared" si="43"/>
        <v>2184002</v>
      </c>
      <c r="F1374" s="11">
        <v>441</v>
      </c>
      <c r="G1374" s="11" t="s">
        <v>16</v>
      </c>
      <c r="H1374" s="3">
        <v>800</v>
      </c>
      <c r="K1374" s="11"/>
      <c r="L1374" s="11"/>
      <c r="M1374" s="11"/>
      <c r="N1374" s="11"/>
      <c r="P1374" s="11"/>
      <c r="Q1374" s="11"/>
      <c r="R1374" s="3"/>
    </row>
    <row r="1375" spans="1:18" x14ac:dyDescent="0.2">
      <c r="A1375" s="11">
        <v>2184</v>
      </c>
      <c r="B1375" s="11">
        <v>1</v>
      </c>
      <c r="C1375" s="11" t="s">
        <v>338</v>
      </c>
      <c r="D1375" s="11">
        <f t="shared" si="42"/>
        <v>3</v>
      </c>
      <c r="E1375">
        <f t="shared" si="43"/>
        <v>2184003</v>
      </c>
      <c r="F1375" s="11">
        <v>470</v>
      </c>
      <c r="G1375" s="11" t="s">
        <v>6</v>
      </c>
      <c r="H1375" s="3">
        <v>78959.16</v>
      </c>
      <c r="K1375" s="11"/>
      <c r="L1375" s="11"/>
      <c r="M1375" s="11"/>
      <c r="N1375" s="11"/>
      <c r="P1375" s="11"/>
      <c r="Q1375" s="11"/>
      <c r="R1375" s="3"/>
    </row>
    <row r="1376" spans="1:18" x14ac:dyDescent="0.2">
      <c r="A1376" s="11">
        <v>2184</v>
      </c>
      <c r="B1376" s="11">
        <v>1</v>
      </c>
      <c r="C1376" s="11" t="s">
        <v>338</v>
      </c>
      <c r="D1376" s="11">
        <f t="shared" si="42"/>
        <v>4</v>
      </c>
      <c r="E1376">
        <f t="shared" si="43"/>
        <v>2184004</v>
      </c>
      <c r="F1376" s="11">
        <v>471</v>
      </c>
      <c r="G1376" s="11" t="s">
        <v>17</v>
      </c>
      <c r="H1376" s="3">
        <v>32472.07</v>
      </c>
      <c r="K1376" s="11"/>
      <c r="L1376" s="11"/>
      <c r="M1376" s="11"/>
      <c r="N1376" s="11"/>
      <c r="P1376" s="11"/>
      <c r="Q1376" s="11"/>
      <c r="R1376" s="3"/>
    </row>
    <row r="1377" spans="1:18" x14ac:dyDescent="0.2">
      <c r="A1377" s="11">
        <v>2190</v>
      </c>
      <c r="B1377" s="11">
        <v>1</v>
      </c>
      <c r="C1377" s="11" t="s">
        <v>339</v>
      </c>
      <c r="D1377" s="11">
        <f t="shared" si="42"/>
        <v>1</v>
      </c>
      <c r="E1377">
        <f t="shared" si="43"/>
        <v>2190001</v>
      </c>
      <c r="F1377" s="11">
        <v>401</v>
      </c>
      <c r="G1377" s="11" t="s">
        <v>29</v>
      </c>
      <c r="H1377" s="3">
        <v>119614.79</v>
      </c>
      <c r="K1377" s="11"/>
      <c r="L1377" s="11"/>
      <c r="M1377" s="11"/>
      <c r="N1377" s="11"/>
      <c r="P1377" s="11"/>
      <c r="Q1377" s="11"/>
      <c r="R1377" s="3"/>
    </row>
    <row r="1378" spans="1:18" x14ac:dyDescent="0.2">
      <c r="A1378" s="11">
        <v>2190</v>
      </c>
      <c r="B1378" s="11">
        <v>1</v>
      </c>
      <c r="C1378" s="11" t="s">
        <v>339</v>
      </c>
      <c r="D1378" s="11">
        <f t="shared" si="42"/>
        <v>2</v>
      </c>
      <c r="E1378">
        <f t="shared" si="43"/>
        <v>2190002</v>
      </c>
      <c r="F1378" s="11">
        <v>414</v>
      </c>
      <c r="G1378" s="11" t="s">
        <v>9</v>
      </c>
      <c r="H1378" s="3">
        <v>49916.61</v>
      </c>
      <c r="K1378" s="11"/>
      <c r="L1378" s="11"/>
      <c r="M1378" s="11"/>
      <c r="N1378" s="11"/>
      <c r="P1378" s="11"/>
      <c r="Q1378" s="11"/>
      <c r="R1378" s="3"/>
    </row>
    <row r="1379" spans="1:18" x14ac:dyDescent="0.2">
      <c r="A1379" s="11">
        <v>2190</v>
      </c>
      <c r="B1379" s="11">
        <v>1</v>
      </c>
      <c r="C1379" s="11" t="s">
        <v>339</v>
      </c>
      <c r="D1379" s="11">
        <f t="shared" si="42"/>
        <v>3</v>
      </c>
      <c r="E1379">
        <f t="shared" si="43"/>
        <v>2190003</v>
      </c>
      <c r="F1379" s="11">
        <v>433</v>
      </c>
      <c r="G1379" s="11" t="s">
        <v>30</v>
      </c>
      <c r="H1379" s="3">
        <v>2741.57</v>
      </c>
      <c r="K1379" s="11"/>
      <c r="L1379" s="11"/>
      <c r="M1379" s="11"/>
      <c r="N1379" s="11"/>
      <c r="P1379" s="11"/>
      <c r="Q1379" s="11"/>
      <c r="R1379" s="3"/>
    </row>
    <row r="1380" spans="1:18" x14ac:dyDescent="0.2">
      <c r="A1380" s="11">
        <v>2190</v>
      </c>
      <c r="B1380" s="11">
        <v>1</v>
      </c>
      <c r="C1380" s="11" t="s">
        <v>339</v>
      </c>
      <c r="D1380" s="11">
        <f t="shared" si="42"/>
        <v>4</v>
      </c>
      <c r="E1380">
        <f t="shared" si="43"/>
        <v>2190004</v>
      </c>
      <c r="F1380" s="11">
        <v>470</v>
      </c>
      <c r="G1380" s="11" t="s">
        <v>6</v>
      </c>
      <c r="H1380" s="3">
        <v>72790.47</v>
      </c>
      <c r="K1380" s="11"/>
      <c r="L1380" s="11"/>
      <c r="M1380" s="11"/>
      <c r="N1380" s="11"/>
      <c r="P1380" s="11"/>
      <c r="Q1380" s="11"/>
      <c r="R1380" s="3"/>
    </row>
    <row r="1381" spans="1:18" x14ac:dyDescent="0.2">
      <c r="A1381" s="11">
        <v>2198</v>
      </c>
      <c r="B1381" s="11">
        <v>1</v>
      </c>
      <c r="C1381" s="11" t="s">
        <v>340</v>
      </c>
      <c r="D1381" s="11">
        <f t="shared" si="42"/>
        <v>1</v>
      </c>
      <c r="E1381">
        <f t="shared" si="43"/>
        <v>2198001</v>
      </c>
      <c r="F1381" s="11">
        <v>419</v>
      </c>
      <c r="G1381" s="11" t="s">
        <v>10</v>
      </c>
      <c r="H1381" s="3">
        <v>128115.99</v>
      </c>
      <c r="K1381" s="11"/>
      <c r="L1381" s="11"/>
      <c r="M1381" s="11"/>
      <c r="N1381" s="11"/>
      <c r="P1381" s="11"/>
      <c r="Q1381" s="11"/>
      <c r="R1381" s="3"/>
    </row>
    <row r="1382" spans="1:18" x14ac:dyDescent="0.2">
      <c r="A1382" s="11">
        <v>2198</v>
      </c>
      <c r="B1382" s="11">
        <v>1</v>
      </c>
      <c r="C1382" s="11" t="s">
        <v>340</v>
      </c>
      <c r="D1382" s="11">
        <f t="shared" si="42"/>
        <v>2</v>
      </c>
      <c r="E1382">
        <f t="shared" si="43"/>
        <v>2198002</v>
      </c>
      <c r="F1382" s="11">
        <v>420</v>
      </c>
      <c r="G1382" s="11" t="s">
        <v>11</v>
      </c>
      <c r="H1382" s="3">
        <v>6067.79</v>
      </c>
      <c r="K1382" s="11"/>
      <c r="L1382" s="11"/>
      <c r="M1382" s="11"/>
      <c r="N1382" s="11"/>
      <c r="P1382" s="11"/>
      <c r="Q1382" s="11"/>
      <c r="R1382" s="3"/>
    </row>
    <row r="1383" spans="1:18" x14ac:dyDescent="0.2">
      <c r="A1383" s="11">
        <v>2198</v>
      </c>
      <c r="B1383" s="11">
        <v>1</v>
      </c>
      <c r="C1383" s="11" t="s">
        <v>340</v>
      </c>
      <c r="D1383" s="11">
        <f t="shared" si="42"/>
        <v>3</v>
      </c>
      <c r="E1383">
        <f t="shared" si="43"/>
        <v>2198003</v>
      </c>
      <c r="F1383" s="11">
        <v>433</v>
      </c>
      <c r="G1383" s="11" t="s">
        <v>30</v>
      </c>
      <c r="H1383" s="3">
        <v>3118.11</v>
      </c>
      <c r="K1383" s="11"/>
      <c r="L1383" s="11"/>
      <c r="M1383" s="11"/>
      <c r="N1383" s="11"/>
      <c r="P1383" s="11"/>
      <c r="Q1383" s="11"/>
      <c r="R1383" s="3"/>
    </row>
    <row r="1384" spans="1:18" x14ac:dyDescent="0.2">
      <c r="A1384" s="11">
        <v>2198</v>
      </c>
      <c r="B1384" s="11">
        <v>1</v>
      </c>
      <c r="C1384" s="11" t="s">
        <v>340</v>
      </c>
      <c r="D1384" s="11">
        <f t="shared" si="42"/>
        <v>4</v>
      </c>
      <c r="E1384">
        <f t="shared" si="43"/>
        <v>2198004</v>
      </c>
      <c r="F1384" s="11">
        <v>437</v>
      </c>
      <c r="G1384" s="11" t="s">
        <v>14</v>
      </c>
      <c r="H1384" s="3">
        <v>120</v>
      </c>
      <c r="K1384" s="11"/>
      <c r="L1384" s="11"/>
      <c r="M1384" s="11"/>
      <c r="N1384" s="11"/>
      <c r="P1384" s="11"/>
      <c r="Q1384" s="11"/>
      <c r="R1384" s="3"/>
    </row>
    <row r="1385" spans="1:18" x14ac:dyDescent="0.2">
      <c r="A1385" s="11">
        <v>2198</v>
      </c>
      <c r="B1385" s="11">
        <v>1</v>
      </c>
      <c r="C1385" s="11" t="s">
        <v>340</v>
      </c>
      <c r="D1385" s="11">
        <f t="shared" si="42"/>
        <v>5</v>
      </c>
      <c r="E1385">
        <f t="shared" si="43"/>
        <v>2198005</v>
      </c>
      <c r="F1385" s="11">
        <v>441</v>
      </c>
      <c r="G1385" s="11" t="s">
        <v>16</v>
      </c>
      <c r="H1385" s="3">
        <v>800</v>
      </c>
      <c r="K1385" s="11"/>
      <c r="L1385" s="11"/>
      <c r="M1385" s="11"/>
      <c r="N1385" s="11"/>
      <c r="P1385" s="11"/>
      <c r="Q1385" s="11"/>
      <c r="R1385" s="3"/>
    </row>
    <row r="1386" spans="1:18" x14ac:dyDescent="0.2">
      <c r="A1386" s="11">
        <v>2198</v>
      </c>
      <c r="B1386" s="11">
        <v>1</v>
      </c>
      <c r="C1386" s="11" t="s">
        <v>340</v>
      </c>
      <c r="D1386" s="11">
        <f t="shared" si="42"/>
        <v>6</v>
      </c>
      <c r="E1386">
        <f t="shared" si="43"/>
        <v>2198006</v>
      </c>
      <c r="F1386" s="11">
        <v>470</v>
      </c>
      <c r="G1386" s="11" t="s">
        <v>6</v>
      </c>
      <c r="H1386" s="3">
        <v>98427.99</v>
      </c>
      <c r="K1386" s="11"/>
      <c r="L1386" s="11"/>
      <c r="M1386" s="11"/>
      <c r="N1386" s="11"/>
      <c r="P1386" s="11"/>
      <c r="Q1386" s="11"/>
      <c r="R1386" s="3"/>
    </row>
    <row r="1387" spans="1:18" x14ac:dyDescent="0.2">
      <c r="A1387" s="11">
        <v>2198</v>
      </c>
      <c r="B1387" s="11">
        <v>1</v>
      </c>
      <c r="C1387" s="11" t="s">
        <v>340</v>
      </c>
      <c r="D1387" s="11">
        <f t="shared" si="42"/>
        <v>7</v>
      </c>
      <c r="E1387">
        <f t="shared" si="43"/>
        <v>2198007</v>
      </c>
      <c r="F1387" s="11">
        <v>480</v>
      </c>
      <c r="G1387" s="11" t="s">
        <v>19</v>
      </c>
      <c r="H1387" s="3">
        <v>118746.63</v>
      </c>
      <c r="K1387" s="11"/>
      <c r="L1387" s="11"/>
      <c r="M1387" s="11"/>
      <c r="N1387" s="11"/>
      <c r="P1387" s="11"/>
      <c r="Q1387" s="11"/>
      <c r="R1387" s="3"/>
    </row>
    <row r="1388" spans="1:18" x14ac:dyDescent="0.2">
      <c r="A1388" s="11">
        <v>2198</v>
      </c>
      <c r="B1388" s="11">
        <v>1</v>
      </c>
      <c r="C1388" s="11" t="s">
        <v>340</v>
      </c>
      <c r="D1388" s="11">
        <f t="shared" si="42"/>
        <v>8</v>
      </c>
      <c r="E1388">
        <f t="shared" si="43"/>
        <v>2198008</v>
      </c>
      <c r="F1388" s="11">
        <v>484</v>
      </c>
      <c r="G1388" s="11" t="s">
        <v>20</v>
      </c>
      <c r="H1388" s="3">
        <v>4863.38</v>
      </c>
      <c r="K1388" s="11"/>
      <c r="L1388" s="11"/>
      <c r="M1388" s="11"/>
      <c r="N1388" s="11"/>
      <c r="P1388" s="11"/>
      <c r="Q1388" s="11"/>
      <c r="R1388" s="3"/>
    </row>
    <row r="1389" spans="1:18" x14ac:dyDescent="0.2">
      <c r="A1389" s="11">
        <v>2198</v>
      </c>
      <c r="B1389" s="11">
        <v>1</v>
      </c>
      <c r="C1389" s="11" t="s">
        <v>340</v>
      </c>
      <c r="D1389" s="11">
        <f t="shared" si="42"/>
        <v>9</v>
      </c>
      <c r="E1389">
        <f t="shared" si="43"/>
        <v>2198009</v>
      </c>
      <c r="F1389" s="11">
        <v>486</v>
      </c>
      <c r="G1389" s="11" t="s">
        <v>21</v>
      </c>
      <c r="H1389" s="3">
        <v>2383.73</v>
      </c>
      <c r="K1389" s="11"/>
      <c r="L1389" s="11"/>
      <c r="M1389" s="11"/>
      <c r="N1389" s="11"/>
      <c r="P1389" s="11"/>
      <c r="Q1389" s="11"/>
      <c r="R1389" s="3"/>
    </row>
    <row r="1390" spans="1:18" x14ac:dyDescent="0.2">
      <c r="A1390" s="11">
        <v>2215</v>
      </c>
      <c r="B1390" s="11">
        <v>1</v>
      </c>
      <c r="C1390" s="11" t="s">
        <v>341</v>
      </c>
      <c r="D1390" s="11">
        <f t="shared" si="42"/>
        <v>1</v>
      </c>
      <c r="E1390">
        <f t="shared" si="43"/>
        <v>2215001</v>
      </c>
      <c r="F1390" s="11">
        <v>151</v>
      </c>
      <c r="G1390" s="11" t="s">
        <v>28</v>
      </c>
      <c r="H1390" s="3">
        <v>158133.63</v>
      </c>
      <c r="K1390" s="11"/>
      <c r="L1390" s="11"/>
      <c r="M1390" s="11"/>
      <c r="N1390" s="11"/>
      <c r="P1390" s="11"/>
      <c r="Q1390" s="11"/>
      <c r="R1390" s="3"/>
    </row>
    <row r="1391" spans="1:18" x14ac:dyDescent="0.2">
      <c r="A1391" s="11">
        <v>2215</v>
      </c>
      <c r="B1391" s="11">
        <v>1</v>
      </c>
      <c r="C1391" s="11" t="s">
        <v>341</v>
      </c>
      <c r="D1391" s="11">
        <f t="shared" si="42"/>
        <v>2</v>
      </c>
      <c r="E1391">
        <f t="shared" si="43"/>
        <v>2215002</v>
      </c>
      <c r="F1391" s="11">
        <v>401</v>
      </c>
      <c r="G1391" s="11" t="s">
        <v>29</v>
      </c>
      <c r="H1391" s="3">
        <v>49696.38</v>
      </c>
      <c r="K1391" s="11"/>
      <c r="L1391" s="11"/>
      <c r="M1391" s="11"/>
      <c r="N1391" s="11"/>
      <c r="P1391" s="11"/>
      <c r="Q1391" s="11"/>
      <c r="R1391" s="3"/>
    </row>
    <row r="1392" spans="1:18" x14ac:dyDescent="0.2">
      <c r="A1392" s="11">
        <v>2215</v>
      </c>
      <c r="B1392" s="11">
        <v>1</v>
      </c>
      <c r="C1392" s="11" t="s">
        <v>341</v>
      </c>
      <c r="D1392" s="11">
        <f t="shared" si="42"/>
        <v>3</v>
      </c>
      <c r="E1392">
        <f t="shared" si="43"/>
        <v>2215003</v>
      </c>
      <c r="F1392" s="11">
        <v>414</v>
      </c>
      <c r="G1392" s="11" t="s">
        <v>9</v>
      </c>
      <c r="H1392" s="3">
        <v>24321.53</v>
      </c>
      <c r="K1392" s="11"/>
      <c r="L1392" s="11"/>
      <c r="M1392" s="11"/>
      <c r="N1392" s="11"/>
      <c r="P1392" s="11"/>
      <c r="Q1392" s="11"/>
      <c r="R1392" s="3"/>
    </row>
    <row r="1393" spans="1:18" x14ac:dyDescent="0.2">
      <c r="A1393" s="11">
        <v>2215</v>
      </c>
      <c r="B1393" s="11">
        <v>1</v>
      </c>
      <c r="C1393" s="11" t="s">
        <v>341</v>
      </c>
      <c r="D1393" s="11">
        <f t="shared" si="42"/>
        <v>4</v>
      </c>
      <c r="E1393">
        <f t="shared" si="43"/>
        <v>2215004</v>
      </c>
      <c r="F1393" s="11">
        <v>433</v>
      </c>
      <c r="G1393" s="11" t="s">
        <v>30</v>
      </c>
      <c r="H1393" s="3">
        <v>1103.54</v>
      </c>
      <c r="K1393" s="11"/>
      <c r="L1393" s="11"/>
      <c r="M1393" s="11"/>
      <c r="N1393" s="11"/>
      <c r="P1393" s="11"/>
      <c r="Q1393" s="11"/>
      <c r="R1393" s="3"/>
    </row>
    <row r="1394" spans="1:18" x14ac:dyDescent="0.2">
      <c r="A1394" s="11">
        <v>2215</v>
      </c>
      <c r="B1394" s="11">
        <v>1</v>
      </c>
      <c r="C1394" s="11" t="s">
        <v>341</v>
      </c>
      <c r="D1394" s="11">
        <f t="shared" si="42"/>
        <v>5</v>
      </c>
      <c r="E1394">
        <f t="shared" si="43"/>
        <v>2215005</v>
      </c>
      <c r="F1394" s="11">
        <v>470</v>
      </c>
      <c r="G1394" s="11" t="s">
        <v>6</v>
      </c>
      <c r="H1394" s="3">
        <v>30843.42</v>
      </c>
      <c r="K1394" s="11"/>
      <c r="L1394" s="11"/>
      <c r="M1394" s="11"/>
      <c r="N1394" s="11"/>
      <c r="P1394" s="11"/>
      <c r="Q1394" s="11"/>
      <c r="R1394" s="3"/>
    </row>
    <row r="1395" spans="1:18" x14ac:dyDescent="0.2">
      <c r="A1395" s="11">
        <v>2310</v>
      </c>
      <c r="B1395" s="11">
        <v>1</v>
      </c>
      <c r="C1395" s="11" t="s">
        <v>342</v>
      </c>
      <c r="D1395" s="11">
        <f t="shared" si="42"/>
        <v>1</v>
      </c>
      <c r="E1395">
        <f t="shared" si="43"/>
        <v>2310001</v>
      </c>
      <c r="F1395" s="11">
        <v>401</v>
      </c>
      <c r="G1395" s="11" t="s">
        <v>29</v>
      </c>
      <c r="H1395" s="3">
        <v>158286.54999999999</v>
      </c>
      <c r="K1395" s="11"/>
      <c r="L1395" s="11"/>
      <c r="M1395" s="11"/>
      <c r="N1395" s="11"/>
      <c r="P1395" s="11"/>
      <c r="Q1395" s="11"/>
      <c r="R1395" s="3"/>
    </row>
    <row r="1396" spans="1:18" x14ac:dyDescent="0.2">
      <c r="A1396" s="11">
        <v>2310</v>
      </c>
      <c r="B1396" s="11">
        <v>1</v>
      </c>
      <c r="C1396" s="11" t="s">
        <v>342</v>
      </c>
      <c r="D1396" s="11">
        <f t="shared" si="42"/>
        <v>2</v>
      </c>
      <c r="E1396">
        <f t="shared" si="43"/>
        <v>2310002</v>
      </c>
      <c r="F1396" s="11">
        <v>414</v>
      </c>
      <c r="G1396" s="11" t="s">
        <v>9</v>
      </c>
      <c r="H1396" s="3">
        <v>48900.03</v>
      </c>
      <c r="K1396" s="11"/>
      <c r="L1396" s="11"/>
      <c r="M1396" s="11"/>
      <c r="N1396" s="11"/>
      <c r="P1396" s="11"/>
      <c r="Q1396" s="11"/>
      <c r="R1396" s="3"/>
    </row>
    <row r="1397" spans="1:18" x14ac:dyDescent="0.2">
      <c r="A1397" s="11">
        <v>2310</v>
      </c>
      <c r="B1397" s="11">
        <v>1</v>
      </c>
      <c r="C1397" s="11" t="s">
        <v>342</v>
      </c>
      <c r="D1397" s="11">
        <f t="shared" si="42"/>
        <v>3</v>
      </c>
      <c r="E1397">
        <f t="shared" si="43"/>
        <v>2310003</v>
      </c>
      <c r="F1397" s="11">
        <v>417</v>
      </c>
      <c r="G1397" s="11" t="s">
        <v>34</v>
      </c>
      <c r="H1397" s="3">
        <v>22632.9</v>
      </c>
      <c r="K1397" s="11"/>
      <c r="L1397" s="11"/>
      <c r="M1397" s="11"/>
      <c r="N1397" s="11"/>
      <c r="P1397" s="11"/>
      <c r="Q1397" s="11"/>
      <c r="R1397" s="3"/>
    </row>
    <row r="1398" spans="1:18" x14ac:dyDescent="0.2">
      <c r="A1398" s="11">
        <v>2310</v>
      </c>
      <c r="B1398" s="11">
        <v>1</v>
      </c>
      <c r="C1398" s="11" t="s">
        <v>342</v>
      </c>
      <c r="D1398" s="11">
        <f t="shared" si="42"/>
        <v>4</v>
      </c>
      <c r="E1398">
        <f t="shared" si="43"/>
        <v>2310004</v>
      </c>
      <c r="F1398" s="11">
        <v>433</v>
      </c>
      <c r="G1398" s="11" t="s">
        <v>30</v>
      </c>
      <c r="H1398" s="3">
        <v>3802.11</v>
      </c>
      <c r="K1398" s="11"/>
      <c r="L1398" s="11"/>
      <c r="M1398" s="11"/>
      <c r="N1398" s="11"/>
      <c r="P1398" s="11"/>
      <c r="Q1398" s="11"/>
      <c r="R1398" s="3"/>
    </row>
    <row r="1399" spans="1:18" x14ac:dyDescent="0.2">
      <c r="A1399" s="11">
        <v>2311</v>
      </c>
      <c r="B1399" s="11">
        <v>1</v>
      </c>
      <c r="C1399" s="11" t="s">
        <v>343</v>
      </c>
      <c r="D1399" s="11">
        <f t="shared" si="42"/>
        <v>1</v>
      </c>
      <c r="E1399">
        <f t="shared" si="43"/>
        <v>2311001</v>
      </c>
      <c r="F1399" s="11">
        <v>151</v>
      </c>
      <c r="G1399" s="11" t="s">
        <v>28</v>
      </c>
      <c r="H1399" s="3">
        <v>213733.48</v>
      </c>
      <c r="K1399" s="11"/>
      <c r="L1399" s="11"/>
      <c r="M1399" s="11"/>
      <c r="N1399" s="11"/>
      <c r="P1399" s="11"/>
      <c r="Q1399" s="11"/>
      <c r="R1399" s="3"/>
    </row>
    <row r="1400" spans="1:18" x14ac:dyDescent="0.2">
      <c r="A1400" s="11">
        <v>2311</v>
      </c>
      <c r="B1400" s="11">
        <v>1</v>
      </c>
      <c r="C1400" s="11" t="s">
        <v>343</v>
      </c>
      <c r="D1400" s="11">
        <f t="shared" si="42"/>
        <v>2</v>
      </c>
      <c r="E1400">
        <f t="shared" si="43"/>
        <v>2311002</v>
      </c>
      <c r="F1400" s="11">
        <v>414</v>
      </c>
      <c r="G1400" s="11" t="s">
        <v>9</v>
      </c>
      <c r="H1400" s="3">
        <v>29730.2</v>
      </c>
      <c r="K1400" s="11"/>
      <c r="L1400" s="11"/>
      <c r="M1400" s="11"/>
      <c r="N1400" s="11"/>
      <c r="P1400" s="11"/>
      <c r="Q1400" s="11"/>
      <c r="R1400" s="3"/>
    </row>
    <row r="1401" spans="1:18" x14ac:dyDescent="0.2">
      <c r="A1401" s="11">
        <v>2311</v>
      </c>
      <c r="B1401" s="11">
        <v>1</v>
      </c>
      <c r="C1401" s="11" t="s">
        <v>343</v>
      </c>
      <c r="D1401" s="11">
        <f t="shared" si="42"/>
        <v>3</v>
      </c>
      <c r="E1401">
        <f t="shared" si="43"/>
        <v>2311003</v>
      </c>
      <c r="F1401" s="11">
        <v>470</v>
      </c>
      <c r="G1401" s="11" t="s">
        <v>6</v>
      </c>
      <c r="H1401" s="3">
        <v>51783.96</v>
      </c>
      <c r="K1401" s="11"/>
      <c r="L1401" s="11"/>
      <c r="M1401" s="11"/>
      <c r="N1401" s="11"/>
      <c r="P1401" s="11"/>
      <c r="Q1401" s="11"/>
      <c r="R1401" s="3"/>
    </row>
    <row r="1402" spans="1:18" x14ac:dyDescent="0.2">
      <c r="A1402" s="11">
        <v>2342</v>
      </c>
      <c r="B1402" s="11">
        <v>1</v>
      </c>
      <c r="C1402" s="11" t="s">
        <v>344</v>
      </c>
      <c r="D1402" s="11">
        <f t="shared" si="42"/>
        <v>1</v>
      </c>
      <c r="E1402">
        <f t="shared" si="43"/>
        <v>2342001</v>
      </c>
      <c r="F1402" s="11">
        <v>414</v>
      </c>
      <c r="G1402" s="11" t="s">
        <v>9</v>
      </c>
      <c r="H1402" s="3">
        <v>47969.55</v>
      </c>
      <c r="K1402" s="11"/>
      <c r="L1402" s="11"/>
      <c r="M1402" s="11"/>
      <c r="N1402" s="11"/>
      <c r="P1402" s="11"/>
      <c r="Q1402" s="11"/>
      <c r="R1402" s="3"/>
    </row>
    <row r="1403" spans="1:18" x14ac:dyDescent="0.2">
      <c r="A1403" s="11">
        <v>2364</v>
      </c>
      <c r="B1403" s="11">
        <v>1</v>
      </c>
      <c r="C1403" s="11" t="s">
        <v>563</v>
      </c>
      <c r="D1403" s="11">
        <f t="shared" si="42"/>
        <v>1</v>
      </c>
      <c r="E1403">
        <f t="shared" si="43"/>
        <v>2364001</v>
      </c>
      <c r="F1403" s="11">
        <v>424</v>
      </c>
      <c r="G1403" s="11" t="s">
        <v>48</v>
      </c>
      <c r="H1403" s="3">
        <v>17993.34</v>
      </c>
      <c r="K1403" s="11"/>
      <c r="L1403" s="11"/>
      <c r="M1403" s="11"/>
      <c r="N1403" s="11"/>
      <c r="P1403" s="11"/>
      <c r="Q1403" s="11"/>
      <c r="R1403" s="3"/>
    </row>
    <row r="1404" spans="1:18" x14ac:dyDescent="0.2">
      <c r="A1404" s="11">
        <v>2365</v>
      </c>
      <c r="B1404" s="11">
        <v>1</v>
      </c>
      <c r="C1404" s="11" t="s">
        <v>345</v>
      </c>
      <c r="D1404" s="11">
        <f t="shared" si="42"/>
        <v>1</v>
      </c>
      <c r="E1404">
        <f t="shared" si="43"/>
        <v>2365001</v>
      </c>
      <c r="F1404" s="11">
        <v>401</v>
      </c>
      <c r="G1404" s="11" t="s">
        <v>29</v>
      </c>
      <c r="H1404" s="3">
        <v>101303.15</v>
      </c>
      <c r="K1404" s="11"/>
      <c r="L1404" s="11"/>
      <c r="M1404" s="11"/>
      <c r="N1404" s="11"/>
      <c r="P1404" s="11"/>
      <c r="Q1404" s="11"/>
      <c r="R1404" s="3"/>
    </row>
    <row r="1405" spans="1:18" x14ac:dyDescent="0.2">
      <c r="A1405" s="11">
        <v>2365</v>
      </c>
      <c r="B1405" s="11">
        <v>1</v>
      </c>
      <c r="C1405" s="11" t="s">
        <v>345</v>
      </c>
      <c r="D1405" s="11">
        <f t="shared" si="42"/>
        <v>2</v>
      </c>
      <c r="E1405">
        <f t="shared" si="43"/>
        <v>2365002</v>
      </c>
      <c r="F1405" s="11">
        <v>414</v>
      </c>
      <c r="G1405" s="11" t="s">
        <v>9</v>
      </c>
      <c r="H1405" s="3">
        <v>58201.36</v>
      </c>
      <c r="K1405" s="11"/>
      <c r="L1405" s="11"/>
      <c r="M1405" s="11"/>
      <c r="N1405" s="11"/>
      <c r="P1405" s="11"/>
      <c r="Q1405" s="11"/>
      <c r="R1405" s="3"/>
    </row>
    <row r="1406" spans="1:18" x14ac:dyDescent="0.2">
      <c r="A1406" s="11">
        <v>2365</v>
      </c>
      <c r="B1406" s="11">
        <v>1</v>
      </c>
      <c r="C1406" s="11" t="s">
        <v>345</v>
      </c>
      <c r="D1406" s="11">
        <f t="shared" si="42"/>
        <v>3</v>
      </c>
      <c r="E1406">
        <f t="shared" si="43"/>
        <v>2365003</v>
      </c>
      <c r="F1406" s="11">
        <v>433</v>
      </c>
      <c r="G1406" s="11" t="s">
        <v>30</v>
      </c>
      <c r="H1406" s="3">
        <v>2558.88</v>
      </c>
      <c r="K1406" s="11"/>
      <c r="L1406" s="11"/>
      <c r="M1406" s="11"/>
      <c r="N1406" s="11"/>
      <c r="P1406" s="11"/>
      <c r="Q1406" s="11"/>
      <c r="R1406" s="3"/>
    </row>
    <row r="1407" spans="1:18" x14ac:dyDescent="0.2">
      <c r="A1407" s="11">
        <v>2365</v>
      </c>
      <c r="B1407" s="11">
        <v>1</v>
      </c>
      <c r="C1407" s="11" t="s">
        <v>345</v>
      </c>
      <c r="D1407" s="11">
        <f t="shared" si="42"/>
        <v>4</v>
      </c>
      <c r="E1407">
        <f t="shared" si="43"/>
        <v>2365004</v>
      </c>
      <c r="F1407" s="11">
        <v>470</v>
      </c>
      <c r="G1407" s="11" t="s">
        <v>6</v>
      </c>
      <c r="H1407" s="3">
        <v>60453.11</v>
      </c>
      <c r="K1407" s="11"/>
      <c r="L1407" s="11"/>
      <c r="M1407" s="11"/>
      <c r="N1407" s="11"/>
      <c r="P1407" s="11"/>
      <c r="Q1407" s="11"/>
      <c r="R1407" s="3"/>
    </row>
    <row r="1408" spans="1:18" x14ac:dyDescent="0.2">
      <c r="A1408" s="11">
        <v>2397</v>
      </c>
      <c r="B1408" s="11">
        <v>1</v>
      </c>
      <c r="C1408" s="11" t="s">
        <v>346</v>
      </c>
      <c r="D1408" s="11">
        <f t="shared" si="42"/>
        <v>1</v>
      </c>
      <c r="E1408">
        <f t="shared" si="43"/>
        <v>2397001</v>
      </c>
      <c r="F1408" s="11">
        <v>401</v>
      </c>
      <c r="G1408" s="11" t="s">
        <v>29</v>
      </c>
      <c r="H1408" s="3">
        <v>153313.78</v>
      </c>
      <c r="K1408" s="11"/>
      <c r="L1408" s="11"/>
      <c r="M1408" s="11"/>
      <c r="N1408" s="11"/>
      <c r="P1408" s="11"/>
      <c r="Q1408" s="11"/>
      <c r="R1408" s="3"/>
    </row>
    <row r="1409" spans="1:18" x14ac:dyDescent="0.2">
      <c r="A1409" s="11">
        <v>2397</v>
      </c>
      <c r="B1409" s="11">
        <v>1</v>
      </c>
      <c r="C1409" s="11" t="s">
        <v>346</v>
      </c>
      <c r="D1409" s="11">
        <f t="shared" si="42"/>
        <v>2</v>
      </c>
      <c r="E1409">
        <f t="shared" si="43"/>
        <v>2397002</v>
      </c>
      <c r="F1409" s="11">
        <v>414</v>
      </c>
      <c r="G1409" s="11" t="s">
        <v>9</v>
      </c>
      <c r="H1409" s="3">
        <v>61209.56</v>
      </c>
      <c r="K1409" s="11"/>
      <c r="L1409" s="11"/>
      <c r="M1409" s="11"/>
      <c r="N1409" s="11"/>
      <c r="P1409" s="11"/>
      <c r="Q1409" s="11"/>
      <c r="R1409" s="3"/>
    </row>
    <row r="1410" spans="1:18" x14ac:dyDescent="0.2">
      <c r="A1410" s="11">
        <v>2397</v>
      </c>
      <c r="B1410" s="11">
        <v>1</v>
      </c>
      <c r="C1410" s="11" t="s">
        <v>346</v>
      </c>
      <c r="D1410" s="11">
        <f t="shared" si="42"/>
        <v>3</v>
      </c>
      <c r="E1410">
        <f t="shared" si="43"/>
        <v>2397003</v>
      </c>
      <c r="F1410" s="11">
        <v>417</v>
      </c>
      <c r="G1410" s="11" t="s">
        <v>34</v>
      </c>
      <c r="H1410" s="3">
        <v>11316.46</v>
      </c>
      <c r="K1410" s="11"/>
      <c r="L1410" s="11"/>
      <c r="M1410" s="11"/>
      <c r="N1410" s="11"/>
      <c r="P1410" s="11"/>
      <c r="Q1410" s="11"/>
      <c r="R1410" s="3"/>
    </row>
    <row r="1411" spans="1:18" x14ac:dyDescent="0.2">
      <c r="A1411" s="11">
        <v>2397</v>
      </c>
      <c r="B1411" s="11">
        <v>1</v>
      </c>
      <c r="C1411" s="11" t="s">
        <v>346</v>
      </c>
      <c r="D1411" s="11">
        <f t="shared" si="42"/>
        <v>4</v>
      </c>
      <c r="E1411">
        <f t="shared" si="43"/>
        <v>2397004</v>
      </c>
      <c r="F1411" s="11">
        <v>433</v>
      </c>
      <c r="G1411" s="11" t="s">
        <v>30</v>
      </c>
      <c r="H1411" s="3">
        <v>3657.68</v>
      </c>
      <c r="K1411" s="11"/>
      <c r="L1411" s="11"/>
      <c r="M1411" s="11"/>
      <c r="N1411" s="11"/>
      <c r="P1411" s="11"/>
      <c r="Q1411" s="11"/>
      <c r="R1411" s="3"/>
    </row>
    <row r="1412" spans="1:18" x14ac:dyDescent="0.2">
      <c r="A1412" s="11">
        <v>2397</v>
      </c>
      <c r="B1412" s="11">
        <v>1</v>
      </c>
      <c r="C1412" s="11" t="s">
        <v>346</v>
      </c>
      <c r="D1412" s="11">
        <f t="shared" si="42"/>
        <v>5</v>
      </c>
      <c r="E1412">
        <f t="shared" si="43"/>
        <v>2397005</v>
      </c>
      <c r="F1412" s="11">
        <v>438</v>
      </c>
      <c r="G1412" s="11" t="s">
        <v>15</v>
      </c>
      <c r="H1412" s="3">
        <v>14271.14</v>
      </c>
      <c r="K1412" s="11"/>
      <c r="L1412" s="11"/>
      <c r="M1412" s="11"/>
      <c r="N1412" s="11"/>
      <c r="P1412" s="11"/>
      <c r="Q1412" s="11"/>
      <c r="R1412" s="3"/>
    </row>
    <row r="1413" spans="1:18" x14ac:dyDescent="0.2">
      <c r="A1413" s="11">
        <v>2397</v>
      </c>
      <c r="B1413" s="11">
        <v>1</v>
      </c>
      <c r="C1413" s="11" t="s">
        <v>346</v>
      </c>
      <c r="D1413" s="11">
        <f t="shared" si="42"/>
        <v>6</v>
      </c>
      <c r="E1413">
        <f t="shared" si="43"/>
        <v>2397006</v>
      </c>
      <c r="F1413" s="11">
        <v>470</v>
      </c>
      <c r="G1413" s="11" t="s">
        <v>6</v>
      </c>
      <c r="H1413" s="3">
        <v>93147.14</v>
      </c>
      <c r="K1413" s="11"/>
      <c r="L1413" s="11"/>
      <c r="M1413" s="11"/>
      <c r="N1413" s="11"/>
      <c r="P1413" s="11"/>
      <c r="Q1413" s="11"/>
      <c r="R1413" s="3"/>
    </row>
    <row r="1414" spans="1:18" x14ac:dyDescent="0.2">
      <c r="A1414" s="11">
        <v>2527</v>
      </c>
      <c r="B1414" s="11">
        <v>1</v>
      </c>
      <c r="C1414" s="11" t="s">
        <v>347</v>
      </c>
      <c r="D1414" s="11">
        <f t="shared" si="42"/>
        <v>1</v>
      </c>
      <c r="E1414">
        <f t="shared" si="43"/>
        <v>2527001</v>
      </c>
      <c r="F1414" s="11">
        <v>433</v>
      </c>
      <c r="G1414" s="11" t="s">
        <v>30</v>
      </c>
      <c r="H1414" s="3">
        <v>844.53</v>
      </c>
      <c r="K1414" s="11"/>
      <c r="L1414" s="11"/>
      <c r="M1414" s="11"/>
      <c r="N1414" s="11"/>
      <c r="P1414" s="11"/>
      <c r="Q1414" s="11"/>
      <c r="R1414" s="3"/>
    </row>
    <row r="1415" spans="1:18" x14ac:dyDescent="0.2">
      <c r="A1415" s="11">
        <v>2534</v>
      </c>
      <c r="B1415" s="11">
        <v>1</v>
      </c>
      <c r="C1415" s="11" t="s">
        <v>348</v>
      </c>
      <c r="D1415" s="11">
        <f t="shared" si="42"/>
        <v>1</v>
      </c>
      <c r="E1415">
        <f t="shared" si="43"/>
        <v>2534001</v>
      </c>
      <c r="F1415" s="11">
        <v>151</v>
      </c>
      <c r="G1415" s="11" t="s">
        <v>28</v>
      </c>
      <c r="H1415" s="3">
        <v>329620.08</v>
      </c>
      <c r="K1415" s="11"/>
      <c r="L1415" s="11"/>
      <c r="M1415" s="11"/>
      <c r="N1415" s="11"/>
      <c r="P1415" s="11"/>
      <c r="Q1415" s="11"/>
      <c r="R1415" s="3"/>
    </row>
    <row r="1416" spans="1:18" x14ac:dyDescent="0.2">
      <c r="A1416" s="11">
        <v>2534</v>
      </c>
      <c r="B1416" s="11">
        <v>1</v>
      </c>
      <c r="C1416" s="11" t="s">
        <v>348</v>
      </c>
      <c r="D1416" s="11">
        <f t="shared" si="42"/>
        <v>2</v>
      </c>
      <c r="E1416">
        <f t="shared" si="43"/>
        <v>2534002</v>
      </c>
      <c r="F1416" s="11">
        <v>401</v>
      </c>
      <c r="G1416" s="11" t="s">
        <v>29</v>
      </c>
      <c r="H1416" s="3">
        <v>108523.03</v>
      </c>
      <c r="K1416" s="11"/>
      <c r="L1416" s="11"/>
      <c r="M1416" s="11"/>
      <c r="N1416" s="11"/>
      <c r="P1416" s="11"/>
      <c r="Q1416" s="11"/>
      <c r="R1416" s="3"/>
    </row>
    <row r="1417" spans="1:18" x14ac:dyDescent="0.2">
      <c r="A1417" s="11">
        <v>2534</v>
      </c>
      <c r="B1417" s="11">
        <v>1</v>
      </c>
      <c r="C1417" s="11" t="s">
        <v>348</v>
      </c>
      <c r="D1417" s="11">
        <f t="shared" si="42"/>
        <v>3</v>
      </c>
      <c r="E1417">
        <f t="shared" si="43"/>
        <v>2534003</v>
      </c>
      <c r="F1417" s="11">
        <v>414</v>
      </c>
      <c r="G1417" s="11" t="s">
        <v>9</v>
      </c>
      <c r="H1417" s="3">
        <v>43046.87</v>
      </c>
      <c r="K1417" s="11"/>
      <c r="L1417" s="11"/>
      <c r="M1417" s="11"/>
      <c r="N1417" s="11"/>
      <c r="P1417" s="11"/>
      <c r="Q1417" s="11"/>
      <c r="R1417" s="3"/>
    </row>
    <row r="1418" spans="1:18" x14ac:dyDescent="0.2">
      <c r="A1418" s="11">
        <v>2534</v>
      </c>
      <c r="B1418" s="11">
        <v>1</v>
      </c>
      <c r="C1418" s="11" t="s">
        <v>348</v>
      </c>
      <c r="D1418" s="11">
        <f t="shared" si="42"/>
        <v>4</v>
      </c>
      <c r="E1418">
        <f t="shared" si="43"/>
        <v>2534004</v>
      </c>
      <c r="F1418" s="11">
        <v>433</v>
      </c>
      <c r="G1418" s="11" t="s">
        <v>30</v>
      </c>
      <c r="H1418" s="3">
        <v>2658.99</v>
      </c>
      <c r="K1418" s="11"/>
      <c r="L1418" s="11"/>
      <c r="M1418" s="11"/>
      <c r="N1418" s="11"/>
      <c r="P1418" s="11"/>
      <c r="Q1418" s="11"/>
      <c r="R1418" s="3"/>
    </row>
    <row r="1419" spans="1:18" x14ac:dyDescent="0.2">
      <c r="A1419" s="11">
        <v>2534</v>
      </c>
      <c r="B1419" s="11">
        <v>1</v>
      </c>
      <c r="C1419" s="11" t="s">
        <v>348</v>
      </c>
      <c r="D1419" s="11">
        <f t="shared" si="42"/>
        <v>5</v>
      </c>
      <c r="E1419">
        <f t="shared" si="43"/>
        <v>2534005</v>
      </c>
      <c r="F1419" s="11">
        <v>470</v>
      </c>
      <c r="G1419" s="11" t="s">
        <v>6</v>
      </c>
      <c r="H1419" s="3">
        <v>65388.07</v>
      </c>
      <c r="K1419" s="11"/>
      <c r="L1419" s="11"/>
      <c r="M1419" s="11"/>
      <c r="N1419" s="11"/>
      <c r="P1419" s="11"/>
      <c r="Q1419" s="11"/>
      <c r="R1419" s="3"/>
    </row>
    <row r="1420" spans="1:18" x14ac:dyDescent="0.2">
      <c r="A1420" s="11">
        <v>2536</v>
      </c>
      <c r="B1420" s="11">
        <v>1</v>
      </c>
      <c r="C1420" s="11" t="s">
        <v>349</v>
      </c>
      <c r="D1420" s="11">
        <f t="shared" si="42"/>
        <v>1</v>
      </c>
      <c r="E1420">
        <f t="shared" si="43"/>
        <v>2536001</v>
      </c>
      <c r="F1420" s="11">
        <v>401</v>
      </c>
      <c r="G1420" s="11" t="s">
        <v>29</v>
      </c>
      <c r="H1420" s="3">
        <v>35756.19</v>
      </c>
      <c r="K1420" s="11"/>
      <c r="L1420" s="11"/>
      <c r="M1420" s="11"/>
      <c r="N1420" s="11"/>
      <c r="P1420" s="11"/>
      <c r="Q1420" s="11"/>
      <c r="R1420" s="3"/>
    </row>
    <row r="1421" spans="1:18" x14ac:dyDescent="0.2">
      <c r="A1421" s="11">
        <v>2536</v>
      </c>
      <c r="B1421" s="11">
        <v>1</v>
      </c>
      <c r="C1421" s="11" t="s">
        <v>349</v>
      </c>
      <c r="D1421" s="11">
        <f t="shared" si="42"/>
        <v>2</v>
      </c>
      <c r="E1421">
        <f t="shared" si="43"/>
        <v>2536002</v>
      </c>
      <c r="F1421" s="11">
        <v>414</v>
      </c>
      <c r="G1421" s="11" t="s">
        <v>9</v>
      </c>
      <c r="H1421" s="3">
        <v>17726.64</v>
      </c>
      <c r="K1421" s="11"/>
      <c r="L1421" s="11"/>
      <c r="M1421" s="11"/>
      <c r="N1421" s="11"/>
      <c r="P1421" s="11"/>
      <c r="Q1421" s="11"/>
      <c r="R1421" s="3"/>
    </row>
    <row r="1422" spans="1:18" x14ac:dyDescent="0.2">
      <c r="A1422" s="11">
        <v>2536</v>
      </c>
      <c r="B1422" s="11">
        <v>1</v>
      </c>
      <c r="C1422" s="11" t="s">
        <v>349</v>
      </c>
      <c r="D1422" s="11">
        <f t="shared" si="42"/>
        <v>3</v>
      </c>
      <c r="E1422">
        <f t="shared" si="43"/>
        <v>2536003</v>
      </c>
      <c r="F1422" s="11">
        <v>433</v>
      </c>
      <c r="G1422" s="11" t="s">
        <v>30</v>
      </c>
      <c r="H1422" s="3">
        <v>795.61</v>
      </c>
      <c r="K1422" s="11"/>
      <c r="L1422" s="11"/>
      <c r="M1422" s="11"/>
      <c r="N1422" s="11"/>
      <c r="P1422" s="11"/>
      <c r="Q1422" s="11"/>
      <c r="R1422" s="3"/>
    </row>
    <row r="1423" spans="1:18" x14ac:dyDescent="0.2">
      <c r="A1423" s="11">
        <v>2536</v>
      </c>
      <c r="B1423" s="11">
        <v>1</v>
      </c>
      <c r="C1423" s="11" t="s">
        <v>349</v>
      </c>
      <c r="D1423" s="11">
        <f t="shared" ref="D1423:D1486" si="44">IF(A1423=A1422,D1422+1,1)</f>
        <v>4</v>
      </c>
      <c r="E1423">
        <f t="shared" ref="E1423:E1486" si="45">1000*A1423+D1423</f>
        <v>2536004</v>
      </c>
      <c r="F1423" s="11">
        <v>470</v>
      </c>
      <c r="G1423" s="11" t="s">
        <v>6</v>
      </c>
      <c r="H1423" s="3">
        <v>19601.03</v>
      </c>
      <c r="K1423" s="11"/>
      <c r="L1423" s="11"/>
      <c r="M1423" s="11"/>
      <c r="N1423" s="11"/>
      <c r="P1423" s="11"/>
      <c r="Q1423" s="11"/>
      <c r="R1423" s="3"/>
    </row>
    <row r="1424" spans="1:18" x14ac:dyDescent="0.2">
      <c r="A1424" s="11">
        <v>2580</v>
      </c>
      <c r="B1424" s="11">
        <v>1</v>
      </c>
      <c r="C1424" s="11" t="s">
        <v>350</v>
      </c>
      <c r="D1424" s="11">
        <f t="shared" si="44"/>
        <v>1</v>
      </c>
      <c r="E1424">
        <f t="shared" si="45"/>
        <v>2580001</v>
      </c>
      <c r="F1424" s="11">
        <v>151</v>
      </c>
      <c r="G1424" s="11" t="s">
        <v>28</v>
      </c>
      <c r="H1424" s="3">
        <v>347568.91</v>
      </c>
      <c r="K1424" s="11"/>
      <c r="L1424" s="11"/>
      <c r="M1424" s="11"/>
      <c r="N1424" s="11"/>
      <c r="P1424" s="11"/>
      <c r="Q1424" s="11"/>
      <c r="R1424" s="3"/>
    </row>
    <row r="1425" spans="1:18" x14ac:dyDescent="0.2">
      <c r="A1425" s="11">
        <v>2580</v>
      </c>
      <c r="B1425" s="11">
        <v>1</v>
      </c>
      <c r="C1425" s="11" t="s">
        <v>350</v>
      </c>
      <c r="D1425" s="11">
        <f t="shared" si="44"/>
        <v>2</v>
      </c>
      <c r="E1425">
        <f t="shared" si="45"/>
        <v>2580002</v>
      </c>
      <c r="F1425" s="11">
        <v>401</v>
      </c>
      <c r="G1425" s="11" t="s">
        <v>29</v>
      </c>
      <c r="H1425" s="3">
        <v>238467.25</v>
      </c>
      <c r="K1425" s="11"/>
      <c r="L1425" s="11"/>
      <c r="M1425" s="11"/>
      <c r="N1425" s="11"/>
      <c r="P1425" s="11"/>
      <c r="Q1425" s="11"/>
      <c r="R1425" s="3"/>
    </row>
    <row r="1426" spans="1:18" x14ac:dyDescent="0.2">
      <c r="A1426" s="11">
        <v>2580</v>
      </c>
      <c r="B1426" s="11">
        <v>1</v>
      </c>
      <c r="C1426" s="11" t="s">
        <v>350</v>
      </c>
      <c r="D1426" s="11">
        <f t="shared" si="44"/>
        <v>3</v>
      </c>
      <c r="E1426">
        <f t="shared" si="45"/>
        <v>2580003</v>
      </c>
      <c r="F1426" s="11">
        <v>414</v>
      </c>
      <c r="G1426" s="11" t="s">
        <v>9</v>
      </c>
      <c r="H1426" s="3">
        <v>60141.79</v>
      </c>
      <c r="K1426" s="11"/>
      <c r="L1426" s="11"/>
      <c r="M1426" s="11"/>
      <c r="N1426" s="11"/>
      <c r="P1426" s="11"/>
      <c r="Q1426" s="11"/>
      <c r="R1426" s="3"/>
    </row>
    <row r="1427" spans="1:18" x14ac:dyDescent="0.2">
      <c r="A1427" s="11">
        <v>2580</v>
      </c>
      <c r="B1427" s="11">
        <v>1</v>
      </c>
      <c r="C1427" s="11" t="s">
        <v>350</v>
      </c>
      <c r="D1427" s="11">
        <f t="shared" si="44"/>
        <v>4</v>
      </c>
      <c r="E1427">
        <f t="shared" si="45"/>
        <v>2580004</v>
      </c>
      <c r="F1427" s="11">
        <v>433</v>
      </c>
      <c r="G1427" s="11" t="s">
        <v>30</v>
      </c>
      <c r="H1427" s="3">
        <v>4249.4399999999996</v>
      </c>
      <c r="K1427" s="11"/>
      <c r="L1427" s="11"/>
      <c r="M1427" s="11"/>
      <c r="N1427" s="11"/>
      <c r="P1427" s="11"/>
      <c r="Q1427" s="11"/>
      <c r="R1427" s="3"/>
    </row>
    <row r="1428" spans="1:18" x14ac:dyDescent="0.2">
      <c r="A1428" s="11">
        <v>2580</v>
      </c>
      <c r="B1428" s="11">
        <v>1</v>
      </c>
      <c r="C1428" s="11" t="s">
        <v>350</v>
      </c>
      <c r="D1428" s="11">
        <f t="shared" si="44"/>
        <v>5</v>
      </c>
      <c r="E1428">
        <f t="shared" si="45"/>
        <v>2580005</v>
      </c>
      <c r="F1428" s="11">
        <v>438</v>
      </c>
      <c r="G1428" s="11" t="s">
        <v>15</v>
      </c>
      <c r="H1428" s="3">
        <v>6435.94</v>
      </c>
      <c r="K1428" s="11"/>
      <c r="L1428" s="11"/>
      <c r="M1428" s="11"/>
      <c r="N1428" s="11"/>
      <c r="P1428" s="11"/>
      <c r="Q1428" s="11"/>
      <c r="R1428" s="3"/>
    </row>
    <row r="1429" spans="1:18" x14ac:dyDescent="0.2">
      <c r="A1429" s="11">
        <v>2580</v>
      </c>
      <c r="B1429" s="11">
        <v>1</v>
      </c>
      <c r="C1429" s="11" t="s">
        <v>350</v>
      </c>
      <c r="D1429" s="11">
        <f t="shared" si="44"/>
        <v>6</v>
      </c>
      <c r="E1429">
        <f t="shared" si="45"/>
        <v>2580006</v>
      </c>
      <c r="F1429" s="11">
        <v>470</v>
      </c>
      <c r="G1429" s="11" t="s">
        <v>6</v>
      </c>
      <c r="H1429" s="3">
        <v>134672.35</v>
      </c>
      <c r="K1429" s="11"/>
      <c r="L1429" s="11"/>
      <c r="M1429" s="11"/>
      <c r="N1429" s="11"/>
      <c r="P1429" s="11"/>
      <c r="Q1429" s="11"/>
      <c r="R1429" s="3"/>
    </row>
    <row r="1430" spans="1:18" x14ac:dyDescent="0.2">
      <c r="A1430" s="11">
        <v>2609</v>
      </c>
      <c r="B1430" s="11">
        <v>1</v>
      </c>
      <c r="C1430" s="11" t="s">
        <v>351</v>
      </c>
      <c r="D1430" s="11">
        <f t="shared" si="44"/>
        <v>1</v>
      </c>
      <c r="E1430">
        <f t="shared" si="45"/>
        <v>2609001</v>
      </c>
      <c r="F1430" s="11">
        <v>433</v>
      </c>
      <c r="G1430" s="11" t="s">
        <v>30</v>
      </c>
      <c r="H1430" s="3">
        <v>1690.28</v>
      </c>
      <c r="K1430" s="11"/>
      <c r="L1430" s="11"/>
      <c r="M1430" s="11"/>
      <c r="N1430" s="11"/>
      <c r="P1430" s="11"/>
      <c r="Q1430" s="11"/>
      <c r="R1430" s="3"/>
    </row>
    <row r="1431" spans="1:18" x14ac:dyDescent="0.2">
      <c r="A1431" s="11">
        <v>2609</v>
      </c>
      <c r="B1431" s="11">
        <v>1</v>
      </c>
      <c r="C1431" s="11" t="s">
        <v>351</v>
      </c>
      <c r="D1431" s="11">
        <f t="shared" si="44"/>
        <v>2</v>
      </c>
      <c r="E1431">
        <f t="shared" si="45"/>
        <v>2609002</v>
      </c>
      <c r="F1431" s="11">
        <v>470</v>
      </c>
      <c r="G1431" s="11" t="s">
        <v>6</v>
      </c>
      <c r="H1431" s="3">
        <v>41947.06</v>
      </c>
      <c r="K1431" s="11"/>
      <c r="L1431" s="11"/>
      <c r="M1431" s="11"/>
      <c r="N1431" s="11"/>
      <c r="P1431" s="11"/>
      <c r="Q1431" s="11"/>
      <c r="R1431" s="3"/>
    </row>
    <row r="1432" spans="1:18" x14ac:dyDescent="0.2">
      <c r="A1432" s="11">
        <v>2683</v>
      </c>
      <c r="B1432" s="11">
        <v>1</v>
      </c>
      <c r="C1432" s="11" t="s">
        <v>352</v>
      </c>
      <c r="D1432" s="11">
        <f t="shared" si="44"/>
        <v>1</v>
      </c>
      <c r="E1432">
        <f t="shared" si="45"/>
        <v>2683001</v>
      </c>
      <c r="F1432" s="11">
        <v>401</v>
      </c>
      <c r="G1432" s="11" t="s">
        <v>29</v>
      </c>
      <c r="H1432" s="3">
        <v>43524.2</v>
      </c>
      <c r="K1432" s="11"/>
      <c r="L1432" s="11"/>
      <c r="M1432" s="11"/>
      <c r="N1432" s="11"/>
      <c r="P1432" s="11"/>
      <c r="Q1432" s="11"/>
      <c r="R1432" s="3"/>
    </row>
    <row r="1433" spans="1:18" x14ac:dyDescent="0.2">
      <c r="A1433" s="11">
        <v>2683</v>
      </c>
      <c r="B1433" s="11">
        <v>1</v>
      </c>
      <c r="C1433" s="11" t="s">
        <v>352</v>
      </c>
      <c r="D1433" s="11">
        <f t="shared" si="44"/>
        <v>2</v>
      </c>
      <c r="E1433">
        <f t="shared" si="45"/>
        <v>2683002</v>
      </c>
      <c r="F1433" s="11">
        <v>414</v>
      </c>
      <c r="G1433" s="11" t="s">
        <v>9</v>
      </c>
      <c r="H1433" s="3">
        <v>29879.3</v>
      </c>
      <c r="K1433" s="11"/>
      <c r="L1433" s="11"/>
      <c r="M1433" s="11"/>
      <c r="N1433" s="11"/>
      <c r="P1433" s="11"/>
      <c r="Q1433" s="11"/>
      <c r="R1433" s="3"/>
    </row>
    <row r="1434" spans="1:18" x14ac:dyDescent="0.2">
      <c r="A1434" s="11">
        <v>2683</v>
      </c>
      <c r="B1434" s="11">
        <v>1</v>
      </c>
      <c r="C1434" s="11" t="s">
        <v>352</v>
      </c>
      <c r="D1434" s="11">
        <f t="shared" si="44"/>
        <v>3</v>
      </c>
      <c r="E1434">
        <f t="shared" si="45"/>
        <v>2683003</v>
      </c>
      <c r="F1434" s="11">
        <v>433</v>
      </c>
      <c r="G1434" s="11" t="s">
        <v>30</v>
      </c>
      <c r="H1434" s="3">
        <v>1185.29</v>
      </c>
      <c r="K1434" s="11"/>
      <c r="L1434" s="11"/>
      <c r="M1434" s="11"/>
      <c r="N1434" s="11"/>
      <c r="P1434" s="11"/>
      <c r="Q1434" s="11"/>
      <c r="R1434" s="3"/>
    </row>
    <row r="1435" spans="1:18" x14ac:dyDescent="0.2">
      <c r="A1435" s="11">
        <v>2683</v>
      </c>
      <c r="B1435" s="11">
        <v>1</v>
      </c>
      <c r="C1435" s="11" t="s">
        <v>352</v>
      </c>
      <c r="D1435" s="11">
        <f t="shared" si="44"/>
        <v>4</v>
      </c>
      <c r="E1435">
        <f t="shared" si="45"/>
        <v>2683004</v>
      </c>
      <c r="F1435" s="11">
        <v>470</v>
      </c>
      <c r="G1435" s="11" t="s">
        <v>6</v>
      </c>
      <c r="H1435" s="3">
        <v>24674.74</v>
      </c>
      <c r="K1435" s="11"/>
      <c r="L1435" s="11"/>
      <c r="M1435" s="11"/>
      <c r="N1435" s="11"/>
      <c r="P1435" s="11"/>
      <c r="Q1435" s="11"/>
      <c r="R1435" s="3"/>
    </row>
    <row r="1436" spans="1:18" x14ac:dyDescent="0.2">
      <c r="A1436" s="11">
        <v>2687</v>
      </c>
      <c r="B1436" s="11">
        <v>1</v>
      </c>
      <c r="C1436" s="11" t="s">
        <v>353</v>
      </c>
      <c r="D1436" s="11">
        <f t="shared" si="44"/>
        <v>1</v>
      </c>
      <c r="E1436">
        <f t="shared" si="45"/>
        <v>2687001</v>
      </c>
      <c r="F1436" s="11">
        <v>414</v>
      </c>
      <c r="G1436" s="11" t="s">
        <v>9</v>
      </c>
      <c r="H1436" s="3">
        <v>44107.94</v>
      </c>
      <c r="K1436" s="11"/>
      <c r="L1436" s="11"/>
      <c r="M1436" s="11"/>
      <c r="N1436" s="11"/>
      <c r="P1436" s="11"/>
      <c r="Q1436" s="11"/>
      <c r="R1436" s="3"/>
    </row>
    <row r="1437" spans="1:18" x14ac:dyDescent="0.2">
      <c r="A1437" s="11">
        <v>2687</v>
      </c>
      <c r="B1437" s="11">
        <v>1</v>
      </c>
      <c r="C1437" s="11" t="s">
        <v>353</v>
      </c>
      <c r="D1437" s="11">
        <f t="shared" si="44"/>
        <v>2</v>
      </c>
      <c r="E1437">
        <f t="shared" si="45"/>
        <v>2687002</v>
      </c>
      <c r="F1437" s="11">
        <v>433</v>
      </c>
      <c r="G1437" s="11" t="s">
        <v>30</v>
      </c>
      <c r="H1437" s="3">
        <v>3344.52</v>
      </c>
      <c r="K1437" s="11"/>
      <c r="L1437" s="11"/>
      <c r="M1437" s="11"/>
      <c r="N1437" s="11"/>
      <c r="P1437" s="11"/>
      <c r="Q1437" s="11"/>
      <c r="R1437" s="3"/>
    </row>
    <row r="1438" spans="1:18" x14ac:dyDescent="0.2">
      <c r="A1438" s="11">
        <v>2689</v>
      </c>
      <c r="B1438" s="11">
        <v>1</v>
      </c>
      <c r="C1438" s="11" t="s">
        <v>354</v>
      </c>
      <c r="D1438" s="11">
        <f t="shared" si="44"/>
        <v>1</v>
      </c>
      <c r="E1438">
        <f t="shared" si="45"/>
        <v>2689001</v>
      </c>
      <c r="F1438" s="11">
        <v>401</v>
      </c>
      <c r="G1438" s="11" t="s">
        <v>29</v>
      </c>
      <c r="H1438" s="3">
        <v>160185.59</v>
      </c>
      <c r="K1438" s="11"/>
      <c r="L1438" s="11"/>
      <c r="M1438" s="11"/>
      <c r="N1438" s="11"/>
      <c r="P1438" s="11"/>
      <c r="Q1438" s="11"/>
      <c r="R1438" s="3"/>
    </row>
    <row r="1439" spans="1:18" x14ac:dyDescent="0.2">
      <c r="A1439" s="11">
        <v>2689</v>
      </c>
      <c r="B1439" s="11">
        <v>1</v>
      </c>
      <c r="C1439" s="11" t="s">
        <v>354</v>
      </c>
      <c r="D1439" s="11">
        <f t="shared" si="44"/>
        <v>2</v>
      </c>
      <c r="E1439">
        <f t="shared" si="45"/>
        <v>2689002</v>
      </c>
      <c r="F1439" s="11">
        <v>414</v>
      </c>
      <c r="G1439" s="11" t="s">
        <v>9</v>
      </c>
      <c r="H1439" s="3">
        <v>68392.11</v>
      </c>
      <c r="K1439" s="11"/>
      <c r="L1439" s="11"/>
      <c r="M1439" s="11"/>
      <c r="N1439" s="11"/>
      <c r="P1439" s="11"/>
      <c r="Q1439" s="11"/>
      <c r="R1439" s="3"/>
    </row>
    <row r="1440" spans="1:18" x14ac:dyDescent="0.2">
      <c r="A1440" s="11">
        <v>2711</v>
      </c>
      <c r="B1440" s="11">
        <v>1</v>
      </c>
      <c r="C1440" s="11" t="s">
        <v>355</v>
      </c>
      <c r="D1440" s="11">
        <f t="shared" si="44"/>
        <v>1</v>
      </c>
      <c r="E1440">
        <f t="shared" si="45"/>
        <v>2711001</v>
      </c>
      <c r="F1440" s="11">
        <v>433</v>
      </c>
      <c r="G1440" s="11" t="s">
        <v>30</v>
      </c>
      <c r="H1440" s="3">
        <v>5582.85</v>
      </c>
      <c r="K1440" s="11"/>
      <c r="L1440" s="11"/>
      <c r="M1440" s="11"/>
      <c r="N1440" s="11"/>
      <c r="P1440" s="11"/>
      <c r="Q1440" s="11"/>
      <c r="R1440" s="3"/>
    </row>
    <row r="1441" spans="1:18" x14ac:dyDescent="0.2">
      <c r="A1441" s="11">
        <v>2753</v>
      </c>
      <c r="B1441" s="11">
        <v>1</v>
      </c>
      <c r="C1441" s="11" t="s">
        <v>356</v>
      </c>
      <c r="D1441" s="11">
        <f t="shared" si="44"/>
        <v>1</v>
      </c>
      <c r="E1441">
        <f t="shared" si="45"/>
        <v>2753001</v>
      </c>
      <c r="F1441" s="11">
        <v>414</v>
      </c>
      <c r="G1441" s="11" t="s">
        <v>9</v>
      </c>
      <c r="H1441" s="3">
        <v>74987.22</v>
      </c>
      <c r="K1441" s="11"/>
      <c r="L1441" s="11"/>
      <c r="M1441" s="11"/>
      <c r="N1441" s="11"/>
      <c r="P1441" s="11"/>
      <c r="Q1441" s="11"/>
      <c r="R1441" s="3"/>
    </row>
    <row r="1442" spans="1:18" x14ac:dyDescent="0.2">
      <c r="A1442" s="11">
        <v>2753</v>
      </c>
      <c r="B1442" s="11">
        <v>1</v>
      </c>
      <c r="C1442" s="11" t="s">
        <v>356</v>
      </c>
      <c r="D1442" s="11">
        <f t="shared" si="44"/>
        <v>2</v>
      </c>
      <c r="E1442">
        <f t="shared" si="45"/>
        <v>2753002</v>
      </c>
      <c r="F1442" s="11">
        <v>417</v>
      </c>
      <c r="G1442" s="11" t="s">
        <v>34</v>
      </c>
      <c r="H1442" s="3">
        <v>24657.95</v>
      </c>
      <c r="K1442" s="11"/>
      <c r="L1442" s="11"/>
      <c r="M1442" s="11"/>
      <c r="N1442" s="11"/>
      <c r="P1442" s="11"/>
      <c r="Q1442" s="11"/>
      <c r="R1442" s="3"/>
    </row>
    <row r="1443" spans="1:18" x14ac:dyDescent="0.2">
      <c r="A1443" s="11">
        <v>2753</v>
      </c>
      <c r="B1443" s="11">
        <v>1</v>
      </c>
      <c r="C1443" s="11" t="s">
        <v>356</v>
      </c>
      <c r="D1443" s="11">
        <f t="shared" si="44"/>
        <v>3</v>
      </c>
      <c r="E1443">
        <f t="shared" si="45"/>
        <v>2753003</v>
      </c>
      <c r="F1443" s="11">
        <v>433</v>
      </c>
      <c r="G1443" s="11" t="s">
        <v>30</v>
      </c>
      <c r="H1443" s="3">
        <v>5306.32</v>
      </c>
      <c r="K1443" s="11"/>
      <c r="L1443" s="11"/>
      <c r="M1443" s="11"/>
      <c r="N1443" s="11"/>
      <c r="P1443" s="11"/>
      <c r="Q1443" s="11"/>
      <c r="R1443" s="3"/>
    </row>
    <row r="1444" spans="1:18" x14ac:dyDescent="0.2">
      <c r="A1444" s="11">
        <v>2753</v>
      </c>
      <c r="B1444" s="11">
        <v>1</v>
      </c>
      <c r="C1444" s="11" t="s">
        <v>356</v>
      </c>
      <c r="D1444" s="11">
        <f t="shared" si="44"/>
        <v>4</v>
      </c>
      <c r="E1444">
        <f t="shared" si="45"/>
        <v>2753004</v>
      </c>
      <c r="F1444" s="11">
        <v>470</v>
      </c>
      <c r="G1444" s="11" t="s">
        <v>6</v>
      </c>
      <c r="H1444" s="3">
        <v>154180.79</v>
      </c>
      <c r="K1444" s="11"/>
      <c r="L1444" s="11"/>
      <c r="M1444" s="11"/>
      <c r="N1444" s="11"/>
      <c r="P1444" s="11"/>
      <c r="Q1444" s="11"/>
      <c r="R1444" s="3"/>
    </row>
    <row r="1445" spans="1:18" x14ac:dyDescent="0.2">
      <c r="A1445" s="11">
        <v>2753</v>
      </c>
      <c r="B1445" s="11">
        <v>1</v>
      </c>
      <c r="C1445" s="11" t="s">
        <v>356</v>
      </c>
      <c r="D1445" s="11">
        <f t="shared" si="44"/>
        <v>5</v>
      </c>
      <c r="E1445">
        <f t="shared" si="45"/>
        <v>2753005</v>
      </c>
      <c r="F1445" s="11">
        <v>856</v>
      </c>
      <c r="G1445" s="11" t="s">
        <v>39</v>
      </c>
      <c r="H1445" s="3">
        <v>259840</v>
      </c>
      <c r="K1445" s="11"/>
      <c r="L1445" s="11"/>
      <c r="M1445" s="11"/>
      <c r="N1445" s="11"/>
      <c r="P1445" s="11"/>
      <c r="Q1445" s="11"/>
      <c r="R1445" s="3"/>
    </row>
    <row r="1446" spans="1:18" x14ac:dyDescent="0.2">
      <c r="A1446" s="11">
        <v>2754</v>
      </c>
      <c r="B1446" s="11">
        <v>1</v>
      </c>
      <c r="C1446" s="11" t="s">
        <v>357</v>
      </c>
      <c r="D1446" s="11">
        <f t="shared" si="44"/>
        <v>1</v>
      </c>
      <c r="E1446">
        <f t="shared" si="45"/>
        <v>2754001</v>
      </c>
      <c r="F1446" s="11">
        <v>433</v>
      </c>
      <c r="G1446" s="11" t="s">
        <v>30</v>
      </c>
      <c r="H1446" s="3">
        <v>1001.85</v>
      </c>
      <c r="K1446" s="11"/>
      <c r="L1446" s="11"/>
      <c r="M1446" s="11"/>
      <c r="N1446" s="11"/>
      <c r="P1446" s="11"/>
      <c r="Q1446" s="11"/>
      <c r="R1446" s="3"/>
    </row>
    <row r="1447" spans="1:18" x14ac:dyDescent="0.2">
      <c r="A1447" s="11">
        <v>2759</v>
      </c>
      <c r="B1447" s="11">
        <v>1</v>
      </c>
      <c r="C1447" s="11" t="s">
        <v>358</v>
      </c>
      <c r="D1447" s="11">
        <f t="shared" si="44"/>
        <v>1</v>
      </c>
      <c r="E1447">
        <f t="shared" si="45"/>
        <v>2759001</v>
      </c>
      <c r="F1447" s="11">
        <v>433</v>
      </c>
      <c r="G1447" s="11" t="s">
        <v>30</v>
      </c>
      <c r="H1447" s="3">
        <v>1326.99</v>
      </c>
      <c r="K1447" s="11"/>
      <c r="L1447" s="11"/>
      <c r="M1447" s="11"/>
      <c r="N1447" s="11"/>
      <c r="P1447" s="11"/>
      <c r="Q1447" s="11"/>
      <c r="R1447" s="3"/>
    </row>
    <row r="1448" spans="1:18" x14ac:dyDescent="0.2">
      <c r="A1448" s="11">
        <v>2805</v>
      </c>
      <c r="B1448" s="11">
        <v>1</v>
      </c>
      <c r="C1448" s="11" t="s">
        <v>359</v>
      </c>
      <c r="D1448" s="11">
        <f t="shared" si="44"/>
        <v>1</v>
      </c>
      <c r="E1448">
        <f t="shared" si="45"/>
        <v>2805001</v>
      </c>
      <c r="F1448" s="11">
        <v>433</v>
      </c>
      <c r="G1448" s="11" t="s">
        <v>30</v>
      </c>
      <c r="H1448" s="3">
        <v>2917.67</v>
      </c>
      <c r="K1448" s="11"/>
      <c r="L1448" s="11"/>
      <c r="M1448" s="11"/>
      <c r="N1448" s="11"/>
      <c r="P1448" s="11"/>
      <c r="Q1448" s="11"/>
      <c r="R1448" s="3"/>
    </row>
    <row r="1449" spans="1:18" x14ac:dyDescent="0.2">
      <c r="A1449" s="11">
        <v>2835</v>
      </c>
      <c r="B1449" s="11">
        <v>1</v>
      </c>
      <c r="C1449" s="11" t="s">
        <v>360</v>
      </c>
      <c r="D1449" s="11">
        <f t="shared" si="44"/>
        <v>1</v>
      </c>
      <c r="E1449">
        <f t="shared" si="45"/>
        <v>2835001</v>
      </c>
      <c r="F1449" s="11">
        <v>401</v>
      </c>
      <c r="G1449" s="11" t="s">
        <v>29</v>
      </c>
      <c r="H1449" s="3">
        <v>62485.42</v>
      </c>
      <c r="K1449" s="11"/>
      <c r="L1449" s="11"/>
      <c r="M1449" s="11"/>
      <c r="N1449" s="11"/>
      <c r="P1449" s="11"/>
      <c r="Q1449" s="11"/>
      <c r="R1449" s="3"/>
    </row>
    <row r="1450" spans="1:18" x14ac:dyDescent="0.2">
      <c r="A1450" s="11">
        <v>2835</v>
      </c>
      <c r="B1450" s="11">
        <v>1</v>
      </c>
      <c r="C1450" s="11" t="s">
        <v>360</v>
      </c>
      <c r="D1450" s="11">
        <f t="shared" si="44"/>
        <v>2</v>
      </c>
      <c r="E1450">
        <f t="shared" si="45"/>
        <v>2835002</v>
      </c>
      <c r="F1450" s="11">
        <v>414</v>
      </c>
      <c r="G1450" s="11" t="s">
        <v>9</v>
      </c>
      <c r="H1450" s="3">
        <v>41957.27</v>
      </c>
      <c r="K1450" s="11"/>
      <c r="L1450" s="11"/>
      <c r="M1450" s="11"/>
      <c r="N1450" s="11"/>
      <c r="P1450" s="11"/>
      <c r="Q1450" s="11"/>
      <c r="R1450" s="3"/>
    </row>
    <row r="1451" spans="1:18" x14ac:dyDescent="0.2">
      <c r="A1451" s="11">
        <v>2835</v>
      </c>
      <c r="B1451" s="11">
        <v>1</v>
      </c>
      <c r="C1451" s="11" t="s">
        <v>360</v>
      </c>
      <c r="D1451" s="11">
        <f t="shared" si="44"/>
        <v>3</v>
      </c>
      <c r="E1451">
        <f t="shared" si="45"/>
        <v>2835003</v>
      </c>
      <c r="F1451" s="11">
        <v>433</v>
      </c>
      <c r="G1451" s="11" t="s">
        <v>30</v>
      </c>
      <c r="H1451" s="3">
        <v>1671.84</v>
      </c>
      <c r="K1451" s="11"/>
      <c r="L1451" s="11"/>
      <c r="M1451" s="11"/>
      <c r="N1451" s="11"/>
      <c r="P1451" s="11"/>
      <c r="Q1451" s="11"/>
      <c r="R1451" s="3"/>
    </row>
    <row r="1452" spans="1:18" x14ac:dyDescent="0.2">
      <c r="A1452" s="11">
        <v>2835</v>
      </c>
      <c r="B1452" s="11">
        <v>1</v>
      </c>
      <c r="C1452" s="11" t="s">
        <v>360</v>
      </c>
      <c r="D1452" s="11">
        <f t="shared" si="44"/>
        <v>4</v>
      </c>
      <c r="E1452">
        <f t="shared" si="45"/>
        <v>2835004</v>
      </c>
      <c r="F1452" s="11">
        <v>470</v>
      </c>
      <c r="G1452" s="11" t="s">
        <v>6</v>
      </c>
      <c r="H1452" s="3">
        <v>33927.760000000002</v>
      </c>
      <c r="K1452" s="11"/>
      <c r="L1452" s="11"/>
      <c r="M1452" s="11"/>
      <c r="N1452" s="11"/>
      <c r="P1452" s="11"/>
      <c r="Q1452" s="11"/>
      <c r="R1452" s="3"/>
    </row>
    <row r="1453" spans="1:18" x14ac:dyDescent="0.2">
      <c r="A1453" s="11">
        <v>2856</v>
      </c>
      <c r="B1453" s="11">
        <v>1</v>
      </c>
      <c r="C1453" s="11" t="s">
        <v>362</v>
      </c>
      <c r="D1453" s="11">
        <f t="shared" si="44"/>
        <v>1</v>
      </c>
      <c r="E1453">
        <f t="shared" si="45"/>
        <v>2856001</v>
      </c>
      <c r="F1453" s="11">
        <v>401</v>
      </c>
      <c r="G1453" s="11" t="s">
        <v>29</v>
      </c>
      <c r="H1453" s="3">
        <v>46185.94</v>
      </c>
      <c r="K1453" s="11"/>
      <c r="L1453" s="11"/>
      <c r="M1453" s="11"/>
      <c r="N1453" s="11"/>
      <c r="P1453" s="11"/>
      <c r="Q1453" s="11"/>
      <c r="R1453" s="3"/>
    </row>
    <row r="1454" spans="1:18" x14ac:dyDescent="0.2">
      <c r="A1454" s="11">
        <v>2856</v>
      </c>
      <c r="B1454" s="11">
        <v>1</v>
      </c>
      <c r="C1454" s="11" t="s">
        <v>362</v>
      </c>
      <c r="D1454" s="11">
        <f t="shared" si="44"/>
        <v>2</v>
      </c>
      <c r="E1454">
        <f t="shared" si="45"/>
        <v>2856002</v>
      </c>
      <c r="F1454" s="11">
        <v>414</v>
      </c>
      <c r="G1454" s="11" t="s">
        <v>9</v>
      </c>
      <c r="H1454" s="3">
        <v>16241.65</v>
      </c>
      <c r="K1454" s="11"/>
      <c r="L1454" s="11"/>
      <c r="M1454" s="11"/>
      <c r="N1454" s="11"/>
      <c r="P1454" s="11"/>
      <c r="Q1454" s="11"/>
      <c r="R1454" s="3"/>
    </row>
    <row r="1455" spans="1:18" x14ac:dyDescent="0.2">
      <c r="A1455" s="11">
        <v>2856</v>
      </c>
      <c r="B1455" s="11">
        <v>1</v>
      </c>
      <c r="C1455" s="11" t="s">
        <v>362</v>
      </c>
      <c r="D1455" s="11">
        <f t="shared" si="44"/>
        <v>3</v>
      </c>
      <c r="E1455">
        <f t="shared" si="45"/>
        <v>2856003</v>
      </c>
      <c r="F1455" s="11">
        <v>433</v>
      </c>
      <c r="G1455" s="11" t="s">
        <v>30</v>
      </c>
      <c r="H1455" s="3">
        <v>1045.6600000000001</v>
      </c>
      <c r="K1455" s="11"/>
      <c r="L1455" s="11"/>
      <c r="M1455" s="11"/>
      <c r="N1455" s="11"/>
      <c r="P1455" s="11"/>
      <c r="Q1455" s="11"/>
      <c r="R1455" s="3"/>
    </row>
    <row r="1456" spans="1:18" x14ac:dyDescent="0.2">
      <c r="A1456" s="11">
        <v>2856</v>
      </c>
      <c r="B1456" s="11">
        <v>1</v>
      </c>
      <c r="C1456" s="11" t="s">
        <v>362</v>
      </c>
      <c r="D1456" s="11">
        <f t="shared" si="44"/>
        <v>4</v>
      </c>
      <c r="E1456">
        <f t="shared" si="45"/>
        <v>2856004</v>
      </c>
      <c r="F1456" s="11">
        <v>470</v>
      </c>
      <c r="G1456" s="11" t="s">
        <v>6</v>
      </c>
      <c r="H1456" s="3">
        <v>30226.55</v>
      </c>
      <c r="K1456" s="11"/>
      <c r="L1456" s="11"/>
      <c r="M1456" s="11"/>
      <c r="N1456" s="11"/>
      <c r="P1456" s="11"/>
      <c r="Q1456" s="11"/>
      <c r="R1456" s="3"/>
    </row>
    <row r="1457" spans="1:18" x14ac:dyDescent="0.2">
      <c r="A1457" s="11">
        <v>2859</v>
      </c>
      <c r="B1457" s="11">
        <v>1</v>
      </c>
      <c r="C1457" s="11" t="s">
        <v>363</v>
      </c>
      <c r="D1457" s="11">
        <f t="shared" si="44"/>
        <v>1</v>
      </c>
      <c r="E1457">
        <f t="shared" si="45"/>
        <v>2859001</v>
      </c>
      <c r="F1457" s="11">
        <v>401</v>
      </c>
      <c r="G1457" s="11" t="s">
        <v>29</v>
      </c>
      <c r="H1457" s="3">
        <v>195698.7</v>
      </c>
      <c r="K1457" s="11"/>
      <c r="L1457" s="11"/>
      <c r="M1457" s="11"/>
      <c r="N1457" s="11"/>
      <c r="P1457" s="11"/>
      <c r="Q1457" s="11"/>
      <c r="R1457" s="3"/>
    </row>
    <row r="1458" spans="1:18" x14ac:dyDescent="0.2">
      <c r="A1458" s="11">
        <v>2859</v>
      </c>
      <c r="B1458" s="11">
        <v>1</v>
      </c>
      <c r="C1458" s="11" t="s">
        <v>363</v>
      </c>
      <c r="D1458" s="11">
        <f t="shared" si="44"/>
        <v>2</v>
      </c>
      <c r="E1458">
        <f t="shared" si="45"/>
        <v>2859002</v>
      </c>
      <c r="F1458" s="11">
        <v>414</v>
      </c>
      <c r="G1458" s="11" t="s">
        <v>9</v>
      </c>
      <c r="H1458" s="3">
        <v>80762.89</v>
      </c>
      <c r="K1458" s="11"/>
      <c r="L1458" s="11"/>
      <c r="M1458" s="11"/>
      <c r="N1458" s="11"/>
      <c r="P1458" s="11"/>
      <c r="Q1458" s="11"/>
      <c r="R1458" s="3"/>
    </row>
    <row r="1459" spans="1:18" x14ac:dyDescent="0.2">
      <c r="A1459" s="11">
        <v>2859</v>
      </c>
      <c r="B1459" s="11">
        <v>1</v>
      </c>
      <c r="C1459" s="11" t="s">
        <v>363</v>
      </c>
      <c r="D1459" s="11">
        <f t="shared" si="44"/>
        <v>3</v>
      </c>
      <c r="E1459">
        <f t="shared" si="45"/>
        <v>2859003</v>
      </c>
      <c r="F1459" s="11">
        <v>417</v>
      </c>
      <c r="G1459" s="11" t="s">
        <v>34</v>
      </c>
      <c r="H1459" s="3">
        <v>13331.47</v>
      </c>
      <c r="K1459" s="11"/>
      <c r="L1459" s="11"/>
      <c r="M1459" s="11"/>
      <c r="N1459" s="11"/>
      <c r="P1459" s="11"/>
      <c r="Q1459" s="11"/>
      <c r="R1459" s="3"/>
    </row>
    <row r="1460" spans="1:18" x14ac:dyDescent="0.2">
      <c r="A1460" s="11">
        <v>2859</v>
      </c>
      <c r="B1460" s="11">
        <v>1</v>
      </c>
      <c r="C1460" s="11" t="s">
        <v>363</v>
      </c>
      <c r="D1460" s="11">
        <f t="shared" si="44"/>
        <v>4</v>
      </c>
      <c r="E1460">
        <f t="shared" si="45"/>
        <v>2859004</v>
      </c>
      <c r="F1460" s="11">
        <v>433</v>
      </c>
      <c r="G1460" s="11" t="s">
        <v>30</v>
      </c>
      <c r="H1460" s="3">
        <v>5234.9399999999996</v>
      </c>
      <c r="K1460" s="11"/>
      <c r="L1460" s="11"/>
      <c r="M1460" s="11"/>
      <c r="N1460" s="11"/>
      <c r="P1460" s="11"/>
      <c r="Q1460" s="11"/>
      <c r="R1460" s="3"/>
    </row>
    <row r="1461" spans="1:18" x14ac:dyDescent="0.2">
      <c r="A1461" s="11">
        <v>2860</v>
      </c>
      <c r="B1461" s="11">
        <v>1</v>
      </c>
      <c r="C1461" s="11" t="s">
        <v>364</v>
      </c>
      <c r="D1461" s="11">
        <f t="shared" si="44"/>
        <v>1</v>
      </c>
      <c r="E1461">
        <f t="shared" si="45"/>
        <v>2860001</v>
      </c>
      <c r="F1461" s="11">
        <v>406</v>
      </c>
      <c r="G1461" s="11" t="s">
        <v>8</v>
      </c>
      <c r="H1461" s="3">
        <v>186377.93</v>
      </c>
      <c r="K1461" s="11"/>
      <c r="L1461" s="11"/>
      <c r="M1461" s="11"/>
      <c r="N1461" s="11"/>
      <c r="P1461" s="11"/>
      <c r="Q1461" s="11"/>
      <c r="R1461" s="3"/>
    </row>
    <row r="1462" spans="1:18" x14ac:dyDescent="0.2">
      <c r="A1462" s="11">
        <v>2860</v>
      </c>
      <c r="B1462" s="11">
        <v>1</v>
      </c>
      <c r="C1462" s="11" t="s">
        <v>364</v>
      </c>
      <c r="D1462" s="11">
        <f t="shared" si="44"/>
        <v>2</v>
      </c>
      <c r="E1462">
        <f t="shared" si="45"/>
        <v>2860002</v>
      </c>
      <c r="F1462" s="11">
        <v>471</v>
      </c>
      <c r="G1462" s="11" t="s">
        <v>17</v>
      </c>
      <c r="H1462" s="3">
        <v>116899.47</v>
      </c>
      <c r="K1462" s="11"/>
      <c r="L1462" s="11"/>
      <c r="M1462" s="11"/>
      <c r="N1462" s="11"/>
      <c r="P1462" s="11"/>
      <c r="Q1462" s="11"/>
      <c r="R1462" s="3"/>
    </row>
    <row r="1463" spans="1:18" x14ac:dyDescent="0.2">
      <c r="A1463" s="11">
        <v>2884</v>
      </c>
      <c r="B1463" s="11">
        <v>1</v>
      </c>
      <c r="C1463" s="11" t="s">
        <v>365</v>
      </c>
      <c r="D1463" s="11">
        <f t="shared" si="44"/>
        <v>1</v>
      </c>
      <c r="E1463">
        <f t="shared" si="45"/>
        <v>2884001</v>
      </c>
      <c r="F1463" s="11">
        <v>414</v>
      </c>
      <c r="G1463" s="11" t="s">
        <v>9</v>
      </c>
      <c r="H1463" s="3">
        <v>34946.33</v>
      </c>
      <c r="K1463" s="11"/>
      <c r="L1463" s="11"/>
      <c r="M1463" s="11"/>
      <c r="N1463" s="11"/>
      <c r="P1463" s="11"/>
      <c r="Q1463" s="11"/>
      <c r="R1463" s="3"/>
    </row>
    <row r="1464" spans="1:18" x14ac:dyDescent="0.2">
      <c r="A1464" s="11">
        <v>2884</v>
      </c>
      <c r="B1464" s="11">
        <v>1</v>
      </c>
      <c r="C1464" s="11" t="s">
        <v>365</v>
      </c>
      <c r="D1464" s="11">
        <f t="shared" si="44"/>
        <v>2</v>
      </c>
      <c r="E1464">
        <f t="shared" si="45"/>
        <v>2884002</v>
      </c>
      <c r="F1464" s="11">
        <v>433</v>
      </c>
      <c r="G1464" s="11" t="s">
        <v>30</v>
      </c>
      <c r="H1464" s="3">
        <v>1374.03</v>
      </c>
      <c r="K1464" s="11"/>
      <c r="L1464" s="11"/>
      <c r="M1464" s="11"/>
      <c r="N1464" s="11"/>
      <c r="P1464" s="11"/>
      <c r="Q1464" s="11"/>
      <c r="R1464" s="3"/>
    </row>
    <row r="1465" spans="1:18" x14ac:dyDescent="0.2">
      <c r="A1465" s="11">
        <v>2886</v>
      </c>
      <c r="B1465" s="11">
        <v>1</v>
      </c>
      <c r="C1465" s="11" t="s">
        <v>366</v>
      </c>
      <c r="D1465" s="11">
        <f t="shared" si="44"/>
        <v>1</v>
      </c>
      <c r="E1465">
        <f t="shared" si="45"/>
        <v>2886001</v>
      </c>
      <c r="F1465" s="11">
        <v>151</v>
      </c>
      <c r="G1465" s="11" t="s">
        <v>28</v>
      </c>
      <c r="H1465" s="3">
        <v>167748.76</v>
      </c>
      <c r="K1465" s="11"/>
      <c r="L1465" s="11"/>
      <c r="M1465" s="11"/>
      <c r="N1465" s="11"/>
      <c r="P1465" s="11"/>
      <c r="Q1465" s="11"/>
      <c r="R1465" s="3"/>
    </row>
    <row r="1466" spans="1:18" x14ac:dyDescent="0.2">
      <c r="A1466" s="11">
        <v>2886</v>
      </c>
      <c r="B1466" s="11">
        <v>1</v>
      </c>
      <c r="C1466" s="11" t="s">
        <v>366</v>
      </c>
      <c r="D1466" s="11">
        <f t="shared" si="44"/>
        <v>2</v>
      </c>
      <c r="E1466">
        <f t="shared" si="45"/>
        <v>2886002</v>
      </c>
      <c r="F1466" s="11">
        <v>401</v>
      </c>
      <c r="G1466" s="11" t="s">
        <v>29</v>
      </c>
      <c r="H1466" s="3">
        <v>41960.97</v>
      </c>
      <c r="K1466" s="11"/>
      <c r="L1466" s="11"/>
      <c r="M1466" s="11"/>
      <c r="N1466" s="11"/>
      <c r="P1466" s="11"/>
      <c r="Q1466" s="11"/>
      <c r="R1466" s="3"/>
    </row>
    <row r="1467" spans="1:18" x14ac:dyDescent="0.2">
      <c r="A1467" s="11">
        <v>2886</v>
      </c>
      <c r="B1467" s="11">
        <v>1</v>
      </c>
      <c r="C1467" s="11" t="s">
        <v>366</v>
      </c>
      <c r="D1467" s="11">
        <f t="shared" si="44"/>
        <v>3</v>
      </c>
      <c r="E1467">
        <f t="shared" si="45"/>
        <v>2886003</v>
      </c>
      <c r="F1467" s="11">
        <v>414</v>
      </c>
      <c r="G1467" s="11" t="s">
        <v>9</v>
      </c>
      <c r="H1467" s="3">
        <v>22433.040000000001</v>
      </c>
      <c r="K1467" s="11"/>
      <c r="L1467" s="11"/>
      <c r="M1467" s="11"/>
      <c r="N1467" s="11"/>
      <c r="P1467" s="11"/>
      <c r="Q1467" s="11"/>
      <c r="R1467" s="3"/>
    </row>
    <row r="1468" spans="1:18" x14ac:dyDescent="0.2">
      <c r="A1468" s="11">
        <v>2886</v>
      </c>
      <c r="B1468" s="11">
        <v>1</v>
      </c>
      <c r="C1468" s="11" t="s">
        <v>366</v>
      </c>
      <c r="D1468" s="11">
        <f t="shared" si="44"/>
        <v>4</v>
      </c>
      <c r="E1468">
        <f t="shared" si="45"/>
        <v>2886004</v>
      </c>
      <c r="F1468" s="11">
        <v>433</v>
      </c>
      <c r="G1468" s="11" t="s">
        <v>30</v>
      </c>
      <c r="H1468" s="3">
        <v>1006.94</v>
      </c>
      <c r="K1468" s="11"/>
      <c r="L1468" s="11"/>
      <c r="M1468" s="11"/>
      <c r="N1468" s="11"/>
      <c r="P1468" s="11"/>
      <c r="Q1468" s="11"/>
      <c r="R1468" s="3"/>
    </row>
    <row r="1469" spans="1:18" x14ac:dyDescent="0.2">
      <c r="A1469" s="11">
        <v>2886</v>
      </c>
      <c r="B1469" s="11">
        <v>1</v>
      </c>
      <c r="C1469" s="11" t="s">
        <v>366</v>
      </c>
      <c r="D1469" s="11">
        <f t="shared" si="44"/>
        <v>5</v>
      </c>
      <c r="E1469">
        <f t="shared" si="45"/>
        <v>2886005</v>
      </c>
      <c r="F1469" s="11">
        <v>470</v>
      </c>
      <c r="G1469" s="11" t="s">
        <v>6</v>
      </c>
      <c r="H1469" s="3">
        <v>24674.74</v>
      </c>
      <c r="K1469" s="11"/>
      <c r="L1469" s="11"/>
      <c r="M1469" s="11"/>
      <c r="N1469" s="11"/>
      <c r="P1469" s="11"/>
      <c r="Q1469" s="11"/>
      <c r="R1469" s="3"/>
    </row>
    <row r="1470" spans="1:18" x14ac:dyDescent="0.2">
      <c r="A1470" s="11">
        <v>2886</v>
      </c>
      <c r="B1470" s="11">
        <v>1</v>
      </c>
      <c r="C1470" s="11" t="s">
        <v>366</v>
      </c>
      <c r="D1470" s="11">
        <f t="shared" si="44"/>
        <v>6</v>
      </c>
      <c r="E1470">
        <f t="shared" si="45"/>
        <v>2886006</v>
      </c>
      <c r="F1470" s="11">
        <v>853</v>
      </c>
      <c r="G1470" s="11" t="s">
        <v>38</v>
      </c>
      <c r="H1470" s="3">
        <v>136258</v>
      </c>
      <c r="K1470" s="11"/>
      <c r="L1470" s="11"/>
      <c r="M1470" s="11"/>
      <c r="N1470" s="11"/>
      <c r="P1470" s="11"/>
      <c r="Q1470" s="11"/>
      <c r="R1470" s="3"/>
    </row>
    <row r="1471" spans="1:18" x14ac:dyDescent="0.2">
      <c r="A1471" s="11">
        <v>2888</v>
      </c>
      <c r="B1471" s="11">
        <v>1</v>
      </c>
      <c r="C1471" s="11" t="s">
        <v>367</v>
      </c>
      <c r="D1471" s="11">
        <f t="shared" si="44"/>
        <v>1</v>
      </c>
      <c r="E1471">
        <f t="shared" si="45"/>
        <v>2888001</v>
      </c>
      <c r="F1471" s="11">
        <v>401</v>
      </c>
      <c r="G1471" s="11" t="s">
        <v>29</v>
      </c>
      <c r="H1471" s="3">
        <v>73241.679999999993</v>
      </c>
      <c r="K1471" s="11"/>
      <c r="L1471" s="11"/>
      <c r="M1471" s="11"/>
      <c r="N1471" s="11"/>
      <c r="P1471" s="11"/>
      <c r="Q1471" s="11"/>
      <c r="R1471" s="3"/>
    </row>
    <row r="1472" spans="1:18" x14ac:dyDescent="0.2">
      <c r="A1472" s="11">
        <v>2888</v>
      </c>
      <c r="B1472" s="11">
        <v>1</v>
      </c>
      <c r="C1472" s="11" t="s">
        <v>367</v>
      </c>
      <c r="D1472" s="11">
        <f t="shared" si="44"/>
        <v>2</v>
      </c>
      <c r="E1472">
        <f t="shared" si="45"/>
        <v>2888002</v>
      </c>
      <c r="F1472" s="11">
        <v>414</v>
      </c>
      <c r="G1472" s="11" t="s">
        <v>9</v>
      </c>
      <c r="H1472" s="3">
        <v>34887.040000000001</v>
      </c>
      <c r="K1472" s="11"/>
      <c r="L1472" s="11"/>
      <c r="M1472" s="11"/>
      <c r="N1472" s="11"/>
      <c r="P1472" s="11"/>
      <c r="Q1472" s="11"/>
      <c r="R1472" s="3"/>
    </row>
    <row r="1473" spans="1:18" x14ac:dyDescent="0.2">
      <c r="A1473" s="11">
        <v>2888</v>
      </c>
      <c r="B1473" s="11">
        <v>1</v>
      </c>
      <c r="C1473" s="11" t="s">
        <v>367</v>
      </c>
      <c r="D1473" s="11">
        <f t="shared" si="44"/>
        <v>3</v>
      </c>
      <c r="E1473">
        <f t="shared" si="45"/>
        <v>2888003</v>
      </c>
      <c r="F1473" s="11">
        <v>433</v>
      </c>
      <c r="G1473" s="11" t="s">
        <v>30</v>
      </c>
      <c r="H1473" s="3">
        <v>1467.57</v>
      </c>
      <c r="K1473" s="11"/>
      <c r="L1473" s="11"/>
      <c r="M1473" s="11"/>
      <c r="N1473" s="11"/>
      <c r="P1473" s="11"/>
      <c r="Q1473" s="11"/>
      <c r="R1473" s="3"/>
    </row>
    <row r="1474" spans="1:18" x14ac:dyDescent="0.2">
      <c r="A1474" s="11">
        <v>2888</v>
      </c>
      <c r="B1474" s="11">
        <v>1</v>
      </c>
      <c r="C1474" s="11" t="s">
        <v>367</v>
      </c>
      <c r="D1474" s="11">
        <f t="shared" si="44"/>
        <v>4</v>
      </c>
      <c r="E1474">
        <f t="shared" si="45"/>
        <v>2888004</v>
      </c>
      <c r="F1474" s="11">
        <v>470</v>
      </c>
      <c r="G1474" s="11" t="s">
        <v>6</v>
      </c>
      <c r="H1474" s="3">
        <v>30729.93</v>
      </c>
      <c r="K1474" s="11"/>
      <c r="L1474" s="11"/>
      <c r="M1474" s="11"/>
      <c r="N1474" s="11"/>
      <c r="P1474" s="11"/>
      <c r="Q1474" s="11"/>
      <c r="R1474" s="3"/>
    </row>
    <row r="1475" spans="1:18" x14ac:dyDescent="0.2">
      <c r="A1475" s="11">
        <v>2890</v>
      </c>
      <c r="B1475" s="11">
        <v>1</v>
      </c>
      <c r="C1475" s="11" t="s">
        <v>369</v>
      </c>
      <c r="D1475" s="11">
        <f t="shared" si="44"/>
        <v>1</v>
      </c>
      <c r="E1475">
        <f t="shared" si="45"/>
        <v>2890001</v>
      </c>
      <c r="F1475" s="11">
        <v>433</v>
      </c>
      <c r="G1475" s="11" t="s">
        <v>30</v>
      </c>
      <c r="H1475" s="3">
        <v>1967</v>
      </c>
      <c r="K1475" s="11"/>
      <c r="L1475" s="11"/>
      <c r="M1475" s="11"/>
      <c r="N1475" s="11"/>
      <c r="P1475" s="11"/>
      <c r="Q1475" s="11"/>
      <c r="R1475" s="3"/>
    </row>
    <row r="1476" spans="1:18" x14ac:dyDescent="0.2">
      <c r="A1476" s="11">
        <v>2897</v>
      </c>
      <c r="B1476" s="11">
        <v>1</v>
      </c>
      <c r="C1476" s="11" t="s">
        <v>370</v>
      </c>
      <c r="D1476" s="11">
        <f t="shared" si="44"/>
        <v>1</v>
      </c>
      <c r="E1476">
        <f t="shared" si="45"/>
        <v>2897001</v>
      </c>
      <c r="F1476" s="11">
        <v>401</v>
      </c>
      <c r="G1476" s="11" t="s">
        <v>29</v>
      </c>
      <c r="H1476" s="3">
        <v>150969.76999999999</v>
      </c>
      <c r="K1476" s="11"/>
      <c r="L1476" s="11"/>
      <c r="M1476" s="11"/>
      <c r="N1476" s="11"/>
      <c r="P1476" s="11"/>
      <c r="Q1476" s="11"/>
      <c r="R1476" s="3"/>
    </row>
    <row r="1477" spans="1:18" x14ac:dyDescent="0.2">
      <c r="A1477" s="11">
        <v>2897</v>
      </c>
      <c r="B1477" s="11">
        <v>1</v>
      </c>
      <c r="C1477" s="11" t="s">
        <v>370</v>
      </c>
      <c r="D1477" s="11">
        <f t="shared" si="44"/>
        <v>2</v>
      </c>
      <c r="E1477">
        <f t="shared" si="45"/>
        <v>2897002</v>
      </c>
      <c r="F1477" s="11">
        <v>414</v>
      </c>
      <c r="G1477" s="11" t="s">
        <v>9</v>
      </c>
      <c r="H1477" s="3">
        <v>60795.13</v>
      </c>
      <c r="K1477" s="11"/>
      <c r="L1477" s="11"/>
      <c r="M1477" s="11"/>
      <c r="N1477" s="11"/>
      <c r="P1477" s="11"/>
      <c r="Q1477" s="11"/>
      <c r="R1477" s="3"/>
    </row>
    <row r="1478" spans="1:18" x14ac:dyDescent="0.2">
      <c r="A1478" s="11">
        <v>2897</v>
      </c>
      <c r="B1478" s="11">
        <v>1</v>
      </c>
      <c r="C1478" s="11" t="s">
        <v>370</v>
      </c>
      <c r="D1478" s="11">
        <f t="shared" si="44"/>
        <v>3</v>
      </c>
      <c r="E1478">
        <f t="shared" si="45"/>
        <v>2897003</v>
      </c>
      <c r="F1478" s="11">
        <v>433</v>
      </c>
      <c r="G1478" s="11" t="s">
        <v>30</v>
      </c>
      <c r="H1478" s="3">
        <v>3738.22</v>
      </c>
      <c r="K1478" s="11"/>
      <c r="L1478" s="11"/>
      <c r="M1478" s="11"/>
      <c r="N1478" s="11"/>
      <c r="P1478" s="11"/>
      <c r="Q1478" s="11"/>
      <c r="R1478" s="3"/>
    </row>
    <row r="1479" spans="1:18" x14ac:dyDescent="0.2">
      <c r="A1479" s="11">
        <v>2898</v>
      </c>
      <c r="B1479" s="11">
        <v>1</v>
      </c>
      <c r="C1479" s="11" t="s">
        <v>371</v>
      </c>
      <c r="D1479" s="11">
        <f t="shared" si="44"/>
        <v>1</v>
      </c>
      <c r="E1479">
        <f t="shared" si="45"/>
        <v>2898001</v>
      </c>
      <c r="F1479" s="11">
        <v>151</v>
      </c>
      <c r="G1479" s="11" t="s">
        <v>28</v>
      </c>
      <c r="H1479" s="3">
        <v>263993.62</v>
      </c>
      <c r="K1479" s="11"/>
      <c r="L1479" s="11"/>
      <c r="M1479" s="11"/>
      <c r="N1479" s="11"/>
      <c r="P1479" s="11"/>
      <c r="Q1479" s="11"/>
      <c r="R1479" s="3"/>
    </row>
    <row r="1480" spans="1:18" x14ac:dyDescent="0.2">
      <c r="A1480" s="11">
        <v>2898</v>
      </c>
      <c r="B1480" s="11">
        <v>1</v>
      </c>
      <c r="C1480" s="11" t="s">
        <v>371</v>
      </c>
      <c r="D1480" s="11">
        <f t="shared" si="44"/>
        <v>2</v>
      </c>
      <c r="E1480">
        <f t="shared" si="45"/>
        <v>2898002</v>
      </c>
      <c r="F1480" s="11">
        <v>401</v>
      </c>
      <c r="G1480" s="11" t="s">
        <v>29</v>
      </c>
      <c r="H1480" s="3">
        <v>75309.05</v>
      </c>
      <c r="K1480" s="11"/>
      <c r="L1480" s="11"/>
      <c r="M1480" s="11"/>
      <c r="N1480" s="11"/>
      <c r="P1480" s="11"/>
      <c r="Q1480" s="11"/>
      <c r="R1480" s="3"/>
    </row>
    <row r="1481" spans="1:18" x14ac:dyDescent="0.2">
      <c r="A1481" s="11">
        <v>2898</v>
      </c>
      <c r="B1481" s="11">
        <v>1</v>
      </c>
      <c r="C1481" s="11" t="s">
        <v>371</v>
      </c>
      <c r="D1481" s="11">
        <f t="shared" si="44"/>
        <v>3</v>
      </c>
      <c r="E1481">
        <f t="shared" si="45"/>
        <v>2898003</v>
      </c>
      <c r="F1481" s="11">
        <v>414</v>
      </c>
      <c r="G1481" s="11" t="s">
        <v>9</v>
      </c>
      <c r="H1481" s="3">
        <v>22274.68</v>
      </c>
      <c r="K1481" s="11"/>
      <c r="L1481" s="11"/>
      <c r="M1481" s="11"/>
      <c r="N1481" s="11"/>
      <c r="P1481" s="11"/>
      <c r="Q1481" s="11"/>
      <c r="R1481" s="3"/>
    </row>
    <row r="1482" spans="1:18" x14ac:dyDescent="0.2">
      <c r="A1482" s="11">
        <v>2898</v>
      </c>
      <c r="B1482" s="11">
        <v>1</v>
      </c>
      <c r="C1482" s="11" t="s">
        <v>371</v>
      </c>
      <c r="D1482" s="11">
        <f t="shared" si="44"/>
        <v>4</v>
      </c>
      <c r="E1482">
        <f t="shared" si="45"/>
        <v>2898004</v>
      </c>
      <c r="F1482" s="11">
        <v>417</v>
      </c>
      <c r="G1482" s="11" t="s">
        <v>34</v>
      </c>
      <c r="H1482" s="3">
        <v>13579.74</v>
      </c>
      <c r="K1482" s="11"/>
      <c r="L1482" s="11"/>
      <c r="M1482" s="11"/>
      <c r="N1482" s="11"/>
      <c r="P1482" s="11"/>
      <c r="Q1482" s="11"/>
      <c r="R1482" s="3"/>
    </row>
    <row r="1483" spans="1:18" x14ac:dyDescent="0.2">
      <c r="A1483" s="11">
        <v>2898</v>
      </c>
      <c r="B1483" s="11">
        <v>1</v>
      </c>
      <c r="C1483" s="11" t="s">
        <v>371</v>
      </c>
      <c r="D1483" s="11">
        <f t="shared" si="44"/>
        <v>5</v>
      </c>
      <c r="E1483">
        <f t="shared" si="45"/>
        <v>2898005</v>
      </c>
      <c r="F1483" s="11">
        <v>433</v>
      </c>
      <c r="G1483" s="11" t="s">
        <v>30</v>
      </c>
      <c r="H1483" s="3">
        <v>1722.35</v>
      </c>
      <c r="K1483" s="11"/>
      <c r="L1483" s="11"/>
      <c r="M1483" s="11"/>
      <c r="N1483" s="11"/>
      <c r="P1483" s="11"/>
      <c r="Q1483" s="11"/>
      <c r="R1483" s="3"/>
    </row>
    <row r="1484" spans="1:18" x14ac:dyDescent="0.2">
      <c r="A1484" s="11">
        <v>2898</v>
      </c>
      <c r="B1484" s="11">
        <v>1</v>
      </c>
      <c r="C1484" s="11" t="s">
        <v>371</v>
      </c>
      <c r="D1484" s="11">
        <f t="shared" si="44"/>
        <v>6</v>
      </c>
      <c r="E1484">
        <f t="shared" si="45"/>
        <v>2898006</v>
      </c>
      <c r="F1484" s="11">
        <v>470</v>
      </c>
      <c r="G1484" s="11" t="s">
        <v>6</v>
      </c>
      <c r="H1484" s="3">
        <v>43231.07</v>
      </c>
      <c r="K1484" s="11"/>
      <c r="L1484" s="11"/>
      <c r="M1484" s="11"/>
      <c r="N1484" s="11"/>
      <c r="P1484" s="11"/>
      <c r="Q1484" s="11"/>
      <c r="R1484" s="3"/>
    </row>
    <row r="1485" spans="1:18" x14ac:dyDescent="0.2">
      <c r="A1485" s="11">
        <v>2902</v>
      </c>
      <c r="B1485" s="11">
        <v>1</v>
      </c>
      <c r="C1485" s="11" t="s">
        <v>372</v>
      </c>
      <c r="D1485" s="11">
        <f t="shared" si="44"/>
        <v>1</v>
      </c>
      <c r="E1485">
        <f t="shared" si="45"/>
        <v>2902001</v>
      </c>
      <c r="F1485" s="11">
        <v>433</v>
      </c>
      <c r="G1485" s="11" t="s">
        <v>30</v>
      </c>
      <c r="H1485" s="3">
        <v>1651.77</v>
      </c>
      <c r="K1485" s="11"/>
      <c r="L1485" s="11"/>
      <c r="M1485" s="11"/>
      <c r="N1485" s="11"/>
      <c r="P1485" s="11"/>
      <c r="Q1485" s="11"/>
      <c r="R1485" s="3"/>
    </row>
    <row r="1486" spans="1:18" x14ac:dyDescent="0.2">
      <c r="A1486" s="11">
        <v>2903</v>
      </c>
      <c r="B1486" s="11">
        <v>1</v>
      </c>
      <c r="C1486" s="11" t="s">
        <v>373</v>
      </c>
      <c r="D1486" s="11">
        <f t="shared" si="44"/>
        <v>1</v>
      </c>
      <c r="E1486">
        <f t="shared" si="45"/>
        <v>2903001</v>
      </c>
      <c r="F1486" s="11">
        <v>433</v>
      </c>
      <c r="G1486" s="11" t="s">
        <v>30</v>
      </c>
      <c r="H1486" s="3">
        <v>2195.52</v>
      </c>
      <c r="K1486" s="11"/>
      <c r="L1486" s="11"/>
      <c r="M1486" s="11"/>
      <c r="N1486" s="11"/>
      <c r="P1486" s="11"/>
      <c r="Q1486" s="11"/>
      <c r="R1486" s="3"/>
    </row>
    <row r="1487" spans="1:18" x14ac:dyDescent="0.2">
      <c r="A1487" s="11">
        <v>2904</v>
      </c>
      <c r="B1487" s="11">
        <v>1</v>
      </c>
      <c r="C1487" s="11" t="s">
        <v>374</v>
      </c>
      <c r="D1487" s="11">
        <f t="shared" ref="D1487:D1550" si="46">IF(A1487=A1486,D1486+1,1)</f>
        <v>1</v>
      </c>
      <c r="E1487">
        <f t="shared" ref="E1487:E1550" si="47">1000*A1487+D1487</f>
        <v>2904001</v>
      </c>
      <c r="F1487" s="11">
        <v>433</v>
      </c>
      <c r="G1487" s="11" t="s">
        <v>30</v>
      </c>
      <c r="H1487" s="3">
        <v>3232.52</v>
      </c>
      <c r="K1487" s="11"/>
      <c r="L1487" s="11"/>
      <c r="M1487" s="11"/>
      <c r="N1487" s="11"/>
      <c r="P1487" s="11"/>
      <c r="Q1487" s="11"/>
      <c r="R1487" s="3"/>
    </row>
    <row r="1488" spans="1:18" x14ac:dyDescent="0.2">
      <c r="A1488" s="11">
        <v>4001</v>
      </c>
      <c r="B1488" s="11">
        <v>7</v>
      </c>
      <c r="C1488" s="11" t="s">
        <v>375</v>
      </c>
      <c r="D1488" s="11">
        <f t="shared" si="46"/>
        <v>1</v>
      </c>
      <c r="E1488">
        <f t="shared" si="47"/>
        <v>4001001</v>
      </c>
      <c r="F1488" s="11">
        <v>414</v>
      </c>
      <c r="G1488" s="11" t="s">
        <v>9</v>
      </c>
      <c r="H1488" s="3">
        <v>3739.48</v>
      </c>
      <c r="K1488" s="11"/>
      <c r="L1488" s="11"/>
      <c r="M1488" s="11"/>
      <c r="N1488" s="11"/>
      <c r="P1488" s="11"/>
      <c r="Q1488" s="11"/>
      <c r="R1488" s="3"/>
    </row>
    <row r="1489" spans="1:18" x14ac:dyDescent="0.2">
      <c r="A1489" s="11">
        <v>4004</v>
      </c>
      <c r="B1489" s="11">
        <v>7</v>
      </c>
      <c r="C1489" s="11" t="s">
        <v>376</v>
      </c>
      <c r="D1489" s="11">
        <f t="shared" si="46"/>
        <v>1</v>
      </c>
      <c r="E1489">
        <f t="shared" si="47"/>
        <v>4004001</v>
      </c>
      <c r="F1489" s="11">
        <v>414</v>
      </c>
      <c r="G1489" s="11" t="s">
        <v>9</v>
      </c>
      <c r="H1489" s="3">
        <v>11623.85</v>
      </c>
      <c r="K1489" s="11"/>
      <c r="L1489" s="11"/>
      <c r="M1489" s="11"/>
      <c r="N1489" s="11"/>
      <c r="P1489" s="11"/>
      <c r="Q1489" s="11"/>
      <c r="R1489" s="3"/>
    </row>
    <row r="1490" spans="1:18" x14ac:dyDescent="0.2">
      <c r="A1490" s="11">
        <v>4004</v>
      </c>
      <c r="B1490" s="11">
        <v>7</v>
      </c>
      <c r="C1490" s="11" t="s">
        <v>376</v>
      </c>
      <c r="D1490" s="11">
        <f t="shared" si="46"/>
        <v>2</v>
      </c>
      <c r="E1490">
        <f t="shared" si="47"/>
        <v>4004002</v>
      </c>
      <c r="F1490" s="11">
        <v>420</v>
      </c>
      <c r="G1490" s="11" t="s">
        <v>11</v>
      </c>
      <c r="H1490" s="3">
        <v>6.94</v>
      </c>
      <c r="K1490" s="11"/>
      <c r="L1490" s="11"/>
      <c r="M1490" s="11"/>
      <c r="N1490" s="11"/>
      <c r="P1490" s="11"/>
      <c r="Q1490" s="11"/>
      <c r="R1490" s="3"/>
    </row>
    <row r="1491" spans="1:18" x14ac:dyDescent="0.2">
      <c r="A1491" s="11">
        <v>4004</v>
      </c>
      <c r="B1491" s="11">
        <v>7</v>
      </c>
      <c r="C1491" s="11" t="s">
        <v>376</v>
      </c>
      <c r="D1491" s="11">
        <f t="shared" si="46"/>
        <v>3</v>
      </c>
      <c r="E1491">
        <f t="shared" si="47"/>
        <v>4004003</v>
      </c>
      <c r="F1491" s="11">
        <v>484</v>
      </c>
      <c r="G1491" s="11" t="s">
        <v>20</v>
      </c>
      <c r="H1491" s="3">
        <v>1197.67</v>
      </c>
      <c r="K1491" s="11"/>
      <c r="L1491" s="11"/>
      <c r="M1491" s="11"/>
      <c r="N1491" s="11"/>
      <c r="P1491" s="11"/>
      <c r="Q1491" s="11"/>
      <c r="R1491" s="3"/>
    </row>
    <row r="1492" spans="1:18" x14ac:dyDescent="0.2">
      <c r="A1492" s="11">
        <v>4005</v>
      </c>
      <c r="B1492" s="11">
        <v>7</v>
      </c>
      <c r="C1492" s="11" t="s">
        <v>377</v>
      </c>
      <c r="D1492" s="11">
        <f t="shared" si="46"/>
        <v>1</v>
      </c>
      <c r="E1492">
        <f t="shared" si="47"/>
        <v>4005001</v>
      </c>
      <c r="F1492" s="11">
        <v>151</v>
      </c>
      <c r="G1492" s="11" t="s">
        <v>28</v>
      </c>
      <c r="H1492" s="3">
        <v>3642.05</v>
      </c>
      <c r="K1492" s="11"/>
      <c r="L1492" s="11"/>
      <c r="M1492" s="11"/>
      <c r="N1492" s="11"/>
      <c r="P1492" s="11"/>
      <c r="Q1492" s="11"/>
      <c r="R1492" s="3"/>
    </row>
    <row r="1493" spans="1:18" x14ac:dyDescent="0.2">
      <c r="A1493" s="11">
        <v>4005</v>
      </c>
      <c r="B1493" s="11">
        <v>7</v>
      </c>
      <c r="C1493" s="11" t="s">
        <v>377</v>
      </c>
      <c r="D1493" s="11">
        <f t="shared" si="46"/>
        <v>2</v>
      </c>
      <c r="E1493">
        <f t="shared" si="47"/>
        <v>4005002</v>
      </c>
      <c r="F1493" s="11">
        <v>419</v>
      </c>
      <c r="G1493" s="11" t="s">
        <v>10</v>
      </c>
      <c r="H1493" s="3">
        <v>37296.239999999998</v>
      </c>
      <c r="K1493" s="11"/>
      <c r="L1493" s="11"/>
      <c r="M1493" s="11"/>
      <c r="N1493" s="11"/>
      <c r="P1493" s="11"/>
      <c r="Q1493" s="11"/>
      <c r="R1493" s="3"/>
    </row>
    <row r="1494" spans="1:18" x14ac:dyDescent="0.2">
      <c r="A1494" s="11">
        <v>4005</v>
      </c>
      <c r="B1494" s="11">
        <v>7</v>
      </c>
      <c r="C1494" s="11" t="s">
        <v>377</v>
      </c>
      <c r="D1494" s="11">
        <f t="shared" si="46"/>
        <v>3</v>
      </c>
      <c r="E1494">
        <f t="shared" si="47"/>
        <v>4005003</v>
      </c>
      <c r="F1494" s="11">
        <v>420</v>
      </c>
      <c r="G1494" s="11" t="s">
        <v>11</v>
      </c>
      <c r="H1494" s="3">
        <v>3397.19</v>
      </c>
      <c r="K1494" s="11"/>
      <c r="L1494" s="11"/>
      <c r="M1494" s="11"/>
      <c r="N1494" s="11"/>
      <c r="P1494" s="11"/>
      <c r="Q1494" s="11"/>
      <c r="R1494" s="3"/>
    </row>
    <row r="1495" spans="1:18" x14ac:dyDescent="0.2">
      <c r="A1495" s="11">
        <v>4005</v>
      </c>
      <c r="B1495" s="11">
        <v>7</v>
      </c>
      <c r="C1495" s="11" t="s">
        <v>377</v>
      </c>
      <c r="D1495" s="11">
        <f t="shared" si="46"/>
        <v>4</v>
      </c>
      <c r="E1495">
        <f t="shared" si="47"/>
        <v>4005004</v>
      </c>
      <c r="F1495" s="11">
        <v>480</v>
      </c>
      <c r="G1495" s="11" t="s">
        <v>19</v>
      </c>
      <c r="H1495" s="3">
        <v>13621.99</v>
      </c>
      <c r="K1495" s="11"/>
      <c r="L1495" s="11"/>
      <c r="M1495" s="11"/>
      <c r="N1495" s="11"/>
      <c r="P1495" s="11"/>
      <c r="Q1495" s="11"/>
      <c r="R1495" s="3"/>
    </row>
    <row r="1496" spans="1:18" x14ac:dyDescent="0.2">
      <c r="A1496" s="11">
        <v>4005</v>
      </c>
      <c r="B1496" s="11">
        <v>7</v>
      </c>
      <c r="C1496" s="11" t="s">
        <v>377</v>
      </c>
      <c r="D1496" s="11">
        <f t="shared" si="46"/>
        <v>5</v>
      </c>
      <c r="E1496">
        <f t="shared" si="47"/>
        <v>4005005</v>
      </c>
      <c r="F1496" s="11">
        <v>484</v>
      </c>
      <c r="G1496" s="11" t="s">
        <v>20</v>
      </c>
      <c r="H1496" s="3">
        <v>557.94000000000005</v>
      </c>
      <c r="K1496" s="11"/>
      <c r="L1496" s="11"/>
      <c r="M1496" s="11"/>
      <c r="N1496" s="11"/>
      <c r="P1496" s="11"/>
      <c r="Q1496" s="11"/>
      <c r="R1496" s="3"/>
    </row>
    <row r="1497" spans="1:18" x14ac:dyDescent="0.2">
      <c r="A1497" s="11">
        <v>4006</v>
      </c>
      <c r="B1497" s="11">
        <v>7</v>
      </c>
      <c r="C1497" s="11" t="s">
        <v>378</v>
      </c>
      <c r="D1497" s="11">
        <f t="shared" si="46"/>
        <v>1</v>
      </c>
      <c r="E1497">
        <f t="shared" si="47"/>
        <v>4006001</v>
      </c>
      <c r="F1497" s="11">
        <v>401</v>
      </c>
      <c r="G1497" s="11" t="s">
        <v>29</v>
      </c>
      <c r="H1497" s="3">
        <v>18283.64</v>
      </c>
      <c r="K1497" s="11"/>
      <c r="L1497" s="11"/>
      <c r="M1497" s="11"/>
      <c r="N1497" s="11"/>
      <c r="P1497" s="11"/>
      <c r="Q1497" s="11"/>
      <c r="R1497" s="3"/>
    </row>
    <row r="1498" spans="1:18" x14ac:dyDescent="0.2">
      <c r="A1498" s="11">
        <v>4006</v>
      </c>
      <c r="B1498" s="11">
        <v>7</v>
      </c>
      <c r="C1498" s="11" t="s">
        <v>378</v>
      </c>
      <c r="D1498" s="11">
        <f t="shared" si="46"/>
        <v>2</v>
      </c>
      <c r="E1498">
        <f t="shared" si="47"/>
        <v>4006002</v>
      </c>
      <c r="F1498" s="11">
        <v>414</v>
      </c>
      <c r="G1498" s="11" t="s">
        <v>9</v>
      </c>
      <c r="H1498" s="3">
        <v>6246.84</v>
      </c>
      <c r="K1498" s="11"/>
      <c r="L1498" s="11"/>
      <c r="M1498" s="11"/>
      <c r="N1498" s="11"/>
      <c r="P1498" s="11"/>
      <c r="Q1498" s="11"/>
      <c r="R1498" s="3"/>
    </row>
    <row r="1499" spans="1:18" x14ac:dyDescent="0.2">
      <c r="A1499" s="11">
        <v>4006</v>
      </c>
      <c r="B1499" s="11">
        <v>7</v>
      </c>
      <c r="C1499" s="11" t="s">
        <v>378</v>
      </c>
      <c r="D1499" s="11">
        <f t="shared" si="46"/>
        <v>3</v>
      </c>
      <c r="E1499">
        <f t="shared" si="47"/>
        <v>4006003</v>
      </c>
      <c r="F1499" s="11">
        <v>419</v>
      </c>
      <c r="G1499" s="11" t="s">
        <v>10</v>
      </c>
      <c r="H1499" s="3">
        <v>10649.35</v>
      </c>
      <c r="K1499" s="11"/>
      <c r="L1499" s="11"/>
      <c r="M1499" s="11"/>
      <c r="N1499" s="11"/>
      <c r="P1499" s="11"/>
      <c r="Q1499" s="11"/>
      <c r="R1499" s="3"/>
    </row>
    <row r="1500" spans="1:18" x14ac:dyDescent="0.2">
      <c r="A1500" s="11">
        <v>4006</v>
      </c>
      <c r="B1500" s="11">
        <v>7</v>
      </c>
      <c r="C1500" s="11" t="s">
        <v>378</v>
      </c>
      <c r="D1500" s="11">
        <f t="shared" si="46"/>
        <v>4</v>
      </c>
      <c r="E1500">
        <f t="shared" si="47"/>
        <v>4006004</v>
      </c>
      <c r="F1500" s="11">
        <v>425</v>
      </c>
      <c r="G1500" s="11" t="s">
        <v>49</v>
      </c>
      <c r="H1500" s="3">
        <v>1879.3</v>
      </c>
      <c r="K1500" s="11"/>
      <c r="L1500" s="11"/>
      <c r="M1500" s="11"/>
      <c r="N1500" s="11"/>
      <c r="P1500" s="11"/>
      <c r="Q1500" s="11"/>
      <c r="R1500" s="3"/>
    </row>
    <row r="1501" spans="1:18" x14ac:dyDescent="0.2">
      <c r="A1501" s="11">
        <v>4006</v>
      </c>
      <c r="B1501" s="11">
        <v>7</v>
      </c>
      <c r="C1501" s="11" t="s">
        <v>378</v>
      </c>
      <c r="D1501" s="11">
        <f t="shared" si="46"/>
        <v>5</v>
      </c>
      <c r="E1501">
        <f t="shared" si="47"/>
        <v>4006005</v>
      </c>
      <c r="F1501" s="11">
        <v>433</v>
      </c>
      <c r="G1501" s="11" t="s">
        <v>30</v>
      </c>
      <c r="H1501" s="3">
        <v>327.86</v>
      </c>
      <c r="K1501" s="11"/>
      <c r="L1501" s="11"/>
      <c r="M1501" s="11"/>
      <c r="N1501" s="11"/>
      <c r="P1501" s="11"/>
      <c r="Q1501" s="11"/>
      <c r="R1501" s="3"/>
    </row>
    <row r="1502" spans="1:18" x14ac:dyDescent="0.2">
      <c r="A1502" s="11">
        <v>4006</v>
      </c>
      <c r="B1502" s="11">
        <v>7</v>
      </c>
      <c r="C1502" s="11" t="s">
        <v>378</v>
      </c>
      <c r="D1502" s="11">
        <f t="shared" si="46"/>
        <v>6</v>
      </c>
      <c r="E1502">
        <f t="shared" si="47"/>
        <v>4006006</v>
      </c>
      <c r="F1502" s="11">
        <v>470</v>
      </c>
      <c r="G1502" s="11" t="s">
        <v>6</v>
      </c>
      <c r="H1502" s="3">
        <v>11931.03</v>
      </c>
      <c r="K1502" s="11"/>
      <c r="L1502" s="11"/>
      <c r="M1502" s="11"/>
      <c r="N1502" s="11"/>
      <c r="P1502" s="11"/>
      <c r="Q1502" s="11"/>
      <c r="R1502" s="3"/>
    </row>
    <row r="1503" spans="1:18" x14ac:dyDescent="0.2">
      <c r="A1503" s="11">
        <v>4006</v>
      </c>
      <c r="B1503" s="11">
        <v>7</v>
      </c>
      <c r="C1503" s="11" t="s">
        <v>378</v>
      </c>
      <c r="D1503" s="11">
        <f t="shared" si="46"/>
        <v>7</v>
      </c>
      <c r="E1503">
        <f t="shared" si="47"/>
        <v>4006007</v>
      </c>
      <c r="F1503" s="11">
        <v>481</v>
      </c>
      <c r="G1503" s="11" t="s">
        <v>379</v>
      </c>
      <c r="H1503" s="3">
        <v>2272.4299999999998</v>
      </c>
      <c r="K1503" s="11"/>
      <c r="L1503" s="11"/>
      <c r="M1503" s="11"/>
      <c r="N1503" s="11"/>
      <c r="P1503" s="11"/>
      <c r="Q1503" s="11"/>
      <c r="R1503" s="3"/>
    </row>
    <row r="1504" spans="1:18" x14ac:dyDescent="0.2">
      <c r="A1504" s="11">
        <v>4007</v>
      </c>
      <c r="B1504" s="11">
        <v>7</v>
      </c>
      <c r="C1504" s="11" t="s">
        <v>380</v>
      </c>
      <c r="D1504" s="11">
        <f t="shared" si="46"/>
        <v>1</v>
      </c>
      <c r="E1504">
        <f t="shared" si="47"/>
        <v>4007001</v>
      </c>
      <c r="F1504" s="11">
        <v>401</v>
      </c>
      <c r="G1504" s="11" t="s">
        <v>29</v>
      </c>
      <c r="H1504" s="3">
        <v>12228.58</v>
      </c>
      <c r="K1504" s="11"/>
      <c r="L1504" s="11"/>
      <c r="M1504" s="11"/>
      <c r="N1504" s="11"/>
      <c r="P1504" s="11"/>
      <c r="Q1504" s="11"/>
      <c r="R1504" s="3"/>
    </row>
    <row r="1505" spans="1:18" x14ac:dyDescent="0.2">
      <c r="A1505" s="11">
        <v>4007</v>
      </c>
      <c r="B1505" s="11">
        <v>7</v>
      </c>
      <c r="C1505" s="11" t="s">
        <v>380</v>
      </c>
      <c r="D1505" s="11">
        <f t="shared" si="46"/>
        <v>2</v>
      </c>
      <c r="E1505">
        <f t="shared" si="47"/>
        <v>4007002</v>
      </c>
      <c r="F1505" s="11">
        <v>414</v>
      </c>
      <c r="G1505" s="11" t="s">
        <v>9</v>
      </c>
      <c r="H1505" s="3">
        <v>2833.63</v>
      </c>
      <c r="K1505" s="11"/>
      <c r="L1505" s="11"/>
      <c r="M1505" s="11"/>
      <c r="N1505" s="11"/>
      <c r="P1505" s="11"/>
      <c r="Q1505" s="11"/>
      <c r="R1505" s="3"/>
    </row>
    <row r="1506" spans="1:18" x14ac:dyDescent="0.2">
      <c r="A1506" s="11">
        <v>4008</v>
      </c>
      <c r="B1506" s="11">
        <v>7</v>
      </c>
      <c r="C1506" s="11" t="s">
        <v>381</v>
      </c>
      <c r="D1506" s="11">
        <f t="shared" si="46"/>
        <v>1</v>
      </c>
      <c r="E1506">
        <f t="shared" si="47"/>
        <v>4008001</v>
      </c>
      <c r="F1506" s="11">
        <v>484</v>
      </c>
      <c r="G1506" s="11" t="s">
        <v>20</v>
      </c>
      <c r="H1506" s="3">
        <v>4412.09</v>
      </c>
      <c r="K1506" s="11"/>
      <c r="L1506" s="11"/>
      <c r="M1506" s="11"/>
      <c r="N1506" s="11"/>
      <c r="P1506" s="11"/>
      <c r="Q1506" s="11"/>
      <c r="R1506" s="3"/>
    </row>
    <row r="1507" spans="1:18" x14ac:dyDescent="0.2">
      <c r="A1507" s="11">
        <v>4011</v>
      </c>
      <c r="B1507" s="11">
        <v>7</v>
      </c>
      <c r="C1507" s="11" t="s">
        <v>382</v>
      </c>
      <c r="D1507" s="11">
        <f t="shared" si="46"/>
        <v>1</v>
      </c>
      <c r="E1507">
        <f t="shared" si="47"/>
        <v>4011001</v>
      </c>
      <c r="F1507" s="11">
        <v>425</v>
      </c>
      <c r="G1507" s="11" t="s">
        <v>49</v>
      </c>
      <c r="H1507" s="3">
        <v>7700.72</v>
      </c>
      <c r="K1507" s="11"/>
      <c r="L1507" s="11"/>
      <c r="M1507" s="11"/>
      <c r="N1507" s="11"/>
      <c r="P1507" s="11"/>
      <c r="Q1507" s="11"/>
      <c r="R1507" s="3"/>
    </row>
    <row r="1508" spans="1:18" x14ac:dyDescent="0.2">
      <c r="A1508" s="11">
        <v>4011</v>
      </c>
      <c r="B1508" s="11">
        <v>7</v>
      </c>
      <c r="C1508" s="11" t="s">
        <v>382</v>
      </c>
      <c r="D1508" s="11">
        <f t="shared" si="46"/>
        <v>2</v>
      </c>
      <c r="E1508">
        <f t="shared" si="47"/>
        <v>4011002</v>
      </c>
      <c r="F1508" s="11">
        <v>480</v>
      </c>
      <c r="G1508" s="11" t="s">
        <v>19</v>
      </c>
      <c r="H1508" s="3">
        <v>42381.43</v>
      </c>
      <c r="K1508" s="11"/>
      <c r="L1508" s="11"/>
      <c r="M1508" s="11"/>
      <c r="N1508" s="11"/>
      <c r="P1508" s="11"/>
      <c r="Q1508" s="11"/>
      <c r="R1508" s="3"/>
    </row>
    <row r="1509" spans="1:18" x14ac:dyDescent="0.2">
      <c r="A1509" s="11">
        <v>4011</v>
      </c>
      <c r="B1509" s="11">
        <v>7</v>
      </c>
      <c r="C1509" s="11" t="s">
        <v>382</v>
      </c>
      <c r="D1509" s="11">
        <f t="shared" si="46"/>
        <v>3</v>
      </c>
      <c r="E1509">
        <f t="shared" si="47"/>
        <v>4011003</v>
      </c>
      <c r="F1509" s="11">
        <v>484</v>
      </c>
      <c r="G1509" s="11" t="s">
        <v>20</v>
      </c>
      <c r="H1509" s="3">
        <v>2044.01</v>
      </c>
      <c r="K1509" s="11"/>
      <c r="L1509" s="11"/>
      <c r="M1509" s="11"/>
      <c r="N1509" s="11"/>
      <c r="P1509" s="11"/>
      <c r="Q1509" s="11"/>
      <c r="R1509" s="3"/>
    </row>
    <row r="1510" spans="1:18" x14ac:dyDescent="0.2">
      <c r="A1510" s="11">
        <v>4015</v>
      </c>
      <c r="B1510" s="11">
        <v>7</v>
      </c>
      <c r="C1510" s="11" t="s">
        <v>383</v>
      </c>
      <c r="D1510" s="11">
        <f t="shared" si="46"/>
        <v>1</v>
      </c>
      <c r="E1510">
        <f t="shared" si="47"/>
        <v>4015001</v>
      </c>
      <c r="F1510" s="11">
        <v>401</v>
      </c>
      <c r="G1510" s="11" t="s">
        <v>29</v>
      </c>
      <c r="H1510" s="3">
        <v>229469.8</v>
      </c>
      <c r="K1510" s="11"/>
      <c r="L1510" s="11"/>
      <c r="M1510" s="11"/>
      <c r="N1510" s="11"/>
      <c r="P1510" s="11"/>
      <c r="Q1510" s="11"/>
      <c r="R1510" s="3"/>
    </row>
    <row r="1511" spans="1:18" x14ac:dyDescent="0.2">
      <c r="A1511" s="11">
        <v>4015</v>
      </c>
      <c r="B1511" s="11">
        <v>7</v>
      </c>
      <c r="C1511" s="11" t="s">
        <v>383</v>
      </c>
      <c r="D1511" s="11">
        <f t="shared" si="46"/>
        <v>2</v>
      </c>
      <c r="E1511">
        <f t="shared" si="47"/>
        <v>4015002</v>
      </c>
      <c r="F1511" s="11">
        <v>414</v>
      </c>
      <c r="G1511" s="11" t="s">
        <v>9</v>
      </c>
      <c r="H1511" s="3">
        <v>48538.27</v>
      </c>
      <c r="K1511" s="11"/>
      <c r="L1511" s="11"/>
      <c r="M1511" s="11"/>
      <c r="N1511" s="11"/>
      <c r="P1511" s="11"/>
      <c r="Q1511" s="11"/>
      <c r="R1511" s="3"/>
    </row>
    <row r="1512" spans="1:18" x14ac:dyDescent="0.2">
      <c r="A1512" s="11">
        <v>4015</v>
      </c>
      <c r="B1512" s="11">
        <v>7</v>
      </c>
      <c r="C1512" s="11" t="s">
        <v>383</v>
      </c>
      <c r="D1512" s="11">
        <f t="shared" si="46"/>
        <v>3</v>
      </c>
      <c r="E1512">
        <f t="shared" si="47"/>
        <v>4015003</v>
      </c>
      <c r="F1512" s="11">
        <v>417</v>
      </c>
      <c r="G1512" s="11" t="s">
        <v>34</v>
      </c>
      <c r="H1512" s="3">
        <v>35974.400000000001</v>
      </c>
      <c r="K1512" s="11"/>
      <c r="L1512" s="11"/>
      <c r="M1512" s="11"/>
      <c r="N1512" s="11"/>
      <c r="P1512" s="11"/>
      <c r="Q1512" s="11"/>
      <c r="R1512" s="3"/>
    </row>
    <row r="1513" spans="1:18" x14ac:dyDescent="0.2">
      <c r="A1513" s="11">
        <v>4015</v>
      </c>
      <c r="B1513" s="11">
        <v>7</v>
      </c>
      <c r="C1513" s="11" t="s">
        <v>383</v>
      </c>
      <c r="D1513" s="11">
        <f t="shared" si="46"/>
        <v>4</v>
      </c>
      <c r="E1513">
        <f t="shared" si="47"/>
        <v>4015004</v>
      </c>
      <c r="F1513" s="11">
        <v>433</v>
      </c>
      <c r="G1513" s="11" t="s">
        <v>30</v>
      </c>
      <c r="H1513" s="3">
        <v>3948.88</v>
      </c>
      <c r="K1513" s="11"/>
      <c r="L1513" s="11"/>
      <c r="M1513" s="11"/>
      <c r="N1513" s="11"/>
      <c r="P1513" s="11"/>
      <c r="Q1513" s="11"/>
      <c r="R1513" s="3"/>
    </row>
    <row r="1514" spans="1:18" x14ac:dyDescent="0.2">
      <c r="A1514" s="11">
        <v>4015</v>
      </c>
      <c r="B1514" s="11">
        <v>7</v>
      </c>
      <c r="C1514" s="11" t="s">
        <v>383</v>
      </c>
      <c r="D1514" s="11">
        <f t="shared" si="46"/>
        <v>5</v>
      </c>
      <c r="E1514">
        <f t="shared" si="47"/>
        <v>4015005</v>
      </c>
      <c r="F1514" s="11">
        <v>470</v>
      </c>
      <c r="G1514" s="11" t="s">
        <v>6</v>
      </c>
      <c r="H1514" s="3">
        <v>148285.67000000001</v>
      </c>
      <c r="K1514" s="11"/>
      <c r="L1514" s="11"/>
      <c r="M1514" s="11"/>
      <c r="N1514" s="11"/>
      <c r="P1514" s="11"/>
      <c r="Q1514" s="11"/>
      <c r="R1514" s="3"/>
    </row>
    <row r="1515" spans="1:18" x14ac:dyDescent="0.2">
      <c r="A1515" s="11">
        <v>4016</v>
      </c>
      <c r="B1515" s="11">
        <v>7</v>
      </c>
      <c r="C1515" s="11" t="s">
        <v>384</v>
      </c>
      <c r="D1515" s="11">
        <f t="shared" si="46"/>
        <v>1</v>
      </c>
      <c r="E1515">
        <f t="shared" si="47"/>
        <v>4016001</v>
      </c>
      <c r="F1515" s="11">
        <v>425</v>
      </c>
      <c r="G1515" s="11" t="s">
        <v>49</v>
      </c>
      <c r="H1515" s="3">
        <v>3743.76</v>
      </c>
      <c r="K1515" s="11"/>
      <c r="L1515" s="11"/>
      <c r="M1515" s="11"/>
      <c r="N1515" s="11"/>
      <c r="P1515" s="11"/>
      <c r="Q1515" s="11"/>
      <c r="R1515" s="3"/>
    </row>
    <row r="1516" spans="1:18" x14ac:dyDescent="0.2">
      <c r="A1516" s="11">
        <v>4016</v>
      </c>
      <c r="B1516" s="11">
        <v>7</v>
      </c>
      <c r="C1516" s="11" t="s">
        <v>384</v>
      </c>
      <c r="D1516" s="11">
        <f t="shared" si="46"/>
        <v>2</v>
      </c>
      <c r="E1516">
        <f t="shared" si="47"/>
        <v>4016002</v>
      </c>
      <c r="F1516" s="11">
        <v>480</v>
      </c>
      <c r="G1516" s="11" t="s">
        <v>19</v>
      </c>
      <c r="H1516" s="3">
        <v>26190.51</v>
      </c>
      <c r="K1516" s="11"/>
      <c r="L1516" s="11"/>
      <c r="M1516" s="11"/>
      <c r="N1516" s="11"/>
      <c r="P1516" s="11"/>
      <c r="Q1516" s="11"/>
      <c r="R1516" s="3"/>
    </row>
    <row r="1517" spans="1:18" x14ac:dyDescent="0.2">
      <c r="A1517" s="11">
        <v>4016</v>
      </c>
      <c r="B1517" s="11">
        <v>7</v>
      </c>
      <c r="C1517" s="11" t="s">
        <v>384</v>
      </c>
      <c r="D1517" s="11">
        <f t="shared" si="46"/>
        <v>3</v>
      </c>
      <c r="E1517">
        <f t="shared" si="47"/>
        <v>4016003</v>
      </c>
      <c r="F1517" s="11">
        <v>481</v>
      </c>
      <c r="G1517" s="11" t="s">
        <v>379</v>
      </c>
      <c r="H1517" s="3">
        <v>4621.8500000000004</v>
      </c>
      <c r="K1517" s="11"/>
      <c r="L1517" s="11"/>
      <c r="M1517" s="11"/>
      <c r="N1517" s="11"/>
      <c r="P1517" s="11"/>
      <c r="Q1517" s="11"/>
      <c r="R1517" s="3"/>
    </row>
    <row r="1518" spans="1:18" x14ac:dyDescent="0.2">
      <c r="A1518" s="11">
        <v>4017</v>
      </c>
      <c r="B1518" s="11">
        <v>7</v>
      </c>
      <c r="C1518" s="11" t="s">
        <v>385</v>
      </c>
      <c r="D1518" s="11">
        <f t="shared" si="46"/>
        <v>1</v>
      </c>
      <c r="E1518">
        <f t="shared" si="47"/>
        <v>4017001</v>
      </c>
      <c r="F1518" s="11">
        <v>420</v>
      </c>
      <c r="G1518" s="11" t="s">
        <v>11</v>
      </c>
      <c r="H1518" s="3">
        <v>174.61</v>
      </c>
      <c r="K1518" s="11"/>
      <c r="L1518" s="11"/>
      <c r="M1518" s="11"/>
      <c r="N1518" s="11"/>
      <c r="P1518" s="11"/>
      <c r="Q1518" s="11"/>
      <c r="R1518" s="3"/>
    </row>
    <row r="1519" spans="1:18" x14ac:dyDescent="0.2">
      <c r="A1519" s="11">
        <v>4017</v>
      </c>
      <c r="B1519" s="11">
        <v>7</v>
      </c>
      <c r="C1519" s="11" t="s">
        <v>385</v>
      </c>
      <c r="D1519" s="11">
        <f t="shared" si="46"/>
        <v>2</v>
      </c>
      <c r="E1519">
        <f t="shared" si="47"/>
        <v>4017002</v>
      </c>
      <c r="F1519" s="11">
        <v>470</v>
      </c>
      <c r="G1519" s="11" t="s">
        <v>6</v>
      </c>
      <c r="H1519" s="3">
        <v>489172.26</v>
      </c>
      <c r="K1519" s="11"/>
      <c r="L1519" s="11"/>
      <c r="M1519" s="11"/>
      <c r="N1519" s="11"/>
      <c r="P1519" s="11"/>
      <c r="Q1519" s="11"/>
      <c r="R1519" s="3"/>
    </row>
    <row r="1520" spans="1:18" x14ac:dyDescent="0.2">
      <c r="A1520" s="11">
        <v>4017</v>
      </c>
      <c r="B1520" s="11">
        <v>7</v>
      </c>
      <c r="C1520" s="11" t="s">
        <v>385</v>
      </c>
      <c r="D1520" s="11">
        <f t="shared" si="46"/>
        <v>3</v>
      </c>
      <c r="E1520">
        <f t="shared" si="47"/>
        <v>4017003</v>
      </c>
      <c r="F1520" s="11">
        <v>480</v>
      </c>
      <c r="G1520" s="11" t="s">
        <v>19</v>
      </c>
      <c r="H1520" s="3">
        <v>624974.98</v>
      </c>
      <c r="K1520" s="11"/>
      <c r="L1520" s="11"/>
      <c r="M1520" s="11"/>
      <c r="N1520" s="11"/>
      <c r="P1520" s="11"/>
      <c r="Q1520" s="11"/>
      <c r="R1520" s="3"/>
    </row>
    <row r="1521" spans="1:18" x14ac:dyDescent="0.2">
      <c r="A1521" s="11">
        <v>4017</v>
      </c>
      <c r="B1521" s="11">
        <v>7</v>
      </c>
      <c r="C1521" s="11" t="s">
        <v>385</v>
      </c>
      <c r="D1521" s="11">
        <f t="shared" si="46"/>
        <v>4</v>
      </c>
      <c r="E1521">
        <f t="shared" si="47"/>
        <v>4017004</v>
      </c>
      <c r="F1521" s="11">
        <v>484</v>
      </c>
      <c r="G1521" s="11" t="s">
        <v>20</v>
      </c>
      <c r="H1521" s="3">
        <v>30126.77</v>
      </c>
      <c r="K1521" s="11"/>
      <c r="L1521" s="11"/>
      <c r="M1521" s="11"/>
      <c r="N1521" s="11"/>
      <c r="P1521" s="11"/>
      <c r="Q1521" s="11"/>
      <c r="R1521" s="3"/>
    </row>
    <row r="1522" spans="1:18" x14ac:dyDescent="0.2">
      <c r="A1522" s="11">
        <v>4018</v>
      </c>
      <c r="B1522" s="11">
        <v>7</v>
      </c>
      <c r="C1522" s="11" t="s">
        <v>386</v>
      </c>
      <c r="D1522" s="11">
        <f t="shared" si="46"/>
        <v>1</v>
      </c>
      <c r="E1522">
        <f t="shared" si="47"/>
        <v>4018001</v>
      </c>
      <c r="F1522" s="11">
        <v>425</v>
      </c>
      <c r="G1522" s="11" t="s">
        <v>49</v>
      </c>
      <c r="H1522" s="3">
        <v>12781.45</v>
      </c>
      <c r="K1522" s="11"/>
      <c r="L1522" s="11"/>
      <c r="M1522" s="11"/>
      <c r="N1522" s="11"/>
      <c r="P1522" s="11"/>
      <c r="Q1522" s="11"/>
      <c r="R1522" s="3"/>
    </row>
    <row r="1523" spans="1:18" x14ac:dyDescent="0.2">
      <c r="A1523" s="11">
        <v>4018</v>
      </c>
      <c r="B1523" s="11">
        <v>7</v>
      </c>
      <c r="C1523" s="11" t="s">
        <v>386</v>
      </c>
      <c r="D1523" s="11">
        <f t="shared" si="46"/>
        <v>2</v>
      </c>
      <c r="E1523">
        <f t="shared" si="47"/>
        <v>4018002</v>
      </c>
      <c r="F1523" s="11">
        <v>470</v>
      </c>
      <c r="G1523" s="11" t="s">
        <v>6</v>
      </c>
      <c r="H1523" s="3">
        <v>103118.2</v>
      </c>
      <c r="K1523" s="11"/>
      <c r="L1523" s="11"/>
      <c r="M1523" s="11"/>
      <c r="N1523" s="11"/>
      <c r="P1523" s="11"/>
      <c r="Q1523" s="11"/>
      <c r="R1523" s="3"/>
    </row>
    <row r="1524" spans="1:18" x14ac:dyDescent="0.2">
      <c r="A1524" s="11">
        <v>4018</v>
      </c>
      <c r="B1524" s="11">
        <v>7</v>
      </c>
      <c r="C1524" s="11" t="s">
        <v>386</v>
      </c>
      <c r="D1524" s="11">
        <f t="shared" si="46"/>
        <v>3</v>
      </c>
      <c r="E1524">
        <f t="shared" si="47"/>
        <v>4018003</v>
      </c>
      <c r="F1524" s="11">
        <v>481</v>
      </c>
      <c r="G1524" s="11" t="s">
        <v>379</v>
      </c>
      <c r="H1524" s="3">
        <v>16218.55</v>
      </c>
      <c r="K1524" s="11"/>
      <c r="L1524" s="11"/>
      <c r="M1524" s="11"/>
      <c r="N1524" s="11"/>
      <c r="P1524" s="11"/>
      <c r="Q1524" s="11"/>
      <c r="R1524" s="3"/>
    </row>
    <row r="1525" spans="1:18" x14ac:dyDescent="0.2">
      <c r="A1525" s="11">
        <v>4020</v>
      </c>
      <c r="B1525" s="11">
        <v>7</v>
      </c>
      <c r="C1525" s="11" t="s">
        <v>387</v>
      </c>
      <c r="D1525" s="11">
        <f t="shared" si="46"/>
        <v>1</v>
      </c>
      <c r="E1525">
        <f t="shared" si="47"/>
        <v>4020001</v>
      </c>
      <c r="F1525" s="11">
        <v>151</v>
      </c>
      <c r="G1525" s="11" t="s">
        <v>28</v>
      </c>
      <c r="H1525" s="3">
        <v>325969.21999999997</v>
      </c>
      <c r="K1525" s="11"/>
      <c r="L1525" s="11"/>
      <c r="M1525" s="11"/>
      <c r="N1525" s="11"/>
      <c r="P1525" s="11"/>
      <c r="Q1525" s="11"/>
      <c r="R1525" s="3"/>
    </row>
    <row r="1526" spans="1:18" x14ac:dyDescent="0.2">
      <c r="A1526" s="11">
        <v>4020</v>
      </c>
      <c r="B1526" s="11">
        <v>7</v>
      </c>
      <c r="C1526" s="11" t="s">
        <v>387</v>
      </c>
      <c r="D1526" s="11">
        <f t="shared" si="46"/>
        <v>2</v>
      </c>
      <c r="E1526">
        <f t="shared" si="47"/>
        <v>4020002</v>
      </c>
      <c r="F1526" s="11">
        <v>401</v>
      </c>
      <c r="G1526" s="11" t="s">
        <v>29</v>
      </c>
      <c r="H1526" s="3">
        <v>212025.04</v>
      </c>
      <c r="K1526" s="11"/>
      <c r="L1526" s="11"/>
      <c r="M1526" s="11"/>
      <c r="N1526" s="11"/>
      <c r="P1526" s="11"/>
      <c r="Q1526" s="11"/>
      <c r="R1526" s="3"/>
    </row>
    <row r="1527" spans="1:18" x14ac:dyDescent="0.2">
      <c r="A1527" s="11">
        <v>4020</v>
      </c>
      <c r="B1527" s="11">
        <v>7</v>
      </c>
      <c r="C1527" s="11" t="s">
        <v>387</v>
      </c>
      <c r="D1527" s="11">
        <f t="shared" si="46"/>
        <v>3</v>
      </c>
      <c r="E1527">
        <f t="shared" si="47"/>
        <v>4020003</v>
      </c>
      <c r="F1527" s="11">
        <v>414</v>
      </c>
      <c r="G1527" s="11" t="s">
        <v>9</v>
      </c>
      <c r="H1527" s="3">
        <v>49731.45</v>
      </c>
      <c r="K1527" s="11"/>
      <c r="L1527" s="11"/>
      <c r="M1527" s="11"/>
      <c r="N1527" s="11"/>
      <c r="P1527" s="11"/>
      <c r="Q1527" s="11"/>
      <c r="R1527" s="3"/>
    </row>
    <row r="1528" spans="1:18" x14ac:dyDescent="0.2">
      <c r="A1528" s="11">
        <v>4020</v>
      </c>
      <c r="B1528" s="11">
        <v>7</v>
      </c>
      <c r="C1528" s="11" t="s">
        <v>387</v>
      </c>
      <c r="D1528" s="11">
        <f t="shared" si="46"/>
        <v>4</v>
      </c>
      <c r="E1528">
        <f t="shared" si="47"/>
        <v>4020004</v>
      </c>
      <c r="F1528" s="11">
        <v>419</v>
      </c>
      <c r="G1528" s="11" t="s">
        <v>10</v>
      </c>
      <c r="H1528" s="3">
        <v>185801.86</v>
      </c>
      <c r="K1528" s="11"/>
      <c r="L1528" s="11"/>
      <c r="M1528" s="11"/>
      <c r="N1528" s="11"/>
      <c r="P1528" s="11"/>
      <c r="Q1528" s="11"/>
      <c r="R1528" s="3"/>
    </row>
    <row r="1529" spans="1:18" x14ac:dyDescent="0.2">
      <c r="A1529" s="11">
        <v>4020</v>
      </c>
      <c r="B1529" s="11">
        <v>7</v>
      </c>
      <c r="C1529" s="11" t="s">
        <v>387</v>
      </c>
      <c r="D1529" s="11">
        <f t="shared" si="46"/>
        <v>5</v>
      </c>
      <c r="E1529">
        <f t="shared" si="47"/>
        <v>4020005</v>
      </c>
      <c r="F1529" s="11">
        <v>425</v>
      </c>
      <c r="G1529" s="11" t="s">
        <v>49</v>
      </c>
      <c r="H1529" s="3">
        <v>32788.559999999998</v>
      </c>
      <c r="K1529" s="11"/>
      <c r="L1529" s="11"/>
      <c r="M1529" s="11"/>
      <c r="N1529" s="11"/>
      <c r="P1529" s="11"/>
      <c r="Q1529" s="11"/>
      <c r="R1529" s="3"/>
    </row>
    <row r="1530" spans="1:18" x14ac:dyDescent="0.2">
      <c r="A1530" s="11">
        <v>4020</v>
      </c>
      <c r="B1530" s="11">
        <v>7</v>
      </c>
      <c r="C1530" s="11" t="s">
        <v>387</v>
      </c>
      <c r="D1530" s="11">
        <f t="shared" si="46"/>
        <v>6</v>
      </c>
      <c r="E1530">
        <f t="shared" si="47"/>
        <v>4020006</v>
      </c>
      <c r="F1530" s="11">
        <v>433</v>
      </c>
      <c r="G1530" s="11" t="s">
        <v>30</v>
      </c>
      <c r="H1530" s="3">
        <v>3985.57</v>
      </c>
      <c r="K1530" s="11"/>
      <c r="L1530" s="11"/>
      <c r="M1530" s="11"/>
      <c r="N1530" s="11"/>
      <c r="P1530" s="11"/>
      <c r="Q1530" s="11"/>
      <c r="R1530" s="3"/>
    </row>
    <row r="1531" spans="1:18" x14ac:dyDescent="0.2">
      <c r="A1531" s="11">
        <v>4020</v>
      </c>
      <c r="B1531" s="11">
        <v>7</v>
      </c>
      <c r="C1531" s="11" t="s">
        <v>387</v>
      </c>
      <c r="D1531" s="11">
        <f t="shared" si="46"/>
        <v>7</v>
      </c>
      <c r="E1531">
        <f t="shared" si="47"/>
        <v>4020007</v>
      </c>
      <c r="F1531" s="11">
        <v>470</v>
      </c>
      <c r="G1531" s="11" t="s">
        <v>6</v>
      </c>
      <c r="H1531" s="3">
        <v>133797.99</v>
      </c>
      <c r="K1531" s="11"/>
      <c r="L1531" s="11"/>
      <c r="M1531" s="11"/>
      <c r="N1531" s="11"/>
      <c r="P1531" s="11"/>
      <c r="Q1531" s="11"/>
      <c r="R1531" s="3"/>
    </row>
    <row r="1532" spans="1:18" x14ac:dyDescent="0.2">
      <c r="A1532" s="11">
        <v>4020</v>
      </c>
      <c r="B1532" s="11">
        <v>7</v>
      </c>
      <c r="C1532" s="11" t="s">
        <v>387</v>
      </c>
      <c r="D1532" s="11">
        <f t="shared" si="46"/>
        <v>8</v>
      </c>
      <c r="E1532">
        <f t="shared" si="47"/>
        <v>4020008</v>
      </c>
      <c r="F1532" s="11">
        <v>480</v>
      </c>
      <c r="G1532" s="11" t="s">
        <v>19</v>
      </c>
      <c r="H1532" s="3">
        <v>168059.93</v>
      </c>
      <c r="K1532" s="11"/>
      <c r="L1532" s="11"/>
      <c r="M1532" s="11"/>
      <c r="N1532" s="11"/>
      <c r="P1532" s="11"/>
      <c r="Q1532" s="11"/>
      <c r="R1532" s="3"/>
    </row>
    <row r="1533" spans="1:18" x14ac:dyDescent="0.2">
      <c r="A1533" s="11">
        <v>4020</v>
      </c>
      <c r="B1533" s="11">
        <v>7</v>
      </c>
      <c r="C1533" s="11" t="s">
        <v>387</v>
      </c>
      <c r="D1533" s="11">
        <f t="shared" si="46"/>
        <v>9</v>
      </c>
      <c r="E1533">
        <f t="shared" si="47"/>
        <v>4020009</v>
      </c>
      <c r="F1533" s="11">
        <v>481</v>
      </c>
      <c r="G1533" s="11" t="s">
        <v>379</v>
      </c>
      <c r="H1533" s="3">
        <v>29657.63</v>
      </c>
      <c r="K1533" s="11"/>
      <c r="L1533" s="11"/>
      <c r="M1533" s="11"/>
      <c r="N1533" s="11"/>
      <c r="P1533" s="11"/>
      <c r="Q1533" s="11"/>
      <c r="R1533" s="3"/>
    </row>
    <row r="1534" spans="1:18" x14ac:dyDescent="0.2">
      <c r="A1534" s="11">
        <v>4020</v>
      </c>
      <c r="B1534" s="11">
        <v>7</v>
      </c>
      <c r="C1534" s="11" t="s">
        <v>387</v>
      </c>
      <c r="D1534" s="11">
        <f t="shared" si="46"/>
        <v>10</v>
      </c>
      <c r="E1534">
        <f t="shared" si="47"/>
        <v>4020010</v>
      </c>
      <c r="F1534" s="11">
        <v>484</v>
      </c>
      <c r="G1534" s="11" t="s">
        <v>20</v>
      </c>
      <c r="H1534" s="3">
        <v>8101.43</v>
      </c>
      <c r="K1534" s="11"/>
      <c r="L1534" s="11"/>
      <c r="M1534" s="11"/>
      <c r="N1534" s="11"/>
      <c r="P1534" s="11"/>
      <c r="Q1534" s="11"/>
      <c r="R1534" s="3"/>
    </row>
    <row r="1535" spans="1:18" x14ac:dyDescent="0.2">
      <c r="A1535" s="11">
        <v>4026</v>
      </c>
      <c r="B1535" s="11">
        <v>7</v>
      </c>
      <c r="C1535" s="11" t="s">
        <v>388</v>
      </c>
      <c r="D1535" s="11">
        <f t="shared" si="46"/>
        <v>1</v>
      </c>
      <c r="E1535">
        <f t="shared" si="47"/>
        <v>4026001</v>
      </c>
      <c r="F1535" s="11">
        <v>401</v>
      </c>
      <c r="G1535" s="11" t="s">
        <v>29</v>
      </c>
      <c r="H1535" s="3">
        <v>45776.55</v>
      </c>
      <c r="K1535" s="11"/>
      <c r="L1535" s="11"/>
      <c r="M1535" s="11"/>
      <c r="N1535" s="11"/>
      <c r="P1535" s="11"/>
      <c r="Q1535" s="11"/>
      <c r="R1535" s="3"/>
    </row>
    <row r="1536" spans="1:18" x14ac:dyDescent="0.2">
      <c r="A1536" s="11">
        <v>4026</v>
      </c>
      <c r="B1536" s="11">
        <v>7</v>
      </c>
      <c r="C1536" s="11" t="s">
        <v>388</v>
      </c>
      <c r="D1536" s="11">
        <f t="shared" si="46"/>
        <v>2</v>
      </c>
      <c r="E1536">
        <f t="shared" si="47"/>
        <v>4026002</v>
      </c>
      <c r="F1536" s="11">
        <v>414</v>
      </c>
      <c r="G1536" s="11" t="s">
        <v>9</v>
      </c>
      <c r="H1536" s="3">
        <v>7378.98</v>
      </c>
      <c r="K1536" s="11"/>
      <c r="L1536" s="11"/>
      <c r="M1536" s="11"/>
      <c r="N1536" s="11"/>
      <c r="P1536" s="11"/>
      <c r="Q1536" s="11"/>
      <c r="R1536" s="3"/>
    </row>
    <row r="1537" spans="1:18" x14ac:dyDescent="0.2">
      <c r="A1537" s="11">
        <v>4026</v>
      </c>
      <c r="B1537" s="11">
        <v>7</v>
      </c>
      <c r="C1537" s="11" t="s">
        <v>388</v>
      </c>
      <c r="D1537" s="11">
        <f t="shared" si="46"/>
        <v>3</v>
      </c>
      <c r="E1537">
        <f t="shared" si="47"/>
        <v>4026003</v>
      </c>
      <c r="F1537" s="11">
        <v>470</v>
      </c>
      <c r="G1537" s="11" t="s">
        <v>6</v>
      </c>
      <c r="H1537" s="3">
        <v>27270.92</v>
      </c>
      <c r="K1537" s="11"/>
      <c r="L1537" s="11"/>
      <c r="M1537" s="11"/>
      <c r="N1537" s="11"/>
      <c r="P1537" s="11"/>
      <c r="Q1537" s="11"/>
      <c r="R1537" s="3"/>
    </row>
    <row r="1538" spans="1:18" x14ac:dyDescent="0.2">
      <c r="A1538" s="11">
        <v>4027</v>
      </c>
      <c r="B1538" s="11">
        <v>7</v>
      </c>
      <c r="C1538" s="11" t="s">
        <v>389</v>
      </c>
      <c r="D1538" s="11">
        <f t="shared" si="46"/>
        <v>1</v>
      </c>
      <c r="E1538">
        <f t="shared" si="47"/>
        <v>4027001</v>
      </c>
      <c r="F1538" s="11">
        <v>414</v>
      </c>
      <c r="G1538" s="11" t="s">
        <v>9</v>
      </c>
      <c r="H1538" s="3">
        <v>49841.96</v>
      </c>
      <c r="K1538" s="11"/>
      <c r="L1538" s="11"/>
      <c r="M1538" s="11"/>
      <c r="N1538" s="11"/>
      <c r="P1538" s="11"/>
      <c r="Q1538" s="11"/>
      <c r="R1538" s="3"/>
    </row>
    <row r="1539" spans="1:18" x14ac:dyDescent="0.2">
      <c r="A1539" s="11">
        <v>4027</v>
      </c>
      <c r="B1539" s="11">
        <v>7</v>
      </c>
      <c r="C1539" s="11" t="s">
        <v>389</v>
      </c>
      <c r="D1539" s="11">
        <f t="shared" si="46"/>
        <v>2</v>
      </c>
      <c r="E1539">
        <f t="shared" si="47"/>
        <v>4027002</v>
      </c>
      <c r="F1539" s="11">
        <v>433</v>
      </c>
      <c r="G1539" s="11" t="s">
        <v>30</v>
      </c>
      <c r="H1539" s="3">
        <v>3965.75</v>
      </c>
      <c r="K1539" s="11"/>
      <c r="L1539" s="11"/>
      <c r="M1539" s="11"/>
      <c r="N1539" s="11"/>
      <c r="P1539" s="11"/>
      <c r="Q1539" s="11"/>
      <c r="R1539" s="3"/>
    </row>
    <row r="1540" spans="1:18" x14ac:dyDescent="0.2">
      <c r="A1540" s="11">
        <v>4027</v>
      </c>
      <c r="B1540" s="11">
        <v>7</v>
      </c>
      <c r="C1540" s="11" t="s">
        <v>389</v>
      </c>
      <c r="D1540" s="11">
        <f t="shared" si="46"/>
        <v>3</v>
      </c>
      <c r="E1540">
        <f t="shared" si="47"/>
        <v>4027003</v>
      </c>
      <c r="F1540" s="11">
        <v>470</v>
      </c>
      <c r="G1540" s="11" t="s">
        <v>6</v>
      </c>
      <c r="H1540" s="3">
        <v>155955.62</v>
      </c>
      <c r="K1540" s="11"/>
      <c r="L1540" s="11"/>
      <c r="M1540" s="11"/>
      <c r="N1540" s="11"/>
      <c r="P1540" s="11"/>
      <c r="Q1540" s="11"/>
      <c r="R1540" s="3"/>
    </row>
    <row r="1541" spans="1:18" x14ac:dyDescent="0.2">
      <c r="A1541" s="11">
        <v>4029</v>
      </c>
      <c r="B1541" s="11">
        <v>7</v>
      </c>
      <c r="C1541" s="11" t="s">
        <v>390</v>
      </c>
      <c r="D1541" s="11">
        <f t="shared" si="46"/>
        <v>1</v>
      </c>
      <c r="E1541">
        <f t="shared" si="47"/>
        <v>4029001</v>
      </c>
      <c r="F1541" s="11">
        <v>420</v>
      </c>
      <c r="G1541" s="11" t="s">
        <v>11</v>
      </c>
      <c r="H1541" s="3">
        <v>423.9</v>
      </c>
      <c r="K1541" s="11"/>
      <c r="L1541" s="11"/>
      <c r="M1541" s="11"/>
      <c r="N1541" s="11"/>
      <c r="P1541" s="11"/>
      <c r="Q1541" s="11"/>
      <c r="R1541" s="3"/>
    </row>
    <row r="1542" spans="1:18" x14ac:dyDescent="0.2">
      <c r="A1542" s="11">
        <v>4029</v>
      </c>
      <c r="B1542" s="11">
        <v>7</v>
      </c>
      <c r="C1542" s="11" t="s">
        <v>390</v>
      </c>
      <c r="D1542" s="11">
        <f t="shared" si="46"/>
        <v>2</v>
      </c>
      <c r="E1542">
        <f t="shared" si="47"/>
        <v>4029002</v>
      </c>
      <c r="F1542" s="11">
        <v>425</v>
      </c>
      <c r="G1542" s="11" t="s">
        <v>49</v>
      </c>
      <c r="H1542" s="3">
        <v>10067.35</v>
      </c>
      <c r="K1542" s="11"/>
      <c r="L1542" s="11"/>
      <c r="M1542" s="11"/>
      <c r="N1542" s="11"/>
      <c r="P1542" s="11"/>
      <c r="Q1542" s="11"/>
      <c r="R1542" s="3"/>
    </row>
    <row r="1543" spans="1:18" x14ac:dyDescent="0.2">
      <c r="A1543" s="11">
        <v>4029</v>
      </c>
      <c r="B1543" s="11">
        <v>7</v>
      </c>
      <c r="C1543" s="11" t="s">
        <v>390</v>
      </c>
      <c r="D1543" s="11">
        <f t="shared" si="46"/>
        <v>3</v>
      </c>
      <c r="E1543">
        <f t="shared" si="47"/>
        <v>4029003</v>
      </c>
      <c r="F1543" s="11">
        <v>481</v>
      </c>
      <c r="G1543" s="11" t="s">
        <v>379</v>
      </c>
      <c r="H1543" s="3">
        <v>12770.01</v>
      </c>
      <c r="K1543" s="11"/>
      <c r="L1543" s="11"/>
      <c r="M1543" s="11"/>
      <c r="N1543" s="11"/>
      <c r="P1543" s="11"/>
      <c r="Q1543" s="11"/>
      <c r="R1543" s="3"/>
    </row>
    <row r="1544" spans="1:18" x14ac:dyDescent="0.2">
      <c r="A1544" s="11">
        <v>4029</v>
      </c>
      <c r="B1544" s="11">
        <v>7</v>
      </c>
      <c r="C1544" s="11" t="s">
        <v>390</v>
      </c>
      <c r="D1544" s="11">
        <f t="shared" si="46"/>
        <v>4</v>
      </c>
      <c r="E1544">
        <f t="shared" si="47"/>
        <v>4029004</v>
      </c>
      <c r="F1544" s="11">
        <v>484</v>
      </c>
      <c r="G1544" s="11" t="s">
        <v>20</v>
      </c>
      <c r="H1544" s="3">
        <v>3490.31</v>
      </c>
      <c r="K1544" s="11"/>
      <c r="L1544" s="11"/>
      <c r="M1544" s="11"/>
      <c r="N1544" s="11"/>
      <c r="P1544" s="11"/>
      <c r="Q1544" s="11"/>
      <c r="R1544" s="3"/>
    </row>
    <row r="1545" spans="1:18" x14ac:dyDescent="0.2">
      <c r="A1545" s="11">
        <v>4030</v>
      </c>
      <c r="B1545" s="11">
        <v>7</v>
      </c>
      <c r="C1545" s="11" t="s">
        <v>391</v>
      </c>
      <c r="D1545" s="11">
        <f t="shared" si="46"/>
        <v>1</v>
      </c>
      <c r="E1545">
        <f t="shared" si="47"/>
        <v>4030001</v>
      </c>
      <c r="F1545" s="11">
        <v>433</v>
      </c>
      <c r="G1545" s="11" t="s">
        <v>30</v>
      </c>
      <c r="H1545" s="3">
        <v>1486.78</v>
      </c>
      <c r="K1545" s="11"/>
      <c r="L1545" s="11"/>
      <c r="M1545" s="11"/>
      <c r="N1545" s="11"/>
      <c r="P1545" s="11"/>
      <c r="Q1545" s="11"/>
      <c r="R1545" s="3"/>
    </row>
    <row r="1546" spans="1:18" x14ac:dyDescent="0.2">
      <c r="A1546" s="11">
        <v>4030</v>
      </c>
      <c r="B1546" s="11">
        <v>7</v>
      </c>
      <c r="C1546" s="11" t="s">
        <v>391</v>
      </c>
      <c r="D1546" s="11">
        <f t="shared" si="46"/>
        <v>2</v>
      </c>
      <c r="E1546">
        <f t="shared" si="47"/>
        <v>4030002</v>
      </c>
      <c r="F1546" s="11">
        <v>470</v>
      </c>
      <c r="G1546" s="11" t="s">
        <v>6</v>
      </c>
      <c r="H1546" s="3">
        <v>56246.28</v>
      </c>
      <c r="K1546" s="11"/>
      <c r="L1546" s="11"/>
      <c r="M1546" s="11"/>
      <c r="N1546" s="11"/>
      <c r="P1546" s="11"/>
      <c r="Q1546" s="11"/>
      <c r="R1546" s="3"/>
    </row>
    <row r="1547" spans="1:18" x14ac:dyDescent="0.2">
      <c r="A1547" s="11">
        <v>4030</v>
      </c>
      <c r="B1547" s="11">
        <v>7</v>
      </c>
      <c r="C1547" s="11" t="s">
        <v>391</v>
      </c>
      <c r="D1547" s="11">
        <f t="shared" si="46"/>
        <v>3</v>
      </c>
      <c r="E1547">
        <f t="shared" si="47"/>
        <v>4030003</v>
      </c>
      <c r="F1547" s="11">
        <v>484</v>
      </c>
      <c r="G1547" s="11" t="s">
        <v>20</v>
      </c>
      <c r="H1547" s="3">
        <v>2686.48</v>
      </c>
      <c r="K1547" s="11"/>
      <c r="L1547" s="11"/>
      <c r="M1547" s="11"/>
      <c r="N1547" s="11"/>
      <c r="P1547" s="11"/>
      <c r="Q1547" s="11"/>
      <c r="R1547" s="3"/>
    </row>
    <row r="1548" spans="1:18" x14ac:dyDescent="0.2">
      <c r="A1548" s="11">
        <v>4031</v>
      </c>
      <c r="B1548" s="11">
        <v>7</v>
      </c>
      <c r="C1548" s="11" t="s">
        <v>392</v>
      </c>
      <c r="D1548" s="11">
        <f t="shared" si="46"/>
        <v>1</v>
      </c>
      <c r="E1548">
        <f t="shared" si="47"/>
        <v>4031001</v>
      </c>
      <c r="F1548" s="11">
        <v>414</v>
      </c>
      <c r="G1548" s="11" t="s">
        <v>9</v>
      </c>
      <c r="H1548" s="3">
        <v>4498.75</v>
      </c>
      <c r="K1548" s="11"/>
      <c r="L1548" s="11"/>
      <c r="M1548" s="11"/>
      <c r="N1548" s="11"/>
      <c r="P1548" s="11"/>
      <c r="Q1548" s="11"/>
      <c r="R1548" s="3"/>
    </row>
    <row r="1549" spans="1:18" x14ac:dyDescent="0.2">
      <c r="A1549" s="11">
        <v>4032</v>
      </c>
      <c r="B1549" s="11">
        <v>7</v>
      </c>
      <c r="C1549" s="11" t="s">
        <v>393</v>
      </c>
      <c r="D1549" s="11">
        <f t="shared" si="46"/>
        <v>1</v>
      </c>
      <c r="E1549">
        <f t="shared" si="47"/>
        <v>4032001</v>
      </c>
      <c r="F1549" s="11">
        <v>414</v>
      </c>
      <c r="G1549" s="11" t="s">
        <v>9</v>
      </c>
      <c r="H1549" s="3">
        <v>22584.83</v>
      </c>
      <c r="K1549" s="11"/>
      <c r="L1549" s="11"/>
      <c r="M1549" s="11"/>
      <c r="N1549" s="11"/>
      <c r="P1549" s="11"/>
      <c r="Q1549" s="11"/>
      <c r="R1549" s="3"/>
    </row>
    <row r="1550" spans="1:18" x14ac:dyDescent="0.2">
      <c r="A1550" s="11">
        <v>4032</v>
      </c>
      <c r="B1550" s="11">
        <v>7</v>
      </c>
      <c r="C1550" s="11" t="s">
        <v>393</v>
      </c>
      <c r="D1550" s="11">
        <f t="shared" si="46"/>
        <v>2</v>
      </c>
      <c r="E1550">
        <f t="shared" si="47"/>
        <v>4032002</v>
      </c>
      <c r="F1550" s="11">
        <v>433</v>
      </c>
      <c r="G1550" s="11" t="s">
        <v>30</v>
      </c>
      <c r="H1550" s="3">
        <v>2233.0300000000002</v>
      </c>
      <c r="K1550" s="11"/>
      <c r="L1550" s="11"/>
      <c r="M1550" s="11"/>
      <c r="N1550" s="11"/>
      <c r="P1550" s="11"/>
      <c r="Q1550" s="11"/>
      <c r="R1550" s="3"/>
    </row>
    <row r="1551" spans="1:18" x14ac:dyDescent="0.2">
      <c r="A1551" s="11">
        <v>4035</v>
      </c>
      <c r="B1551" s="11">
        <v>7</v>
      </c>
      <c r="C1551" s="11" t="s">
        <v>394</v>
      </c>
      <c r="D1551" s="11">
        <f t="shared" ref="D1551:D1614" si="48">IF(A1551=A1550,D1550+1,1)</f>
        <v>1</v>
      </c>
      <c r="E1551">
        <f t="shared" ref="E1551:E1614" si="49">1000*A1551+D1551</f>
        <v>4035001</v>
      </c>
      <c r="F1551" s="11">
        <v>420</v>
      </c>
      <c r="G1551" s="11" t="s">
        <v>11</v>
      </c>
      <c r="H1551" s="3">
        <v>15.25</v>
      </c>
      <c r="K1551" s="11"/>
      <c r="L1551" s="11"/>
      <c r="M1551" s="11"/>
      <c r="N1551" s="11"/>
      <c r="P1551" s="11"/>
      <c r="Q1551" s="11"/>
      <c r="R1551" s="3"/>
    </row>
    <row r="1552" spans="1:18" x14ac:dyDescent="0.2">
      <c r="A1552" s="11">
        <v>4036</v>
      </c>
      <c r="B1552" s="11">
        <v>7</v>
      </c>
      <c r="C1552" s="11" t="s">
        <v>395</v>
      </c>
      <c r="D1552" s="11">
        <f t="shared" si="48"/>
        <v>1</v>
      </c>
      <c r="E1552">
        <f t="shared" si="49"/>
        <v>4036001</v>
      </c>
      <c r="F1552" s="11">
        <v>401</v>
      </c>
      <c r="G1552" s="11" t="s">
        <v>29</v>
      </c>
      <c r="H1552" s="3">
        <v>24936.46</v>
      </c>
      <c r="K1552" s="11"/>
      <c r="L1552" s="11"/>
      <c r="M1552" s="11"/>
      <c r="N1552" s="11"/>
      <c r="P1552" s="11"/>
      <c r="Q1552" s="11"/>
      <c r="R1552" s="3"/>
    </row>
    <row r="1553" spans="1:18" x14ac:dyDescent="0.2">
      <c r="A1553" s="11">
        <v>4036</v>
      </c>
      <c r="B1553" s="11">
        <v>7</v>
      </c>
      <c r="C1553" s="11" t="s">
        <v>395</v>
      </c>
      <c r="D1553" s="11">
        <f t="shared" si="48"/>
        <v>2</v>
      </c>
      <c r="E1553">
        <f t="shared" si="49"/>
        <v>4036002</v>
      </c>
      <c r="F1553" s="11">
        <v>414</v>
      </c>
      <c r="G1553" s="11" t="s">
        <v>9</v>
      </c>
      <c r="H1553" s="3">
        <v>4702.91</v>
      </c>
      <c r="K1553" s="11"/>
      <c r="L1553" s="11"/>
      <c r="M1553" s="11"/>
      <c r="N1553" s="11"/>
      <c r="P1553" s="11"/>
      <c r="Q1553" s="11"/>
      <c r="R1553" s="3"/>
    </row>
    <row r="1554" spans="1:18" x14ac:dyDescent="0.2">
      <c r="A1554" s="11">
        <v>4036</v>
      </c>
      <c r="B1554" s="11">
        <v>7</v>
      </c>
      <c r="C1554" s="11" t="s">
        <v>395</v>
      </c>
      <c r="D1554" s="11">
        <f t="shared" si="48"/>
        <v>3</v>
      </c>
      <c r="E1554">
        <f t="shared" si="49"/>
        <v>4036003</v>
      </c>
      <c r="F1554" s="11">
        <v>470</v>
      </c>
      <c r="G1554" s="11" t="s">
        <v>6</v>
      </c>
      <c r="H1554" s="3">
        <v>16192.11</v>
      </c>
      <c r="K1554" s="11"/>
      <c r="L1554" s="11"/>
      <c r="M1554" s="11"/>
      <c r="N1554" s="11"/>
      <c r="P1554" s="11"/>
      <c r="Q1554" s="11"/>
      <c r="R1554" s="3"/>
    </row>
    <row r="1555" spans="1:18" x14ac:dyDescent="0.2">
      <c r="A1555" s="11">
        <v>4038</v>
      </c>
      <c r="B1555" s="11">
        <v>7</v>
      </c>
      <c r="C1555" s="11" t="s">
        <v>396</v>
      </c>
      <c r="D1555" s="11">
        <f t="shared" si="48"/>
        <v>1</v>
      </c>
      <c r="E1555">
        <f t="shared" si="49"/>
        <v>4038001</v>
      </c>
      <c r="F1555" s="11">
        <v>425</v>
      </c>
      <c r="G1555" s="11" t="s">
        <v>49</v>
      </c>
      <c r="H1555" s="3">
        <v>5289.52</v>
      </c>
      <c r="K1555" s="11"/>
      <c r="L1555" s="11"/>
      <c r="M1555" s="11"/>
      <c r="N1555" s="11"/>
      <c r="P1555" s="11"/>
      <c r="Q1555" s="11"/>
      <c r="R1555" s="3"/>
    </row>
    <row r="1556" spans="1:18" x14ac:dyDescent="0.2">
      <c r="A1556" s="11">
        <v>4038</v>
      </c>
      <c r="B1556" s="11">
        <v>7</v>
      </c>
      <c r="C1556" s="11" t="s">
        <v>396</v>
      </c>
      <c r="D1556" s="11">
        <f t="shared" si="48"/>
        <v>2</v>
      </c>
      <c r="E1556">
        <f t="shared" si="49"/>
        <v>4038002</v>
      </c>
      <c r="F1556" s="11">
        <v>433</v>
      </c>
      <c r="G1556" s="11" t="s">
        <v>30</v>
      </c>
      <c r="H1556" s="3">
        <v>1989.79</v>
      </c>
      <c r="K1556" s="11"/>
      <c r="L1556" s="11"/>
      <c r="M1556" s="11"/>
      <c r="N1556" s="11"/>
      <c r="P1556" s="11"/>
      <c r="Q1556" s="11"/>
      <c r="R1556" s="3"/>
    </row>
    <row r="1557" spans="1:18" x14ac:dyDescent="0.2">
      <c r="A1557" s="11">
        <v>4038</v>
      </c>
      <c r="B1557" s="11">
        <v>7</v>
      </c>
      <c r="C1557" s="11" t="s">
        <v>396</v>
      </c>
      <c r="D1557" s="11">
        <f t="shared" si="48"/>
        <v>3</v>
      </c>
      <c r="E1557">
        <f t="shared" si="49"/>
        <v>4038003</v>
      </c>
      <c r="F1557" s="11">
        <v>481</v>
      </c>
      <c r="G1557" s="11" t="s">
        <v>379</v>
      </c>
      <c r="H1557" s="3">
        <v>6686.72</v>
      </c>
      <c r="K1557" s="11"/>
      <c r="L1557" s="11"/>
      <c r="M1557" s="11"/>
      <c r="N1557" s="11"/>
      <c r="P1557" s="11"/>
      <c r="Q1557" s="11"/>
      <c r="R1557" s="3"/>
    </row>
    <row r="1558" spans="1:18" x14ac:dyDescent="0.2">
      <c r="A1558" s="11">
        <v>4039</v>
      </c>
      <c r="B1558" s="11">
        <v>7</v>
      </c>
      <c r="C1558" s="11" t="s">
        <v>397</v>
      </c>
      <c r="D1558" s="11">
        <f t="shared" si="48"/>
        <v>1</v>
      </c>
      <c r="E1558">
        <f t="shared" si="49"/>
        <v>4039001</v>
      </c>
      <c r="F1558" s="11">
        <v>151</v>
      </c>
      <c r="G1558" s="11" t="s">
        <v>28</v>
      </c>
      <c r="H1558" s="3">
        <v>116525.31</v>
      </c>
      <c r="K1558" s="11"/>
      <c r="L1558" s="11"/>
      <c r="M1558" s="11"/>
      <c r="N1558" s="11"/>
      <c r="P1558" s="11"/>
      <c r="Q1558" s="11"/>
      <c r="R1558" s="3"/>
    </row>
    <row r="1559" spans="1:18" x14ac:dyDescent="0.2">
      <c r="A1559" s="11">
        <v>4039</v>
      </c>
      <c r="B1559" s="11">
        <v>7</v>
      </c>
      <c r="C1559" s="11" t="s">
        <v>397</v>
      </c>
      <c r="D1559" s="11">
        <f t="shared" si="48"/>
        <v>2</v>
      </c>
      <c r="E1559">
        <f t="shared" si="49"/>
        <v>4039002</v>
      </c>
      <c r="F1559" s="11">
        <v>401</v>
      </c>
      <c r="G1559" s="11" t="s">
        <v>29</v>
      </c>
      <c r="H1559" s="3">
        <v>82727.67</v>
      </c>
      <c r="K1559" s="11"/>
      <c r="L1559" s="11"/>
      <c r="M1559" s="11"/>
      <c r="N1559" s="11"/>
      <c r="P1559" s="11"/>
      <c r="Q1559" s="11"/>
      <c r="R1559" s="3"/>
    </row>
    <row r="1560" spans="1:18" x14ac:dyDescent="0.2">
      <c r="A1560" s="11">
        <v>4039</v>
      </c>
      <c r="B1560" s="11">
        <v>7</v>
      </c>
      <c r="C1560" s="11" t="s">
        <v>397</v>
      </c>
      <c r="D1560" s="11">
        <f t="shared" si="48"/>
        <v>3</v>
      </c>
      <c r="E1560">
        <f t="shared" si="49"/>
        <v>4039003</v>
      </c>
      <c r="F1560" s="11">
        <v>414</v>
      </c>
      <c r="G1560" s="11" t="s">
        <v>9</v>
      </c>
      <c r="H1560" s="3">
        <v>14308.08</v>
      </c>
      <c r="K1560" s="11"/>
      <c r="L1560" s="11"/>
      <c r="M1560" s="11"/>
      <c r="N1560" s="11"/>
      <c r="P1560" s="11"/>
      <c r="Q1560" s="11"/>
      <c r="R1560" s="3"/>
    </row>
    <row r="1561" spans="1:18" x14ac:dyDescent="0.2">
      <c r="A1561" s="11">
        <v>4039</v>
      </c>
      <c r="B1561" s="11">
        <v>7</v>
      </c>
      <c r="C1561" s="11" t="s">
        <v>397</v>
      </c>
      <c r="D1561" s="11">
        <f t="shared" si="48"/>
        <v>4</v>
      </c>
      <c r="E1561">
        <f t="shared" si="49"/>
        <v>4039004</v>
      </c>
      <c r="F1561" s="11">
        <v>419</v>
      </c>
      <c r="G1561" s="11" t="s">
        <v>10</v>
      </c>
      <c r="H1561" s="3">
        <v>51696.41</v>
      </c>
      <c r="K1561" s="11"/>
      <c r="L1561" s="11"/>
      <c r="M1561" s="11"/>
      <c r="N1561" s="11"/>
      <c r="P1561" s="11"/>
      <c r="Q1561" s="11"/>
      <c r="R1561" s="3"/>
    </row>
    <row r="1562" spans="1:18" x14ac:dyDescent="0.2">
      <c r="A1562" s="11">
        <v>4039</v>
      </c>
      <c r="B1562" s="11">
        <v>7</v>
      </c>
      <c r="C1562" s="11" t="s">
        <v>397</v>
      </c>
      <c r="D1562" s="11">
        <f t="shared" si="48"/>
        <v>5</v>
      </c>
      <c r="E1562">
        <f t="shared" si="49"/>
        <v>4039005</v>
      </c>
      <c r="F1562" s="11">
        <v>425</v>
      </c>
      <c r="G1562" s="11" t="s">
        <v>49</v>
      </c>
      <c r="H1562" s="3">
        <v>3914.46</v>
      </c>
      <c r="K1562" s="11"/>
      <c r="L1562" s="11"/>
      <c r="M1562" s="11"/>
      <c r="N1562" s="11"/>
      <c r="P1562" s="11"/>
      <c r="Q1562" s="11"/>
      <c r="R1562" s="3"/>
    </row>
    <row r="1563" spans="1:18" x14ac:dyDescent="0.2">
      <c r="A1563" s="11">
        <v>4039</v>
      </c>
      <c r="B1563" s="11">
        <v>7</v>
      </c>
      <c r="C1563" s="11" t="s">
        <v>397</v>
      </c>
      <c r="D1563" s="11">
        <f t="shared" si="48"/>
        <v>6</v>
      </c>
      <c r="E1563">
        <f t="shared" si="49"/>
        <v>4039006</v>
      </c>
      <c r="F1563" s="11">
        <v>433</v>
      </c>
      <c r="G1563" s="11" t="s">
        <v>30</v>
      </c>
      <c r="H1563" s="3">
        <v>1406.02</v>
      </c>
      <c r="K1563" s="11"/>
      <c r="L1563" s="11"/>
      <c r="M1563" s="11"/>
      <c r="N1563" s="11"/>
      <c r="P1563" s="11"/>
      <c r="Q1563" s="11"/>
      <c r="R1563" s="3"/>
    </row>
    <row r="1564" spans="1:18" x14ac:dyDescent="0.2">
      <c r="A1564" s="11">
        <v>4039</v>
      </c>
      <c r="B1564" s="11">
        <v>7</v>
      </c>
      <c r="C1564" s="11" t="s">
        <v>397</v>
      </c>
      <c r="D1564" s="11">
        <f t="shared" si="48"/>
        <v>7</v>
      </c>
      <c r="E1564">
        <f t="shared" si="49"/>
        <v>4039007</v>
      </c>
      <c r="F1564" s="11">
        <v>470</v>
      </c>
      <c r="G1564" s="11" t="s">
        <v>6</v>
      </c>
      <c r="H1564" s="3">
        <v>54541.85</v>
      </c>
      <c r="K1564" s="11"/>
      <c r="L1564" s="11"/>
      <c r="M1564" s="11"/>
      <c r="N1564" s="11"/>
      <c r="P1564" s="11"/>
      <c r="Q1564" s="11"/>
      <c r="R1564" s="3"/>
    </row>
    <row r="1565" spans="1:18" x14ac:dyDescent="0.2">
      <c r="A1565" s="11">
        <v>4039</v>
      </c>
      <c r="B1565" s="11">
        <v>7</v>
      </c>
      <c r="C1565" s="11" t="s">
        <v>397</v>
      </c>
      <c r="D1565" s="11">
        <f t="shared" si="48"/>
        <v>8</v>
      </c>
      <c r="E1565">
        <f t="shared" si="49"/>
        <v>4039008</v>
      </c>
      <c r="F1565" s="11">
        <v>480</v>
      </c>
      <c r="G1565" s="11" t="s">
        <v>19</v>
      </c>
      <c r="H1565" s="3">
        <v>53955.88</v>
      </c>
      <c r="K1565" s="11"/>
      <c r="L1565" s="11"/>
      <c r="M1565" s="11"/>
      <c r="N1565" s="11"/>
      <c r="P1565" s="11"/>
      <c r="Q1565" s="11"/>
      <c r="R1565" s="3"/>
    </row>
    <row r="1566" spans="1:18" x14ac:dyDescent="0.2">
      <c r="A1566" s="11">
        <v>4039</v>
      </c>
      <c r="B1566" s="11">
        <v>7</v>
      </c>
      <c r="C1566" s="11" t="s">
        <v>397</v>
      </c>
      <c r="D1566" s="11">
        <f t="shared" si="48"/>
        <v>9</v>
      </c>
      <c r="E1566">
        <f t="shared" si="49"/>
        <v>4039009</v>
      </c>
      <c r="F1566" s="11">
        <v>481</v>
      </c>
      <c r="G1566" s="11" t="s">
        <v>379</v>
      </c>
      <c r="H1566" s="3">
        <v>4085.54</v>
      </c>
      <c r="K1566" s="11"/>
      <c r="L1566" s="11"/>
      <c r="M1566" s="11"/>
      <c r="N1566" s="11"/>
      <c r="P1566" s="11"/>
      <c r="Q1566" s="11"/>
      <c r="R1566" s="3"/>
    </row>
    <row r="1567" spans="1:18" x14ac:dyDescent="0.2">
      <c r="A1567" s="11">
        <v>4042</v>
      </c>
      <c r="B1567" s="11">
        <v>7</v>
      </c>
      <c r="C1567" s="11" t="s">
        <v>398</v>
      </c>
      <c r="D1567" s="11">
        <f t="shared" si="48"/>
        <v>1</v>
      </c>
      <c r="E1567">
        <f t="shared" si="49"/>
        <v>4042001</v>
      </c>
      <c r="F1567" s="11">
        <v>414</v>
      </c>
      <c r="G1567" s="11" t="s">
        <v>9</v>
      </c>
      <c r="H1567" s="3">
        <v>7510.41</v>
      </c>
      <c r="K1567" s="11"/>
      <c r="L1567" s="11"/>
      <c r="M1567" s="11"/>
      <c r="N1567" s="11"/>
      <c r="P1567" s="11"/>
      <c r="Q1567" s="11"/>
      <c r="R1567" s="3"/>
    </row>
    <row r="1568" spans="1:18" x14ac:dyDescent="0.2">
      <c r="A1568" s="11">
        <v>4042</v>
      </c>
      <c r="B1568" s="11">
        <v>7</v>
      </c>
      <c r="C1568" s="11" t="s">
        <v>398</v>
      </c>
      <c r="D1568" s="11">
        <f t="shared" si="48"/>
        <v>2</v>
      </c>
      <c r="E1568">
        <f t="shared" si="49"/>
        <v>4042002</v>
      </c>
      <c r="F1568" s="11">
        <v>425</v>
      </c>
      <c r="G1568" s="11" t="s">
        <v>49</v>
      </c>
      <c r="H1568" s="3">
        <v>3543.44</v>
      </c>
      <c r="K1568" s="11"/>
      <c r="L1568" s="11"/>
      <c r="M1568" s="11"/>
      <c r="N1568" s="11"/>
      <c r="P1568" s="11"/>
      <c r="Q1568" s="11"/>
      <c r="R1568" s="3"/>
    </row>
    <row r="1569" spans="1:18" x14ac:dyDescent="0.2">
      <c r="A1569" s="11">
        <v>4042</v>
      </c>
      <c r="B1569" s="11">
        <v>7</v>
      </c>
      <c r="C1569" s="11" t="s">
        <v>398</v>
      </c>
      <c r="D1569" s="11">
        <f t="shared" si="48"/>
        <v>3</v>
      </c>
      <c r="E1569">
        <f t="shared" si="49"/>
        <v>4042003</v>
      </c>
      <c r="F1569" s="11">
        <v>481</v>
      </c>
      <c r="G1569" s="11" t="s">
        <v>379</v>
      </c>
      <c r="H1569" s="3">
        <v>5325.13</v>
      </c>
      <c r="K1569" s="11"/>
      <c r="L1569" s="11"/>
      <c r="M1569" s="11"/>
      <c r="N1569" s="11"/>
      <c r="P1569" s="11"/>
      <c r="Q1569" s="11"/>
      <c r="R1569" s="3"/>
    </row>
    <row r="1570" spans="1:18" x14ac:dyDescent="0.2">
      <c r="A1570" s="11">
        <v>4043</v>
      </c>
      <c r="B1570" s="11">
        <v>7</v>
      </c>
      <c r="C1570" s="11" t="s">
        <v>399</v>
      </c>
      <c r="D1570" s="11">
        <f t="shared" si="48"/>
        <v>1</v>
      </c>
      <c r="E1570">
        <f t="shared" si="49"/>
        <v>4043001</v>
      </c>
      <c r="F1570" s="11">
        <v>151</v>
      </c>
      <c r="G1570" s="11" t="s">
        <v>28</v>
      </c>
      <c r="H1570" s="3">
        <v>107889.14</v>
      </c>
      <c r="K1570" s="11"/>
      <c r="L1570" s="11"/>
      <c r="M1570" s="11"/>
      <c r="N1570" s="11"/>
      <c r="P1570" s="11"/>
      <c r="Q1570" s="11"/>
      <c r="R1570" s="3"/>
    </row>
    <row r="1571" spans="1:18" x14ac:dyDescent="0.2">
      <c r="A1571" s="11">
        <v>4043</v>
      </c>
      <c r="B1571" s="11">
        <v>7</v>
      </c>
      <c r="C1571" s="11" t="s">
        <v>399</v>
      </c>
      <c r="D1571" s="11">
        <f t="shared" si="48"/>
        <v>2</v>
      </c>
      <c r="E1571">
        <f t="shared" si="49"/>
        <v>4043002</v>
      </c>
      <c r="F1571" s="11">
        <v>419</v>
      </c>
      <c r="G1571" s="11" t="s">
        <v>10</v>
      </c>
      <c r="H1571" s="3">
        <v>36371.97</v>
      </c>
      <c r="K1571" s="11"/>
      <c r="L1571" s="11"/>
      <c r="M1571" s="11"/>
      <c r="N1571" s="11"/>
      <c r="P1571" s="11"/>
      <c r="Q1571" s="11"/>
      <c r="R1571" s="3"/>
    </row>
    <row r="1572" spans="1:18" x14ac:dyDescent="0.2">
      <c r="A1572" s="11">
        <v>4043</v>
      </c>
      <c r="B1572" s="11">
        <v>7</v>
      </c>
      <c r="C1572" s="11" t="s">
        <v>399</v>
      </c>
      <c r="D1572" s="11">
        <f t="shared" si="48"/>
        <v>3</v>
      </c>
      <c r="E1572">
        <f t="shared" si="49"/>
        <v>4043003</v>
      </c>
      <c r="F1572" s="11">
        <v>480</v>
      </c>
      <c r="G1572" s="11" t="s">
        <v>19</v>
      </c>
      <c r="H1572" s="3">
        <v>48480.51</v>
      </c>
      <c r="K1572" s="11"/>
      <c r="L1572" s="11"/>
      <c r="M1572" s="11"/>
      <c r="N1572" s="11"/>
      <c r="P1572" s="11"/>
      <c r="Q1572" s="11"/>
      <c r="R1572" s="3"/>
    </row>
    <row r="1573" spans="1:18" x14ac:dyDescent="0.2">
      <c r="A1573" s="11">
        <v>4045</v>
      </c>
      <c r="B1573" s="11">
        <v>7</v>
      </c>
      <c r="C1573" s="11" t="s">
        <v>400</v>
      </c>
      <c r="D1573" s="11">
        <f t="shared" si="48"/>
        <v>1</v>
      </c>
      <c r="E1573">
        <f t="shared" si="49"/>
        <v>4045001</v>
      </c>
      <c r="F1573" s="11">
        <v>414</v>
      </c>
      <c r="G1573" s="11" t="s">
        <v>9</v>
      </c>
      <c r="H1573" s="3">
        <v>4945.79</v>
      </c>
      <c r="K1573" s="11"/>
      <c r="L1573" s="11"/>
      <c r="M1573" s="11"/>
      <c r="N1573" s="11"/>
      <c r="P1573" s="11"/>
      <c r="Q1573" s="11"/>
      <c r="R1573" s="3"/>
    </row>
    <row r="1574" spans="1:18" x14ac:dyDescent="0.2">
      <c r="A1574" s="11">
        <v>4045</v>
      </c>
      <c r="B1574" s="11">
        <v>7</v>
      </c>
      <c r="C1574" s="11" t="s">
        <v>400</v>
      </c>
      <c r="D1574" s="11">
        <f t="shared" si="48"/>
        <v>2</v>
      </c>
      <c r="E1574">
        <f t="shared" si="49"/>
        <v>4045002</v>
      </c>
      <c r="F1574" s="11">
        <v>480</v>
      </c>
      <c r="G1574" s="11" t="s">
        <v>19</v>
      </c>
      <c r="H1574" s="3">
        <v>12120.62</v>
      </c>
      <c r="K1574" s="11"/>
      <c r="L1574" s="11"/>
      <c r="M1574" s="11"/>
      <c r="N1574" s="11"/>
      <c r="P1574" s="11"/>
      <c r="Q1574" s="11"/>
      <c r="R1574" s="3"/>
    </row>
    <row r="1575" spans="1:18" x14ac:dyDescent="0.2">
      <c r="A1575" s="11">
        <v>4046</v>
      </c>
      <c r="B1575" s="11">
        <v>7</v>
      </c>
      <c r="C1575" s="11" t="s">
        <v>401</v>
      </c>
      <c r="D1575" s="11">
        <f t="shared" si="48"/>
        <v>1</v>
      </c>
      <c r="E1575">
        <f t="shared" si="49"/>
        <v>4046001</v>
      </c>
      <c r="F1575" s="11">
        <v>401</v>
      </c>
      <c r="G1575" s="11" t="s">
        <v>29</v>
      </c>
      <c r="H1575" s="3">
        <v>23467.9</v>
      </c>
      <c r="K1575" s="11"/>
      <c r="L1575" s="11"/>
      <c r="M1575" s="11"/>
      <c r="N1575" s="11"/>
      <c r="P1575" s="11"/>
      <c r="Q1575" s="11"/>
      <c r="R1575" s="3"/>
    </row>
    <row r="1576" spans="1:18" x14ac:dyDescent="0.2">
      <c r="A1576" s="11">
        <v>4046</v>
      </c>
      <c r="B1576" s="11">
        <v>7</v>
      </c>
      <c r="C1576" s="11" t="s">
        <v>401</v>
      </c>
      <c r="D1576" s="11">
        <f t="shared" si="48"/>
        <v>2</v>
      </c>
      <c r="E1576">
        <f t="shared" si="49"/>
        <v>4046002</v>
      </c>
      <c r="F1576" s="11">
        <v>414</v>
      </c>
      <c r="G1576" s="11" t="s">
        <v>9</v>
      </c>
      <c r="H1576" s="3">
        <v>5126.6899999999996</v>
      </c>
      <c r="K1576" s="11"/>
      <c r="L1576" s="11"/>
      <c r="M1576" s="11"/>
      <c r="N1576" s="11"/>
      <c r="P1576" s="11"/>
      <c r="Q1576" s="11"/>
      <c r="R1576" s="3"/>
    </row>
    <row r="1577" spans="1:18" x14ac:dyDescent="0.2">
      <c r="A1577" s="11">
        <v>4046</v>
      </c>
      <c r="B1577" s="11">
        <v>7</v>
      </c>
      <c r="C1577" s="11" t="s">
        <v>401</v>
      </c>
      <c r="D1577" s="11">
        <f t="shared" si="48"/>
        <v>3</v>
      </c>
      <c r="E1577">
        <f t="shared" si="49"/>
        <v>4046003</v>
      </c>
      <c r="F1577" s="11">
        <v>433</v>
      </c>
      <c r="G1577" s="11" t="s">
        <v>30</v>
      </c>
      <c r="H1577" s="3">
        <v>405.52</v>
      </c>
      <c r="K1577" s="11"/>
      <c r="L1577" s="11"/>
      <c r="M1577" s="11"/>
      <c r="N1577" s="11"/>
      <c r="P1577" s="11"/>
      <c r="Q1577" s="11"/>
      <c r="R1577" s="3"/>
    </row>
    <row r="1578" spans="1:18" x14ac:dyDescent="0.2">
      <c r="A1578" s="11">
        <v>4046</v>
      </c>
      <c r="B1578" s="11">
        <v>7</v>
      </c>
      <c r="C1578" s="11" t="s">
        <v>401</v>
      </c>
      <c r="D1578" s="11">
        <f t="shared" si="48"/>
        <v>4</v>
      </c>
      <c r="E1578">
        <f t="shared" si="49"/>
        <v>4046004</v>
      </c>
      <c r="F1578" s="11">
        <v>470</v>
      </c>
      <c r="G1578" s="11" t="s">
        <v>6</v>
      </c>
      <c r="H1578" s="3">
        <v>14487.68</v>
      </c>
      <c r="K1578" s="11"/>
      <c r="L1578" s="11"/>
      <c r="M1578" s="11"/>
      <c r="N1578" s="11"/>
      <c r="P1578" s="11"/>
      <c r="Q1578" s="11"/>
      <c r="R1578" s="3"/>
    </row>
    <row r="1579" spans="1:18" x14ac:dyDescent="0.2">
      <c r="A1579" s="11">
        <v>4046</v>
      </c>
      <c r="B1579" s="11">
        <v>7</v>
      </c>
      <c r="C1579" s="11" t="s">
        <v>401</v>
      </c>
      <c r="D1579" s="11">
        <f t="shared" si="48"/>
        <v>5</v>
      </c>
      <c r="E1579">
        <f t="shared" si="49"/>
        <v>4046005</v>
      </c>
      <c r="F1579" s="11">
        <v>480</v>
      </c>
      <c r="G1579" s="11" t="s">
        <v>19</v>
      </c>
      <c r="H1579" s="3">
        <v>16895.11</v>
      </c>
      <c r="K1579" s="11"/>
      <c r="L1579" s="11"/>
      <c r="M1579" s="11"/>
      <c r="N1579" s="11"/>
      <c r="P1579" s="11"/>
      <c r="Q1579" s="11"/>
      <c r="R1579" s="3"/>
    </row>
    <row r="1580" spans="1:18" x14ac:dyDescent="0.2">
      <c r="A1580" s="11">
        <v>4050</v>
      </c>
      <c r="B1580" s="11">
        <v>7</v>
      </c>
      <c r="C1580" s="11" t="s">
        <v>402</v>
      </c>
      <c r="D1580" s="11">
        <f t="shared" si="48"/>
        <v>1</v>
      </c>
      <c r="E1580">
        <f t="shared" si="49"/>
        <v>4050001</v>
      </c>
      <c r="F1580" s="11">
        <v>706</v>
      </c>
      <c r="G1580" s="11" t="s">
        <v>114</v>
      </c>
      <c r="H1580" s="3">
        <v>4125</v>
      </c>
      <c r="K1580" s="11"/>
      <c r="L1580" s="11"/>
      <c r="M1580" s="11"/>
      <c r="N1580" s="11"/>
      <c r="P1580" s="11"/>
      <c r="Q1580" s="11"/>
      <c r="R1580" s="3"/>
    </row>
    <row r="1581" spans="1:18" x14ac:dyDescent="0.2">
      <c r="A1581" s="11">
        <v>4052</v>
      </c>
      <c r="B1581" s="11">
        <v>7</v>
      </c>
      <c r="C1581" s="11" t="s">
        <v>403</v>
      </c>
      <c r="D1581" s="11">
        <f t="shared" si="48"/>
        <v>1</v>
      </c>
      <c r="E1581">
        <f t="shared" si="49"/>
        <v>4052001</v>
      </c>
      <c r="F1581" s="11">
        <v>401</v>
      </c>
      <c r="G1581" s="11" t="s">
        <v>29</v>
      </c>
      <c r="H1581" s="3">
        <v>43596.74</v>
      </c>
      <c r="K1581" s="11"/>
      <c r="L1581" s="11"/>
      <c r="M1581" s="11"/>
      <c r="N1581" s="11"/>
      <c r="P1581" s="11"/>
      <c r="Q1581" s="11"/>
      <c r="R1581" s="3"/>
    </row>
    <row r="1582" spans="1:18" x14ac:dyDescent="0.2">
      <c r="A1582" s="11">
        <v>4052</v>
      </c>
      <c r="B1582" s="11">
        <v>7</v>
      </c>
      <c r="C1582" s="11" t="s">
        <v>403</v>
      </c>
      <c r="D1582" s="11">
        <f t="shared" si="48"/>
        <v>2</v>
      </c>
      <c r="E1582">
        <f t="shared" si="49"/>
        <v>4052002</v>
      </c>
      <c r="F1582" s="11">
        <v>414</v>
      </c>
      <c r="G1582" s="11" t="s">
        <v>9</v>
      </c>
      <c r="H1582" s="3">
        <v>9128.39</v>
      </c>
      <c r="K1582" s="11"/>
      <c r="L1582" s="11"/>
      <c r="M1582" s="11"/>
      <c r="N1582" s="11"/>
      <c r="P1582" s="11"/>
      <c r="Q1582" s="11"/>
      <c r="R1582" s="3"/>
    </row>
    <row r="1583" spans="1:18" x14ac:dyDescent="0.2">
      <c r="A1583" s="11">
        <v>4052</v>
      </c>
      <c r="B1583" s="11">
        <v>7</v>
      </c>
      <c r="C1583" s="11" t="s">
        <v>403</v>
      </c>
      <c r="D1583" s="11">
        <f t="shared" si="48"/>
        <v>3</v>
      </c>
      <c r="E1583">
        <f t="shared" si="49"/>
        <v>4052003</v>
      </c>
      <c r="F1583" s="11">
        <v>470</v>
      </c>
      <c r="G1583" s="11" t="s">
        <v>6</v>
      </c>
      <c r="H1583" s="3">
        <v>27270.92</v>
      </c>
      <c r="K1583" s="11"/>
      <c r="L1583" s="11"/>
      <c r="M1583" s="11"/>
      <c r="N1583" s="11"/>
      <c r="P1583" s="11"/>
      <c r="Q1583" s="11"/>
      <c r="R1583" s="3"/>
    </row>
    <row r="1584" spans="1:18" x14ac:dyDescent="0.2">
      <c r="A1584" s="11">
        <v>4055</v>
      </c>
      <c r="B1584" s="11">
        <v>7</v>
      </c>
      <c r="C1584" s="11" t="s">
        <v>404</v>
      </c>
      <c r="D1584" s="11">
        <f t="shared" si="48"/>
        <v>1</v>
      </c>
      <c r="E1584">
        <f t="shared" si="49"/>
        <v>4055001</v>
      </c>
      <c r="F1584" s="11">
        <v>414</v>
      </c>
      <c r="G1584" s="11" t="s">
        <v>9</v>
      </c>
      <c r="H1584" s="3">
        <v>4031.22</v>
      </c>
      <c r="K1584" s="11"/>
      <c r="L1584" s="11"/>
      <c r="M1584" s="11"/>
      <c r="N1584" s="11"/>
      <c r="P1584" s="11"/>
      <c r="Q1584" s="11"/>
      <c r="R1584" s="3"/>
    </row>
    <row r="1585" spans="1:18" x14ac:dyDescent="0.2">
      <c r="A1585" s="11">
        <v>4055</v>
      </c>
      <c r="B1585" s="11">
        <v>7</v>
      </c>
      <c r="C1585" s="11" t="s">
        <v>404</v>
      </c>
      <c r="D1585" s="11">
        <f t="shared" si="48"/>
        <v>2</v>
      </c>
      <c r="E1585">
        <f t="shared" si="49"/>
        <v>4055002</v>
      </c>
      <c r="F1585" s="11">
        <v>419</v>
      </c>
      <c r="G1585" s="11" t="s">
        <v>10</v>
      </c>
      <c r="H1585" s="3">
        <v>23520.83</v>
      </c>
      <c r="K1585" s="11"/>
      <c r="L1585" s="11"/>
      <c r="M1585" s="11"/>
      <c r="N1585" s="11"/>
      <c r="P1585" s="11"/>
      <c r="Q1585" s="11"/>
      <c r="R1585" s="3"/>
    </row>
    <row r="1586" spans="1:18" x14ac:dyDescent="0.2">
      <c r="A1586" s="11">
        <v>4055</v>
      </c>
      <c r="B1586" s="11">
        <v>7</v>
      </c>
      <c r="C1586" s="11" t="s">
        <v>404</v>
      </c>
      <c r="D1586" s="11">
        <f t="shared" si="48"/>
        <v>3</v>
      </c>
      <c r="E1586">
        <f t="shared" si="49"/>
        <v>4055003</v>
      </c>
      <c r="F1586" s="11">
        <v>420</v>
      </c>
      <c r="G1586" s="11" t="s">
        <v>11</v>
      </c>
      <c r="H1586" s="3">
        <v>346.16</v>
      </c>
      <c r="K1586" s="11"/>
      <c r="L1586" s="11"/>
      <c r="M1586" s="11"/>
      <c r="N1586" s="11"/>
      <c r="P1586" s="11"/>
      <c r="Q1586" s="11"/>
      <c r="R1586" s="3"/>
    </row>
    <row r="1587" spans="1:18" x14ac:dyDescent="0.2">
      <c r="A1587" s="11">
        <v>4055</v>
      </c>
      <c r="B1587" s="11">
        <v>7</v>
      </c>
      <c r="C1587" s="11" t="s">
        <v>404</v>
      </c>
      <c r="D1587" s="11">
        <f t="shared" si="48"/>
        <v>4</v>
      </c>
      <c r="E1587">
        <f t="shared" si="49"/>
        <v>4055004</v>
      </c>
      <c r="F1587" s="11">
        <v>425</v>
      </c>
      <c r="G1587" s="11" t="s">
        <v>49</v>
      </c>
      <c r="H1587" s="3">
        <v>4150.7299999999996</v>
      </c>
      <c r="K1587" s="11"/>
      <c r="L1587" s="11"/>
      <c r="M1587" s="11"/>
      <c r="N1587" s="11"/>
      <c r="P1587" s="11"/>
      <c r="Q1587" s="11"/>
      <c r="R1587" s="3"/>
    </row>
    <row r="1588" spans="1:18" x14ac:dyDescent="0.2">
      <c r="A1588" s="11">
        <v>4055</v>
      </c>
      <c r="B1588" s="11">
        <v>7</v>
      </c>
      <c r="C1588" s="11" t="s">
        <v>404</v>
      </c>
      <c r="D1588" s="11">
        <f t="shared" si="48"/>
        <v>5</v>
      </c>
      <c r="E1588">
        <f t="shared" si="49"/>
        <v>4055005</v>
      </c>
      <c r="F1588" s="11">
        <v>481</v>
      </c>
      <c r="G1588" s="11" t="s">
        <v>379</v>
      </c>
      <c r="H1588" s="3">
        <v>4333.67</v>
      </c>
      <c r="K1588" s="11"/>
      <c r="L1588" s="11"/>
      <c r="M1588" s="11"/>
      <c r="N1588" s="11"/>
      <c r="P1588" s="11"/>
      <c r="Q1588" s="11"/>
      <c r="R1588" s="3"/>
    </row>
    <row r="1589" spans="1:18" x14ac:dyDescent="0.2">
      <c r="A1589" s="11">
        <v>4055</v>
      </c>
      <c r="B1589" s="11">
        <v>7</v>
      </c>
      <c r="C1589" s="11" t="s">
        <v>404</v>
      </c>
      <c r="D1589" s="11">
        <f t="shared" si="48"/>
        <v>6</v>
      </c>
      <c r="E1589">
        <f t="shared" si="49"/>
        <v>4055006</v>
      </c>
      <c r="F1589" s="11">
        <v>484</v>
      </c>
      <c r="G1589" s="11" t="s">
        <v>20</v>
      </c>
      <c r="H1589" s="3">
        <v>1182.95</v>
      </c>
      <c r="K1589" s="11"/>
      <c r="L1589" s="11"/>
      <c r="M1589" s="11"/>
      <c r="N1589" s="11"/>
      <c r="P1589" s="11"/>
      <c r="Q1589" s="11"/>
      <c r="R1589" s="3"/>
    </row>
    <row r="1590" spans="1:18" x14ac:dyDescent="0.2">
      <c r="A1590" s="11">
        <v>4056</v>
      </c>
      <c r="B1590" s="11">
        <v>7</v>
      </c>
      <c r="C1590" s="11" t="s">
        <v>405</v>
      </c>
      <c r="D1590" s="11">
        <f t="shared" si="48"/>
        <v>1</v>
      </c>
      <c r="E1590">
        <f t="shared" si="49"/>
        <v>4056001</v>
      </c>
      <c r="F1590" s="11">
        <v>414</v>
      </c>
      <c r="G1590" s="11" t="s">
        <v>9</v>
      </c>
      <c r="H1590" s="3">
        <v>4249.72</v>
      </c>
      <c r="K1590" s="11"/>
      <c r="L1590" s="11"/>
      <c r="M1590" s="11"/>
      <c r="N1590" s="11"/>
      <c r="P1590" s="11"/>
      <c r="Q1590" s="11"/>
      <c r="R1590" s="3"/>
    </row>
    <row r="1591" spans="1:18" x14ac:dyDescent="0.2">
      <c r="A1591" s="11">
        <v>4056</v>
      </c>
      <c r="B1591" s="11">
        <v>7</v>
      </c>
      <c r="C1591" s="11" t="s">
        <v>405</v>
      </c>
      <c r="D1591" s="11">
        <f t="shared" si="48"/>
        <v>2</v>
      </c>
      <c r="E1591">
        <f t="shared" si="49"/>
        <v>4056002</v>
      </c>
      <c r="F1591" s="11">
        <v>425</v>
      </c>
      <c r="G1591" s="11" t="s">
        <v>49</v>
      </c>
      <c r="H1591" s="3">
        <v>4289.05</v>
      </c>
      <c r="K1591" s="11"/>
      <c r="L1591" s="11"/>
      <c r="M1591" s="11"/>
      <c r="N1591" s="11"/>
      <c r="P1591" s="11"/>
      <c r="Q1591" s="11"/>
      <c r="R1591" s="3"/>
    </row>
    <row r="1592" spans="1:18" x14ac:dyDescent="0.2">
      <c r="A1592" s="11">
        <v>4057</v>
      </c>
      <c r="B1592" s="11">
        <v>7</v>
      </c>
      <c r="C1592" s="11" t="s">
        <v>406</v>
      </c>
      <c r="D1592" s="11">
        <f t="shared" si="48"/>
        <v>1</v>
      </c>
      <c r="E1592">
        <f t="shared" si="49"/>
        <v>4057001</v>
      </c>
      <c r="F1592" s="11">
        <v>480</v>
      </c>
      <c r="G1592" s="11" t="s">
        <v>19</v>
      </c>
      <c r="H1592" s="3">
        <v>26993.55</v>
      </c>
      <c r="K1592" s="11"/>
      <c r="L1592" s="11"/>
      <c r="M1592" s="11"/>
      <c r="N1592" s="11"/>
      <c r="P1592" s="11"/>
      <c r="Q1592" s="11"/>
      <c r="R1592" s="3"/>
    </row>
    <row r="1593" spans="1:18" x14ac:dyDescent="0.2">
      <c r="A1593" s="11">
        <v>4058</v>
      </c>
      <c r="B1593" s="11">
        <v>7</v>
      </c>
      <c r="C1593" s="11" t="s">
        <v>407</v>
      </c>
      <c r="D1593" s="11">
        <f t="shared" si="48"/>
        <v>1</v>
      </c>
      <c r="E1593">
        <f t="shared" si="49"/>
        <v>4058001</v>
      </c>
      <c r="F1593" s="11">
        <v>433</v>
      </c>
      <c r="G1593" s="11" t="s">
        <v>30</v>
      </c>
      <c r="H1593" s="3">
        <v>737.96</v>
      </c>
      <c r="K1593" s="11"/>
      <c r="L1593" s="11"/>
      <c r="M1593" s="11"/>
      <c r="N1593" s="11"/>
      <c r="P1593" s="11"/>
      <c r="Q1593" s="11"/>
      <c r="R1593" s="3"/>
    </row>
    <row r="1594" spans="1:18" x14ac:dyDescent="0.2">
      <c r="A1594" s="11">
        <v>4059</v>
      </c>
      <c r="B1594" s="11">
        <v>7</v>
      </c>
      <c r="C1594" s="11" t="s">
        <v>408</v>
      </c>
      <c r="D1594" s="11">
        <f t="shared" si="48"/>
        <v>1</v>
      </c>
      <c r="E1594">
        <f t="shared" si="49"/>
        <v>4059001</v>
      </c>
      <c r="F1594" s="11">
        <v>414</v>
      </c>
      <c r="G1594" s="11" t="s">
        <v>9</v>
      </c>
      <c r="H1594" s="3">
        <v>2199.2600000000002</v>
      </c>
      <c r="K1594" s="11"/>
      <c r="L1594" s="11"/>
      <c r="M1594" s="11"/>
      <c r="N1594" s="11"/>
      <c r="P1594" s="11"/>
      <c r="Q1594" s="11"/>
      <c r="R1594" s="3"/>
    </row>
    <row r="1595" spans="1:18" x14ac:dyDescent="0.2">
      <c r="A1595" s="11">
        <v>4059</v>
      </c>
      <c r="B1595" s="11">
        <v>7</v>
      </c>
      <c r="C1595" s="11" t="s">
        <v>408</v>
      </c>
      <c r="D1595" s="11">
        <f t="shared" si="48"/>
        <v>2</v>
      </c>
      <c r="E1595">
        <f t="shared" si="49"/>
        <v>4059002</v>
      </c>
      <c r="F1595" s="11">
        <v>470</v>
      </c>
      <c r="G1595" s="11" t="s">
        <v>6</v>
      </c>
      <c r="H1595" s="3">
        <v>20453.189999999999</v>
      </c>
      <c r="K1595" s="11"/>
      <c r="L1595" s="11"/>
      <c r="M1595" s="11"/>
      <c r="N1595" s="11"/>
      <c r="P1595" s="11"/>
      <c r="Q1595" s="11"/>
      <c r="R1595" s="3"/>
    </row>
    <row r="1596" spans="1:18" x14ac:dyDescent="0.2">
      <c r="A1596" s="11">
        <v>4061</v>
      </c>
      <c r="B1596" s="11">
        <v>7</v>
      </c>
      <c r="C1596" s="11" t="s">
        <v>409</v>
      </c>
      <c r="D1596" s="11">
        <f t="shared" si="48"/>
        <v>1</v>
      </c>
      <c r="E1596">
        <f t="shared" si="49"/>
        <v>4061001</v>
      </c>
      <c r="F1596" s="11">
        <v>414</v>
      </c>
      <c r="G1596" s="11" t="s">
        <v>9</v>
      </c>
      <c r="H1596" s="3">
        <v>2253.6999999999998</v>
      </c>
      <c r="K1596" s="11"/>
      <c r="L1596" s="11"/>
      <c r="M1596" s="11"/>
      <c r="N1596" s="11"/>
      <c r="P1596" s="11"/>
      <c r="Q1596" s="11"/>
      <c r="R1596" s="3"/>
    </row>
    <row r="1597" spans="1:18" x14ac:dyDescent="0.2">
      <c r="A1597" s="11">
        <v>4061</v>
      </c>
      <c r="B1597" s="11">
        <v>7</v>
      </c>
      <c r="C1597" s="11" t="s">
        <v>409</v>
      </c>
      <c r="D1597" s="11">
        <f t="shared" si="48"/>
        <v>2</v>
      </c>
      <c r="E1597">
        <f t="shared" si="49"/>
        <v>4061002</v>
      </c>
      <c r="F1597" s="11">
        <v>425</v>
      </c>
      <c r="G1597" s="11" t="s">
        <v>49</v>
      </c>
      <c r="H1597" s="3">
        <v>3940.89</v>
      </c>
      <c r="K1597" s="11"/>
      <c r="L1597" s="11"/>
      <c r="M1597" s="11"/>
      <c r="N1597" s="11"/>
      <c r="P1597" s="11"/>
      <c r="Q1597" s="11"/>
      <c r="R1597" s="3"/>
    </row>
    <row r="1598" spans="1:18" x14ac:dyDescent="0.2">
      <c r="A1598" s="11">
        <v>4061</v>
      </c>
      <c r="B1598" s="11">
        <v>7</v>
      </c>
      <c r="C1598" s="11" t="s">
        <v>409</v>
      </c>
      <c r="D1598" s="11">
        <f t="shared" si="48"/>
        <v>3</v>
      </c>
      <c r="E1598">
        <f t="shared" si="49"/>
        <v>4061003</v>
      </c>
      <c r="F1598" s="11">
        <v>481</v>
      </c>
      <c r="G1598" s="11" t="s">
        <v>379</v>
      </c>
      <c r="H1598" s="3">
        <v>3420.14</v>
      </c>
      <c r="K1598" s="11"/>
      <c r="L1598" s="11"/>
      <c r="M1598" s="11"/>
      <c r="N1598" s="11"/>
      <c r="P1598" s="11"/>
      <c r="Q1598" s="11"/>
      <c r="R1598" s="3"/>
    </row>
    <row r="1599" spans="1:18" x14ac:dyDescent="0.2">
      <c r="A1599" s="11">
        <v>4064</v>
      </c>
      <c r="B1599" s="11">
        <v>7</v>
      </c>
      <c r="C1599" s="11" t="s">
        <v>410</v>
      </c>
      <c r="D1599" s="11">
        <f t="shared" si="48"/>
        <v>1</v>
      </c>
      <c r="E1599">
        <f t="shared" si="49"/>
        <v>4064001</v>
      </c>
      <c r="F1599" s="11">
        <v>401</v>
      </c>
      <c r="G1599" s="11" t="s">
        <v>29</v>
      </c>
      <c r="H1599" s="3">
        <v>23776</v>
      </c>
      <c r="K1599" s="11"/>
      <c r="L1599" s="11"/>
      <c r="M1599" s="11"/>
      <c r="N1599" s="11"/>
      <c r="P1599" s="11"/>
      <c r="Q1599" s="11"/>
      <c r="R1599" s="3"/>
    </row>
    <row r="1600" spans="1:18" x14ac:dyDescent="0.2">
      <c r="A1600" s="11">
        <v>4064</v>
      </c>
      <c r="B1600" s="11">
        <v>7</v>
      </c>
      <c r="C1600" s="11" t="s">
        <v>410</v>
      </c>
      <c r="D1600" s="11">
        <f t="shared" si="48"/>
        <v>2</v>
      </c>
      <c r="E1600">
        <f t="shared" si="49"/>
        <v>4064002</v>
      </c>
      <c r="F1600" s="11">
        <v>414</v>
      </c>
      <c r="G1600" s="11" t="s">
        <v>9</v>
      </c>
      <c r="H1600" s="3">
        <v>4195.2</v>
      </c>
      <c r="K1600" s="11"/>
      <c r="L1600" s="11"/>
      <c r="M1600" s="11"/>
      <c r="N1600" s="11"/>
      <c r="P1600" s="11"/>
      <c r="Q1600" s="11"/>
      <c r="R1600" s="3"/>
    </row>
    <row r="1601" spans="1:18" x14ac:dyDescent="0.2">
      <c r="A1601" s="11">
        <v>4064</v>
      </c>
      <c r="B1601" s="11">
        <v>7</v>
      </c>
      <c r="C1601" s="11" t="s">
        <v>410</v>
      </c>
      <c r="D1601" s="11">
        <f t="shared" si="48"/>
        <v>3</v>
      </c>
      <c r="E1601">
        <f t="shared" si="49"/>
        <v>4064003</v>
      </c>
      <c r="F1601" s="11">
        <v>433</v>
      </c>
      <c r="G1601" s="11" t="s">
        <v>30</v>
      </c>
      <c r="H1601" s="3">
        <v>429.02</v>
      </c>
      <c r="K1601" s="11"/>
      <c r="L1601" s="11"/>
      <c r="M1601" s="11"/>
      <c r="N1601" s="11"/>
      <c r="P1601" s="11"/>
      <c r="Q1601" s="11"/>
      <c r="R1601" s="3"/>
    </row>
    <row r="1602" spans="1:18" x14ac:dyDescent="0.2">
      <c r="A1602" s="11">
        <v>4064</v>
      </c>
      <c r="B1602" s="11">
        <v>7</v>
      </c>
      <c r="C1602" s="11" t="s">
        <v>410</v>
      </c>
      <c r="D1602" s="11">
        <f t="shared" si="48"/>
        <v>4</v>
      </c>
      <c r="E1602">
        <f t="shared" si="49"/>
        <v>4064004</v>
      </c>
      <c r="F1602" s="11">
        <v>470</v>
      </c>
      <c r="G1602" s="11" t="s">
        <v>6</v>
      </c>
      <c r="H1602" s="3">
        <v>15339.9</v>
      </c>
      <c r="K1602" s="11"/>
      <c r="L1602" s="11"/>
      <c r="M1602" s="11"/>
      <c r="N1602" s="11"/>
      <c r="P1602" s="11"/>
      <c r="Q1602" s="11"/>
      <c r="R1602" s="3"/>
    </row>
    <row r="1603" spans="1:18" x14ac:dyDescent="0.2">
      <c r="A1603" s="11">
        <v>4067</v>
      </c>
      <c r="B1603" s="11">
        <v>7</v>
      </c>
      <c r="C1603" s="11" t="s">
        <v>411</v>
      </c>
      <c r="D1603" s="11">
        <f t="shared" si="48"/>
        <v>1</v>
      </c>
      <c r="E1603">
        <f t="shared" si="49"/>
        <v>4067001</v>
      </c>
      <c r="F1603" s="11">
        <v>401</v>
      </c>
      <c r="G1603" s="11" t="s">
        <v>29</v>
      </c>
      <c r="H1603" s="3">
        <v>128814.86</v>
      </c>
      <c r="K1603" s="11"/>
      <c r="L1603" s="11"/>
      <c r="M1603" s="11"/>
      <c r="N1603" s="11"/>
      <c r="P1603" s="11"/>
      <c r="Q1603" s="11"/>
      <c r="R1603" s="3"/>
    </row>
    <row r="1604" spans="1:18" x14ac:dyDescent="0.2">
      <c r="A1604" s="11">
        <v>4067</v>
      </c>
      <c r="B1604" s="11">
        <v>7</v>
      </c>
      <c r="C1604" s="11" t="s">
        <v>411</v>
      </c>
      <c r="D1604" s="11">
        <f t="shared" si="48"/>
        <v>2</v>
      </c>
      <c r="E1604">
        <f t="shared" si="49"/>
        <v>4067002</v>
      </c>
      <c r="F1604" s="11">
        <v>414</v>
      </c>
      <c r="G1604" s="11" t="s">
        <v>9</v>
      </c>
      <c r="H1604" s="3">
        <v>12090.73</v>
      </c>
      <c r="K1604" s="11"/>
      <c r="L1604" s="11"/>
      <c r="M1604" s="11"/>
      <c r="N1604" s="11"/>
      <c r="P1604" s="11"/>
      <c r="Q1604" s="11"/>
      <c r="R1604" s="3"/>
    </row>
    <row r="1605" spans="1:18" x14ac:dyDescent="0.2">
      <c r="A1605" s="11">
        <v>4067</v>
      </c>
      <c r="B1605" s="11">
        <v>7</v>
      </c>
      <c r="C1605" s="11" t="s">
        <v>411</v>
      </c>
      <c r="D1605" s="11">
        <f t="shared" si="48"/>
        <v>3</v>
      </c>
      <c r="E1605">
        <f t="shared" si="49"/>
        <v>4067003</v>
      </c>
      <c r="F1605" s="11">
        <v>417</v>
      </c>
      <c r="G1605" s="11" t="s">
        <v>34</v>
      </c>
      <c r="H1605" s="3">
        <v>27278.6</v>
      </c>
      <c r="K1605" s="11"/>
      <c r="L1605" s="11"/>
      <c r="M1605" s="11"/>
      <c r="N1605" s="11"/>
      <c r="P1605" s="11"/>
      <c r="Q1605" s="11"/>
      <c r="R1605" s="3"/>
    </row>
    <row r="1606" spans="1:18" x14ac:dyDescent="0.2">
      <c r="A1606" s="11">
        <v>4067</v>
      </c>
      <c r="B1606" s="11">
        <v>7</v>
      </c>
      <c r="C1606" s="11" t="s">
        <v>411</v>
      </c>
      <c r="D1606" s="11">
        <f t="shared" si="48"/>
        <v>4</v>
      </c>
      <c r="E1606">
        <f t="shared" si="49"/>
        <v>4067004</v>
      </c>
      <c r="F1606" s="11">
        <v>420</v>
      </c>
      <c r="G1606" s="11" t="s">
        <v>11</v>
      </c>
      <c r="H1606" s="3">
        <v>19.38</v>
      </c>
      <c r="K1606" s="11"/>
      <c r="L1606" s="11"/>
      <c r="M1606" s="11"/>
      <c r="N1606" s="11"/>
      <c r="P1606" s="11"/>
      <c r="Q1606" s="11"/>
      <c r="R1606" s="3"/>
    </row>
    <row r="1607" spans="1:18" x14ac:dyDescent="0.2">
      <c r="A1607" s="11">
        <v>4067</v>
      </c>
      <c r="B1607" s="11">
        <v>7</v>
      </c>
      <c r="C1607" s="11" t="s">
        <v>411</v>
      </c>
      <c r="D1607" s="11">
        <f t="shared" si="48"/>
        <v>5</v>
      </c>
      <c r="E1607">
        <f t="shared" si="49"/>
        <v>4067005</v>
      </c>
      <c r="F1607" s="11">
        <v>433</v>
      </c>
      <c r="G1607" s="11" t="s">
        <v>30</v>
      </c>
      <c r="H1607" s="3">
        <v>2132.15</v>
      </c>
      <c r="K1607" s="11"/>
      <c r="L1607" s="11"/>
      <c r="M1607" s="11"/>
      <c r="N1607" s="11"/>
      <c r="P1607" s="11"/>
      <c r="Q1607" s="11"/>
      <c r="R1607" s="3"/>
    </row>
    <row r="1608" spans="1:18" x14ac:dyDescent="0.2">
      <c r="A1608" s="11">
        <v>4067</v>
      </c>
      <c r="B1608" s="11">
        <v>7</v>
      </c>
      <c r="C1608" s="11" t="s">
        <v>411</v>
      </c>
      <c r="D1608" s="11">
        <f t="shared" si="48"/>
        <v>6</v>
      </c>
      <c r="E1608">
        <f t="shared" si="49"/>
        <v>4067006</v>
      </c>
      <c r="F1608" s="11">
        <v>470</v>
      </c>
      <c r="G1608" s="11" t="s">
        <v>6</v>
      </c>
      <c r="H1608" s="3">
        <v>84369.43</v>
      </c>
      <c r="K1608" s="11"/>
      <c r="L1608" s="11"/>
      <c r="M1608" s="11"/>
      <c r="N1608" s="11"/>
      <c r="P1608" s="11"/>
      <c r="Q1608" s="11"/>
      <c r="R1608" s="3"/>
    </row>
    <row r="1609" spans="1:18" x14ac:dyDescent="0.2">
      <c r="A1609" s="11">
        <v>4067</v>
      </c>
      <c r="B1609" s="11">
        <v>7</v>
      </c>
      <c r="C1609" s="11" t="s">
        <v>411</v>
      </c>
      <c r="D1609" s="11">
        <f t="shared" si="48"/>
        <v>7</v>
      </c>
      <c r="E1609">
        <f t="shared" si="49"/>
        <v>4067007</v>
      </c>
      <c r="F1609" s="11">
        <v>480</v>
      </c>
      <c r="G1609" s="11" t="s">
        <v>19</v>
      </c>
      <c r="H1609" s="3">
        <v>81556.28</v>
      </c>
      <c r="K1609" s="11"/>
      <c r="L1609" s="11"/>
      <c r="M1609" s="11"/>
      <c r="N1609" s="11"/>
      <c r="P1609" s="11"/>
      <c r="Q1609" s="11"/>
      <c r="R1609" s="3"/>
    </row>
    <row r="1610" spans="1:18" x14ac:dyDescent="0.2">
      <c r="A1610" s="11">
        <v>4068</v>
      </c>
      <c r="B1610" s="11">
        <v>7</v>
      </c>
      <c r="C1610" s="11" t="s">
        <v>412</v>
      </c>
      <c r="D1610" s="11">
        <f t="shared" si="48"/>
        <v>1</v>
      </c>
      <c r="E1610">
        <f t="shared" si="49"/>
        <v>4068001</v>
      </c>
      <c r="F1610" s="11">
        <v>414</v>
      </c>
      <c r="G1610" s="11" t="s">
        <v>9</v>
      </c>
      <c r="H1610" s="3">
        <v>13930.67</v>
      </c>
      <c r="K1610" s="11"/>
      <c r="L1610" s="11"/>
      <c r="M1610" s="11"/>
      <c r="N1610" s="11"/>
      <c r="P1610" s="11"/>
      <c r="Q1610" s="11"/>
      <c r="R1610" s="3"/>
    </row>
    <row r="1611" spans="1:18" x14ac:dyDescent="0.2">
      <c r="A1611" s="11">
        <v>4068</v>
      </c>
      <c r="B1611" s="11">
        <v>7</v>
      </c>
      <c r="C1611" s="11" t="s">
        <v>412</v>
      </c>
      <c r="D1611" s="11">
        <f t="shared" si="48"/>
        <v>2</v>
      </c>
      <c r="E1611">
        <f t="shared" si="49"/>
        <v>4068002</v>
      </c>
      <c r="F1611" s="11">
        <v>470</v>
      </c>
      <c r="G1611" s="11" t="s">
        <v>6</v>
      </c>
      <c r="H1611" s="3">
        <v>89482.73</v>
      </c>
      <c r="K1611" s="11"/>
      <c r="L1611" s="11"/>
      <c r="M1611" s="11"/>
      <c r="N1611" s="11"/>
      <c r="P1611" s="11"/>
      <c r="Q1611" s="11"/>
      <c r="R1611" s="3"/>
    </row>
    <row r="1612" spans="1:18" x14ac:dyDescent="0.2">
      <c r="A1612" s="11">
        <v>4068</v>
      </c>
      <c r="B1612" s="11">
        <v>7</v>
      </c>
      <c r="C1612" s="11" t="s">
        <v>412</v>
      </c>
      <c r="D1612" s="11">
        <f t="shared" si="48"/>
        <v>3</v>
      </c>
      <c r="E1612">
        <f t="shared" si="49"/>
        <v>4068003</v>
      </c>
      <c r="F1612" s="11">
        <v>480</v>
      </c>
      <c r="G1612" s="11" t="s">
        <v>19</v>
      </c>
      <c r="H1612" s="3">
        <v>93616.54</v>
      </c>
      <c r="K1612" s="11"/>
      <c r="L1612" s="11"/>
      <c r="M1612" s="11"/>
      <c r="N1612" s="11"/>
      <c r="P1612" s="11"/>
      <c r="Q1612" s="11"/>
      <c r="R1612" s="3"/>
    </row>
    <row r="1613" spans="1:18" x14ac:dyDescent="0.2">
      <c r="A1613" s="11">
        <v>4068</v>
      </c>
      <c r="B1613" s="11">
        <v>7</v>
      </c>
      <c r="C1613" s="11" t="s">
        <v>412</v>
      </c>
      <c r="D1613" s="11">
        <f t="shared" si="48"/>
        <v>4</v>
      </c>
      <c r="E1613">
        <f t="shared" si="49"/>
        <v>4068004</v>
      </c>
      <c r="F1613" s="11">
        <v>481</v>
      </c>
      <c r="G1613" s="11" t="s">
        <v>379</v>
      </c>
      <c r="H1613" s="3">
        <v>9368.85</v>
      </c>
      <c r="K1613" s="11"/>
      <c r="L1613" s="11"/>
      <c r="M1613" s="11"/>
      <c r="N1613" s="11"/>
      <c r="P1613" s="11"/>
      <c r="Q1613" s="11"/>
      <c r="R1613" s="3"/>
    </row>
    <row r="1614" spans="1:18" x14ac:dyDescent="0.2">
      <c r="A1614" s="11">
        <v>4068</v>
      </c>
      <c r="B1614" s="11">
        <v>7</v>
      </c>
      <c r="C1614" s="11" t="s">
        <v>412</v>
      </c>
      <c r="D1614" s="11">
        <f t="shared" si="48"/>
        <v>5</v>
      </c>
      <c r="E1614">
        <f t="shared" si="49"/>
        <v>4068005</v>
      </c>
      <c r="F1614" s="11">
        <v>484</v>
      </c>
      <c r="G1614" s="11" t="s">
        <v>20</v>
      </c>
      <c r="H1614" s="3">
        <v>4221.13</v>
      </c>
      <c r="K1614" s="11"/>
      <c r="L1614" s="11"/>
      <c r="M1614" s="11"/>
      <c r="N1614" s="11"/>
      <c r="P1614" s="11"/>
      <c r="Q1614" s="11"/>
      <c r="R1614" s="3"/>
    </row>
    <row r="1615" spans="1:18" x14ac:dyDescent="0.2">
      <c r="A1615" s="11">
        <v>4070</v>
      </c>
      <c r="B1615" s="11">
        <v>7</v>
      </c>
      <c r="C1615" s="11" t="s">
        <v>413</v>
      </c>
      <c r="D1615" s="11">
        <f t="shared" ref="D1615:D1678" si="50">IF(A1615=A1614,D1614+1,1)</f>
        <v>1</v>
      </c>
      <c r="E1615">
        <f t="shared" ref="E1615:E1678" si="51">1000*A1615+D1615</f>
        <v>4070001</v>
      </c>
      <c r="F1615" s="11">
        <v>417</v>
      </c>
      <c r="G1615" s="11" t="s">
        <v>34</v>
      </c>
      <c r="H1615" s="3">
        <v>33830.230000000003</v>
      </c>
      <c r="K1615" s="11"/>
      <c r="L1615" s="11"/>
      <c r="M1615" s="11"/>
      <c r="N1615" s="11"/>
      <c r="P1615" s="11"/>
      <c r="Q1615" s="11"/>
      <c r="R1615" s="3"/>
    </row>
    <row r="1616" spans="1:18" x14ac:dyDescent="0.2">
      <c r="A1616" s="11">
        <v>4070</v>
      </c>
      <c r="B1616" s="11">
        <v>7</v>
      </c>
      <c r="C1616" s="11" t="s">
        <v>413</v>
      </c>
      <c r="D1616" s="11">
        <f t="shared" si="50"/>
        <v>2</v>
      </c>
      <c r="E1616">
        <f t="shared" si="51"/>
        <v>4070002</v>
      </c>
      <c r="F1616" s="11">
        <v>484</v>
      </c>
      <c r="G1616" s="11" t="s">
        <v>20</v>
      </c>
      <c r="H1616" s="3">
        <v>4534.95</v>
      </c>
      <c r="K1616" s="11"/>
      <c r="L1616" s="11"/>
      <c r="M1616" s="11"/>
      <c r="N1616" s="11"/>
      <c r="P1616" s="11"/>
      <c r="Q1616" s="11"/>
      <c r="R1616" s="3"/>
    </row>
    <row r="1617" spans="1:18" x14ac:dyDescent="0.2">
      <c r="A1617" s="11">
        <v>4073</v>
      </c>
      <c r="B1617" s="11">
        <v>7</v>
      </c>
      <c r="C1617" s="11" t="s">
        <v>414</v>
      </c>
      <c r="D1617" s="11">
        <f t="shared" si="50"/>
        <v>1</v>
      </c>
      <c r="E1617">
        <f t="shared" si="51"/>
        <v>4073001</v>
      </c>
      <c r="F1617" s="11">
        <v>420</v>
      </c>
      <c r="G1617" s="11" t="s">
        <v>11</v>
      </c>
      <c r="H1617" s="3">
        <v>2440.7800000000002</v>
      </c>
      <c r="K1617" s="11"/>
      <c r="L1617" s="11"/>
      <c r="M1617" s="11"/>
      <c r="N1617" s="11"/>
      <c r="P1617" s="11"/>
      <c r="Q1617" s="11"/>
      <c r="R1617" s="3"/>
    </row>
    <row r="1618" spans="1:18" x14ac:dyDescent="0.2">
      <c r="A1618" s="11">
        <v>4073</v>
      </c>
      <c r="B1618" s="11">
        <v>7</v>
      </c>
      <c r="C1618" s="11" t="s">
        <v>414</v>
      </c>
      <c r="D1618" s="11">
        <f t="shared" si="50"/>
        <v>2</v>
      </c>
      <c r="E1618">
        <f t="shared" si="51"/>
        <v>4073002</v>
      </c>
      <c r="F1618" s="11">
        <v>425</v>
      </c>
      <c r="G1618" s="11" t="s">
        <v>49</v>
      </c>
      <c r="H1618" s="3">
        <v>8766.2199999999993</v>
      </c>
      <c r="K1618" s="11"/>
      <c r="L1618" s="11"/>
      <c r="M1618" s="11"/>
      <c r="N1618" s="11"/>
      <c r="P1618" s="11"/>
      <c r="Q1618" s="11"/>
      <c r="R1618" s="3"/>
    </row>
    <row r="1619" spans="1:18" x14ac:dyDescent="0.2">
      <c r="A1619" s="11">
        <v>4073</v>
      </c>
      <c r="B1619" s="11">
        <v>7</v>
      </c>
      <c r="C1619" s="11" t="s">
        <v>414</v>
      </c>
      <c r="D1619" s="11">
        <f t="shared" si="50"/>
        <v>3</v>
      </c>
      <c r="E1619">
        <f t="shared" si="51"/>
        <v>4073003</v>
      </c>
      <c r="F1619" s="11">
        <v>481</v>
      </c>
      <c r="G1619" s="11" t="s">
        <v>379</v>
      </c>
      <c r="H1619" s="3">
        <v>11839.47</v>
      </c>
      <c r="K1619" s="11"/>
      <c r="L1619" s="11"/>
      <c r="M1619" s="11"/>
      <c r="N1619" s="11"/>
      <c r="P1619" s="11"/>
      <c r="Q1619" s="11"/>
      <c r="R1619" s="3"/>
    </row>
    <row r="1620" spans="1:18" x14ac:dyDescent="0.2">
      <c r="A1620" s="11">
        <v>4073</v>
      </c>
      <c r="B1620" s="11">
        <v>7</v>
      </c>
      <c r="C1620" s="11" t="s">
        <v>414</v>
      </c>
      <c r="D1620" s="11">
        <f t="shared" si="50"/>
        <v>4</v>
      </c>
      <c r="E1620">
        <f t="shared" si="51"/>
        <v>4073004</v>
      </c>
      <c r="F1620" s="11">
        <v>484</v>
      </c>
      <c r="G1620" s="11" t="s">
        <v>20</v>
      </c>
      <c r="H1620" s="3">
        <v>3235.98</v>
      </c>
      <c r="K1620" s="11"/>
      <c r="L1620" s="11"/>
      <c r="M1620" s="11"/>
      <c r="N1620" s="11"/>
      <c r="P1620" s="11"/>
      <c r="Q1620" s="11"/>
      <c r="R1620" s="3"/>
    </row>
    <row r="1621" spans="1:18" x14ac:dyDescent="0.2">
      <c r="A1621" s="11">
        <v>4074</v>
      </c>
      <c r="B1621" s="11">
        <v>7</v>
      </c>
      <c r="C1621" s="11" t="s">
        <v>415</v>
      </c>
      <c r="D1621" s="11">
        <f t="shared" si="50"/>
        <v>1</v>
      </c>
      <c r="E1621">
        <f t="shared" si="51"/>
        <v>4074001</v>
      </c>
      <c r="F1621" s="11">
        <v>414</v>
      </c>
      <c r="G1621" s="11" t="s">
        <v>9</v>
      </c>
      <c r="H1621" s="3">
        <v>2675.34</v>
      </c>
      <c r="K1621" s="11"/>
      <c r="L1621" s="11"/>
      <c r="M1621" s="11"/>
      <c r="N1621" s="11"/>
      <c r="P1621" s="11"/>
      <c r="Q1621" s="11"/>
      <c r="R1621" s="3"/>
    </row>
    <row r="1622" spans="1:18" x14ac:dyDescent="0.2">
      <c r="A1622" s="11">
        <v>4074</v>
      </c>
      <c r="B1622" s="11">
        <v>7</v>
      </c>
      <c r="C1622" s="11" t="s">
        <v>415</v>
      </c>
      <c r="D1622" s="11">
        <f t="shared" si="50"/>
        <v>2</v>
      </c>
      <c r="E1622">
        <f t="shared" si="51"/>
        <v>4074002</v>
      </c>
      <c r="F1622" s="11">
        <v>425</v>
      </c>
      <c r="G1622" s="11" t="s">
        <v>49</v>
      </c>
      <c r="H1622" s="3">
        <v>6682.62</v>
      </c>
      <c r="K1622" s="11"/>
      <c r="L1622" s="11"/>
      <c r="M1622" s="11"/>
      <c r="N1622" s="11"/>
      <c r="P1622" s="11"/>
      <c r="Q1622" s="11"/>
      <c r="R1622" s="3"/>
    </row>
    <row r="1623" spans="1:18" x14ac:dyDescent="0.2">
      <c r="A1623" s="11">
        <v>4075</v>
      </c>
      <c r="B1623" s="11">
        <v>7</v>
      </c>
      <c r="C1623" s="11" t="s">
        <v>416</v>
      </c>
      <c r="D1623" s="11">
        <f t="shared" si="50"/>
        <v>1</v>
      </c>
      <c r="E1623">
        <f t="shared" si="51"/>
        <v>4075001</v>
      </c>
      <c r="F1623" s="11">
        <v>480</v>
      </c>
      <c r="G1623" s="11" t="s">
        <v>19</v>
      </c>
      <c r="H1623" s="3">
        <v>26902.2</v>
      </c>
      <c r="K1623" s="11"/>
      <c r="L1623" s="11"/>
      <c r="M1623" s="11"/>
      <c r="N1623" s="11"/>
      <c r="P1623" s="11"/>
      <c r="Q1623" s="11"/>
      <c r="R1623" s="3"/>
    </row>
    <row r="1624" spans="1:18" x14ac:dyDescent="0.2">
      <c r="A1624" s="11">
        <v>4075</v>
      </c>
      <c r="B1624" s="11">
        <v>7</v>
      </c>
      <c r="C1624" s="11" t="s">
        <v>416</v>
      </c>
      <c r="D1624" s="11">
        <f t="shared" si="50"/>
        <v>2</v>
      </c>
      <c r="E1624">
        <f t="shared" si="51"/>
        <v>4075002</v>
      </c>
      <c r="F1624" s="11">
        <v>481</v>
      </c>
      <c r="G1624" s="11" t="s">
        <v>379</v>
      </c>
      <c r="H1624" s="3">
        <v>4747.4399999999996</v>
      </c>
      <c r="K1624" s="11"/>
      <c r="L1624" s="11"/>
      <c r="M1624" s="11"/>
      <c r="N1624" s="11"/>
      <c r="P1624" s="11"/>
      <c r="Q1624" s="11"/>
      <c r="R1624" s="3"/>
    </row>
    <row r="1625" spans="1:18" x14ac:dyDescent="0.2">
      <c r="A1625" s="11">
        <v>4077</v>
      </c>
      <c r="B1625" s="11">
        <v>7</v>
      </c>
      <c r="C1625" s="11" t="s">
        <v>417</v>
      </c>
      <c r="D1625" s="11">
        <f t="shared" si="50"/>
        <v>1</v>
      </c>
      <c r="E1625">
        <f t="shared" si="51"/>
        <v>4077001</v>
      </c>
      <c r="F1625" s="11">
        <v>401</v>
      </c>
      <c r="G1625" s="11" t="s">
        <v>29</v>
      </c>
      <c r="H1625" s="3">
        <v>251257.96</v>
      </c>
      <c r="K1625" s="11"/>
      <c r="L1625" s="11"/>
      <c r="M1625" s="11"/>
      <c r="N1625" s="11"/>
      <c r="P1625" s="11"/>
      <c r="Q1625" s="11"/>
      <c r="R1625" s="3"/>
    </row>
    <row r="1626" spans="1:18" x14ac:dyDescent="0.2">
      <c r="A1626" s="11">
        <v>4077</v>
      </c>
      <c r="B1626" s="11">
        <v>7</v>
      </c>
      <c r="C1626" s="11" t="s">
        <v>417</v>
      </c>
      <c r="D1626" s="11">
        <f t="shared" si="50"/>
        <v>2</v>
      </c>
      <c r="E1626">
        <f t="shared" si="51"/>
        <v>4077002</v>
      </c>
      <c r="F1626" s="11">
        <v>414</v>
      </c>
      <c r="G1626" s="11" t="s">
        <v>9</v>
      </c>
      <c r="H1626" s="3">
        <v>25490.05</v>
      </c>
      <c r="K1626" s="11"/>
      <c r="L1626" s="11"/>
      <c r="M1626" s="11"/>
      <c r="N1626" s="11"/>
      <c r="P1626" s="11"/>
      <c r="Q1626" s="11"/>
      <c r="R1626" s="3"/>
    </row>
    <row r="1627" spans="1:18" x14ac:dyDescent="0.2">
      <c r="A1627" s="11">
        <v>4077</v>
      </c>
      <c r="B1627" s="11">
        <v>7</v>
      </c>
      <c r="C1627" s="11" t="s">
        <v>417</v>
      </c>
      <c r="D1627" s="11">
        <f t="shared" si="50"/>
        <v>3</v>
      </c>
      <c r="E1627">
        <f t="shared" si="51"/>
        <v>4077003</v>
      </c>
      <c r="F1627" s="11">
        <v>419</v>
      </c>
      <c r="G1627" s="11" t="s">
        <v>10</v>
      </c>
      <c r="H1627" s="3">
        <v>104164.41</v>
      </c>
      <c r="K1627" s="11"/>
      <c r="L1627" s="11"/>
      <c r="M1627" s="11"/>
      <c r="N1627" s="11"/>
      <c r="P1627" s="11"/>
      <c r="Q1627" s="11"/>
      <c r="R1627" s="3"/>
    </row>
    <row r="1628" spans="1:18" x14ac:dyDescent="0.2">
      <c r="A1628" s="11">
        <v>4077</v>
      </c>
      <c r="B1628" s="11">
        <v>7</v>
      </c>
      <c r="C1628" s="11" t="s">
        <v>417</v>
      </c>
      <c r="D1628" s="11">
        <f t="shared" si="50"/>
        <v>4</v>
      </c>
      <c r="E1628">
        <f t="shared" si="51"/>
        <v>4077004</v>
      </c>
      <c r="F1628" s="11">
        <v>420</v>
      </c>
      <c r="G1628" s="11" t="s">
        <v>11</v>
      </c>
      <c r="H1628" s="3">
        <v>436.04</v>
      </c>
      <c r="K1628" s="11"/>
      <c r="L1628" s="11"/>
      <c r="M1628" s="11"/>
      <c r="N1628" s="11"/>
      <c r="P1628" s="11"/>
      <c r="Q1628" s="11"/>
      <c r="R1628" s="3"/>
    </row>
    <row r="1629" spans="1:18" x14ac:dyDescent="0.2">
      <c r="A1629" s="11">
        <v>4077</v>
      </c>
      <c r="B1629" s="11">
        <v>7</v>
      </c>
      <c r="C1629" s="11" t="s">
        <v>417</v>
      </c>
      <c r="D1629" s="11">
        <f t="shared" si="50"/>
        <v>5</v>
      </c>
      <c r="E1629">
        <f t="shared" si="51"/>
        <v>4077005</v>
      </c>
      <c r="F1629" s="11">
        <v>480</v>
      </c>
      <c r="G1629" s="11" t="s">
        <v>19</v>
      </c>
      <c r="H1629" s="3">
        <v>155160.89000000001</v>
      </c>
      <c r="K1629" s="11"/>
      <c r="L1629" s="11"/>
      <c r="M1629" s="11"/>
      <c r="N1629" s="11"/>
      <c r="P1629" s="11"/>
      <c r="Q1629" s="11"/>
      <c r="R1629" s="3"/>
    </row>
    <row r="1630" spans="1:18" x14ac:dyDescent="0.2">
      <c r="A1630" s="11">
        <v>4077</v>
      </c>
      <c r="B1630" s="11">
        <v>7</v>
      </c>
      <c r="C1630" s="11" t="s">
        <v>417</v>
      </c>
      <c r="D1630" s="11">
        <f t="shared" si="50"/>
        <v>6</v>
      </c>
      <c r="E1630">
        <f t="shared" si="51"/>
        <v>4077006</v>
      </c>
      <c r="F1630" s="11">
        <v>484</v>
      </c>
      <c r="G1630" s="11" t="s">
        <v>20</v>
      </c>
      <c r="H1630" s="3">
        <v>6361.47</v>
      </c>
      <c r="K1630" s="11"/>
      <c r="L1630" s="11"/>
      <c r="M1630" s="11"/>
      <c r="N1630" s="11"/>
      <c r="P1630" s="11"/>
      <c r="Q1630" s="11"/>
      <c r="R1630" s="3"/>
    </row>
    <row r="1631" spans="1:18" x14ac:dyDescent="0.2">
      <c r="A1631" s="11">
        <v>4078</v>
      </c>
      <c r="B1631" s="11">
        <v>7</v>
      </c>
      <c r="C1631" s="11" t="s">
        <v>418</v>
      </c>
      <c r="D1631" s="11">
        <f t="shared" si="50"/>
        <v>1</v>
      </c>
      <c r="E1631">
        <f t="shared" si="51"/>
        <v>4078001</v>
      </c>
      <c r="F1631" s="11">
        <v>401</v>
      </c>
      <c r="G1631" s="11" t="s">
        <v>29</v>
      </c>
      <c r="H1631" s="3">
        <v>140144.46</v>
      </c>
      <c r="K1631" s="11"/>
      <c r="L1631" s="11"/>
      <c r="M1631" s="11"/>
      <c r="N1631" s="11"/>
      <c r="P1631" s="11"/>
      <c r="Q1631" s="11"/>
      <c r="R1631" s="3"/>
    </row>
    <row r="1632" spans="1:18" x14ac:dyDescent="0.2">
      <c r="A1632" s="11">
        <v>4078</v>
      </c>
      <c r="B1632" s="11">
        <v>7</v>
      </c>
      <c r="C1632" s="11" t="s">
        <v>418</v>
      </c>
      <c r="D1632" s="11">
        <f t="shared" si="50"/>
        <v>2</v>
      </c>
      <c r="E1632">
        <f t="shared" si="51"/>
        <v>4078002</v>
      </c>
      <c r="F1632" s="11">
        <v>414</v>
      </c>
      <c r="G1632" s="11" t="s">
        <v>9</v>
      </c>
      <c r="H1632" s="3">
        <v>11772.26</v>
      </c>
      <c r="K1632" s="11"/>
      <c r="L1632" s="11"/>
      <c r="M1632" s="11"/>
      <c r="N1632" s="11"/>
      <c r="P1632" s="11"/>
      <c r="Q1632" s="11"/>
      <c r="R1632" s="3"/>
    </row>
    <row r="1633" spans="1:18" x14ac:dyDescent="0.2">
      <c r="A1633" s="11">
        <v>4078</v>
      </c>
      <c r="B1633" s="11">
        <v>7</v>
      </c>
      <c r="C1633" s="11" t="s">
        <v>418</v>
      </c>
      <c r="D1633" s="11">
        <f t="shared" si="50"/>
        <v>3</v>
      </c>
      <c r="E1633">
        <f t="shared" si="51"/>
        <v>4078003</v>
      </c>
      <c r="F1633" s="11">
        <v>470</v>
      </c>
      <c r="G1633" s="11" t="s">
        <v>6</v>
      </c>
      <c r="H1633" s="3">
        <v>90334.95</v>
      </c>
      <c r="K1633" s="11"/>
      <c r="L1633" s="11"/>
      <c r="M1633" s="11"/>
      <c r="N1633" s="11"/>
      <c r="P1633" s="11"/>
      <c r="Q1633" s="11"/>
      <c r="R1633" s="3"/>
    </row>
    <row r="1634" spans="1:18" x14ac:dyDescent="0.2">
      <c r="A1634" s="11">
        <v>4079</v>
      </c>
      <c r="B1634" s="11">
        <v>7</v>
      </c>
      <c r="C1634" s="11" t="s">
        <v>419</v>
      </c>
      <c r="D1634" s="11">
        <f t="shared" si="50"/>
        <v>1</v>
      </c>
      <c r="E1634">
        <f t="shared" si="51"/>
        <v>4079001</v>
      </c>
      <c r="F1634" s="11">
        <v>401</v>
      </c>
      <c r="G1634" s="11" t="s">
        <v>29</v>
      </c>
      <c r="H1634" s="3">
        <v>41410.339999999997</v>
      </c>
      <c r="K1634" s="11"/>
      <c r="L1634" s="11"/>
      <c r="M1634" s="11"/>
      <c r="N1634" s="11"/>
      <c r="P1634" s="11"/>
      <c r="Q1634" s="11"/>
      <c r="R1634" s="3"/>
    </row>
    <row r="1635" spans="1:18" x14ac:dyDescent="0.2">
      <c r="A1635" s="11">
        <v>4079</v>
      </c>
      <c r="B1635" s="11">
        <v>7</v>
      </c>
      <c r="C1635" s="11" t="s">
        <v>419</v>
      </c>
      <c r="D1635" s="11">
        <f t="shared" si="50"/>
        <v>2</v>
      </c>
      <c r="E1635">
        <f t="shared" si="51"/>
        <v>4079002</v>
      </c>
      <c r="F1635" s="11">
        <v>414</v>
      </c>
      <c r="G1635" s="11" t="s">
        <v>9</v>
      </c>
      <c r="H1635" s="3">
        <v>6263.98</v>
      </c>
      <c r="K1635" s="11"/>
      <c r="L1635" s="11"/>
      <c r="M1635" s="11"/>
      <c r="N1635" s="11"/>
      <c r="P1635" s="11"/>
      <c r="Q1635" s="11"/>
      <c r="R1635" s="3"/>
    </row>
    <row r="1636" spans="1:18" x14ac:dyDescent="0.2">
      <c r="A1636" s="11">
        <v>4080</v>
      </c>
      <c r="B1636" s="11">
        <v>7</v>
      </c>
      <c r="C1636" s="11" t="s">
        <v>420</v>
      </c>
      <c r="D1636" s="11">
        <f t="shared" si="50"/>
        <v>1</v>
      </c>
      <c r="E1636">
        <f t="shared" si="51"/>
        <v>4080001</v>
      </c>
      <c r="F1636" s="11">
        <v>433</v>
      </c>
      <c r="G1636" s="11" t="s">
        <v>30</v>
      </c>
      <c r="H1636" s="3">
        <v>296.23</v>
      </c>
      <c r="K1636" s="11"/>
      <c r="L1636" s="11"/>
      <c r="M1636" s="11"/>
      <c r="N1636" s="11"/>
      <c r="P1636" s="11"/>
      <c r="Q1636" s="11"/>
      <c r="R1636" s="3"/>
    </row>
    <row r="1637" spans="1:18" x14ac:dyDescent="0.2">
      <c r="A1637" s="11">
        <v>4081</v>
      </c>
      <c r="B1637" s="11">
        <v>7</v>
      </c>
      <c r="C1637" s="11" t="s">
        <v>421</v>
      </c>
      <c r="D1637" s="11">
        <f t="shared" si="50"/>
        <v>1</v>
      </c>
      <c r="E1637">
        <f t="shared" si="51"/>
        <v>4081001</v>
      </c>
      <c r="F1637" s="11">
        <v>401</v>
      </c>
      <c r="G1637" s="11" t="s">
        <v>29</v>
      </c>
      <c r="H1637" s="3">
        <v>12439.13</v>
      </c>
      <c r="K1637" s="11"/>
      <c r="L1637" s="11"/>
      <c r="M1637" s="11"/>
      <c r="N1637" s="11"/>
      <c r="P1637" s="11"/>
      <c r="Q1637" s="11"/>
      <c r="R1637" s="3"/>
    </row>
    <row r="1638" spans="1:18" x14ac:dyDescent="0.2">
      <c r="A1638" s="11">
        <v>4081</v>
      </c>
      <c r="B1638" s="11">
        <v>7</v>
      </c>
      <c r="C1638" s="11" t="s">
        <v>421</v>
      </c>
      <c r="D1638" s="11">
        <f t="shared" si="50"/>
        <v>2</v>
      </c>
      <c r="E1638">
        <f t="shared" si="51"/>
        <v>4081002</v>
      </c>
      <c r="F1638" s="11">
        <v>414</v>
      </c>
      <c r="G1638" s="11" t="s">
        <v>9</v>
      </c>
      <c r="H1638" s="3">
        <v>831.88</v>
      </c>
      <c r="K1638" s="11"/>
      <c r="L1638" s="11"/>
      <c r="M1638" s="11"/>
      <c r="N1638" s="11"/>
      <c r="P1638" s="11"/>
      <c r="Q1638" s="11"/>
      <c r="R1638" s="3"/>
    </row>
    <row r="1639" spans="1:18" x14ac:dyDescent="0.2">
      <c r="A1639" s="11">
        <v>4081</v>
      </c>
      <c r="B1639" s="11">
        <v>7</v>
      </c>
      <c r="C1639" s="11" t="s">
        <v>421</v>
      </c>
      <c r="D1639" s="11">
        <f t="shared" si="50"/>
        <v>3</v>
      </c>
      <c r="E1639">
        <f t="shared" si="51"/>
        <v>4081003</v>
      </c>
      <c r="F1639" s="11">
        <v>433</v>
      </c>
      <c r="G1639" s="11" t="s">
        <v>30</v>
      </c>
      <c r="H1639" s="3">
        <v>233.55</v>
      </c>
      <c r="K1639" s="11"/>
      <c r="L1639" s="11"/>
      <c r="M1639" s="11"/>
      <c r="N1639" s="11"/>
      <c r="P1639" s="11"/>
      <c r="Q1639" s="11"/>
      <c r="R1639" s="3"/>
    </row>
    <row r="1640" spans="1:18" x14ac:dyDescent="0.2">
      <c r="A1640" s="11">
        <v>4081</v>
      </c>
      <c r="B1640" s="11">
        <v>7</v>
      </c>
      <c r="C1640" s="11" t="s">
        <v>421</v>
      </c>
      <c r="D1640" s="11">
        <f t="shared" si="50"/>
        <v>4</v>
      </c>
      <c r="E1640">
        <f t="shared" si="51"/>
        <v>4081004</v>
      </c>
      <c r="F1640" s="11">
        <v>470</v>
      </c>
      <c r="G1640" s="11" t="s">
        <v>6</v>
      </c>
      <c r="H1640" s="3">
        <v>8522.16</v>
      </c>
      <c r="K1640" s="11"/>
      <c r="L1640" s="11"/>
      <c r="M1640" s="11"/>
      <c r="N1640" s="11"/>
      <c r="P1640" s="11"/>
      <c r="Q1640" s="11"/>
      <c r="R1640" s="3"/>
    </row>
    <row r="1641" spans="1:18" x14ac:dyDescent="0.2">
      <c r="A1641" s="11">
        <v>4082</v>
      </c>
      <c r="B1641" s="11">
        <v>7</v>
      </c>
      <c r="C1641" s="11" t="s">
        <v>422</v>
      </c>
      <c r="D1641" s="11">
        <f t="shared" si="50"/>
        <v>1</v>
      </c>
      <c r="E1641">
        <f t="shared" si="51"/>
        <v>4082001</v>
      </c>
      <c r="F1641" s="11">
        <v>151</v>
      </c>
      <c r="G1641" s="11" t="s">
        <v>28</v>
      </c>
      <c r="H1641" s="3">
        <v>324451.90999999997</v>
      </c>
      <c r="K1641" s="11"/>
      <c r="L1641" s="11"/>
      <c r="M1641" s="11"/>
      <c r="N1641" s="11"/>
      <c r="P1641" s="11"/>
      <c r="Q1641" s="11"/>
      <c r="R1641" s="3"/>
    </row>
    <row r="1642" spans="1:18" x14ac:dyDescent="0.2">
      <c r="A1642" s="11">
        <v>4082</v>
      </c>
      <c r="B1642" s="11">
        <v>7</v>
      </c>
      <c r="C1642" s="11" t="s">
        <v>422</v>
      </c>
      <c r="D1642" s="11">
        <f t="shared" si="50"/>
        <v>2</v>
      </c>
      <c r="E1642">
        <f t="shared" si="51"/>
        <v>4082002</v>
      </c>
      <c r="F1642" s="11">
        <v>419</v>
      </c>
      <c r="G1642" s="11" t="s">
        <v>10</v>
      </c>
      <c r="H1642" s="3">
        <v>126337.95</v>
      </c>
      <c r="K1642" s="11"/>
      <c r="L1642" s="11"/>
      <c r="M1642" s="11"/>
      <c r="N1642" s="11"/>
      <c r="P1642" s="11"/>
      <c r="Q1642" s="11"/>
      <c r="R1642" s="3"/>
    </row>
    <row r="1643" spans="1:18" x14ac:dyDescent="0.2">
      <c r="A1643" s="11">
        <v>4082</v>
      </c>
      <c r="B1643" s="11">
        <v>7</v>
      </c>
      <c r="C1643" s="11" t="s">
        <v>422</v>
      </c>
      <c r="D1643" s="11">
        <f t="shared" si="50"/>
        <v>3</v>
      </c>
      <c r="E1643">
        <f t="shared" si="51"/>
        <v>4082003</v>
      </c>
      <c r="F1643" s="11">
        <v>425</v>
      </c>
      <c r="G1643" s="11" t="s">
        <v>49</v>
      </c>
      <c r="H1643" s="3">
        <v>22294.93</v>
      </c>
      <c r="K1643" s="11"/>
      <c r="L1643" s="11"/>
      <c r="M1643" s="11"/>
      <c r="N1643" s="11"/>
      <c r="P1643" s="11"/>
      <c r="Q1643" s="11"/>
      <c r="R1643" s="3"/>
    </row>
    <row r="1644" spans="1:18" x14ac:dyDescent="0.2">
      <c r="A1644" s="11">
        <v>4082</v>
      </c>
      <c r="B1644" s="11">
        <v>7</v>
      </c>
      <c r="C1644" s="11" t="s">
        <v>422</v>
      </c>
      <c r="D1644" s="11">
        <f t="shared" si="50"/>
        <v>4</v>
      </c>
      <c r="E1644">
        <f t="shared" si="51"/>
        <v>4082004</v>
      </c>
      <c r="F1644" s="11">
        <v>480</v>
      </c>
      <c r="G1644" s="11" t="s">
        <v>19</v>
      </c>
      <c r="H1644" s="3">
        <v>124853.43</v>
      </c>
      <c r="K1644" s="11"/>
      <c r="L1644" s="11"/>
      <c r="M1644" s="11"/>
      <c r="N1644" s="11"/>
      <c r="P1644" s="11"/>
      <c r="Q1644" s="11"/>
      <c r="R1644" s="3"/>
    </row>
    <row r="1645" spans="1:18" x14ac:dyDescent="0.2">
      <c r="A1645" s="11">
        <v>4082</v>
      </c>
      <c r="B1645" s="11">
        <v>7</v>
      </c>
      <c r="C1645" s="11" t="s">
        <v>422</v>
      </c>
      <c r="D1645" s="11">
        <f t="shared" si="50"/>
        <v>5</v>
      </c>
      <c r="E1645">
        <f t="shared" si="51"/>
        <v>4082005</v>
      </c>
      <c r="F1645" s="11">
        <v>481</v>
      </c>
      <c r="G1645" s="11" t="s">
        <v>379</v>
      </c>
      <c r="H1645" s="3">
        <v>22032.959999999999</v>
      </c>
      <c r="K1645" s="11"/>
      <c r="L1645" s="11"/>
      <c r="M1645" s="11"/>
      <c r="N1645" s="11"/>
      <c r="P1645" s="11"/>
      <c r="Q1645" s="11"/>
      <c r="R1645" s="3"/>
    </row>
    <row r="1646" spans="1:18" x14ac:dyDescent="0.2">
      <c r="A1646" s="11">
        <v>4083</v>
      </c>
      <c r="B1646" s="11">
        <v>7</v>
      </c>
      <c r="C1646" s="11" t="s">
        <v>423</v>
      </c>
      <c r="D1646" s="11">
        <f t="shared" si="50"/>
        <v>1</v>
      </c>
      <c r="E1646">
        <f t="shared" si="51"/>
        <v>4083001</v>
      </c>
      <c r="F1646" s="11">
        <v>414</v>
      </c>
      <c r="G1646" s="11" t="s">
        <v>9</v>
      </c>
      <c r="H1646" s="3">
        <v>688.32</v>
      </c>
      <c r="K1646" s="11"/>
      <c r="L1646" s="11"/>
      <c r="M1646" s="11"/>
      <c r="N1646" s="11"/>
      <c r="P1646" s="11"/>
      <c r="Q1646" s="11"/>
      <c r="R1646" s="3"/>
    </row>
    <row r="1647" spans="1:18" x14ac:dyDescent="0.2">
      <c r="A1647" s="11">
        <v>4084</v>
      </c>
      <c r="B1647" s="11">
        <v>7</v>
      </c>
      <c r="C1647" s="11" t="s">
        <v>424</v>
      </c>
      <c r="D1647" s="11">
        <f t="shared" si="50"/>
        <v>1</v>
      </c>
      <c r="E1647">
        <f t="shared" si="51"/>
        <v>4084001</v>
      </c>
      <c r="F1647" s="11">
        <v>414</v>
      </c>
      <c r="G1647" s="11" t="s">
        <v>9</v>
      </c>
      <c r="H1647" s="3">
        <v>11216.69</v>
      </c>
      <c r="K1647" s="11"/>
      <c r="L1647" s="11"/>
      <c r="M1647" s="11"/>
      <c r="N1647" s="11"/>
      <c r="P1647" s="11"/>
      <c r="Q1647" s="11"/>
      <c r="R1647" s="3"/>
    </row>
    <row r="1648" spans="1:18" x14ac:dyDescent="0.2">
      <c r="A1648" s="11">
        <v>4084</v>
      </c>
      <c r="B1648" s="11">
        <v>7</v>
      </c>
      <c r="C1648" s="11" t="s">
        <v>424</v>
      </c>
      <c r="D1648" s="11">
        <f t="shared" si="50"/>
        <v>2</v>
      </c>
      <c r="E1648">
        <f t="shared" si="51"/>
        <v>4084002</v>
      </c>
      <c r="F1648" s="11">
        <v>420</v>
      </c>
      <c r="G1648" s="11" t="s">
        <v>11</v>
      </c>
      <c r="H1648" s="3">
        <v>1844.87</v>
      </c>
      <c r="K1648" s="11"/>
      <c r="L1648" s="11"/>
      <c r="M1648" s="11"/>
      <c r="N1648" s="11"/>
      <c r="P1648" s="11"/>
      <c r="Q1648" s="11"/>
      <c r="R1648" s="3"/>
    </row>
    <row r="1649" spans="1:18" x14ac:dyDescent="0.2">
      <c r="A1649" s="11">
        <v>4084</v>
      </c>
      <c r="B1649" s="11">
        <v>7</v>
      </c>
      <c r="C1649" s="11" t="s">
        <v>424</v>
      </c>
      <c r="D1649" s="11">
        <f t="shared" si="50"/>
        <v>3</v>
      </c>
      <c r="E1649">
        <f t="shared" si="51"/>
        <v>4084003</v>
      </c>
      <c r="F1649" s="11">
        <v>433</v>
      </c>
      <c r="G1649" s="11" t="s">
        <v>30</v>
      </c>
      <c r="H1649" s="3">
        <v>1118.82</v>
      </c>
      <c r="K1649" s="11"/>
      <c r="L1649" s="11"/>
      <c r="M1649" s="11"/>
      <c r="N1649" s="11"/>
      <c r="P1649" s="11"/>
      <c r="Q1649" s="11"/>
      <c r="R1649" s="3"/>
    </row>
    <row r="1650" spans="1:18" x14ac:dyDescent="0.2">
      <c r="A1650" s="11">
        <v>4084</v>
      </c>
      <c r="B1650" s="11">
        <v>7</v>
      </c>
      <c r="C1650" s="11" t="s">
        <v>424</v>
      </c>
      <c r="D1650" s="11">
        <f t="shared" si="50"/>
        <v>4</v>
      </c>
      <c r="E1650">
        <f t="shared" si="51"/>
        <v>4084004</v>
      </c>
      <c r="F1650" s="11">
        <v>470</v>
      </c>
      <c r="G1650" s="11" t="s">
        <v>6</v>
      </c>
      <c r="H1650" s="3">
        <v>36645.300000000003</v>
      </c>
      <c r="K1650" s="11"/>
      <c r="L1650" s="11"/>
      <c r="M1650" s="11"/>
      <c r="N1650" s="11"/>
      <c r="P1650" s="11"/>
      <c r="Q1650" s="11"/>
      <c r="R1650" s="3"/>
    </row>
    <row r="1651" spans="1:18" x14ac:dyDescent="0.2">
      <c r="A1651" s="11">
        <v>4084</v>
      </c>
      <c r="B1651" s="11">
        <v>7</v>
      </c>
      <c r="C1651" s="11" t="s">
        <v>424</v>
      </c>
      <c r="D1651" s="11">
        <f t="shared" si="50"/>
        <v>5</v>
      </c>
      <c r="E1651">
        <f t="shared" si="51"/>
        <v>4084005</v>
      </c>
      <c r="F1651" s="11">
        <v>484</v>
      </c>
      <c r="G1651" s="11" t="s">
        <v>20</v>
      </c>
      <c r="H1651" s="3">
        <v>2531.9</v>
      </c>
      <c r="K1651" s="11"/>
      <c r="L1651" s="11"/>
      <c r="M1651" s="11"/>
      <c r="N1651" s="11"/>
      <c r="P1651" s="11"/>
      <c r="Q1651" s="11"/>
      <c r="R1651" s="3"/>
    </row>
    <row r="1652" spans="1:18" x14ac:dyDescent="0.2">
      <c r="A1652" s="11">
        <v>4085</v>
      </c>
      <c r="B1652" s="11">
        <v>7</v>
      </c>
      <c r="C1652" s="11" t="s">
        <v>425</v>
      </c>
      <c r="D1652" s="11">
        <f t="shared" si="50"/>
        <v>1</v>
      </c>
      <c r="E1652">
        <f t="shared" si="51"/>
        <v>4085001</v>
      </c>
      <c r="F1652" s="11">
        <v>151</v>
      </c>
      <c r="G1652" s="11" t="s">
        <v>28</v>
      </c>
      <c r="H1652" s="3">
        <v>88709.9</v>
      </c>
      <c r="K1652" s="11"/>
      <c r="L1652" s="11"/>
      <c r="M1652" s="11"/>
      <c r="N1652" s="11"/>
      <c r="P1652" s="11"/>
      <c r="Q1652" s="11"/>
      <c r="R1652" s="3"/>
    </row>
    <row r="1653" spans="1:18" x14ac:dyDescent="0.2">
      <c r="A1653" s="11">
        <v>4085</v>
      </c>
      <c r="B1653" s="11">
        <v>7</v>
      </c>
      <c r="C1653" s="11" t="s">
        <v>425</v>
      </c>
      <c r="D1653" s="11">
        <f t="shared" si="50"/>
        <v>2</v>
      </c>
      <c r="E1653">
        <f t="shared" si="51"/>
        <v>4085002</v>
      </c>
      <c r="F1653" s="11">
        <v>401</v>
      </c>
      <c r="G1653" s="11" t="s">
        <v>29</v>
      </c>
      <c r="H1653" s="3">
        <v>30571.439999999999</v>
      </c>
      <c r="K1653" s="11"/>
      <c r="L1653" s="11"/>
      <c r="M1653" s="11"/>
      <c r="N1653" s="11"/>
      <c r="P1653" s="11"/>
      <c r="Q1653" s="11"/>
      <c r="R1653" s="3"/>
    </row>
    <row r="1654" spans="1:18" x14ac:dyDescent="0.2">
      <c r="A1654" s="11">
        <v>4085</v>
      </c>
      <c r="B1654" s="11">
        <v>7</v>
      </c>
      <c r="C1654" s="11" t="s">
        <v>425</v>
      </c>
      <c r="D1654" s="11">
        <f t="shared" si="50"/>
        <v>3</v>
      </c>
      <c r="E1654">
        <f t="shared" si="51"/>
        <v>4085003</v>
      </c>
      <c r="F1654" s="11">
        <v>414</v>
      </c>
      <c r="G1654" s="11" t="s">
        <v>9</v>
      </c>
      <c r="H1654" s="3">
        <v>5467.16</v>
      </c>
      <c r="K1654" s="11"/>
      <c r="L1654" s="11"/>
      <c r="M1654" s="11"/>
      <c r="N1654" s="11"/>
      <c r="P1654" s="11"/>
      <c r="Q1654" s="11"/>
      <c r="R1654" s="3"/>
    </row>
    <row r="1655" spans="1:18" x14ac:dyDescent="0.2">
      <c r="A1655" s="11">
        <v>4085</v>
      </c>
      <c r="B1655" s="11">
        <v>7</v>
      </c>
      <c r="C1655" s="11" t="s">
        <v>425</v>
      </c>
      <c r="D1655" s="11">
        <f t="shared" si="50"/>
        <v>4</v>
      </c>
      <c r="E1655">
        <f t="shared" si="51"/>
        <v>4085004</v>
      </c>
      <c r="F1655" s="11">
        <v>470</v>
      </c>
      <c r="G1655" s="11" t="s">
        <v>6</v>
      </c>
      <c r="H1655" s="3">
        <v>21305.41</v>
      </c>
      <c r="K1655" s="11"/>
      <c r="L1655" s="11"/>
      <c r="M1655" s="11"/>
      <c r="N1655" s="11"/>
      <c r="P1655" s="11"/>
      <c r="Q1655" s="11"/>
      <c r="R1655" s="3"/>
    </row>
    <row r="1656" spans="1:18" x14ac:dyDescent="0.2">
      <c r="A1656" s="11">
        <v>4085</v>
      </c>
      <c r="B1656" s="11">
        <v>7</v>
      </c>
      <c r="C1656" s="11" t="s">
        <v>425</v>
      </c>
      <c r="D1656" s="11">
        <f t="shared" si="50"/>
        <v>5</v>
      </c>
      <c r="E1656">
        <f t="shared" si="51"/>
        <v>4085005</v>
      </c>
      <c r="F1656" s="11">
        <v>480</v>
      </c>
      <c r="G1656" s="11" t="s">
        <v>19</v>
      </c>
      <c r="H1656" s="3">
        <v>41485.199999999997</v>
      </c>
      <c r="K1656" s="11"/>
      <c r="L1656" s="11"/>
      <c r="M1656" s="11"/>
      <c r="N1656" s="11"/>
      <c r="P1656" s="11"/>
      <c r="Q1656" s="11"/>
      <c r="R1656" s="3"/>
    </row>
    <row r="1657" spans="1:18" x14ac:dyDescent="0.2">
      <c r="A1657" s="11">
        <v>4086</v>
      </c>
      <c r="B1657" s="11">
        <v>7</v>
      </c>
      <c r="C1657" s="11" t="s">
        <v>426</v>
      </c>
      <c r="D1657" s="11">
        <f t="shared" si="50"/>
        <v>1</v>
      </c>
      <c r="E1657">
        <f t="shared" si="51"/>
        <v>4086001</v>
      </c>
      <c r="F1657" s="11">
        <v>419</v>
      </c>
      <c r="G1657" s="11" t="s">
        <v>10</v>
      </c>
      <c r="H1657" s="3">
        <v>56410.57</v>
      </c>
      <c r="K1657" s="11"/>
      <c r="L1657" s="11"/>
      <c r="M1657" s="11"/>
      <c r="N1657" s="11"/>
      <c r="P1657" s="11"/>
      <c r="Q1657" s="11"/>
      <c r="R1657" s="3"/>
    </row>
    <row r="1658" spans="1:18" x14ac:dyDescent="0.2">
      <c r="A1658" s="11">
        <v>4086</v>
      </c>
      <c r="B1658" s="11">
        <v>7</v>
      </c>
      <c r="C1658" s="11" t="s">
        <v>426</v>
      </c>
      <c r="D1658" s="11">
        <f t="shared" si="50"/>
        <v>2</v>
      </c>
      <c r="E1658">
        <f t="shared" si="51"/>
        <v>4086002</v>
      </c>
      <c r="F1658" s="11">
        <v>420</v>
      </c>
      <c r="G1658" s="11" t="s">
        <v>11</v>
      </c>
      <c r="H1658" s="3">
        <v>18.8</v>
      </c>
      <c r="K1658" s="11"/>
      <c r="L1658" s="11"/>
      <c r="M1658" s="11"/>
      <c r="N1658" s="11"/>
      <c r="P1658" s="11"/>
      <c r="Q1658" s="11"/>
      <c r="R1658" s="3"/>
    </row>
    <row r="1659" spans="1:18" x14ac:dyDescent="0.2">
      <c r="A1659" s="11">
        <v>4086</v>
      </c>
      <c r="B1659" s="11">
        <v>7</v>
      </c>
      <c r="C1659" s="11" t="s">
        <v>426</v>
      </c>
      <c r="D1659" s="11">
        <f t="shared" si="50"/>
        <v>3</v>
      </c>
      <c r="E1659">
        <f t="shared" si="51"/>
        <v>4086003</v>
      </c>
      <c r="F1659" s="11">
        <v>470</v>
      </c>
      <c r="G1659" s="11" t="s">
        <v>6</v>
      </c>
      <c r="H1659" s="3">
        <v>78403.91</v>
      </c>
      <c r="K1659" s="11"/>
      <c r="L1659" s="11"/>
      <c r="M1659" s="11"/>
      <c r="N1659" s="11"/>
      <c r="P1659" s="11"/>
      <c r="Q1659" s="11"/>
      <c r="R1659" s="3"/>
    </row>
    <row r="1660" spans="1:18" x14ac:dyDescent="0.2">
      <c r="A1660" s="11">
        <v>4086</v>
      </c>
      <c r="B1660" s="11">
        <v>7</v>
      </c>
      <c r="C1660" s="11" t="s">
        <v>426</v>
      </c>
      <c r="D1660" s="11">
        <f t="shared" si="50"/>
        <v>4</v>
      </c>
      <c r="E1660">
        <f t="shared" si="51"/>
        <v>4086004</v>
      </c>
      <c r="F1660" s="11">
        <v>481</v>
      </c>
      <c r="G1660" s="11" t="s">
        <v>379</v>
      </c>
      <c r="H1660" s="3">
        <v>11869.93</v>
      </c>
      <c r="K1660" s="11"/>
      <c r="L1660" s="11"/>
      <c r="M1660" s="11"/>
      <c r="N1660" s="11"/>
      <c r="P1660" s="11"/>
      <c r="Q1660" s="11"/>
      <c r="R1660" s="3"/>
    </row>
    <row r="1661" spans="1:18" x14ac:dyDescent="0.2">
      <c r="A1661" s="11">
        <v>4086</v>
      </c>
      <c r="B1661" s="11">
        <v>7</v>
      </c>
      <c r="C1661" s="11" t="s">
        <v>426</v>
      </c>
      <c r="D1661" s="11">
        <f t="shared" si="50"/>
        <v>5</v>
      </c>
      <c r="E1661">
        <f t="shared" si="51"/>
        <v>4086005</v>
      </c>
      <c r="F1661" s="11">
        <v>484</v>
      </c>
      <c r="G1661" s="11" t="s">
        <v>20</v>
      </c>
      <c r="H1661" s="3">
        <v>3244.1</v>
      </c>
      <c r="K1661" s="11"/>
      <c r="L1661" s="11"/>
      <c r="M1661" s="11"/>
      <c r="N1661" s="11"/>
      <c r="P1661" s="11"/>
      <c r="Q1661" s="11"/>
      <c r="R1661" s="3"/>
    </row>
    <row r="1662" spans="1:18" x14ac:dyDescent="0.2">
      <c r="A1662" s="11">
        <v>4088</v>
      </c>
      <c r="B1662" s="11">
        <v>7</v>
      </c>
      <c r="C1662" s="11" t="s">
        <v>427</v>
      </c>
      <c r="D1662" s="11">
        <f t="shared" si="50"/>
        <v>1</v>
      </c>
      <c r="E1662">
        <f t="shared" si="51"/>
        <v>4088001</v>
      </c>
      <c r="F1662" s="11">
        <v>401</v>
      </c>
      <c r="G1662" s="11" t="s">
        <v>29</v>
      </c>
      <c r="H1662" s="3">
        <v>119518.48</v>
      </c>
      <c r="K1662" s="11"/>
      <c r="L1662" s="11"/>
      <c r="M1662" s="11"/>
      <c r="N1662" s="11"/>
      <c r="P1662" s="11"/>
      <c r="Q1662" s="11"/>
      <c r="R1662" s="3"/>
    </row>
    <row r="1663" spans="1:18" x14ac:dyDescent="0.2">
      <c r="A1663" s="11">
        <v>4088</v>
      </c>
      <c r="B1663" s="11">
        <v>7</v>
      </c>
      <c r="C1663" s="11" t="s">
        <v>427</v>
      </c>
      <c r="D1663" s="11">
        <f t="shared" si="50"/>
        <v>2</v>
      </c>
      <c r="E1663">
        <f t="shared" si="51"/>
        <v>4088002</v>
      </c>
      <c r="F1663" s="11">
        <v>414</v>
      </c>
      <c r="G1663" s="11" t="s">
        <v>9</v>
      </c>
      <c r="H1663" s="3">
        <v>12799.94</v>
      </c>
      <c r="K1663" s="11"/>
      <c r="L1663" s="11"/>
      <c r="M1663" s="11"/>
      <c r="N1663" s="11"/>
      <c r="P1663" s="11"/>
      <c r="Q1663" s="11"/>
      <c r="R1663" s="3"/>
    </row>
    <row r="1664" spans="1:18" x14ac:dyDescent="0.2">
      <c r="A1664" s="11">
        <v>4088</v>
      </c>
      <c r="B1664" s="11">
        <v>7</v>
      </c>
      <c r="C1664" s="11" t="s">
        <v>427</v>
      </c>
      <c r="D1664" s="11">
        <f t="shared" si="50"/>
        <v>3</v>
      </c>
      <c r="E1664">
        <f t="shared" si="51"/>
        <v>4088003</v>
      </c>
      <c r="F1664" s="11">
        <v>420</v>
      </c>
      <c r="G1664" s="11" t="s">
        <v>11</v>
      </c>
      <c r="H1664" s="3">
        <v>825.04</v>
      </c>
      <c r="K1664" s="11"/>
      <c r="L1664" s="11"/>
      <c r="M1664" s="11"/>
      <c r="N1664" s="11"/>
      <c r="P1664" s="11"/>
      <c r="Q1664" s="11"/>
      <c r="R1664" s="3"/>
    </row>
    <row r="1665" spans="1:18" x14ac:dyDescent="0.2">
      <c r="A1665" s="11">
        <v>4088</v>
      </c>
      <c r="B1665" s="11">
        <v>7</v>
      </c>
      <c r="C1665" s="11" t="s">
        <v>427</v>
      </c>
      <c r="D1665" s="11">
        <f t="shared" si="50"/>
        <v>4</v>
      </c>
      <c r="E1665">
        <f t="shared" si="51"/>
        <v>4088004</v>
      </c>
      <c r="F1665" s="11">
        <v>433</v>
      </c>
      <c r="G1665" s="11" t="s">
        <v>30</v>
      </c>
      <c r="H1665" s="3">
        <v>1966.77</v>
      </c>
      <c r="K1665" s="11"/>
      <c r="L1665" s="11"/>
      <c r="M1665" s="11"/>
      <c r="N1665" s="11"/>
      <c r="P1665" s="11"/>
      <c r="Q1665" s="11"/>
      <c r="R1665" s="3"/>
    </row>
    <row r="1666" spans="1:18" x14ac:dyDescent="0.2">
      <c r="A1666" s="11">
        <v>4088</v>
      </c>
      <c r="B1666" s="11">
        <v>7</v>
      </c>
      <c r="C1666" s="11" t="s">
        <v>427</v>
      </c>
      <c r="D1666" s="11">
        <f t="shared" si="50"/>
        <v>5</v>
      </c>
      <c r="E1666">
        <f t="shared" si="51"/>
        <v>4088005</v>
      </c>
      <c r="F1666" s="11">
        <v>470</v>
      </c>
      <c r="G1666" s="11" t="s">
        <v>6</v>
      </c>
      <c r="H1666" s="3">
        <v>76699.48</v>
      </c>
      <c r="K1666" s="11"/>
      <c r="L1666" s="11"/>
      <c r="M1666" s="11"/>
      <c r="N1666" s="11"/>
      <c r="P1666" s="11"/>
      <c r="Q1666" s="11"/>
      <c r="R1666" s="3"/>
    </row>
    <row r="1667" spans="1:18" x14ac:dyDescent="0.2">
      <c r="A1667" s="11">
        <v>4088</v>
      </c>
      <c r="B1667" s="11">
        <v>7</v>
      </c>
      <c r="C1667" s="11" t="s">
        <v>427</v>
      </c>
      <c r="D1667" s="11">
        <f t="shared" si="50"/>
        <v>6</v>
      </c>
      <c r="E1667">
        <f t="shared" si="51"/>
        <v>4088006</v>
      </c>
      <c r="F1667" s="11">
        <v>480</v>
      </c>
      <c r="G1667" s="11" t="s">
        <v>19</v>
      </c>
      <c r="H1667" s="3">
        <v>74471.789999999994</v>
      </c>
      <c r="K1667" s="11"/>
      <c r="L1667" s="11"/>
      <c r="M1667" s="11"/>
      <c r="N1667" s="11"/>
      <c r="P1667" s="11"/>
      <c r="Q1667" s="11"/>
      <c r="R1667" s="3"/>
    </row>
    <row r="1668" spans="1:18" x14ac:dyDescent="0.2">
      <c r="A1668" s="11">
        <v>4088</v>
      </c>
      <c r="B1668" s="11">
        <v>7</v>
      </c>
      <c r="C1668" s="11" t="s">
        <v>427</v>
      </c>
      <c r="D1668" s="11">
        <f t="shared" si="50"/>
        <v>7</v>
      </c>
      <c r="E1668">
        <f t="shared" si="51"/>
        <v>4088007</v>
      </c>
      <c r="F1668" s="11">
        <v>484</v>
      </c>
      <c r="G1668" s="11" t="s">
        <v>20</v>
      </c>
      <c r="H1668" s="3">
        <v>3053.22</v>
      </c>
      <c r="K1668" s="11"/>
      <c r="L1668" s="11"/>
      <c r="M1668" s="11"/>
      <c r="N1668" s="11"/>
      <c r="P1668" s="11"/>
      <c r="Q1668" s="11"/>
      <c r="R1668" s="3"/>
    </row>
    <row r="1669" spans="1:18" x14ac:dyDescent="0.2">
      <c r="A1669" s="11">
        <v>4089</v>
      </c>
      <c r="B1669" s="11">
        <v>7</v>
      </c>
      <c r="C1669" s="11" t="s">
        <v>428</v>
      </c>
      <c r="D1669" s="11">
        <f t="shared" si="50"/>
        <v>1</v>
      </c>
      <c r="E1669">
        <f t="shared" si="51"/>
        <v>4089001</v>
      </c>
      <c r="F1669" s="11">
        <v>420</v>
      </c>
      <c r="G1669" s="11" t="s">
        <v>11</v>
      </c>
      <c r="H1669" s="3">
        <v>455.83</v>
      </c>
      <c r="K1669" s="11"/>
      <c r="L1669" s="11"/>
      <c r="M1669" s="11"/>
      <c r="N1669" s="11"/>
      <c r="P1669" s="11"/>
      <c r="Q1669" s="11"/>
      <c r="R1669" s="3"/>
    </row>
    <row r="1670" spans="1:18" x14ac:dyDescent="0.2">
      <c r="A1670" s="11">
        <v>4089</v>
      </c>
      <c r="B1670" s="11">
        <v>7</v>
      </c>
      <c r="C1670" s="11" t="s">
        <v>428</v>
      </c>
      <c r="D1670" s="11">
        <f t="shared" si="50"/>
        <v>2</v>
      </c>
      <c r="E1670">
        <f t="shared" si="51"/>
        <v>4089002</v>
      </c>
      <c r="F1670" s="11">
        <v>484</v>
      </c>
      <c r="G1670" s="11" t="s">
        <v>20</v>
      </c>
      <c r="H1670" s="3">
        <v>1196.1099999999999</v>
      </c>
      <c r="K1670" s="11"/>
      <c r="L1670" s="11"/>
      <c r="M1670" s="11"/>
      <c r="N1670" s="11"/>
      <c r="P1670" s="11"/>
      <c r="Q1670" s="11"/>
      <c r="R1670" s="3"/>
    </row>
    <row r="1671" spans="1:18" x14ac:dyDescent="0.2">
      <c r="A1671" s="11">
        <v>4090</v>
      </c>
      <c r="B1671" s="11">
        <v>7</v>
      </c>
      <c r="C1671" s="11" t="s">
        <v>429</v>
      </c>
      <c r="D1671" s="11">
        <f t="shared" si="50"/>
        <v>1</v>
      </c>
      <c r="E1671">
        <f t="shared" si="51"/>
        <v>4090001</v>
      </c>
      <c r="F1671" s="11">
        <v>151</v>
      </c>
      <c r="G1671" s="11" t="s">
        <v>28</v>
      </c>
      <c r="H1671" s="3">
        <v>38069.79</v>
      </c>
      <c r="K1671" s="11"/>
      <c r="L1671" s="11"/>
      <c r="M1671" s="11"/>
      <c r="N1671" s="11"/>
      <c r="P1671" s="11"/>
      <c r="Q1671" s="11"/>
      <c r="R1671" s="3"/>
    </row>
    <row r="1672" spans="1:18" x14ac:dyDescent="0.2">
      <c r="A1672" s="11">
        <v>4091</v>
      </c>
      <c r="B1672" s="11">
        <v>7</v>
      </c>
      <c r="C1672" s="11" t="s">
        <v>430</v>
      </c>
      <c r="D1672" s="11">
        <f t="shared" si="50"/>
        <v>1</v>
      </c>
      <c r="E1672">
        <f t="shared" si="51"/>
        <v>4091001</v>
      </c>
      <c r="F1672" s="11">
        <v>401</v>
      </c>
      <c r="G1672" s="11" t="s">
        <v>29</v>
      </c>
      <c r="H1672" s="3">
        <v>11702.29</v>
      </c>
      <c r="K1672" s="11"/>
      <c r="L1672" s="11"/>
      <c r="M1672" s="11"/>
      <c r="N1672" s="11"/>
      <c r="P1672" s="11"/>
      <c r="Q1672" s="11"/>
      <c r="R1672" s="3"/>
    </row>
    <row r="1673" spans="1:18" x14ac:dyDescent="0.2">
      <c r="A1673" s="11">
        <v>4091</v>
      </c>
      <c r="B1673" s="11">
        <v>7</v>
      </c>
      <c r="C1673" s="11" t="s">
        <v>430</v>
      </c>
      <c r="D1673" s="11">
        <f t="shared" si="50"/>
        <v>2</v>
      </c>
      <c r="E1673">
        <f t="shared" si="51"/>
        <v>4091002</v>
      </c>
      <c r="F1673" s="11">
        <v>414</v>
      </c>
      <c r="G1673" s="11" t="s">
        <v>9</v>
      </c>
      <c r="H1673" s="3">
        <v>2039.75</v>
      </c>
      <c r="K1673" s="11"/>
      <c r="L1673" s="11"/>
      <c r="M1673" s="11"/>
      <c r="N1673" s="11"/>
      <c r="P1673" s="11"/>
      <c r="Q1673" s="11"/>
      <c r="R1673" s="3"/>
    </row>
    <row r="1674" spans="1:18" x14ac:dyDescent="0.2">
      <c r="A1674" s="11">
        <v>4091</v>
      </c>
      <c r="B1674" s="11">
        <v>7</v>
      </c>
      <c r="C1674" s="11" t="s">
        <v>430</v>
      </c>
      <c r="D1674" s="11">
        <f t="shared" si="50"/>
        <v>3</v>
      </c>
      <c r="E1674">
        <f t="shared" si="51"/>
        <v>4091003</v>
      </c>
      <c r="F1674" s="11">
        <v>470</v>
      </c>
      <c r="G1674" s="11" t="s">
        <v>6</v>
      </c>
      <c r="H1674" s="3">
        <v>8522.16</v>
      </c>
      <c r="K1674" s="11"/>
      <c r="L1674" s="11"/>
      <c r="M1674" s="11"/>
      <c r="N1674" s="11"/>
      <c r="P1674" s="11"/>
      <c r="Q1674" s="11"/>
      <c r="R1674" s="3"/>
    </row>
    <row r="1675" spans="1:18" x14ac:dyDescent="0.2">
      <c r="A1675" s="11">
        <v>4093</v>
      </c>
      <c r="B1675" s="11">
        <v>7</v>
      </c>
      <c r="C1675" s="11" t="s">
        <v>431</v>
      </c>
      <c r="D1675" s="11">
        <f t="shared" si="50"/>
        <v>1</v>
      </c>
      <c r="E1675">
        <f t="shared" si="51"/>
        <v>4093001</v>
      </c>
      <c r="F1675" s="11">
        <v>414</v>
      </c>
      <c r="G1675" s="11" t="s">
        <v>9</v>
      </c>
      <c r="H1675" s="3">
        <v>3699.19</v>
      </c>
      <c r="K1675" s="11"/>
      <c r="L1675" s="11"/>
      <c r="M1675" s="11"/>
      <c r="N1675" s="11"/>
      <c r="P1675" s="11"/>
      <c r="Q1675" s="11"/>
      <c r="R1675" s="3"/>
    </row>
    <row r="1676" spans="1:18" x14ac:dyDescent="0.2">
      <c r="A1676" s="11">
        <v>4093</v>
      </c>
      <c r="B1676" s="11">
        <v>7</v>
      </c>
      <c r="C1676" s="11" t="s">
        <v>431</v>
      </c>
      <c r="D1676" s="11">
        <f t="shared" si="50"/>
        <v>2</v>
      </c>
      <c r="E1676">
        <f t="shared" si="51"/>
        <v>4093002</v>
      </c>
      <c r="F1676" s="11">
        <v>425</v>
      </c>
      <c r="G1676" s="11" t="s">
        <v>49</v>
      </c>
      <c r="H1676" s="3">
        <v>3332.47</v>
      </c>
      <c r="K1676" s="11"/>
      <c r="L1676" s="11"/>
      <c r="M1676" s="11"/>
      <c r="N1676" s="11"/>
      <c r="P1676" s="11"/>
      <c r="Q1676" s="11"/>
      <c r="R1676" s="3"/>
    </row>
    <row r="1677" spans="1:18" x14ac:dyDescent="0.2">
      <c r="A1677" s="11">
        <v>4093</v>
      </c>
      <c r="B1677" s="11">
        <v>7</v>
      </c>
      <c r="C1677" s="11" t="s">
        <v>431</v>
      </c>
      <c r="D1677" s="11">
        <f t="shared" si="50"/>
        <v>3</v>
      </c>
      <c r="E1677">
        <f t="shared" si="51"/>
        <v>4093003</v>
      </c>
      <c r="F1677" s="11">
        <v>470</v>
      </c>
      <c r="G1677" s="11" t="s">
        <v>6</v>
      </c>
      <c r="H1677" s="3">
        <v>14487.68</v>
      </c>
      <c r="K1677" s="11"/>
      <c r="L1677" s="11"/>
      <c r="M1677" s="11"/>
      <c r="N1677" s="11"/>
      <c r="P1677" s="11"/>
      <c r="Q1677" s="11"/>
      <c r="R1677" s="3"/>
    </row>
    <row r="1678" spans="1:18" x14ac:dyDescent="0.2">
      <c r="A1678" s="11">
        <v>4093</v>
      </c>
      <c r="B1678" s="11">
        <v>7</v>
      </c>
      <c r="C1678" s="11" t="s">
        <v>431</v>
      </c>
      <c r="D1678" s="11">
        <f t="shared" si="50"/>
        <v>4</v>
      </c>
      <c r="E1678">
        <f t="shared" si="51"/>
        <v>4093004</v>
      </c>
      <c r="F1678" s="11">
        <v>481</v>
      </c>
      <c r="G1678" s="11" t="s">
        <v>379</v>
      </c>
      <c r="H1678" s="3">
        <v>3944.7</v>
      </c>
      <c r="K1678" s="11"/>
      <c r="L1678" s="11"/>
      <c r="M1678" s="11"/>
      <c r="N1678" s="11"/>
      <c r="P1678" s="11"/>
      <c r="Q1678" s="11"/>
      <c r="R1678" s="3"/>
    </row>
    <row r="1679" spans="1:18" x14ac:dyDescent="0.2">
      <c r="A1679" s="11">
        <v>4095</v>
      </c>
      <c r="B1679" s="11">
        <v>7</v>
      </c>
      <c r="C1679" s="11" t="s">
        <v>432</v>
      </c>
      <c r="D1679" s="11">
        <f t="shared" ref="D1679:D1742" si="52">IF(A1679=A1678,D1678+1,1)</f>
        <v>1</v>
      </c>
      <c r="E1679">
        <f t="shared" ref="E1679:E1742" si="53">1000*A1679+D1679</f>
        <v>4095001</v>
      </c>
      <c r="F1679" s="11">
        <v>414</v>
      </c>
      <c r="G1679" s="11" t="s">
        <v>9</v>
      </c>
      <c r="H1679" s="3">
        <v>1659.67</v>
      </c>
      <c r="K1679" s="11"/>
      <c r="L1679" s="11"/>
      <c r="M1679" s="11"/>
      <c r="N1679" s="11"/>
      <c r="P1679" s="11"/>
      <c r="Q1679" s="11"/>
      <c r="R1679" s="3"/>
    </row>
    <row r="1680" spans="1:18" x14ac:dyDescent="0.2">
      <c r="A1680" s="11">
        <v>4095</v>
      </c>
      <c r="B1680" s="11">
        <v>7</v>
      </c>
      <c r="C1680" s="11" t="s">
        <v>432</v>
      </c>
      <c r="D1680" s="11">
        <f t="shared" si="52"/>
        <v>2</v>
      </c>
      <c r="E1680">
        <f t="shared" si="53"/>
        <v>4095002</v>
      </c>
      <c r="F1680" s="11">
        <v>433</v>
      </c>
      <c r="G1680" s="11" t="s">
        <v>30</v>
      </c>
      <c r="H1680" s="3">
        <v>158.57</v>
      </c>
      <c r="K1680" s="11"/>
      <c r="L1680" s="11"/>
      <c r="M1680" s="11"/>
      <c r="N1680" s="11"/>
      <c r="P1680" s="11"/>
      <c r="Q1680" s="11"/>
      <c r="R1680" s="3"/>
    </row>
    <row r="1681" spans="1:18" x14ac:dyDescent="0.2">
      <c r="A1681" s="11">
        <v>4097</v>
      </c>
      <c r="B1681" s="11">
        <v>7</v>
      </c>
      <c r="C1681" s="11" t="s">
        <v>433</v>
      </c>
      <c r="D1681" s="11">
        <f t="shared" si="52"/>
        <v>1</v>
      </c>
      <c r="E1681">
        <f t="shared" si="53"/>
        <v>4097001</v>
      </c>
      <c r="F1681" s="11">
        <v>425</v>
      </c>
      <c r="G1681" s="11" t="s">
        <v>49</v>
      </c>
      <c r="H1681" s="3">
        <v>3050.9</v>
      </c>
      <c r="K1681" s="11"/>
      <c r="L1681" s="11"/>
      <c r="M1681" s="11"/>
      <c r="N1681" s="11"/>
      <c r="P1681" s="11"/>
      <c r="Q1681" s="11"/>
      <c r="R1681" s="3"/>
    </row>
    <row r="1682" spans="1:18" x14ac:dyDescent="0.2">
      <c r="A1682" s="11">
        <v>4097</v>
      </c>
      <c r="B1682" s="11">
        <v>7</v>
      </c>
      <c r="C1682" s="11" t="s">
        <v>433</v>
      </c>
      <c r="D1682" s="11">
        <f t="shared" si="52"/>
        <v>2</v>
      </c>
      <c r="E1682">
        <f t="shared" si="53"/>
        <v>4097002</v>
      </c>
      <c r="F1682" s="11">
        <v>481</v>
      </c>
      <c r="G1682" s="11" t="s">
        <v>379</v>
      </c>
      <c r="H1682" s="3">
        <v>4282.1000000000004</v>
      </c>
      <c r="K1682" s="11"/>
      <c r="L1682" s="11"/>
      <c r="M1682" s="11"/>
      <c r="N1682" s="11"/>
      <c r="P1682" s="11"/>
      <c r="Q1682" s="11"/>
      <c r="R1682" s="3"/>
    </row>
    <row r="1683" spans="1:18" x14ac:dyDescent="0.2">
      <c r="A1683" s="11">
        <v>4097</v>
      </c>
      <c r="B1683" s="11">
        <v>7</v>
      </c>
      <c r="C1683" s="11" t="s">
        <v>433</v>
      </c>
      <c r="D1683" s="11">
        <f t="shared" si="52"/>
        <v>3</v>
      </c>
      <c r="E1683">
        <f t="shared" si="53"/>
        <v>4097003</v>
      </c>
      <c r="F1683" s="11">
        <v>484</v>
      </c>
      <c r="G1683" s="11" t="s">
        <v>20</v>
      </c>
      <c r="H1683" s="3">
        <v>2943.43</v>
      </c>
      <c r="K1683" s="11"/>
      <c r="L1683" s="11"/>
      <c r="M1683" s="11"/>
      <c r="N1683" s="11"/>
      <c r="P1683" s="11"/>
      <c r="Q1683" s="11"/>
      <c r="R1683" s="3"/>
    </row>
    <row r="1684" spans="1:18" x14ac:dyDescent="0.2">
      <c r="A1684" s="11">
        <v>4097</v>
      </c>
      <c r="B1684" s="11">
        <v>7</v>
      </c>
      <c r="C1684" s="11" t="s">
        <v>433</v>
      </c>
      <c r="D1684" s="11">
        <f t="shared" si="52"/>
        <v>4</v>
      </c>
      <c r="E1684">
        <f t="shared" si="53"/>
        <v>4097004</v>
      </c>
      <c r="F1684" s="11">
        <v>706</v>
      </c>
      <c r="G1684" s="11" t="s">
        <v>114</v>
      </c>
      <c r="H1684" s="3">
        <v>21215</v>
      </c>
      <c r="K1684" s="11"/>
      <c r="L1684" s="11"/>
      <c r="M1684" s="11"/>
      <c r="N1684" s="11"/>
      <c r="P1684" s="11"/>
      <c r="Q1684" s="11"/>
      <c r="R1684" s="3"/>
    </row>
    <row r="1685" spans="1:18" x14ac:dyDescent="0.2">
      <c r="A1685" s="11">
        <v>4098</v>
      </c>
      <c r="B1685" s="11">
        <v>7</v>
      </c>
      <c r="C1685" s="11" t="s">
        <v>434</v>
      </c>
      <c r="D1685" s="11">
        <f t="shared" si="52"/>
        <v>1</v>
      </c>
      <c r="E1685">
        <f t="shared" si="53"/>
        <v>4098001</v>
      </c>
      <c r="F1685" s="11">
        <v>151</v>
      </c>
      <c r="G1685" s="11" t="s">
        <v>28</v>
      </c>
      <c r="H1685" s="3">
        <v>123941.5</v>
      </c>
      <c r="K1685" s="11"/>
      <c r="L1685" s="11"/>
      <c r="M1685" s="11"/>
      <c r="N1685" s="11"/>
      <c r="P1685" s="11"/>
      <c r="Q1685" s="11"/>
      <c r="R1685" s="3"/>
    </row>
    <row r="1686" spans="1:18" x14ac:dyDescent="0.2">
      <c r="A1686" s="11">
        <v>4098</v>
      </c>
      <c r="B1686" s="11">
        <v>7</v>
      </c>
      <c r="C1686" s="11" t="s">
        <v>434</v>
      </c>
      <c r="D1686" s="11">
        <f t="shared" si="52"/>
        <v>2</v>
      </c>
      <c r="E1686">
        <f t="shared" si="53"/>
        <v>4098002</v>
      </c>
      <c r="F1686" s="11">
        <v>419</v>
      </c>
      <c r="G1686" s="11" t="s">
        <v>10</v>
      </c>
      <c r="H1686" s="3">
        <v>50141.47</v>
      </c>
      <c r="K1686" s="11"/>
      <c r="L1686" s="11"/>
      <c r="M1686" s="11"/>
      <c r="N1686" s="11"/>
      <c r="P1686" s="11"/>
      <c r="Q1686" s="11"/>
      <c r="R1686" s="3"/>
    </row>
    <row r="1687" spans="1:18" x14ac:dyDescent="0.2">
      <c r="A1687" s="11">
        <v>4098</v>
      </c>
      <c r="B1687" s="11">
        <v>7</v>
      </c>
      <c r="C1687" s="11" t="s">
        <v>434</v>
      </c>
      <c r="D1687" s="11">
        <f t="shared" si="52"/>
        <v>3</v>
      </c>
      <c r="E1687">
        <f t="shared" si="53"/>
        <v>4098003</v>
      </c>
      <c r="F1687" s="11">
        <v>480</v>
      </c>
      <c r="G1687" s="11" t="s">
        <v>19</v>
      </c>
      <c r="H1687" s="3">
        <v>64129.16</v>
      </c>
      <c r="K1687" s="11"/>
      <c r="L1687" s="11"/>
      <c r="M1687" s="11"/>
      <c r="N1687" s="11"/>
      <c r="P1687" s="11"/>
      <c r="Q1687" s="11"/>
      <c r="R1687" s="3"/>
    </row>
    <row r="1688" spans="1:18" x14ac:dyDescent="0.2">
      <c r="A1688" s="11">
        <v>4098</v>
      </c>
      <c r="B1688" s="11">
        <v>7</v>
      </c>
      <c r="C1688" s="11" t="s">
        <v>434</v>
      </c>
      <c r="D1688" s="11">
        <f t="shared" si="52"/>
        <v>4</v>
      </c>
      <c r="E1688">
        <f t="shared" si="53"/>
        <v>4098004</v>
      </c>
      <c r="F1688" s="11">
        <v>481</v>
      </c>
      <c r="G1688" s="11" t="s">
        <v>379</v>
      </c>
      <c r="H1688" s="3">
        <v>11316.91</v>
      </c>
      <c r="K1688" s="11"/>
      <c r="L1688" s="11"/>
      <c r="M1688" s="11"/>
      <c r="N1688" s="11"/>
      <c r="P1688" s="11"/>
      <c r="Q1688" s="11"/>
      <c r="R1688" s="3"/>
    </row>
    <row r="1689" spans="1:18" x14ac:dyDescent="0.2">
      <c r="A1689" s="11">
        <v>4099</v>
      </c>
      <c r="B1689" s="11">
        <v>7</v>
      </c>
      <c r="C1689" s="11" t="s">
        <v>435</v>
      </c>
      <c r="D1689" s="11">
        <f t="shared" si="52"/>
        <v>1</v>
      </c>
      <c r="E1689">
        <f t="shared" si="53"/>
        <v>4099001</v>
      </c>
      <c r="F1689" s="11">
        <v>417</v>
      </c>
      <c r="G1689" s="11" t="s">
        <v>34</v>
      </c>
      <c r="H1689" s="3">
        <v>40143.620000000003</v>
      </c>
      <c r="K1689" s="11"/>
      <c r="L1689" s="11"/>
      <c r="M1689" s="11"/>
      <c r="N1689" s="11"/>
      <c r="P1689" s="11"/>
      <c r="Q1689" s="11"/>
      <c r="R1689" s="3"/>
    </row>
    <row r="1690" spans="1:18" x14ac:dyDescent="0.2">
      <c r="A1690" s="11">
        <v>4099</v>
      </c>
      <c r="B1690" s="11">
        <v>7</v>
      </c>
      <c r="C1690" s="11" t="s">
        <v>435</v>
      </c>
      <c r="D1690" s="11">
        <f t="shared" si="52"/>
        <v>2</v>
      </c>
      <c r="E1690">
        <f t="shared" si="53"/>
        <v>4099002</v>
      </c>
      <c r="F1690" s="11">
        <v>419</v>
      </c>
      <c r="G1690" s="11" t="s">
        <v>10</v>
      </c>
      <c r="H1690" s="3">
        <v>65476.21</v>
      </c>
      <c r="K1690" s="11"/>
      <c r="L1690" s="11"/>
      <c r="M1690" s="11"/>
      <c r="N1690" s="11"/>
      <c r="P1690" s="11"/>
      <c r="Q1690" s="11"/>
      <c r="R1690" s="3"/>
    </row>
    <row r="1691" spans="1:18" x14ac:dyDescent="0.2">
      <c r="A1691" s="11">
        <v>4099</v>
      </c>
      <c r="B1691" s="11">
        <v>7</v>
      </c>
      <c r="C1691" s="11" t="s">
        <v>435</v>
      </c>
      <c r="D1691" s="11">
        <f t="shared" si="52"/>
        <v>3</v>
      </c>
      <c r="E1691">
        <f t="shared" si="53"/>
        <v>4099003</v>
      </c>
      <c r="F1691" s="11">
        <v>420</v>
      </c>
      <c r="G1691" s="11" t="s">
        <v>11</v>
      </c>
      <c r="H1691" s="3">
        <v>28.71</v>
      </c>
      <c r="K1691" s="11"/>
      <c r="L1691" s="11"/>
      <c r="M1691" s="11"/>
      <c r="N1691" s="11"/>
      <c r="P1691" s="11"/>
      <c r="Q1691" s="11"/>
      <c r="R1691" s="3"/>
    </row>
    <row r="1692" spans="1:18" x14ac:dyDescent="0.2">
      <c r="A1692" s="11">
        <v>4099</v>
      </c>
      <c r="B1692" s="11">
        <v>7</v>
      </c>
      <c r="C1692" s="11" t="s">
        <v>435</v>
      </c>
      <c r="D1692" s="11">
        <f t="shared" si="52"/>
        <v>4</v>
      </c>
      <c r="E1692">
        <f t="shared" si="53"/>
        <v>4099004</v>
      </c>
      <c r="F1692" s="11">
        <v>425</v>
      </c>
      <c r="G1692" s="11" t="s">
        <v>49</v>
      </c>
      <c r="H1692" s="3">
        <v>11554.63</v>
      </c>
      <c r="K1692" s="11"/>
      <c r="L1692" s="11"/>
      <c r="M1692" s="11"/>
      <c r="N1692" s="11"/>
      <c r="P1692" s="11"/>
      <c r="Q1692" s="11"/>
      <c r="R1692" s="3"/>
    </row>
    <row r="1693" spans="1:18" x14ac:dyDescent="0.2">
      <c r="A1693" s="11">
        <v>4099</v>
      </c>
      <c r="B1693" s="11">
        <v>7</v>
      </c>
      <c r="C1693" s="11" t="s">
        <v>435</v>
      </c>
      <c r="D1693" s="11">
        <f t="shared" si="52"/>
        <v>5</v>
      </c>
      <c r="E1693">
        <f t="shared" si="53"/>
        <v>4099005</v>
      </c>
      <c r="F1693" s="11">
        <v>470</v>
      </c>
      <c r="G1693" s="11" t="s">
        <v>6</v>
      </c>
      <c r="H1693" s="3">
        <v>107379.28</v>
      </c>
      <c r="K1693" s="11"/>
      <c r="L1693" s="11"/>
      <c r="M1693" s="11"/>
      <c r="N1693" s="11"/>
      <c r="P1693" s="11"/>
      <c r="Q1693" s="11"/>
      <c r="R1693" s="3"/>
    </row>
    <row r="1694" spans="1:18" x14ac:dyDescent="0.2">
      <c r="A1694" s="11">
        <v>4099</v>
      </c>
      <c r="B1694" s="11">
        <v>7</v>
      </c>
      <c r="C1694" s="11" t="s">
        <v>435</v>
      </c>
      <c r="D1694" s="11">
        <f t="shared" si="52"/>
        <v>6</v>
      </c>
      <c r="E1694">
        <f t="shared" si="53"/>
        <v>4099006</v>
      </c>
      <c r="F1694" s="11">
        <v>480</v>
      </c>
      <c r="G1694" s="11" t="s">
        <v>19</v>
      </c>
      <c r="H1694" s="3">
        <v>102719.19</v>
      </c>
      <c r="K1694" s="11"/>
      <c r="L1694" s="11"/>
      <c r="M1694" s="11"/>
      <c r="N1694" s="11"/>
      <c r="P1694" s="11"/>
      <c r="Q1694" s="11"/>
      <c r="R1694" s="3"/>
    </row>
    <row r="1695" spans="1:18" x14ac:dyDescent="0.2">
      <c r="A1695" s="11">
        <v>4099</v>
      </c>
      <c r="B1695" s="11">
        <v>7</v>
      </c>
      <c r="C1695" s="11" t="s">
        <v>435</v>
      </c>
      <c r="D1695" s="11">
        <f t="shared" si="52"/>
        <v>7</v>
      </c>
      <c r="E1695">
        <f t="shared" si="53"/>
        <v>4099007</v>
      </c>
      <c r="F1695" s="11">
        <v>481</v>
      </c>
      <c r="G1695" s="11" t="s">
        <v>379</v>
      </c>
      <c r="H1695" s="3">
        <v>18126.919999999998</v>
      </c>
      <c r="K1695" s="11"/>
      <c r="L1695" s="11"/>
      <c r="M1695" s="11"/>
      <c r="N1695" s="11"/>
      <c r="P1695" s="11"/>
      <c r="Q1695" s="11"/>
      <c r="R1695" s="3"/>
    </row>
    <row r="1696" spans="1:18" x14ac:dyDescent="0.2">
      <c r="A1696" s="11">
        <v>4099</v>
      </c>
      <c r="B1696" s="11">
        <v>7</v>
      </c>
      <c r="C1696" s="11" t="s">
        <v>435</v>
      </c>
      <c r="D1696" s="11">
        <f t="shared" si="52"/>
        <v>8</v>
      </c>
      <c r="E1696">
        <f t="shared" si="53"/>
        <v>4099008</v>
      </c>
      <c r="F1696" s="11">
        <v>484</v>
      </c>
      <c r="G1696" s="11" t="s">
        <v>20</v>
      </c>
      <c r="H1696" s="3">
        <v>4953.3599999999997</v>
      </c>
      <c r="K1696" s="11"/>
      <c r="L1696" s="11"/>
      <c r="M1696" s="11"/>
      <c r="N1696" s="11"/>
      <c r="P1696" s="11"/>
      <c r="Q1696" s="11"/>
      <c r="R1696" s="3"/>
    </row>
    <row r="1697" spans="1:18" x14ac:dyDescent="0.2">
      <c r="A1697" s="11">
        <v>4100</v>
      </c>
      <c r="B1697" s="11">
        <v>7</v>
      </c>
      <c r="C1697" s="11" t="s">
        <v>436</v>
      </c>
      <c r="D1697" s="11">
        <f t="shared" si="52"/>
        <v>1</v>
      </c>
      <c r="E1697">
        <f t="shared" si="53"/>
        <v>4100001</v>
      </c>
      <c r="F1697" s="11">
        <v>151</v>
      </c>
      <c r="G1697" s="11" t="s">
        <v>28</v>
      </c>
      <c r="H1697" s="3">
        <v>14968.14</v>
      </c>
      <c r="K1697" s="11"/>
      <c r="L1697" s="11"/>
      <c r="M1697" s="11"/>
      <c r="N1697" s="11"/>
      <c r="P1697" s="11"/>
      <c r="Q1697" s="11"/>
      <c r="R1697" s="3"/>
    </row>
    <row r="1698" spans="1:18" x14ac:dyDescent="0.2">
      <c r="A1698" s="11">
        <v>4102</v>
      </c>
      <c r="B1698" s="11">
        <v>7</v>
      </c>
      <c r="C1698" s="11" t="s">
        <v>437</v>
      </c>
      <c r="D1698" s="11">
        <f t="shared" si="52"/>
        <v>1</v>
      </c>
      <c r="E1698">
        <f t="shared" si="53"/>
        <v>4102001</v>
      </c>
      <c r="F1698" s="11">
        <v>433</v>
      </c>
      <c r="G1698" s="11" t="s">
        <v>30</v>
      </c>
      <c r="H1698" s="3">
        <v>2979.5</v>
      </c>
      <c r="K1698" s="11"/>
      <c r="L1698" s="11"/>
      <c r="M1698" s="11"/>
      <c r="N1698" s="11"/>
      <c r="P1698" s="11"/>
      <c r="Q1698" s="11"/>
      <c r="R1698" s="3"/>
    </row>
    <row r="1699" spans="1:18" x14ac:dyDescent="0.2">
      <c r="A1699" s="11">
        <v>4102</v>
      </c>
      <c r="B1699" s="11">
        <v>7</v>
      </c>
      <c r="C1699" s="11" t="s">
        <v>437</v>
      </c>
      <c r="D1699" s="11">
        <f t="shared" si="52"/>
        <v>2</v>
      </c>
      <c r="E1699">
        <f t="shared" si="53"/>
        <v>4102002</v>
      </c>
      <c r="F1699" s="11">
        <v>470</v>
      </c>
      <c r="G1699" s="11" t="s">
        <v>6</v>
      </c>
      <c r="H1699" s="3">
        <v>116753.66</v>
      </c>
      <c r="K1699" s="11"/>
      <c r="L1699" s="11"/>
      <c r="M1699" s="11"/>
      <c r="N1699" s="11"/>
      <c r="P1699" s="11"/>
      <c r="Q1699" s="11"/>
      <c r="R1699" s="3"/>
    </row>
    <row r="1700" spans="1:18" x14ac:dyDescent="0.2">
      <c r="A1700" s="11">
        <v>4103</v>
      </c>
      <c r="B1700" s="11">
        <v>7</v>
      </c>
      <c r="C1700" s="11" t="s">
        <v>438</v>
      </c>
      <c r="D1700" s="11">
        <f t="shared" si="52"/>
        <v>1</v>
      </c>
      <c r="E1700">
        <f t="shared" si="53"/>
        <v>4103001</v>
      </c>
      <c r="F1700" s="11">
        <v>401</v>
      </c>
      <c r="G1700" s="11" t="s">
        <v>29</v>
      </c>
      <c r="H1700" s="3">
        <v>206190.28</v>
      </c>
      <c r="K1700" s="11"/>
      <c r="L1700" s="11"/>
      <c r="M1700" s="11"/>
      <c r="N1700" s="11"/>
      <c r="P1700" s="11"/>
      <c r="Q1700" s="11"/>
      <c r="R1700" s="3"/>
    </row>
    <row r="1701" spans="1:18" x14ac:dyDescent="0.2">
      <c r="A1701" s="11">
        <v>4103</v>
      </c>
      <c r="B1701" s="11">
        <v>7</v>
      </c>
      <c r="C1701" s="11" t="s">
        <v>438</v>
      </c>
      <c r="D1701" s="11">
        <f t="shared" si="52"/>
        <v>2</v>
      </c>
      <c r="E1701">
        <f t="shared" si="53"/>
        <v>4103002</v>
      </c>
      <c r="F1701" s="11">
        <v>414</v>
      </c>
      <c r="G1701" s="11" t="s">
        <v>9</v>
      </c>
      <c r="H1701" s="3">
        <v>30186.01</v>
      </c>
      <c r="K1701" s="11"/>
      <c r="L1701" s="11"/>
      <c r="M1701" s="11"/>
      <c r="N1701" s="11"/>
      <c r="P1701" s="11"/>
      <c r="Q1701" s="11"/>
      <c r="R1701" s="3"/>
    </row>
    <row r="1702" spans="1:18" x14ac:dyDescent="0.2">
      <c r="A1702" s="11">
        <v>4103</v>
      </c>
      <c r="B1702" s="11">
        <v>7</v>
      </c>
      <c r="C1702" s="11" t="s">
        <v>438</v>
      </c>
      <c r="D1702" s="11">
        <f t="shared" si="52"/>
        <v>3</v>
      </c>
      <c r="E1702">
        <f t="shared" si="53"/>
        <v>4103003</v>
      </c>
      <c r="F1702" s="11">
        <v>417</v>
      </c>
      <c r="G1702" s="11" t="s">
        <v>34</v>
      </c>
      <c r="H1702" s="3">
        <v>41096.589999999997</v>
      </c>
      <c r="K1702" s="11"/>
      <c r="L1702" s="11"/>
      <c r="M1702" s="11"/>
      <c r="N1702" s="11"/>
      <c r="P1702" s="11"/>
      <c r="Q1702" s="11"/>
      <c r="R1702" s="3"/>
    </row>
    <row r="1703" spans="1:18" x14ac:dyDescent="0.2">
      <c r="A1703" s="11">
        <v>4103</v>
      </c>
      <c r="B1703" s="11">
        <v>7</v>
      </c>
      <c r="C1703" s="11" t="s">
        <v>438</v>
      </c>
      <c r="D1703" s="11">
        <f t="shared" si="52"/>
        <v>4</v>
      </c>
      <c r="E1703">
        <f t="shared" si="53"/>
        <v>4103004</v>
      </c>
      <c r="F1703" s="11">
        <v>419</v>
      </c>
      <c r="G1703" s="11" t="s">
        <v>10</v>
      </c>
      <c r="H1703" s="3">
        <v>76961.47</v>
      </c>
      <c r="K1703" s="11"/>
      <c r="L1703" s="11"/>
      <c r="M1703" s="11"/>
      <c r="N1703" s="11"/>
      <c r="P1703" s="11"/>
      <c r="Q1703" s="11"/>
      <c r="R1703" s="3"/>
    </row>
    <row r="1704" spans="1:18" x14ac:dyDescent="0.2">
      <c r="A1704" s="11">
        <v>4103</v>
      </c>
      <c r="B1704" s="11">
        <v>7</v>
      </c>
      <c r="C1704" s="11" t="s">
        <v>438</v>
      </c>
      <c r="D1704" s="11">
        <f t="shared" si="52"/>
        <v>5</v>
      </c>
      <c r="E1704">
        <f t="shared" si="53"/>
        <v>4103005</v>
      </c>
      <c r="F1704" s="11">
        <v>425</v>
      </c>
      <c r="G1704" s="11" t="s">
        <v>49</v>
      </c>
      <c r="H1704" s="3">
        <v>13581.44</v>
      </c>
      <c r="K1704" s="11"/>
      <c r="L1704" s="11"/>
      <c r="M1704" s="11"/>
      <c r="N1704" s="11"/>
      <c r="P1704" s="11"/>
      <c r="Q1704" s="11"/>
      <c r="R1704" s="3"/>
    </row>
    <row r="1705" spans="1:18" x14ac:dyDescent="0.2">
      <c r="A1705" s="11">
        <v>4103</v>
      </c>
      <c r="B1705" s="11">
        <v>7</v>
      </c>
      <c r="C1705" s="11" t="s">
        <v>438</v>
      </c>
      <c r="D1705" s="11">
        <f t="shared" si="52"/>
        <v>6</v>
      </c>
      <c r="E1705">
        <f t="shared" si="53"/>
        <v>4103006</v>
      </c>
      <c r="F1705" s="11">
        <v>433</v>
      </c>
      <c r="G1705" s="11" t="s">
        <v>30</v>
      </c>
      <c r="H1705" s="3">
        <v>3400.22</v>
      </c>
      <c r="K1705" s="11"/>
      <c r="L1705" s="11"/>
      <c r="M1705" s="11"/>
      <c r="N1705" s="11"/>
      <c r="P1705" s="11"/>
      <c r="Q1705" s="11"/>
      <c r="R1705" s="3"/>
    </row>
    <row r="1706" spans="1:18" x14ac:dyDescent="0.2">
      <c r="A1706" s="11">
        <v>4103</v>
      </c>
      <c r="B1706" s="11">
        <v>7</v>
      </c>
      <c r="C1706" s="11" t="s">
        <v>438</v>
      </c>
      <c r="D1706" s="11">
        <f t="shared" si="52"/>
        <v>7</v>
      </c>
      <c r="E1706">
        <f t="shared" si="53"/>
        <v>4103007</v>
      </c>
      <c r="F1706" s="11">
        <v>470</v>
      </c>
      <c r="G1706" s="11" t="s">
        <v>6</v>
      </c>
      <c r="H1706" s="3">
        <v>134650.20000000001</v>
      </c>
      <c r="K1706" s="11"/>
      <c r="L1706" s="11"/>
      <c r="M1706" s="11"/>
      <c r="N1706" s="11"/>
      <c r="P1706" s="11"/>
      <c r="Q1706" s="11"/>
      <c r="R1706" s="3"/>
    </row>
    <row r="1707" spans="1:18" x14ac:dyDescent="0.2">
      <c r="A1707" s="11">
        <v>4103</v>
      </c>
      <c r="B1707" s="11">
        <v>7</v>
      </c>
      <c r="C1707" s="11" t="s">
        <v>438</v>
      </c>
      <c r="D1707" s="11">
        <f t="shared" si="52"/>
        <v>8</v>
      </c>
      <c r="E1707">
        <f t="shared" si="53"/>
        <v>4103008</v>
      </c>
      <c r="F1707" s="11">
        <v>480</v>
      </c>
      <c r="G1707" s="11" t="s">
        <v>19</v>
      </c>
      <c r="H1707" s="3">
        <v>110464.1</v>
      </c>
      <c r="K1707" s="11"/>
      <c r="L1707" s="11"/>
      <c r="M1707" s="11"/>
      <c r="N1707" s="11"/>
      <c r="P1707" s="11"/>
      <c r="Q1707" s="11"/>
      <c r="R1707" s="3"/>
    </row>
    <row r="1708" spans="1:18" x14ac:dyDescent="0.2">
      <c r="A1708" s="11">
        <v>4103</v>
      </c>
      <c r="B1708" s="11">
        <v>7</v>
      </c>
      <c r="C1708" s="11" t="s">
        <v>438</v>
      </c>
      <c r="D1708" s="11">
        <f t="shared" si="52"/>
        <v>9</v>
      </c>
      <c r="E1708">
        <f t="shared" si="53"/>
        <v>4103009</v>
      </c>
      <c r="F1708" s="11">
        <v>481</v>
      </c>
      <c r="G1708" s="11" t="s">
        <v>379</v>
      </c>
      <c r="H1708" s="3">
        <v>19493.669999999998</v>
      </c>
      <c r="K1708" s="11"/>
      <c r="L1708" s="11"/>
      <c r="M1708" s="11"/>
      <c r="N1708" s="11"/>
      <c r="P1708" s="11"/>
      <c r="Q1708" s="11"/>
      <c r="R1708" s="3"/>
    </row>
    <row r="1709" spans="1:18" x14ac:dyDescent="0.2">
      <c r="A1709" s="11">
        <v>4104</v>
      </c>
      <c r="B1709" s="11">
        <v>7</v>
      </c>
      <c r="C1709" s="11" t="s">
        <v>439</v>
      </c>
      <c r="D1709" s="11">
        <f t="shared" si="52"/>
        <v>1</v>
      </c>
      <c r="E1709">
        <f t="shared" si="53"/>
        <v>4104001</v>
      </c>
      <c r="F1709" s="11">
        <v>425</v>
      </c>
      <c r="G1709" s="11" t="s">
        <v>49</v>
      </c>
      <c r="H1709" s="3">
        <v>2434.7399999999998</v>
      </c>
      <c r="K1709" s="11"/>
      <c r="L1709" s="11"/>
      <c r="M1709" s="11"/>
      <c r="N1709" s="11"/>
      <c r="P1709" s="11"/>
      <c r="Q1709" s="11"/>
      <c r="R1709" s="3"/>
    </row>
    <row r="1710" spans="1:18" x14ac:dyDescent="0.2">
      <c r="A1710" s="11">
        <v>4104</v>
      </c>
      <c r="B1710" s="11">
        <v>7</v>
      </c>
      <c r="C1710" s="11" t="s">
        <v>439</v>
      </c>
      <c r="D1710" s="11">
        <f t="shared" si="52"/>
        <v>2</v>
      </c>
      <c r="E1710">
        <f t="shared" si="53"/>
        <v>4104002</v>
      </c>
      <c r="F1710" s="11">
        <v>480</v>
      </c>
      <c r="G1710" s="11" t="s">
        <v>19</v>
      </c>
      <c r="H1710" s="3">
        <v>28244.27</v>
      </c>
      <c r="K1710" s="11"/>
      <c r="L1710" s="11"/>
      <c r="M1710" s="11"/>
      <c r="N1710" s="11"/>
      <c r="P1710" s="11"/>
      <c r="Q1710" s="11"/>
      <c r="R1710" s="3"/>
    </row>
    <row r="1711" spans="1:18" x14ac:dyDescent="0.2">
      <c r="A1711" s="11">
        <v>4104</v>
      </c>
      <c r="B1711" s="11">
        <v>7</v>
      </c>
      <c r="C1711" s="11" t="s">
        <v>439</v>
      </c>
      <c r="D1711" s="11">
        <f t="shared" si="52"/>
        <v>3</v>
      </c>
      <c r="E1711">
        <f t="shared" si="53"/>
        <v>4104003</v>
      </c>
      <c r="F1711" s="11">
        <v>481</v>
      </c>
      <c r="G1711" s="11" t="s">
        <v>379</v>
      </c>
      <c r="H1711" s="3">
        <v>2290.2600000000002</v>
      </c>
      <c r="K1711" s="11"/>
      <c r="L1711" s="11"/>
      <c r="M1711" s="11"/>
      <c r="N1711" s="11"/>
      <c r="P1711" s="11"/>
      <c r="Q1711" s="11"/>
      <c r="R1711" s="3"/>
    </row>
    <row r="1712" spans="1:18" x14ac:dyDescent="0.2">
      <c r="A1712" s="11">
        <v>4105</v>
      </c>
      <c r="B1712" s="11">
        <v>7</v>
      </c>
      <c r="C1712" s="11" t="s">
        <v>585</v>
      </c>
      <c r="D1712" s="11">
        <f t="shared" si="52"/>
        <v>1</v>
      </c>
      <c r="E1712">
        <f t="shared" si="53"/>
        <v>4105001</v>
      </c>
      <c r="F1712" s="11">
        <v>151</v>
      </c>
      <c r="G1712" s="11" t="s">
        <v>28</v>
      </c>
      <c r="H1712" s="3">
        <v>85366.27</v>
      </c>
      <c r="K1712" s="11"/>
      <c r="L1712" s="11"/>
      <c r="M1712" s="11"/>
      <c r="N1712" s="11"/>
      <c r="P1712" s="11"/>
      <c r="Q1712" s="11"/>
      <c r="R1712" s="3"/>
    </row>
    <row r="1713" spans="1:18" x14ac:dyDescent="0.2">
      <c r="A1713" s="11">
        <v>4105</v>
      </c>
      <c r="B1713" s="11">
        <v>7</v>
      </c>
      <c r="C1713" s="11" t="s">
        <v>585</v>
      </c>
      <c r="D1713" s="11">
        <f t="shared" si="52"/>
        <v>2</v>
      </c>
      <c r="E1713">
        <f t="shared" si="53"/>
        <v>4105002</v>
      </c>
      <c r="F1713" s="11">
        <v>419</v>
      </c>
      <c r="G1713" s="11" t="s">
        <v>10</v>
      </c>
      <c r="H1713" s="3">
        <v>35858.28</v>
      </c>
      <c r="K1713" s="11"/>
      <c r="L1713" s="11"/>
      <c r="M1713" s="11"/>
      <c r="N1713" s="11"/>
      <c r="P1713" s="11"/>
      <c r="Q1713" s="11"/>
      <c r="R1713" s="3"/>
    </row>
    <row r="1714" spans="1:18" x14ac:dyDescent="0.2">
      <c r="A1714" s="11">
        <v>4105</v>
      </c>
      <c r="B1714" s="11">
        <v>7</v>
      </c>
      <c r="C1714" s="11" t="s">
        <v>585</v>
      </c>
      <c r="D1714" s="11">
        <f t="shared" si="52"/>
        <v>3</v>
      </c>
      <c r="E1714">
        <f t="shared" si="53"/>
        <v>4105003</v>
      </c>
      <c r="F1714" s="11">
        <v>425</v>
      </c>
      <c r="G1714" s="11" t="s">
        <v>49</v>
      </c>
      <c r="H1714" s="3">
        <v>6327.93</v>
      </c>
      <c r="K1714" s="11"/>
      <c r="L1714" s="11"/>
      <c r="M1714" s="11"/>
      <c r="N1714" s="11"/>
      <c r="P1714" s="11"/>
      <c r="Q1714" s="11"/>
      <c r="R1714" s="3"/>
    </row>
    <row r="1715" spans="1:18" x14ac:dyDescent="0.2">
      <c r="A1715" s="11">
        <v>4105</v>
      </c>
      <c r="B1715" s="11">
        <v>7</v>
      </c>
      <c r="C1715" s="11" t="s">
        <v>585</v>
      </c>
      <c r="D1715" s="11">
        <f t="shared" si="52"/>
        <v>4</v>
      </c>
      <c r="E1715">
        <f t="shared" si="53"/>
        <v>4105004</v>
      </c>
      <c r="F1715" s="11">
        <v>480</v>
      </c>
      <c r="G1715" s="11" t="s">
        <v>19</v>
      </c>
      <c r="H1715" s="3">
        <v>36750.39</v>
      </c>
      <c r="K1715" s="11"/>
      <c r="L1715" s="11"/>
      <c r="M1715" s="11"/>
      <c r="N1715" s="11"/>
      <c r="P1715" s="11"/>
      <c r="Q1715" s="11"/>
      <c r="R1715" s="3"/>
    </row>
    <row r="1716" spans="1:18" x14ac:dyDescent="0.2">
      <c r="A1716" s="11">
        <v>4107</v>
      </c>
      <c r="B1716" s="11">
        <v>7</v>
      </c>
      <c r="C1716" s="11" t="s">
        <v>440</v>
      </c>
      <c r="D1716" s="11">
        <f t="shared" si="52"/>
        <v>1</v>
      </c>
      <c r="E1716">
        <f t="shared" si="53"/>
        <v>4107001</v>
      </c>
      <c r="F1716" s="11">
        <v>151</v>
      </c>
      <c r="G1716" s="11" t="s">
        <v>28</v>
      </c>
      <c r="H1716" s="3">
        <v>34535.75</v>
      </c>
      <c r="K1716" s="11"/>
      <c r="L1716" s="11"/>
      <c r="M1716" s="11"/>
      <c r="N1716" s="11"/>
      <c r="P1716" s="11"/>
      <c r="Q1716" s="11"/>
      <c r="R1716" s="3"/>
    </row>
    <row r="1717" spans="1:18" x14ac:dyDescent="0.2">
      <c r="A1717" s="11">
        <v>4107</v>
      </c>
      <c r="B1717" s="11">
        <v>7</v>
      </c>
      <c r="C1717" s="11" t="s">
        <v>440</v>
      </c>
      <c r="D1717" s="11">
        <f t="shared" si="52"/>
        <v>2</v>
      </c>
      <c r="E1717">
        <f t="shared" si="53"/>
        <v>4107002</v>
      </c>
      <c r="F1717" s="11">
        <v>425</v>
      </c>
      <c r="G1717" s="11" t="s">
        <v>49</v>
      </c>
      <c r="H1717" s="3">
        <v>3038.01</v>
      </c>
      <c r="K1717" s="11"/>
      <c r="L1717" s="11"/>
      <c r="M1717" s="11"/>
      <c r="N1717" s="11"/>
      <c r="P1717" s="11"/>
      <c r="Q1717" s="11"/>
      <c r="R1717" s="3"/>
    </row>
    <row r="1718" spans="1:18" x14ac:dyDescent="0.2">
      <c r="A1718" s="11">
        <v>4107</v>
      </c>
      <c r="B1718" s="11">
        <v>7</v>
      </c>
      <c r="C1718" s="11" t="s">
        <v>440</v>
      </c>
      <c r="D1718" s="11">
        <f t="shared" si="52"/>
        <v>3</v>
      </c>
      <c r="E1718">
        <f t="shared" si="53"/>
        <v>4107003</v>
      </c>
      <c r="F1718" s="11">
        <v>433</v>
      </c>
      <c r="G1718" s="11" t="s">
        <v>30</v>
      </c>
      <c r="H1718" s="3">
        <v>484.87</v>
      </c>
      <c r="K1718" s="11"/>
      <c r="L1718" s="11"/>
      <c r="M1718" s="11"/>
      <c r="N1718" s="11"/>
      <c r="P1718" s="11"/>
      <c r="Q1718" s="11"/>
      <c r="R1718" s="3"/>
    </row>
    <row r="1719" spans="1:18" x14ac:dyDescent="0.2">
      <c r="A1719" s="11">
        <v>4107</v>
      </c>
      <c r="B1719" s="11">
        <v>7</v>
      </c>
      <c r="C1719" s="11" t="s">
        <v>440</v>
      </c>
      <c r="D1719" s="11">
        <f t="shared" si="52"/>
        <v>4</v>
      </c>
      <c r="E1719">
        <f t="shared" si="53"/>
        <v>4107004</v>
      </c>
      <c r="F1719" s="11">
        <v>480</v>
      </c>
      <c r="G1719" s="11" t="s">
        <v>19</v>
      </c>
      <c r="H1719" s="3">
        <v>16678.060000000001</v>
      </c>
      <c r="K1719" s="11"/>
      <c r="L1719" s="11"/>
      <c r="M1719" s="11"/>
      <c r="N1719" s="11"/>
      <c r="P1719" s="11"/>
      <c r="Q1719" s="11"/>
      <c r="R1719" s="3"/>
    </row>
    <row r="1720" spans="1:18" x14ac:dyDescent="0.2">
      <c r="A1720" s="11">
        <v>4107</v>
      </c>
      <c r="B1720" s="11">
        <v>7</v>
      </c>
      <c r="C1720" s="11" t="s">
        <v>440</v>
      </c>
      <c r="D1720" s="11">
        <f t="shared" si="52"/>
        <v>5</v>
      </c>
      <c r="E1720">
        <f t="shared" si="53"/>
        <v>4107005</v>
      </c>
      <c r="F1720" s="11">
        <v>481</v>
      </c>
      <c r="G1720" s="11" t="s">
        <v>379</v>
      </c>
      <c r="H1720" s="3">
        <v>2943.19</v>
      </c>
      <c r="K1720" s="11"/>
      <c r="L1720" s="11"/>
      <c r="M1720" s="11"/>
      <c r="N1720" s="11"/>
      <c r="P1720" s="11"/>
      <c r="Q1720" s="11"/>
      <c r="R1720" s="3"/>
    </row>
    <row r="1721" spans="1:18" x14ac:dyDescent="0.2">
      <c r="A1721" s="11">
        <v>4108</v>
      </c>
      <c r="B1721" s="11">
        <v>7</v>
      </c>
      <c r="C1721" s="11" t="s">
        <v>441</v>
      </c>
      <c r="D1721" s="11">
        <f t="shared" si="52"/>
        <v>1</v>
      </c>
      <c r="E1721">
        <f t="shared" si="53"/>
        <v>4108001</v>
      </c>
      <c r="F1721" s="11">
        <v>401</v>
      </c>
      <c r="G1721" s="11" t="s">
        <v>29</v>
      </c>
      <c r="H1721" s="3">
        <v>29032.21</v>
      </c>
      <c r="K1721" s="11"/>
      <c r="L1721" s="11"/>
      <c r="M1721" s="11"/>
      <c r="N1721" s="11"/>
      <c r="P1721" s="11"/>
      <c r="Q1721" s="11"/>
      <c r="R1721" s="3"/>
    </row>
    <row r="1722" spans="1:18" x14ac:dyDescent="0.2">
      <c r="A1722" s="11">
        <v>4108</v>
      </c>
      <c r="B1722" s="11">
        <v>7</v>
      </c>
      <c r="C1722" s="11" t="s">
        <v>441</v>
      </c>
      <c r="D1722" s="11">
        <f t="shared" si="52"/>
        <v>2</v>
      </c>
      <c r="E1722">
        <f t="shared" si="53"/>
        <v>4108002</v>
      </c>
      <c r="F1722" s="11">
        <v>414</v>
      </c>
      <c r="G1722" s="11" t="s">
        <v>9</v>
      </c>
      <c r="H1722" s="3">
        <v>6902.31</v>
      </c>
      <c r="K1722" s="11"/>
      <c r="L1722" s="11"/>
      <c r="M1722" s="11"/>
      <c r="N1722" s="11"/>
      <c r="P1722" s="11"/>
      <c r="Q1722" s="11"/>
      <c r="R1722" s="3"/>
    </row>
    <row r="1723" spans="1:18" x14ac:dyDescent="0.2">
      <c r="A1723" s="11">
        <v>4108</v>
      </c>
      <c r="B1723" s="11">
        <v>7</v>
      </c>
      <c r="C1723" s="11" t="s">
        <v>441</v>
      </c>
      <c r="D1723" s="11">
        <f t="shared" si="52"/>
        <v>3</v>
      </c>
      <c r="E1723">
        <f t="shared" si="53"/>
        <v>4108003</v>
      </c>
      <c r="F1723" s="11">
        <v>433</v>
      </c>
      <c r="G1723" s="11" t="s">
        <v>30</v>
      </c>
      <c r="H1723" s="3">
        <v>538.6</v>
      </c>
      <c r="K1723" s="11"/>
      <c r="L1723" s="11"/>
      <c r="M1723" s="11"/>
      <c r="N1723" s="11"/>
      <c r="P1723" s="11"/>
      <c r="Q1723" s="11"/>
      <c r="R1723" s="3"/>
    </row>
    <row r="1724" spans="1:18" x14ac:dyDescent="0.2">
      <c r="A1724" s="11">
        <v>4108</v>
      </c>
      <c r="B1724" s="11">
        <v>7</v>
      </c>
      <c r="C1724" s="11" t="s">
        <v>441</v>
      </c>
      <c r="D1724" s="11">
        <f t="shared" si="52"/>
        <v>4</v>
      </c>
      <c r="E1724">
        <f t="shared" si="53"/>
        <v>4108004</v>
      </c>
      <c r="F1724" s="11">
        <v>470</v>
      </c>
      <c r="G1724" s="11" t="s">
        <v>6</v>
      </c>
      <c r="H1724" s="3">
        <v>18748.759999999998</v>
      </c>
      <c r="K1724" s="11"/>
      <c r="L1724" s="11"/>
      <c r="M1724" s="11"/>
      <c r="N1724" s="11"/>
      <c r="P1724" s="11"/>
      <c r="Q1724" s="11"/>
      <c r="R1724" s="3"/>
    </row>
    <row r="1725" spans="1:18" x14ac:dyDescent="0.2">
      <c r="A1725" s="11">
        <v>4109</v>
      </c>
      <c r="B1725" s="11">
        <v>7</v>
      </c>
      <c r="C1725" s="11" t="s">
        <v>442</v>
      </c>
      <c r="D1725" s="11">
        <f t="shared" si="52"/>
        <v>1</v>
      </c>
      <c r="E1725">
        <f t="shared" si="53"/>
        <v>4109001</v>
      </c>
      <c r="F1725" s="11">
        <v>425</v>
      </c>
      <c r="G1725" s="11" t="s">
        <v>49</v>
      </c>
      <c r="H1725" s="3">
        <v>2968.1</v>
      </c>
      <c r="K1725" s="11"/>
      <c r="L1725" s="11"/>
      <c r="M1725" s="11"/>
      <c r="N1725" s="11"/>
      <c r="P1725" s="11"/>
      <c r="Q1725" s="11"/>
      <c r="R1725" s="3"/>
    </row>
    <row r="1726" spans="1:18" x14ac:dyDescent="0.2">
      <c r="A1726" s="11">
        <v>4109</v>
      </c>
      <c r="B1726" s="11">
        <v>7</v>
      </c>
      <c r="C1726" s="11" t="s">
        <v>442</v>
      </c>
      <c r="D1726" s="11">
        <f t="shared" si="52"/>
        <v>2</v>
      </c>
      <c r="E1726">
        <f t="shared" si="53"/>
        <v>4109002</v>
      </c>
      <c r="F1726" s="11">
        <v>480</v>
      </c>
      <c r="G1726" s="11" t="s">
        <v>19</v>
      </c>
      <c r="H1726" s="3">
        <v>25242.91</v>
      </c>
      <c r="K1726" s="11"/>
      <c r="L1726" s="11"/>
      <c r="M1726" s="11"/>
      <c r="N1726" s="11"/>
      <c r="P1726" s="11"/>
      <c r="Q1726" s="11"/>
      <c r="R1726" s="3"/>
    </row>
    <row r="1727" spans="1:18" x14ac:dyDescent="0.2">
      <c r="A1727" s="11">
        <v>4109</v>
      </c>
      <c r="B1727" s="11">
        <v>7</v>
      </c>
      <c r="C1727" s="11" t="s">
        <v>442</v>
      </c>
      <c r="D1727" s="11">
        <f t="shared" si="52"/>
        <v>3</v>
      </c>
      <c r="E1727">
        <f t="shared" si="53"/>
        <v>4109003</v>
      </c>
      <c r="F1727" s="11">
        <v>481</v>
      </c>
      <c r="G1727" s="11" t="s">
        <v>379</v>
      </c>
      <c r="H1727" s="3">
        <v>2278.9</v>
      </c>
      <c r="K1727" s="11"/>
      <c r="L1727" s="11"/>
      <c r="M1727" s="11"/>
      <c r="N1727" s="11"/>
      <c r="P1727" s="11"/>
      <c r="Q1727" s="11"/>
      <c r="R1727" s="3"/>
    </row>
    <row r="1728" spans="1:18" x14ac:dyDescent="0.2">
      <c r="A1728" s="11">
        <v>4110</v>
      </c>
      <c r="B1728" s="11">
        <v>7</v>
      </c>
      <c r="C1728" s="11" t="s">
        <v>443</v>
      </c>
      <c r="D1728" s="11">
        <f t="shared" si="52"/>
        <v>1</v>
      </c>
      <c r="E1728">
        <f t="shared" si="53"/>
        <v>4110001</v>
      </c>
      <c r="F1728" s="11">
        <v>481</v>
      </c>
      <c r="G1728" s="11" t="s">
        <v>379</v>
      </c>
      <c r="H1728" s="3">
        <v>6409.3</v>
      </c>
      <c r="K1728" s="11"/>
      <c r="L1728" s="11"/>
      <c r="M1728" s="11"/>
      <c r="N1728" s="11"/>
      <c r="P1728" s="11"/>
      <c r="Q1728" s="11"/>
      <c r="R1728" s="3"/>
    </row>
    <row r="1729" spans="1:18" x14ac:dyDescent="0.2">
      <c r="A1729" s="11">
        <v>4111</v>
      </c>
      <c r="B1729" s="11">
        <v>7</v>
      </c>
      <c r="C1729" s="11" t="s">
        <v>444</v>
      </c>
      <c r="D1729" s="11">
        <f t="shared" si="52"/>
        <v>1</v>
      </c>
      <c r="E1729">
        <f t="shared" si="53"/>
        <v>4111001</v>
      </c>
      <c r="F1729" s="11">
        <v>425</v>
      </c>
      <c r="G1729" s="11" t="s">
        <v>49</v>
      </c>
      <c r="H1729" s="3">
        <v>3991.14</v>
      </c>
      <c r="K1729" s="11"/>
      <c r="L1729" s="11"/>
      <c r="M1729" s="11"/>
      <c r="N1729" s="11"/>
      <c r="P1729" s="11"/>
      <c r="Q1729" s="11"/>
      <c r="R1729" s="3"/>
    </row>
    <row r="1730" spans="1:18" x14ac:dyDescent="0.2">
      <c r="A1730" s="11">
        <v>4111</v>
      </c>
      <c r="B1730" s="11">
        <v>7</v>
      </c>
      <c r="C1730" s="11" t="s">
        <v>444</v>
      </c>
      <c r="D1730" s="11">
        <f t="shared" si="52"/>
        <v>2</v>
      </c>
      <c r="E1730">
        <f t="shared" si="53"/>
        <v>4111002</v>
      </c>
      <c r="F1730" s="11">
        <v>480</v>
      </c>
      <c r="G1730" s="11" t="s">
        <v>19</v>
      </c>
      <c r="H1730" s="3">
        <v>27214.639999999999</v>
      </c>
      <c r="K1730" s="11"/>
      <c r="L1730" s="11"/>
      <c r="M1730" s="11"/>
      <c r="N1730" s="11"/>
      <c r="P1730" s="11"/>
      <c r="Q1730" s="11"/>
      <c r="R1730" s="3"/>
    </row>
    <row r="1731" spans="1:18" x14ac:dyDescent="0.2">
      <c r="A1731" s="11">
        <v>4111</v>
      </c>
      <c r="B1731" s="11">
        <v>7</v>
      </c>
      <c r="C1731" s="11" t="s">
        <v>444</v>
      </c>
      <c r="D1731" s="11">
        <f t="shared" si="52"/>
        <v>3</v>
      </c>
      <c r="E1731">
        <f t="shared" si="53"/>
        <v>4111003</v>
      </c>
      <c r="F1731" s="11">
        <v>481</v>
      </c>
      <c r="G1731" s="11" t="s">
        <v>379</v>
      </c>
      <c r="H1731" s="3">
        <v>4802.58</v>
      </c>
      <c r="K1731" s="11"/>
      <c r="L1731" s="11"/>
      <c r="M1731" s="11"/>
      <c r="N1731" s="11"/>
      <c r="P1731" s="11"/>
      <c r="Q1731" s="11"/>
      <c r="R1731" s="3"/>
    </row>
    <row r="1732" spans="1:18" x14ac:dyDescent="0.2">
      <c r="A1732" s="11">
        <v>4112</v>
      </c>
      <c r="B1732" s="11">
        <v>7</v>
      </c>
      <c r="C1732" s="11" t="s">
        <v>587</v>
      </c>
      <c r="D1732" s="11">
        <f t="shared" si="52"/>
        <v>1</v>
      </c>
      <c r="E1732">
        <f t="shared" si="53"/>
        <v>4112001</v>
      </c>
      <c r="F1732" s="11">
        <v>480</v>
      </c>
      <c r="G1732" s="11" t="s">
        <v>19</v>
      </c>
      <c r="H1732" s="3">
        <v>59717.120000000003</v>
      </c>
      <c r="K1732" s="11"/>
      <c r="L1732" s="11"/>
      <c r="M1732" s="11"/>
      <c r="N1732" s="11"/>
      <c r="P1732" s="11"/>
      <c r="Q1732" s="11"/>
      <c r="R1732" s="3"/>
    </row>
    <row r="1733" spans="1:18" x14ac:dyDescent="0.2">
      <c r="A1733" s="11">
        <v>4113</v>
      </c>
      <c r="B1733" s="11">
        <v>7</v>
      </c>
      <c r="C1733" s="11" t="s">
        <v>445</v>
      </c>
      <c r="D1733" s="11">
        <f t="shared" si="52"/>
        <v>1</v>
      </c>
      <c r="E1733">
        <f t="shared" si="53"/>
        <v>4113001</v>
      </c>
      <c r="F1733" s="11">
        <v>414</v>
      </c>
      <c r="G1733" s="11" t="s">
        <v>9</v>
      </c>
      <c r="H1733" s="3">
        <v>2102.44</v>
      </c>
      <c r="K1733" s="11"/>
      <c r="L1733" s="11"/>
      <c r="M1733" s="11"/>
      <c r="N1733" s="11"/>
      <c r="P1733" s="11"/>
      <c r="Q1733" s="11"/>
      <c r="R1733" s="3"/>
    </row>
    <row r="1734" spans="1:18" x14ac:dyDescent="0.2">
      <c r="A1734" s="11">
        <v>4113</v>
      </c>
      <c r="B1734" s="11">
        <v>7</v>
      </c>
      <c r="C1734" s="11" t="s">
        <v>445</v>
      </c>
      <c r="D1734" s="11">
        <f t="shared" si="52"/>
        <v>2</v>
      </c>
      <c r="E1734">
        <f t="shared" si="53"/>
        <v>4113002</v>
      </c>
      <c r="F1734" s="11">
        <v>420</v>
      </c>
      <c r="G1734" s="11" t="s">
        <v>11</v>
      </c>
      <c r="H1734" s="3">
        <v>660.22</v>
      </c>
      <c r="K1734" s="11"/>
      <c r="L1734" s="11"/>
      <c r="M1734" s="11"/>
      <c r="N1734" s="11"/>
      <c r="P1734" s="11"/>
      <c r="Q1734" s="11"/>
      <c r="R1734" s="3"/>
    </row>
    <row r="1735" spans="1:18" x14ac:dyDescent="0.2">
      <c r="A1735" s="11">
        <v>4113</v>
      </c>
      <c r="B1735" s="11">
        <v>7</v>
      </c>
      <c r="C1735" s="11" t="s">
        <v>445</v>
      </c>
      <c r="D1735" s="11">
        <f t="shared" si="52"/>
        <v>3</v>
      </c>
      <c r="E1735">
        <f t="shared" si="53"/>
        <v>4113003</v>
      </c>
      <c r="F1735" s="11">
        <v>425</v>
      </c>
      <c r="G1735" s="11" t="s">
        <v>49</v>
      </c>
      <c r="H1735" s="3">
        <v>5093.6499999999996</v>
      </c>
      <c r="K1735" s="11"/>
      <c r="L1735" s="11"/>
      <c r="M1735" s="11"/>
      <c r="N1735" s="11"/>
      <c r="P1735" s="11"/>
      <c r="Q1735" s="11"/>
      <c r="R1735" s="3"/>
    </row>
    <row r="1736" spans="1:18" x14ac:dyDescent="0.2">
      <c r="A1736" s="11">
        <v>4113</v>
      </c>
      <c r="B1736" s="11">
        <v>7</v>
      </c>
      <c r="C1736" s="11" t="s">
        <v>445</v>
      </c>
      <c r="D1736" s="11">
        <f t="shared" si="52"/>
        <v>4</v>
      </c>
      <c r="E1736">
        <f t="shared" si="53"/>
        <v>4113004</v>
      </c>
      <c r="F1736" s="11">
        <v>481</v>
      </c>
      <c r="G1736" s="11" t="s">
        <v>379</v>
      </c>
      <c r="H1736" s="3">
        <v>1995.83</v>
      </c>
      <c r="K1736" s="11"/>
      <c r="L1736" s="11"/>
      <c r="M1736" s="11"/>
      <c r="N1736" s="11"/>
      <c r="P1736" s="11"/>
      <c r="Q1736" s="11"/>
      <c r="R1736" s="3"/>
    </row>
    <row r="1737" spans="1:18" x14ac:dyDescent="0.2">
      <c r="A1737" s="11">
        <v>4113</v>
      </c>
      <c r="B1737" s="11">
        <v>7</v>
      </c>
      <c r="C1737" s="11" t="s">
        <v>445</v>
      </c>
      <c r="D1737" s="11">
        <f t="shared" si="52"/>
        <v>5</v>
      </c>
      <c r="E1737">
        <f t="shared" si="53"/>
        <v>4113005</v>
      </c>
      <c r="F1737" s="11">
        <v>484</v>
      </c>
      <c r="G1737" s="11" t="s">
        <v>20</v>
      </c>
      <c r="H1737" s="3">
        <v>544.79</v>
      </c>
      <c r="K1737" s="11"/>
      <c r="L1737" s="11"/>
      <c r="M1737" s="11"/>
      <c r="N1737" s="11"/>
      <c r="P1737" s="11"/>
      <c r="Q1737" s="11"/>
      <c r="R1737" s="3"/>
    </row>
    <row r="1738" spans="1:18" x14ac:dyDescent="0.2">
      <c r="A1738" s="11">
        <v>4115</v>
      </c>
      <c r="B1738" s="11">
        <v>7</v>
      </c>
      <c r="C1738" s="11" t="s">
        <v>446</v>
      </c>
      <c r="D1738" s="11">
        <f t="shared" si="52"/>
        <v>1</v>
      </c>
      <c r="E1738">
        <f t="shared" si="53"/>
        <v>4115001</v>
      </c>
      <c r="F1738" s="11">
        <v>419</v>
      </c>
      <c r="G1738" s="11" t="s">
        <v>10</v>
      </c>
      <c r="H1738" s="3">
        <v>28462.17</v>
      </c>
      <c r="K1738" s="11"/>
      <c r="L1738" s="11"/>
      <c r="M1738" s="11"/>
      <c r="N1738" s="11"/>
      <c r="P1738" s="11"/>
      <c r="Q1738" s="11"/>
      <c r="R1738" s="3"/>
    </row>
    <row r="1739" spans="1:18" x14ac:dyDescent="0.2">
      <c r="A1739" s="11">
        <v>4115</v>
      </c>
      <c r="B1739" s="11">
        <v>7</v>
      </c>
      <c r="C1739" s="11" t="s">
        <v>446</v>
      </c>
      <c r="D1739" s="11">
        <f t="shared" si="52"/>
        <v>2</v>
      </c>
      <c r="E1739">
        <f t="shared" si="53"/>
        <v>4115002</v>
      </c>
      <c r="F1739" s="11">
        <v>480</v>
      </c>
      <c r="G1739" s="11" t="s">
        <v>19</v>
      </c>
      <c r="H1739" s="3">
        <v>33716.699999999997</v>
      </c>
      <c r="K1739" s="11"/>
      <c r="L1739" s="11"/>
      <c r="M1739" s="11"/>
      <c r="N1739" s="11"/>
      <c r="P1739" s="11"/>
      <c r="Q1739" s="11"/>
      <c r="R1739" s="3"/>
    </row>
    <row r="1740" spans="1:18" x14ac:dyDescent="0.2">
      <c r="A1740" s="11">
        <v>4116</v>
      </c>
      <c r="B1740" s="11">
        <v>7</v>
      </c>
      <c r="C1740" s="11" t="s">
        <v>447</v>
      </c>
      <c r="D1740" s="11">
        <f t="shared" si="52"/>
        <v>1</v>
      </c>
      <c r="E1740">
        <f t="shared" si="53"/>
        <v>4116001</v>
      </c>
      <c r="F1740" s="11">
        <v>401</v>
      </c>
      <c r="G1740" s="11" t="s">
        <v>29</v>
      </c>
      <c r="H1740" s="3">
        <v>8526.19</v>
      </c>
      <c r="K1740" s="11"/>
      <c r="L1740" s="11"/>
      <c r="M1740" s="11"/>
      <c r="N1740" s="11"/>
      <c r="P1740" s="11"/>
      <c r="Q1740" s="11"/>
      <c r="R1740" s="3"/>
    </row>
    <row r="1741" spans="1:18" x14ac:dyDescent="0.2">
      <c r="A1741" s="11">
        <v>4116</v>
      </c>
      <c r="B1741" s="11">
        <v>7</v>
      </c>
      <c r="C1741" s="11" t="s">
        <v>447</v>
      </c>
      <c r="D1741" s="11">
        <f t="shared" si="52"/>
        <v>2</v>
      </c>
      <c r="E1741">
        <f t="shared" si="53"/>
        <v>4116002</v>
      </c>
      <c r="F1741" s="11">
        <v>414</v>
      </c>
      <c r="G1741" s="11" t="s">
        <v>9</v>
      </c>
      <c r="H1741" s="3">
        <v>5568.4</v>
      </c>
      <c r="K1741" s="11"/>
      <c r="L1741" s="11"/>
      <c r="M1741" s="11"/>
      <c r="N1741" s="11"/>
      <c r="P1741" s="11"/>
      <c r="Q1741" s="11"/>
      <c r="R1741" s="3"/>
    </row>
    <row r="1742" spans="1:18" x14ac:dyDescent="0.2">
      <c r="A1742" s="11">
        <v>4116</v>
      </c>
      <c r="B1742" s="11">
        <v>7</v>
      </c>
      <c r="C1742" s="11" t="s">
        <v>447</v>
      </c>
      <c r="D1742" s="11">
        <f t="shared" si="52"/>
        <v>3</v>
      </c>
      <c r="E1742">
        <f t="shared" si="53"/>
        <v>4116003</v>
      </c>
      <c r="F1742" s="11">
        <v>419</v>
      </c>
      <c r="G1742" s="11" t="s">
        <v>10</v>
      </c>
      <c r="H1742" s="3">
        <v>52157.56</v>
      </c>
      <c r="K1742" s="11"/>
      <c r="L1742" s="11"/>
      <c r="M1742" s="11"/>
      <c r="N1742" s="11"/>
      <c r="P1742" s="11"/>
      <c r="Q1742" s="11"/>
      <c r="R1742" s="3"/>
    </row>
    <row r="1743" spans="1:18" x14ac:dyDescent="0.2">
      <c r="A1743" s="11">
        <v>4116</v>
      </c>
      <c r="B1743" s="11">
        <v>7</v>
      </c>
      <c r="C1743" s="11" t="s">
        <v>447</v>
      </c>
      <c r="D1743" s="11">
        <f t="shared" ref="D1743:D1806" si="54">IF(A1743=A1742,D1742+1,1)</f>
        <v>4</v>
      </c>
      <c r="E1743">
        <f t="shared" ref="E1743:E1806" si="55">1000*A1743+D1743</f>
        <v>4116004</v>
      </c>
      <c r="F1743" s="11">
        <v>420</v>
      </c>
      <c r="G1743" s="11" t="s">
        <v>11</v>
      </c>
      <c r="H1743" s="3">
        <v>2289.1799999999998</v>
      </c>
      <c r="K1743" s="11"/>
      <c r="L1743" s="11"/>
      <c r="M1743" s="11"/>
      <c r="N1743" s="11"/>
      <c r="P1743" s="11"/>
      <c r="Q1743" s="11"/>
      <c r="R1743" s="3"/>
    </row>
    <row r="1744" spans="1:18" x14ac:dyDescent="0.2">
      <c r="A1744" s="11">
        <v>4116</v>
      </c>
      <c r="B1744" s="11">
        <v>7</v>
      </c>
      <c r="C1744" s="11" t="s">
        <v>447</v>
      </c>
      <c r="D1744" s="11">
        <f t="shared" si="54"/>
        <v>5</v>
      </c>
      <c r="E1744">
        <f t="shared" si="55"/>
        <v>4116005</v>
      </c>
      <c r="F1744" s="11">
        <v>433</v>
      </c>
      <c r="G1744" s="11" t="s">
        <v>30</v>
      </c>
      <c r="H1744" s="3">
        <v>763.46</v>
      </c>
      <c r="K1744" s="11"/>
      <c r="L1744" s="11"/>
      <c r="M1744" s="11"/>
      <c r="N1744" s="11"/>
      <c r="P1744" s="11"/>
      <c r="Q1744" s="11"/>
      <c r="R1744" s="3"/>
    </row>
    <row r="1745" spans="1:18" x14ac:dyDescent="0.2">
      <c r="A1745" s="11">
        <v>4116</v>
      </c>
      <c r="B1745" s="11">
        <v>7</v>
      </c>
      <c r="C1745" s="11" t="s">
        <v>447</v>
      </c>
      <c r="D1745" s="11">
        <f t="shared" si="54"/>
        <v>6</v>
      </c>
      <c r="E1745">
        <f t="shared" si="55"/>
        <v>4116006</v>
      </c>
      <c r="F1745" s="11">
        <v>484</v>
      </c>
      <c r="G1745" s="11" t="s">
        <v>20</v>
      </c>
      <c r="H1745" s="3">
        <v>3723.27</v>
      </c>
      <c r="K1745" s="11"/>
      <c r="L1745" s="11"/>
      <c r="M1745" s="11"/>
      <c r="N1745" s="11"/>
      <c r="P1745" s="11"/>
      <c r="Q1745" s="11"/>
      <c r="R1745" s="3"/>
    </row>
    <row r="1746" spans="1:18" x14ac:dyDescent="0.2">
      <c r="A1746" s="11">
        <v>4118</v>
      </c>
      <c r="B1746" s="11">
        <v>7</v>
      </c>
      <c r="C1746" s="11" t="s">
        <v>448</v>
      </c>
      <c r="D1746" s="11">
        <f t="shared" si="54"/>
        <v>1</v>
      </c>
      <c r="E1746">
        <f t="shared" si="55"/>
        <v>4118001</v>
      </c>
      <c r="F1746" s="11">
        <v>420</v>
      </c>
      <c r="G1746" s="11" t="s">
        <v>11</v>
      </c>
      <c r="H1746" s="3">
        <v>196.9</v>
      </c>
      <c r="K1746" s="11"/>
      <c r="L1746" s="11"/>
      <c r="M1746" s="11"/>
      <c r="N1746" s="11"/>
      <c r="P1746" s="11"/>
      <c r="Q1746" s="11"/>
      <c r="R1746" s="3"/>
    </row>
    <row r="1747" spans="1:18" x14ac:dyDescent="0.2">
      <c r="A1747" s="11">
        <v>4118</v>
      </c>
      <c r="B1747" s="11">
        <v>7</v>
      </c>
      <c r="C1747" s="11" t="s">
        <v>448</v>
      </c>
      <c r="D1747" s="11">
        <f t="shared" si="54"/>
        <v>2</v>
      </c>
      <c r="E1747">
        <f t="shared" si="55"/>
        <v>4118002</v>
      </c>
      <c r="F1747" s="11">
        <v>480</v>
      </c>
      <c r="G1747" s="11" t="s">
        <v>19</v>
      </c>
      <c r="H1747" s="3">
        <v>62463.25</v>
      </c>
      <c r="K1747" s="11"/>
      <c r="L1747" s="11"/>
      <c r="M1747" s="11"/>
      <c r="N1747" s="11"/>
      <c r="P1747" s="11"/>
      <c r="Q1747" s="11"/>
      <c r="R1747" s="3"/>
    </row>
    <row r="1748" spans="1:18" x14ac:dyDescent="0.2">
      <c r="A1748" s="11">
        <v>4118</v>
      </c>
      <c r="B1748" s="11">
        <v>7</v>
      </c>
      <c r="C1748" s="11" t="s">
        <v>448</v>
      </c>
      <c r="D1748" s="11">
        <f t="shared" si="54"/>
        <v>3</v>
      </c>
      <c r="E1748">
        <f t="shared" si="55"/>
        <v>4118003</v>
      </c>
      <c r="F1748" s="11">
        <v>484</v>
      </c>
      <c r="G1748" s="11" t="s">
        <v>20</v>
      </c>
      <c r="H1748" s="3">
        <v>3008.35</v>
      </c>
      <c r="K1748" s="11"/>
      <c r="L1748" s="11"/>
      <c r="M1748" s="11"/>
      <c r="N1748" s="11"/>
      <c r="P1748" s="11"/>
      <c r="Q1748" s="11"/>
      <c r="R1748" s="3"/>
    </row>
    <row r="1749" spans="1:18" x14ac:dyDescent="0.2">
      <c r="A1749" s="11">
        <v>4119</v>
      </c>
      <c r="B1749" s="11">
        <v>7</v>
      </c>
      <c r="C1749" s="11" t="s">
        <v>449</v>
      </c>
      <c r="D1749" s="11">
        <f t="shared" si="54"/>
        <v>1</v>
      </c>
      <c r="E1749">
        <f t="shared" si="55"/>
        <v>4119001</v>
      </c>
      <c r="F1749" s="11">
        <v>480</v>
      </c>
      <c r="G1749" s="11" t="s">
        <v>19</v>
      </c>
      <c r="H1749" s="3">
        <v>14935.22</v>
      </c>
      <c r="K1749" s="11"/>
      <c r="L1749" s="11"/>
      <c r="M1749" s="11"/>
      <c r="N1749" s="11"/>
      <c r="P1749" s="11"/>
      <c r="Q1749" s="11"/>
      <c r="R1749" s="3"/>
    </row>
    <row r="1750" spans="1:18" x14ac:dyDescent="0.2">
      <c r="A1750" s="11">
        <v>4120</v>
      </c>
      <c r="B1750" s="11">
        <v>7</v>
      </c>
      <c r="C1750" s="11" t="s">
        <v>450</v>
      </c>
      <c r="D1750" s="11">
        <f t="shared" si="54"/>
        <v>1</v>
      </c>
      <c r="E1750">
        <f t="shared" si="55"/>
        <v>4120001</v>
      </c>
      <c r="F1750" s="11">
        <v>420</v>
      </c>
      <c r="G1750" s="11" t="s">
        <v>11</v>
      </c>
      <c r="H1750" s="3">
        <v>1564.1</v>
      </c>
      <c r="K1750" s="11"/>
      <c r="L1750" s="11"/>
      <c r="M1750" s="11"/>
      <c r="N1750" s="11"/>
      <c r="P1750" s="11"/>
      <c r="Q1750" s="11"/>
      <c r="R1750" s="3"/>
    </row>
    <row r="1751" spans="1:18" x14ac:dyDescent="0.2">
      <c r="A1751" s="11">
        <v>4120</v>
      </c>
      <c r="B1751" s="11">
        <v>7</v>
      </c>
      <c r="C1751" s="11" t="s">
        <v>450</v>
      </c>
      <c r="D1751" s="11">
        <f t="shared" si="54"/>
        <v>2</v>
      </c>
      <c r="E1751">
        <f t="shared" si="55"/>
        <v>4120002</v>
      </c>
      <c r="F1751" s="11">
        <v>481</v>
      </c>
      <c r="G1751" s="11" t="s">
        <v>379</v>
      </c>
      <c r="H1751" s="3">
        <v>18470.41</v>
      </c>
      <c r="K1751" s="11"/>
      <c r="L1751" s="11"/>
      <c r="M1751" s="11"/>
      <c r="N1751" s="11"/>
      <c r="P1751" s="11"/>
      <c r="Q1751" s="11"/>
      <c r="R1751" s="3"/>
    </row>
    <row r="1752" spans="1:18" x14ac:dyDescent="0.2">
      <c r="A1752" s="11">
        <v>4120</v>
      </c>
      <c r="B1752" s="11">
        <v>7</v>
      </c>
      <c r="C1752" s="11" t="s">
        <v>450</v>
      </c>
      <c r="D1752" s="11">
        <f t="shared" si="54"/>
        <v>3</v>
      </c>
      <c r="E1752">
        <f t="shared" si="55"/>
        <v>4120003</v>
      </c>
      <c r="F1752" s="11">
        <v>484</v>
      </c>
      <c r="G1752" s="11" t="s">
        <v>20</v>
      </c>
      <c r="H1752" s="3">
        <v>5040.01</v>
      </c>
      <c r="K1752" s="11"/>
      <c r="L1752" s="11"/>
      <c r="M1752" s="11"/>
      <c r="N1752" s="11"/>
      <c r="P1752" s="11"/>
      <c r="Q1752" s="11"/>
      <c r="R1752" s="3"/>
    </row>
    <row r="1753" spans="1:18" x14ac:dyDescent="0.2">
      <c r="A1753" s="11">
        <v>4121</v>
      </c>
      <c r="B1753" s="11">
        <v>7</v>
      </c>
      <c r="C1753" s="11" t="s">
        <v>451</v>
      </c>
      <c r="D1753" s="11">
        <f t="shared" si="54"/>
        <v>1</v>
      </c>
      <c r="E1753">
        <f t="shared" si="55"/>
        <v>4121001</v>
      </c>
      <c r="F1753" s="11">
        <v>401</v>
      </c>
      <c r="G1753" s="11" t="s">
        <v>29</v>
      </c>
      <c r="H1753" s="3">
        <v>111817.60000000001</v>
      </c>
      <c r="K1753" s="11"/>
      <c r="L1753" s="11"/>
      <c r="M1753" s="11"/>
      <c r="N1753" s="11"/>
      <c r="P1753" s="11"/>
      <c r="Q1753" s="11"/>
      <c r="R1753" s="3"/>
    </row>
    <row r="1754" spans="1:18" x14ac:dyDescent="0.2">
      <c r="A1754" s="11">
        <v>4121</v>
      </c>
      <c r="B1754" s="11">
        <v>7</v>
      </c>
      <c r="C1754" s="11" t="s">
        <v>451</v>
      </c>
      <c r="D1754" s="11">
        <f t="shared" si="54"/>
        <v>2</v>
      </c>
      <c r="E1754">
        <f t="shared" si="55"/>
        <v>4121002</v>
      </c>
      <c r="F1754" s="11">
        <v>414</v>
      </c>
      <c r="G1754" s="11" t="s">
        <v>9</v>
      </c>
      <c r="H1754" s="3">
        <v>18326.060000000001</v>
      </c>
      <c r="K1754" s="11"/>
      <c r="L1754" s="11"/>
      <c r="M1754" s="11"/>
      <c r="N1754" s="11"/>
      <c r="P1754" s="11"/>
      <c r="Q1754" s="11"/>
      <c r="R1754" s="3"/>
    </row>
    <row r="1755" spans="1:18" x14ac:dyDescent="0.2">
      <c r="A1755" s="11">
        <v>4121</v>
      </c>
      <c r="B1755" s="11">
        <v>7</v>
      </c>
      <c r="C1755" s="11" t="s">
        <v>451</v>
      </c>
      <c r="D1755" s="11">
        <f t="shared" si="54"/>
        <v>3</v>
      </c>
      <c r="E1755">
        <f t="shared" si="55"/>
        <v>4121003</v>
      </c>
      <c r="F1755" s="11">
        <v>417</v>
      </c>
      <c r="G1755" s="11" t="s">
        <v>34</v>
      </c>
      <c r="H1755" s="3">
        <v>16557.759999999998</v>
      </c>
      <c r="K1755" s="11"/>
      <c r="L1755" s="11"/>
      <c r="M1755" s="11"/>
      <c r="N1755" s="11"/>
      <c r="P1755" s="11"/>
      <c r="Q1755" s="11"/>
      <c r="R1755" s="3"/>
    </row>
    <row r="1756" spans="1:18" x14ac:dyDescent="0.2">
      <c r="A1756" s="11">
        <v>4121</v>
      </c>
      <c r="B1756" s="11">
        <v>7</v>
      </c>
      <c r="C1756" s="11" t="s">
        <v>451</v>
      </c>
      <c r="D1756" s="11">
        <f t="shared" si="54"/>
        <v>4</v>
      </c>
      <c r="E1756">
        <f t="shared" si="55"/>
        <v>4121004</v>
      </c>
      <c r="F1756" s="11">
        <v>419</v>
      </c>
      <c r="G1756" s="11" t="s">
        <v>10</v>
      </c>
      <c r="H1756" s="3">
        <v>35126.720000000001</v>
      </c>
      <c r="K1756" s="11"/>
      <c r="L1756" s="11"/>
      <c r="M1756" s="11"/>
      <c r="N1756" s="11"/>
      <c r="P1756" s="11"/>
      <c r="Q1756" s="11"/>
      <c r="R1756" s="3"/>
    </row>
    <row r="1757" spans="1:18" x14ac:dyDescent="0.2">
      <c r="A1757" s="11">
        <v>4121</v>
      </c>
      <c r="B1757" s="11">
        <v>7</v>
      </c>
      <c r="C1757" s="11" t="s">
        <v>451</v>
      </c>
      <c r="D1757" s="11">
        <f t="shared" si="54"/>
        <v>5</v>
      </c>
      <c r="E1757">
        <f t="shared" si="55"/>
        <v>4121005</v>
      </c>
      <c r="F1757" s="11">
        <v>425</v>
      </c>
      <c r="G1757" s="11" t="s">
        <v>49</v>
      </c>
      <c r="H1757" s="3">
        <v>6198.83</v>
      </c>
      <c r="K1757" s="11"/>
      <c r="L1757" s="11"/>
      <c r="M1757" s="11"/>
      <c r="N1757" s="11"/>
      <c r="P1757" s="11"/>
      <c r="Q1757" s="11"/>
      <c r="R1757" s="3"/>
    </row>
    <row r="1758" spans="1:18" x14ac:dyDescent="0.2">
      <c r="A1758" s="11">
        <v>4121</v>
      </c>
      <c r="B1758" s="11">
        <v>7</v>
      </c>
      <c r="C1758" s="11" t="s">
        <v>451</v>
      </c>
      <c r="D1758" s="11">
        <f t="shared" si="54"/>
        <v>6</v>
      </c>
      <c r="E1758">
        <f t="shared" si="55"/>
        <v>4121006</v>
      </c>
      <c r="F1758" s="11">
        <v>470</v>
      </c>
      <c r="G1758" s="11" t="s">
        <v>6</v>
      </c>
      <c r="H1758" s="3">
        <v>69029.53</v>
      </c>
      <c r="K1758" s="11"/>
      <c r="L1758" s="11"/>
      <c r="M1758" s="11"/>
      <c r="N1758" s="11"/>
      <c r="P1758" s="11"/>
      <c r="Q1758" s="11"/>
      <c r="R1758" s="3"/>
    </row>
    <row r="1759" spans="1:18" x14ac:dyDescent="0.2">
      <c r="A1759" s="11">
        <v>4121</v>
      </c>
      <c r="B1759" s="11">
        <v>7</v>
      </c>
      <c r="C1759" s="11" t="s">
        <v>451</v>
      </c>
      <c r="D1759" s="11">
        <f t="shared" si="54"/>
        <v>7</v>
      </c>
      <c r="E1759">
        <f t="shared" si="55"/>
        <v>4121007</v>
      </c>
      <c r="F1759" s="11">
        <v>480</v>
      </c>
      <c r="G1759" s="11" t="s">
        <v>19</v>
      </c>
      <c r="H1759" s="3">
        <v>56041.17</v>
      </c>
      <c r="K1759" s="11"/>
      <c r="L1759" s="11"/>
      <c r="M1759" s="11"/>
      <c r="N1759" s="11"/>
      <c r="P1759" s="11"/>
      <c r="Q1759" s="11"/>
      <c r="R1759" s="3"/>
    </row>
    <row r="1760" spans="1:18" x14ac:dyDescent="0.2">
      <c r="A1760" s="11">
        <v>4121</v>
      </c>
      <c r="B1760" s="11">
        <v>7</v>
      </c>
      <c r="C1760" s="11" t="s">
        <v>451</v>
      </c>
      <c r="D1760" s="11">
        <f t="shared" si="54"/>
        <v>8</v>
      </c>
      <c r="E1760">
        <f t="shared" si="55"/>
        <v>4121008</v>
      </c>
      <c r="F1760" s="11">
        <v>481</v>
      </c>
      <c r="G1760" s="11" t="s">
        <v>379</v>
      </c>
      <c r="H1760" s="3">
        <v>9889.6200000000008</v>
      </c>
      <c r="K1760" s="11"/>
      <c r="L1760" s="11"/>
      <c r="M1760" s="11"/>
      <c r="N1760" s="11"/>
      <c r="P1760" s="11"/>
      <c r="Q1760" s="11"/>
      <c r="R1760" s="3"/>
    </row>
    <row r="1761" spans="1:18" x14ac:dyDescent="0.2">
      <c r="A1761" s="11">
        <v>4123</v>
      </c>
      <c r="B1761" s="11">
        <v>7</v>
      </c>
      <c r="C1761" s="11" t="s">
        <v>452</v>
      </c>
      <c r="D1761" s="11">
        <f t="shared" si="54"/>
        <v>1</v>
      </c>
      <c r="E1761">
        <f t="shared" si="55"/>
        <v>4123001</v>
      </c>
      <c r="F1761" s="11">
        <v>433</v>
      </c>
      <c r="G1761" s="11" t="s">
        <v>30</v>
      </c>
      <c r="H1761" s="3">
        <v>56.94</v>
      </c>
      <c r="K1761" s="11"/>
      <c r="L1761" s="11"/>
      <c r="M1761" s="11"/>
      <c r="N1761" s="11"/>
      <c r="P1761" s="11"/>
      <c r="Q1761" s="11"/>
      <c r="R1761" s="3"/>
    </row>
    <row r="1762" spans="1:18" x14ac:dyDescent="0.2">
      <c r="A1762" s="11">
        <v>4124</v>
      </c>
      <c r="B1762" s="11">
        <v>7</v>
      </c>
      <c r="C1762" s="11" t="s">
        <v>453</v>
      </c>
      <c r="D1762" s="11">
        <f t="shared" si="54"/>
        <v>1</v>
      </c>
      <c r="E1762">
        <f t="shared" si="55"/>
        <v>4124001</v>
      </c>
      <c r="F1762" s="11">
        <v>401</v>
      </c>
      <c r="G1762" s="11" t="s">
        <v>29</v>
      </c>
      <c r="H1762" s="3">
        <v>25661.05</v>
      </c>
      <c r="K1762" s="11"/>
      <c r="L1762" s="11"/>
      <c r="M1762" s="11"/>
      <c r="N1762" s="11"/>
      <c r="P1762" s="11"/>
      <c r="Q1762" s="11"/>
      <c r="R1762" s="3"/>
    </row>
    <row r="1763" spans="1:18" x14ac:dyDescent="0.2">
      <c r="A1763" s="11">
        <v>4124</v>
      </c>
      <c r="B1763" s="11">
        <v>7</v>
      </c>
      <c r="C1763" s="11" t="s">
        <v>453</v>
      </c>
      <c r="D1763" s="11">
        <f t="shared" si="54"/>
        <v>2</v>
      </c>
      <c r="E1763">
        <f t="shared" si="55"/>
        <v>4124002</v>
      </c>
      <c r="F1763" s="11">
        <v>414</v>
      </c>
      <c r="G1763" s="11" t="s">
        <v>9</v>
      </c>
      <c r="H1763" s="3">
        <v>4538.0200000000004</v>
      </c>
      <c r="K1763" s="11"/>
      <c r="L1763" s="11"/>
      <c r="M1763" s="11"/>
      <c r="N1763" s="11"/>
      <c r="P1763" s="11"/>
      <c r="Q1763" s="11"/>
      <c r="R1763" s="3"/>
    </row>
    <row r="1764" spans="1:18" x14ac:dyDescent="0.2">
      <c r="A1764" s="11">
        <v>4124</v>
      </c>
      <c r="B1764" s="11">
        <v>7</v>
      </c>
      <c r="C1764" s="11" t="s">
        <v>453</v>
      </c>
      <c r="D1764" s="11">
        <f t="shared" si="54"/>
        <v>3</v>
      </c>
      <c r="E1764">
        <f t="shared" si="55"/>
        <v>4124003</v>
      </c>
      <c r="F1764" s="11">
        <v>419</v>
      </c>
      <c r="G1764" s="11" t="s">
        <v>10</v>
      </c>
      <c r="H1764" s="3">
        <v>51383.28</v>
      </c>
      <c r="K1764" s="11"/>
      <c r="L1764" s="11"/>
      <c r="M1764" s="11"/>
      <c r="N1764" s="11"/>
      <c r="P1764" s="11"/>
      <c r="Q1764" s="11"/>
      <c r="R1764" s="3"/>
    </row>
    <row r="1765" spans="1:18" x14ac:dyDescent="0.2">
      <c r="A1765" s="11">
        <v>4124</v>
      </c>
      <c r="B1765" s="11">
        <v>7</v>
      </c>
      <c r="C1765" s="11" t="s">
        <v>453</v>
      </c>
      <c r="D1765" s="11">
        <f t="shared" si="54"/>
        <v>4</v>
      </c>
      <c r="E1765">
        <f t="shared" si="55"/>
        <v>4124004</v>
      </c>
      <c r="F1765" s="11">
        <v>420</v>
      </c>
      <c r="G1765" s="11" t="s">
        <v>11</v>
      </c>
      <c r="H1765" s="3">
        <v>16.690000000000001</v>
      </c>
      <c r="K1765" s="11"/>
      <c r="L1765" s="11"/>
      <c r="M1765" s="11"/>
      <c r="N1765" s="11"/>
      <c r="P1765" s="11"/>
      <c r="Q1765" s="11"/>
      <c r="R1765" s="3"/>
    </row>
    <row r="1766" spans="1:18" x14ac:dyDescent="0.2">
      <c r="A1766" s="11">
        <v>4124</v>
      </c>
      <c r="B1766" s="11">
        <v>7</v>
      </c>
      <c r="C1766" s="11" t="s">
        <v>453</v>
      </c>
      <c r="D1766" s="11">
        <f t="shared" si="54"/>
        <v>5</v>
      </c>
      <c r="E1766">
        <f t="shared" si="55"/>
        <v>4124005</v>
      </c>
      <c r="F1766" s="11">
        <v>425</v>
      </c>
      <c r="G1766" s="11" t="s">
        <v>49</v>
      </c>
      <c r="H1766" s="3">
        <v>9067.64</v>
      </c>
      <c r="K1766" s="11"/>
      <c r="L1766" s="11"/>
      <c r="M1766" s="11"/>
      <c r="N1766" s="11"/>
      <c r="P1766" s="11"/>
      <c r="Q1766" s="11"/>
      <c r="R1766" s="3"/>
    </row>
    <row r="1767" spans="1:18" x14ac:dyDescent="0.2">
      <c r="A1767" s="11">
        <v>4124</v>
      </c>
      <c r="B1767" s="11">
        <v>7</v>
      </c>
      <c r="C1767" s="11" t="s">
        <v>453</v>
      </c>
      <c r="D1767" s="11">
        <f t="shared" si="54"/>
        <v>6</v>
      </c>
      <c r="E1767">
        <f t="shared" si="55"/>
        <v>4124006</v>
      </c>
      <c r="F1767" s="11">
        <v>470</v>
      </c>
      <c r="G1767" s="11" t="s">
        <v>6</v>
      </c>
      <c r="H1767" s="3">
        <v>19600.98</v>
      </c>
      <c r="K1767" s="11"/>
      <c r="L1767" s="11"/>
      <c r="M1767" s="11"/>
      <c r="N1767" s="11"/>
      <c r="P1767" s="11"/>
      <c r="Q1767" s="11"/>
      <c r="R1767" s="3"/>
    </row>
    <row r="1768" spans="1:18" x14ac:dyDescent="0.2">
      <c r="A1768" s="11">
        <v>4124</v>
      </c>
      <c r="B1768" s="11">
        <v>7</v>
      </c>
      <c r="C1768" s="11" t="s">
        <v>453</v>
      </c>
      <c r="D1768" s="11">
        <f t="shared" si="54"/>
        <v>7</v>
      </c>
      <c r="E1768">
        <f t="shared" si="55"/>
        <v>4124007</v>
      </c>
      <c r="F1768" s="11">
        <v>481</v>
      </c>
      <c r="G1768" s="11" t="s">
        <v>379</v>
      </c>
      <c r="H1768" s="3">
        <v>10548.22</v>
      </c>
      <c r="K1768" s="11"/>
      <c r="L1768" s="11"/>
      <c r="M1768" s="11"/>
      <c r="N1768" s="11"/>
      <c r="P1768" s="11"/>
      <c r="Q1768" s="11"/>
      <c r="R1768" s="3"/>
    </row>
    <row r="1769" spans="1:18" x14ac:dyDescent="0.2">
      <c r="A1769" s="11">
        <v>4124</v>
      </c>
      <c r="B1769" s="11">
        <v>7</v>
      </c>
      <c r="C1769" s="11" t="s">
        <v>453</v>
      </c>
      <c r="D1769" s="11">
        <f t="shared" si="54"/>
        <v>8</v>
      </c>
      <c r="E1769">
        <f t="shared" si="55"/>
        <v>4124008</v>
      </c>
      <c r="F1769" s="11">
        <v>484</v>
      </c>
      <c r="G1769" s="11" t="s">
        <v>20</v>
      </c>
      <c r="H1769" s="3">
        <v>2879.57</v>
      </c>
      <c r="K1769" s="11"/>
      <c r="L1769" s="11"/>
      <c r="M1769" s="11"/>
      <c r="N1769" s="11"/>
      <c r="P1769" s="11"/>
      <c r="Q1769" s="11"/>
      <c r="R1769" s="3"/>
    </row>
    <row r="1770" spans="1:18" x14ac:dyDescent="0.2">
      <c r="A1770" s="11">
        <v>4125</v>
      </c>
      <c r="B1770" s="11">
        <v>7</v>
      </c>
      <c r="C1770" s="11" t="s">
        <v>454</v>
      </c>
      <c r="D1770" s="11">
        <f t="shared" si="54"/>
        <v>1</v>
      </c>
      <c r="E1770">
        <f t="shared" si="55"/>
        <v>4125001</v>
      </c>
      <c r="F1770" s="11">
        <v>414</v>
      </c>
      <c r="G1770" s="11" t="s">
        <v>9</v>
      </c>
      <c r="H1770" s="3">
        <v>9291.35</v>
      </c>
      <c r="K1770" s="11"/>
      <c r="L1770" s="11"/>
      <c r="M1770" s="11"/>
      <c r="N1770" s="11"/>
      <c r="P1770" s="11"/>
      <c r="Q1770" s="11"/>
      <c r="R1770" s="3"/>
    </row>
    <row r="1771" spans="1:18" x14ac:dyDescent="0.2">
      <c r="A1771" s="11">
        <v>4125</v>
      </c>
      <c r="B1771" s="11">
        <v>7</v>
      </c>
      <c r="C1771" s="11" t="s">
        <v>454</v>
      </c>
      <c r="D1771" s="11">
        <f t="shared" si="54"/>
        <v>2</v>
      </c>
      <c r="E1771">
        <f t="shared" si="55"/>
        <v>4125002</v>
      </c>
      <c r="F1771" s="11">
        <v>420</v>
      </c>
      <c r="G1771" s="11" t="s">
        <v>11</v>
      </c>
      <c r="H1771" s="3">
        <v>4.0199999999999996</v>
      </c>
      <c r="K1771" s="11"/>
      <c r="L1771" s="11"/>
      <c r="M1771" s="11"/>
      <c r="N1771" s="11"/>
      <c r="P1771" s="11"/>
      <c r="Q1771" s="11"/>
      <c r="R1771" s="3"/>
    </row>
    <row r="1772" spans="1:18" x14ac:dyDescent="0.2">
      <c r="A1772" s="11">
        <v>4125</v>
      </c>
      <c r="B1772" s="11">
        <v>7</v>
      </c>
      <c r="C1772" s="11" t="s">
        <v>454</v>
      </c>
      <c r="D1772" s="11">
        <f t="shared" si="54"/>
        <v>3</v>
      </c>
      <c r="E1772">
        <f t="shared" si="55"/>
        <v>4125003</v>
      </c>
      <c r="F1772" s="11">
        <v>433</v>
      </c>
      <c r="G1772" s="11" t="s">
        <v>30</v>
      </c>
      <c r="H1772" s="3">
        <v>492.19</v>
      </c>
      <c r="K1772" s="11"/>
      <c r="L1772" s="11"/>
      <c r="M1772" s="11"/>
      <c r="N1772" s="11"/>
      <c r="P1772" s="11"/>
      <c r="Q1772" s="11"/>
      <c r="R1772" s="3"/>
    </row>
    <row r="1773" spans="1:18" x14ac:dyDescent="0.2">
      <c r="A1773" s="11">
        <v>4125</v>
      </c>
      <c r="B1773" s="11">
        <v>7</v>
      </c>
      <c r="C1773" s="11" t="s">
        <v>454</v>
      </c>
      <c r="D1773" s="11">
        <f t="shared" si="54"/>
        <v>4</v>
      </c>
      <c r="E1773">
        <f t="shared" si="55"/>
        <v>4125004</v>
      </c>
      <c r="F1773" s="11">
        <v>470</v>
      </c>
      <c r="G1773" s="11" t="s">
        <v>6</v>
      </c>
      <c r="H1773" s="3">
        <v>17044.330000000002</v>
      </c>
      <c r="K1773" s="11"/>
      <c r="L1773" s="11"/>
      <c r="M1773" s="11"/>
      <c r="N1773" s="11"/>
      <c r="P1773" s="11"/>
      <c r="Q1773" s="11"/>
      <c r="R1773" s="3"/>
    </row>
    <row r="1774" spans="1:18" x14ac:dyDescent="0.2">
      <c r="A1774" s="11">
        <v>4125</v>
      </c>
      <c r="B1774" s="11">
        <v>7</v>
      </c>
      <c r="C1774" s="11" t="s">
        <v>454</v>
      </c>
      <c r="D1774" s="11">
        <f t="shared" si="54"/>
        <v>5</v>
      </c>
      <c r="E1774">
        <f t="shared" si="55"/>
        <v>4125005</v>
      </c>
      <c r="F1774" s="11">
        <v>484</v>
      </c>
      <c r="G1774" s="11" t="s">
        <v>20</v>
      </c>
      <c r="H1774" s="3">
        <v>694.36</v>
      </c>
      <c r="K1774" s="11"/>
      <c r="L1774" s="11"/>
      <c r="M1774" s="11"/>
      <c r="N1774" s="11"/>
      <c r="P1774" s="11"/>
      <c r="Q1774" s="11"/>
      <c r="R1774" s="3"/>
    </row>
    <row r="1775" spans="1:18" x14ac:dyDescent="0.2">
      <c r="A1775" s="11">
        <v>4126</v>
      </c>
      <c r="B1775" s="11">
        <v>7</v>
      </c>
      <c r="C1775" s="11" t="s">
        <v>455</v>
      </c>
      <c r="D1775" s="11">
        <f t="shared" si="54"/>
        <v>1</v>
      </c>
      <c r="E1775">
        <f t="shared" si="55"/>
        <v>4126001</v>
      </c>
      <c r="F1775" s="11">
        <v>420</v>
      </c>
      <c r="G1775" s="11" t="s">
        <v>11</v>
      </c>
      <c r="H1775" s="3">
        <v>27.31</v>
      </c>
      <c r="K1775" s="11"/>
      <c r="L1775" s="11"/>
      <c r="M1775" s="11"/>
      <c r="N1775" s="11"/>
      <c r="P1775" s="11"/>
      <c r="Q1775" s="11"/>
      <c r="R1775" s="3"/>
    </row>
    <row r="1776" spans="1:18" x14ac:dyDescent="0.2">
      <c r="A1776" s="11">
        <v>4126</v>
      </c>
      <c r="B1776" s="11">
        <v>7</v>
      </c>
      <c r="C1776" s="11" t="s">
        <v>455</v>
      </c>
      <c r="D1776" s="11">
        <f t="shared" si="54"/>
        <v>2</v>
      </c>
      <c r="E1776">
        <f t="shared" si="55"/>
        <v>4126002</v>
      </c>
      <c r="F1776" s="11">
        <v>433</v>
      </c>
      <c r="G1776" s="11" t="s">
        <v>30</v>
      </c>
      <c r="H1776" s="3">
        <v>2815.59</v>
      </c>
      <c r="K1776" s="11"/>
      <c r="L1776" s="11"/>
      <c r="M1776" s="11"/>
      <c r="N1776" s="11"/>
      <c r="P1776" s="11"/>
      <c r="Q1776" s="11"/>
      <c r="R1776" s="3"/>
    </row>
    <row r="1777" spans="1:18" x14ac:dyDescent="0.2">
      <c r="A1777" s="11">
        <v>4126</v>
      </c>
      <c r="B1777" s="11">
        <v>7</v>
      </c>
      <c r="C1777" s="11" t="s">
        <v>455</v>
      </c>
      <c r="D1777" s="11">
        <f t="shared" si="54"/>
        <v>3</v>
      </c>
      <c r="E1777">
        <f t="shared" si="55"/>
        <v>4126003</v>
      </c>
      <c r="F1777" s="11">
        <v>484</v>
      </c>
      <c r="G1777" s="11" t="s">
        <v>20</v>
      </c>
      <c r="H1777" s="3">
        <v>4711.83</v>
      </c>
      <c r="K1777" s="11"/>
      <c r="L1777" s="11"/>
      <c r="M1777" s="11"/>
      <c r="N1777" s="11"/>
      <c r="P1777" s="11"/>
      <c r="Q1777" s="11"/>
      <c r="R1777" s="3"/>
    </row>
    <row r="1778" spans="1:18" x14ac:dyDescent="0.2">
      <c r="A1778" s="11">
        <v>4127</v>
      </c>
      <c r="B1778" s="11">
        <v>7</v>
      </c>
      <c r="C1778" s="11" t="s">
        <v>456</v>
      </c>
      <c r="D1778" s="11">
        <f t="shared" si="54"/>
        <v>1</v>
      </c>
      <c r="E1778">
        <f t="shared" si="55"/>
        <v>4127001</v>
      </c>
      <c r="F1778" s="11">
        <v>470</v>
      </c>
      <c r="G1778" s="11" t="s">
        <v>6</v>
      </c>
      <c r="H1778" s="3">
        <v>20453.189999999999</v>
      </c>
      <c r="K1778" s="11"/>
      <c r="L1778" s="11"/>
      <c r="M1778" s="11"/>
      <c r="N1778" s="11"/>
      <c r="P1778" s="11"/>
      <c r="Q1778" s="11"/>
      <c r="R1778" s="3"/>
    </row>
    <row r="1779" spans="1:18" x14ac:dyDescent="0.2">
      <c r="A1779" s="11">
        <v>4131</v>
      </c>
      <c r="B1779" s="11">
        <v>7</v>
      </c>
      <c r="C1779" s="11" t="s">
        <v>457</v>
      </c>
      <c r="D1779" s="11">
        <f t="shared" si="54"/>
        <v>1</v>
      </c>
      <c r="E1779">
        <f t="shared" si="55"/>
        <v>4131001</v>
      </c>
      <c r="F1779" s="11">
        <v>151</v>
      </c>
      <c r="G1779" s="11" t="s">
        <v>28</v>
      </c>
      <c r="H1779" s="3">
        <v>101318.51</v>
      </c>
      <c r="K1779" s="11"/>
      <c r="L1779" s="11"/>
      <c r="M1779" s="11"/>
      <c r="N1779" s="11"/>
      <c r="P1779" s="11"/>
      <c r="Q1779" s="11"/>
      <c r="R1779" s="3"/>
    </row>
    <row r="1780" spans="1:18" x14ac:dyDescent="0.2">
      <c r="A1780" s="11">
        <v>4131</v>
      </c>
      <c r="B1780" s="11">
        <v>7</v>
      </c>
      <c r="C1780" s="11" t="s">
        <v>457</v>
      </c>
      <c r="D1780" s="11">
        <f t="shared" si="54"/>
        <v>2</v>
      </c>
      <c r="E1780">
        <f t="shared" si="55"/>
        <v>4131002</v>
      </c>
      <c r="F1780" s="11">
        <v>401</v>
      </c>
      <c r="G1780" s="11" t="s">
        <v>29</v>
      </c>
      <c r="H1780" s="3">
        <v>106668.25</v>
      </c>
      <c r="K1780" s="11"/>
      <c r="L1780" s="11"/>
      <c r="M1780" s="11"/>
      <c r="N1780" s="11"/>
      <c r="P1780" s="11"/>
      <c r="Q1780" s="11"/>
      <c r="R1780" s="3"/>
    </row>
    <row r="1781" spans="1:18" x14ac:dyDescent="0.2">
      <c r="A1781" s="11">
        <v>4131</v>
      </c>
      <c r="B1781" s="11">
        <v>7</v>
      </c>
      <c r="C1781" s="11" t="s">
        <v>457</v>
      </c>
      <c r="D1781" s="11">
        <f t="shared" si="54"/>
        <v>3</v>
      </c>
      <c r="E1781">
        <f t="shared" si="55"/>
        <v>4131003</v>
      </c>
      <c r="F1781" s="11">
        <v>414</v>
      </c>
      <c r="G1781" s="11" t="s">
        <v>9</v>
      </c>
      <c r="H1781" s="3">
        <v>14555.34</v>
      </c>
      <c r="K1781" s="11"/>
      <c r="L1781" s="11"/>
      <c r="M1781" s="11"/>
      <c r="N1781" s="11"/>
      <c r="P1781" s="11"/>
      <c r="Q1781" s="11"/>
      <c r="R1781" s="3"/>
    </row>
    <row r="1782" spans="1:18" x14ac:dyDescent="0.2">
      <c r="A1782" s="11">
        <v>4131</v>
      </c>
      <c r="B1782" s="11">
        <v>7</v>
      </c>
      <c r="C1782" s="11" t="s">
        <v>457</v>
      </c>
      <c r="D1782" s="11">
        <f t="shared" si="54"/>
        <v>4</v>
      </c>
      <c r="E1782">
        <f t="shared" si="55"/>
        <v>4131004</v>
      </c>
      <c r="F1782" s="11">
        <v>417</v>
      </c>
      <c r="G1782" s="11" t="s">
        <v>34</v>
      </c>
      <c r="H1782" s="3">
        <v>13341.5</v>
      </c>
      <c r="K1782" s="11"/>
      <c r="L1782" s="11"/>
      <c r="M1782" s="11"/>
      <c r="N1782" s="11"/>
      <c r="P1782" s="11"/>
      <c r="Q1782" s="11"/>
      <c r="R1782" s="3"/>
    </row>
    <row r="1783" spans="1:18" x14ac:dyDescent="0.2">
      <c r="A1783" s="11">
        <v>4131</v>
      </c>
      <c r="B1783" s="11">
        <v>7</v>
      </c>
      <c r="C1783" s="11" t="s">
        <v>457</v>
      </c>
      <c r="D1783" s="11">
        <f t="shared" si="54"/>
        <v>5</v>
      </c>
      <c r="E1783">
        <f t="shared" si="55"/>
        <v>4131005</v>
      </c>
      <c r="F1783" s="11">
        <v>419</v>
      </c>
      <c r="G1783" s="11" t="s">
        <v>10</v>
      </c>
      <c r="H1783" s="3">
        <v>36144.14</v>
      </c>
      <c r="K1783" s="11"/>
      <c r="L1783" s="11"/>
      <c r="M1783" s="11"/>
      <c r="N1783" s="11"/>
      <c r="P1783" s="11"/>
      <c r="Q1783" s="11"/>
      <c r="R1783" s="3"/>
    </row>
    <row r="1784" spans="1:18" x14ac:dyDescent="0.2">
      <c r="A1784" s="11">
        <v>4131</v>
      </c>
      <c r="B1784" s="11">
        <v>7</v>
      </c>
      <c r="C1784" s="11" t="s">
        <v>457</v>
      </c>
      <c r="D1784" s="11">
        <f t="shared" si="54"/>
        <v>6</v>
      </c>
      <c r="E1784">
        <f t="shared" si="55"/>
        <v>4131006</v>
      </c>
      <c r="F1784" s="11">
        <v>425</v>
      </c>
      <c r="G1784" s="11" t="s">
        <v>49</v>
      </c>
      <c r="H1784" s="3">
        <v>6378.38</v>
      </c>
      <c r="K1784" s="11"/>
      <c r="L1784" s="11"/>
      <c r="M1784" s="11"/>
      <c r="N1784" s="11"/>
      <c r="P1784" s="11"/>
      <c r="Q1784" s="11"/>
      <c r="R1784" s="3"/>
    </row>
    <row r="1785" spans="1:18" x14ac:dyDescent="0.2">
      <c r="A1785" s="11">
        <v>4131</v>
      </c>
      <c r="B1785" s="11">
        <v>7</v>
      </c>
      <c r="C1785" s="11" t="s">
        <v>457</v>
      </c>
      <c r="D1785" s="11">
        <f t="shared" si="54"/>
        <v>7</v>
      </c>
      <c r="E1785">
        <f t="shared" si="55"/>
        <v>4131007</v>
      </c>
      <c r="F1785" s="11">
        <v>470</v>
      </c>
      <c r="G1785" s="11" t="s">
        <v>6</v>
      </c>
      <c r="H1785" s="3">
        <v>69881.75</v>
      </c>
      <c r="K1785" s="11"/>
      <c r="L1785" s="11"/>
      <c r="M1785" s="11"/>
      <c r="N1785" s="11"/>
      <c r="P1785" s="11"/>
      <c r="Q1785" s="11"/>
      <c r="R1785" s="3"/>
    </row>
    <row r="1786" spans="1:18" x14ac:dyDescent="0.2">
      <c r="A1786" s="11">
        <v>4131</v>
      </c>
      <c r="B1786" s="11">
        <v>7</v>
      </c>
      <c r="C1786" s="11" t="s">
        <v>457</v>
      </c>
      <c r="D1786" s="11">
        <f t="shared" si="54"/>
        <v>8</v>
      </c>
      <c r="E1786">
        <f t="shared" si="55"/>
        <v>4131008</v>
      </c>
      <c r="F1786" s="11">
        <v>480</v>
      </c>
      <c r="G1786" s="11" t="s">
        <v>19</v>
      </c>
      <c r="H1786" s="3">
        <v>56740.15</v>
      </c>
      <c r="K1786" s="11"/>
      <c r="L1786" s="11"/>
      <c r="M1786" s="11"/>
      <c r="N1786" s="11"/>
      <c r="P1786" s="11"/>
      <c r="Q1786" s="11"/>
      <c r="R1786" s="3"/>
    </row>
    <row r="1787" spans="1:18" x14ac:dyDescent="0.2">
      <c r="A1787" s="11">
        <v>4131</v>
      </c>
      <c r="B1787" s="11">
        <v>7</v>
      </c>
      <c r="C1787" s="11" t="s">
        <v>457</v>
      </c>
      <c r="D1787" s="11">
        <f t="shared" si="54"/>
        <v>9</v>
      </c>
      <c r="E1787">
        <f t="shared" si="55"/>
        <v>4131009</v>
      </c>
      <c r="F1787" s="11">
        <v>481</v>
      </c>
      <c r="G1787" s="11" t="s">
        <v>379</v>
      </c>
      <c r="H1787" s="3">
        <v>10012.969999999999</v>
      </c>
      <c r="K1787" s="11"/>
      <c r="L1787" s="11"/>
      <c r="M1787" s="11"/>
      <c r="N1787" s="11"/>
      <c r="P1787" s="11"/>
      <c r="Q1787" s="11"/>
      <c r="R1787" s="3"/>
    </row>
    <row r="1788" spans="1:18" x14ac:dyDescent="0.2">
      <c r="A1788" s="11">
        <v>4133</v>
      </c>
      <c r="B1788" s="11">
        <v>7</v>
      </c>
      <c r="C1788" s="11" t="s">
        <v>458</v>
      </c>
      <c r="D1788" s="11">
        <f t="shared" si="54"/>
        <v>1</v>
      </c>
      <c r="E1788">
        <f t="shared" si="55"/>
        <v>4133001</v>
      </c>
      <c r="F1788" s="11">
        <v>151</v>
      </c>
      <c r="G1788" s="11" t="s">
        <v>28</v>
      </c>
      <c r="H1788" s="3">
        <v>25403.21</v>
      </c>
      <c r="K1788" s="11"/>
      <c r="L1788" s="11"/>
      <c r="M1788" s="11"/>
      <c r="N1788" s="11"/>
      <c r="P1788" s="11"/>
      <c r="Q1788" s="11"/>
      <c r="R1788" s="3"/>
    </row>
    <row r="1789" spans="1:18" x14ac:dyDescent="0.2">
      <c r="A1789" s="11">
        <v>4133</v>
      </c>
      <c r="B1789" s="11">
        <v>7</v>
      </c>
      <c r="C1789" s="11" t="s">
        <v>458</v>
      </c>
      <c r="D1789" s="11">
        <f t="shared" si="54"/>
        <v>2</v>
      </c>
      <c r="E1789">
        <f t="shared" si="55"/>
        <v>4133002</v>
      </c>
      <c r="F1789" s="11">
        <v>419</v>
      </c>
      <c r="G1789" s="11" t="s">
        <v>10</v>
      </c>
      <c r="H1789" s="3">
        <v>4965.87</v>
      </c>
      <c r="K1789" s="11"/>
      <c r="L1789" s="11"/>
      <c r="M1789" s="11"/>
      <c r="N1789" s="11"/>
      <c r="P1789" s="11"/>
      <c r="Q1789" s="11"/>
      <c r="R1789" s="3"/>
    </row>
    <row r="1790" spans="1:18" x14ac:dyDescent="0.2">
      <c r="A1790" s="11">
        <v>4133</v>
      </c>
      <c r="B1790" s="11">
        <v>7</v>
      </c>
      <c r="C1790" s="11" t="s">
        <v>458</v>
      </c>
      <c r="D1790" s="11">
        <f t="shared" si="54"/>
        <v>3</v>
      </c>
      <c r="E1790">
        <f t="shared" si="55"/>
        <v>4133003</v>
      </c>
      <c r="F1790" s="11">
        <v>480</v>
      </c>
      <c r="G1790" s="11" t="s">
        <v>19</v>
      </c>
      <c r="H1790" s="3">
        <v>5656.62</v>
      </c>
      <c r="K1790" s="11"/>
      <c r="L1790" s="11"/>
      <c r="M1790" s="11"/>
      <c r="N1790" s="11"/>
      <c r="P1790" s="11"/>
      <c r="Q1790" s="11"/>
      <c r="R1790" s="3"/>
    </row>
    <row r="1791" spans="1:18" x14ac:dyDescent="0.2">
      <c r="A1791" s="11">
        <v>4135</v>
      </c>
      <c r="B1791" s="11">
        <v>7</v>
      </c>
      <c r="C1791" s="11" t="s">
        <v>459</v>
      </c>
      <c r="D1791" s="11">
        <f t="shared" si="54"/>
        <v>1</v>
      </c>
      <c r="E1791">
        <f t="shared" si="55"/>
        <v>4135001</v>
      </c>
      <c r="F1791" s="11">
        <v>480</v>
      </c>
      <c r="G1791" s="11" t="s">
        <v>19</v>
      </c>
      <c r="H1791" s="3">
        <v>45728.05</v>
      </c>
      <c r="K1791" s="11"/>
      <c r="L1791" s="11"/>
      <c r="M1791" s="11"/>
      <c r="N1791" s="11"/>
      <c r="P1791" s="11"/>
      <c r="Q1791" s="11"/>
      <c r="R1791" s="3"/>
    </row>
    <row r="1792" spans="1:18" x14ac:dyDescent="0.2">
      <c r="A1792" s="11">
        <v>4137</v>
      </c>
      <c r="B1792" s="11">
        <v>7</v>
      </c>
      <c r="C1792" s="11" t="s">
        <v>460</v>
      </c>
      <c r="D1792" s="11">
        <f t="shared" si="54"/>
        <v>1</v>
      </c>
      <c r="E1792">
        <f t="shared" si="55"/>
        <v>4137001</v>
      </c>
      <c r="F1792" s="11">
        <v>419</v>
      </c>
      <c r="G1792" s="11" t="s">
        <v>10</v>
      </c>
      <c r="H1792" s="3">
        <v>19023.62</v>
      </c>
      <c r="K1792" s="11"/>
      <c r="L1792" s="11"/>
      <c r="M1792" s="11"/>
      <c r="N1792" s="11"/>
      <c r="P1792" s="11"/>
      <c r="Q1792" s="11"/>
      <c r="R1792" s="3"/>
    </row>
    <row r="1793" spans="1:18" x14ac:dyDescent="0.2">
      <c r="A1793" s="11">
        <v>4137</v>
      </c>
      <c r="B1793" s="11">
        <v>7</v>
      </c>
      <c r="C1793" s="11" t="s">
        <v>460</v>
      </c>
      <c r="D1793" s="11">
        <f t="shared" si="54"/>
        <v>2</v>
      </c>
      <c r="E1793">
        <f t="shared" si="55"/>
        <v>4137002</v>
      </c>
      <c r="F1793" s="11">
        <v>420</v>
      </c>
      <c r="G1793" s="11" t="s">
        <v>11</v>
      </c>
      <c r="H1793" s="3">
        <v>6.45</v>
      </c>
      <c r="K1793" s="11"/>
      <c r="L1793" s="11"/>
      <c r="M1793" s="11"/>
      <c r="N1793" s="11"/>
      <c r="P1793" s="11"/>
      <c r="Q1793" s="11"/>
      <c r="R1793" s="3"/>
    </row>
    <row r="1794" spans="1:18" x14ac:dyDescent="0.2">
      <c r="A1794" s="11">
        <v>4137</v>
      </c>
      <c r="B1794" s="11">
        <v>7</v>
      </c>
      <c r="C1794" s="11" t="s">
        <v>460</v>
      </c>
      <c r="D1794" s="11">
        <f t="shared" si="54"/>
        <v>3</v>
      </c>
      <c r="E1794">
        <f t="shared" si="55"/>
        <v>4137003</v>
      </c>
      <c r="F1794" s="11">
        <v>425</v>
      </c>
      <c r="G1794" s="11" t="s">
        <v>49</v>
      </c>
      <c r="H1794" s="3">
        <v>3357.06</v>
      </c>
      <c r="K1794" s="11"/>
      <c r="L1794" s="11"/>
      <c r="M1794" s="11"/>
      <c r="N1794" s="11"/>
      <c r="P1794" s="11"/>
      <c r="Q1794" s="11"/>
      <c r="R1794" s="3"/>
    </row>
    <row r="1795" spans="1:18" x14ac:dyDescent="0.2">
      <c r="A1795" s="11">
        <v>4137</v>
      </c>
      <c r="B1795" s="11">
        <v>7</v>
      </c>
      <c r="C1795" s="11" t="s">
        <v>460</v>
      </c>
      <c r="D1795" s="11">
        <f t="shared" si="54"/>
        <v>4</v>
      </c>
      <c r="E1795">
        <f t="shared" si="55"/>
        <v>4137004</v>
      </c>
      <c r="F1795" s="11">
        <v>481</v>
      </c>
      <c r="G1795" s="11" t="s">
        <v>379</v>
      </c>
      <c r="H1795" s="3">
        <v>4073.84</v>
      </c>
      <c r="K1795" s="11"/>
      <c r="L1795" s="11"/>
      <c r="M1795" s="11"/>
      <c r="N1795" s="11"/>
      <c r="P1795" s="11"/>
      <c r="Q1795" s="11"/>
      <c r="R1795" s="3"/>
    </row>
    <row r="1796" spans="1:18" x14ac:dyDescent="0.2">
      <c r="A1796" s="11">
        <v>4137</v>
      </c>
      <c r="B1796" s="11">
        <v>7</v>
      </c>
      <c r="C1796" s="11" t="s">
        <v>460</v>
      </c>
      <c r="D1796" s="11">
        <f t="shared" si="54"/>
        <v>5</v>
      </c>
      <c r="E1796">
        <f t="shared" si="55"/>
        <v>4137005</v>
      </c>
      <c r="F1796" s="11">
        <v>484</v>
      </c>
      <c r="G1796" s="11" t="s">
        <v>20</v>
      </c>
      <c r="H1796" s="3">
        <v>1112.06</v>
      </c>
      <c r="K1796" s="11"/>
      <c r="L1796" s="11"/>
      <c r="M1796" s="11"/>
      <c r="N1796" s="11"/>
      <c r="P1796" s="11"/>
      <c r="Q1796" s="11"/>
      <c r="R1796" s="3"/>
    </row>
    <row r="1797" spans="1:18" x14ac:dyDescent="0.2">
      <c r="A1797" s="11">
        <v>4138</v>
      </c>
      <c r="B1797" s="11">
        <v>7</v>
      </c>
      <c r="C1797" s="11" t="s">
        <v>461</v>
      </c>
      <c r="D1797" s="11">
        <f t="shared" si="54"/>
        <v>1</v>
      </c>
      <c r="E1797">
        <f t="shared" si="55"/>
        <v>4138001</v>
      </c>
      <c r="F1797" s="11">
        <v>414</v>
      </c>
      <c r="G1797" s="11" t="s">
        <v>9</v>
      </c>
      <c r="H1797" s="3">
        <v>3276.15</v>
      </c>
      <c r="K1797" s="11"/>
      <c r="L1797" s="11"/>
      <c r="M1797" s="11"/>
      <c r="N1797" s="11"/>
      <c r="P1797" s="11"/>
      <c r="Q1797" s="11"/>
      <c r="R1797" s="3"/>
    </row>
    <row r="1798" spans="1:18" x14ac:dyDescent="0.2">
      <c r="A1798" s="11">
        <v>4138</v>
      </c>
      <c r="B1798" s="11">
        <v>7</v>
      </c>
      <c r="C1798" s="11" t="s">
        <v>461</v>
      </c>
      <c r="D1798" s="11">
        <f t="shared" si="54"/>
        <v>2</v>
      </c>
      <c r="E1798">
        <f t="shared" si="55"/>
        <v>4138002</v>
      </c>
      <c r="F1798" s="11">
        <v>433</v>
      </c>
      <c r="G1798" s="11" t="s">
        <v>30</v>
      </c>
      <c r="H1798" s="3">
        <v>63.17</v>
      </c>
      <c r="K1798" s="11"/>
      <c r="L1798" s="11"/>
      <c r="M1798" s="11"/>
      <c r="N1798" s="11"/>
      <c r="P1798" s="11"/>
      <c r="Q1798" s="11"/>
      <c r="R1798" s="3"/>
    </row>
    <row r="1799" spans="1:18" x14ac:dyDescent="0.2">
      <c r="A1799" s="11">
        <v>4139</v>
      </c>
      <c r="B1799" s="11">
        <v>7</v>
      </c>
      <c r="C1799" s="11" t="s">
        <v>462</v>
      </c>
      <c r="D1799" s="11">
        <f t="shared" si="54"/>
        <v>1</v>
      </c>
      <c r="E1799">
        <f t="shared" si="55"/>
        <v>4139001</v>
      </c>
      <c r="F1799" s="11">
        <v>414</v>
      </c>
      <c r="G1799" s="11" t="s">
        <v>9</v>
      </c>
      <c r="H1799" s="3">
        <v>13180.59</v>
      </c>
      <c r="K1799" s="11"/>
      <c r="L1799" s="11"/>
      <c r="M1799" s="11"/>
      <c r="N1799" s="11"/>
      <c r="P1799" s="11"/>
      <c r="Q1799" s="11"/>
      <c r="R1799" s="3"/>
    </row>
    <row r="1800" spans="1:18" x14ac:dyDescent="0.2">
      <c r="A1800" s="11">
        <v>4139</v>
      </c>
      <c r="B1800" s="11">
        <v>7</v>
      </c>
      <c r="C1800" s="11" t="s">
        <v>462</v>
      </c>
      <c r="D1800" s="11">
        <f t="shared" si="54"/>
        <v>2</v>
      </c>
      <c r="E1800">
        <f t="shared" si="55"/>
        <v>4139002</v>
      </c>
      <c r="F1800" s="11">
        <v>420</v>
      </c>
      <c r="G1800" s="11" t="s">
        <v>11</v>
      </c>
      <c r="H1800" s="3">
        <v>912.85</v>
      </c>
      <c r="K1800" s="11"/>
      <c r="L1800" s="11"/>
      <c r="M1800" s="11"/>
      <c r="N1800" s="11"/>
      <c r="P1800" s="11"/>
      <c r="Q1800" s="11"/>
      <c r="R1800" s="3"/>
    </row>
    <row r="1801" spans="1:18" x14ac:dyDescent="0.2">
      <c r="A1801" s="11">
        <v>4139</v>
      </c>
      <c r="B1801" s="11">
        <v>7</v>
      </c>
      <c r="C1801" s="11" t="s">
        <v>462</v>
      </c>
      <c r="D1801" s="11">
        <f t="shared" si="54"/>
        <v>3</v>
      </c>
      <c r="E1801">
        <f t="shared" si="55"/>
        <v>4139003</v>
      </c>
      <c r="F1801" s="11">
        <v>425</v>
      </c>
      <c r="G1801" s="11" t="s">
        <v>49</v>
      </c>
      <c r="H1801" s="3">
        <v>6766.6</v>
      </c>
      <c r="K1801" s="11"/>
      <c r="L1801" s="11"/>
      <c r="M1801" s="11"/>
      <c r="N1801" s="11"/>
      <c r="P1801" s="11"/>
      <c r="Q1801" s="11"/>
      <c r="R1801" s="3"/>
    </row>
    <row r="1802" spans="1:18" x14ac:dyDescent="0.2">
      <c r="A1802" s="11">
        <v>4139</v>
      </c>
      <c r="B1802" s="11">
        <v>7</v>
      </c>
      <c r="C1802" s="11" t="s">
        <v>462</v>
      </c>
      <c r="D1802" s="11">
        <f t="shared" si="54"/>
        <v>4</v>
      </c>
      <c r="E1802">
        <f t="shared" si="55"/>
        <v>4139004</v>
      </c>
      <c r="F1802" s="11">
        <v>433</v>
      </c>
      <c r="G1802" s="11" t="s">
        <v>30</v>
      </c>
      <c r="H1802" s="3">
        <v>1308.5899999999999</v>
      </c>
      <c r="K1802" s="11"/>
      <c r="L1802" s="11"/>
      <c r="M1802" s="11"/>
      <c r="N1802" s="11"/>
      <c r="P1802" s="11"/>
      <c r="Q1802" s="11"/>
      <c r="R1802" s="3"/>
    </row>
    <row r="1803" spans="1:18" x14ac:dyDescent="0.2">
      <c r="A1803" s="11">
        <v>4139</v>
      </c>
      <c r="B1803" s="11">
        <v>7</v>
      </c>
      <c r="C1803" s="11" t="s">
        <v>462</v>
      </c>
      <c r="D1803" s="11">
        <f t="shared" si="54"/>
        <v>5</v>
      </c>
      <c r="E1803">
        <f t="shared" si="55"/>
        <v>4139005</v>
      </c>
      <c r="F1803" s="11">
        <v>484</v>
      </c>
      <c r="G1803" s="11" t="s">
        <v>20</v>
      </c>
      <c r="H1803" s="3">
        <v>2599.34</v>
      </c>
      <c r="K1803" s="11"/>
      <c r="L1803" s="11"/>
      <c r="M1803" s="11"/>
      <c r="N1803" s="11"/>
      <c r="P1803" s="11"/>
      <c r="Q1803" s="11"/>
      <c r="R1803" s="3"/>
    </row>
    <row r="1804" spans="1:18" x14ac:dyDescent="0.2">
      <c r="A1804" s="11">
        <v>4140</v>
      </c>
      <c r="B1804" s="11">
        <v>7</v>
      </c>
      <c r="C1804" s="11" t="s">
        <v>463</v>
      </c>
      <c r="D1804" s="11">
        <f t="shared" si="54"/>
        <v>1</v>
      </c>
      <c r="E1804">
        <f t="shared" si="55"/>
        <v>4140001</v>
      </c>
      <c r="F1804" s="11">
        <v>481</v>
      </c>
      <c r="G1804" s="11" t="s">
        <v>379</v>
      </c>
      <c r="H1804" s="3">
        <v>6346.87</v>
      </c>
      <c r="K1804" s="11"/>
      <c r="L1804" s="11"/>
      <c r="M1804" s="11"/>
      <c r="N1804" s="11"/>
      <c r="P1804" s="11"/>
      <c r="Q1804" s="11"/>
      <c r="R1804" s="3"/>
    </row>
    <row r="1805" spans="1:18" x14ac:dyDescent="0.2">
      <c r="A1805" s="11">
        <v>4140</v>
      </c>
      <c r="B1805" s="11">
        <v>7</v>
      </c>
      <c r="C1805" s="11" t="s">
        <v>463</v>
      </c>
      <c r="D1805" s="11">
        <f t="shared" si="54"/>
        <v>2</v>
      </c>
      <c r="E1805">
        <f t="shared" si="55"/>
        <v>4140002</v>
      </c>
      <c r="F1805" s="11">
        <v>484</v>
      </c>
      <c r="G1805" s="11" t="s">
        <v>20</v>
      </c>
      <c r="H1805" s="3">
        <v>1732.4</v>
      </c>
      <c r="K1805" s="11"/>
      <c r="L1805" s="11"/>
      <c r="M1805" s="11"/>
      <c r="N1805" s="11"/>
      <c r="P1805" s="11"/>
      <c r="Q1805" s="11"/>
      <c r="R1805" s="3"/>
    </row>
    <row r="1806" spans="1:18" x14ac:dyDescent="0.2">
      <c r="A1806" s="11">
        <v>4142</v>
      </c>
      <c r="B1806" s="11">
        <v>7</v>
      </c>
      <c r="C1806" s="11" t="s">
        <v>465</v>
      </c>
      <c r="D1806" s="11">
        <f t="shared" si="54"/>
        <v>1</v>
      </c>
      <c r="E1806">
        <f t="shared" si="55"/>
        <v>4142001</v>
      </c>
      <c r="F1806" s="11">
        <v>420</v>
      </c>
      <c r="G1806" s="11" t="s">
        <v>11</v>
      </c>
      <c r="H1806" s="3">
        <v>13</v>
      </c>
      <c r="K1806" s="11"/>
      <c r="L1806" s="11"/>
      <c r="M1806" s="11"/>
      <c r="N1806" s="11"/>
      <c r="P1806" s="11"/>
      <c r="Q1806" s="11"/>
      <c r="R1806" s="3"/>
    </row>
    <row r="1807" spans="1:18" x14ac:dyDescent="0.2">
      <c r="A1807" s="11">
        <v>4142</v>
      </c>
      <c r="B1807" s="11">
        <v>7</v>
      </c>
      <c r="C1807" s="11" t="s">
        <v>465</v>
      </c>
      <c r="D1807" s="11">
        <f t="shared" ref="D1807:D1870" si="56">IF(A1807=A1806,D1806+1,1)</f>
        <v>2</v>
      </c>
      <c r="E1807">
        <f t="shared" ref="E1807:E1870" si="57">1000*A1807+D1807</f>
        <v>4142002</v>
      </c>
      <c r="F1807" s="11">
        <v>484</v>
      </c>
      <c r="G1807" s="11" t="s">
        <v>20</v>
      </c>
      <c r="H1807" s="3">
        <v>2242.3000000000002</v>
      </c>
      <c r="K1807" s="11"/>
      <c r="L1807" s="11"/>
      <c r="M1807" s="11"/>
      <c r="N1807" s="11"/>
      <c r="P1807" s="11"/>
      <c r="Q1807" s="11"/>
      <c r="R1807" s="3"/>
    </row>
    <row r="1808" spans="1:18" x14ac:dyDescent="0.2">
      <c r="A1808" s="11">
        <v>4143</v>
      </c>
      <c r="B1808" s="11">
        <v>7</v>
      </c>
      <c r="C1808" s="11" t="s">
        <v>466</v>
      </c>
      <c r="D1808" s="11">
        <f t="shared" si="56"/>
        <v>1</v>
      </c>
      <c r="E1808">
        <f t="shared" si="57"/>
        <v>4143001</v>
      </c>
      <c r="F1808" s="11">
        <v>401</v>
      </c>
      <c r="G1808" s="11" t="s">
        <v>29</v>
      </c>
      <c r="H1808" s="3">
        <v>119663.1</v>
      </c>
      <c r="K1808" s="11"/>
      <c r="L1808" s="11"/>
      <c r="M1808" s="11"/>
      <c r="N1808" s="11"/>
      <c r="P1808" s="11"/>
      <c r="Q1808" s="11"/>
      <c r="R1808" s="3"/>
    </row>
    <row r="1809" spans="1:18" x14ac:dyDescent="0.2">
      <c r="A1809" s="11">
        <v>4143</v>
      </c>
      <c r="B1809" s="11">
        <v>7</v>
      </c>
      <c r="C1809" s="11" t="s">
        <v>466</v>
      </c>
      <c r="D1809" s="11">
        <f t="shared" si="56"/>
        <v>2</v>
      </c>
      <c r="E1809">
        <f t="shared" si="57"/>
        <v>4143002</v>
      </c>
      <c r="F1809" s="11">
        <v>414</v>
      </c>
      <c r="G1809" s="11" t="s">
        <v>9</v>
      </c>
      <c r="H1809" s="3">
        <v>24861.9</v>
      </c>
      <c r="K1809" s="11"/>
      <c r="L1809" s="11"/>
      <c r="M1809" s="11"/>
      <c r="N1809" s="11"/>
      <c r="P1809" s="11"/>
      <c r="Q1809" s="11"/>
      <c r="R1809" s="3"/>
    </row>
    <row r="1810" spans="1:18" x14ac:dyDescent="0.2">
      <c r="A1810" s="11">
        <v>4143</v>
      </c>
      <c r="B1810" s="11">
        <v>7</v>
      </c>
      <c r="C1810" s="11" t="s">
        <v>466</v>
      </c>
      <c r="D1810" s="11">
        <f t="shared" si="56"/>
        <v>3</v>
      </c>
      <c r="E1810">
        <f t="shared" si="57"/>
        <v>4143003</v>
      </c>
      <c r="F1810" s="11">
        <v>417</v>
      </c>
      <c r="G1810" s="11" t="s">
        <v>34</v>
      </c>
      <c r="H1810" s="3">
        <v>30137.49</v>
      </c>
      <c r="K1810" s="11"/>
      <c r="L1810" s="11"/>
      <c r="M1810" s="11"/>
      <c r="N1810" s="11"/>
      <c r="P1810" s="11"/>
      <c r="Q1810" s="11"/>
      <c r="R1810" s="3"/>
    </row>
    <row r="1811" spans="1:18" x14ac:dyDescent="0.2">
      <c r="A1811" s="11">
        <v>4143</v>
      </c>
      <c r="B1811" s="11">
        <v>7</v>
      </c>
      <c r="C1811" s="11" t="s">
        <v>466</v>
      </c>
      <c r="D1811" s="11">
        <f t="shared" si="56"/>
        <v>4</v>
      </c>
      <c r="E1811">
        <f t="shared" si="57"/>
        <v>4143004</v>
      </c>
      <c r="F1811" s="11">
        <v>420</v>
      </c>
      <c r="G1811" s="11" t="s">
        <v>11</v>
      </c>
      <c r="H1811" s="3">
        <v>20.079999999999998</v>
      </c>
      <c r="K1811" s="11"/>
      <c r="L1811" s="11"/>
      <c r="M1811" s="11"/>
      <c r="N1811" s="11"/>
      <c r="P1811" s="11"/>
      <c r="Q1811" s="11"/>
      <c r="R1811" s="3"/>
    </row>
    <row r="1812" spans="1:18" x14ac:dyDescent="0.2">
      <c r="A1812" s="11">
        <v>4143</v>
      </c>
      <c r="B1812" s="11">
        <v>7</v>
      </c>
      <c r="C1812" s="11" t="s">
        <v>466</v>
      </c>
      <c r="D1812" s="11">
        <f t="shared" si="56"/>
        <v>5</v>
      </c>
      <c r="E1812">
        <f t="shared" si="57"/>
        <v>4143005</v>
      </c>
      <c r="F1812" s="11">
        <v>425</v>
      </c>
      <c r="G1812" s="11" t="s">
        <v>49</v>
      </c>
      <c r="H1812" s="3">
        <v>9048.08</v>
      </c>
      <c r="K1812" s="11"/>
      <c r="L1812" s="11"/>
      <c r="M1812" s="11"/>
      <c r="N1812" s="11"/>
      <c r="P1812" s="11"/>
      <c r="Q1812" s="11"/>
      <c r="R1812" s="3"/>
    </row>
    <row r="1813" spans="1:18" x14ac:dyDescent="0.2">
      <c r="A1813" s="11">
        <v>4143</v>
      </c>
      <c r="B1813" s="11">
        <v>7</v>
      </c>
      <c r="C1813" s="11" t="s">
        <v>466</v>
      </c>
      <c r="D1813" s="11">
        <f t="shared" si="56"/>
        <v>6</v>
      </c>
      <c r="E1813">
        <f t="shared" si="57"/>
        <v>4143006</v>
      </c>
      <c r="F1813" s="11">
        <v>433</v>
      </c>
      <c r="G1813" s="11" t="s">
        <v>30</v>
      </c>
      <c r="H1813" s="3">
        <v>2039.63</v>
      </c>
      <c r="K1813" s="11"/>
      <c r="L1813" s="11"/>
      <c r="M1813" s="11"/>
      <c r="N1813" s="11"/>
      <c r="P1813" s="11"/>
      <c r="Q1813" s="11"/>
      <c r="R1813" s="3"/>
    </row>
    <row r="1814" spans="1:18" x14ac:dyDescent="0.2">
      <c r="A1814" s="11">
        <v>4143</v>
      </c>
      <c r="B1814" s="11">
        <v>7</v>
      </c>
      <c r="C1814" s="11" t="s">
        <v>466</v>
      </c>
      <c r="D1814" s="11">
        <f t="shared" si="56"/>
        <v>7</v>
      </c>
      <c r="E1814">
        <f t="shared" si="57"/>
        <v>4143007</v>
      </c>
      <c r="F1814" s="11">
        <v>470</v>
      </c>
      <c r="G1814" s="11" t="s">
        <v>6</v>
      </c>
      <c r="H1814" s="3">
        <v>78403.91</v>
      </c>
      <c r="K1814" s="11"/>
      <c r="L1814" s="11"/>
      <c r="M1814" s="11"/>
      <c r="N1814" s="11"/>
      <c r="P1814" s="11"/>
      <c r="Q1814" s="11"/>
      <c r="R1814" s="3"/>
    </row>
    <row r="1815" spans="1:18" x14ac:dyDescent="0.2">
      <c r="A1815" s="11">
        <v>4143</v>
      </c>
      <c r="B1815" s="11">
        <v>7</v>
      </c>
      <c r="C1815" s="11" t="s">
        <v>466</v>
      </c>
      <c r="D1815" s="11">
        <f t="shared" si="56"/>
        <v>8</v>
      </c>
      <c r="E1815">
        <f t="shared" si="57"/>
        <v>4143008</v>
      </c>
      <c r="F1815" s="11">
        <v>481</v>
      </c>
      <c r="G1815" s="11" t="s">
        <v>379</v>
      </c>
      <c r="H1815" s="3">
        <v>12675.25</v>
      </c>
      <c r="K1815" s="11"/>
      <c r="L1815" s="11"/>
      <c r="M1815" s="11"/>
      <c r="N1815" s="11"/>
      <c r="P1815" s="11"/>
      <c r="Q1815" s="11"/>
      <c r="R1815" s="3"/>
    </row>
    <row r="1816" spans="1:18" x14ac:dyDescent="0.2">
      <c r="A1816" s="11">
        <v>4143</v>
      </c>
      <c r="B1816" s="11">
        <v>7</v>
      </c>
      <c r="C1816" s="11" t="s">
        <v>466</v>
      </c>
      <c r="D1816" s="11">
        <f t="shared" si="56"/>
        <v>9</v>
      </c>
      <c r="E1816">
        <f t="shared" si="57"/>
        <v>4143009</v>
      </c>
      <c r="F1816" s="11">
        <v>484</v>
      </c>
      <c r="G1816" s="11" t="s">
        <v>20</v>
      </c>
      <c r="H1816" s="3">
        <v>3463.85</v>
      </c>
      <c r="K1816" s="11"/>
      <c r="L1816" s="11"/>
      <c r="M1816" s="11"/>
      <c r="N1816" s="11"/>
      <c r="P1816" s="11"/>
      <c r="Q1816" s="11"/>
      <c r="R1816" s="3"/>
    </row>
    <row r="1817" spans="1:18" x14ac:dyDescent="0.2">
      <c r="A1817" s="11">
        <v>4143</v>
      </c>
      <c r="B1817" s="11">
        <v>7</v>
      </c>
      <c r="C1817" s="11" t="s">
        <v>466</v>
      </c>
      <c r="D1817" s="11">
        <f t="shared" si="56"/>
        <v>10</v>
      </c>
      <c r="E1817">
        <f t="shared" si="57"/>
        <v>4143010</v>
      </c>
      <c r="F1817" s="11">
        <v>853</v>
      </c>
      <c r="G1817" s="11" t="s">
        <v>38</v>
      </c>
      <c r="H1817" s="3">
        <v>110739</v>
      </c>
      <c r="K1817" s="11"/>
      <c r="L1817" s="11"/>
      <c r="M1817" s="11"/>
      <c r="N1817" s="11"/>
      <c r="P1817" s="11"/>
      <c r="Q1817" s="11"/>
      <c r="R1817" s="3"/>
    </row>
    <row r="1818" spans="1:18" x14ac:dyDescent="0.2">
      <c r="A1818" s="11">
        <v>4144</v>
      </c>
      <c r="B1818" s="11">
        <v>7</v>
      </c>
      <c r="C1818" s="11" t="s">
        <v>467</v>
      </c>
      <c r="D1818" s="11">
        <f t="shared" si="56"/>
        <v>1</v>
      </c>
      <c r="E1818">
        <f t="shared" si="57"/>
        <v>4144001</v>
      </c>
      <c r="F1818" s="11">
        <v>401</v>
      </c>
      <c r="G1818" s="11" t="s">
        <v>29</v>
      </c>
      <c r="H1818" s="3">
        <v>13442.38</v>
      </c>
      <c r="K1818" s="11"/>
      <c r="L1818" s="11"/>
      <c r="M1818" s="11"/>
      <c r="N1818" s="11"/>
      <c r="P1818" s="11"/>
      <c r="Q1818" s="11"/>
      <c r="R1818" s="3"/>
    </row>
    <row r="1819" spans="1:18" x14ac:dyDescent="0.2">
      <c r="A1819" s="11">
        <v>4144</v>
      </c>
      <c r="B1819" s="11">
        <v>7</v>
      </c>
      <c r="C1819" s="11" t="s">
        <v>467</v>
      </c>
      <c r="D1819" s="11">
        <f t="shared" si="56"/>
        <v>2</v>
      </c>
      <c r="E1819">
        <f t="shared" si="57"/>
        <v>4144002</v>
      </c>
      <c r="F1819" s="11">
        <v>414</v>
      </c>
      <c r="G1819" s="11" t="s">
        <v>9</v>
      </c>
      <c r="H1819" s="3">
        <v>2277</v>
      </c>
      <c r="K1819" s="11"/>
      <c r="L1819" s="11"/>
      <c r="M1819" s="11"/>
      <c r="N1819" s="11"/>
      <c r="P1819" s="11"/>
      <c r="Q1819" s="11"/>
      <c r="R1819" s="3"/>
    </row>
    <row r="1820" spans="1:18" x14ac:dyDescent="0.2">
      <c r="A1820" s="11">
        <v>4144</v>
      </c>
      <c r="B1820" s="11">
        <v>7</v>
      </c>
      <c r="C1820" s="11" t="s">
        <v>467</v>
      </c>
      <c r="D1820" s="11">
        <f t="shared" si="56"/>
        <v>3</v>
      </c>
      <c r="E1820">
        <f t="shared" si="57"/>
        <v>4144003</v>
      </c>
      <c r="F1820" s="11">
        <v>470</v>
      </c>
      <c r="G1820" s="11" t="s">
        <v>6</v>
      </c>
      <c r="H1820" s="3">
        <v>9374.3799999999992</v>
      </c>
      <c r="K1820" s="11"/>
      <c r="L1820" s="11"/>
      <c r="M1820" s="11"/>
      <c r="N1820" s="11"/>
      <c r="P1820" s="11"/>
      <c r="Q1820" s="11"/>
      <c r="R1820" s="3"/>
    </row>
    <row r="1821" spans="1:18" x14ac:dyDescent="0.2">
      <c r="A1821" s="11">
        <v>4145</v>
      </c>
      <c r="B1821" s="11">
        <v>7</v>
      </c>
      <c r="C1821" s="11" t="s">
        <v>468</v>
      </c>
      <c r="D1821" s="11">
        <f t="shared" si="56"/>
        <v>1</v>
      </c>
      <c r="E1821">
        <f t="shared" si="57"/>
        <v>4145001</v>
      </c>
      <c r="F1821" s="11">
        <v>414</v>
      </c>
      <c r="G1821" s="11" t="s">
        <v>9</v>
      </c>
      <c r="H1821" s="3">
        <v>2261.5700000000002</v>
      </c>
      <c r="K1821" s="11"/>
      <c r="L1821" s="11"/>
      <c r="M1821" s="11"/>
      <c r="N1821" s="11"/>
      <c r="P1821" s="11"/>
      <c r="Q1821" s="11"/>
      <c r="R1821" s="3"/>
    </row>
    <row r="1822" spans="1:18" x14ac:dyDescent="0.2">
      <c r="A1822" s="11">
        <v>4145</v>
      </c>
      <c r="B1822" s="11">
        <v>7</v>
      </c>
      <c r="C1822" s="11" t="s">
        <v>468</v>
      </c>
      <c r="D1822" s="11">
        <f t="shared" si="56"/>
        <v>2</v>
      </c>
      <c r="E1822">
        <f t="shared" si="57"/>
        <v>4145002</v>
      </c>
      <c r="F1822" s="11">
        <v>419</v>
      </c>
      <c r="G1822" s="11" t="s">
        <v>10</v>
      </c>
      <c r="H1822" s="3">
        <v>9961.36</v>
      </c>
      <c r="K1822" s="11"/>
      <c r="L1822" s="11"/>
      <c r="M1822" s="11"/>
      <c r="N1822" s="11"/>
      <c r="P1822" s="11"/>
      <c r="Q1822" s="11"/>
      <c r="R1822" s="3"/>
    </row>
    <row r="1823" spans="1:18" x14ac:dyDescent="0.2">
      <c r="A1823" s="11">
        <v>4145</v>
      </c>
      <c r="B1823" s="11">
        <v>7</v>
      </c>
      <c r="C1823" s="11" t="s">
        <v>468</v>
      </c>
      <c r="D1823" s="11">
        <f t="shared" si="56"/>
        <v>3</v>
      </c>
      <c r="E1823">
        <f t="shared" si="57"/>
        <v>4145003</v>
      </c>
      <c r="F1823" s="11">
        <v>480</v>
      </c>
      <c r="G1823" s="11" t="s">
        <v>19</v>
      </c>
      <c r="H1823" s="3">
        <v>9119.1200000000008</v>
      </c>
      <c r="K1823" s="11"/>
      <c r="L1823" s="11"/>
      <c r="M1823" s="11"/>
      <c r="N1823" s="11"/>
      <c r="P1823" s="11"/>
      <c r="Q1823" s="11"/>
      <c r="R1823" s="3"/>
    </row>
    <row r="1824" spans="1:18" x14ac:dyDescent="0.2">
      <c r="A1824" s="11">
        <v>4145</v>
      </c>
      <c r="B1824" s="11">
        <v>7</v>
      </c>
      <c r="C1824" s="11" t="s">
        <v>468</v>
      </c>
      <c r="D1824" s="11">
        <f t="shared" si="56"/>
        <v>4</v>
      </c>
      <c r="E1824">
        <f t="shared" si="57"/>
        <v>4145004</v>
      </c>
      <c r="F1824" s="11">
        <v>484</v>
      </c>
      <c r="G1824" s="11" t="s">
        <v>20</v>
      </c>
      <c r="H1824" s="3">
        <v>373.63</v>
      </c>
      <c r="K1824" s="11"/>
      <c r="L1824" s="11"/>
      <c r="M1824" s="11"/>
      <c r="N1824" s="11"/>
      <c r="P1824" s="11"/>
      <c r="Q1824" s="11"/>
      <c r="R1824" s="3"/>
    </row>
    <row r="1825" spans="1:18" x14ac:dyDescent="0.2">
      <c r="A1825" s="11">
        <v>4146</v>
      </c>
      <c r="B1825" s="11">
        <v>7</v>
      </c>
      <c r="C1825" s="11" t="s">
        <v>469</v>
      </c>
      <c r="D1825" s="11">
        <f t="shared" si="56"/>
        <v>1</v>
      </c>
      <c r="E1825">
        <f t="shared" si="57"/>
        <v>4146001</v>
      </c>
      <c r="F1825" s="11">
        <v>414</v>
      </c>
      <c r="G1825" s="11" t="s">
        <v>9</v>
      </c>
      <c r="H1825" s="3">
        <v>5139.7299999999996</v>
      </c>
      <c r="K1825" s="11"/>
      <c r="L1825" s="11"/>
      <c r="M1825" s="11"/>
      <c r="N1825" s="11"/>
      <c r="P1825" s="11"/>
      <c r="Q1825" s="11"/>
      <c r="R1825" s="3"/>
    </row>
    <row r="1826" spans="1:18" x14ac:dyDescent="0.2">
      <c r="A1826" s="11">
        <v>4146</v>
      </c>
      <c r="B1826" s="11">
        <v>7</v>
      </c>
      <c r="C1826" s="11" t="s">
        <v>469</v>
      </c>
      <c r="D1826" s="11">
        <f t="shared" si="56"/>
        <v>2</v>
      </c>
      <c r="E1826">
        <f t="shared" si="57"/>
        <v>4146002</v>
      </c>
      <c r="F1826" s="11">
        <v>433</v>
      </c>
      <c r="G1826" s="11" t="s">
        <v>30</v>
      </c>
      <c r="H1826" s="3">
        <v>555.96</v>
      </c>
      <c r="K1826" s="11"/>
      <c r="L1826" s="11"/>
      <c r="M1826" s="11"/>
      <c r="N1826" s="11"/>
      <c r="P1826" s="11"/>
      <c r="Q1826" s="11"/>
      <c r="R1826" s="3"/>
    </row>
    <row r="1827" spans="1:18" x14ac:dyDescent="0.2">
      <c r="A1827" s="11">
        <v>4151</v>
      </c>
      <c r="B1827" s="11">
        <v>7</v>
      </c>
      <c r="C1827" s="11" t="s">
        <v>470</v>
      </c>
      <c r="D1827" s="11">
        <f t="shared" si="56"/>
        <v>1</v>
      </c>
      <c r="E1827">
        <f t="shared" si="57"/>
        <v>4151001</v>
      </c>
      <c r="F1827" s="11">
        <v>151</v>
      </c>
      <c r="G1827" s="11" t="s">
        <v>28</v>
      </c>
      <c r="H1827" s="3">
        <v>32537.5</v>
      </c>
      <c r="K1827" s="11"/>
      <c r="L1827" s="11"/>
      <c r="M1827" s="11"/>
      <c r="N1827" s="11"/>
      <c r="P1827" s="11"/>
      <c r="Q1827" s="11"/>
      <c r="R1827" s="3"/>
    </row>
    <row r="1828" spans="1:18" x14ac:dyDescent="0.2">
      <c r="A1828" s="11">
        <v>4151</v>
      </c>
      <c r="B1828" s="11">
        <v>7</v>
      </c>
      <c r="C1828" s="11" t="s">
        <v>470</v>
      </c>
      <c r="D1828" s="11">
        <f t="shared" si="56"/>
        <v>2</v>
      </c>
      <c r="E1828">
        <f t="shared" si="57"/>
        <v>4151002</v>
      </c>
      <c r="F1828" s="11">
        <v>419</v>
      </c>
      <c r="G1828" s="11" t="s">
        <v>10</v>
      </c>
      <c r="H1828" s="3">
        <v>12906.63</v>
      </c>
      <c r="K1828" s="11"/>
      <c r="L1828" s="11"/>
      <c r="M1828" s="11"/>
      <c r="N1828" s="11"/>
      <c r="P1828" s="11"/>
      <c r="Q1828" s="11"/>
      <c r="R1828" s="3"/>
    </row>
    <row r="1829" spans="1:18" x14ac:dyDescent="0.2">
      <c r="A1829" s="11">
        <v>4151</v>
      </c>
      <c r="B1829" s="11">
        <v>7</v>
      </c>
      <c r="C1829" s="11" t="s">
        <v>470</v>
      </c>
      <c r="D1829" s="11">
        <f t="shared" si="56"/>
        <v>3</v>
      </c>
      <c r="E1829">
        <f t="shared" si="57"/>
        <v>4151003</v>
      </c>
      <c r="F1829" s="11">
        <v>425</v>
      </c>
      <c r="G1829" s="11" t="s">
        <v>49</v>
      </c>
      <c r="H1829" s="3">
        <v>2277.64</v>
      </c>
      <c r="K1829" s="11"/>
      <c r="L1829" s="11"/>
      <c r="M1829" s="11"/>
      <c r="N1829" s="11"/>
      <c r="P1829" s="11"/>
      <c r="Q1829" s="11"/>
      <c r="R1829" s="3"/>
    </row>
    <row r="1830" spans="1:18" x14ac:dyDescent="0.2">
      <c r="A1830" s="11">
        <v>4151</v>
      </c>
      <c r="B1830" s="11">
        <v>7</v>
      </c>
      <c r="C1830" s="11" t="s">
        <v>470</v>
      </c>
      <c r="D1830" s="11">
        <f t="shared" si="56"/>
        <v>4</v>
      </c>
      <c r="E1830">
        <f t="shared" si="57"/>
        <v>4151004</v>
      </c>
      <c r="F1830" s="11">
        <v>480</v>
      </c>
      <c r="G1830" s="11" t="s">
        <v>19</v>
      </c>
      <c r="H1830" s="3">
        <v>13565.48</v>
      </c>
      <c r="K1830" s="11"/>
      <c r="L1830" s="11"/>
      <c r="M1830" s="11"/>
      <c r="N1830" s="11"/>
      <c r="P1830" s="11"/>
      <c r="Q1830" s="11"/>
      <c r="R1830" s="3"/>
    </row>
    <row r="1831" spans="1:18" x14ac:dyDescent="0.2">
      <c r="A1831" s="11">
        <v>4151</v>
      </c>
      <c r="B1831" s="11">
        <v>7</v>
      </c>
      <c r="C1831" s="11" t="s">
        <v>470</v>
      </c>
      <c r="D1831" s="11">
        <f t="shared" si="56"/>
        <v>5</v>
      </c>
      <c r="E1831">
        <f t="shared" si="57"/>
        <v>4151005</v>
      </c>
      <c r="F1831" s="11">
        <v>481</v>
      </c>
      <c r="G1831" s="11" t="s">
        <v>379</v>
      </c>
      <c r="H1831" s="3">
        <v>2393.91</v>
      </c>
      <c r="K1831" s="11"/>
      <c r="L1831" s="11"/>
      <c r="M1831" s="11"/>
      <c r="N1831" s="11"/>
      <c r="P1831" s="11"/>
      <c r="Q1831" s="11"/>
      <c r="R1831" s="3"/>
    </row>
    <row r="1832" spans="1:18" x14ac:dyDescent="0.2">
      <c r="A1832" s="11">
        <v>4152</v>
      </c>
      <c r="B1832" s="11">
        <v>7</v>
      </c>
      <c r="C1832" s="11" t="s">
        <v>471</v>
      </c>
      <c r="D1832" s="11">
        <f t="shared" si="56"/>
        <v>1</v>
      </c>
      <c r="E1832">
        <f t="shared" si="57"/>
        <v>4152001</v>
      </c>
      <c r="F1832" s="11">
        <v>151</v>
      </c>
      <c r="G1832" s="11" t="s">
        <v>28</v>
      </c>
      <c r="H1832" s="3">
        <v>38721</v>
      </c>
      <c r="K1832" s="11"/>
      <c r="L1832" s="11"/>
      <c r="M1832" s="11"/>
      <c r="N1832" s="11"/>
      <c r="P1832" s="11"/>
      <c r="Q1832" s="11"/>
      <c r="R1832" s="3"/>
    </row>
    <row r="1833" spans="1:18" x14ac:dyDescent="0.2">
      <c r="A1833" s="11">
        <v>4152</v>
      </c>
      <c r="B1833" s="11">
        <v>7</v>
      </c>
      <c r="C1833" s="11" t="s">
        <v>471</v>
      </c>
      <c r="D1833" s="11">
        <f t="shared" si="56"/>
        <v>2</v>
      </c>
      <c r="E1833">
        <f t="shared" si="57"/>
        <v>4152002</v>
      </c>
      <c r="F1833" s="11">
        <v>425</v>
      </c>
      <c r="G1833" s="11" t="s">
        <v>49</v>
      </c>
      <c r="H1833" s="3">
        <v>3608.92</v>
      </c>
      <c r="K1833" s="11"/>
      <c r="L1833" s="11"/>
      <c r="M1833" s="11"/>
      <c r="N1833" s="11"/>
      <c r="P1833" s="11"/>
      <c r="Q1833" s="11"/>
      <c r="R1833" s="3"/>
    </row>
    <row r="1834" spans="1:18" x14ac:dyDescent="0.2">
      <c r="A1834" s="11">
        <v>4152</v>
      </c>
      <c r="B1834" s="11">
        <v>7</v>
      </c>
      <c r="C1834" s="11" t="s">
        <v>471</v>
      </c>
      <c r="D1834" s="11">
        <f t="shared" si="56"/>
        <v>3</v>
      </c>
      <c r="E1834">
        <f t="shared" si="57"/>
        <v>4152003</v>
      </c>
      <c r="F1834" s="11">
        <v>480</v>
      </c>
      <c r="G1834" s="11" t="s">
        <v>19</v>
      </c>
      <c r="H1834" s="3">
        <v>24141.23</v>
      </c>
      <c r="K1834" s="11"/>
      <c r="L1834" s="11"/>
      <c r="M1834" s="11"/>
      <c r="N1834" s="11"/>
      <c r="P1834" s="11"/>
      <c r="Q1834" s="11"/>
      <c r="R1834" s="3"/>
    </row>
    <row r="1835" spans="1:18" x14ac:dyDescent="0.2">
      <c r="A1835" s="11">
        <v>4152</v>
      </c>
      <c r="B1835" s="11">
        <v>7</v>
      </c>
      <c r="C1835" s="11" t="s">
        <v>471</v>
      </c>
      <c r="D1835" s="11">
        <f t="shared" si="56"/>
        <v>4</v>
      </c>
      <c r="E1835">
        <f t="shared" si="57"/>
        <v>4152004</v>
      </c>
      <c r="F1835" s="11">
        <v>481</v>
      </c>
      <c r="G1835" s="11" t="s">
        <v>379</v>
      </c>
      <c r="H1835" s="3">
        <v>4260.22</v>
      </c>
      <c r="K1835" s="11"/>
      <c r="L1835" s="11"/>
      <c r="M1835" s="11"/>
      <c r="N1835" s="11"/>
      <c r="P1835" s="11"/>
      <c r="Q1835" s="11"/>
      <c r="R1835" s="3"/>
    </row>
    <row r="1836" spans="1:18" x14ac:dyDescent="0.2">
      <c r="A1836" s="11">
        <v>4152</v>
      </c>
      <c r="B1836" s="11">
        <v>7</v>
      </c>
      <c r="C1836" s="11" t="s">
        <v>471</v>
      </c>
      <c r="D1836" s="11">
        <f t="shared" si="56"/>
        <v>5</v>
      </c>
      <c r="E1836">
        <f t="shared" si="57"/>
        <v>4152005</v>
      </c>
      <c r="F1836" s="11">
        <v>484</v>
      </c>
      <c r="G1836" s="11" t="s">
        <v>20</v>
      </c>
      <c r="H1836" s="3">
        <v>1162.71</v>
      </c>
      <c r="K1836" s="11"/>
      <c r="L1836" s="11"/>
      <c r="M1836" s="11"/>
      <c r="N1836" s="11"/>
      <c r="P1836" s="11"/>
      <c r="Q1836" s="11"/>
      <c r="R1836" s="3"/>
    </row>
    <row r="1837" spans="1:18" x14ac:dyDescent="0.2">
      <c r="A1837" s="11">
        <v>4153</v>
      </c>
      <c r="B1837" s="11">
        <v>7</v>
      </c>
      <c r="C1837" s="11" t="s">
        <v>472</v>
      </c>
      <c r="D1837" s="11">
        <f t="shared" si="56"/>
        <v>1</v>
      </c>
      <c r="E1837">
        <f t="shared" si="57"/>
        <v>4153001</v>
      </c>
      <c r="F1837" s="11">
        <v>414</v>
      </c>
      <c r="G1837" s="11" t="s">
        <v>9</v>
      </c>
      <c r="H1837" s="3">
        <v>19745.169999999998</v>
      </c>
      <c r="K1837" s="11"/>
      <c r="L1837" s="11"/>
      <c r="M1837" s="11"/>
      <c r="N1837" s="11"/>
      <c r="P1837" s="11"/>
      <c r="Q1837" s="11"/>
      <c r="R1837" s="3"/>
    </row>
    <row r="1838" spans="1:18" x14ac:dyDescent="0.2">
      <c r="A1838" s="11">
        <v>4153</v>
      </c>
      <c r="B1838" s="11">
        <v>7</v>
      </c>
      <c r="C1838" s="11" t="s">
        <v>472</v>
      </c>
      <c r="D1838" s="11">
        <f t="shared" si="56"/>
        <v>2</v>
      </c>
      <c r="E1838">
        <f t="shared" si="57"/>
        <v>4153002</v>
      </c>
      <c r="F1838" s="11">
        <v>420</v>
      </c>
      <c r="G1838" s="11" t="s">
        <v>11</v>
      </c>
      <c r="H1838" s="3">
        <v>13.78</v>
      </c>
      <c r="K1838" s="11"/>
      <c r="L1838" s="11"/>
      <c r="M1838" s="11"/>
      <c r="N1838" s="11"/>
      <c r="P1838" s="11"/>
      <c r="Q1838" s="11"/>
      <c r="R1838" s="3"/>
    </row>
    <row r="1839" spans="1:18" x14ac:dyDescent="0.2">
      <c r="A1839" s="11">
        <v>4153</v>
      </c>
      <c r="B1839" s="11">
        <v>7</v>
      </c>
      <c r="C1839" s="11" t="s">
        <v>472</v>
      </c>
      <c r="D1839" s="11">
        <f t="shared" si="56"/>
        <v>3</v>
      </c>
      <c r="E1839">
        <f t="shared" si="57"/>
        <v>4153003</v>
      </c>
      <c r="F1839" s="11">
        <v>425</v>
      </c>
      <c r="G1839" s="11" t="s">
        <v>49</v>
      </c>
      <c r="H1839" s="3">
        <v>5514.96</v>
      </c>
      <c r="K1839" s="11"/>
      <c r="L1839" s="11"/>
      <c r="M1839" s="11"/>
      <c r="N1839" s="11"/>
      <c r="P1839" s="11"/>
      <c r="Q1839" s="11"/>
      <c r="R1839" s="3"/>
    </row>
    <row r="1840" spans="1:18" x14ac:dyDescent="0.2">
      <c r="A1840" s="11">
        <v>4153</v>
      </c>
      <c r="B1840" s="11">
        <v>7</v>
      </c>
      <c r="C1840" s="11" t="s">
        <v>472</v>
      </c>
      <c r="D1840" s="11">
        <f t="shared" si="56"/>
        <v>4</v>
      </c>
      <c r="E1840">
        <f t="shared" si="57"/>
        <v>4153004</v>
      </c>
      <c r="F1840" s="11">
        <v>480</v>
      </c>
      <c r="G1840" s="11" t="s">
        <v>19</v>
      </c>
      <c r="H1840" s="3">
        <v>49321.45</v>
      </c>
      <c r="K1840" s="11"/>
      <c r="L1840" s="11"/>
      <c r="M1840" s="11"/>
      <c r="N1840" s="11"/>
      <c r="P1840" s="11"/>
      <c r="Q1840" s="11"/>
      <c r="R1840" s="3"/>
    </row>
    <row r="1841" spans="1:18" x14ac:dyDescent="0.2">
      <c r="A1841" s="11">
        <v>4153</v>
      </c>
      <c r="B1841" s="11">
        <v>7</v>
      </c>
      <c r="C1841" s="11" t="s">
        <v>472</v>
      </c>
      <c r="D1841" s="11">
        <f t="shared" si="56"/>
        <v>5</v>
      </c>
      <c r="E1841">
        <f t="shared" si="57"/>
        <v>4153005</v>
      </c>
      <c r="F1841" s="11">
        <v>481</v>
      </c>
      <c r="G1841" s="11" t="s">
        <v>379</v>
      </c>
      <c r="H1841" s="3">
        <v>8703.7800000000007</v>
      </c>
      <c r="K1841" s="11"/>
      <c r="L1841" s="11"/>
      <c r="M1841" s="11"/>
      <c r="N1841" s="11"/>
      <c r="P1841" s="11"/>
      <c r="Q1841" s="11"/>
      <c r="R1841" s="3"/>
    </row>
    <row r="1842" spans="1:18" x14ac:dyDescent="0.2">
      <c r="A1842" s="11">
        <v>4153</v>
      </c>
      <c r="B1842" s="11">
        <v>7</v>
      </c>
      <c r="C1842" s="11" t="s">
        <v>472</v>
      </c>
      <c r="D1842" s="11">
        <f t="shared" si="56"/>
        <v>6</v>
      </c>
      <c r="E1842">
        <f t="shared" si="57"/>
        <v>4153006</v>
      </c>
      <c r="F1842" s="11">
        <v>484</v>
      </c>
      <c r="G1842" s="11" t="s">
        <v>20</v>
      </c>
      <c r="H1842" s="3">
        <v>2378.91</v>
      </c>
      <c r="K1842" s="11"/>
      <c r="L1842" s="11"/>
      <c r="M1842" s="11"/>
      <c r="N1842" s="11"/>
      <c r="P1842" s="11"/>
      <c r="Q1842" s="11"/>
      <c r="R1842" s="3"/>
    </row>
    <row r="1843" spans="1:18" x14ac:dyDescent="0.2">
      <c r="A1843" s="11">
        <v>4155</v>
      </c>
      <c r="B1843" s="11">
        <v>7</v>
      </c>
      <c r="C1843" s="11" t="s">
        <v>473</v>
      </c>
      <c r="D1843" s="11">
        <f t="shared" si="56"/>
        <v>1</v>
      </c>
      <c r="E1843">
        <f t="shared" si="57"/>
        <v>4155001</v>
      </c>
      <c r="F1843" s="11">
        <v>433</v>
      </c>
      <c r="G1843" s="11" t="s">
        <v>30</v>
      </c>
      <c r="H1843" s="3">
        <v>639.91</v>
      </c>
      <c r="K1843" s="11"/>
      <c r="L1843" s="11"/>
      <c r="M1843" s="11"/>
      <c r="N1843" s="11"/>
      <c r="P1843" s="11"/>
      <c r="Q1843" s="11"/>
      <c r="R1843" s="3"/>
    </row>
    <row r="1844" spans="1:18" x14ac:dyDescent="0.2">
      <c r="A1844" s="11">
        <v>4155</v>
      </c>
      <c r="B1844" s="11">
        <v>7</v>
      </c>
      <c r="C1844" s="11" t="s">
        <v>473</v>
      </c>
      <c r="D1844" s="11">
        <f t="shared" si="56"/>
        <v>2</v>
      </c>
      <c r="E1844">
        <f t="shared" si="57"/>
        <v>4155002</v>
      </c>
      <c r="F1844" s="11">
        <v>484</v>
      </c>
      <c r="G1844" s="11" t="s">
        <v>20</v>
      </c>
      <c r="H1844" s="3">
        <v>945.75</v>
      </c>
      <c r="K1844" s="11"/>
      <c r="L1844" s="11"/>
      <c r="M1844" s="11"/>
      <c r="N1844" s="11"/>
      <c r="P1844" s="11"/>
      <c r="Q1844" s="11"/>
      <c r="R1844" s="3"/>
    </row>
    <row r="1845" spans="1:18" x14ac:dyDescent="0.2">
      <c r="A1845" s="11">
        <v>4159</v>
      </c>
      <c r="B1845" s="11">
        <v>7</v>
      </c>
      <c r="C1845" s="11" t="s">
        <v>474</v>
      </c>
      <c r="D1845" s="11">
        <f t="shared" si="56"/>
        <v>1</v>
      </c>
      <c r="E1845">
        <f t="shared" si="57"/>
        <v>4159001</v>
      </c>
      <c r="F1845" s="11">
        <v>401</v>
      </c>
      <c r="G1845" s="11" t="s">
        <v>29</v>
      </c>
      <c r="H1845" s="3">
        <v>21041.55</v>
      </c>
      <c r="K1845" s="11"/>
      <c r="L1845" s="11"/>
      <c r="M1845" s="11"/>
      <c r="N1845" s="11"/>
      <c r="P1845" s="11"/>
      <c r="Q1845" s="11"/>
      <c r="R1845" s="3"/>
    </row>
    <row r="1846" spans="1:18" x14ac:dyDescent="0.2">
      <c r="A1846" s="11">
        <v>4159</v>
      </c>
      <c r="B1846" s="11">
        <v>7</v>
      </c>
      <c r="C1846" s="11" t="s">
        <v>474</v>
      </c>
      <c r="D1846" s="11">
        <f t="shared" si="56"/>
        <v>2</v>
      </c>
      <c r="E1846">
        <f t="shared" si="57"/>
        <v>4159002</v>
      </c>
      <c r="F1846" s="11">
        <v>414</v>
      </c>
      <c r="G1846" s="11" t="s">
        <v>9</v>
      </c>
      <c r="H1846" s="3">
        <v>8897.56</v>
      </c>
      <c r="K1846" s="11"/>
      <c r="L1846" s="11"/>
      <c r="M1846" s="11"/>
      <c r="N1846" s="11"/>
      <c r="P1846" s="11"/>
      <c r="Q1846" s="11"/>
      <c r="R1846" s="3"/>
    </row>
    <row r="1847" spans="1:18" x14ac:dyDescent="0.2">
      <c r="A1847" s="11">
        <v>4159</v>
      </c>
      <c r="B1847" s="11">
        <v>7</v>
      </c>
      <c r="C1847" s="11" t="s">
        <v>474</v>
      </c>
      <c r="D1847" s="11">
        <f t="shared" si="56"/>
        <v>3</v>
      </c>
      <c r="E1847">
        <f t="shared" si="57"/>
        <v>4159003</v>
      </c>
      <c r="F1847" s="11">
        <v>419</v>
      </c>
      <c r="G1847" s="11" t="s">
        <v>10</v>
      </c>
      <c r="H1847" s="3">
        <v>53656.82</v>
      </c>
      <c r="K1847" s="11"/>
      <c r="L1847" s="11"/>
      <c r="M1847" s="11"/>
      <c r="N1847" s="11"/>
      <c r="P1847" s="11"/>
      <c r="Q1847" s="11"/>
      <c r="R1847" s="3"/>
    </row>
    <row r="1848" spans="1:18" x14ac:dyDescent="0.2">
      <c r="A1848" s="11">
        <v>4159</v>
      </c>
      <c r="B1848" s="11">
        <v>7</v>
      </c>
      <c r="C1848" s="11" t="s">
        <v>474</v>
      </c>
      <c r="D1848" s="11">
        <f t="shared" si="56"/>
        <v>4</v>
      </c>
      <c r="E1848">
        <f t="shared" si="57"/>
        <v>4159004</v>
      </c>
      <c r="F1848" s="11">
        <v>433</v>
      </c>
      <c r="G1848" s="11" t="s">
        <v>30</v>
      </c>
      <c r="H1848" s="3">
        <v>722.16</v>
      </c>
      <c r="K1848" s="11"/>
      <c r="L1848" s="11"/>
      <c r="M1848" s="11"/>
      <c r="N1848" s="11"/>
      <c r="P1848" s="11"/>
      <c r="Q1848" s="11"/>
      <c r="R1848" s="3"/>
    </row>
    <row r="1849" spans="1:18" x14ac:dyDescent="0.2">
      <c r="A1849" s="11">
        <v>4159</v>
      </c>
      <c r="B1849" s="11">
        <v>7</v>
      </c>
      <c r="C1849" s="11" t="s">
        <v>474</v>
      </c>
      <c r="D1849" s="11">
        <f t="shared" si="56"/>
        <v>5</v>
      </c>
      <c r="E1849">
        <f t="shared" si="57"/>
        <v>4159005</v>
      </c>
      <c r="F1849" s="11">
        <v>470</v>
      </c>
      <c r="G1849" s="11" t="s">
        <v>6</v>
      </c>
      <c r="H1849" s="3">
        <v>15339.9</v>
      </c>
      <c r="K1849" s="11"/>
      <c r="L1849" s="11"/>
      <c r="M1849" s="11"/>
      <c r="N1849" s="11"/>
      <c r="P1849" s="11"/>
      <c r="Q1849" s="11"/>
      <c r="R1849" s="3"/>
    </row>
    <row r="1850" spans="1:18" x14ac:dyDescent="0.2">
      <c r="A1850" s="11">
        <v>4159</v>
      </c>
      <c r="B1850" s="11">
        <v>7</v>
      </c>
      <c r="C1850" s="11" t="s">
        <v>474</v>
      </c>
      <c r="D1850" s="11">
        <f t="shared" si="56"/>
        <v>6</v>
      </c>
      <c r="E1850">
        <f t="shared" si="57"/>
        <v>4159006</v>
      </c>
      <c r="F1850" s="11">
        <v>480</v>
      </c>
      <c r="G1850" s="11" t="s">
        <v>19</v>
      </c>
      <c r="H1850" s="3">
        <v>64333.440000000002</v>
      </c>
      <c r="K1850" s="11"/>
      <c r="L1850" s="11"/>
      <c r="M1850" s="11"/>
      <c r="N1850" s="11"/>
      <c r="P1850" s="11"/>
      <c r="Q1850" s="11"/>
      <c r="R1850" s="3"/>
    </row>
    <row r="1851" spans="1:18" x14ac:dyDescent="0.2">
      <c r="A1851" s="11">
        <v>4160</v>
      </c>
      <c r="B1851" s="11">
        <v>7</v>
      </c>
      <c r="C1851" s="11" t="s">
        <v>475</v>
      </c>
      <c r="D1851" s="11">
        <f t="shared" si="56"/>
        <v>1</v>
      </c>
      <c r="E1851">
        <f t="shared" si="57"/>
        <v>4160001</v>
      </c>
      <c r="F1851" s="11">
        <v>414</v>
      </c>
      <c r="G1851" s="11" t="s">
        <v>9</v>
      </c>
      <c r="H1851" s="3">
        <v>2385.9699999999998</v>
      </c>
      <c r="K1851" s="11"/>
      <c r="L1851" s="11"/>
      <c r="M1851" s="11"/>
      <c r="N1851" s="11"/>
      <c r="P1851" s="11"/>
      <c r="Q1851" s="11"/>
      <c r="R1851" s="3"/>
    </row>
    <row r="1852" spans="1:18" x14ac:dyDescent="0.2">
      <c r="A1852" s="11">
        <v>4161</v>
      </c>
      <c r="B1852" s="11">
        <v>7</v>
      </c>
      <c r="C1852" s="11" t="s">
        <v>476</v>
      </c>
      <c r="D1852" s="11">
        <f t="shared" si="56"/>
        <v>1</v>
      </c>
      <c r="E1852">
        <f t="shared" si="57"/>
        <v>4161001</v>
      </c>
      <c r="F1852" s="11">
        <v>414</v>
      </c>
      <c r="G1852" s="11" t="s">
        <v>9</v>
      </c>
      <c r="H1852" s="3">
        <v>4585.3</v>
      </c>
      <c r="K1852" s="11"/>
      <c r="L1852" s="11"/>
      <c r="M1852" s="11"/>
      <c r="N1852" s="11"/>
      <c r="P1852" s="11"/>
      <c r="Q1852" s="11"/>
      <c r="R1852" s="3"/>
    </row>
    <row r="1853" spans="1:18" x14ac:dyDescent="0.2">
      <c r="A1853" s="11">
        <v>4161</v>
      </c>
      <c r="B1853" s="11">
        <v>7</v>
      </c>
      <c r="C1853" s="11" t="s">
        <v>476</v>
      </c>
      <c r="D1853" s="11">
        <f t="shared" si="56"/>
        <v>2</v>
      </c>
      <c r="E1853">
        <f t="shared" si="57"/>
        <v>4161002</v>
      </c>
      <c r="F1853" s="11">
        <v>420</v>
      </c>
      <c r="G1853" s="11" t="s">
        <v>11</v>
      </c>
      <c r="H1853" s="3">
        <v>597.54999999999995</v>
      </c>
      <c r="K1853" s="11"/>
      <c r="L1853" s="11"/>
      <c r="M1853" s="11"/>
      <c r="N1853" s="11"/>
      <c r="P1853" s="11"/>
      <c r="Q1853" s="11"/>
      <c r="R1853" s="3"/>
    </row>
    <row r="1854" spans="1:18" x14ac:dyDescent="0.2">
      <c r="A1854" s="11">
        <v>4161</v>
      </c>
      <c r="B1854" s="11">
        <v>7</v>
      </c>
      <c r="C1854" s="11" t="s">
        <v>476</v>
      </c>
      <c r="D1854" s="11">
        <f t="shared" si="56"/>
        <v>3</v>
      </c>
      <c r="E1854">
        <f t="shared" si="57"/>
        <v>4161003</v>
      </c>
      <c r="F1854" s="11">
        <v>425</v>
      </c>
      <c r="G1854" s="11" t="s">
        <v>49</v>
      </c>
      <c r="H1854" s="3">
        <v>4752.95</v>
      </c>
      <c r="K1854" s="11"/>
      <c r="L1854" s="11"/>
      <c r="M1854" s="11"/>
      <c r="N1854" s="11"/>
      <c r="P1854" s="11"/>
      <c r="Q1854" s="11"/>
      <c r="R1854" s="3"/>
    </row>
    <row r="1855" spans="1:18" x14ac:dyDescent="0.2">
      <c r="A1855" s="11">
        <v>4161</v>
      </c>
      <c r="B1855" s="11">
        <v>7</v>
      </c>
      <c r="C1855" s="11" t="s">
        <v>476</v>
      </c>
      <c r="D1855" s="11">
        <f t="shared" si="56"/>
        <v>4</v>
      </c>
      <c r="E1855">
        <f t="shared" si="57"/>
        <v>4161004</v>
      </c>
      <c r="F1855" s="11">
        <v>481</v>
      </c>
      <c r="G1855" s="11" t="s">
        <v>379</v>
      </c>
      <c r="H1855" s="3">
        <v>5545.11</v>
      </c>
      <c r="K1855" s="11"/>
      <c r="L1855" s="11"/>
      <c r="M1855" s="11"/>
      <c r="N1855" s="11"/>
      <c r="P1855" s="11"/>
      <c r="Q1855" s="11"/>
      <c r="R1855" s="3"/>
    </row>
    <row r="1856" spans="1:18" x14ac:dyDescent="0.2">
      <c r="A1856" s="11">
        <v>4161</v>
      </c>
      <c r="B1856" s="11">
        <v>7</v>
      </c>
      <c r="C1856" s="11" t="s">
        <v>476</v>
      </c>
      <c r="D1856" s="11">
        <f t="shared" si="56"/>
        <v>5</v>
      </c>
      <c r="E1856">
        <f t="shared" si="57"/>
        <v>4161005</v>
      </c>
      <c r="F1856" s="11">
        <v>484</v>
      </c>
      <c r="G1856" s="11" t="s">
        <v>20</v>
      </c>
      <c r="H1856" s="3">
        <v>1514.58</v>
      </c>
      <c r="K1856" s="11"/>
      <c r="L1856" s="11"/>
      <c r="M1856" s="11"/>
      <c r="N1856" s="11"/>
      <c r="P1856" s="11"/>
      <c r="Q1856" s="11"/>
      <c r="R1856" s="3"/>
    </row>
    <row r="1857" spans="1:18" x14ac:dyDescent="0.2">
      <c r="A1857" s="11">
        <v>4162</v>
      </c>
      <c r="B1857" s="11">
        <v>7</v>
      </c>
      <c r="C1857" s="11" t="s">
        <v>477</v>
      </c>
      <c r="D1857" s="11">
        <f t="shared" si="56"/>
        <v>1</v>
      </c>
      <c r="E1857">
        <f t="shared" si="57"/>
        <v>4162001</v>
      </c>
      <c r="F1857" s="11">
        <v>481</v>
      </c>
      <c r="G1857" s="11" t="s">
        <v>379</v>
      </c>
      <c r="H1857" s="3">
        <v>3231.19</v>
      </c>
      <c r="K1857" s="11"/>
      <c r="L1857" s="11"/>
      <c r="M1857" s="11"/>
      <c r="N1857" s="11"/>
      <c r="P1857" s="11"/>
      <c r="Q1857" s="11"/>
      <c r="R1857" s="3"/>
    </row>
    <row r="1858" spans="1:18" x14ac:dyDescent="0.2">
      <c r="A1858" s="11">
        <v>4164</v>
      </c>
      <c r="B1858" s="11">
        <v>7</v>
      </c>
      <c r="C1858" s="11" t="s">
        <v>478</v>
      </c>
      <c r="D1858" s="11">
        <f t="shared" si="56"/>
        <v>1</v>
      </c>
      <c r="E1858">
        <f t="shared" si="57"/>
        <v>4164001</v>
      </c>
      <c r="F1858" s="11">
        <v>401</v>
      </c>
      <c r="G1858" s="11" t="s">
        <v>29</v>
      </c>
      <c r="H1858" s="3">
        <v>19142.400000000001</v>
      </c>
      <c r="K1858" s="11"/>
      <c r="L1858" s="11"/>
      <c r="M1858" s="11"/>
      <c r="N1858" s="11"/>
      <c r="P1858" s="11"/>
      <c r="Q1858" s="11"/>
      <c r="R1858" s="3"/>
    </row>
    <row r="1859" spans="1:18" x14ac:dyDescent="0.2">
      <c r="A1859" s="11">
        <v>4164</v>
      </c>
      <c r="B1859" s="11">
        <v>7</v>
      </c>
      <c r="C1859" s="11" t="s">
        <v>478</v>
      </c>
      <c r="D1859" s="11">
        <f t="shared" si="56"/>
        <v>2</v>
      </c>
      <c r="E1859">
        <f t="shared" si="57"/>
        <v>4164002</v>
      </c>
      <c r="F1859" s="11">
        <v>414</v>
      </c>
      <c r="G1859" s="11" t="s">
        <v>9</v>
      </c>
      <c r="H1859" s="3">
        <v>4386.1499999999996</v>
      </c>
      <c r="K1859" s="11"/>
      <c r="L1859" s="11"/>
      <c r="M1859" s="11"/>
      <c r="N1859" s="11"/>
      <c r="P1859" s="11"/>
      <c r="Q1859" s="11"/>
      <c r="R1859" s="3"/>
    </row>
    <row r="1860" spans="1:18" x14ac:dyDescent="0.2">
      <c r="A1860" s="11">
        <v>4164</v>
      </c>
      <c r="B1860" s="11">
        <v>7</v>
      </c>
      <c r="C1860" s="11" t="s">
        <v>478</v>
      </c>
      <c r="D1860" s="11">
        <f t="shared" si="56"/>
        <v>3</v>
      </c>
      <c r="E1860">
        <f t="shared" si="57"/>
        <v>4164003</v>
      </c>
      <c r="F1860" s="11">
        <v>420</v>
      </c>
      <c r="G1860" s="11" t="s">
        <v>11</v>
      </c>
      <c r="H1860" s="3">
        <v>4.63</v>
      </c>
      <c r="K1860" s="11"/>
      <c r="L1860" s="11"/>
      <c r="M1860" s="11"/>
      <c r="N1860" s="11"/>
      <c r="P1860" s="11"/>
      <c r="Q1860" s="11"/>
      <c r="R1860" s="3"/>
    </row>
    <row r="1861" spans="1:18" x14ac:dyDescent="0.2">
      <c r="A1861" s="11">
        <v>4164</v>
      </c>
      <c r="B1861" s="11">
        <v>7</v>
      </c>
      <c r="C1861" s="11" t="s">
        <v>478</v>
      </c>
      <c r="D1861" s="11">
        <f t="shared" si="56"/>
        <v>4</v>
      </c>
      <c r="E1861">
        <f t="shared" si="57"/>
        <v>4164004</v>
      </c>
      <c r="F1861" s="11">
        <v>484</v>
      </c>
      <c r="G1861" s="11" t="s">
        <v>20</v>
      </c>
      <c r="H1861" s="3">
        <v>798.44</v>
      </c>
      <c r="K1861" s="11"/>
      <c r="L1861" s="11"/>
      <c r="M1861" s="11"/>
      <c r="N1861" s="11"/>
      <c r="P1861" s="11"/>
      <c r="Q1861" s="11"/>
      <c r="R1861" s="3"/>
    </row>
    <row r="1862" spans="1:18" x14ac:dyDescent="0.2">
      <c r="A1862" s="11">
        <v>4166</v>
      </c>
      <c r="B1862" s="11">
        <v>7</v>
      </c>
      <c r="C1862" s="11" t="s">
        <v>479</v>
      </c>
      <c r="D1862" s="11">
        <f t="shared" si="56"/>
        <v>1</v>
      </c>
      <c r="E1862">
        <f t="shared" si="57"/>
        <v>4166001</v>
      </c>
      <c r="F1862" s="11">
        <v>425</v>
      </c>
      <c r="G1862" s="11" t="s">
        <v>49</v>
      </c>
      <c r="H1862" s="3">
        <v>3893.31</v>
      </c>
      <c r="K1862" s="11"/>
      <c r="L1862" s="11"/>
      <c r="M1862" s="11"/>
      <c r="N1862" s="11"/>
      <c r="P1862" s="11"/>
      <c r="Q1862" s="11"/>
      <c r="R1862" s="3"/>
    </row>
    <row r="1863" spans="1:18" x14ac:dyDescent="0.2">
      <c r="A1863" s="11">
        <v>4166</v>
      </c>
      <c r="B1863" s="11">
        <v>7</v>
      </c>
      <c r="C1863" s="11" t="s">
        <v>479</v>
      </c>
      <c r="D1863" s="11">
        <f t="shared" si="56"/>
        <v>2</v>
      </c>
      <c r="E1863">
        <f t="shared" si="57"/>
        <v>4166002</v>
      </c>
      <c r="F1863" s="11">
        <v>481</v>
      </c>
      <c r="G1863" s="11" t="s">
        <v>379</v>
      </c>
      <c r="H1863" s="3">
        <v>3469.48</v>
      </c>
      <c r="K1863" s="11"/>
      <c r="L1863" s="11"/>
      <c r="M1863" s="11"/>
      <c r="N1863" s="11"/>
      <c r="P1863" s="11"/>
      <c r="Q1863" s="11"/>
      <c r="R1863" s="3"/>
    </row>
    <row r="1864" spans="1:18" x14ac:dyDescent="0.2">
      <c r="A1864" s="11">
        <v>4167</v>
      </c>
      <c r="B1864" s="11">
        <v>7</v>
      </c>
      <c r="C1864" s="11" t="s">
        <v>480</v>
      </c>
      <c r="D1864" s="11">
        <f t="shared" si="56"/>
        <v>1</v>
      </c>
      <c r="E1864">
        <f t="shared" si="57"/>
        <v>4167001</v>
      </c>
      <c r="F1864" s="11">
        <v>484</v>
      </c>
      <c r="G1864" s="11" t="s">
        <v>20</v>
      </c>
      <c r="H1864" s="3">
        <v>899.22</v>
      </c>
      <c r="K1864" s="11"/>
      <c r="L1864" s="11"/>
      <c r="M1864" s="11"/>
      <c r="N1864" s="11"/>
      <c r="P1864" s="11"/>
      <c r="Q1864" s="11"/>
      <c r="R1864" s="3"/>
    </row>
    <row r="1865" spans="1:18" x14ac:dyDescent="0.2">
      <c r="A1865" s="11">
        <v>4168</v>
      </c>
      <c r="B1865" s="11">
        <v>7</v>
      </c>
      <c r="C1865" s="11" t="s">
        <v>481</v>
      </c>
      <c r="D1865" s="11">
        <f t="shared" si="56"/>
        <v>1</v>
      </c>
      <c r="E1865">
        <f t="shared" si="57"/>
        <v>4168001</v>
      </c>
      <c r="F1865" s="11">
        <v>470</v>
      </c>
      <c r="G1865" s="11" t="s">
        <v>6</v>
      </c>
      <c r="H1865" s="3">
        <v>15339.9</v>
      </c>
      <c r="K1865" s="11"/>
      <c r="L1865" s="11"/>
      <c r="M1865" s="11"/>
      <c r="N1865" s="11"/>
      <c r="P1865" s="11"/>
      <c r="Q1865" s="11"/>
      <c r="R1865" s="3"/>
    </row>
    <row r="1866" spans="1:18" x14ac:dyDescent="0.2">
      <c r="A1866" s="11">
        <v>4168</v>
      </c>
      <c r="B1866" s="11">
        <v>7</v>
      </c>
      <c r="C1866" s="11" t="s">
        <v>481</v>
      </c>
      <c r="D1866" s="11">
        <f t="shared" si="56"/>
        <v>2</v>
      </c>
      <c r="E1866">
        <f t="shared" si="57"/>
        <v>4168002</v>
      </c>
      <c r="F1866" s="11">
        <v>484</v>
      </c>
      <c r="G1866" s="11" t="s">
        <v>20</v>
      </c>
      <c r="H1866" s="3">
        <v>924.65</v>
      </c>
      <c r="K1866" s="11"/>
      <c r="L1866" s="11"/>
      <c r="M1866" s="11"/>
      <c r="N1866" s="11"/>
      <c r="P1866" s="11"/>
      <c r="Q1866" s="11"/>
      <c r="R1866" s="3"/>
    </row>
    <row r="1867" spans="1:18" x14ac:dyDescent="0.2">
      <c r="A1867" s="11">
        <v>4169</v>
      </c>
      <c r="B1867" s="11">
        <v>7</v>
      </c>
      <c r="C1867" s="11" t="s">
        <v>482</v>
      </c>
      <c r="D1867" s="11">
        <f t="shared" si="56"/>
        <v>1</v>
      </c>
      <c r="E1867">
        <f t="shared" si="57"/>
        <v>4169001</v>
      </c>
      <c r="F1867" s="11">
        <v>480</v>
      </c>
      <c r="G1867" s="11" t="s">
        <v>19</v>
      </c>
      <c r="H1867" s="3">
        <v>25837.87</v>
      </c>
      <c r="K1867" s="11"/>
      <c r="L1867" s="11"/>
      <c r="M1867" s="11"/>
      <c r="N1867" s="11"/>
      <c r="P1867" s="11"/>
      <c r="Q1867" s="11"/>
      <c r="R1867" s="3"/>
    </row>
    <row r="1868" spans="1:18" x14ac:dyDescent="0.2">
      <c r="A1868" s="11">
        <v>4169</v>
      </c>
      <c r="B1868" s="11">
        <v>7</v>
      </c>
      <c r="C1868" s="11" t="s">
        <v>482</v>
      </c>
      <c r="D1868" s="11">
        <f t="shared" si="56"/>
        <v>2</v>
      </c>
      <c r="E1868">
        <f t="shared" si="57"/>
        <v>4169002</v>
      </c>
      <c r="F1868" s="11">
        <v>484</v>
      </c>
      <c r="G1868" s="11" t="s">
        <v>20</v>
      </c>
      <c r="H1868" s="3">
        <v>1246.26</v>
      </c>
      <c r="K1868" s="11"/>
      <c r="L1868" s="11"/>
      <c r="M1868" s="11"/>
      <c r="N1868" s="11"/>
      <c r="P1868" s="11"/>
      <c r="Q1868" s="11"/>
      <c r="R1868" s="3"/>
    </row>
    <row r="1869" spans="1:18" x14ac:dyDescent="0.2">
      <c r="A1869" s="11">
        <v>4170</v>
      </c>
      <c r="B1869" s="11">
        <v>7</v>
      </c>
      <c r="C1869" s="11" t="s">
        <v>483</v>
      </c>
      <c r="D1869" s="11">
        <f t="shared" si="56"/>
        <v>1</v>
      </c>
      <c r="E1869">
        <f t="shared" si="57"/>
        <v>4170001</v>
      </c>
      <c r="F1869" s="11">
        <v>414</v>
      </c>
      <c r="G1869" s="11" t="s">
        <v>9</v>
      </c>
      <c r="H1869" s="3">
        <v>17583.310000000001</v>
      </c>
      <c r="K1869" s="11"/>
      <c r="L1869" s="11"/>
      <c r="M1869" s="11"/>
      <c r="N1869" s="11"/>
      <c r="P1869" s="11"/>
      <c r="Q1869" s="11"/>
      <c r="R1869" s="3"/>
    </row>
    <row r="1870" spans="1:18" x14ac:dyDescent="0.2">
      <c r="A1870" s="11">
        <v>4170</v>
      </c>
      <c r="B1870" s="11">
        <v>7</v>
      </c>
      <c r="C1870" s="11" t="s">
        <v>483</v>
      </c>
      <c r="D1870" s="11">
        <f t="shared" si="56"/>
        <v>2</v>
      </c>
      <c r="E1870">
        <f t="shared" si="57"/>
        <v>4170002</v>
      </c>
      <c r="F1870" s="11">
        <v>417</v>
      </c>
      <c r="G1870" s="11" t="s">
        <v>34</v>
      </c>
      <c r="H1870" s="3">
        <v>12031.17</v>
      </c>
      <c r="K1870" s="11"/>
      <c r="L1870" s="11"/>
      <c r="M1870" s="11"/>
      <c r="N1870" s="11"/>
      <c r="P1870" s="11"/>
      <c r="Q1870" s="11"/>
      <c r="R1870" s="3"/>
    </row>
    <row r="1871" spans="1:18" x14ac:dyDescent="0.2">
      <c r="A1871" s="11">
        <v>4170</v>
      </c>
      <c r="B1871" s="11">
        <v>7</v>
      </c>
      <c r="C1871" s="11" t="s">
        <v>483</v>
      </c>
      <c r="D1871" s="11">
        <f t="shared" ref="D1871:D1934" si="58">IF(A1871=A1870,D1870+1,1)</f>
        <v>3</v>
      </c>
      <c r="E1871">
        <f t="shared" ref="E1871:E1934" si="59">1000*A1871+D1871</f>
        <v>4170003</v>
      </c>
      <c r="F1871" s="11">
        <v>420</v>
      </c>
      <c r="G1871" s="11" t="s">
        <v>11</v>
      </c>
      <c r="H1871" s="3">
        <v>1359.09</v>
      </c>
      <c r="K1871" s="11"/>
      <c r="L1871" s="11"/>
      <c r="M1871" s="11"/>
      <c r="N1871" s="11"/>
      <c r="P1871" s="11"/>
      <c r="Q1871" s="11"/>
      <c r="R1871" s="3"/>
    </row>
    <row r="1872" spans="1:18" x14ac:dyDescent="0.2">
      <c r="A1872" s="11">
        <v>4170</v>
      </c>
      <c r="B1872" s="11">
        <v>7</v>
      </c>
      <c r="C1872" s="11" t="s">
        <v>483</v>
      </c>
      <c r="D1872" s="11">
        <f t="shared" si="58"/>
        <v>4</v>
      </c>
      <c r="E1872">
        <f t="shared" si="59"/>
        <v>4170004</v>
      </c>
      <c r="F1872" s="11">
        <v>425</v>
      </c>
      <c r="G1872" s="11" t="s">
        <v>49</v>
      </c>
      <c r="H1872" s="3">
        <v>5245.11</v>
      </c>
      <c r="K1872" s="11"/>
      <c r="L1872" s="11"/>
      <c r="M1872" s="11"/>
      <c r="N1872" s="11"/>
      <c r="P1872" s="11"/>
      <c r="Q1872" s="11"/>
      <c r="R1872" s="3"/>
    </row>
    <row r="1873" spans="1:18" x14ac:dyDescent="0.2">
      <c r="A1873" s="11">
        <v>4170</v>
      </c>
      <c r="B1873" s="11">
        <v>7</v>
      </c>
      <c r="C1873" s="11" t="s">
        <v>483</v>
      </c>
      <c r="D1873" s="11">
        <f t="shared" si="58"/>
        <v>5</v>
      </c>
      <c r="E1873">
        <f t="shared" si="59"/>
        <v>4170005</v>
      </c>
      <c r="F1873" s="11">
        <v>433</v>
      </c>
      <c r="G1873" s="11" t="s">
        <v>30</v>
      </c>
      <c r="H1873" s="3">
        <v>1349.4</v>
      </c>
      <c r="K1873" s="11"/>
      <c r="L1873" s="11"/>
      <c r="M1873" s="11"/>
      <c r="N1873" s="11"/>
      <c r="P1873" s="11"/>
      <c r="Q1873" s="11"/>
      <c r="R1873" s="3"/>
    </row>
    <row r="1874" spans="1:18" x14ac:dyDescent="0.2">
      <c r="A1874" s="11">
        <v>4170</v>
      </c>
      <c r="B1874" s="11">
        <v>7</v>
      </c>
      <c r="C1874" s="11" t="s">
        <v>483</v>
      </c>
      <c r="D1874" s="11">
        <f t="shared" si="58"/>
        <v>6</v>
      </c>
      <c r="E1874">
        <f t="shared" si="59"/>
        <v>4170006</v>
      </c>
      <c r="F1874" s="11">
        <v>481</v>
      </c>
      <c r="G1874" s="11" t="s">
        <v>379</v>
      </c>
      <c r="H1874" s="3">
        <v>7840.34</v>
      </c>
      <c r="K1874" s="11"/>
      <c r="L1874" s="11"/>
      <c r="M1874" s="11"/>
      <c r="N1874" s="11"/>
      <c r="P1874" s="11"/>
      <c r="Q1874" s="11"/>
      <c r="R1874" s="3"/>
    </row>
    <row r="1875" spans="1:18" x14ac:dyDescent="0.2">
      <c r="A1875" s="11">
        <v>4170</v>
      </c>
      <c r="B1875" s="11">
        <v>7</v>
      </c>
      <c r="C1875" s="11" t="s">
        <v>483</v>
      </c>
      <c r="D1875" s="11">
        <f t="shared" si="58"/>
        <v>7</v>
      </c>
      <c r="E1875">
        <f t="shared" si="59"/>
        <v>4170007</v>
      </c>
      <c r="F1875" s="11">
        <v>484</v>
      </c>
      <c r="G1875" s="11" t="s">
        <v>20</v>
      </c>
      <c r="H1875" s="3">
        <v>2142.9</v>
      </c>
      <c r="K1875" s="11"/>
      <c r="L1875" s="11"/>
      <c r="M1875" s="11"/>
      <c r="N1875" s="11"/>
      <c r="P1875" s="11"/>
      <c r="Q1875" s="11"/>
      <c r="R1875" s="3"/>
    </row>
    <row r="1876" spans="1:18" x14ac:dyDescent="0.2">
      <c r="A1876" s="11">
        <v>4171</v>
      </c>
      <c r="B1876" s="11">
        <v>7</v>
      </c>
      <c r="C1876" s="11" t="s">
        <v>484</v>
      </c>
      <c r="D1876" s="11">
        <f t="shared" si="58"/>
        <v>1</v>
      </c>
      <c r="E1876">
        <f t="shared" si="59"/>
        <v>4171001</v>
      </c>
      <c r="F1876" s="11">
        <v>401</v>
      </c>
      <c r="G1876" s="11" t="s">
        <v>29</v>
      </c>
      <c r="H1876" s="3">
        <v>145904.29999999999</v>
      </c>
      <c r="K1876" s="11"/>
      <c r="L1876" s="11"/>
      <c r="M1876" s="11"/>
      <c r="N1876" s="11"/>
      <c r="P1876" s="11"/>
      <c r="Q1876" s="11"/>
      <c r="R1876" s="3"/>
    </row>
    <row r="1877" spans="1:18" x14ac:dyDescent="0.2">
      <c r="A1877" s="11">
        <v>4171</v>
      </c>
      <c r="B1877" s="11">
        <v>7</v>
      </c>
      <c r="C1877" s="11" t="s">
        <v>484</v>
      </c>
      <c r="D1877" s="11">
        <f t="shared" si="58"/>
        <v>2</v>
      </c>
      <c r="E1877">
        <f t="shared" si="59"/>
        <v>4171002</v>
      </c>
      <c r="F1877" s="11">
        <v>414</v>
      </c>
      <c r="G1877" s="11" t="s">
        <v>9</v>
      </c>
      <c r="H1877" s="3">
        <v>27030.76</v>
      </c>
      <c r="K1877" s="11"/>
      <c r="L1877" s="11"/>
      <c r="M1877" s="11"/>
      <c r="N1877" s="11"/>
      <c r="P1877" s="11"/>
      <c r="Q1877" s="11"/>
      <c r="R1877" s="3"/>
    </row>
    <row r="1878" spans="1:18" x14ac:dyDescent="0.2">
      <c r="A1878" s="11">
        <v>4171</v>
      </c>
      <c r="B1878" s="11">
        <v>7</v>
      </c>
      <c r="C1878" s="11" t="s">
        <v>484</v>
      </c>
      <c r="D1878" s="11">
        <f t="shared" si="58"/>
        <v>3</v>
      </c>
      <c r="E1878">
        <f t="shared" si="59"/>
        <v>4171003</v>
      </c>
      <c r="F1878" s="11">
        <v>417</v>
      </c>
      <c r="G1878" s="11" t="s">
        <v>34</v>
      </c>
      <c r="H1878" s="3">
        <v>38356.81</v>
      </c>
      <c r="K1878" s="11"/>
      <c r="L1878" s="11"/>
      <c r="M1878" s="11"/>
      <c r="N1878" s="11"/>
      <c r="P1878" s="11"/>
      <c r="Q1878" s="11"/>
      <c r="R1878" s="3"/>
    </row>
    <row r="1879" spans="1:18" x14ac:dyDescent="0.2">
      <c r="A1879" s="11">
        <v>4171</v>
      </c>
      <c r="B1879" s="11">
        <v>7</v>
      </c>
      <c r="C1879" s="11" t="s">
        <v>484</v>
      </c>
      <c r="D1879" s="11">
        <f t="shared" si="58"/>
        <v>4</v>
      </c>
      <c r="E1879">
        <f t="shared" si="59"/>
        <v>4171004</v>
      </c>
      <c r="F1879" s="11">
        <v>419</v>
      </c>
      <c r="G1879" s="11" t="s">
        <v>10</v>
      </c>
      <c r="H1879" s="3">
        <v>66750.259999999995</v>
      </c>
      <c r="K1879" s="11"/>
      <c r="L1879" s="11"/>
      <c r="M1879" s="11"/>
      <c r="N1879" s="11"/>
      <c r="P1879" s="11"/>
      <c r="Q1879" s="11"/>
      <c r="R1879" s="3"/>
    </row>
    <row r="1880" spans="1:18" x14ac:dyDescent="0.2">
      <c r="A1880" s="11">
        <v>4171</v>
      </c>
      <c r="B1880" s="11">
        <v>7</v>
      </c>
      <c r="C1880" s="11" t="s">
        <v>484</v>
      </c>
      <c r="D1880" s="11">
        <f t="shared" si="58"/>
        <v>5</v>
      </c>
      <c r="E1880">
        <f t="shared" si="59"/>
        <v>4171005</v>
      </c>
      <c r="F1880" s="11">
        <v>420</v>
      </c>
      <c r="G1880" s="11" t="s">
        <v>11</v>
      </c>
      <c r="H1880" s="3">
        <v>471.84</v>
      </c>
      <c r="K1880" s="11"/>
      <c r="L1880" s="11"/>
      <c r="M1880" s="11"/>
      <c r="N1880" s="11"/>
      <c r="P1880" s="11"/>
      <c r="Q1880" s="11"/>
      <c r="R1880" s="3"/>
    </row>
    <row r="1881" spans="1:18" x14ac:dyDescent="0.2">
      <c r="A1881" s="11">
        <v>4171</v>
      </c>
      <c r="B1881" s="11">
        <v>7</v>
      </c>
      <c r="C1881" s="11" t="s">
        <v>484</v>
      </c>
      <c r="D1881" s="11">
        <f t="shared" si="58"/>
        <v>6</v>
      </c>
      <c r="E1881">
        <f t="shared" si="59"/>
        <v>4171006</v>
      </c>
      <c r="F1881" s="11">
        <v>433</v>
      </c>
      <c r="G1881" s="11" t="s">
        <v>30</v>
      </c>
      <c r="H1881" s="3">
        <v>2434.87</v>
      </c>
      <c r="K1881" s="11"/>
      <c r="L1881" s="11"/>
      <c r="M1881" s="11"/>
      <c r="N1881" s="11"/>
      <c r="P1881" s="11"/>
      <c r="Q1881" s="11"/>
      <c r="R1881" s="3"/>
    </row>
    <row r="1882" spans="1:18" x14ac:dyDescent="0.2">
      <c r="A1882" s="11">
        <v>4171</v>
      </c>
      <c r="B1882" s="11">
        <v>7</v>
      </c>
      <c r="C1882" s="11" t="s">
        <v>484</v>
      </c>
      <c r="D1882" s="11">
        <f t="shared" si="58"/>
        <v>7</v>
      </c>
      <c r="E1882">
        <f t="shared" si="59"/>
        <v>4171007</v>
      </c>
      <c r="F1882" s="11">
        <v>470</v>
      </c>
      <c r="G1882" s="11" t="s">
        <v>6</v>
      </c>
      <c r="H1882" s="3">
        <v>97152.68</v>
      </c>
      <c r="K1882" s="11"/>
      <c r="L1882" s="11"/>
      <c r="M1882" s="11"/>
      <c r="N1882" s="11"/>
      <c r="P1882" s="11"/>
      <c r="Q1882" s="11"/>
      <c r="R1882" s="3"/>
    </row>
    <row r="1883" spans="1:18" x14ac:dyDescent="0.2">
      <c r="A1883" s="11">
        <v>4171</v>
      </c>
      <c r="B1883" s="11">
        <v>7</v>
      </c>
      <c r="C1883" s="11" t="s">
        <v>484</v>
      </c>
      <c r="D1883" s="11">
        <f t="shared" si="58"/>
        <v>8</v>
      </c>
      <c r="E1883">
        <f t="shared" si="59"/>
        <v>4171008</v>
      </c>
      <c r="F1883" s="11">
        <v>480</v>
      </c>
      <c r="G1883" s="11" t="s">
        <v>19</v>
      </c>
      <c r="H1883" s="3">
        <v>96603.64</v>
      </c>
      <c r="K1883" s="11"/>
      <c r="L1883" s="11"/>
      <c r="M1883" s="11"/>
      <c r="N1883" s="11"/>
      <c r="P1883" s="11"/>
      <c r="Q1883" s="11"/>
      <c r="R1883" s="3"/>
    </row>
    <row r="1884" spans="1:18" x14ac:dyDescent="0.2">
      <c r="A1884" s="11">
        <v>4171</v>
      </c>
      <c r="B1884" s="11">
        <v>7</v>
      </c>
      <c r="C1884" s="11" t="s">
        <v>484</v>
      </c>
      <c r="D1884" s="11">
        <f t="shared" si="58"/>
        <v>9</v>
      </c>
      <c r="E1884">
        <f t="shared" si="59"/>
        <v>4171009</v>
      </c>
      <c r="F1884" s="11">
        <v>484</v>
      </c>
      <c r="G1884" s="11" t="s">
        <v>20</v>
      </c>
      <c r="H1884" s="3">
        <v>3960.42</v>
      </c>
      <c r="K1884" s="11"/>
      <c r="L1884" s="11"/>
      <c r="M1884" s="11"/>
      <c r="N1884" s="11"/>
      <c r="P1884" s="11"/>
      <c r="Q1884" s="11"/>
      <c r="R1884" s="3"/>
    </row>
    <row r="1885" spans="1:18" x14ac:dyDescent="0.2">
      <c r="A1885" s="11">
        <v>4172</v>
      </c>
      <c r="B1885" s="11">
        <v>7</v>
      </c>
      <c r="C1885" s="11" t="s">
        <v>485</v>
      </c>
      <c r="D1885" s="11">
        <f t="shared" si="58"/>
        <v>1</v>
      </c>
      <c r="E1885">
        <f t="shared" si="59"/>
        <v>4172001</v>
      </c>
      <c r="F1885" s="11">
        <v>401</v>
      </c>
      <c r="G1885" s="11" t="s">
        <v>29</v>
      </c>
      <c r="H1885" s="3">
        <v>22193.439999999999</v>
      </c>
      <c r="K1885" s="11"/>
      <c r="L1885" s="11"/>
      <c r="M1885" s="11"/>
      <c r="N1885" s="11"/>
      <c r="P1885" s="11"/>
      <c r="Q1885" s="11"/>
      <c r="R1885" s="3"/>
    </row>
    <row r="1886" spans="1:18" x14ac:dyDescent="0.2">
      <c r="A1886" s="11">
        <v>4172</v>
      </c>
      <c r="B1886" s="11">
        <v>7</v>
      </c>
      <c r="C1886" s="11" t="s">
        <v>485</v>
      </c>
      <c r="D1886" s="11">
        <f t="shared" si="58"/>
        <v>2</v>
      </c>
      <c r="E1886">
        <f t="shared" si="59"/>
        <v>4172002</v>
      </c>
      <c r="F1886" s="11">
        <v>414</v>
      </c>
      <c r="G1886" s="11" t="s">
        <v>9</v>
      </c>
      <c r="H1886" s="3">
        <v>5531.72</v>
      </c>
      <c r="K1886" s="11"/>
      <c r="L1886" s="11"/>
      <c r="M1886" s="11"/>
      <c r="N1886" s="11"/>
      <c r="P1886" s="11"/>
      <c r="Q1886" s="11"/>
      <c r="R1886" s="3"/>
    </row>
    <row r="1887" spans="1:18" x14ac:dyDescent="0.2">
      <c r="A1887" s="11">
        <v>4172</v>
      </c>
      <c r="B1887" s="11">
        <v>7</v>
      </c>
      <c r="C1887" s="11" t="s">
        <v>485</v>
      </c>
      <c r="D1887" s="11">
        <f t="shared" si="58"/>
        <v>3</v>
      </c>
      <c r="E1887">
        <f t="shared" si="59"/>
        <v>4172003</v>
      </c>
      <c r="F1887" s="11">
        <v>433</v>
      </c>
      <c r="G1887" s="11" t="s">
        <v>30</v>
      </c>
      <c r="H1887" s="3">
        <v>388.33</v>
      </c>
      <c r="K1887" s="11"/>
      <c r="L1887" s="11"/>
      <c r="M1887" s="11"/>
      <c r="N1887" s="11"/>
      <c r="P1887" s="11"/>
      <c r="Q1887" s="11"/>
      <c r="R1887" s="3"/>
    </row>
    <row r="1888" spans="1:18" x14ac:dyDescent="0.2">
      <c r="A1888" s="11">
        <v>4172</v>
      </c>
      <c r="B1888" s="11">
        <v>7</v>
      </c>
      <c r="C1888" s="11" t="s">
        <v>485</v>
      </c>
      <c r="D1888" s="11">
        <f t="shared" si="58"/>
        <v>4</v>
      </c>
      <c r="E1888">
        <f t="shared" si="59"/>
        <v>4172004</v>
      </c>
      <c r="F1888" s="11">
        <v>470</v>
      </c>
      <c r="G1888" s="11" t="s">
        <v>6</v>
      </c>
      <c r="H1888" s="3">
        <v>14487.68</v>
      </c>
      <c r="K1888" s="11"/>
      <c r="L1888" s="11"/>
      <c r="M1888" s="11"/>
      <c r="N1888" s="11"/>
      <c r="P1888" s="11"/>
      <c r="Q1888" s="11"/>
      <c r="R1888" s="3"/>
    </row>
    <row r="1889" spans="1:18" x14ac:dyDescent="0.2">
      <c r="A1889" s="11">
        <v>4173</v>
      </c>
      <c r="B1889" s="11">
        <v>7</v>
      </c>
      <c r="C1889" s="11" t="s">
        <v>486</v>
      </c>
      <c r="D1889" s="11">
        <f t="shared" si="58"/>
        <v>1</v>
      </c>
      <c r="E1889">
        <f t="shared" si="59"/>
        <v>4173001</v>
      </c>
      <c r="F1889" s="11">
        <v>425</v>
      </c>
      <c r="G1889" s="11" t="s">
        <v>49</v>
      </c>
      <c r="H1889" s="3">
        <v>8009.41</v>
      </c>
      <c r="K1889" s="11"/>
      <c r="L1889" s="11"/>
      <c r="M1889" s="11"/>
      <c r="N1889" s="11"/>
      <c r="P1889" s="11"/>
      <c r="Q1889" s="11"/>
      <c r="R1889" s="3"/>
    </row>
    <row r="1890" spans="1:18" x14ac:dyDescent="0.2">
      <c r="A1890" s="11">
        <v>4173</v>
      </c>
      <c r="B1890" s="11">
        <v>7</v>
      </c>
      <c r="C1890" s="11" t="s">
        <v>486</v>
      </c>
      <c r="D1890" s="11">
        <f t="shared" si="58"/>
        <v>2</v>
      </c>
      <c r="E1890">
        <f t="shared" si="59"/>
        <v>4173002</v>
      </c>
      <c r="F1890" s="11">
        <v>433</v>
      </c>
      <c r="G1890" s="11" t="s">
        <v>30</v>
      </c>
      <c r="H1890" s="3">
        <v>1156.45</v>
      </c>
      <c r="K1890" s="11"/>
      <c r="L1890" s="11"/>
      <c r="M1890" s="11"/>
      <c r="N1890" s="11"/>
      <c r="P1890" s="11"/>
      <c r="Q1890" s="11"/>
      <c r="R1890" s="3"/>
    </row>
    <row r="1891" spans="1:18" x14ac:dyDescent="0.2">
      <c r="A1891" s="11">
        <v>4173</v>
      </c>
      <c r="B1891" s="11">
        <v>7</v>
      </c>
      <c r="C1891" s="11" t="s">
        <v>486</v>
      </c>
      <c r="D1891" s="11">
        <f t="shared" si="58"/>
        <v>3</v>
      </c>
      <c r="E1891">
        <f t="shared" si="59"/>
        <v>4173003</v>
      </c>
      <c r="F1891" s="11">
        <v>480</v>
      </c>
      <c r="G1891" s="11" t="s">
        <v>19</v>
      </c>
      <c r="H1891" s="3">
        <v>42689.61</v>
      </c>
      <c r="K1891" s="11"/>
      <c r="L1891" s="11"/>
      <c r="M1891" s="11"/>
      <c r="N1891" s="11"/>
      <c r="P1891" s="11"/>
      <c r="Q1891" s="11"/>
      <c r="R1891" s="3"/>
    </row>
    <row r="1892" spans="1:18" x14ac:dyDescent="0.2">
      <c r="A1892" s="11">
        <v>4173</v>
      </c>
      <c r="B1892" s="11">
        <v>7</v>
      </c>
      <c r="C1892" s="11" t="s">
        <v>486</v>
      </c>
      <c r="D1892" s="11">
        <f t="shared" si="58"/>
        <v>4</v>
      </c>
      <c r="E1892">
        <f t="shared" si="59"/>
        <v>4173004</v>
      </c>
      <c r="F1892" s="11">
        <v>481</v>
      </c>
      <c r="G1892" s="11" t="s">
        <v>379</v>
      </c>
      <c r="H1892" s="3">
        <v>7533.46</v>
      </c>
      <c r="K1892" s="11"/>
      <c r="L1892" s="11"/>
      <c r="M1892" s="11"/>
      <c r="N1892" s="11"/>
      <c r="P1892" s="11"/>
      <c r="Q1892" s="11"/>
      <c r="R1892" s="3"/>
    </row>
    <row r="1893" spans="1:18" x14ac:dyDescent="0.2">
      <c r="A1893" s="11">
        <v>4174</v>
      </c>
      <c r="B1893" s="11">
        <v>7</v>
      </c>
      <c r="C1893" s="11" t="s">
        <v>487</v>
      </c>
      <c r="D1893" s="11">
        <f t="shared" si="58"/>
        <v>1</v>
      </c>
      <c r="E1893">
        <f t="shared" si="59"/>
        <v>4174001</v>
      </c>
      <c r="F1893" s="11">
        <v>419</v>
      </c>
      <c r="G1893" s="11" t="s">
        <v>10</v>
      </c>
      <c r="H1893" s="3">
        <v>3514.66</v>
      </c>
      <c r="K1893" s="11"/>
      <c r="L1893" s="11"/>
      <c r="M1893" s="11"/>
      <c r="N1893" s="11"/>
      <c r="P1893" s="11"/>
      <c r="Q1893" s="11"/>
      <c r="R1893" s="3"/>
    </row>
    <row r="1894" spans="1:18" x14ac:dyDescent="0.2">
      <c r="A1894" s="11">
        <v>4175</v>
      </c>
      <c r="B1894" s="11">
        <v>7</v>
      </c>
      <c r="C1894" s="11" t="s">
        <v>488</v>
      </c>
      <c r="D1894" s="11">
        <f t="shared" si="58"/>
        <v>1</v>
      </c>
      <c r="E1894">
        <f t="shared" si="59"/>
        <v>4175001</v>
      </c>
      <c r="F1894" s="11">
        <v>401</v>
      </c>
      <c r="G1894" s="11" t="s">
        <v>29</v>
      </c>
      <c r="H1894" s="3">
        <v>23173.38</v>
      </c>
      <c r="K1894" s="11"/>
      <c r="L1894" s="11"/>
      <c r="M1894" s="11"/>
      <c r="N1894" s="11"/>
      <c r="P1894" s="11"/>
      <c r="Q1894" s="11"/>
      <c r="R1894" s="3"/>
    </row>
    <row r="1895" spans="1:18" x14ac:dyDescent="0.2">
      <c r="A1895" s="11">
        <v>4175</v>
      </c>
      <c r="B1895" s="11">
        <v>7</v>
      </c>
      <c r="C1895" s="11" t="s">
        <v>488</v>
      </c>
      <c r="D1895" s="11">
        <f t="shared" si="58"/>
        <v>2</v>
      </c>
      <c r="E1895">
        <f t="shared" si="59"/>
        <v>4175002</v>
      </c>
      <c r="F1895" s="11">
        <v>414</v>
      </c>
      <c r="G1895" s="11" t="s">
        <v>9</v>
      </c>
      <c r="H1895" s="3">
        <v>4783.72</v>
      </c>
      <c r="K1895" s="11"/>
      <c r="L1895" s="11"/>
      <c r="M1895" s="11"/>
      <c r="N1895" s="11"/>
      <c r="P1895" s="11"/>
      <c r="Q1895" s="11"/>
      <c r="R1895" s="3"/>
    </row>
    <row r="1896" spans="1:18" x14ac:dyDescent="0.2">
      <c r="A1896" s="11">
        <v>4177</v>
      </c>
      <c r="B1896" s="11">
        <v>7</v>
      </c>
      <c r="C1896" s="11" t="s">
        <v>489</v>
      </c>
      <c r="D1896" s="11">
        <f t="shared" si="58"/>
        <v>1</v>
      </c>
      <c r="E1896">
        <f t="shared" si="59"/>
        <v>4177001</v>
      </c>
      <c r="F1896" s="11">
        <v>420</v>
      </c>
      <c r="G1896" s="11" t="s">
        <v>11</v>
      </c>
      <c r="H1896" s="3">
        <v>672.58</v>
      </c>
      <c r="K1896" s="11"/>
      <c r="L1896" s="11"/>
      <c r="M1896" s="11"/>
      <c r="N1896" s="11"/>
      <c r="P1896" s="11"/>
      <c r="Q1896" s="11"/>
      <c r="R1896" s="3"/>
    </row>
    <row r="1897" spans="1:18" x14ac:dyDescent="0.2">
      <c r="A1897" s="11">
        <v>4177</v>
      </c>
      <c r="B1897" s="11">
        <v>7</v>
      </c>
      <c r="C1897" s="11" t="s">
        <v>489</v>
      </c>
      <c r="D1897" s="11">
        <f t="shared" si="58"/>
        <v>2</v>
      </c>
      <c r="E1897">
        <f t="shared" si="59"/>
        <v>4177002</v>
      </c>
      <c r="F1897" s="11">
        <v>425</v>
      </c>
      <c r="G1897" s="11" t="s">
        <v>49</v>
      </c>
      <c r="H1897" s="3">
        <v>1246.9000000000001</v>
      </c>
      <c r="K1897" s="11"/>
      <c r="L1897" s="11"/>
      <c r="M1897" s="11"/>
      <c r="N1897" s="11"/>
      <c r="P1897" s="11"/>
      <c r="Q1897" s="11"/>
      <c r="R1897" s="3"/>
    </row>
    <row r="1898" spans="1:18" x14ac:dyDescent="0.2">
      <c r="A1898" s="11">
        <v>4177</v>
      </c>
      <c r="B1898" s="11">
        <v>7</v>
      </c>
      <c r="C1898" s="11" t="s">
        <v>489</v>
      </c>
      <c r="D1898" s="11">
        <f t="shared" si="58"/>
        <v>3</v>
      </c>
      <c r="E1898">
        <f t="shared" si="59"/>
        <v>4177003</v>
      </c>
      <c r="F1898" s="11">
        <v>481</v>
      </c>
      <c r="G1898" s="11" t="s">
        <v>379</v>
      </c>
      <c r="H1898" s="3">
        <v>954.46</v>
      </c>
      <c r="K1898" s="11"/>
      <c r="L1898" s="11"/>
      <c r="M1898" s="11"/>
      <c r="N1898" s="11"/>
      <c r="P1898" s="11"/>
      <c r="Q1898" s="11"/>
      <c r="R1898" s="3"/>
    </row>
    <row r="1899" spans="1:18" x14ac:dyDescent="0.2">
      <c r="A1899" s="11">
        <v>4177</v>
      </c>
      <c r="B1899" s="11">
        <v>7</v>
      </c>
      <c r="C1899" s="11" t="s">
        <v>489</v>
      </c>
      <c r="D1899" s="11">
        <f t="shared" si="58"/>
        <v>4</v>
      </c>
      <c r="E1899">
        <f t="shared" si="59"/>
        <v>4177004</v>
      </c>
      <c r="F1899" s="11">
        <v>484</v>
      </c>
      <c r="G1899" s="11" t="s">
        <v>20</v>
      </c>
      <c r="H1899" s="3">
        <v>260.73</v>
      </c>
      <c r="K1899" s="11"/>
      <c r="L1899" s="11"/>
      <c r="M1899" s="11"/>
      <c r="N1899" s="11"/>
      <c r="P1899" s="11"/>
      <c r="Q1899" s="11"/>
      <c r="R1899" s="3"/>
    </row>
    <row r="1900" spans="1:18" x14ac:dyDescent="0.2">
      <c r="A1900" s="11">
        <v>4178</v>
      </c>
      <c r="B1900" s="11">
        <v>7</v>
      </c>
      <c r="C1900" s="11" t="s">
        <v>490</v>
      </c>
      <c r="D1900" s="11">
        <f t="shared" si="58"/>
        <v>1</v>
      </c>
      <c r="E1900">
        <f t="shared" si="59"/>
        <v>4178001</v>
      </c>
      <c r="F1900" s="11">
        <v>419</v>
      </c>
      <c r="G1900" s="11" t="s">
        <v>10</v>
      </c>
      <c r="H1900" s="3">
        <v>21344.71</v>
      </c>
      <c r="K1900" s="11"/>
      <c r="L1900" s="11"/>
      <c r="M1900" s="11"/>
      <c r="N1900" s="11"/>
      <c r="P1900" s="11"/>
      <c r="Q1900" s="11"/>
      <c r="R1900" s="3"/>
    </row>
    <row r="1901" spans="1:18" x14ac:dyDescent="0.2">
      <c r="A1901" s="11">
        <v>4180</v>
      </c>
      <c r="B1901" s="11">
        <v>7</v>
      </c>
      <c r="C1901" s="11" t="s">
        <v>491</v>
      </c>
      <c r="D1901" s="11">
        <f t="shared" si="58"/>
        <v>1</v>
      </c>
      <c r="E1901">
        <f t="shared" si="59"/>
        <v>4180001</v>
      </c>
      <c r="F1901" s="11">
        <v>414</v>
      </c>
      <c r="G1901" s="11" t="s">
        <v>9</v>
      </c>
      <c r="H1901" s="3">
        <v>18037.080000000002</v>
      </c>
      <c r="K1901" s="11"/>
      <c r="L1901" s="11"/>
      <c r="M1901" s="11"/>
      <c r="N1901" s="11"/>
      <c r="P1901" s="11"/>
      <c r="Q1901" s="11"/>
      <c r="R1901" s="3"/>
    </row>
    <row r="1902" spans="1:18" x14ac:dyDescent="0.2">
      <c r="A1902" s="11">
        <v>4180</v>
      </c>
      <c r="B1902" s="11">
        <v>7</v>
      </c>
      <c r="C1902" s="11" t="s">
        <v>491</v>
      </c>
      <c r="D1902" s="11">
        <f t="shared" si="58"/>
        <v>2</v>
      </c>
      <c r="E1902">
        <f t="shared" si="59"/>
        <v>4180002</v>
      </c>
      <c r="F1902" s="11">
        <v>433</v>
      </c>
      <c r="G1902" s="11" t="s">
        <v>30</v>
      </c>
      <c r="H1902" s="3">
        <v>890.69</v>
      </c>
      <c r="K1902" s="11"/>
      <c r="L1902" s="11"/>
      <c r="M1902" s="11"/>
      <c r="N1902" s="11"/>
      <c r="P1902" s="11"/>
      <c r="Q1902" s="11"/>
      <c r="R1902" s="3"/>
    </row>
    <row r="1903" spans="1:18" x14ac:dyDescent="0.2">
      <c r="A1903" s="11">
        <v>4180</v>
      </c>
      <c r="B1903" s="11">
        <v>7</v>
      </c>
      <c r="C1903" s="11" t="s">
        <v>491</v>
      </c>
      <c r="D1903" s="11">
        <f t="shared" si="58"/>
        <v>3</v>
      </c>
      <c r="E1903">
        <f t="shared" si="59"/>
        <v>4180003</v>
      </c>
      <c r="F1903" s="11">
        <v>481</v>
      </c>
      <c r="G1903" s="11" t="s">
        <v>379</v>
      </c>
      <c r="H1903" s="3">
        <v>5384.38</v>
      </c>
      <c r="K1903" s="11"/>
      <c r="L1903" s="11"/>
      <c r="M1903" s="11"/>
      <c r="N1903" s="11"/>
      <c r="P1903" s="11"/>
      <c r="Q1903" s="11"/>
      <c r="R1903" s="3"/>
    </row>
    <row r="1904" spans="1:18" x14ac:dyDescent="0.2">
      <c r="A1904" s="11">
        <v>4180</v>
      </c>
      <c r="B1904" s="11">
        <v>7</v>
      </c>
      <c r="C1904" s="11" t="s">
        <v>491</v>
      </c>
      <c r="D1904" s="11">
        <f t="shared" si="58"/>
        <v>4</v>
      </c>
      <c r="E1904">
        <f t="shared" si="59"/>
        <v>4180004</v>
      </c>
      <c r="F1904" s="11">
        <v>484</v>
      </c>
      <c r="G1904" s="11" t="s">
        <v>20</v>
      </c>
      <c r="H1904" s="3">
        <v>1471.37</v>
      </c>
      <c r="K1904" s="11"/>
      <c r="L1904" s="11"/>
      <c r="M1904" s="11"/>
      <c r="N1904" s="11"/>
      <c r="P1904" s="11"/>
      <c r="Q1904" s="11"/>
      <c r="R1904" s="3"/>
    </row>
    <row r="1905" spans="1:18" x14ac:dyDescent="0.2">
      <c r="A1905" s="11">
        <v>4181</v>
      </c>
      <c r="B1905" s="11">
        <v>7</v>
      </c>
      <c r="C1905" s="11" t="s">
        <v>492</v>
      </c>
      <c r="D1905" s="11">
        <f t="shared" si="58"/>
        <v>1</v>
      </c>
      <c r="E1905">
        <f t="shared" si="59"/>
        <v>4181001</v>
      </c>
      <c r="F1905" s="11">
        <v>414</v>
      </c>
      <c r="G1905" s="11" t="s">
        <v>9</v>
      </c>
      <c r="H1905" s="3">
        <v>22213.42</v>
      </c>
      <c r="K1905" s="11"/>
      <c r="L1905" s="11"/>
      <c r="M1905" s="11"/>
      <c r="N1905" s="11"/>
      <c r="P1905" s="11"/>
      <c r="Q1905" s="11"/>
      <c r="R1905" s="3"/>
    </row>
    <row r="1906" spans="1:18" x14ac:dyDescent="0.2">
      <c r="A1906" s="11">
        <v>4181</v>
      </c>
      <c r="B1906" s="11">
        <v>7</v>
      </c>
      <c r="C1906" s="11" t="s">
        <v>492</v>
      </c>
      <c r="D1906" s="11">
        <f t="shared" si="58"/>
        <v>2</v>
      </c>
      <c r="E1906">
        <f t="shared" si="59"/>
        <v>4181002</v>
      </c>
      <c r="F1906" s="11">
        <v>419</v>
      </c>
      <c r="G1906" s="11" t="s">
        <v>10</v>
      </c>
      <c r="H1906" s="3">
        <v>51051.64</v>
      </c>
      <c r="K1906" s="11"/>
      <c r="L1906" s="11"/>
      <c r="M1906" s="11"/>
      <c r="N1906" s="11"/>
      <c r="P1906" s="11"/>
      <c r="Q1906" s="11"/>
      <c r="R1906" s="3"/>
    </row>
    <row r="1907" spans="1:18" x14ac:dyDescent="0.2">
      <c r="A1907" s="11">
        <v>4181</v>
      </c>
      <c r="B1907" s="11">
        <v>7</v>
      </c>
      <c r="C1907" s="11" t="s">
        <v>492</v>
      </c>
      <c r="D1907" s="11">
        <f t="shared" si="58"/>
        <v>3</v>
      </c>
      <c r="E1907">
        <f t="shared" si="59"/>
        <v>4181003</v>
      </c>
      <c r="F1907" s="11">
        <v>420</v>
      </c>
      <c r="G1907" s="11" t="s">
        <v>11</v>
      </c>
      <c r="H1907" s="3">
        <v>827.42</v>
      </c>
      <c r="K1907" s="11"/>
      <c r="L1907" s="11"/>
      <c r="M1907" s="11"/>
      <c r="N1907" s="11"/>
      <c r="P1907" s="11"/>
      <c r="Q1907" s="11"/>
      <c r="R1907" s="3"/>
    </row>
    <row r="1908" spans="1:18" x14ac:dyDescent="0.2">
      <c r="A1908" s="11">
        <v>4181</v>
      </c>
      <c r="B1908" s="11">
        <v>7</v>
      </c>
      <c r="C1908" s="11" t="s">
        <v>492</v>
      </c>
      <c r="D1908" s="11">
        <f t="shared" si="58"/>
        <v>4</v>
      </c>
      <c r="E1908">
        <f t="shared" si="59"/>
        <v>4181004</v>
      </c>
      <c r="F1908" s="11">
        <v>425</v>
      </c>
      <c r="G1908" s="11" t="s">
        <v>49</v>
      </c>
      <c r="H1908" s="3">
        <v>9009.11</v>
      </c>
      <c r="K1908" s="11"/>
      <c r="L1908" s="11"/>
      <c r="M1908" s="11"/>
      <c r="N1908" s="11"/>
      <c r="P1908" s="11"/>
      <c r="Q1908" s="11"/>
      <c r="R1908" s="3"/>
    </row>
    <row r="1909" spans="1:18" x14ac:dyDescent="0.2">
      <c r="A1909" s="11">
        <v>4181</v>
      </c>
      <c r="B1909" s="11">
        <v>7</v>
      </c>
      <c r="C1909" s="11" t="s">
        <v>492</v>
      </c>
      <c r="D1909" s="11">
        <f t="shared" si="58"/>
        <v>5</v>
      </c>
      <c r="E1909">
        <f t="shared" si="59"/>
        <v>4181005</v>
      </c>
      <c r="F1909" s="11">
        <v>480</v>
      </c>
      <c r="G1909" s="11" t="s">
        <v>19</v>
      </c>
      <c r="H1909" s="3">
        <v>71825.39</v>
      </c>
      <c r="K1909" s="11"/>
      <c r="L1909" s="11"/>
      <c r="M1909" s="11"/>
      <c r="N1909" s="11"/>
      <c r="P1909" s="11"/>
      <c r="Q1909" s="11"/>
      <c r="R1909" s="3"/>
    </row>
    <row r="1910" spans="1:18" x14ac:dyDescent="0.2">
      <c r="A1910" s="11">
        <v>4181</v>
      </c>
      <c r="B1910" s="11">
        <v>7</v>
      </c>
      <c r="C1910" s="11" t="s">
        <v>492</v>
      </c>
      <c r="D1910" s="11">
        <f t="shared" si="58"/>
        <v>6</v>
      </c>
      <c r="E1910">
        <f t="shared" si="59"/>
        <v>4181006</v>
      </c>
      <c r="F1910" s="11">
        <v>481</v>
      </c>
      <c r="G1910" s="11" t="s">
        <v>379</v>
      </c>
      <c r="H1910" s="3">
        <v>12675.07</v>
      </c>
      <c r="K1910" s="11"/>
      <c r="L1910" s="11"/>
      <c r="M1910" s="11"/>
      <c r="N1910" s="11"/>
      <c r="P1910" s="11"/>
      <c r="Q1910" s="11"/>
      <c r="R1910" s="3"/>
    </row>
    <row r="1911" spans="1:18" x14ac:dyDescent="0.2">
      <c r="A1911" s="11">
        <v>4181</v>
      </c>
      <c r="B1911" s="11">
        <v>7</v>
      </c>
      <c r="C1911" s="11" t="s">
        <v>492</v>
      </c>
      <c r="D1911" s="11">
        <f t="shared" si="58"/>
        <v>7</v>
      </c>
      <c r="E1911">
        <f t="shared" si="59"/>
        <v>4181007</v>
      </c>
      <c r="F1911" s="11">
        <v>484</v>
      </c>
      <c r="G1911" s="11" t="s">
        <v>20</v>
      </c>
      <c r="H1911" s="3">
        <v>3464.03</v>
      </c>
      <c r="K1911" s="11"/>
      <c r="L1911" s="11"/>
      <c r="M1911" s="11"/>
      <c r="N1911" s="11"/>
      <c r="P1911" s="11"/>
      <c r="Q1911" s="11"/>
      <c r="R1911" s="3"/>
    </row>
    <row r="1912" spans="1:18" x14ac:dyDescent="0.2">
      <c r="A1912" s="11">
        <v>4182</v>
      </c>
      <c r="B1912" s="11">
        <v>7</v>
      </c>
      <c r="C1912" s="11" t="s">
        <v>493</v>
      </c>
      <c r="D1912" s="11">
        <f t="shared" si="58"/>
        <v>1</v>
      </c>
      <c r="E1912">
        <f t="shared" si="59"/>
        <v>4182001</v>
      </c>
      <c r="F1912" s="11">
        <v>425</v>
      </c>
      <c r="G1912" s="11" t="s">
        <v>49</v>
      </c>
      <c r="H1912" s="3">
        <v>5492.4</v>
      </c>
      <c r="K1912" s="11"/>
      <c r="L1912" s="11"/>
      <c r="M1912" s="11"/>
      <c r="N1912" s="11"/>
      <c r="P1912" s="11"/>
      <c r="Q1912" s="11"/>
      <c r="R1912" s="3"/>
    </row>
    <row r="1913" spans="1:18" x14ac:dyDescent="0.2">
      <c r="A1913" s="11">
        <v>4182</v>
      </c>
      <c r="B1913" s="11">
        <v>7</v>
      </c>
      <c r="C1913" s="11" t="s">
        <v>493</v>
      </c>
      <c r="D1913" s="11">
        <f t="shared" si="58"/>
        <v>2</v>
      </c>
      <c r="E1913">
        <f t="shared" si="59"/>
        <v>4182002</v>
      </c>
      <c r="F1913" s="11">
        <v>481</v>
      </c>
      <c r="G1913" s="11" t="s">
        <v>379</v>
      </c>
      <c r="H1913" s="3">
        <v>4507.6000000000004</v>
      </c>
      <c r="K1913" s="11"/>
      <c r="L1913" s="11"/>
      <c r="M1913" s="11"/>
      <c r="N1913" s="11"/>
      <c r="P1913" s="11"/>
      <c r="Q1913" s="11"/>
      <c r="R1913" s="3"/>
    </row>
    <row r="1914" spans="1:18" x14ac:dyDescent="0.2">
      <c r="A1914" s="11">
        <v>4183</v>
      </c>
      <c r="B1914" s="11">
        <v>7</v>
      </c>
      <c r="C1914" s="11" t="s">
        <v>494</v>
      </c>
      <c r="D1914" s="11">
        <f t="shared" si="58"/>
        <v>1</v>
      </c>
      <c r="E1914">
        <f t="shared" si="59"/>
        <v>4183001</v>
      </c>
      <c r="F1914" s="11">
        <v>419</v>
      </c>
      <c r="G1914" s="11" t="s">
        <v>10</v>
      </c>
      <c r="H1914" s="3">
        <v>36592.410000000003</v>
      </c>
      <c r="K1914" s="11"/>
      <c r="L1914" s="11"/>
      <c r="M1914" s="11"/>
      <c r="N1914" s="11"/>
      <c r="P1914" s="11"/>
      <c r="Q1914" s="11"/>
      <c r="R1914" s="3"/>
    </row>
    <row r="1915" spans="1:18" x14ac:dyDescent="0.2">
      <c r="A1915" s="11">
        <v>4183</v>
      </c>
      <c r="B1915" s="11">
        <v>7</v>
      </c>
      <c r="C1915" s="11" t="s">
        <v>494</v>
      </c>
      <c r="D1915" s="11">
        <f t="shared" si="58"/>
        <v>2</v>
      </c>
      <c r="E1915">
        <f t="shared" si="59"/>
        <v>4183002</v>
      </c>
      <c r="F1915" s="11">
        <v>480</v>
      </c>
      <c r="G1915" s="11" t="s">
        <v>19</v>
      </c>
      <c r="H1915" s="3">
        <v>13204.59</v>
      </c>
      <c r="K1915" s="11"/>
      <c r="L1915" s="11"/>
      <c r="M1915" s="11"/>
      <c r="N1915" s="11"/>
      <c r="P1915" s="11"/>
      <c r="Q1915" s="11"/>
      <c r="R1915" s="3"/>
    </row>
    <row r="1916" spans="1:18" x14ac:dyDescent="0.2">
      <c r="A1916" s="11">
        <v>4184</v>
      </c>
      <c r="B1916" s="11">
        <v>7</v>
      </c>
      <c r="C1916" s="11" t="s">
        <v>495</v>
      </c>
      <c r="D1916" s="11">
        <f t="shared" si="58"/>
        <v>1</v>
      </c>
      <c r="E1916">
        <f t="shared" si="59"/>
        <v>4184001</v>
      </c>
      <c r="F1916" s="11">
        <v>420</v>
      </c>
      <c r="G1916" s="11" t="s">
        <v>11</v>
      </c>
      <c r="H1916" s="3">
        <v>597.16999999999996</v>
      </c>
      <c r="K1916" s="11"/>
      <c r="L1916" s="11"/>
      <c r="M1916" s="11"/>
      <c r="N1916" s="11"/>
      <c r="P1916" s="11"/>
      <c r="Q1916" s="11"/>
      <c r="R1916" s="3"/>
    </row>
    <row r="1917" spans="1:18" x14ac:dyDescent="0.2">
      <c r="A1917" s="11">
        <v>4184</v>
      </c>
      <c r="B1917" s="11">
        <v>7</v>
      </c>
      <c r="C1917" s="11" t="s">
        <v>495</v>
      </c>
      <c r="D1917" s="11">
        <f t="shared" si="58"/>
        <v>2</v>
      </c>
      <c r="E1917">
        <f t="shared" si="59"/>
        <v>4184002</v>
      </c>
      <c r="F1917" s="11">
        <v>425</v>
      </c>
      <c r="G1917" s="11" t="s">
        <v>49</v>
      </c>
      <c r="H1917" s="3">
        <v>2366.9499999999998</v>
      </c>
      <c r="K1917" s="11"/>
      <c r="L1917" s="11"/>
      <c r="M1917" s="11"/>
      <c r="N1917" s="11"/>
      <c r="P1917" s="11"/>
      <c r="Q1917" s="11"/>
      <c r="R1917" s="3"/>
    </row>
    <row r="1918" spans="1:18" x14ac:dyDescent="0.2">
      <c r="A1918" s="11">
        <v>4184</v>
      </c>
      <c r="B1918" s="11">
        <v>7</v>
      </c>
      <c r="C1918" s="11" t="s">
        <v>495</v>
      </c>
      <c r="D1918" s="11">
        <f t="shared" si="58"/>
        <v>3</v>
      </c>
      <c r="E1918">
        <f t="shared" si="59"/>
        <v>4184003</v>
      </c>
      <c r="F1918" s="11">
        <v>480</v>
      </c>
      <c r="G1918" s="11" t="s">
        <v>19</v>
      </c>
      <c r="H1918" s="3">
        <v>20277.79</v>
      </c>
      <c r="K1918" s="11"/>
      <c r="L1918" s="11"/>
      <c r="M1918" s="11"/>
      <c r="N1918" s="11"/>
      <c r="P1918" s="11"/>
      <c r="Q1918" s="11"/>
      <c r="R1918" s="3"/>
    </row>
    <row r="1919" spans="1:18" x14ac:dyDescent="0.2">
      <c r="A1919" s="11">
        <v>4184</v>
      </c>
      <c r="B1919" s="11">
        <v>7</v>
      </c>
      <c r="C1919" s="11" t="s">
        <v>495</v>
      </c>
      <c r="D1919" s="11">
        <f t="shared" si="58"/>
        <v>4</v>
      </c>
      <c r="E1919">
        <f t="shared" si="59"/>
        <v>4184004</v>
      </c>
      <c r="F1919" s="11">
        <v>481</v>
      </c>
      <c r="G1919" s="11" t="s">
        <v>379</v>
      </c>
      <c r="H1919" s="3">
        <v>3578.43</v>
      </c>
      <c r="K1919" s="11"/>
      <c r="L1919" s="11"/>
      <c r="M1919" s="11"/>
      <c r="N1919" s="11"/>
      <c r="P1919" s="11"/>
      <c r="Q1919" s="11"/>
      <c r="R1919" s="3"/>
    </row>
    <row r="1920" spans="1:18" x14ac:dyDescent="0.2">
      <c r="A1920" s="11">
        <v>4184</v>
      </c>
      <c r="B1920" s="11">
        <v>7</v>
      </c>
      <c r="C1920" s="11" t="s">
        <v>495</v>
      </c>
      <c r="D1920" s="11">
        <f t="shared" si="58"/>
        <v>5</v>
      </c>
      <c r="E1920">
        <f t="shared" si="59"/>
        <v>4184005</v>
      </c>
      <c r="F1920" s="11">
        <v>484</v>
      </c>
      <c r="G1920" s="11" t="s">
        <v>20</v>
      </c>
      <c r="H1920" s="3">
        <v>976.5</v>
      </c>
      <c r="K1920" s="11"/>
      <c r="L1920" s="11"/>
      <c r="M1920" s="11"/>
      <c r="N1920" s="11"/>
      <c r="P1920" s="11"/>
      <c r="Q1920" s="11"/>
      <c r="R1920" s="3"/>
    </row>
    <row r="1921" spans="1:18" x14ac:dyDescent="0.2">
      <c r="A1921" s="11">
        <v>4185</v>
      </c>
      <c r="B1921" s="11">
        <v>7</v>
      </c>
      <c r="C1921" s="11" t="s">
        <v>496</v>
      </c>
      <c r="D1921" s="11">
        <f t="shared" si="58"/>
        <v>1</v>
      </c>
      <c r="E1921">
        <f t="shared" si="59"/>
        <v>4185001</v>
      </c>
      <c r="F1921" s="11">
        <v>401</v>
      </c>
      <c r="G1921" s="11" t="s">
        <v>29</v>
      </c>
      <c r="H1921" s="3">
        <v>14042.75</v>
      </c>
      <c r="K1921" s="11"/>
      <c r="L1921" s="11"/>
      <c r="M1921" s="11"/>
      <c r="N1921" s="11"/>
      <c r="P1921" s="11"/>
      <c r="Q1921" s="11"/>
      <c r="R1921" s="3"/>
    </row>
    <row r="1922" spans="1:18" x14ac:dyDescent="0.2">
      <c r="A1922" s="11">
        <v>4185</v>
      </c>
      <c r="B1922" s="11">
        <v>7</v>
      </c>
      <c r="C1922" s="11" t="s">
        <v>496</v>
      </c>
      <c r="D1922" s="11">
        <f t="shared" si="58"/>
        <v>2</v>
      </c>
      <c r="E1922">
        <f t="shared" si="59"/>
        <v>4185002</v>
      </c>
      <c r="F1922" s="11">
        <v>414</v>
      </c>
      <c r="G1922" s="11" t="s">
        <v>9</v>
      </c>
      <c r="H1922" s="3">
        <v>5542.39</v>
      </c>
      <c r="K1922" s="11"/>
      <c r="L1922" s="11"/>
      <c r="M1922" s="11"/>
      <c r="N1922" s="11"/>
      <c r="P1922" s="11"/>
      <c r="Q1922" s="11"/>
      <c r="R1922" s="3"/>
    </row>
    <row r="1923" spans="1:18" x14ac:dyDescent="0.2">
      <c r="A1923" s="11">
        <v>4185</v>
      </c>
      <c r="B1923" s="11">
        <v>7</v>
      </c>
      <c r="C1923" s="11" t="s">
        <v>496</v>
      </c>
      <c r="D1923" s="11">
        <f t="shared" si="58"/>
        <v>3</v>
      </c>
      <c r="E1923">
        <f t="shared" si="59"/>
        <v>4185003</v>
      </c>
      <c r="F1923" s="11">
        <v>419</v>
      </c>
      <c r="G1923" s="11" t="s">
        <v>10</v>
      </c>
      <c r="H1923" s="3">
        <v>23891.41</v>
      </c>
      <c r="K1923" s="11"/>
      <c r="L1923" s="11"/>
      <c r="M1923" s="11"/>
      <c r="N1923" s="11"/>
      <c r="P1923" s="11"/>
      <c r="Q1923" s="11"/>
      <c r="R1923" s="3"/>
    </row>
    <row r="1924" spans="1:18" x14ac:dyDescent="0.2">
      <c r="A1924" s="11">
        <v>4185</v>
      </c>
      <c r="B1924" s="11">
        <v>7</v>
      </c>
      <c r="C1924" s="11" t="s">
        <v>496</v>
      </c>
      <c r="D1924" s="11">
        <f t="shared" si="58"/>
        <v>4</v>
      </c>
      <c r="E1924">
        <f t="shared" si="59"/>
        <v>4185004</v>
      </c>
      <c r="F1924" s="11">
        <v>425</v>
      </c>
      <c r="G1924" s="11" t="s">
        <v>49</v>
      </c>
      <c r="H1924" s="3">
        <v>2442.09</v>
      </c>
      <c r="K1924" s="11"/>
      <c r="L1924" s="11"/>
      <c r="M1924" s="11"/>
      <c r="N1924" s="11"/>
      <c r="P1924" s="11"/>
      <c r="Q1924" s="11"/>
      <c r="R1924" s="3"/>
    </row>
    <row r="1925" spans="1:18" x14ac:dyDescent="0.2">
      <c r="A1925" s="11">
        <v>4185</v>
      </c>
      <c r="B1925" s="11">
        <v>7</v>
      </c>
      <c r="C1925" s="11" t="s">
        <v>496</v>
      </c>
      <c r="D1925" s="11">
        <f t="shared" si="58"/>
        <v>5</v>
      </c>
      <c r="E1925">
        <f t="shared" si="59"/>
        <v>4185005</v>
      </c>
      <c r="F1925" s="11">
        <v>433</v>
      </c>
      <c r="G1925" s="11" t="s">
        <v>30</v>
      </c>
      <c r="H1925" s="3">
        <v>408.59</v>
      </c>
      <c r="K1925" s="11"/>
      <c r="L1925" s="11"/>
      <c r="M1925" s="11"/>
      <c r="N1925" s="11"/>
      <c r="P1925" s="11"/>
      <c r="Q1925" s="11"/>
      <c r="R1925" s="3"/>
    </row>
    <row r="1926" spans="1:18" x14ac:dyDescent="0.2">
      <c r="A1926" s="11">
        <v>4185</v>
      </c>
      <c r="B1926" s="11">
        <v>7</v>
      </c>
      <c r="C1926" s="11" t="s">
        <v>496</v>
      </c>
      <c r="D1926" s="11">
        <f t="shared" si="58"/>
        <v>6</v>
      </c>
      <c r="E1926">
        <f t="shared" si="59"/>
        <v>4185006</v>
      </c>
      <c r="F1926" s="11">
        <v>470</v>
      </c>
      <c r="G1926" s="11" t="s">
        <v>6</v>
      </c>
      <c r="H1926" s="3">
        <v>10226.6</v>
      </c>
      <c r="K1926" s="11"/>
      <c r="L1926" s="11"/>
      <c r="M1926" s="11"/>
      <c r="N1926" s="11"/>
      <c r="P1926" s="11"/>
      <c r="Q1926" s="11"/>
      <c r="R1926" s="3"/>
    </row>
    <row r="1927" spans="1:18" x14ac:dyDescent="0.2">
      <c r="A1927" s="11">
        <v>4185</v>
      </c>
      <c r="B1927" s="11">
        <v>7</v>
      </c>
      <c r="C1927" s="11" t="s">
        <v>496</v>
      </c>
      <c r="D1927" s="11">
        <f t="shared" si="58"/>
        <v>7</v>
      </c>
      <c r="E1927">
        <f t="shared" si="59"/>
        <v>4185007</v>
      </c>
      <c r="F1927" s="11">
        <v>481</v>
      </c>
      <c r="G1927" s="11" t="s">
        <v>379</v>
      </c>
      <c r="H1927" s="3">
        <v>3057.91</v>
      </c>
      <c r="K1927" s="11"/>
      <c r="L1927" s="11"/>
      <c r="M1927" s="11"/>
      <c r="N1927" s="11"/>
      <c r="P1927" s="11"/>
      <c r="Q1927" s="11"/>
      <c r="R1927" s="3"/>
    </row>
    <row r="1928" spans="1:18" x14ac:dyDescent="0.2">
      <c r="A1928" s="11">
        <v>4185</v>
      </c>
      <c r="B1928" s="11">
        <v>7</v>
      </c>
      <c r="C1928" s="11" t="s">
        <v>496</v>
      </c>
      <c r="D1928" s="11">
        <f t="shared" si="58"/>
        <v>8</v>
      </c>
      <c r="E1928">
        <f t="shared" si="59"/>
        <v>4185008</v>
      </c>
      <c r="F1928" s="11">
        <v>484</v>
      </c>
      <c r="G1928" s="11" t="s">
        <v>20</v>
      </c>
      <c r="H1928" s="3">
        <v>1350.31</v>
      </c>
      <c r="K1928" s="11"/>
      <c r="L1928" s="11"/>
      <c r="M1928" s="11"/>
      <c r="N1928" s="11"/>
      <c r="P1928" s="11"/>
      <c r="Q1928" s="11"/>
      <c r="R1928" s="3"/>
    </row>
    <row r="1929" spans="1:18" x14ac:dyDescent="0.2">
      <c r="A1929" s="11">
        <v>4186</v>
      </c>
      <c r="B1929" s="11">
        <v>7</v>
      </c>
      <c r="C1929" s="11" t="s">
        <v>497</v>
      </c>
      <c r="D1929" s="11">
        <f t="shared" si="58"/>
        <v>1</v>
      </c>
      <c r="E1929">
        <f t="shared" si="59"/>
        <v>4186001</v>
      </c>
      <c r="F1929" s="11">
        <v>433</v>
      </c>
      <c r="G1929" s="11" t="s">
        <v>30</v>
      </c>
      <c r="H1929" s="3">
        <v>1916.42</v>
      </c>
      <c r="K1929" s="11"/>
      <c r="L1929" s="11"/>
      <c r="M1929" s="11"/>
      <c r="N1929" s="11"/>
      <c r="P1929" s="11"/>
      <c r="Q1929" s="11"/>
      <c r="R1929" s="3"/>
    </row>
    <row r="1930" spans="1:18" x14ac:dyDescent="0.2">
      <c r="A1930" s="11">
        <v>4186</v>
      </c>
      <c r="B1930" s="11">
        <v>7</v>
      </c>
      <c r="C1930" s="11" t="s">
        <v>497</v>
      </c>
      <c r="D1930" s="11">
        <f t="shared" si="58"/>
        <v>2</v>
      </c>
      <c r="E1930">
        <f t="shared" si="59"/>
        <v>4186002</v>
      </c>
      <c r="F1930" s="11">
        <v>470</v>
      </c>
      <c r="G1930" s="11" t="s">
        <v>6</v>
      </c>
      <c r="H1930" s="3">
        <v>74995.05</v>
      </c>
      <c r="K1930" s="11"/>
      <c r="L1930" s="11"/>
      <c r="M1930" s="11"/>
      <c r="N1930" s="11"/>
      <c r="P1930" s="11"/>
      <c r="Q1930" s="11"/>
      <c r="R1930" s="3"/>
    </row>
    <row r="1931" spans="1:18" x14ac:dyDescent="0.2">
      <c r="A1931" s="11">
        <v>4186</v>
      </c>
      <c r="B1931" s="11">
        <v>7</v>
      </c>
      <c r="C1931" s="11" t="s">
        <v>497</v>
      </c>
      <c r="D1931" s="11">
        <f t="shared" si="58"/>
        <v>3</v>
      </c>
      <c r="E1931">
        <f t="shared" si="59"/>
        <v>4186003</v>
      </c>
      <c r="F1931" s="11">
        <v>706</v>
      </c>
      <c r="G1931" s="11" t="s">
        <v>114</v>
      </c>
      <c r="H1931" s="3">
        <v>20353</v>
      </c>
      <c r="K1931" s="11"/>
      <c r="L1931" s="11"/>
      <c r="M1931" s="11"/>
      <c r="N1931" s="11"/>
      <c r="P1931" s="11"/>
      <c r="Q1931" s="11"/>
      <c r="R1931" s="3"/>
    </row>
    <row r="1932" spans="1:18" x14ac:dyDescent="0.2">
      <c r="A1932" s="11">
        <v>4187</v>
      </c>
      <c r="B1932" s="11">
        <v>7</v>
      </c>
      <c r="C1932" s="11" t="s">
        <v>498</v>
      </c>
      <c r="D1932" s="11">
        <f t="shared" si="58"/>
        <v>1</v>
      </c>
      <c r="E1932">
        <f t="shared" si="59"/>
        <v>4187001</v>
      </c>
      <c r="F1932" s="11">
        <v>425</v>
      </c>
      <c r="G1932" s="11" t="s">
        <v>49</v>
      </c>
      <c r="H1932" s="3">
        <v>792.9</v>
      </c>
      <c r="K1932" s="11"/>
      <c r="L1932" s="11"/>
      <c r="M1932" s="11"/>
      <c r="N1932" s="11"/>
      <c r="P1932" s="11"/>
      <c r="Q1932" s="11"/>
      <c r="R1932" s="3"/>
    </row>
    <row r="1933" spans="1:18" x14ac:dyDescent="0.2">
      <c r="A1933" s="11">
        <v>4187</v>
      </c>
      <c r="B1933" s="11">
        <v>7</v>
      </c>
      <c r="C1933" s="11" t="s">
        <v>498</v>
      </c>
      <c r="D1933" s="11">
        <f t="shared" si="58"/>
        <v>2</v>
      </c>
      <c r="E1933">
        <f t="shared" si="59"/>
        <v>4187002</v>
      </c>
      <c r="F1933" s="11">
        <v>481</v>
      </c>
      <c r="G1933" s="11" t="s">
        <v>379</v>
      </c>
      <c r="H1933" s="3">
        <v>1039.1199999999999</v>
      </c>
      <c r="K1933" s="11"/>
      <c r="L1933" s="11"/>
      <c r="M1933" s="11"/>
      <c r="N1933" s="11"/>
      <c r="P1933" s="11"/>
      <c r="Q1933" s="11"/>
      <c r="R1933" s="3"/>
    </row>
    <row r="1934" spans="1:18" x14ac:dyDescent="0.2">
      <c r="A1934" s="11">
        <v>4189</v>
      </c>
      <c r="B1934" s="11">
        <v>7</v>
      </c>
      <c r="C1934" s="11" t="s">
        <v>499</v>
      </c>
      <c r="D1934" s="11">
        <f t="shared" si="58"/>
        <v>1</v>
      </c>
      <c r="E1934">
        <f t="shared" si="59"/>
        <v>4189001</v>
      </c>
      <c r="F1934" s="11">
        <v>401</v>
      </c>
      <c r="G1934" s="11" t="s">
        <v>29</v>
      </c>
      <c r="H1934" s="3">
        <v>13955.78</v>
      </c>
      <c r="K1934" s="11"/>
      <c r="L1934" s="11"/>
      <c r="M1934" s="11"/>
      <c r="N1934" s="11"/>
      <c r="P1934" s="11"/>
      <c r="Q1934" s="11"/>
      <c r="R1934" s="3"/>
    </row>
    <row r="1935" spans="1:18" x14ac:dyDescent="0.2">
      <c r="A1935" s="11">
        <v>4189</v>
      </c>
      <c r="B1935" s="11">
        <v>7</v>
      </c>
      <c r="C1935" s="11" t="s">
        <v>499</v>
      </c>
      <c r="D1935" s="11">
        <f t="shared" ref="D1935:D1998" si="60">IF(A1935=A1934,D1934+1,1)</f>
        <v>2</v>
      </c>
      <c r="E1935">
        <f t="shared" ref="E1935:E1998" si="61">1000*A1935+D1935</f>
        <v>4189002</v>
      </c>
      <c r="F1935" s="11">
        <v>414</v>
      </c>
      <c r="G1935" s="11" t="s">
        <v>9</v>
      </c>
      <c r="H1935" s="3">
        <v>3320.17</v>
      </c>
      <c r="K1935" s="11"/>
      <c r="L1935" s="11"/>
      <c r="M1935" s="11"/>
      <c r="N1935" s="11"/>
      <c r="P1935" s="11"/>
      <c r="Q1935" s="11"/>
      <c r="R1935" s="3"/>
    </row>
    <row r="1936" spans="1:18" x14ac:dyDescent="0.2">
      <c r="A1936" s="11">
        <v>4191</v>
      </c>
      <c r="B1936" s="11">
        <v>7</v>
      </c>
      <c r="C1936" s="11" t="s">
        <v>500</v>
      </c>
      <c r="D1936" s="11">
        <f t="shared" si="60"/>
        <v>1</v>
      </c>
      <c r="E1936">
        <f t="shared" si="61"/>
        <v>4191001</v>
      </c>
      <c r="F1936" s="11">
        <v>401</v>
      </c>
      <c r="G1936" s="11" t="s">
        <v>29</v>
      </c>
      <c r="H1936" s="3">
        <v>28995.98</v>
      </c>
      <c r="K1936" s="11"/>
      <c r="L1936" s="11"/>
      <c r="M1936" s="11"/>
      <c r="N1936" s="11"/>
      <c r="P1936" s="11"/>
      <c r="Q1936" s="11"/>
      <c r="R1936" s="3"/>
    </row>
    <row r="1937" spans="1:18" x14ac:dyDescent="0.2">
      <c r="A1937" s="11">
        <v>4191</v>
      </c>
      <c r="B1937" s="11">
        <v>7</v>
      </c>
      <c r="C1937" s="11" t="s">
        <v>500</v>
      </c>
      <c r="D1937" s="11">
        <f t="shared" si="60"/>
        <v>2</v>
      </c>
      <c r="E1937">
        <f t="shared" si="61"/>
        <v>4191002</v>
      </c>
      <c r="F1937" s="11">
        <v>414</v>
      </c>
      <c r="G1937" s="11" t="s">
        <v>9</v>
      </c>
      <c r="H1937" s="3">
        <v>8066.72</v>
      </c>
      <c r="K1937" s="11"/>
      <c r="L1937" s="11"/>
      <c r="M1937" s="11"/>
      <c r="N1937" s="11"/>
      <c r="P1937" s="11"/>
      <c r="Q1937" s="11"/>
      <c r="R1937" s="3"/>
    </row>
    <row r="1938" spans="1:18" x14ac:dyDescent="0.2">
      <c r="A1938" s="11">
        <v>4191</v>
      </c>
      <c r="B1938" s="11">
        <v>7</v>
      </c>
      <c r="C1938" s="11" t="s">
        <v>500</v>
      </c>
      <c r="D1938" s="11">
        <f t="shared" si="60"/>
        <v>3</v>
      </c>
      <c r="E1938">
        <f t="shared" si="61"/>
        <v>4191003</v>
      </c>
      <c r="F1938" s="11">
        <v>433</v>
      </c>
      <c r="G1938" s="11" t="s">
        <v>30</v>
      </c>
      <c r="H1938" s="3">
        <v>482.67</v>
      </c>
      <c r="K1938" s="11"/>
      <c r="L1938" s="11"/>
      <c r="M1938" s="11"/>
      <c r="N1938" s="11"/>
      <c r="P1938" s="11"/>
      <c r="Q1938" s="11"/>
      <c r="R1938" s="3"/>
    </row>
    <row r="1939" spans="1:18" x14ac:dyDescent="0.2">
      <c r="A1939" s="11">
        <v>4191</v>
      </c>
      <c r="B1939" s="11">
        <v>7</v>
      </c>
      <c r="C1939" s="11" t="s">
        <v>500</v>
      </c>
      <c r="D1939" s="11">
        <f t="shared" si="60"/>
        <v>4</v>
      </c>
      <c r="E1939">
        <f t="shared" si="61"/>
        <v>4191004</v>
      </c>
      <c r="F1939" s="11">
        <v>470</v>
      </c>
      <c r="G1939" s="11" t="s">
        <v>6</v>
      </c>
      <c r="H1939" s="3">
        <v>18748.759999999998</v>
      </c>
      <c r="K1939" s="11"/>
      <c r="L1939" s="11"/>
      <c r="M1939" s="11"/>
      <c r="N1939" s="11"/>
      <c r="P1939" s="11"/>
      <c r="Q1939" s="11"/>
      <c r="R1939" s="3"/>
    </row>
    <row r="1940" spans="1:18" x14ac:dyDescent="0.2">
      <c r="A1940" s="11">
        <v>4192</v>
      </c>
      <c r="B1940" s="11">
        <v>7</v>
      </c>
      <c r="C1940" s="11" t="s">
        <v>501</v>
      </c>
      <c r="D1940" s="11">
        <f t="shared" si="60"/>
        <v>1</v>
      </c>
      <c r="E1940">
        <f t="shared" si="61"/>
        <v>4192001</v>
      </c>
      <c r="F1940" s="11">
        <v>433</v>
      </c>
      <c r="G1940" s="11" t="s">
        <v>30</v>
      </c>
      <c r="H1940" s="3">
        <v>1658.92</v>
      </c>
      <c r="K1940" s="11"/>
      <c r="L1940" s="11"/>
      <c r="M1940" s="11"/>
      <c r="N1940" s="11"/>
      <c r="P1940" s="11"/>
      <c r="Q1940" s="11"/>
      <c r="R1940" s="3"/>
    </row>
    <row r="1941" spans="1:18" x14ac:dyDescent="0.2">
      <c r="A1941" s="11">
        <v>4193</v>
      </c>
      <c r="B1941" s="11">
        <v>7</v>
      </c>
      <c r="C1941" s="11" t="s">
        <v>502</v>
      </c>
      <c r="D1941" s="11">
        <f t="shared" si="60"/>
        <v>1</v>
      </c>
      <c r="E1941">
        <f t="shared" si="61"/>
        <v>4193001</v>
      </c>
      <c r="F1941" s="11">
        <v>419</v>
      </c>
      <c r="G1941" s="11" t="s">
        <v>10</v>
      </c>
      <c r="H1941" s="3">
        <v>15366.33</v>
      </c>
      <c r="K1941" s="11"/>
      <c r="L1941" s="11"/>
      <c r="M1941" s="11"/>
      <c r="N1941" s="11"/>
      <c r="P1941" s="11"/>
      <c r="Q1941" s="11"/>
      <c r="R1941" s="3"/>
    </row>
    <row r="1942" spans="1:18" x14ac:dyDescent="0.2">
      <c r="A1942" s="11">
        <v>4193</v>
      </c>
      <c r="B1942" s="11">
        <v>7</v>
      </c>
      <c r="C1942" s="11" t="s">
        <v>502</v>
      </c>
      <c r="D1942" s="11">
        <f t="shared" si="60"/>
        <v>2</v>
      </c>
      <c r="E1942">
        <f t="shared" si="61"/>
        <v>4193002</v>
      </c>
      <c r="F1942" s="11">
        <v>433</v>
      </c>
      <c r="G1942" s="11" t="s">
        <v>30</v>
      </c>
      <c r="H1942" s="3">
        <v>1021.11</v>
      </c>
      <c r="K1942" s="11"/>
      <c r="L1942" s="11"/>
      <c r="M1942" s="11"/>
      <c r="N1942" s="11"/>
      <c r="P1942" s="11"/>
      <c r="Q1942" s="11"/>
      <c r="R1942" s="3"/>
    </row>
    <row r="1943" spans="1:18" x14ac:dyDescent="0.2">
      <c r="A1943" s="11">
        <v>4193</v>
      </c>
      <c r="B1943" s="11">
        <v>7</v>
      </c>
      <c r="C1943" s="11" t="s">
        <v>502</v>
      </c>
      <c r="D1943" s="11">
        <f t="shared" si="60"/>
        <v>3</v>
      </c>
      <c r="E1943">
        <f t="shared" si="61"/>
        <v>4193003</v>
      </c>
      <c r="F1943" s="11">
        <v>480</v>
      </c>
      <c r="G1943" s="11" t="s">
        <v>19</v>
      </c>
      <c r="H1943" s="3">
        <v>25978.07</v>
      </c>
      <c r="K1943" s="11"/>
      <c r="L1943" s="11"/>
      <c r="M1943" s="11"/>
      <c r="N1943" s="11"/>
      <c r="P1943" s="11"/>
      <c r="Q1943" s="11"/>
      <c r="R1943" s="3"/>
    </row>
    <row r="1944" spans="1:18" x14ac:dyDescent="0.2">
      <c r="A1944" s="11">
        <v>4194</v>
      </c>
      <c r="B1944" s="11">
        <v>7</v>
      </c>
      <c r="C1944" s="11" t="s">
        <v>503</v>
      </c>
      <c r="D1944" s="11">
        <f t="shared" si="60"/>
        <v>1</v>
      </c>
      <c r="E1944">
        <f t="shared" si="61"/>
        <v>4194001</v>
      </c>
      <c r="F1944" s="11">
        <v>414</v>
      </c>
      <c r="G1944" s="11" t="s">
        <v>9</v>
      </c>
      <c r="H1944" s="3">
        <v>3859.66</v>
      </c>
      <c r="K1944" s="11"/>
      <c r="L1944" s="11"/>
      <c r="M1944" s="11"/>
      <c r="N1944" s="11"/>
      <c r="P1944" s="11"/>
      <c r="Q1944" s="11"/>
      <c r="R1944" s="3"/>
    </row>
    <row r="1945" spans="1:18" x14ac:dyDescent="0.2">
      <c r="A1945" s="11">
        <v>4194</v>
      </c>
      <c r="B1945" s="11">
        <v>7</v>
      </c>
      <c r="C1945" s="11" t="s">
        <v>503</v>
      </c>
      <c r="D1945" s="11">
        <f t="shared" si="60"/>
        <v>2</v>
      </c>
      <c r="E1945">
        <f t="shared" si="61"/>
        <v>4194002</v>
      </c>
      <c r="F1945" s="11">
        <v>425</v>
      </c>
      <c r="G1945" s="11" t="s">
        <v>49</v>
      </c>
      <c r="H1945" s="3">
        <v>2496.64</v>
      </c>
      <c r="K1945" s="11"/>
      <c r="L1945" s="11"/>
      <c r="M1945" s="11"/>
      <c r="N1945" s="11"/>
      <c r="P1945" s="11"/>
      <c r="Q1945" s="11"/>
      <c r="R1945" s="3"/>
    </row>
    <row r="1946" spans="1:18" x14ac:dyDescent="0.2">
      <c r="A1946" s="11">
        <v>4194</v>
      </c>
      <c r="B1946" s="11">
        <v>7</v>
      </c>
      <c r="C1946" s="11" t="s">
        <v>503</v>
      </c>
      <c r="D1946" s="11">
        <f t="shared" si="60"/>
        <v>3</v>
      </c>
      <c r="E1946">
        <f t="shared" si="61"/>
        <v>4194003</v>
      </c>
      <c r="F1946" s="11">
        <v>433</v>
      </c>
      <c r="G1946" s="11" t="s">
        <v>30</v>
      </c>
      <c r="H1946" s="3">
        <v>175.33</v>
      </c>
      <c r="K1946" s="11"/>
      <c r="L1946" s="11"/>
      <c r="M1946" s="11"/>
      <c r="N1946" s="11"/>
      <c r="P1946" s="11"/>
      <c r="Q1946" s="11"/>
      <c r="R1946" s="3"/>
    </row>
    <row r="1947" spans="1:18" x14ac:dyDescent="0.2">
      <c r="A1947" s="11">
        <v>4194</v>
      </c>
      <c r="B1947" s="11">
        <v>7</v>
      </c>
      <c r="C1947" s="11" t="s">
        <v>503</v>
      </c>
      <c r="D1947" s="11">
        <f t="shared" si="60"/>
        <v>4</v>
      </c>
      <c r="E1947">
        <f t="shared" si="61"/>
        <v>4194004</v>
      </c>
      <c r="F1947" s="11">
        <v>480</v>
      </c>
      <c r="G1947" s="11" t="s">
        <v>19</v>
      </c>
      <c r="H1947" s="3">
        <v>23917.78</v>
      </c>
      <c r="K1947" s="11"/>
      <c r="L1947" s="11"/>
      <c r="M1947" s="11"/>
      <c r="N1947" s="11"/>
      <c r="P1947" s="11"/>
      <c r="Q1947" s="11"/>
      <c r="R1947" s="3"/>
    </row>
    <row r="1948" spans="1:18" x14ac:dyDescent="0.2">
      <c r="A1948" s="11">
        <v>4194</v>
      </c>
      <c r="B1948" s="11">
        <v>7</v>
      </c>
      <c r="C1948" s="11" t="s">
        <v>503</v>
      </c>
      <c r="D1948" s="11">
        <f t="shared" si="60"/>
        <v>5</v>
      </c>
      <c r="E1948">
        <f t="shared" si="61"/>
        <v>4194005</v>
      </c>
      <c r="F1948" s="11">
        <v>481</v>
      </c>
      <c r="G1948" s="11" t="s">
        <v>379</v>
      </c>
      <c r="H1948" s="3">
        <v>4220.78</v>
      </c>
      <c r="K1948" s="11"/>
      <c r="L1948" s="11"/>
      <c r="M1948" s="11"/>
      <c r="N1948" s="11"/>
      <c r="P1948" s="11"/>
      <c r="Q1948" s="11"/>
      <c r="R1948" s="3"/>
    </row>
    <row r="1949" spans="1:18" x14ac:dyDescent="0.2">
      <c r="A1949" s="11">
        <v>4195</v>
      </c>
      <c r="B1949" s="11">
        <v>7</v>
      </c>
      <c r="C1949" s="11" t="s">
        <v>504</v>
      </c>
      <c r="D1949" s="11">
        <f t="shared" si="60"/>
        <v>1</v>
      </c>
      <c r="E1949">
        <f t="shared" si="61"/>
        <v>4195001</v>
      </c>
      <c r="F1949" s="11">
        <v>401</v>
      </c>
      <c r="G1949" s="11" t="s">
        <v>29</v>
      </c>
      <c r="H1949" s="3">
        <v>16206.71</v>
      </c>
      <c r="K1949" s="11"/>
      <c r="L1949" s="11"/>
      <c r="M1949" s="11"/>
      <c r="N1949" s="11"/>
      <c r="P1949" s="11"/>
      <c r="Q1949" s="11"/>
      <c r="R1949" s="3"/>
    </row>
    <row r="1950" spans="1:18" x14ac:dyDescent="0.2">
      <c r="A1950" s="11">
        <v>4195</v>
      </c>
      <c r="B1950" s="11">
        <v>7</v>
      </c>
      <c r="C1950" s="11" t="s">
        <v>504</v>
      </c>
      <c r="D1950" s="11">
        <f t="shared" si="60"/>
        <v>2</v>
      </c>
      <c r="E1950">
        <f t="shared" si="61"/>
        <v>4195002</v>
      </c>
      <c r="F1950" s="11">
        <v>414</v>
      </c>
      <c r="G1950" s="11" t="s">
        <v>9</v>
      </c>
      <c r="H1950" s="3">
        <v>4489.67</v>
      </c>
      <c r="K1950" s="11"/>
      <c r="L1950" s="11"/>
      <c r="M1950" s="11"/>
      <c r="N1950" s="11"/>
      <c r="P1950" s="11"/>
      <c r="Q1950" s="11"/>
      <c r="R1950" s="3"/>
    </row>
    <row r="1951" spans="1:18" x14ac:dyDescent="0.2">
      <c r="A1951" s="11">
        <v>4195</v>
      </c>
      <c r="B1951" s="11">
        <v>7</v>
      </c>
      <c r="C1951" s="11" t="s">
        <v>504</v>
      </c>
      <c r="D1951" s="11">
        <f t="shared" si="60"/>
        <v>3</v>
      </c>
      <c r="E1951">
        <f t="shared" si="61"/>
        <v>4195003</v>
      </c>
      <c r="F1951" s="11">
        <v>433</v>
      </c>
      <c r="G1951" s="11" t="s">
        <v>30</v>
      </c>
      <c r="H1951" s="3">
        <v>265.02999999999997</v>
      </c>
      <c r="K1951" s="11"/>
      <c r="L1951" s="11"/>
      <c r="M1951" s="11"/>
      <c r="N1951" s="11"/>
      <c r="P1951" s="11"/>
      <c r="Q1951" s="11"/>
      <c r="R1951" s="3"/>
    </row>
    <row r="1952" spans="1:18" x14ac:dyDescent="0.2">
      <c r="A1952" s="11">
        <v>4196</v>
      </c>
      <c r="B1952" s="11">
        <v>7</v>
      </c>
      <c r="C1952" s="11" t="s">
        <v>505</v>
      </c>
      <c r="D1952" s="11">
        <f t="shared" si="60"/>
        <v>1</v>
      </c>
      <c r="E1952">
        <f t="shared" si="61"/>
        <v>4196001</v>
      </c>
      <c r="F1952" s="11">
        <v>419</v>
      </c>
      <c r="G1952" s="11" t="s">
        <v>10</v>
      </c>
      <c r="H1952" s="3">
        <v>8707.59</v>
      </c>
      <c r="K1952" s="11"/>
      <c r="L1952" s="11"/>
      <c r="M1952" s="11"/>
      <c r="N1952" s="11"/>
      <c r="P1952" s="11"/>
      <c r="Q1952" s="11"/>
      <c r="R1952" s="3"/>
    </row>
    <row r="1953" spans="1:18" x14ac:dyDescent="0.2">
      <c r="A1953" s="11">
        <v>6004</v>
      </c>
      <c r="B1953" s="11">
        <v>61</v>
      </c>
      <c r="C1953" s="11" t="s">
        <v>506</v>
      </c>
      <c r="D1953" s="11">
        <f t="shared" si="60"/>
        <v>1</v>
      </c>
      <c r="E1953">
        <f t="shared" si="61"/>
        <v>6004001</v>
      </c>
      <c r="F1953" s="11">
        <v>419</v>
      </c>
      <c r="G1953" s="11" t="s">
        <v>10</v>
      </c>
      <c r="H1953" s="3">
        <v>1904729.63</v>
      </c>
      <c r="K1953" s="11"/>
      <c r="L1953" s="11"/>
      <c r="M1953" s="11"/>
      <c r="N1953" s="11"/>
      <c r="P1953" s="11"/>
      <c r="Q1953" s="11"/>
      <c r="R1953" s="3"/>
    </row>
    <row r="1954" spans="1:18" x14ac:dyDescent="0.2">
      <c r="A1954" s="11">
        <v>6004</v>
      </c>
      <c r="B1954" s="11">
        <v>61</v>
      </c>
      <c r="C1954" s="11" t="s">
        <v>506</v>
      </c>
      <c r="D1954" s="11">
        <f t="shared" si="60"/>
        <v>2</v>
      </c>
      <c r="E1954">
        <f t="shared" si="61"/>
        <v>6004002</v>
      </c>
      <c r="F1954" s="11">
        <v>420</v>
      </c>
      <c r="G1954" s="11" t="s">
        <v>11</v>
      </c>
      <c r="H1954" s="3">
        <v>86579.33</v>
      </c>
      <c r="K1954" s="11"/>
      <c r="L1954" s="11"/>
      <c r="M1954" s="11"/>
      <c r="N1954" s="11"/>
      <c r="P1954" s="11"/>
      <c r="Q1954" s="11"/>
      <c r="R1954" s="3"/>
    </row>
    <row r="1955" spans="1:18" x14ac:dyDescent="0.2">
      <c r="A1955" s="11">
        <v>6004</v>
      </c>
      <c r="B1955" s="11">
        <v>61</v>
      </c>
      <c r="C1955" s="11" t="s">
        <v>506</v>
      </c>
      <c r="D1955" s="11">
        <f t="shared" si="60"/>
        <v>3</v>
      </c>
      <c r="E1955">
        <f t="shared" si="61"/>
        <v>6004003</v>
      </c>
      <c r="F1955" s="11">
        <v>422</v>
      </c>
      <c r="G1955" s="11" t="s">
        <v>12</v>
      </c>
      <c r="H1955" s="3">
        <v>58045.96</v>
      </c>
      <c r="K1955" s="11"/>
      <c r="L1955" s="11"/>
      <c r="M1955" s="11"/>
      <c r="N1955" s="11"/>
      <c r="P1955" s="11"/>
      <c r="Q1955" s="11"/>
      <c r="R1955" s="3"/>
    </row>
    <row r="1956" spans="1:18" x14ac:dyDescent="0.2">
      <c r="A1956" s="11">
        <v>6004</v>
      </c>
      <c r="B1956" s="11">
        <v>61</v>
      </c>
      <c r="C1956" s="11" t="s">
        <v>506</v>
      </c>
      <c r="D1956" s="11">
        <f t="shared" si="60"/>
        <v>4</v>
      </c>
      <c r="E1956">
        <f t="shared" si="61"/>
        <v>6004004</v>
      </c>
      <c r="F1956" s="11">
        <v>437</v>
      </c>
      <c r="G1956" s="11" t="s">
        <v>14</v>
      </c>
      <c r="H1956" s="3">
        <v>2895</v>
      </c>
      <c r="K1956" s="11"/>
      <c r="L1956" s="11"/>
      <c r="M1956" s="11"/>
      <c r="N1956" s="11"/>
      <c r="P1956" s="11"/>
      <c r="Q1956" s="11"/>
      <c r="R1956" s="3"/>
    </row>
    <row r="1957" spans="1:18" x14ac:dyDescent="0.2">
      <c r="A1957" s="11">
        <v>6004</v>
      </c>
      <c r="B1957" s="11">
        <v>61</v>
      </c>
      <c r="C1957" s="11" t="s">
        <v>506</v>
      </c>
      <c r="D1957" s="11">
        <f t="shared" si="60"/>
        <v>5</v>
      </c>
      <c r="E1957">
        <f t="shared" si="61"/>
        <v>6004005</v>
      </c>
      <c r="F1957" s="11">
        <v>484</v>
      </c>
      <c r="G1957" s="11" t="s">
        <v>20</v>
      </c>
      <c r="H1957" s="3">
        <v>88832.49</v>
      </c>
      <c r="K1957" s="11"/>
      <c r="L1957" s="11"/>
      <c r="M1957" s="11"/>
      <c r="N1957" s="11"/>
      <c r="P1957" s="11"/>
      <c r="Q1957" s="11"/>
      <c r="R1957" s="3"/>
    </row>
    <row r="1958" spans="1:18" x14ac:dyDescent="0.2">
      <c r="A1958" s="11">
        <v>6004</v>
      </c>
      <c r="B1958" s="11">
        <v>61</v>
      </c>
      <c r="C1958" s="11" t="s">
        <v>506</v>
      </c>
      <c r="D1958" s="11">
        <f t="shared" si="60"/>
        <v>6</v>
      </c>
      <c r="E1958">
        <f t="shared" si="61"/>
        <v>6004006</v>
      </c>
      <c r="F1958" s="11">
        <v>862</v>
      </c>
      <c r="G1958" s="11" t="s">
        <v>132</v>
      </c>
      <c r="H1958" s="3">
        <v>48480</v>
      </c>
      <c r="K1958" s="11"/>
      <c r="L1958" s="11"/>
      <c r="M1958" s="11"/>
      <c r="N1958" s="11"/>
      <c r="P1958" s="11"/>
      <c r="Q1958" s="11"/>
      <c r="R1958" s="3"/>
    </row>
    <row r="1959" spans="1:18" x14ac:dyDescent="0.2">
      <c r="A1959" s="11">
        <v>6009</v>
      </c>
      <c r="B1959" s="11">
        <v>61</v>
      </c>
      <c r="C1959" s="11" t="s">
        <v>507</v>
      </c>
      <c r="D1959" s="11">
        <f t="shared" si="60"/>
        <v>1</v>
      </c>
      <c r="E1959">
        <f t="shared" si="61"/>
        <v>6009001</v>
      </c>
      <c r="F1959" s="11">
        <v>422</v>
      </c>
      <c r="G1959" s="11" t="s">
        <v>12</v>
      </c>
      <c r="H1959" s="3">
        <v>58946.98</v>
      </c>
      <c r="K1959" s="11"/>
      <c r="L1959" s="11"/>
      <c r="M1959" s="11"/>
      <c r="N1959" s="11"/>
      <c r="P1959" s="11"/>
      <c r="Q1959" s="11"/>
      <c r="R1959" s="3"/>
    </row>
    <row r="1960" spans="1:18" x14ac:dyDescent="0.2">
      <c r="A1960" s="11">
        <v>6009</v>
      </c>
      <c r="B1960" s="11">
        <v>61</v>
      </c>
      <c r="C1960" s="11" t="s">
        <v>507</v>
      </c>
      <c r="D1960" s="11">
        <f t="shared" si="60"/>
        <v>2</v>
      </c>
      <c r="E1960">
        <f t="shared" si="61"/>
        <v>6009002</v>
      </c>
      <c r="F1960" s="11">
        <v>441</v>
      </c>
      <c r="G1960" s="11" t="s">
        <v>16</v>
      </c>
      <c r="H1960" s="3">
        <v>3925</v>
      </c>
      <c r="K1960" s="11"/>
      <c r="L1960" s="11"/>
      <c r="M1960" s="11"/>
      <c r="N1960" s="11"/>
      <c r="P1960" s="11"/>
      <c r="Q1960" s="11"/>
      <c r="R1960" s="3"/>
    </row>
    <row r="1961" spans="1:18" x14ac:dyDescent="0.2">
      <c r="A1961" s="11">
        <v>6009</v>
      </c>
      <c r="B1961" s="11">
        <v>61</v>
      </c>
      <c r="C1961" s="11" t="s">
        <v>507</v>
      </c>
      <c r="D1961" s="11">
        <f t="shared" si="60"/>
        <v>3</v>
      </c>
      <c r="E1961">
        <f t="shared" si="61"/>
        <v>6009003</v>
      </c>
      <c r="F1961" s="11">
        <v>486</v>
      </c>
      <c r="G1961" s="11" t="s">
        <v>21</v>
      </c>
      <c r="H1961" s="3">
        <v>28604.74</v>
      </c>
      <c r="K1961" s="11"/>
      <c r="L1961" s="11"/>
      <c r="M1961" s="11"/>
      <c r="N1961" s="11"/>
      <c r="P1961" s="11"/>
      <c r="Q1961" s="11"/>
      <c r="R1961" s="3"/>
    </row>
    <row r="1962" spans="1:18" x14ac:dyDescent="0.2">
      <c r="A1962" s="11">
        <v>6012</v>
      </c>
      <c r="B1962" s="11">
        <v>61</v>
      </c>
      <c r="C1962" s="11" t="s">
        <v>508</v>
      </c>
      <c r="D1962" s="11">
        <f t="shared" si="60"/>
        <v>1</v>
      </c>
      <c r="E1962">
        <f t="shared" si="61"/>
        <v>6012001</v>
      </c>
      <c r="F1962" s="11">
        <v>422</v>
      </c>
      <c r="G1962" s="11" t="s">
        <v>12</v>
      </c>
      <c r="H1962" s="3">
        <v>45870.93</v>
      </c>
      <c r="K1962" s="11"/>
      <c r="L1962" s="11"/>
      <c r="M1962" s="11"/>
      <c r="N1962" s="11"/>
      <c r="P1962" s="11"/>
      <c r="Q1962" s="11"/>
      <c r="R1962" s="3"/>
    </row>
    <row r="1963" spans="1:18" x14ac:dyDescent="0.2">
      <c r="A1963" s="11">
        <v>6012</v>
      </c>
      <c r="B1963" s="11">
        <v>61</v>
      </c>
      <c r="C1963" s="11" t="s">
        <v>508</v>
      </c>
      <c r="D1963" s="11">
        <f t="shared" si="60"/>
        <v>2</v>
      </c>
      <c r="E1963">
        <f t="shared" si="61"/>
        <v>6012002</v>
      </c>
      <c r="F1963" s="11">
        <v>437</v>
      </c>
      <c r="G1963" s="11" t="s">
        <v>14</v>
      </c>
      <c r="H1963" s="3">
        <v>2175</v>
      </c>
      <c r="K1963" s="11"/>
      <c r="L1963" s="11"/>
      <c r="M1963" s="11"/>
      <c r="N1963" s="11"/>
      <c r="P1963" s="11"/>
      <c r="Q1963" s="11"/>
      <c r="R1963" s="3"/>
    </row>
    <row r="1964" spans="1:18" x14ac:dyDescent="0.2">
      <c r="A1964" s="11">
        <v>6012</v>
      </c>
      <c r="B1964" s="11">
        <v>61</v>
      </c>
      <c r="C1964" s="11" t="s">
        <v>508</v>
      </c>
      <c r="D1964" s="11">
        <f t="shared" si="60"/>
        <v>3</v>
      </c>
      <c r="E1964">
        <f t="shared" si="61"/>
        <v>6012003</v>
      </c>
      <c r="F1964" s="11">
        <v>440</v>
      </c>
      <c r="G1964" s="11" t="s">
        <v>302</v>
      </c>
      <c r="H1964" s="3">
        <v>10000</v>
      </c>
      <c r="K1964" s="11"/>
      <c r="L1964" s="11"/>
      <c r="M1964" s="11"/>
      <c r="N1964" s="11"/>
      <c r="P1964" s="11"/>
      <c r="Q1964" s="11"/>
      <c r="R1964" s="3"/>
    </row>
    <row r="1965" spans="1:18" x14ac:dyDescent="0.2">
      <c r="A1965" s="11">
        <v>6012</v>
      </c>
      <c r="B1965" s="11">
        <v>61</v>
      </c>
      <c r="C1965" s="11" t="s">
        <v>508</v>
      </c>
      <c r="D1965" s="11">
        <f t="shared" si="60"/>
        <v>4</v>
      </c>
      <c r="E1965">
        <f t="shared" si="61"/>
        <v>6012004</v>
      </c>
      <c r="F1965" s="11">
        <v>441</v>
      </c>
      <c r="G1965" s="11" t="s">
        <v>16</v>
      </c>
      <c r="H1965" s="3">
        <v>3625</v>
      </c>
      <c r="K1965" s="11"/>
      <c r="L1965" s="11"/>
      <c r="M1965" s="11"/>
      <c r="N1965" s="11"/>
      <c r="P1965" s="11"/>
      <c r="Q1965" s="11"/>
      <c r="R1965" s="3"/>
    </row>
    <row r="1966" spans="1:18" x14ac:dyDescent="0.2">
      <c r="A1966" s="11">
        <v>6012</v>
      </c>
      <c r="B1966" s="11">
        <v>61</v>
      </c>
      <c r="C1966" s="11" t="s">
        <v>508</v>
      </c>
      <c r="D1966" s="11">
        <f t="shared" si="60"/>
        <v>5</v>
      </c>
      <c r="E1966">
        <f t="shared" si="61"/>
        <v>6012005</v>
      </c>
      <c r="F1966" s="11">
        <v>484</v>
      </c>
      <c r="G1966" s="11" t="s">
        <v>20</v>
      </c>
      <c r="H1966" s="3">
        <v>76178.37</v>
      </c>
      <c r="K1966" s="11"/>
      <c r="L1966" s="11"/>
      <c r="M1966" s="11"/>
      <c r="N1966" s="11"/>
      <c r="P1966" s="11"/>
      <c r="Q1966" s="11"/>
      <c r="R1966" s="3"/>
    </row>
    <row r="1967" spans="1:18" x14ac:dyDescent="0.2">
      <c r="A1967" s="11">
        <v>6012</v>
      </c>
      <c r="B1967" s="11">
        <v>61</v>
      </c>
      <c r="C1967" s="11" t="s">
        <v>508</v>
      </c>
      <c r="D1967" s="11">
        <f t="shared" si="60"/>
        <v>6</v>
      </c>
      <c r="E1967">
        <f t="shared" si="61"/>
        <v>6012006</v>
      </c>
      <c r="F1967" s="11">
        <v>487</v>
      </c>
      <c r="G1967" s="11" t="s">
        <v>298</v>
      </c>
      <c r="H1967" s="3">
        <v>126994</v>
      </c>
      <c r="K1967" s="11"/>
      <c r="L1967" s="11"/>
      <c r="M1967" s="11"/>
      <c r="N1967" s="11"/>
      <c r="P1967" s="11"/>
      <c r="Q1967" s="11"/>
      <c r="R1967" s="3"/>
    </row>
    <row r="1968" spans="1:18" x14ac:dyDescent="0.2">
      <c r="A1968" s="11">
        <v>6013</v>
      </c>
      <c r="B1968" s="11">
        <v>61</v>
      </c>
      <c r="C1968" s="11" t="s">
        <v>509</v>
      </c>
      <c r="D1968" s="11">
        <f t="shared" si="60"/>
        <v>1</v>
      </c>
      <c r="E1968">
        <f t="shared" si="61"/>
        <v>6013001</v>
      </c>
      <c r="F1968" s="11">
        <v>420</v>
      </c>
      <c r="G1968" s="11" t="s">
        <v>11</v>
      </c>
      <c r="H1968" s="3">
        <v>107060.28</v>
      </c>
      <c r="K1968" s="11"/>
      <c r="L1968" s="11"/>
      <c r="M1968" s="11"/>
      <c r="N1968" s="11"/>
      <c r="P1968" s="11"/>
      <c r="Q1968" s="11"/>
      <c r="R1968" s="3"/>
    </row>
    <row r="1969" spans="1:18" x14ac:dyDescent="0.2">
      <c r="A1969" s="11">
        <v>6013</v>
      </c>
      <c r="B1969" s="11">
        <v>61</v>
      </c>
      <c r="C1969" s="11" t="s">
        <v>509</v>
      </c>
      <c r="D1969" s="11">
        <f t="shared" si="60"/>
        <v>2</v>
      </c>
      <c r="E1969">
        <f t="shared" si="61"/>
        <v>6013002</v>
      </c>
      <c r="F1969" s="11">
        <v>805</v>
      </c>
      <c r="G1969" s="11" t="s">
        <v>90</v>
      </c>
      <c r="H1969" s="3">
        <v>30000</v>
      </c>
      <c r="K1969" s="11"/>
      <c r="L1969" s="11"/>
      <c r="M1969" s="11"/>
      <c r="N1969" s="11"/>
      <c r="P1969" s="11"/>
      <c r="Q1969" s="11"/>
      <c r="R1969" s="3"/>
    </row>
    <row r="1970" spans="1:18" x14ac:dyDescent="0.2">
      <c r="A1970" s="11">
        <v>6018</v>
      </c>
      <c r="B1970" s="11">
        <v>61</v>
      </c>
      <c r="C1970" s="11" t="s">
        <v>510</v>
      </c>
      <c r="D1970" s="11">
        <f t="shared" si="60"/>
        <v>1</v>
      </c>
      <c r="E1970">
        <f t="shared" si="61"/>
        <v>6018001</v>
      </c>
      <c r="F1970" s="11">
        <v>417</v>
      </c>
      <c r="G1970" s="11" t="s">
        <v>34</v>
      </c>
      <c r="H1970" s="3">
        <v>44665.19</v>
      </c>
      <c r="K1970" s="11"/>
      <c r="L1970" s="11"/>
      <c r="M1970" s="11"/>
      <c r="N1970" s="11"/>
      <c r="P1970" s="11"/>
      <c r="Q1970" s="11"/>
      <c r="R1970" s="3"/>
    </row>
    <row r="1971" spans="1:18" x14ac:dyDescent="0.2">
      <c r="A1971" s="11">
        <v>6018</v>
      </c>
      <c r="B1971" s="11">
        <v>61</v>
      </c>
      <c r="C1971" s="11" t="s">
        <v>510</v>
      </c>
      <c r="D1971" s="11">
        <f t="shared" si="60"/>
        <v>2</v>
      </c>
      <c r="E1971">
        <f t="shared" si="61"/>
        <v>6018002</v>
      </c>
      <c r="F1971" s="11">
        <v>419</v>
      </c>
      <c r="G1971" s="11" t="s">
        <v>10</v>
      </c>
      <c r="H1971" s="3">
        <v>435446.09</v>
      </c>
      <c r="K1971" s="11"/>
      <c r="L1971" s="11"/>
      <c r="M1971" s="11"/>
      <c r="N1971" s="11"/>
      <c r="P1971" s="11"/>
      <c r="Q1971" s="11"/>
      <c r="R1971" s="3"/>
    </row>
    <row r="1972" spans="1:18" x14ac:dyDescent="0.2">
      <c r="A1972" s="11">
        <v>6018</v>
      </c>
      <c r="B1972" s="11">
        <v>61</v>
      </c>
      <c r="C1972" s="11" t="s">
        <v>510</v>
      </c>
      <c r="D1972" s="11">
        <f t="shared" si="60"/>
        <v>3</v>
      </c>
      <c r="E1972">
        <f t="shared" si="61"/>
        <v>6018003</v>
      </c>
      <c r="F1972" s="11">
        <v>420</v>
      </c>
      <c r="G1972" s="11" t="s">
        <v>11</v>
      </c>
      <c r="H1972" s="3">
        <v>12682.63</v>
      </c>
      <c r="K1972" s="11"/>
      <c r="L1972" s="11"/>
      <c r="M1972" s="11"/>
      <c r="N1972" s="11"/>
      <c r="P1972" s="11"/>
      <c r="Q1972" s="11"/>
      <c r="R1972" s="3"/>
    </row>
    <row r="1973" spans="1:18" x14ac:dyDescent="0.2">
      <c r="A1973" s="11">
        <v>6018</v>
      </c>
      <c r="B1973" s="11">
        <v>61</v>
      </c>
      <c r="C1973" s="11" t="s">
        <v>510</v>
      </c>
      <c r="D1973" s="11">
        <f t="shared" si="60"/>
        <v>4</v>
      </c>
      <c r="E1973">
        <f t="shared" si="61"/>
        <v>6018004</v>
      </c>
      <c r="F1973" s="11">
        <v>484</v>
      </c>
      <c r="G1973" s="11" t="s">
        <v>20</v>
      </c>
      <c r="H1973" s="3">
        <v>17272.13</v>
      </c>
      <c r="K1973" s="11"/>
      <c r="L1973" s="11"/>
      <c r="M1973" s="11"/>
      <c r="N1973" s="11"/>
      <c r="P1973" s="11"/>
      <c r="Q1973" s="11"/>
      <c r="R1973" s="3"/>
    </row>
    <row r="1974" spans="1:18" x14ac:dyDescent="0.2">
      <c r="A1974" s="11">
        <v>6018</v>
      </c>
      <c r="B1974" s="11">
        <v>61</v>
      </c>
      <c r="C1974" s="11" t="s">
        <v>510</v>
      </c>
      <c r="D1974" s="11">
        <f t="shared" si="60"/>
        <v>5</v>
      </c>
      <c r="E1974">
        <f t="shared" si="61"/>
        <v>6018005</v>
      </c>
      <c r="F1974" s="11">
        <v>486</v>
      </c>
      <c r="G1974" s="11" t="s">
        <v>21</v>
      </c>
      <c r="H1974" s="3">
        <v>21811.11</v>
      </c>
      <c r="K1974" s="11"/>
      <c r="L1974" s="11"/>
      <c r="M1974" s="11"/>
      <c r="N1974" s="11"/>
      <c r="P1974" s="11"/>
      <c r="Q1974" s="11"/>
      <c r="R1974" s="3"/>
    </row>
    <row r="1975" spans="1:18" x14ac:dyDescent="0.2">
      <c r="A1975" s="11">
        <v>6026</v>
      </c>
      <c r="B1975" s="11">
        <v>61</v>
      </c>
      <c r="C1975" s="11" t="s">
        <v>511</v>
      </c>
      <c r="D1975" s="11">
        <f t="shared" si="60"/>
        <v>1</v>
      </c>
      <c r="E1975">
        <f t="shared" si="61"/>
        <v>6026001</v>
      </c>
      <c r="F1975" s="11">
        <v>437</v>
      </c>
      <c r="G1975" s="11" t="s">
        <v>14</v>
      </c>
      <c r="H1975" s="3">
        <v>1695</v>
      </c>
      <c r="K1975" s="11"/>
      <c r="L1975" s="11"/>
      <c r="M1975" s="11"/>
      <c r="N1975" s="11"/>
      <c r="P1975" s="11"/>
      <c r="Q1975" s="11"/>
      <c r="R1975" s="3"/>
    </row>
    <row r="1976" spans="1:18" x14ac:dyDescent="0.2">
      <c r="A1976" s="11">
        <v>6026</v>
      </c>
      <c r="B1976" s="11">
        <v>61</v>
      </c>
      <c r="C1976" s="11" t="s">
        <v>511</v>
      </c>
      <c r="D1976" s="11">
        <f t="shared" si="60"/>
        <v>2</v>
      </c>
      <c r="E1976">
        <f t="shared" si="61"/>
        <v>6026002</v>
      </c>
      <c r="F1976" s="11">
        <v>480</v>
      </c>
      <c r="G1976" s="11" t="s">
        <v>19</v>
      </c>
      <c r="H1976" s="3">
        <v>1185361.8799999999</v>
      </c>
      <c r="K1976" s="11"/>
      <c r="L1976" s="11"/>
      <c r="M1976" s="11"/>
      <c r="N1976" s="11"/>
      <c r="P1976" s="11"/>
      <c r="Q1976" s="11"/>
      <c r="R1976" s="3"/>
    </row>
    <row r="1977" spans="1:18" x14ac:dyDescent="0.2">
      <c r="A1977" s="11">
        <v>6027</v>
      </c>
      <c r="B1977" s="11">
        <v>61</v>
      </c>
      <c r="C1977" s="11" t="s">
        <v>512</v>
      </c>
      <c r="D1977" s="11">
        <f t="shared" si="60"/>
        <v>1</v>
      </c>
      <c r="E1977">
        <f t="shared" si="61"/>
        <v>6027001</v>
      </c>
      <c r="F1977" s="11">
        <v>422</v>
      </c>
      <c r="G1977" s="11" t="s">
        <v>12</v>
      </c>
      <c r="H1977" s="3">
        <v>40353.440000000002</v>
      </c>
      <c r="K1977" s="11"/>
      <c r="L1977" s="11"/>
      <c r="M1977" s="11"/>
      <c r="N1977" s="11"/>
      <c r="P1977" s="11"/>
      <c r="Q1977" s="11"/>
      <c r="R1977" s="3"/>
    </row>
    <row r="1978" spans="1:18" x14ac:dyDescent="0.2">
      <c r="A1978" s="11">
        <v>6027</v>
      </c>
      <c r="B1978" s="11">
        <v>61</v>
      </c>
      <c r="C1978" s="11" t="s">
        <v>512</v>
      </c>
      <c r="D1978" s="11">
        <f t="shared" si="60"/>
        <v>2</v>
      </c>
      <c r="E1978">
        <f t="shared" si="61"/>
        <v>6027002</v>
      </c>
      <c r="F1978" s="11">
        <v>437</v>
      </c>
      <c r="G1978" s="11" t="s">
        <v>14</v>
      </c>
      <c r="H1978" s="3">
        <v>2775</v>
      </c>
      <c r="K1978" s="11"/>
      <c r="L1978" s="11"/>
      <c r="M1978" s="11"/>
      <c r="N1978" s="11"/>
      <c r="P1978" s="11"/>
      <c r="Q1978" s="11"/>
      <c r="R1978" s="3"/>
    </row>
    <row r="1979" spans="1:18" x14ac:dyDescent="0.2">
      <c r="A1979" s="11">
        <v>6027</v>
      </c>
      <c r="B1979" s="11">
        <v>61</v>
      </c>
      <c r="C1979" s="11" t="s">
        <v>512</v>
      </c>
      <c r="D1979" s="11">
        <f t="shared" si="60"/>
        <v>3</v>
      </c>
      <c r="E1979">
        <f t="shared" si="61"/>
        <v>6027003</v>
      </c>
      <c r="F1979" s="11">
        <v>441</v>
      </c>
      <c r="G1979" s="11" t="s">
        <v>16</v>
      </c>
      <c r="H1979" s="3">
        <v>3975</v>
      </c>
      <c r="K1979" s="11"/>
      <c r="L1979" s="11"/>
      <c r="M1979" s="11"/>
      <c r="N1979" s="11"/>
      <c r="P1979" s="11"/>
      <c r="Q1979" s="11"/>
      <c r="R1979" s="3"/>
    </row>
    <row r="1980" spans="1:18" x14ac:dyDescent="0.2">
      <c r="A1980" s="11">
        <v>6027</v>
      </c>
      <c r="B1980" s="11">
        <v>61</v>
      </c>
      <c r="C1980" s="11" t="s">
        <v>512</v>
      </c>
      <c r="D1980" s="11">
        <f t="shared" si="60"/>
        <v>4</v>
      </c>
      <c r="E1980">
        <f t="shared" si="61"/>
        <v>6027004</v>
      </c>
      <c r="F1980" s="11">
        <v>480</v>
      </c>
      <c r="G1980" s="11" t="s">
        <v>19</v>
      </c>
      <c r="H1980" s="3">
        <v>1260213.6399999999</v>
      </c>
      <c r="K1980" s="11"/>
      <c r="L1980" s="11"/>
      <c r="M1980" s="11"/>
      <c r="N1980" s="11"/>
      <c r="P1980" s="11"/>
      <c r="Q1980" s="11"/>
      <c r="R1980" s="3"/>
    </row>
    <row r="1981" spans="1:18" x14ac:dyDescent="0.2">
      <c r="A1981" s="11">
        <v>6027</v>
      </c>
      <c r="B1981" s="11">
        <v>61</v>
      </c>
      <c r="C1981" s="11" t="s">
        <v>512</v>
      </c>
      <c r="D1981" s="11">
        <f t="shared" si="60"/>
        <v>5</v>
      </c>
      <c r="E1981">
        <f t="shared" si="61"/>
        <v>6027005</v>
      </c>
      <c r="F1981" s="11">
        <v>484</v>
      </c>
      <c r="G1981" s="11" t="s">
        <v>20</v>
      </c>
      <c r="H1981" s="3">
        <v>51615.03</v>
      </c>
      <c r="K1981" s="11"/>
      <c r="L1981" s="11"/>
      <c r="M1981" s="11"/>
      <c r="N1981" s="11"/>
      <c r="P1981" s="11"/>
      <c r="Q1981" s="11"/>
      <c r="R1981" s="3"/>
    </row>
    <row r="1982" spans="1:18" x14ac:dyDescent="0.2">
      <c r="A1982" s="11">
        <v>6027</v>
      </c>
      <c r="B1982" s="11">
        <v>61</v>
      </c>
      <c r="C1982" s="11" t="s">
        <v>512</v>
      </c>
      <c r="D1982" s="11">
        <f t="shared" si="60"/>
        <v>6</v>
      </c>
      <c r="E1982">
        <f t="shared" si="61"/>
        <v>6027006</v>
      </c>
      <c r="F1982" s="11">
        <v>486</v>
      </c>
      <c r="G1982" s="11" t="s">
        <v>21</v>
      </c>
      <c r="H1982" s="3">
        <v>83549.67</v>
      </c>
      <c r="K1982" s="11"/>
      <c r="L1982" s="11"/>
      <c r="M1982" s="11"/>
      <c r="N1982" s="11"/>
      <c r="P1982" s="11"/>
      <c r="Q1982" s="11"/>
      <c r="R1982" s="3"/>
    </row>
    <row r="1983" spans="1:18" x14ac:dyDescent="0.2">
      <c r="A1983" s="11">
        <v>6049</v>
      </c>
      <c r="B1983" s="11">
        <v>61</v>
      </c>
      <c r="C1983" s="11" t="s">
        <v>513</v>
      </c>
      <c r="D1983" s="11">
        <f t="shared" si="60"/>
        <v>1</v>
      </c>
      <c r="E1983">
        <f t="shared" si="61"/>
        <v>6049001</v>
      </c>
      <c r="F1983" s="11">
        <v>420</v>
      </c>
      <c r="G1983" s="11" t="s">
        <v>11</v>
      </c>
      <c r="H1983" s="3">
        <v>58807.67</v>
      </c>
      <c r="K1983" s="11"/>
      <c r="L1983" s="11"/>
      <c r="M1983" s="11"/>
      <c r="N1983" s="11"/>
      <c r="P1983" s="11"/>
      <c r="Q1983" s="11"/>
      <c r="R1983" s="3"/>
    </row>
    <row r="1984" spans="1:18" x14ac:dyDescent="0.2">
      <c r="A1984" s="11">
        <v>6049</v>
      </c>
      <c r="B1984" s="11">
        <v>61</v>
      </c>
      <c r="C1984" s="11" t="s">
        <v>513</v>
      </c>
      <c r="D1984" s="11">
        <f t="shared" si="60"/>
        <v>2</v>
      </c>
      <c r="E1984">
        <f t="shared" si="61"/>
        <v>6049002</v>
      </c>
      <c r="F1984" s="11">
        <v>484</v>
      </c>
      <c r="G1984" s="11" t="s">
        <v>20</v>
      </c>
      <c r="H1984" s="3">
        <v>73282.210000000006</v>
      </c>
      <c r="K1984" s="11"/>
      <c r="L1984" s="11"/>
      <c r="M1984" s="11"/>
      <c r="N1984" s="11"/>
      <c r="P1984" s="11"/>
      <c r="Q1984" s="11"/>
      <c r="R1984" s="3"/>
    </row>
    <row r="1985" spans="1:18" x14ac:dyDescent="0.2">
      <c r="A1985" s="11">
        <v>6049</v>
      </c>
      <c r="B1985" s="11">
        <v>61</v>
      </c>
      <c r="C1985" s="11" t="s">
        <v>513</v>
      </c>
      <c r="D1985" s="11">
        <f t="shared" si="60"/>
        <v>3</v>
      </c>
      <c r="E1985">
        <f t="shared" si="61"/>
        <v>6049003</v>
      </c>
      <c r="F1985" s="11">
        <v>486</v>
      </c>
      <c r="G1985" s="11" t="s">
        <v>21</v>
      </c>
      <c r="H1985" s="3">
        <v>47197.82</v>
      </c>
      <c r="K1985" s="11"/>
      <c r="L1985" s="11"/>
      <c r="M1985" s="11"/>
      <c r="N1985" s="11"/>
      <c r="P1985" s="11"/>
      <c r="Q1985" s="11"/>
      <c r="R1985" s="3"/>
    </row>
    <row r="1986" spans="1:18" x14ac:dyDescent="0.2">
      <c r="A1986" s="11">
        <v>6051</v>
      </c>
      <c r="B1986" s="11">
        <v>61</v>
      </c>
      <c r="C1986" s="11" t="s">
        <v>514</v>
      </c>
      <c r="D1986" s="11">
        <f t="shared" si="60"/>
        <v>1</v>
      </c>
      <c r="E1986">
        <f t="shared" si="61"/>
        <v>6051001</v>
      </c>
      <c r="F1986" s="11">
        <v>435</v>
      </c>
      <c r="G1986" s="11" t="s">
        <v>35</v>
      </c>
      <c r="H1986" s="3">
        <v>8330</v>
      </c>
      <c r="K1986" s="11"/>
      <c r="L1986" s="11"/>
      <c r="M1986" s="11"/>
      <c r="N1986" s="11"/>
      <c r="P1986" s="11"/>
      <c r="Q1986" s="11"/>
      <c r="R1986" s="3"/>
    </row>
    <row r="1987" spans="1:18" x14ac:dyDescent="0.2">
      <c r="A1987" s="11">
        <v>6051</v>
      </c>
      <c r="B1987" s="11">
        <v>61</v>
      </c>
      <c r="C1987" s="11" t="s">
        <v>514</v>
      </c>
      <c r="D1987" s="11">
        <f t="shared" si="60"/>
        <v>2</v>
      </c>
      <c r="E1987">
        <f t="shared" si="61"/>
        <v>6051002</v>
      </c>
      <c r="F1987" s="11">
        <v>484</v>
      </c>
      <c r="G1987" s="11" t="s">
        <v>20</v>
      </c>
      <c r="H1987" s="3">
        <v>57408.56</v>
      </c>
      <c r="K1987" s="11"/>
      <c r="L1987" s="11"/>
      <c r="M1987" s="11"/>
      <c r="N1987" s="11"/>
      <c r="P1987" s="11"/>
      <c r="Q1987" s="11"/>
      <c r="R1987" s="3"/>
    </row>
    <row r="1988" spans="1:18" x14ac:dyDescent="0.2">
      <c r="A1988" s="11">
        <v>6051</v>
      </c>
      <c r="B1988" s="11">
        <v>61</v>
      </c>
      <c r="C1988" s="11" t="s">
        <v>514</v>
      </c>
      <c r="D1988" s="11">
        <f t="shared" si="60"/>
        <v>3</v>
      </c>
      <c r="E1988">
        <f t="shared" si="61"/>
        <v>6051003</v>
      </c>
      <c r="F1988" s="11">
        <v>486</v>
      </c>
      <c r="G1988" s="11" t="s">
        <v>21</v>
      </c>
      <c r="H1988" s="3">
        <v>46482.7</v>
      </c>
      <c r="K1988" s="11"/>
      <c r="L1988" s="11"/>
      <c r="M1988" s="11"/>
      <c r="N1988" s="11"/>
      <c r="P1988" s="11"/>
      <c r="Q1988" s="11"/>
      <c r="R1988" s="3"/>
    </row>
    <row r="1989" spans="1:18" x14ac:dyDescent="0.2">
      <c r="A1989" s="11">
        <v>6067</v>
      </c>
      <c r="B1989" s="11">
        <v>62</v>
      </c>
      <c r="C1989" s="11" t="s">
        <v>515</v>
      </c>
      <c r="D1989" s="11">
        <f t="shared" si="60"/>
        <v>1</v>
      </c>
      <c r="E1989">
        <f t="shared" si="61"/>
        <v>6067001</v>
      </c>
      <c r="F1989" s="11">
        <v>401</v>
      </c>
      <c r="G1989" s="11" t="s">
        <v>29</v>
      </c>
      <c r="H1989" s="3">
        <v>180973.49</v>
      </c>
      <c r="K1989" s="11"/>
      <c r="L1989" s="11"/>
      <c r="M1989" s="11"/>
      <c r="N1989" s="11"/>
      <c r="P1989" s="11"/>
      <c r="Q1989" s="11"/>
      <c r="R1989" s="3"/>
    </row>
    <row r="1990" spans="1:18" x14ac:dyDescent="0.2">
      <c r="A1990" s="11">
        <v>6067</v>
      </c>
      <c r="B1990" s="11">
        <v>62</v>
      </c>
      <c r="C1990" s="11" t="s">
        <v>515</v>
      </c>
      <c r="D1990" s="11">
        <f t="shared" si="60"/>
        <v>2</v>
      </c>
      <c r="E1990">
        <f t="shared" si="61"/>
        <v>6067002</v>
      </c>
      <c r="F1990" s="11">
        <v>414</v>
      </c>
      <c r="G1990" s="11" t="s">
        <v>9</v>
      </c>
      <c r="H1990" s="3">
        <v>36738.17</v>
      </c>
      <c r="K1990" s="11"/>
      <c r="L1990" s="11"/>
      <c r="M1990" s="11"/>
      <c r="N1990" s="11"/>
      <c r="P1990" s="11"/>
      <c r="Q1990" s="11"/>
      <c r="R1990" s="3"/>
    </row>
    <row r="1991" spans="1:18" x14ac:dyDescent="0.2">
      <c r="A1991" s="11">
        <v>6067</v>
      </c>
      <c r="B1991" s="11">
        <v>62</v>
      </c>
      <c r="C1991" s="11" t="s">
        <v>515</v>
      </c>
      <c r="D1991" s="11">
        <f t="shared" si="60"/>
        <v>3</v>
      </c>
      <c r="E1991">
        <f t="shared" si="61"/>
        <v>6067003</v>
      </c>
      <c r="F1991" s="11">
        <v>417</v>
      </c>
      <c r="G1991" s="11" t="s">
        <v>34</v>
      </c>
      <c r="H1991" s="3">
        <v>10482.6</v>
      </c>
      <c r="K1991" s="11"/>
      <c r="L1991" s="11"/>
      <c r="M1991" s="11"/>
      <c r="N1991" s="11"/>
      <c r="P1991" s="11"/>
      <c r="Q1991" s="11"/>
      <c r="R1991" s="3"/>
    </row>
    <row r="1992" spans="1:18" x14ac:dyDescent="0.2">
      <c r="A1992" s="11">
        <v>6067</v>
      </c>
      <c r="B1992" s="11">
        <v>62</v>
      </c>
      <c r="C1992" s="11" t="s">
        <v>515</v>
      </c>
      <c r="D1992" s="11">
        <f t="shared" si="60"/>
        <v>4</v>
      </c>
      <c r="E1992">
        <f t="shared" si="61"/>
        <v>6067004</v>
      </c>
      <c r="F1992" s="11">
        <v>433</v>
      </c>
      <c r="G1992" s="11" t="s">
        <v>30</v>
      </c>
      <c r="H1992" s="3">
        <v>3583.46</v>
      </c>
      <c r="K1992" s="11"/>
      <c r="L1992" s="11"/>
      <c r="M1992" s="11"/>
      <c r="N1992" s="11"/>
      <c r="P1992" s="11"/>
      <c r="Q1992" s="11"/>
      <c r="R1992" s="3"/>
    </row>
    <row r="1993" spans="1:18" x14ac:dyDescent="0.2">
      <c r="A1993" s="11">
        <v>6067</v>
      </c>
      <c r="B1993" s="11">
        <v>62</v>
      </c>
      <c r="C1993" s="11" t="s">
        <v>515</v>
      </c>
      <c r="D1993" s="11">
        <f t="shared" si="60"/>
        <v>5</v>
      </c>
      <c r="E1993">
        <f t="shared" si="61"/>
        <v>6067005</v>
      </c>
      <c r="F1993" s="11">
        <v>470</v>
      </c>
      <c r="G1993" s="11" t="s">
        <v>6</v>
      </c>
      <c r="H1993" s="3">
        <v>118458.1</v>
      </c>
      <c r="K1993" s="11"/>
      <c r="L1993" s="11"/>
      <c r="M1993" s="11"/>
      <c r="N1993" s="11"/>
      <c r="P1993" s="11"/>
      <c r="Q1993" s="11"/>
      <c r="R1993" s="3"/>
    </row>
    <row r="1994" spans="1:18" x14ac:dyDescent="0.2">
      <c r="A1994" s="11">
        <v>6067</v>
      </c>
      <c r="B1994" s="11">
        <v>62</v>
      </c>
      <c r="C1994" s="11" t="s">
        <v>515</v>
      </c>
      <c r="D1994" s="11">
        <f t="shared" si="60"/>
        <v>6</v>
      </c>
      <c r="E1994">
        <f t="shared" si="61"/>
        <v>6067006</v>
      </c>
      <c r="F1994" s="11">
        <v>869</v>
      </c>
      <c r="G1994" s="11" t="s">
        <v>115</v>
      </c>
      <c r="H1994" s="3">
        <v>94922</v>
      </c>
      <c r="K1994" s="11"/>
      <c r="L1994" s="11"/>
      <c r="M1994" s="11"/>
      <c r="N1994" s="11"/>
      <c r="P1994" s="11"/>
      <c r="Q1994" s="11"/>
      <c r="R1994" s="3"/>
    </row>
    <row r="1995" spans="1:18" x14ac:dyDescent="0.2">
      <c r="A1995" s="11">
        <v>6069</v>
      </c>
      <c r="B1995" s="11">
        <v>62</v>
      </c>
      <c r="C1995" s="11" t="s">
        <v>516</v>
      </c>
      <c r="D1995" s="11">
        <f t="shared" si="60"/>
        <v>1</v>
      </c>
      <c r="E1995">
        <f t="shared" si="61"/>
        <v>6069001</v>
      </c>
      <c r="F1995" s="11">
        <v>433</v>
      </c>
      <c r="G1995" s="11" t="s">
        <v>30</v>
      </c>
      <c r="H1995" s="3">
        <v>3181.01</v>
      </c>
      <c r="K1995" s="11"/>
      <c r="L1995" s="11"/>
      <c r="M1995" s="11"/>
      <c r="N1995" s="11"/>
      <c r="P1995" s="11"/>
      <c r="Q1995" s="11"/>
      <c r="R1995" s="3"/>
    </row>
    <row r="1996" spans="1:18" x14ac:dyDescent="0.2">
      <c r="A1996" s="11">
        <v>6069</v>
      </c>
      <c r="B1996" s="11">
        <v>62</v>
      </c>
      <c r="C1996" s="11" t="s">
        <v>516</v>
      </c>
      <c r="D1996" s="11">
        <f t="shared" si="60"/>
        <v>2</v>
      </c>
      <c r="E1996">
        <f t="shared" si="61"/>
        <v>6069002</v>
      </c>
      <c r="F1996" s="11">
        <v>865</v>
      </c>
      <c r="G1996" s="11" t="s">
        <v>517</v>
      </c>
      <c r="H1996" s="3">
        <v>469000</v>
      </c>
      <c r="K1996" s="11"/>
      <c r="L1996" s="11"/>
      <c r="M1996" s="11"/>
      <c r="N1996" s="11"/>
      <c r="P1996" s="11"/>
      <c r="Q1996" s="11"/>
      <c r="R1996" s="3"/>
    </row>
    <row r="1997" spans="1:18" x14ac:dyDescent="0.2">
      <c r="A1997" s="11">
        <v>6072</v>
      </c>
      <c r="B1997" s="11">
        <v>62</v>
      </c>
      <c r="C1997" s="11" t="s">
        <v>518</v>
      </c>
      <c r="D1997" s="11">
        <f t="shared" si="60"/>
        <v>1</v>
      </c>
      <c r="E1997">
        <f t="shared" si="61"/>
        <v>6072001</v>
      </c>
      <c r="F1997" s="11">
        <v>414</v>
      </c>
      <c r="G1997" s="11" t="s">
        <v>9</v>
      </c>
      <c r="H1997" s="3">
        <v>10485.24</v>
      </c>
      <c r="K1997" s="11"/>
      <c r="L1997" s="11"/>
      <c r="M1997" s="11"/>
      <c r="N1997" s="11"/>
      <c r="P1997" s="11"/>
      <c r="Q1997" s="11"/>
      <c r="R1997" s="3"/>
    </row>
    <row r="1998" spans="1:18" x14ac:dyDescent="0.2">
      <c r="A1998" s="11">
        <v>6072</v>
      </c>
      <c r="B1998" s="11">
        <v>62</v>
      </c>
      <c r="C1998" s="11" t="s">
        <v>518</v>
      </c>
      <c r="D1998" s="11">
        <f t="shared" si="60"/>
        <v>2</v>
      </c>
      <c r="E1998">
        <f t="shared" si="61"/>
        <v>6072002</v>
      </c>
      <c r="F1998" s="11">
        <v>433</v>
      </c>
      <c r="G1998" s="11" t="s">
        <v>30</v>
      </c>
      <c r="H1998" s="3">
        <v>933.36</v>
      </c>
      <c r="K1998" s="11"/>
      <c r="L1998" s="11"/>
      <c r="M1998" s="11"/>
      <c r="N1998" s="11"/>
      <c r="P1998" s="11"/>
      <c r="Q1998" s="11"/>
      <c r="R1998" s="3"/>
    </row>
    <row r="1999" spans="1:18" x14ac:dyDescent="0.2">
      <c r="A1999" s="11">
        <v>6076</v>
      </c>
      <c r="B1999" s="11">
        <v>50</v>
      </c>
      <c r="C1999" s="11" t="s">
        <v>519</v>
      </c>
      <c r="D1999" s="11">
        <f t="shared" ref="D1999:D2020" si="62">IF(A1999=A1998,D1998+1,1)</f>
        <v>1</v>
      </c>
      <c r="E1999">
        <f t="shared" ref="E1999:E2020" si="63">1000*A1999+D1999</f>
        <v>6076001</v>
      </c>
      <c r="F1999" s="11">
        <v>419</v>
      </c>
      <c r="G1999" s="11" t="s">
        <v>10</v>
      </c>
      <c r="H1999" s="3">
        <v>1735056.16</v>
      </c>
      <c r="K1999" s="11"/>
      <c r="L1999" s="11"/>
      <c r="M1999" s="11"/>
      <c r="N1999" s="11"/>
      <c r="P1999" s="11"/>
      <c r="Q1999" s="11"/>
      <c r="R1999" s="3"/>
    </row>
    <row r="2000" spans="1:18" x14ac:dyDescent="0.2">
      <c r="A2000" s="11">
        <v>6076</v>
      </c>
      <c r="B2000" s="11">
        <v>50</v>
      </c>
      <c r="C2000" s="11" t="s">
        <v>519</v>
      </c>
      <c r="D2000" s="11">
        <f t="shared" si="62"/>
        <v>2</v>
      </c>
      <c r="E2000">
        <f t="shared" si="63"/>
        <v>6076002</v>
      </c>
      <c r="F2000" s="11">
        <v>420</v>
      </c>
      <c r="G2000" s="11" t="s">
        <v>11</v>
      </c>
      <c r="H2000" s="3">
        <v>67436.19</v>
      </c>
      <c r="K2000" s="11"/>
      <c r="L2000" s="11"/>
      <c r="M2000" s="11"/>
      <c r="N2000" s="11"/>
      <c r="P2000" s="11"/>
      <c r="Q2000" s="11"/>
      <c r="R2000" s="3"/>
    </row>
    <row r="2001" spans="1:18" x14ac:dyDescent="0.2">
      <c r="A2001" s="11">
        <v>6079</v>
      </c>
      <c r="B2001" s="11">
        <v>52</v>
      </c>
      <c r="C2001" s="11" t="s">
        <v>520</v>
      </c>
      <c r="D2001" s="11">
        <f t="shared" si="62"/>
        <v>1</v>
      </c>
      <c r="E2001">
        <f t="shared" si="63"/>
        <v>6079001</v>
      </c>
      <c r="F2001" s="11">
        <v>419</v>
      </c>
      <c r="G2001" s="11" t="s">
        <v>10</v>
      </c>
      <c r="H2001" s="3">
        <v>2123809.5</v>
      </c>
      <c r="K2001" s="11"/>
      <c r="L2001" s="11"/>
      <c r="M2001" s="11"/>
      <c r="N2001" s="11"/>
      <c r="P2001" s="11"/>
      <c r="Q2001" s="11"/>
      <c r="R2001" s="3"/>
    </row>
    <row r="2002" spans="1:18" x14ac:dyDescent="0.2">
      <c r="A2002" s="11">
        <v>6079</v>
      </c>
      <c r="B2002" s="11">
        <v>52</v>
      </c>
      <c r="C2002" s="11" t="s">
        <v>520</v>
      </c>
      <c r="D2002" s="11">
        <f t="shared" si="62"/>
        <v>2</v>
      </c>
      <c r="E2002">
        <f t="shared" si="63"/>
        <v>6079002</v>
      </c>
      <c r="F2002" s="11">
        <v>480</v>
      </c>
      <c r="G2002" s="11" t="s">
        <v>19</v>
      </c>
      <c r="H2002" s="3">
        <v>3197000.1</v>
      </c>
      <c r="K2002" s="11"/>
      <c r="L2002" s="11"/>
      <c r="M2002" s="11"/>
      <c r="N2002" s="11"/>
      <c r="P2002" s="11"/>
      <c r="Q2002" s="11"/>
      <c r="R2002" s="3"/>
    </row>
    <row r="2003" spans="1:18" x14ac:dyDescent="0.2">
      <c r="A2003" s="11">
        <v>6079</v>
      </c>
      <c r="B2003" s="11">
        <v>52</v>
      </c>
      <c r="C2003" s="11" t="s">
        <v>520</v>
      </c>
      <c r="D2003" s="11">
        <f t="shared" si="62"/>
        <v>3</v>
      </c>
      <c r="E2003">
        <f t="shared" si="63"/>
        <v>6079003</v>
      </c>
      <c r="F2003" s="11">
        <v>484</v>
      </c>
      <c r="G2003" s="11" t="s">
        <v>20</v>
      </c>
      <c r="H2003" s="3">
        <v>130948.48</v>
      </c>
      <c r="K2003" s="11"/>
      <c r="L2003" s="11"/>
      <c r="M2003" s="11"/>
      <c r="N2003" s="11"/>
      <c r="P2003" s="11"/>
      <c r="Q2003" s="11"/>
      <c r="R2003" s="3"/>
    </row>
    <row r="2004" spans="1:18" x14ac:dyDescent="0.2">
      <c r="A2004" s="11">
        <v>6083</v>
      </c>
      <c r="B2004" s="11">
        <v>52</v>
      </c>
      <c r="C2004" s="11" t="s">
        <v>521</v>
      </c>
      <c r="D2004" s="11">
        <f t="shared" si="62"/>
        <v>1</v>
      </c>
      <c r="E2004">
        <f t="shared" si="63"/>
        <v>6083001</v>
      </c>
      <c r="F2004" s="11">
        <v>420</v>
      </c>
      <c r="G2004" s="11" t="s">
        <v>11</v>
      </c>
      <c r="H2004" s="3">
        <v>9623.0300000000007</v>
      </c>
      <c r="K2004" s="11"/>
      <c r="L2004" s="11"/>
      <c r="M2004" s="11"/>
      <c r="N2004" s="11"/>
      <c r="P2004" s="11"/>
      <c r="Q2004" s="11"/>
      <c r="R2004" s="3"/>
    </row>
    <row r="2005" spans="1:18" x14ac:dyDescent="0.2">
      <c r="A2005" s="11">
        <v>6083</v>
      </c>
      <c r="B2005" s="11">
        <v>52</v>
      </c>
      <c r="C2005" s="11" t="s">
        <v>521</v>
      </c>
      <c r="D2005" s="11">
        <f t="shared" si="62"/>
        <v>2</v>
      </c>
      <c r="E2005">
        <f t="shared" si="63"/>
        <v>6083002</v>
      </c>
      <c r="F2005" s="11">
        <v>435</v>
      </c>
      <c r="G2005" s="11" t="s">
        <v>35</v>
      </c>
      <c r="H2005" s="3">
        <v>5000</v>
      </c>
      <c r="K2005" s="11"/>
      <c r="L2005" s="11"/>
      <c r="M2005" s="11"/>
      <c r="N2005" s="11"/>
      <c r="P2005" s="11"/>
      <c r="Q2005" s="11"/>
      <c r="R2005" s="3"/>
    </row>
    <row r="2006" spans="1:18" x14ac:dyDescent="0.2">
      <c r="A2006" s="11">
        <v>6083</v>
      </c>
      <c r="B2006" s="11">
        <v>52</v>
      </c>
      <c r="C2006" s="11" t="s">
        <v>521</v>
      </c>
      <c r="D2006" s="11">
        <f t="shared" si="62"/>
        <v>3</v>
      </c>
      <c r="E2006">
        <f t="shared" si="63"/>
        <v>6083003</v>
      </c>
      <c r="F2006" s="11">
        <v>437</v>
      </c>
      <c r="G2006" s="11" t="s">
        <v>14</v>
      </c>
      <c r="H2006" s="3">
        <v>300</v>
      </c>
      <c r="K2006" s="11"/>
      <c r="L2006" s="11"/>
      <c r="M2006" s="11"/>
      <c r="N2006" s="11"/>
      <c r="P2006" s="11"/>
      <c r="Q2006" s="11"/>
      <c r="R2006" s="3"/>
    </row>
    <row r="2007" spans="1:18" x14ac:dyDescent="0.2">
      <c r="A2007" s="11">
        <v>6083</v>
      </c>
      <c r="B2007" s="11">
        <v>52</v>
      </c>
      <c r="C2007" s="11" t="s">
        <v>521</v>
      </c>
      <c r="D2007" s="11">
        <f t="shared" si="62"/>
        <v>4</v>
      </c>
      <c r="E2007">
        <f t="shared" si="63"/>
        <v>6083004</v>
      </c>
      <c r="F2007" s="11">
        <v>484</v>
      </c>
      <c r="G2007" s="11" t="s">
        <v>20</v>
      </c>
      <c r="H2007" s="3">
        <v>10439.49</v>
      </c>
      <c r="K2007" s="11"/>
      <c r="L2007" s="11"/>
      <c r="M2007" s="11"/>
      <c r="N2007" s="11"/>
      <c r="P2007" s="11"/>
      <c r="Q2007" s="11"/>
      <c r="R2007" s="3"/>
    </row>
    <row r="2008" spans="1:18" x14ac:dyDescent="0.2">
      <c r="A2008" s="11">
        <v>6083</v>
      </c>
      <c r="B2008" s="11">
        <v>52</v>
      </c>
      <c r="C2008" s="11" t="s">
        <v>521</v>
      </c>
      <c r="D2008" s="11">
        <f t="shared" si="62"/>
        <v>5</v>
      </c>
      <c r="E2008">
        <f t="shared" si="63"/>
        <v>6083005</v>
      </c>
      <c r="F2008" s="11">
        <v>486</v>
      </c>
      <c r="G2008" s="11" t="s">
        <v>21</v>
      </c>
      <c r="H2008" s="3">
        <v>4767.45</v>
      </c>
      <c r="K2008" s="11"/>
      <c r="L2008" s="11"/>
      <c r="M2008" s="11"/>
      <c r="N2008" s="11"/>
      <c r="P2008" s="11"/>
      <c r="Q2008" s="11"/>
      <c r="R2008" s="3"/>
    </row>
    <row r="2009" spans="1:18" x14ac:dyDescent="0.2">
      <c r="A2009" s="11">
        <v>6383</v>
      </c>
      <c r="B2009" s="11">
        <v>61</v>
      </c>
      <c r="C2009" s="11" t="s">
        <v>522</v>
      </c>
      <c r="D2009" s="11">
        <f t="shared" si="62"/>
        <v>1</v>
      </c>
      <c r="E2009">
        <f t="shared" si="63"/>
        <v>6383001</v>
      </c>
      <c r="F2009" s="11">
        <v>420</v>
      </c>
      <c r="G2009" s="11" t="s">
        <v>11</v>
      </c>
      <c r="H2009" s="3">
        <v>85696.639999999999</v>
      </c>
      <c r="K2009" s="11"/>
      <c r="L2009" s="11"/>
      <c r="M2009" s="11"/>
      <c r="N2009" s="11"/>
      <c r="P2009" s="11"/>
      <c r="Q2009" s="11"/>
      <c r="R2009" s="3"/>
    </row>
    <row r="2010" spans="1:18" x14ac:dyDescent="0.2">
      <c r="A2010" s="11">
        <v>6383</v>
      </c>
      <c r="B2010" s="11">
        <v>61</v>
      </c>
      <c r="C2010" s="11" t="s">
        <v>522</v>
      </c>
      <c r="D2010" s="11">
        <f t="shared" si="62"/>
        <v>2</v>
      </c>
      <c r="E2010">
        <f t="shared" si="63"/>
        <v>6383002</v>
      </c>
      <c r="F2010" s="11">
        <v>422</v>
      </c>
      <c r="G2010" s="11" t="s">
        <v>12</v>
      </c>
      <c r="H2010" s="3">
        <v>171039.56</v>
      </c>
      <c r="K2010" s="11"/>
      <c r="L2010" s="11"/>
      <c r="M2010" s="11"/>
      <c r="N2010" s="11"/>
      <c r="P2010" s="11"/>
      <c r="Q2010" s="11"/>
      <c r="R2010" s="3"/>
    </row>
    <row r="2011" spans="1:18" x14ac:dyDescent="0.2">
      <c r="A2011" s="11">
        <v>6383</v>
      </c>
      <c r="B2011" s="11">
        <v>61</v>
      </c>
      <c r="C2011" s="11" t="s">
        <v>522</v>
      </c>
      <c r="D2011" s="11">
        <f t="shared" si="62"/>
        <v>3</v>
      </c>
      <c r="E2011">
        <f t="shared" si="63"/>
        <v>6383003</v>
      </c>
      <c r="F2011" s="11">
        <v>435</v>
      </c>
      <c r="G2011" s="11" t="s">
        <v>35</v>
      </c>
      <c r="H2011" s="3">
        <v>18310</v>
      </c>
      <c r="K2011" s="11"/>
      <c r="L2011" s="11"/>
      <c r="M2011" s="11"/>
      <c r="N2011" s="11"/>
      <c r="P2011" s="11"/>
      <c r="Q2011" s="11"/>
      <c r="R2011" s="3"/>
    </row>
    <row r="2012" spans="1:18" x14ac:dyDescent="0.2">
      <c r="A2012" s="11">
        <v>6383</v>
      </c>
      <c r="B2012" s="11">
        <v>61</v>
      </c>
      <c r="C2012" s="11" t="s">
        <v>522</v>
      </c>
      <c r="D2012" s="11">
        <f t="shared" si="62"/>
        <v>4</v>
      </c>
      <c r="E2012">
        <f t="shared" si="63"/>
        <v>6383004</v>
      </c>
      <c r="F2012" s="11">
        <v>437</v>
      </c>
      <c r="G2012" s="11" t="s">
        <v>14</v>
      </c>
      <c r="H2012" s="3">
        <v>2775</v>
      </c>
      <c r="K2012" s="11"/>
      <c r="L2012" s="11"/>
      <c r="M2012" s="11"/>
      <c r="N2012" s="11"/>
      <c r="P2012" s="11"/>
      <c r="Q2012" s="11"/>
      <c r="R2012" s="3"/>
    </row>
    <row r="2013" spans="1:18" x14ac:dyDescent="0.2">
      <c r="A2013" s="11">
        <v>6383</v>
      </c>
      <c r="B2013" s="11">
        <v>61</v>
      </c>
      <c r="C2013" s="11" t="s">
        <v>522</v>
      </c>
      <c r="D2013" s="11">
        <f t="shared" si="62"/>
        <v>5</v>
      </c>
      <c r="E2013">
        <f t="shared" si="63"/>
        <v>6383005</v>
      </c>
      <c r="F2013" s="11">
        <v>441</v>
      </c>
      <c r="G2013" s="11" t="s">
        <v>16</v>
      </c>
      <c r="H2013" s="3">
        <v>9900</v>
      </c>
      <c r="K2013" s="11"/>
      <c r="L2013" s="11"/>
      <c r="M2013" s="11"/>
      <c r="N2013" s="11"/>
      <c r="P2013" s="11"/>
      <c r="Q2013" s="11"/>
      <c r="R2013" s="3"/>
    </row>
    <row r="2014" spans="1:18" x14ac:dyDescent="0.2">
      <c r="A2014" s="11">
        <v>6383</v>
      </c>
      <c r="B2014" s="11">
        <v>61</v>
      </c>
      <c r="C2014" s="11" t="s">
        <v>522</v>
      </c>
      <c r="D2014" s="11">
        <f t="shared" si="62"/>
        <v>6</v>
      </c>
      <c r="E2014">
        <f t="shared" si="63"/>
        <v>6383006</v>
      </c>
      <c r="F2014" s="11">
        <v>480</v>
      </c>
      <c r="G2014" s="11" t="s">
        <v>19</v>
      </c>
      <c r="H2014" s="3">
        <v>2691288.11</v>
      </c>
      <c r="K2014" s="11"/>
      <c r="L2014" s="11"/>
      <c r="M2014" s="11"/>
      <c r="N2014" s="11"/>
      <c r="P2014" s="11"/>
      <c r="Q2014" s="11"/>
      <c r="R2014" s="3"/>
    </row>
    <row r="2015" spans="1:18" x14ac:dyDescent="0.2">
      <c r="A2015" s="11">
        <v>6383</v>
      </c>
      <c r="B2015" s="11">
        <v>61</v>
      </c>
      <c r="C2015" s="11" t="s">
        <v>522</v>
      </c>
      <c r="D2015" s="11">
        <f t="shared" si="62"/>
        <v>7</v>
      </c>
      <c r="E2015">
        <f t="shared" si="63"/>
        <v>6383007</v>
      </c>
      <c r="F2015" s="11">
        <v>484</v>
      </c>
      <c r="G2015" s="11" t="s">
        <v>20</v>
      </c>
      <c r="H2015" s="3">
        <v>110213.37</v>
      </c>
      <c r="K2015" s="11"/>
      <c r="L2015" s="11"/>
      <c r="M2015" s="11"/>
      <c r="N2015" s="11"/>
      <c r="P2015" s="11"/>
      <c r="Q2015" s="11"/>
      <c r="R2015" s="3"/>
    </row>
    <row r="2016" spans="1:18" x14ac:dyDescent="0.2">
      <c r="A2016" s="11">
        <v>6383</v>
      </c>
      <c r="B2016" s="11">
        <v>61</v>
      </c>
      <c r="C2016" s="11" t="s">
        <v>522</v>
      </c>
      <c r="D2016" s="11">
        <f t="shared" si="62"/>
        <v>8</v>
      </c>
      <c r="E2016">
        <f t="shared" si="63"/>
        <v>6383008</v>
      </c>
      <c r="F2016" s="11">
        <v>486</v>
      </c>
      <c r="G2016" s="11" t="s">
        <v>21</v>
      </c>
      <c r="H2016" s="3">
        <v>61500.19</v>
      </c>
      <c r="K2016" s="11"/>
      <c r="L2016" s="11"/>
      <c r="M2016" s="11"/>
      <c r="N2016" s="11"/>
      <c r="P2016" s="11"/>
      <c r="Q2016" s="11"/>
      <c r="R2016" s="3"/>
    </row>
    <row r="2017" spans="1:18" x14ac:dyDescent="0.2">
      <c r="A2017" s="11">
        <v>6979</v>
      </c>
      <c r="B2017" s="11">
        <v>61</v>
      </c>
      <c r="C2017" s="11" t="s">
        <v>523</v>
      </c>
      <c r="D2017" s="11">
        <f t="shared" si="62"/>
        <v>1</v>
      </c>
      <c r="E2017">
        <f t="shared" si="63"/>
        <v>6979001</v>
      </c>
      <c r="F2017" s="11">
        <v>419</v>
      </c>
      <c r="G2017" s="11" t="s">
        <v>10</v>
      </c>
      <c r="H2017" s="3">
        <v>693054.28</v>
      </c>
      <c r="K2017" s="11"/>
      <c r="L2017" s="11"/>
      <c r="M2017" s="11"/>
      <c r="N2017" s="11"/>
      <c r="P2017" s="11"/>
      <c r="Q2017" s="11"/>
      <c r="R2017" s="3"/>
    </row>
    <row r="2018" spans="1:18" x14ac:dyDescent="0.2">
      <c r="A2018" s="11">
        <v>6979</v>
      </c>
      <c r="B2018" s="11">
        <v>61</v>
      </c>
      <c r="C2018" s="11" t="s">
        <v>523</v>
      </c>
      <c r="D2018" s="11">
        <f t="shared" si="62"/>
        <v>2</v>
      </c>
      <c r="E2018">
        <f t="shared" si="63"/>
        <v>6979002</v>
      </c>
      <c r="F2018" s="11">
        <v>420</v>
      </c>
      <c r="G2018" s="11" t="s">
        <v>11</v>
      </c>
      <c r="H2018" s="3">
        <v>32393.38</v>
      </c>
      <c r="K2018" s="11"/>
      <c r="L2018" s="11"/>
      <c r="M2018" s="11"/>
      <c r="N2018" s="11"/>
      <c r="P2018" s="11"/>
      <c r="Q2018" s="11"/>
      <c r="R2018" s="3"/>
    </row>
    <row r="2019" spans="1:18" x14ac:dyDescent="0.2">
      <c r="A2019" s="11">
        <v>6979</v>
      </c>
      <c r="B2019" s="11">
        <v>61</v>
      </c>
      <c r="C2019" s="11" t="s">
        <v>523</v>
      </c>
      <c r="D2019" s="11">
        <f t="shared" si="62"/>
        <v>3</v>
      </c>
      <c r="E2019">
        <f t="shared" si="63"/>
        <v>6979003</v>
      </c>
      <c r="F2019" s="11">
        <v>480</v>
      </c>
      <c r="G2019" s="11" t="s">
        <v>19</v>
      </c>
      <c r="H2019" s="3">
        <v>767017.67</v>
      </c>
      <c r="K2019" s="11"/>
      <c r="L2019" s="11"/>
      <c r="M2019" s="11"/>
      <c r="N2019" s="11"/>
      <c r="P2019" s="11"/>
      <c r="Q2019" s="11"/>
      <c r="R2019" s="3"/>
    </row>
    <row r="2020" spans="1:18" x14ac:dyDescent="0.2">
      <c r="A2020" s="11">
        <v>6979</v>
      </c>
      <c r="B2020" s="11">
        <v>61</v>
      </c>
      <c r="C2020" s="11" t="s">
        <v>523</v>
      </c>
      <c r="D2020" s="11">
        <f t="shared" si="62"/>
        <v>4</v>
      </c>
      <c r="E2020">
        <f t="shared" si="63"/>
        <v>6979004</v>
      </c>
      <c r="F2020" s="11">
        <v>486</v>
      </c>
      <c r="G2020" s="11" t="s">
        <v>21</v>
      </c>
      <c r="H2020" s="3">
        <v>11918.64</v>
      </c>
      <c r="K2020" s="11"/>
      <c r="L2020" s="11"/>
      <c r="M2020" s="11"/>
      <c r="N2020" s="11"/>
      <c r="P2020" s="11"/>
      <c r="Q2020" s="11"/>
      <c r="R2020" s="3"/>
    </row>
    <row r="2022" spans="1:18" x14ac:dyDescent="0.2">
      <c r="C2022" t="s">
        <v>603</v>
      </c>
    </row>
    <row r="2024" spans="1:18" x14ac:dyDescent="0.2">
      <c r="A2024" s="6">
        <v>25</v>
      </c>
      <c r="B2024" s="6">
        <v>1</v>
      </c>
      <c r="C2024" s="7" t="s">
        <v>530</v>
      </c>
      <c r="D2024">
        <f t="shared" ref="D2024:D2035" si="64">IF(A2024=A2023,0,1)</f>
        <v>1</v>
      </c>
    </row>
    <row r="2025" spans="1:18" x14ac:dyDescent="0.2">
      <c r="A2025" s="6">
        <v>36</v>
      </c>
      <c r="B2025" s="6">
        <v>1</v>
      </c>
      <c r="C2025" s="7" t="s">
        <v>531</v>
      </c>
      <c r="D2025">
        <f t="shared" si="64"/>
        <v>1</v>
      </c>
    </row>
    <row r="2026" spans="1:18" x14ac:dyDescent="0.2">
      <c r="A2026" s="6">
        <v>85</v>
      </c>
      <c r="B2026" s="6">
        <v>1</v>
      </c>
      <c r="C2026" s="7" t="s">
        <v>532</v>
      </c>
      <c r="D2026">
        <f t="shared" si="64"/>
        <v>1</v>
      </c>
    </row>
    <row r="2027" spans="1:18" x14ac:dyDescent="0.2">
      <c r="A2027" s="6">
        <v>97</v>
      </c>
      <c r="B2027" s="6">
        <v>1</v>
      </c>
      <c r="C2027" s="7" t="s">
        <v>533</v>
      </c>
      <c r="D2027">
        <f t="shared" si="64"/>
        <v>1</v>
      </c>
    </row>
    <row r="2028" spans="1:18" x14ac:dyDescent="0.2">
      <c r="A2028" s="6">
        <v>99</v>
      </c>
      <c r="B2028" s="6">
        <v>1</v>
      </c>
      <c r="C2028" s="7" t="s">
        <v>534</v>
      </c>
      <c r="D2028">
        <f t="shared" si="64"/>
        <v>1</v>
      </c>
    </row>
    <row r="2029" spans="1:18" x14ac:dyDescent="0.2">
      <c r="A2029" s="6">
        <v>177</v>
      </c>
      <c r="B2029" s="6">
        <v>1</v>
      </c>
      <c r="C2029" s="7" t="s">
        <v>535</v>
      </c>
      <c r="D2029">
        <f t="shared" si="64"/>
        <v>1</v>
      </c>
    </row>
    <row r="2030" spans="1:18" x14ac:dyDescent="0.2">
      <c r="A2030" s="6">
        <v>207</v>
      </c>
      <c r="B2030" s="6">
        <v>1</v>
      </c>
      <c r="C2030" s="7" t="s">
        <v>536</v>
      </c>
      <c r="D2030">
        <f t="shared" si="64"/>
        <v>1</v>
      </c>
    </row>
    <row r="2031" spans="1:18" x14ac:dyDescent="0.2">
      <c r="A2031" s="6">
        <v>238</v>
      </c>
      <c r="B2031" s="6">
        <v>1</v>
      </c>
      <c r="C2031" s="7" t="s">
        <v>537</v>
      </c>
      <c r="D2031">
        <f t="shared" si="64"/>
        <v>1</v>
      </c>
    </row>
    <row r="2032" spans="1:18" x14ac:dyDescent="0.2">
      <c r="A2032" s="6">
        <v>256</v>
      </c>
      <c r="B2032" s="6">
        <v>1</v>
      </c>
      <c r="C2032" s="7" t="s">
        <v>538</v>
      </c>
      <c r="D2032">
        <f t="shared" si="64"/>
        <v>1</v>
      </c>
    </row>
    <row r="2033" spans="1:4" x14ac:dyDescent="0.2">
      <c r="A2033" s="6">
        <v>323</v>
      </c>
      <c r="B2033" s="6">
        <v>2</v>
      </c>
      <c r="C2033" s="7" t="s">
        <v>540</v>
      </c>
      <c r="D2033">
        <f t="shared" si="64"/>
        <v>1</v>
      </c>
    </row>
    <row r="2034" spans="1:4" x14ac:dyDescent="0.2">
      <c r="A2034" s="6">
        <v>332</v>
      </c>
      <c r="B2034" s="6">
        <v>1</v>
      </c>
      <c r="C2034" s="7" t="s">
        <v>541</v>
      </c>
      <c r="D2034">
        <f t="shared" si="64"/>
        <v>1</v>
      </c>
    </row>
    <row r="2035" spans="1:4" x14ac:dyDescent="0.2">
      <c r="A2035" s="6">
        <v>414</v>
      </c>
      <c r="B2035" s="6">
        <v>1</v>
      </c>
      <c r="C2035" s="7" t="s">
        <v>542</v>
      </c>
      <c r="D2035">
        <f t="shared" si="64"/>
        <v>1</v>
      </c>
    </row>
    <row r="2036" spans="1:4" x14ac:dyDescent="0.2">
      <c r="A2036" s="6">
        <v>435</v>
      </c>
      <c r="B2036" s="6">
        <v>1</v>
      </c>
      <c r="C2036" s="7" t="s">
        <v>543</v>
      </c>
      <c r="D2036">
        <v>1</v>
      </c>
    </row>
    <row r="2037" spans="1:4" x14ac:dyDescent="0.2">
      <c r="A2037" s="6">
        <v>463</v>
      </c>
      <c r="B2037" s="6">
        <v>1</v>
      </c>
      <c r="C2037" s="7" t="s">
        <v>172</v>
      </c>
      <c r="D2037">
        <v>1</v>
      </c>
    </row>
    <row r="2038" spans="1:4" x14ac:dyDescent="0.2">
      <c r="A2038" s="6">
        <v>542</v>
      </c>
      <c r="B2038" s="6">
        <v>1</v>
      </c>
      <c r="C2038" s="7" t="s">
        <v>544</v>
      </c>
      <c r="D2038">
        <v>1</v>
      </c>
    </row>
    <row r="2039" spans="1:4" x14ac:dyDescent="0.2">
      <c r="A2039" s="6">
        <v>577</v>
      </c>
      <c r="B2039" s="6">
        <v>1</v>
      </c>
      <c r="C2039" s="7" t="s">
        <v>209</v>
      </c>
      <c r="D2039">
        <v>1</v>
      </c>
    </row>
    <row r="2040" spans="1:4" x14ac:dyDescent="0.2">
      <c r="A2040" s="6">
        <v>581</v>
      </c>
      <c r="B2040" s="6">
        <v>1</v>
      </c>
      <c r="C2040" s="7" t="s">
        <v>545</v>
      </c>
      <c r="D2040">
        <v>1</v>
      </c>
    </row>
    <row r="2041" spans="1:4" x14ac:dyDescent="0.2">
      <c r="A2041" s="6">
        <v>627</v>
      </c>
      <c r="B2041" s="6">
        <v>1</v>
      </c>
      <c r="C2041" s="7" t="s">
        <v>546</v>
      </c>
      <c r="D2041">
        <v>1</v>
      </c>
    </row>
    <row r="2042" spans="1:4" x14ac:dyDescent="0.2">
      <c r="A2042" s="6">
        <v>630</v>
      </c>
      <c r="B2042" s="6">
        <v>1</v>
      </c>
      <c r="C2042" s="7" t="s">
        <v>547</v>
      </c>
      <c r="D2042">
        <v>1</v>
      </c>
    </row>
    <row r="2043" spans="1:4" x14ac:dyDescent="0.2">
      <c r="A2043" s="6">
        <v>700</v>
      </c>
      <c r="B2043" s="6">
        <v>1</v>
      </c>
      <c r="C2043" s="7" t="s">
        <v>548</v>
      </c>
      <c r="D2043">
        <v>1</v>
      </c>
    </row>
    <row r="2044" spans="1:4" x14ac:dyDescent="0.2">
      <c r="A2044" s="6">
        <v>726</v>
      </c>
      <c r="B2044" s="6">
        <v>1</v>
      </c>
      <c r="C2044" s="7" t="s">
        <v>549</v>
      </c>
      <c r="D2044">
        <v>1</v>
      </c>
    </row>
    <row r="2045" spans="1:4" x14ac:dyDescent="0.2">
      <c r="A2045" s="6">
        <v>739</v>
      </c>
      <c r="B2045" s="6">
        <v>1</v>
      </c>
      <c r="C2045" s="7" t="s">
        <v>550</v>
      </c>
      <c r="D2045">
        <v>1</v>
      </c>
    </row>
    <row r="2046" spans="1:4" x14ac:dyDescent="0.2">
      <c r="A2046" s="6">
        <v>740</v>
      </c>
      <c r="B2046" s="6">
        <v>1</v>
      </c>
      <c r="C2046" s="7" t="s">
        <v>551</v>
      </c>
      <c r="D2046">
        <v>1</v>
      </c>
    </row>
    <row r="2047" spans="1:4" x14ac:dyDescent="0.2">
      <c r="A2047" s="6">
        <v>741</v>
      </c>
      <c r="B2047" s="6">
        <v>1</v>
      </c>
      <c r="C2047" s="7" t="s">
        <v>552</v>
      </c>
      <c r="D2047">
        <v>1</v>
      </c>
    </row>
    <row r="2048" spans="1:4" x14ac:dyDescent="0.2">
      <c r="A2048" s="6">
        <v>743</v>
      </c>
      <c r="B2048" s="6">
        <v>1</v>
      </c>
      <c r="C2048" s="7" t="s">
        <v>553</v>
      </c>
      <c r="D2048">
        <v>1</v>
      </c>
    </row>
    <row r="2049" spans="1:4" x14ac:dyDescent="0.2">
      <c r="A2049" s="6">
        <v>745</v>
      </c>
      <c r="B2049" s="6">
        <v>1</v>
      </c>
      <c r="C2049" s="7" t="s">
        <v>554</v>
      </c>
      <c r="D2049">
        <v>1</v>
      </c>
    </row>
    <row r="2050" spans="1:4" x14ac:dyDescent="0.2">
      <c r="A2050" s="6">
        <v>768</v>
      </c>
      <c r="B2050" s="6">
        <v>1</v>
      </c>
      <c r="C2050" s="7" t="s">
        <v>555</v>
      </c>
      <c r="D2050">
        <v>1</v>
      </c>
    </row>
    <row r="2051" spans="1:4" x14ac:dyDescent="0.2">
      <c r="A2051" s="6">
        <v>775</v>
      </c>
      <c r="B2051" s="6">
        <v>1</v>
      </c>
      <c r="C2051" s="7" t="s">
        <v>556</v>
      </c>
      <c r="D2051">
        <v>1</v>
      </c>
    </row>
    <row r="2052" spans="1:4" x14ac:dyDescent="0.2">
      <c r="A2052" s="6">
        <v>777</v>
      </c>
      <c r="B2052" s="6">
        <v>1</v>
      </c>
      <c r="C2052" s="7" t="s">
        <v>557</v>
      </c>
      <c r="D2052">
        <v>1</v>
      </c>
    </row>
    <row r="2053" spans="1:4" x14ac:dyDescent="0.2">
      <c r="A2053" s="6">
        <v>840</v>
      </c>
      <c r="B2053" s="6">
        <v>1</v>
      </c>
      <c r="C2053" s="7" t="s">
        <v>558</v>
      </c>
      <c r="D2053">
        <v>1</v>
      </c>
    </row>
    <row r="2054" spans="1:4" x14ac:dyDescent="0.2">
      <c r="A2054" s="6">
        <v>885</v>
      </c>
      <c r="B2054" s="6">
        <v>1</v>
      </c>
      <c r="C2054" s="7" t="s">
        <v>559</v>
      </c>
      <c r="D2054">
        <v>1</v>
      </c>
    </row>
    <row r="2055" spans="1:4" x14ac:dyDescent="0.2">
      <c r="A2055" s="6">
        <v>2149</v>
      </c>
      <c r="B2055" s="6">
        <v>1</v>
      </c>
      <c r="C2055" s="7" t="s">
        <v>560</v>
      </c>
      <c r="D2055">
        <v>1</v>
      </c>
    </row>
    <row r="2056" spans="1:4" x14ac:dyDescent="0.2">
      <c r="A2056" s="6">
        <v>2168</v>
      </c>
      <c r="B2056" s="6">
        <v>1</v>
      </c>
      <c r="C2056" s="7" t="s">
        <v>561</v>
      </c>
      <c r="D2056">
        <v>1</v>
      </c>
    </row>
    <row r="2057" spans="1:4" x14ac:dyDescent="0.2">
      <c r="A2057" s="6">
        <v>2358</v>
      </c>
      <c r="B2057" s="6">
        <v>1</v>
      </c>
      <c r="C2057" s="7" t="s">
        <v>562</v>
      </c>
      <c r="D2057">
        <v>1</v>
      </c>
    </row>
    <row r="2058" spans="1:4" x14ac:dyDescent="0.2">
      <c r="A2058" s="6">
        <v>2396</v>
      </c>
      <c r="B2058" s="6">
        <v>1</v>
      </c>
      <c r="C2058" s="7" t="s">
        <v>564</v>
      </c>
      <c r="D2058">
        <v>1</v>
      </c>
    </row>
    <row r="2059" spans="1:4" x14ac:dyDescent="0.2">
      <c r="A2059" s="6">
        <v>2448</v>
      </c>
      <c r="B2059" s="6">
        <v>1</v>
      </c>
      <c r="C2059" s="7" t="s">
        <v>565</v>
      </c>
      <c r="D2059">
        <v>1</v>
      </c>
    </row>
    <row r="2060" spans="1:4" x14ac:dyDescent="0.2">
      <c r="A2060" s="6">
        <v>2752</v>
      </c>
      <c r="B2060" s="6">
        <v>1</v>
      </c>
      <c r="C2060" s="7" t="s">
        <v>566</v>
      </c>
      <c r="D2060">
        <v>1</v>
      </c>
    </row>
    <row r="2061" spans="1:4" x14ac:dyDescent="0.2">
      <c r="A2061" s="6">
        <v>2853</v>
      </c>
      <c r="B2061" s="6">
        <v>1</v>
      </c>
      <c r="C2061" s="7" t="s">
        <v>361</v>
      </c>
      <c r="D2061">
        <v>1</v>
      </c>
    </row>
    <row r="2062" spans="1:4" x14ac:dyDescent="0.2">
      <c r="A2062" s="6">
        <v>2854</v>
      </c>
      <c r="B2062" s="6">
        <v>1</v>
      </c>
      <c r="C2062" s="7" t="s">
        <v>567</v>
      </c>
      <c r="D2062">
        <v>1</v>
      </c>
    </row>
    <row r="2063" spans="1:4" x14ac:dyDescent="0.2">
      <c r="A2063" s="6">
        <v>2889</v>
      </c>
      <c r="B2063" s="6">
        <v>1</v>
      </c>
      <c r="C2063" s="7" t="s">
        <v>368</v>
      </c>
      <c r="D2063">
        <v>1</v>
      </c>
    </row>
    <row r="2064" spans="1:4" x14ac:dyDescent="0.2">
      <c r="A2064" s="6">
        <v>2895</v>
      </c>
      <c r="B2064" s="6">
        <v>1</v>
      </c>
      <c r="C2064" s="7" t="s">
        <v>568</v>
      </c>
      <c r="D2064">
        <v>1</v>
      </c>
    </row>
    <row r="2065" spans="1:4" x14ac:dyDescent="0.2">
      <c r="A2065" s="6">
        <v>2899</v>
      </c>
      <c r="B2065" s="6">
        <v>1</v>
      </c>
      <c r="C2065" s="7" t="s">
        <v>569</v>
      </c>
      <c r="D2065">
        <v>1</v>
      </c>
    </row>
    <row r="2066" spans="1:4" x14ac:dyDescent="0.2">
      <c r="A2066" s="8">
        <v>4000</v>
      </c>
      <c r="B2066" s="8">
        <v>7</v>
      </c>
      <c r="C2066" s="7" t="s">
        <v>570</v>
      </c>
      <c r="D2066">
        <v>1</v>
      </c>
    </row>
    <row r="2067" spans="1:4" x14ac:dyDescent="0.2">
      <c r="A2067" s="8">
        <v>4003</v>
      </c>
      <c r="B2067" s="8">
        <v>7</v>
      </c>
      <c r="C2067" s="7" t="s">
        <v>571</v>
      </c>
      <c r="D2067">
        <v>1</v>
      </c>
    </row>
    <row r="2068" spans="1:4" x14ac:dyDescent="0.2">
      <c r="A2068" s="8">
        <v>4012</v>
      </c>
      <c r="B2068" s="8">
        <v>7</v>
      </c>
      <c r="C2068" s="7" t="s">
        <v>572</v>
      </c>
      <c r="D2068">
        <v>1</v>
      </c>
    </row>
    <row r="2069" spans="1:4" x14ac:dyDescent="0.2">
      <c r="A2069" s="8">
        <v>4025</v>
      </c>
      <c r="B2069" s="8">
        <v>7</v>
      </c>
      <c r="C2069" s="7" t="s">
        <v>573</v>
      </c>
      <c r="D2069">
        <v>1</v>
      </c>
    </row>
    <row r="2070" spans="1:4" x14ac:dyDescent="0.2">
      <c r="A2070" s="8">
        <v>4028</v>
      </c>
      <c r="B2070" s="8">
        <v>7</v>
      </c>
      <c r="C2070" s="7" t="s">
        <v>574</v>
      </c>
      <c r="D2070">
        <v>1</v>
      </c>
    </row>
    <row r="2071" spans="1:4" x14ac:dyDescent="0.2">
      <c r="A2071" s="8">
        <v>4044</v>
      </c>
      <c r="B2071" s="8">
        <v>7</v>
      </c>
      <c r="C2071" t="s">
        <v>575</v>
      </c>
      <c r="D2071">
        <v>1</v>
      </c>
    </row>
    <row r="2072" spans="1:4" x14ac:dyDescent="0.2">
      <c r="A2072" s="8">
        <v>4048</v>
      </c>
      <c r="B2072" s="8">
        <v>7</v>
      </c>
      <c r="C2072" s="7" t="s">
        <v>576</v>
      </c>
      <c r="D2072">
        <v>1</v>
      </c>
    </row>
    <row r="2073" spans="1:4" x14ac:dyDescent="0.2">
      <c r="A2073" s="8">
        <v>4049</v>
      </c>
      <c r="B2073" s="8">
        <v>7</v>
      </c>
      <c r="C2073" s="7" t="s">
        <v>577</v>
      </c>
      <c r="D2073">
        <v>1</v>
      </c>
    </row>
    <row r="2074" spans="1:4" x14ac:dyDescent="0.2">
      <c r="A2074" s="8">
        <v>4053</v>
      </c>
      <c r="B2074" s="8">
        <v>7</v>
      </c>
      <c r="C2074" s="7" t="s">
        <v>578</v>
      </c>
      <c r="D2074">
        <v>1</v>
      </c>
    </row>
    <row r="2075" spans="1:4" x14ac:dyDescent="0.2">
      <c r="A2075" s="8">
        <v>4054</v>
      </c>
      <c r="B2075" s="8">
        <v>7</v>
      </c>
      <c r="C2075" s="7" t="s">
        <v>579</v>
      </c>
      <c r="D2075">
        <v>1</v>
      </c>
    </row>
    <row r="2076" spans="1:4" x14ac:dyDescent="0.2">
      <c r="A2076" s="8">
        <v>4066</v>
      </c>
      <c r="B2076" s="8">
        <v>7</v>
      </c>
      <c r="C2076" s="7" t="s">
        <v>580</v>
      </c>
      <c r="D2076">
        <v>1</v>
      </c>
    </row>
    <row r="2077" spans="1:4" x14ac:dyDescent="0.2">
      <c r="A2077" s="8">
        <v>4072</v>
      </c>
      <c r="B2077" s="8">
        <v>7</v>
      </c>
      <c r="C2077" t="s">
        <v>581</v>
      </c>
      <c r="D2077">
        <v>1</v>
      </c>
    </row>
    <row r="2078" spans="1:4" x14ac:dyDescent="0.2">
      <c r="A2078" s="8">
        <v>4087</v>
      </c>
      <c r="B2078" s="8">
        <v>7</v>
      </c>
      <c r="C2078" s="7" t="s">
        <v>582</v>
      </c>
      <c r="D2078">
        <v>1</v>
      </c>
    </row>
    <row r="2079" spans="1:4" x14ac:dyDescent="0.2">
      <c r="A2079" s="8">
        <v>4092</v>
      </c>
      <c r="B2079" s="8">
        <v>7</v>
      </c>
      <c r="C2079" s="7" t="s">
        <v>583</v>
      </c>
      <c r="D2079">
        <v>1</v>
      </c>
    </row>
    <row r="2080" spans="1:4" x14ac:dyDescent="0.2">
      <c r="A2080" s="8">
        <v>4101</v>
      </c>
      <c r="B2080" s="8">
        <v>7</v>
      </c>
      <c r="C2080" t="s">
        <v>584</v>
      </c>
      <c r="D2080">
        <v>1</v>
      </c>
    </row>
    <row r="2081" spans="1:4" x14ac:dyDescent="0.2">
      <c r="A2081" s="8">
        <v>4106</v>
      </c>
      <c r="B2081" s="8">
        <v>7</v>
      </c>
      <c r="C2081" s="7" t="s">
        <v>586</v>
      </c>
      <c r="D2081">
        <v>1</v>
      </c>
    </row>
    <row r="2082" spans="1:4" x14ac:dyDescent="0.2">
      <c r="A2082" s="8">
        <v>4114</v>
      </c>
      <c r="B2082" s="8">
        <v>7</v>
      </c>
      <c r="C2082" s="7" t="s">
        <v>588</v>
      </c>
      <c r="D2082">
        <v>1</v>
      </c>
    </row>
    <row r="2083" spans="1:4" x14ac:dyDescent="0.2">
      <c r="A2083" s="8">
        <v>4122</v>
      </c>
      <c r="B2083" s="8">
        <v>7</v>
      </c>
      <c r="C2083" s="7" t="s">
        <v>589</v>
      </c>
      <c r="D2083">
        <v>1</v>
      </c>
    </row>
    <row r="2084" spans="1:4" x14ac:dyDescent="0.2">
      <c r="A2084" s="8">
        <v>4132</v>
      </c>
      <c r="B2084" s="8">
        <v>7</v>
      </c>
      <c r="C2084" s="7" t="s">
        <v>590</v>
      </c>
      <c r="D2084">
        <v>1</v>
      </c>
    </row>
    <row r="2085" spans="1:4" x14ac:dyDescent="0.2">
      <c r="A2085" s="8">
        <v>4136</v>
      </c>
      <c r="B2085" s="8">
        <v>7</v>
      </c>
      <c r="C2085" t="s">
        <v>591</v>
      </c>
      <c r="D2085">
        <v>1</v>
      </c>
    </row>
    <row r="2086" spans="1:4" x14ac:dyDescent="0.2">
      <c r="A2086" s="6">
        <v>4141</v>
      </c>
      <c r="B2086" s="6">
        <v>7</v>
      </c>
      <c r="C2086" s="7" t="s">
        <v>464</v>
      </c>
      <c r="D2086">
        <v>1</v>
      </c>
    </row>
    <row r="2087" spans="1:4" x14ac:dyDescent="0.2">
      <c r="A2087" s="8">
        <v>4148</v>
      </c>
      <c r="B2087" s="8">
        <v>7</v>
      </c>
      <c r="C2087" s="7" t="s">
        <v>592</v>
      </c>
      <c r="D2087">
        <v>1</v>
      </c>
    </row>
    <row r="2088" spans="1:4" x14ac:dyDescent="0.2">
      <c r="A2088" s="8">
        <v>4149</v>
      </c>
      <c r="B2088" s="8">
        <v>7</v>
      </c>
      <c r="C2088" s="7" t="s">
        <v>593</v>
      </c>
      <c r="D2088">
        <v>1</v>
      </c>
    </row>
    <row r="2089" spans="1:4" x14ac:dyDescent="0.2">
      <c r="A2089" s="8">
        <v>4150</v>
      </c>
      <c r="B2089" s="8">
        <v>7</v>
      </c>
      <c r="C2089" s="7" t="s">
        <v>594</v>
      </c>
      <c r="D2089">
        <v>1</v>
      </c>
    </row>
    <row r="2090" spans="1:4" x14ac:dyDescent="0.2">
      <c r="A2090" s="8">
        <v>4154</v>
      </c>
      <c r="B2090" s="8">
        <v>7</v>
      </c>
      <c r="C2090" s="7" t="s">
        <v>595</v>
      </c>
      <c r="D2090">
        <v>1</v>
      </c>
    </row>
    <row r="2091" spans="1:4" x14ac:dyDescent="0.2">
      <c r="A2091" s="8">
        <v>4157</v>
      </c>
      <c r="B2091" s="8">
        <v>7</v>
      </c>
      <c r="C2091" t="s">
        <v>596</v>
      </c>
      <c r="D2091">
        <v>1</v>
      </c>
    </row>
    <row r="2092" spans="1:4" x14ac:dyDescent="0.2">
      <c r="A2092" s="8">
        <v>4158</v>
      </c>
      <c r="B2092" s="8">
        <v>7</v>
      </c>
      <c r="C2092" t="s">
        <v>597</v>
      </c>
      <c r="D2092">
        <v>1</v>
      </c>
    </row>
    <row r="2093" spans="1:4" x14ac:dyDescent="0.2">
      <c r="A2093" s="8">
        <v>4163</v>
      </c>
      <c r="B2093" s="8">
        <v>7</v>
      </c>
      <c r="C2093" s="7" t="s">
        <v>598</v>
      </c>
      <c r="D2093">
        <v>1</v>
      </c>
    </row>
    <row r="2094" spans="1:4" x14ac:dyDescent="0.2">
      <c r="A2094" s="10">
        <v>4165</v>
      </c>
      <c r="B2094" s="10">
        <v>7</v>
      </c>
      <c r="C2094" t="s">
        <v>599</v>
      </c>
      <c r="D2094">
        <v>1</v>
      </c>
    </row>
    <row r="2095" spans="1:4" x14ac:dyDescent="0.2">
      <c r="A2095" s="9">
        <v>4176</v>
      </c>
      <c r="B2095" s="9">
        <v>7</v>
      </c>
      <c r="C2095" s="7" t="s">
        <v>600</v>
      </c>
      <c r="D2095">
        <v>1</v>
      </c>
    </row>
    <row r="2096" spans="1:4" x14ac:dyDescent="0.2">
      <c r="A2096" s="9">
        <v>4188</v>
      </c>
      <c r="B2096" s="9">
        <v>7</v>
      </c>
      <c r="C2096" s="7" t="s">
        <v>601</v>
      </c>
      <c r="D2096">
        <v>1</v>
      </c>
    </row>
    <row r="2097" spans="1:4" x14ac:dyDescent="0.2">
      <c r="A2097">
        <v>4190</v>
      </c>
      <c r="B2097">
        <v>7</v>
      </c>
      <c r="C2097" s="7" t="s">
        <v>602</v>
      </c>
      <c r="D2097">
        <v>1</v>
      </c>
    </row>
    <row r="2098" spans="1:4" x14ac:dyDescent="0.2">
      <c r="A2098" s="6"/>
      <c r="B2098" s="6"/>
      <c r="C2098" s="7"/>
    </row>
    <row r="2099" spans="1:4" x14ac:dyDescent="0.2">
      <c r="A2099" s="6"/>
      <c r="B2099" s="6"/>
      <c r="C2099" s="7"/>
    </row>
    <row r="2100" spans="1:4" x14ac:dyDescent="0.2">
      <c r="A2100" s="6"/>
      <c r="B2100" s="6"/>
      <c r="C2100" s="7"/>
    </row>
    <row r="2101" spans="1:4" x14ac:dyDescent="0.2">
      <c r="A2101" s="6"/>
      <c r="B2101" s="6"/>
      <c r="C2101" s="7"/>
    </row>
    <row r="2102" spans="1:4" x14ac:dyDescent="0.2">
      <c r="A2102" s="6"/>
      <c r="B2102" s="6"/>
      <c r="C2102" s="7"/>
    </row>
    <row r="2103" spans="1:4" x14ac:dyDescent="0.2">
      <c r="A2103" s="6"/>
      <c r="B2103" s="6"/>
      <c r="C2103" s="7"/>
    </row>
    <row r="2104" spans="1:4" x14ac:dyDescent="0.2">
      <c r="A2104" s="6"/>
      <c r="B2104" s="6"/>
      <c r="C2104" s="7"/>
    </row>
    <row r="2105" spans="1:4" x14ac:dyDescent="0.2">
      <c r="A2105" s="6"/>
      <c r="B2105" s="6"/>
      <c r="C2105" s="7"/>
    </row>
    <row r="2106" spans="1:4" x14ac:dyDescent="0.2">
      <c r="A2106" s="6"/>
      <c r="B2106" s="6"/>
      <c r="C2106" s="7"/>
    </row>
    <row r="2107" spans="1:4" x14ac:dyDescent="0.2">
      <c r="A2107" s="6"/>
      <c r="B2107" s="6"/>
      <c r="C2107" s="7"/>
    </row>
    <row r="2108" spans="1:4" x14ac:dyDescent="0.2">
      <c r="A2108" s="6"/>
      <c r="B2108" s="6"/>
      <c r="C2108" s="7"/>
    </row>
    <row r="2109" spans="1:4" x14ac:dyDescent="0.2">
      <c r="A2109" s="6"/>
      <c r="B2109" s="6"/>
      <c r="C2109" s="7"/>
    </row>
    <row r="2110" spans="1:4" x14ac:dyDescent="0.2">
      <c r="A2110" s="6"/>
      <c r="B2110" s="6"/>
      <c r="C2110" s="7"/>
    </row>
    <row r="2111" spans="1:4" x14ac:dyDescent="0.2">
      <c r="A2111" s="6"/>
      <c r="B2111" s="6"/>
      <c r="C2111" s="7"/>
    </row>
    <row r="2112" spans="1:4" x14ac:dyDescent="0.2">
      <c r="A2112" s="6"/>
      <c r="B2112" s="6"/>
      <c r="C2112" s="7"/>
    </row>
    <row r="2113" spans="1:3" x14ac:dyDescent="0.2">
      <c r="A2113" s="6"/>
      <c r="B2113" s="6"/>
      <c r="C2113" s="7"/>
    </row>
    <row r="2114" spans="1:3" x14ac:dyDescent="0.2">
      <c r="A2114" s="6"/>
      <c r="B2114" s="6"/>
      <c r="C2114" s="7"/>
    </row>
    <row r="2115" spans="1:3" x14ac:dyDescent="0.2">
      <c r="A2115" s="6"/>
      <c r="B2115" s="6"/>
      <c r="C2115" s="7"/>
    </row>
    <row r="2116" spans="1:3" x14ac:dyDescent="0.2">
      <c r="A2116" s="6"/>
      <c r="B2116" s="6"/>
      <c r="C2116" s="7"/>
    </row>
    <row r="2117" spans="1:3" x14ac:dyDescent="0.2">
      <c r="A2117" s="6"/>
      <c r="B2117" s="6"/>
      <c r="C2117" s="7"/>
    </row>
    <row r="2118" spans="1:3" x14ac:dyDescent="0.2">
      <c r="A2118" s="6"/>
      <c r="B2118" s="6"/>
      <c r="C2118" s="7"/>
    </row>
    <row r="2119" spans="1:3" x14ac:dyDescent="0.2">
      <c r="A2119" s="6"/>
      <c r="B2119" s="6"/>
      <c r="C2119" s="7"/>
    </row>
    <row r="2120" spans="1:3" x14ac:dyDescent="0.2">
      <c r="A2120" s="6"/>
      <c r="B2120" s="6"/>
      <c r="C2120" s="7"/>
    </row>
    <row r="2121" spans="1:3" x14ac:dyDescent="0.2">
      <c r="A2121" s="6"/>
      <c r="B2121" s="6"/>
      <c r="C2121" s="7"/>
    </row>
    <row r="2122" spans="1:3" x14ac:dyDescent="0.2">
      <c r="A2122" s="6"/>
      <c r="B2122" s="6"/>
      <c r="C2122" s="7"/>
    </row>
    <row r="2123" spans="1:3" x14ac:dyDescent="0.2">
      <c r="A2123" s="6"/>
      <c r="B2123" s="6"/>
      <c r="C2123" s="7"/>
    </row>
    <row r="2124" spans="1:3" x14ac:dyDescent="0.2">
      <c r="A2124" s="6"/>
      <c r="B2124" s="6"/>
      <c r="C2124" s="7"/>
    </row>
    <row r="2125" spans="1:3" x14ac:dyDescent="0.2">
      <c r="A2125" s="6"/>
      <c r="B2125" s="6"/>
      <c r="C2125" s="7"/>
    </row>
    <row r="2126" spans="1:3" x14ac:dyDescent="0.2">
      <c r="A2126" s="6"/>
      <c r="B2126" s="6"/>
      <c r="C2126" s="7"/>
    </row>
    <row r="2127" spans="1:3" x14ac:dyDescent="0.2">
      <c r="A2127" s="6"/>
      <c r="B2127" s="6"/>
      <c r="C2127" s="7"/>
    </row>
    <row r="2128" spans="1:3" x14ac:dyDescent="0.2">
      <c r="A2128" s="6"/>
      <c r="B2128" s="6"/>
      <c r="C2128" s="7"/>
    </row>
    <row r="2129" spans="1:3" x14ac:dyDescent="0.2">
      <c r="B2129" s="6"/>
      <c r="C2129" s="7"/>
    </row>
    <row r="2130" spans="1:3" x14ac:dyDescent="0.2">
      <c r="A2130" s="8"/>
      <c r="B2130" s="8"/>
      <c r="C2130" s="7"/>
    </row>
    <row r="2131" spans="1:3" x14ac:dyDescent="0.2">
      <c r="A2131" s="8"/>
      <c r="B2131" s="8"/>
      <c r="C2131" s="7"/>
    </row>
    <row r="2132" spans="1:3" x14ac:dyDescent="0.2">
      <c r="A2132" s="8"/>
      <c r="B2132" s="8"/>
      <c r="C2132" s="7"/>
    </row>
    <row r="2133" spans="1:3" x14ac:dyDescent="0.2">
      <c r="A2133" s="8"/>
      <c r="B2133" s="8"/>
      <c r="C2133" s="7"/>
    </row>
    <row r="2134" spans="1:3" x14ac:dyDescent="0.2">
      <c r="A2134" s="8"/>
      <c r="B2134" s="8"/>
      <c r="C2134" s="7"/>
    </row>
    <row r="2135" spans="1:3" x14ac:dyDescent="0.2">
      <c r="A2135" s="8"/>
      <c r="B2135" s="8"/>
      <c r="C2135" s="7"/>
    </row>
    <row r="2136" spans="1:3" x14ac:dyDescent="0.2">
      <c r="A2136" s="8"/>
      <c r="B2136" s="8"/>
      <c r="C2136" s="7"/>
    </row>
    <row r="2137" spans="1:3" x14ac:dyDescent="0.2">
      <c r="A2137" s="8"/>
      <c r="B2137" s="8"/>
      <c r="C2137" s="7"/>
    </row>
    <row r="2138" spans="1:3" x14ac:dyDescent="0.2">
      <c r="A2138" s="8"/>
      <c r="B2138" s="8"/>
      <c r="C2138" s="7"/>
    </row>
    <row r="2139" spans="1:3" x14ac:dyDescent="0.2">
      <c r="A2139" s="8"/>
      <c r="B2139" s="8"/>
      <c r="C2139" s="7"/>
    </row>
    <row r="2140" spans="1:3" x14ac:dyDescent="0.2">
      <c r="A2140" s="8"/>
      <c r="B2140" s="8"/>
      <c r="C2140" s="7"/>
    </row>
    <row r="2141" spans="1:3" x14ac:dyDescent="0.2">
      <c r="A2141" s="8"/>
      <c r="B2141" s="8"/>
      <c r="C2141" s="7"/>
    </row>
    <row r="2142" spans="1:3" x14ac:dyDescent="0.2">
      <c r="A2142" s="8"/>
      <c r="B2142" s="8"/>
      <c r="C2142" s="7"/>
    </row>
    <row r="2143" spans="1:3" x14ac:dyDescent="0.2">
      <c r="A2143" s="8"/>
      <c r="B2143" s="8"/>
      <c r="C2143" s="7"/>
    </row>
    <row r="2144" spans="1:3" x14ac:dyDescent="0.2">
      <c r="A2144" s="8"/>
      <c r="B2144" s="8"/>
      <c r="C2144" s="7"/>
    </row>
    <row r="2145" spans="1:3" x14ac:dyDescent="0.2">
      <c r="A2145" s="8"/>
      <c r="B2145" s="8"/>
      <c r="C2145" s="7"/>
    </row>
    <row r="2146" spans="1:3" x14ac:dyDescent="0.2">
      <c r="A2146" s="8"/>
      <c r="B2146" s="8"/>
      <c r="C2146" s="7"/>
    </row>
    <row r="2147" spans="1:3" x14ac:dyDescent="0.2">
      <c r="A2147" s="8"/>
      <c r="B2147" s="8"/>
      <c r="C2147" s="7"/>
    </row>
    <row r="2148" spans="1:3" x14ac:dyDescent="0.2">
      <c r="A2148" s="10"/>
      <c r="B2148" s="10"/>
      <c r="C2148" s="7"/>
    </row>
    <row r="2149" spans="1:3" x14ac:dyDescent="0.2">
      <c r="A2149" s="9"/>
      <c r="B2149" s="9"/>
      <c r="C2149" s="7"/>
    </row>
    <row r="2150" spans="1:3" x14ac:dyDescent="0.2">
      <c r="A2150" s="9"/>
      <c r="B2150" s="9"/>
      <c r="C2150" s="7"/>
    </row>
    <row r="2151" spans="1:3" x14ac:dyDescent="0.2">
      <c r="C2151" s="7"/>
    </row>
    <row r="2152" spans="1:3" x14ac:dyDescent="0.2">
      <c r="C2152" s="7"/>
    </row>
    <row r="2153" spans="1:3" x14ac:dyDescent="0.2">
      <c r="A2153" s="6"/>
      <c r="B2153" s="6"/>
      <c r="C2153" s="7"/>
    </row>
    <row r="2154" spans="1:3" x14ac:dyDescent="0.2">
      <c r="A2154" s="6"/>
      <c r="B2154" s="6"/>
      <c r="C2154" s="7"/>
    </row>
    <row r="2155" spans="1:3" x14ac:dyDescent="0.2">
      <c r="A2155" s="6"/>
      <c r="B2155" s="6"/>
      <c r="C2155" s="7"/>
    </row>
    <row r="2156" spans="1:3" x14ac:dyDescent="0.2">
      <c r="A2156" s="6"/>
      <c r="B2156" s="6"/>
      <c r="C2156" s="7"/>
    </row>
    <row r="2157" spans="1:3" x14ac:dyDescent="0.2">
      <c r="A2157" s="6"/>
      <c r="B2157" s="6"/>
      <c r="C2157" s="7"/>
    </row>
    <row r="2158" spans="1:3" x14ac:dyDescent="0.2">
      <c r="A2158" s="6"/>
      <c r="B2158" s="6"/>
      <c r="C2158" s="7"/>
    </row>
    <row r="2159" spans="1:3" x14ac:dyDescent="0.2">
      <c r="A2159" s="6"/>
      <c r="B2159" s="6"/>
      <c r="C2159" s="7"/>
    </row>
    <row r="2160" spans="1:3" x14ac:dyDescent="0.2">
      <c r="A2160" s="6"/>
      <c r="B2160" s="6"/>
      <c r="C2160" s="7"/>
    </row>
    <row r="2161" spans="1:3" x14ac:dyDescent="0.2">
      <c r="A2161" s="6"/>
      <c r="B2161" s="6"/>
      <c r="C2161" s="7"/>
    </row>
    <row r="2162" spans="1:3" x14ac:dyDescent="0.2">
      <c r="A2162" s="6"/>
      <c r="B2162" s="6"/>
      <c r="C2162" s="7"/>
    </row>
    <row r="2163" spans="1:3" x14ac:dyDescent="0.2">
      <c r="A2163" s="6"/>
      <c r="B2163" s="6"/>
      <c r="C2163" s="7"/>
    </row>
    <row r="2164" spans="1:3" x14ac:dyDescent="0.2">
      <c r="A2164" s="6"/>
      <c r="B2164" s="6"/>
      <c r="C2164" s="7"/>
    </row>
    <row r="2165" spans="1:3" x14ac:dyDescent="0.2">
      <c r="A2165" s="6"/>
      <c r="B2165" s="6"/>
      <c r="C2165" s="7"/>
    </row>
    <row r="2166" spans="1:3" x14ac:dyDescent="0.2">
      <c r="A2166" s="6"/>
      <c r="B2166" s="6"/>
      <c r="C2166" s="7"/>
    </row>
    <row r="2167" spans="1:3" x14ac:dyDescent="0.2">
      <c r="A2167" s="6"/>
      <c r="B2167" s="6"/>
      <c r="C2167" s="7"/>
    </row>
    <row r="2168" spans="1:3" x14ac:dyDescent="0.2">
      <c r="A2168" s="6"/>
      <c r="B2168" s="6"/>
      <c r="C2168" s="7"/>
    </row>
    <row r="2169" spans="1:3" x14ac:dyDescent="0.2">
      <c r="A2169" s="6"/>
      <c r="B2169" s="6"/>
      <c r="C2169" s="7"/>
    </row>
    <row r="2170" spans="1:3" x14ac:dyDescent="0.2">
      <c r="A2170" s="6"/>
      <c r="B2170" s="6"/>
      <c r="C2170" s="7"/>
    </row>
    <row r="2171" spans="1:3" x14ac:dyDescent="0.2">
      <c r="A2171" s="6"/>
      <c r="B2171" s="6"/>
      <c r="C2171" s="7"/>
    </row>
    <row r="2172" spans="1:3" x14ac:dyDescent="0.2">
      <c r="A2172" s="6"/>
      <c r="B2172" s="6"/>
      <c r="C2172" s="7"/>
    </row>
    <row r="2173" spans="1:3" x14ac:dyDescent="0.2">
      <c r="A2173" s="6"/>
      <c r="B2173" s="6"/>
      <c r="C2173" s="7"/>
    </row>
    <row r="2174" spans="1:3" x14ac:dyDescent="0.2">
      <c r="A2174" s="6"/>
      <c r="B2174" s="6"/>
      <c r="C2174" s="7"/>
    </row>
    <row r="2175" spans="1:3" x14ac:dyDescent="0.2">
      <c r="A2175" s="6"/>
      <c r="B2175" s="6"/>
      <c r="C2175" s="7"/>
    </row>
    <row r="2176" spans="1:3" x14ac:dyDescent="0.2">
      <c r="A2176" s="6"/>
      <c r="B2176" s="6"/>
      <c r="C2176" s="7"/>
    </row>
    <row r="2177" spans="1:3" x14ac:dyDescent="0.2">
      <c r="A2177" s="6"/>
      <c r="B2177" s="6"/>
      <c r="C2177" s="7"/>
    </row>
    <row r="2178" spans="1:3" x14ac:dyDescent="0.2">
      <c r="A2178" s="6"/>
      <c r="B2178" s="6"/>
      <c r="C2178" s="7"/>
    </row>
    <row r="2179" spans="1:3" x14ac:dyDescent="0.2">
      <c r="A2179" s="6"/>
      <c r="B2179" s="6"/>
      <c r="C2179" s="7"/>
    </row>
    <row r="2180" spans="1:3" x14ac:dyDescent="0.2">
      <c r="A2180" s="8"/>
      <c r="B2180" s="8"/>
      <c r="C2180" s="7"/>
    </row>
    <row r="2181" spans="1:3" x14ac:dyDescent="0.2">
      <c r="A2181" s="8"/>
      <c r="B2181" s="8"/>
      <c r="C2181" s="7"/>
    </row>
    <row r="2182" spans="1:3" x14ac:dyDescent="0.2">
      <c r="A2182" s="8"/>
      <c r="B2182" s="8"/>
      <c r="C2182" s="7"/>
    </row>
    <row r="2183" spans="1:3" x14ac:dyDescent="0.2">
      <c r="A2183" s="8"/>
      <c r="B2183" s="8"/>
      <c r="C2183" s="7"/>
    </row>
    <row r="2184" spans="1:3" x14ac:dyDescent="0.2">
      <c r="A2184" s="8"/>
      <c r="B2184" s="8"/>
      <c r="C2184" s="7"/>
    </row>
    <row r="2185" spans="1:3" x14ac:dyDescent="0.2">
      <c r="A2185" s="8"/>
      <c r="B2185" s="8"/>
      <c r="C2185" s="7"/>
    </row>
    <row r="2186" spans="1:3" x14ac:dyDescent="0.2">
      <c r="A2186" s="8"/>
      <c r="B2186" s="8"/>
      <c r="C2186" s="7"/>
    </row>
    <row r="2187" spans="1:3" x14ac:dyDescent="0.2">
      <c r="A2187" s="8"/>
      <c r="B2187" s="8"/>
      <c r="C2187" s="7"/>
    </row>
    <row r="2188" spans="1:3" x14ac:dyDescent="0.2">
      <c r="A2188" s="8"/>
      <c r="B2188" s="8"/>
      <c r="C2188" s="7"/>
    </row>
    <row r="2189" spans="1:3" x14ac:dyDescent="0.2">
      <c r="A2189" s="8"/>
      <c r="B2189" s="8"/>
      <c r="C2189" s="7"/>
    </row>
    <row r="2190" spans="1:3" x14ac:dyDescent="0.2">
      <c r="A2190" s="8"/>
      <c r="B2190" s="8"/>
      <c r="C2190" s="7"/>
    </row>
    <row r="2191" spans="1:3" x14ac:dyDescent="0.2">
      <c r="A2191" s="8"/>
      <c r="B2191" s="8"/>
      <c r="C2191" s="7"/>
    </row>
    <row r="2192" spans="1:3" x14ac:dyDescent="0.2">
      <c r="A2192" s="8"/>
      <c r="B2192" s="8"/>
      <c r="C2192" s="7"/>
    </row>
    <row r="2193" spans="1:3" x14ac:dyDescent="0.2">
      <c r="A2193" s="8"/>
      <c r="B2193" s="8"/>
      <c r="C2193" s="7"/>
    </row>
    <row r="2194" spans="1:3" x14ac:dyDescent="0.2">
      <c r="A2194" s="8"/>
      <c r="B2194" s="8"/>
      <c r="C2194" s="7"/>
    </row>
    <row r="2195" spans="1:3" x14ac:dyDescent="0.2">
      <c r="A2195" s="8"/>
      <c r="B2195" s="8"/>
      <c r="C2195" s="7"/>
    </row>
    <row r="2196" spans="1:3" x14ac:dyDescent="0.2">
      <c r="A2196" s="8"/>
      <c r="B2196" s="8"/>
      <c r="C2196" s="7"/>
    </row>
    <row r="2197" spans="1:3" x14ac:dyDescent="0.2">
      <c r="A2197" s="8"/>
      <c r="B2197" s="8"/>
      <c r="C2197" s="7"/>
    </row>
    <row r="2198" spans="1:3" x14ac:dyDescent="0.2">
      <c r="A2198" s="10"/>
      <c r="B2198" s="10"/>
      <c r="C2198" s="7"/>
    </row>
    <row r="2199" spans="1:3" x14ac:dyDescent="0.2">
      <c r="A2199" s="10"/>
      <c r="B2199" s="10"/>
      <c r="C2199" s="7"/>
    </row>
    <row r="2200" spans="1:3" x14ac:dyDescent="0.2">
      <c r="A2200" s="10"/>
      <c r="B2200" s="10"/>
      <c r="C2200" s="7"/>
    </row>
    <row r="2201" spans="1:3" x14ac:dyDescent="0.2">
      <c r="A2201" s="10"/>
      <c r="B2201" s="10"/>
      <c r="C2201" s="7"/>
    </row>
    <row r="2202" spans="1:3" x14ac:dyDescent="0.2">
      <c r="A2202" s="10"/>
      <c r="B2202" s="10"/>
      <c r="C2202" s="7"/>
    </row>
    <row r="2203" spans="1:3" x14ac:dyDescent="0.2">
      <c r="A2203" s="10"/>
      <c r="B2203" s="10"/>
      <c r="C2203" s="7"/>
    </row>
    <row r="2204" spans="1:3" x14ac:dyDescent="0.2">
      <c r="A2204" s="9"/>
      <c r="B2204" s="9"/>
      <c r="C2204" s="7"/>
    </row>
    <row r="2205" spans="1:3" x14ac:dyDescent="0.2">
      <c r="A2205" s="9"/>
      <c r="B2205" s="9"/>
      <c r="C2205" s="7"/>
    </row>
    <row r="2206" spans="1:3" x14ac:dyDescent="0.2">
      <c r="A2206" s="9"/>
      <c r="B2206" s="9"/>
      <c r="C2206" s="7"/>
    </row>
    <row r="2207" spans="1:3" x14ac:dyDescent="0.2">
      <c r="A2207" s="9"/>
      <c r="B2207" s="9"/>
      <c r="C2207" s="7"/>
    </row>
    <row r="2208" spans="1:3" x14ac:dyDescent="0.2">
      <c r="A2208" s="6"/>
      <c r="B2208" s="6"/>
      <c r="C2208" s="7"/>
    </row>
    <row r="2209" spans="1:3" x14ac:dyDescent="0.2">
      <c r="A2209" s="6"/>
      <c r="B2209" s="6"/>
      <c r="C2209" s="7"/>
    </row>
    <row r="2210" spans="1:3" x14ac:dyDescent="0.2">
      <c r="A2210" s="6"/>
      <c r="B2210" s="6"/>
      <c r="C2210" s="7"/>
    </row>
    <row r="2211" spans="1:3" x14ac:dyDescent="0.2">
      <c r="A2211" s="6"/>
      <c r="B2211" s="6"/>
      <c r="C2211" s="7"/>
    </row>
    <row r="2212" spans="1:3" x14ac:dyDescent="0.2">
      <c r="A2212" s="6"/>
      <c r="B2212" s="6"/>
      <c r="C2212" s="7"/>
    </row>
    <row r="2213" spans="1:3" x14ac:dyDescent="0.2">
      <c r="A2213" s="6"/>
      <c r="B2213" s="6"/>
      <c r="C2213" s="7"/>
    </row>
    <row r="2214" spans="1:3" x14ac:dyDescent="0.2">
      <c r="A2214" s="6"/>
      <c r="B2214" s="6"/>
      <c r="C2214" s="7"/>
    </row>
    <row r="2215" spans="1:3" x14ac:dyDescent="0.2">
      <c r="A2215" s="6"/>
      <c r="B2215" s="6"/>
      <c r="C2215" s="7"/>
    </row>
    <row r="2216" spans="1:3" x14ac:dyDescent="0.2">
      <c r="A2216" s="6"/>
      <c r="B2216" s="6"/>
      <c r="C2216" s="7"/>
    </row>
    <row r="2217" spans="1:3" x14ac:dyDescent="0.2">
      <c r="A2217" s="6"/>
      <c r="B2217" s="6"/>
      <c r="C2217" s="7"/>
    </row>
    <row r="2218" spans="1:3" x14ac:dyDescent="0.2">
      <c r="A2218" s="6"/>
      <c r="B2218" s="6"/>
      <c r="C2218" s="7"/>
    </row>
    <row r="2219" spans="1:3" x14ac:dyDescent="0.2">
      <c r="A2219" s="6"/>
      <c r="B2219" s="6"/>
      <c r="C2219" s="7"/>
    </row>
    <row r="2220" spans="1:3" x14ac:dyDescent="0.2">
      <c r="A2220" s="6"/>
      <c r="B2220" s="6"/>
      <c r="C2220" s="7"/>
    </row>
    <row r="2221" spans="1:3" x14ac:dyDescent="0.2">
      <c r="A2221" s="6"/>
      <c r="B2221" s="6"/>
      <c r="C2221" s="7"/>
    </row>
    <row r="2222" spans="1:3" x14ac:dyDescent="0.2">
      <c r="A2222" s="6"/>
      <c r="B2222" s="6"/>
      <c r="C2222" s="7"/>
    </row>
    <row r="2223" spans="1:3" x14ac:dyDescent="0.2">
      <c r="A2223" s="6"/>
      <c r="B2223" s="6"/>
      <c r="C2223" s="7"/>
    </row>
    <row r="2224" spans="1:3" x14ac:dyDescent="0.2">
      <c r="A2224" s="6"/>
      <c r="B2224" s="6"/>
      <c r="C2224" s="7"/>
    </row>
    <row r="2225" spans="1:3" x14ac:dyDescent="0.2">
      <c r="A2225" s="6"/>
      <c r="B2225" s="6"/>
      <c r="C2225" s="7"/>
    </row>
    <row r="2226" spans="1:3" x14ac:dyDescent="0.2">
      <c r="A2226" s="6"/>
      <c r="B2226" s="6"/>
      <c r="C2226" s="7"/>
    </row>
    <row r="2227" spans="1:3" x14ac:dyDescent="0.2">
      <c r="A2227" s="6"/>
      <c r="B2227" s="6"/>
      <c r="C2227" s="7"/>
    </row>
    <row r="2228" spans="1:3" x14ac:dyDescent="0.2">
      <c r="A2228" s="6"/>
      <c r="B2228" s="6"/>
      <c r="C2228" s="7"/>
    </row>
    <row r="2229" spans="1:3" x14ac:dyDescent="0.2">
      <c r="A2229" s="6"/>
      <c r="B2229" s="6"/>
      <c r="C2229" s="7"/>
    </row>
    <row r="2230" spans="1:3" x14ac:dyDescent="0.2">
      <c r="A2230" s="6"/>
      <c r="B2230" s="6"/>
      <c r="C2230" s="7"/>
    </row>
    <row r="2231" spans="1:3" x14ac:dyDescent="0.2">
      <c r="A2231" s="6"/>
      <c r="B2231" s="6"/>
      <c r="C2231" s="7"/>
    </row>
    <row r="2232" spans="1:3" x14ac:dyDescent="0.2">
      <c r="A2232" s="6"/>
      <c r="B2232" s="6"/>
      <c r="C2232" s="7"/>
    </row>
    <row r="2233" spans="1:3" x14ac:dyDescent="0.2">
      <c r="A2233" s="6"/>
      <c r="B2233" s="6"/>
      <c r="C2233" s="7"/>
    </row>
    <row r="2234" spans="1:3" x14ac:dyDescent="0.2">
      <c r="A2234" s="6"/>
      <c r="B2234" s="6"/>
      <c r="C2234" s="7"/>
    </row>
    <row r="2235" spans="1:3" x14ac:dyDescent="0.2">
      <c r="A2235" s="6"/>
      <c r="B2235" s="6"/>
      <c r="C2235" s="7"/>
    </row>
    <row r="2236" spans="1:3" x14ac:dyDescent="0.2">
      <c r="A2236" s="8"/>
      <c r="B2236" s="8"/>
      <c r="C2236" s="7"/>
    </row>
    <row r="2237" spans="1:3" x14ac:dyDescent="0.2">
      <c r="A2237" s="8"/>
      <c r="B2237" s="8"/>
      <c r="C2237" s="7"/>
    </row>
    <row r="2238" spans="1:3" x14ac:dyDescent="0.2">
      <c r="A2238" s="8"/>
      <c r="B2238" s="8"/>
      <c r="C2238" s="7"/>
    </row>
    <row r="2239" spans="1:3" x14ac:dyDescent="0.2">
      <c r="A2239" s="8"/>
      <c r="B2239" s="8"/>
      <c r="C2239" s="7"/>
    </row>
    <row r="2240" spans="1:3" x14ac:dyDescent="0.2">
      <c r="A2240" s="8"/>
      <c r="B2240" s="8"/>
      <c r="C2240" s="7"/>
    </row>
    <row r="2241" spans="1:3" x14ac:dyDescent="0.2">
      <c r="A2241" s="8"/>
      <c r="B2241" s="8"/>
      <c r="C2241" s="7"/>
    </row>
    <row r="2242" spans="1:3" x14ac:dyDescent="0.2">
      <c r="A2242" s="8"/>
      <c r="B2242" s="8"/>
      <c r="C2242" s="7"/>
    </row>
    <row r="2243" spans="1:3" x14ac:dyDescent="0.2">
      <c r="A2243" s="8"/>
      <c r="B2243" s="8"/>
      <c r="C2243" s="7"/>
    </row>
    <row r="2244" spans="1:3" x14ac:dyDescent="0.2">
      <c r="A2244" s="8"/>
      <c r="B2244" s="8"/>
      <c r="C2244" s="7"/>
    </row>
    <row r="2245" spans="1:3" x14ac:dyDescent="0.2">
      <c r="A2245" s="8"/>
      <c r="B2245" s="8"/>
      <c r="C2245" s="7"/>
    </row>
    <row r="2246" spans="1:3" x14ac:dyDescent="0.2">
      <c r="A2246" s="8"/>
      <c r="B2246" s="8"/>
      <c r="C2246" s="7"/>
    </row>
    <row r="2247" spans="1:3" x14ac:dyDescent="0.2">
      <c r="A2247" s="8"/>
      <c r="B2247" s="8"/>
      <c r="C2247" s="7"/>
    </row>
    <row r="2248" spans="1:3" x14ac:dyDescent="0.2">
      <c r="A2248" s="8"/>
      <c r="B2248" s="8"/>
      <c r="C2248" s="7"/>
    </row>
    <row r="2249" spans="1:3" x14ac:dyDescent="0.2">
      <c r="A2249" s="8"/>
      <c r="B2249" s="8"/>
      <c r="C2249" s="7"/>
    </row>
    <row r="2250" spans="1:3" x14ac:dyDescent="0.2">
      <c r="A2250" s="8"/>
      <c r="B2250" s="8"/>
      <c r="C2250" s="7"/>
    </row>
    <row r="2251" spans="1:3" x14ac:dyDescent="0.2">
      <c r="A2251" s="8"/>
      <c r="B2251" s="8"/>
      <c r="C2251" s="7"/>
    </row>
    <row r="2252" spans="1:3" x14ac:dyDescent="0.2">
      <c r="A2252" s="8"/>
      <c r="B2252" s="8"/>
      <c r="C2252" s="7"/>
    </row>
    <row r="2253" spans="1:3" x14ac:dyDescent="0.2">
      <c r="A2253" s="8"/>
      <c r="B2253" s="8"/>
      <c r="C2253" s="7"/>
    </row>
    <row r="2254" spans="1:3" x14ac:dyDescent="0.2">
      <c r="A2254" s="8"/>
      <c r="B2254" s="8"/>
      <c r="C2254" s="7"/>
    </row>
    <row r="2255" spans="1:3" x14ac:dyDescent="0.2">
      <c r="A2255" s="8"/>
      <c r="B2255" s="8"/>
      <c r="C2255" s="7"/>
    </row>
    <row r="2256" spans="1:3" x14ac:dyDescent="0.2">
      <c r="A2256" s="8"/>
      <c r="B2256" s="8"/>
      <c r="C2256" s="7"/>
    </row>
    <row r="2257" spans="1:3" x14ac:dyDescent="0.2">
      <c r="C2257" s="7"/>
    </row>
    <row r="2258" spans="1:3" x14ac:dyDescent="0.2">
      <c r="A2258" s="6"/>
      <c r="B2258" s="6"/>
      <c r="C2258" s="7"/>
    </row>
    <row r="2259" spans="1:3" x14ac:dyDescent="0.2">
      <c r="A2259" s="6"/>
      <c r="B2259" s="6"/>
      <c r="C2259" s="7"/>
    </row>
    <row r="2260" spans="1:3" x14ac:dyDescent="0.2">
      <c r="A2260" s="6"/>
      <c r="B2260" s="6"/>
      <c r="C2260" s="7"/>
    </row>
    <row r="2261" spans="1:3" x14ac:dyDescent="0.2">
      <c r="A2261" s="6"/>
      <c r="B2261" s="6"/>
      <c r="C2261" s="7"/>
    </row>
    <row r="2262" spans="1:3" x14ac:dyDescent="0.2">
      <c r="A2262" s="6"/>
      <c r="B2262" s="6"/>
      <c r="C2262" s="7"/>
    </row>
    <row r="2263" spans="1:3" x14ac:dyDescent="0.2">
      <c r="A2263" s="6"/>
      <c r="B2263" s="6"/>
      <c r="C2263" s="7"/>
    </row>
    <row r="2264" spans="1:3" x14ac:dyDescent="0.2">
      <c r="A2264" s="6"/>
      <c r="B2264" s="6"/>
      <c r="C2264" s="7"/>
    </row>
    <row r="2265" spans="1:3" x14ac:dyDescent="0.2">
      <c r="A2265" s="6"/>
      <c r="B2265" s="6"/>
      <c r="C2265" s="7"/>
    </row>
    <row r="2266" spans="1:3" x14ac:dyDescent="0.2">
      <c r="A2266" s="6"/>
      <c r="B2266" s="6"/>
      <c r="C2266" s="7"/>
    </row>
    <row r="2267" spans="1:3" x14ac:dyDescent="0.2">
      <c r="A2267" s="6"/>
      <c r="B2267" s="6"/>
      <c r="C2267" s="7"/>
    </row>
    <row r="2268" spans="1:3" x14ac:dyDescent="0.2">
      <c r="A2268" s="6"/>
      <c r="B2268" s="6"/>
      <c r="C2268" s="7"/>
    </row>
    <row r="2269" spans="1:3" x14ac:dyDescent="0.2">
      <c r="A2269" s="6"/>
      <c r="B2269" s="6"/>
      <c r="C2269" s="7"/>
    </row>
    <row r="2270" spans="1:3" x14ac:dyDescent="0.2">
      <c r="A2270" s="6"/>
      <c r="B2270" s="6"/>
      <c r="C2270" s="7"/>
    </row>
    <row r="2271" spans="1:3" x14ac:dyDescent="0.2">
      <c r="A2271" s="6"/>
      <c r="B2271" s="6"/>
      <c r="C2271" s="7"/>
    </row>
    <row r="2272" spans="1:3" x14ac:dyDescent="0.2">
      <c r="A2272" s="6"/>
      <c r="B2272" s="6"/>
      <c r="C2272" s="7"/>
    </row>
    <row r="2273" spans="1:3" x14ac:dyDescent="0.2">
      <c r="A2273" s="6"/>
      <c r="B2273" s="6"/>
      <c r="C2273" s="7"/>
    </row>
    <row r="2274" spans="1:3" x14ac:dyDescent="0.2">
      <c r="A2274" s="6"/>
      <c r="B2274" s="6"/>
      <c r="C2274" s="7"/>
    </row>
    <row r="2275" spans="1:3" x14ac:dyDescent="0.2">
      <c r="A2275" s="6"/>
      <c r="B2275" s="6"/>
      <c r="C2275" s="7"/>
    </row>
    <row r="2276" spans="1:3" x14ac:dyDescent="0.2">
      <c r="A2276" s="6"/>
      <c r="B2276" s="6"/>
      <c r="C2276" s="7"/>
    </row>
    <row r="2277" spans="1:3" x14ac:dyDescent="0.2">
      <c r="A2277" s="6"/>
      <c r="B2277" s="6"/>
      <c r="C2277" s="7"/>
    </row>
    <row r="2278" spans="1:3" x14ac:dyDescent="0.2">
      <c r="A2278" s="6"/>
      <c r="B2278" s="6"/>
      <c r="C2278" s="7"/>
    </row>
    <row r="2279" spans="1:3" x14ac:dyDescent="0.2">
      <c r="A2279" s="6"/>
      <c r="B2279" s="6"/>
      <c r="C2279" s="7"/>
    </row>
    <row r="2280" spans="1:3" x14ac:dyDescent="0.2">
      <c r="A2280" s="6"/>
      <c r="B2280" s="6"/>
      <c r="C2280" s="7"/>
    </row>
    <row r="2281" spans="1:3" x14ac:dyDescent="0.2">
      <c r="A2281" s="6"/>
      <c r="B2281" s="6"/>
      <c r="C2281" s="7"/>
    </row>
    <row r="2282" spans="1:3" x14ac:dyDescent="0.2">
      <c r="A2282" s="6"/>
      <c r="B2282" s="6"/>
      <c r="C2282" s="7"/>
    </row>
    <row r="2283" spans="1:3" x14ac:dyDescent="0.2">
      <c r="A2283" s="6"/>
      <c r="B2283" s="6"/>
      <c r="C2283" s="7"/>
    </row>
    <row r="2284" spans="1:3" x14ac:dyDescent="0.2">
      <c r="A2284" s="6"/>
      <c r="B2284" s="6"/>
      <c r="C2284" s="7"/>
    </row>
    <row r="2285" spans="1:3" x14ac:dyDescent="0.2">
      <c r="A2285" s="6"/>
      <c r="B2285" s="6"/>
      <c r="C2285" s="7"/>
    </row>
    <row r="2286" spans="1:3" x14ac:dyDescent="0.2">
      <c r="A2286" s="6"/>
      <c r="B2286" s="6"/>
      <c r="C2286" s="7"/>
    </row>
    <row r="2287" spans="1:3" x14ac:dyDescent="0.2">
      <c r="A2287" s="6"/>
      <c r="B2287" s="6"/>
      <c r="C2287" s="7"/>
    </row>
    <row r="2288" spans="1:3" x14ac:dyDescent="0.2">
      <c r="A2288" s="6"/>
      <c r="B2288" s="6"/>
      <c r="C2288" s="7"/>
    </row>
    <row r="2289" spans="1:3" x14ac:dyDescent="0.2">
      <c r="A2289" s="6"/>
      <c r="B2289" s="6"/>
      <c r="C2289" s="7"/>
    </row>
    <row r="2290" spans="1:3" x14ac:dyDescent="0.2">
      <c r="A2290" s="6"/>
      <c r="B2290" s="6"/>
      <c r="C2290" s="7"/>
    </row>
    <row r="2291" spans="1:3" x14ac:dyDescent="0.2">
      <c r="A2291" s="6"/>
      <c r="B2291" s="6"/>
      <c r="C2291" s="7"/>
    </row>
    <row r="2292" spans="1:3" x14ac:dyDescent="0.2">
      <c r="A2292" s="6"/>
      <c r="B2292" s="6"/>
      <c r="C2292" s="7"/>
    </row>
    <row r="2293" spans="1:3" x14ac:dyDescent="0.2">
      <c r="A2293" s="6"/>
      <c r="B2293" s="6"/>
      <c r="C2293" s="7"/>
    </row>
    <row r="2294" spans="1:3" x14ac:dyDescent="0.2">
      <c r="A2294" s="6"/>
      <c r="B2294" s="6"/>
      <c r="C2294" s="7"/>
    </row>
    <row r="2295" spans="1:3" x14ac:dyDescent="0.2">
      <c r="A2295" s="6"/>
      <c r="B2295" s="6"/>
      <c r="C2295" s="7"/>
    </row>
    <row r="2296" spans="1:3" x14ac:dyDescent="0.2">
      <c r="A2296" s="6"/>
      <c r="B2296" s="6"/>
      <c r="C2296" s="7"/>
    </row>
    <row r="2297" spans="1:3" x14ac:dyDescent="0.2">
      <c r="A2297" s="6"/>
      <c r="B2297" s="6"/>
      <c r="C2297" s="7"/>
    </row>
    <row r="2298" spans="1:3" x14ac:dyDescent="0.2">
      <c r="A2298" s="6"/>
      <c r="B2298" s="6"/>
      <c r="C2298" s="7"/>
    </row>
    <row r="2299" spans="1:3" x14ac:dyDescent="0.2">
      <c r="A2299" s="6"/>
      <c r="B2299" s="6"/>
      <c r="C2299" s="7"/>
    </row>
    <row r="2300" spans="1:3" x14ac:dyDescent="0.2">
      <c r="A2300" s="6"/>
      <c r="B2300" s="6"/>
      <c r="C2300" s="7"/>
    </row>
    <row r="2301" spans="1:3" x14ac:dyDescent="0.2">
      <c r="A2301" s="6"/>
      <c r="B2301" s="6"/>
      <c r="C2301" s="7"/>
    </row>
    <row r="2302" spans="1:3" x14ac:dyDescent="0.2">
      <c r="A2302" s="6"/>
      <c r="B2302" s="6"/>
      <c r="C2302" s="7"/>
    </row>
    <row r="2303" spans="1:3" x14ac:dyDescent="0.2">
      <c r="A2303" s="6"/>
      <c r="B2303" s="6"/>
      <c r="C2303" s="7"/>
    </row>
    <row r="2304" spans="1:3" x14ac:dyDescent="0.2">
      <c r="A2304" s="6"/>
      <c r="B2304" s="6"/>
      <c r="C2304" s="7"/>
    </row>
    <row r="2305" spans="1:3" x14ac:dyDescent="0.2">
      <c r="A2305" s="6"/>
      <c r="B2305" s="6"/>
      <c r="C2305" s="7"/>
    </row>
    <row r="2306" spans="1:3" x14ac:dyDescent="0.2">
      <c r="A2306" s="6"/>
      <c r="B2306" s="6"/>
      <c r="C2306" s="7"/>
    </row>
    <row r="2307" spans="1:3" x14ac:dyDescent="0.2">
      <c r="A2307" s="6"/>
      <c r="B2307" s="6"/>
      <c r="C2307" s="7"/>
    </row>
    <row r="2308" spans="1:3" x14ac:dyDescent="0.2">
      <c r="A2308" s="6"/>
      <c r="B2308" s="6"/>
      <c r="C2308" s="7"/>
    </row>
    <row r="2309" spans="1:3" x14ac:dyDescent="0.2">
      <c r="A2309" s="6"/>
      <c r="B2309" s="6"/>
      <c r="C2309" s="7"/>
    </row>
    <row r="2310" spans="1:3" x14ac:dyDescent="0.2">
      <c r="A2310" s="6"/>
      <c r="B2310" s="6"/>
      <c r="C2310" s="7"/>
    </row>
    <row r="2311" spans="1:3" x14ac:dyDescent="0.2">
      <c r="A2311" s="6"/>
      <c r="B2311" s="6"/>
      <c r="C2311" s="7"/>
    </row>
    <row r="2312" spans="1:3" x14ac:dyDescent="0.2">
      <c r="A2312" s="6"/>
      <c r="B2312" s="6"/>
      <c r="C2312" s="7"/>
    </row>
    <row r="2313" spans="1:3" x14ac:dyDescent="0.2">
      <c r="A2313" s="6"/>
      <c r="B2313" s="6"/>
      <c r="C2313" s="7"/>
    </row>
    <row r="2314" spans="1:3" x14ac:dyDescent="0.2">
      <c r="A2314" s="6"/>
      <c r="B2314" s="6"/>
      <c r="C2314" s="7"/>
    </row>
    <row r="2315" spans="1:3" x14ac:dyDescent="0.2">
      <c r="A2315" s="6"/>
      <c r="B2315" s="6"/>
      <c r="C2315" s="7"/>
    </row>
    <row r="2316" spans="1:3" x14ac:dyDescent="0.2">
      <c r="A2316" s="6"/>
      <c r="B2316" s="6"/>
      <c r="C2316" s="7"/>
    </row>
    <row r="2317" spans="1:3" x14ac:dyDescent="0.2">
      <c r="A2317" s="6"/>
      <c r="B2317" s="6"/>
      <c r="C2317" s="7"/>
    </row>
    <row r="2318" spans="1:3" x14ac:dyDescent="0.2">
      <c r="A2318" s="6"/>
      <c r="B2318" s="6"/>
      <c r="C2318" s="7"/>
    </row>
    <row r="2319" spans="1:3" x14ac:dyDescent="0.2">
      <c r="A2319" s="6"/>
      <c r="B2319" s="6"/>
      <c r="C2319" s="7"/>
    </row>
    <row r="2320" spans="1:3" x14ac:dyDescent="0.2">
      <c r="A2320" s="6"/>
      <c r="B2320" s="6"/>
      <c r="C2320" s="7"/>
    </row>
    <row r="2321" spans="1:3" x14ac:dyDescent="0.2">
      <c r="A2321" s="8"/>
      <c r="B2321" s="8"/>
      <c r="C2321" s="7"/>
    </row>
    <row r="2322" spans="1:3" x14ac:dyDescent="0.2">
      <c r="A2322" s="8"/>
      <c r="B2322" s="8"/>
      <c r="C2322" s="7"/>
    </row>
    <row r="2323" spans="1:3" x14ac:dyDescent="0.2">
      <c r="A2323" s="8"/>
      <c r="B2323" s="8"/>
      <c r="C2323" s="7"/>
    </row>
    <row r="2324" spans="1:3" x14ac:dyDescent="0.2">
      <c r="A2324" s="8"/>
      <c r="B2324" s="8"/>
      <c r="C2324" s="7"/>
    </row>
    <row r="2325" spans="1:3" x14ac:dyDescent="0.2">
      <c r="A2325" s="8"/>
      <c r="B2325" s="8"/>
      <c r="C2325" s="7"/>
    </row>
    <row r="2326" spans="1:3" x14ac:dyDescent="0.2">
      <c r="A2326" s="8"/>
      <c r="B2326" s="8"/>
      <c r="C2326" s="7"/>
    </row>
    <row r="2327" spans="1:3" x14ac:dyDescent="0.2">
      <c r="A2327" s="8"/>
      <c r="B2327" s="8"/>
      <c r="C2327" s="7"/>
    </row>
    <row r="2328" spans="1:3" x14ac:dyDescent="0.2">
      <c r="A2328" s="8"/>
      <c r="B2328" s="8"/>
      <c r="C2328" s="7"/>
    </row>
    <row r="2329" spans="1:3" x14ac:dyDescent="0.2">
      <c r="A2329" s="8"/>
      <c r="B2329" s="8"/>
      <c r="C2329" s="7"/>
    </row>
    <row r="2330" spans="1:3" x14ac:dyDescent="0.2">
      <c r="A2330" s="8"/>
      <c r="B2330" s="8"/>
      <c r="C2330" s="7"/>
    </row>
    <row r="2331" spans="1:3" x14ac:dyDescent="0.2">
      <c r="A2331" s="8"/>
      <c r="B2331" s="8"/>
      <c r="C2331" s="7"/>
    </row>
    <row r="2332" spans="1:3" x14ac:dyDescent="0.2">
      <c r="A2332" s="8"/>
      <c r="B2332" s="8"/>
      <c r="C2332" s="7"/>
    </row>
    <row r="2333" spans="1:3" x14ac:dyDescent="0.2">
      <c r="A2333" s="8"/>
      <c r="B2333" s="8"/>
      <c r="C2333" s="7"/>
    </row>
    <row r="2334" spans="1:3" x14ac:dyDescent="0.2">
      <c r="A2334" s="8"/>
      <c r="B2334" s="8"/>
      <c r="C2334" s="7"/>
    </row>
    <row r="2335" spans="1:3" x14ac:dyDescent="0.2">
      <c r="A2335" s="9"/>
      <c r="B2335" s="9"/>
      <c r="C2335" s="7"/>
    </row>
    <row r="2336" spans="1:3" x14ac:dyDescent="0.2">
      <c r="A2336" s="10"/>
      <c r="B2336" s="10"/>
      <c r="C2336" s="7"/>
    </row>
    <row r="2337" spans="1:3" x14ac:dyDescent="0.2">
      <c r="A2337" s="10"/>
      <c r="B2337" s="10"/>
      <c r="C2337" s="7"/>
    </row>
    <row r="2338" spans="1:3" x14ac:dyDescent="0.2">
      <c r="A2338" s="10"/>
      <c r="B2338" s="10"/>
      <c r="C2338" s="7"/>
    </row>
    <row r="2339" spans="1:3" x14ac:dyDescent="0.2">
      <c r="A2339" s="9"/>
      <c r="B2339" s="9"/>
      <c r="C2339" s="7"/>
    </row>
    <row r="2340" spans="1:3" x14ac:dyDescent="0.2">
      <c r="A2340" s="6"/>
      <c r="B2340" s="6"/>
      <c r="C2340" s="7"/>
    </row>
    <row r="2341" spans="1:3" x14ac:dyDescent="0.2">
      <c r="A2341" s="6"/>
      <c r="B2341" s="6"/>
      <c r="C2341" s="7"/>
    </row>
    <row r="2342" spans="1:3" x14ac:dyDescent="0.2">
      <c r="A2342" s="6"/>
      <c r="B2342" s="6"/>
      <c r="C2342" s="7"/>
    </row>
    <row r="2343" spans="1:3" x14ac:dyDescent="0.2">
      <c r="A2343" s="6"/>
      <c r="B2343" s="6"/>
      <c r="C2343" s="7"/>
    </row>
    <row r="2344" spans="1:3" x14ac:dyDescent="0.2">
      <c r="A2344" s="6"/>
      <c r="B2344" s="6"/>
      <c r="C2344" s="7"/>
    </row>
    <row r="2345" spans="1:3" x14ac:dyDescent="0.2">
      <c r="A2345" s="6"/>
      <c r="B2345" s="6"/>
      <c r="C2345" s="7"/>
    </row>
    <row r="2346" spans="1:3" x14ac:dyDescent="0.2">
      <c r="A2346" s="6"/>
      <c r="B2346" s="6"/>
      <c r="C2346" s="7"/>
    </row>
    <row r="2347" spans="1:3" x14ac:dyDescent="0.2">
      <c r="A2347" s="6"/>
      <c r="B2347" s="6"/>
      <c r="C2347" s="7"/>
    </row>
    <row r="2348" spans="1:3" x14ac:dyDescent="0.2">
      <c r="A2348" s="6"/>
      <c r="B2348" s="6"/>
      <c r="C2348" s="7"/>
    </row>
    <row r="2349" spans="1:3" x14ac:dyDescent="0.2">
      <c r="A2349" s="6"/>
      <c r="B2349" s="6"/>
      <c r="C2349" s="7"/>
    </row>
    <row r="2350" spans="1:3" x14ac:dyDescent="0.2">
      <c r="A2350" s="6"/>
      <c r="B2350" s="6"/>
      <c r="C2350" s="7"/>
    </row>
    <row r="2351" spans="1:3" x14ac:dyDescent="0.2">
      <c r="A2351" s="6"/>
      <c r="B2351" s="6"/>
      <c r="C2351" s="7"/>
    </row>
    <row r="2352" spans="1:3" x14ac:dyDescent="0.2">
      <c r="A2352" s="6"/>
      <c r="B2352" s="6"/>
      <c r="C2352" s="7"/>
    </row>
    <row r="2353" spans="1:3" x14ac:dyDescent="0.2">
      <c r="A2353" s="6"/>
      <c r="B2353" s="6"/>
      <c r="C2353" s="7"/>
    </row>
    <row r="2354" spans="1:3" x14ac:dyDescent="0.2">
      <c r="A2354" s="6"/>
      <c r="B2354" s="6"/>
      <c r="C2354" s="7"/>
    </row>
    <row r="2355" spans="1:3" x14ac:dyDescent="0.2">
      <c r="A2355" s="6"/>
      <c r="B2355" s="6"/>
      <c r="C2355" s="7"/>
    </row>
    <row r="2356" spans="1:3" x14ac:dyDescent="0.2">
      <c r="A2356" s="6"/>
      <c r="B2356" s="6"/>
      <c r="C2356" s="7"/>
    </row>
    <row r="2357" spans="1:3" x14ac:dyDescent="0.2">
      <c r="A2357" s="6"/>
      <c r="B2357" s="6"/>
      <c r="C2357" s="7"/>
    </row>
    <row r="2358" spans="1:3" x14ac:dyDescent="0.2">
      <c r="A2358" s="6"/>
      <c r="B2358" s="6"/>
      <c r="C2358" s="7"/>
    </row>
    <row r="2359" spans="1:3" x14ac:dyDescent="0.2">
      <c r="A2359" s="6"/>
      <c r="B2359" s="6"/>
      <c r="C2359" s="7"/>
    </row>
    <row r="2360" spans="1:3" x14ac:dyDescent="0.2">
      <c r="A2360" s="6"/>
      <c r="B2360" s="6"/>
      <c r="C2360" s="7"/>
    </row>
    <row r="2361" spans="1:3" x14ac:dyDescent="0.2">
      <c r="A2361" s="6"/>
      <c r="B2361" s="6"/>
      <c r="C2361" s="7"/>
    </row>
    <row r="2362" spans="1:3" x14ac:dyDescent="0.2">
      <c r="A2362" s="6"/>
      <c r="B2362" s="6"/>
      <c r="C2362" s="7"/>
    </row>
    <row r="2363" spans="1:3" x14ac:dyDescent="0.2">
      <c r="A2363" s="6"/>
      <c r="B2363" s="6"/>
      <c r="C2363" s="7"/>
    </row>
    <row r="2364" spans="1:3" x14ac:dyDescent="0.2">
      <c r="A2364" s="6"/>
      <c r="B2364" s="6"/>
      <c r="C2364" s="7"/>
    </row>
    <row r="2365" spans="1:3" x14ac:dyDescent="0.2">
      <c r="A2365" s="6"/>
      <c r="B2365" s="6"/>
      <c r="C2365" s="7"/>
    </row>
    <row r="2366" spans="1:3" x14ac:dyDescent="0.2">
      <c r="A2366" s="6"/>
      <c r="B2366" s="6"/>
      <c r="C2366" s="7"/>
    </row>
    <row r="2367" spans="1:3" x14ac:dyDescent="0.2">
      <c r="A2367" s="6"/>
      <c r="B2367" s="6"/>
      <c r="C2367" s="7"/>
    </row>
    <row r="2368" spans="1:3" x14ac:dyDescent="0.2">
      <c r="A2368" s="6"/>
      <c r="B2368" s="6"/>
      <c r="C2368" s="7"/>
    </row>
    <row r="2369" spans="1:3" x14ac:dyDescent="0.2">
      <c r="A2369" s="6"/>
      <c r="B2369" s="6"/>
      <c r="C2369" s="7"/>
    </row>
    <row r="2370" spans="1:3" x14ac:dyDescent="0.2">
      <c r="A2370" s="6"/>
      <c r="B2370" s="6"/>
      <c r="C2370" s="7"/>
    </row>
    <row r="2371" spans="1:3" x14ac:dyDescent="0.2">
      <c r="A2371" s="6"/>
      <c r="B2371" s="6"/>
      <c r="C2371" s="7"/>
    </row>
    <row r="2372" spans="1:3" x14ac:dyDescent="0.2">
      <c r="A2372" s="6"/>
      <c r="B2372" s="6"/>
      <c r="C2372" s="7"/>
    </row>
    <row r="2373" spans="1:3" x14ac:dyDescent="0.2">
      <c r="A2373" s="6"/>
      <c r="B2373" s="6"/>
      <c r="C2373" s="7"/>
    </row>
    <row r="2374" spans="1:3" x14ac:dyDescent="0.2">
      <c r="A2374" s="6"/>
      <c r="B2374" s="6"/>
      <c r="C2374" s="7"/>
    </row>
    <row r="2375" spans="1:3" x14ac:dyDescent="0.2">
      <c r="A2375" s="6"/>
      <c r="B2375" s="6"/>
      <c r="C2375" s="7"/>
    </row>
    <row r="2376" spans="1:3" x14ac:dyDescent="0.2">
      <c r="A2376" s="6"/>
      <c r="B2376" s="6"/>
      <c r="C2376" s="7"/>
    </row>
    <row r="2377" spans="1:3" x14ac:dyDescent="0.2">
      <c r="A2377" s="6"/>
      <c r="B2377" s="6"/>
      <c r="C2377" s="7"/>
    </row>
    <row r="2378" spans="1:3" x14ac:dyDescent="0.2">
      <c r="A2378" s="6"/>
      <c r="B2378" s="6"/>
      <c r="C2378" s="7"/>
    </row>
    <row r="2379" spans="1:3" x14ac:dyDescent="0.2">
      <c r="A2379" s="6"/>
      <c r="B2379" s="6"/>
      <c r="C2379" s="7"/>
    </row>
    <row r="2380" spans="1:3" x14ac:dyDescent="0.2">
      <c r="A2380" s="6"/>
      <c r="B2380" s="6"/>
      <c r="C2380" s="7"/>
    </row>
    <row r="2381" spans="1:3" x14ac:dyDescent="0.2">
      <c r="A2381" s="6"/>
      <c r="B2381" s="6"/>
      <c r="C2381" s="7"/>
    </row>
    <row r="2382" spans="1:3" x14ac:dyDescent="0.2">
      <c r="A2382" s="6"/>
      <c r="B2382" s="6"/>
      <c r="C2382" s="7"/>
    </row>
    <row r="2383" spans="1:3" x14ac:dyDescent="0.2">
      <c r="A2383" s="6"/>
      <c r="B2383" s="6"/>
      <c r="C2383" s="7"/>
    </row>
    <row r="2384" spans="1:3" x14ac:dyDescent="0.2">
      <c r="A2384" s="6"/>
      <c r="B2384" s="6"/>
      <c r="C2384" s="7"/>
    </row>
    <row r="2385" spans="1:3" x14ac:dyDescent="0.2">
      <c r="A2385" s="6"/>
      <c r="B2385" s="6"/>
      <c r="C2385" s="7"/>
    </row>
    <row r="2386" spans="1:3" x14ac:dyDescent="0.2">
      <c r="A2386" s="6"/>
      <c r="B2386" s="6"/>
      <c r="C2386" s="7"/>
    </row>
    <row r="2387" spans="1:3" x14ac:dyDescent="0.2">
      <c r="A2387" s="6"/>
      <c r="B2387" s="6"/>
      <c r="C2387" s="7"/>
    </row>
    <row r="2388" spans="1:3" x14ac:dyDescent="0.2">
      <c r="A2388" s="6"/>
      <c r="B2388" s="6"/>
      <c r="C2388" s="7"/>
    </row>
    <row r="2389" spans="1:3" x14ac:dyDescent="0.2">
      <c r="A2389" s="6"/>
      <c r="B2389" s="6"/>
      <c r="C2389" s="7"/>
    </row>
    <row r="2390" spans="1:3" x14ac:dyDescent="0.2">
      <c r="A2390" s="6"/>
      <c r="B2390" s="6"/>
      <c r="C2390" s="7"/>
    </row>
    <row r="2391" spans="1:3" x14ac:dyDescent="0.2">
      <c r="A2391" s="6"/>
      <c r="B2391" s="6"/>
      <c r="C2391" s="7"/>
    </row>
    <row r="2392" spans="1:3" x14ac:dyDescent="0.2">
      <c r="A2392" s="6"/>
      <c r="B2392" s="6"/>
      <c r="C2392" s="7"/>
    </row>
    <row r="2393" spans="1:3" x14ac:dyDescent="0.2">
      <c r="A2393" s="6"/>
      <c r="B2393" s="6"/>
      <c r="C2393" s="7"/>
    </row>
    <row r="2394" spans="1:3" x14ac:dyDescent="0.2">
      <c r="A2394" s="6"/>
      <c r="B2394" s="6"/>
      <c r="C2394" s="7"/>
    </row>
    <row r="2395" spans="1:3" x14ac:dyDescent="0.2">
      <c r="A2395" s="6"/>
      <c r="B2395" s="6"/>
      <c r="C2395" s="7"/>
    </row>
    <row r="2396" spans="1:3" x14ac:dyDescent="0.2">
      <c r="A2396" s="6"/>
      <c r="B2396" s="6"/>
      <c r="C2396" s="7"/>
    </row>
    <row r="2397" spans="1:3" x14ac:dyDescent="0.2">
      <c r="A2397" s="8"/>
      <c r="B2397" s="8"/>
      <c r="C2397" s="7"/>
    </row>
    <row r="2398" spans="1:3" x14ac:dyDescent="0.2">
      <c r="A2398" s="8"/>
      <c r="B2398" s="8"/>
      <c r="C2398" s="7"/>
    </row>
    <row r="2399" spans="1:3" x14ac:dyDescent="0.2">
      <c r="A2399" s="8"/>
      <c r="B2399" s="8"/>
      <c r="C2399" s="7"/>
    </row>
    <row r="2400" spans="1:3" x14ac:dyDescent="0.2">
      <c r="A2400" s="8"/>
      <c r="B2400" s="8"/>
      <c r="C2400" s="7"/>
    </row>
    <row r="2401" spans="1:3" x14ac:dyDescent="0.2">
      <c r="A2401" s="8"/>
      <c r="B2401" s="8"/>
      <c r="C2401" s="7"/>
    </row>
    <row r="2402" spans="1:3" x14ac:dyDescent="0.2">
      <c r="A2402" s="8"/>
      <c r="B2402" s="8"/>
      <c r="C2402" s="7"/>
    </row>
    <row r="2403" spans="1:3" x14ac:dyDescent="0.2">
      <c r="A2403" s="8"/>
      <c r="B2403" s="8"/>
      <c r="C2403" s="7"/>
    </row>
    <row r="2404" spans="1:3" x14ac:dyDescent="0.2">
      <c r="A2404" s="8"/>
      <c r="B2404" s="8"/>
      <c r="C2404" s="7"/>
    </row>
    <row r="2405" spans="1:3" x14ac:dyDescent="0.2">
      <c r="A2405" s="8"/>
      <c r="B2405" s="8"/>
      <c r="C2405" s="7"/>
    </row>
    <row r="2406" spans="1:3" x14ac:dyDescent="0.2">
      <c r="A2406" s="8"/>
      <c r="B2406" s="8"/>
      <c r="C2406" s="7"/>
    </row>
    <row r="2407" spans="1:3" x14ac:dyDescent="0.2">
      <c r="A2407" s="8"/>
      <c r="B2407" s="8"/>
      <c r="C2407" s="7"/>
    </row>
    <row r="2408" spans="1:3" x14ac:dyDescent="0.2">
      <c r="A2408" s="8"/>
      <c r="B2408" s="8"/>
      <c r="C2408" s="7"/>
    </row>
    <row r="2409" spans="1:3" x14ac:dyDescent="0.2">
      <c r="A2409" s="8"/>
      <c r="B2409" s="8"/>
      <c r="C2409" s="7"/>
    </row>
    <row r="2410" spans="1:3" x14ac:dyDescent="0.2">
      <c r="A2410" s="10"/>
      <c r="B2410" s="10"/>
      <c r="C2410" s="7"/>
    </row>
    <row r="2411" spans="1:3" x14ac:dyDescent="0.2">
      <c r="A2411" s="9"/>
      <c r="B2411" s="9"/>
      <c r="C2411" s="7"/>
    </row>
    <row r="2412" spans="1:3" x14ac:dyDescent="0.2">
      <c r="C2412" s="7"/>
    </row>
    <row r="2413" spans="1:3" x14ac:dyDescent="0.2">
      <c r="A2413" s="6"/>
      <c r="B2413" s="6"/>
      <c r="C2413" s="7"/>
    </row>
    <row r="2414" spans="1:3" x14ac:dyDescent="0.2">
      <c r="A2414" s="6"/>
      <c r="B2414" s="6"/>
      <c r="C2414" s="7"/>
    </row>
    <row r="2415" spans="1:3" x14ac:dyDescent="0.2">
      <c r="A2415" s="6"/>
      <c r="B2415" s="6"/>
      <c r="C2415" s="7"/>
    </row>
    <row r="2416" spans="1:3" x14ac:dyDescent="0.2">
      <c r="A2416" s="6"/>
      <c r="B2416" s="6"/>
      <c r="C2416" s="7"/>
    </row>
    <row r="2417" spans="1:3" x14ac:dyDescent="0.2">
      <c r="A2417" s="6"/>
      <c r="B2417" s="6"/>
      <c r="C2417" s="7"/>
    </row>
    <row r="2418" spans="1:3" x14ac:dyDescent="0.2">
      <c r="A2418" s="6"/>
      <c r="B2418" s="6"/>
      <c r="C2418" s="7"/>
    </row>
    <row r="2419" spans="1:3" x14ac:dyDescent="0.2">
      <c r="A2419" s="6"/>
      <c r="B2419" s="6"/>
      <c r="C2419" s="7"/>
    </row>
    <row r="2420" spans="1:3" x14ac:dyDescent="0.2">
      <c r="A2420" s="6"/>
      <c r="B2420" s="6"/>
      <c r="C2420" s="7"/>
    </row>
    <row r="2421" spans="1:3" x14ac:dyDescent="0.2">
      <c r="A2421" s="6"/>
      <c r="B2421" s="6"/>
      <c r="C2421" s="7"/>
    </row>
    <row r="2422" spans="1:3" x14ac:dyDescent="0.2">
      <c r="A2422" s="6"/>
      <c r="B2422" s="6"/>
      <c r="C2422" s="7"/>
    </row>
    <row r="2423" spans="1:3" x14ac:dyDescent="0.2">
      <c r="A2423" s="6"/>
      <c r="B2423" s="6"/>
      <c r="C2423" s="7"/>
    </row>
    <row r="2424" spans="1:3" x14ac:dyDescent="0.2">
      <c r="A2424" s="6"/>
      <c r="B2424" s="6"/>
      <c r="C2424" s="7"/>
    </row>
    <row r="2425" spans="1:3" x14ac:dyDescent="0.2">
      <c r="A2425" s="6"/>
      <c r="B2425" s="6"/>
      <c r="C2425" s="7"/>
    </row>
    <row r="2426" spans="1:3" x14ac:dyDescent="0.2">
      <c r="A2426" s="6"/>
      <c r="B2426" s="6"/>
      <c r="C2426" s="7"/>
    </row>
    <row r="2427" spans="1:3" x14ac:dyDescent="0.2">
      <c r="A2427" s="6"/>
      <c r="B2427" s="6"/>
      <c r="C2427" s="7"/>
    </row>
    <row r="2428" spans="1:3" x14ac:dyDescent="0.2">
      <c r="A2428" s="6"/>
      <c r="B2428" s="6"/>
      <c r="C2428" s="7"/>
    </row>
    <row r="2429" spans="1:3" x14ac:dyDescent="0.2">
      <c r="A2429" s="6"/>
      <c r="B2429" s="6"/>
      <c r="C2429" s="7"/>
    </row>
    <row r="2430" spans="1:3" x14ac:dyDescent="0.2">
      <c r="A2430" s="6"/>
      <c r="B2430" s="6"/>
      <c r="C2430" s="7"/>
    </row>
    <row r="2431" spans="1:3" x14ac:dyDescent="0.2">
      <c r="B2431" s="6"/>
      <c r="C2431" s="7"/>
    </row>
    <row r="2432" spans="1:3" x14ac:dyDescent="0.2">
      <c r="A2432" s="8"/>
      <c r="B2432" s="8"/>
      <c r="C2432" s="7"/>
    </row>
    <row r="2433" spans="1:3" x14ac:dyDescent="0.2">
      <c r="A2433" s="8"/>
      <c r="B2433" s="8"/>
      <c r="C2433" s="7"/>
    </row>
    <row r="2434" spans="1:3" x14ac:dyDescent="0.2">
      <c r="A2434" s="8"/>
      <c r="B2434" s="8"/>
      <c r="C2434" s="7"/>
    </row>
    <row r="2435" spans="1:3" x14ac:dyDescent="0.2">
      <c r="A2435" s="8"/>
      <c r="B2435" s="8"/>
      <c r="C2435" s="7"/>
    </row>
    <row r="2436" spans="1:3" x14ac:dyDescent="0.2">
      <c r="A2436" s="8"/>
      <c r="B2436" s="8"/>
      <c r="C2436" s="7"/>
    </row>
    <row r="2437" spans="1:3" x14ac:dyDescent="0.2">
      <c r="A2437" s="6"/>
      <c r="B2437" s="6"/>
      <c r="C2437" s="7"/>
    </row>
    <row r="2438" spans="1:3" x14ac:dyDescent="0.2">
      <c r="A2438" s="6"/>
      <c r="B2438" s="6"/>
      <c r="C2438" s="7"/>
    </row>
    <row r="2439" spans="1:3" x14ac:dyDescent="0.2">
      <c r="A2439" s="6"/>
      <c r="B2439" s="6"/>
      <c r="C2439" s="7"/>
    </row>
    <row r="2440" spans="1:3" x14ac:dyDescent="0.2">
      <c r="A2440" s="6"/>
      <c r="B2440" s="6"/>
      <c r="C2440" s="7"/>
    </row>
    <row r="2441" spans="1:3" x14ac:dyDescent="0.2">
      <c r="A2441" s="6"/>
      <c r="B2441" s="6"/>
      <c r="C2441" s="7"/>
    </row>
    <row r="2442" spans="1:3" x14ac:dyDescent="0.2">
      <c r="A2442" s="6"/>
      <c r="B2442" s="6"/>
      <c r="C2442" s="7"/>
    </row>
    <row r="2443" spans="1:3" x14ac:dyDescent="0.2">
      <c r="A2443" s="6"/>
      <c r="B2443" s="6"/>
      <c r="C2443" s="7"/>
    </row>
    <row r="2444" spans="1:3" x14ac:dyDescent="0.2">
      <c r="A2444" s="6"/>
      <c r="B2444" s="6"/>
      <c r="C2444" s="7"/>
    </row>
    <row r="2445" spans="1:3" x14ac:dyDescent="0.2">
      <c r="A2445" s="6"/>
      <c r="B2445" s="6"/>
      <c r="C2445" s="7"/>
    </row>
    <row r="2446" spans="1:3" x14ac:dyDescent="0.2">
      <c r="A2446" s="6"/>
      <c r="B2446" s="6"/>
      <c r="C2446" s="7"/>
    </row>
    <row r="2447" spans="1:3" x14ac:dyDescent="0.2">
      <c r="A2447" s="8"/>
      <c r="B2447" s="8"/>
      <c r="C2447" s="7"/>
    </row>
    <row r="2448" spans="1:3" x14ac:dyDescent="0.2">
      <c r="A2448" s="8"/>
      <c r="B2448" s="8"/>
      <c r="C2448" s="7"/>
    </row>
    <row r="2449" spans="1:3" x14ac:dyDescent="0.2">
      <c r="A2449" s="8"/>
      <c r="B2449" s="8"/>
      <c r="C2449" s="7"/>
    </row>
    <row r="2450" spans="1:3" x14ac:dyDescent="0.2">
      <c r="A2450" s="8"/>
      <c r="B2450" s="8"/>
      <c r="C2450" s="7"/>
    </row>
    <row r="2451" spans="1:3" x14ac:dyDescent="0.2">
      <c r="A2451" s="8"/>
      <c r="B2451" s="8"/>
      <c r="C2451" s="7"/>
    </row>
    <row r="2452" spans="1:3" x14ac:dyDescent="0.2">
      <c r="A2452" s="10"/>
      <c r="B2452" s="10"/>
      <c r="C2452" s="7"/>
    </row>
    <row r="2453" spans="1:3" x14ac:dyDescent="0.2">
      <c r="A2453" s="10"/>
      <c r="B2453" s="10"/>
      <c r="C2453" s="7"/>
    </row>
    <row r="2454" spans="1:3" x14ac:dyDescent="0.2">
      <c r="A2454" s="9"/>
      <c r="B2454" s="9"/>
      <c r="C2454" s="7"/>
    </row>
    <row r="2455" spans="1:3" x14ac:dyDescent="0.2">
      <c r="A2455" s="6"/>
      <c r="B2455" s="6"/>
      <c r="C2455" s="7"/>
    </row>
    <row r="2456" spans="1:3" x14ac:dyDescent="0.2">
      <c r="A2456" s="6"/>
      <c r="B2456" s="6"/>
      <c r="C2456" s="7"/>
    </row>
    <row r="2457" spans="1:3" x14ac:dyDescent="0.2">
      <c r="A2457" s="6"/>
      <c r="B2457" s="6"/>
      <c r="C2457" s="7"/>
    </row>
    <row r="2458" spans="1:3" x14ac:dyDescent="0.2">
      <c r="A2458" s="6"/>
      <c r="B2458" s="6"/>
      <c r="C2458" s="7"/>
    </row>
    <row r="2459" spans="1:3" x14ac:dyDescent="0.2">
      <c r="A2459" s="6"/>
      <c r="B2459" s="6"/>
      <c r="C2459" s="7"/>
    </row>
    <row r="2460" spans="1:3" x14ac:dyDescent="0.2">
      <c r="A2460" s="6"/>
      <c r="B2460" s="6"/>
      <c r="C2460" s="7"/>
    </row>
    <row r="2461" spans="1:3" x14ac:dyDescent="0.2">
      <c r="A2461" s="6"/>
      <c r="B2461" s="6"/>
      <c r="C2461" s="7"/>
    </row>
    <row r="2462" spans="1:3" x14ac:dyDescent="0.2">
      <c r="A2462" s="6"/>
      <c r="B2462" s="6"/>
      <c r="C2462" s="7"/>
    </row>
    <row r="2463" spans="1:3" x14ac:dyDescent="0.2">
      <c r="A2463" s="6"/>
      <c r="B2463" s="6"/>
      <c r="C2463" s="7"/>
    </row>
    <row r="2464" spans="1:3" x14ac:dyDescent="0.2">
      <c r="A2464" s="6"/>
      <c r="B2464" s="6"/>
      <c r="C2464" s="7"/>
    </row>
    <row r="2465" spans="1:3" x14ac:dyDescent="0.2">
      <c r="A2465" s="8"/>
      <c r="B2465" s="8"/>
      <c r="C2465" s="7"/>
    </row>
    <row r="2466" spans="1:3" x14ac:dyDescent="0.2">
      <c r="A2466" s="8"/>
      <c r="B2466" s="8"/>
      <c r="C2466" s="7"/>
    </row>
    <row r="2467" spans="1:3" x14ac:dyDescent="0.2">
      <c r="A2467" s="8"/>
      <c r="B2467" s="8"/>
      <c r="C2467" s="7"/>
    </row>
    <row r="2468" spans="1:3" x14ac:dyDescent="0.2">
      <c r="A2468" s="6"/>
      <c r="B2468" s="6"/>
      <c r="C2468" s="7"/>
    </row>
    <row r="2469" spans="1:3" x14ac:dyDescent="0.2">
      <c r="A2469" s="6"/>
      <c r="B2469" s="6"/>
      <c r="C2469" s="7"/>
    </row>
    <row r="2470" spans="1:3" x14ac:dyDescent="0.2">
      <c r="A2470" s="6"/>
      <c r="B2470" s="6"/>
      <c r="C2470" s="7"/>
    </row>
    <row r="2471" spans="1:3" x14ac:dyDescent="0.2">
      <c r="A2471" s="6"/>
      <c r="B2471" s="6"/>
      <c r="C2471" s="7"/>
    </row>
    <row r="2472" spans="1:3" x14ac:dyDescent="0.2">
      <c r="A2472" s="6"/>
      <c r="B2472" s="6"/>
      <c r="C2472" s="7"/>
    </row>
    <row r="2473" spans="1:3" x14ac:dyDescent="0.2">
      <c r="A2473" s="6"/>
      <c r="B2473" s="6"/>
      <c r="C2473" s="7"/>
    </row>
    <row r="2474" spans="1:3" x14ac:dyDescent="0.2">
      <c r="A2474" s="6"/>
      <c r="B2474" s="6"/>
      <c r="C2474" s="7"/>
    </row>
    <row r="2475" spans="1:3" x14ac:dyDescent="0.2">
      <c r="A2475" s="6"/>
      <c r="B2475" s="6"/>
      <c r="C2475" s="7"/>
    </row>
    <row r="2476" spans="1:3" x14ac:dyDescent="0.2">
      <c r="A2476" s="6"/>
      <c r="B2476" s="6"/>
      <c r="C2476" s="7"/>
    </row>
    <row r="2477" spans="1:3" x14ac:dyDescent="0.2">
      <c r="A2477" s="6"/>
      <c r="B2477" s="6"/>
      <c r="C2477" s="7"/>
    </row>
    <row r="2478" spans="1:3" x14ac:dyDescent="0.2">
      <c r="A2478" s="8"/>
      <c r="B2478" s="8"/>
      <c r="C2478" s="7"/>
    </row>
    <row r="2479" spans="1:3" x14ac:dyDescent="0.2">
      <c r="A2479" s="8"/>
      <c r="B2479" s="8"/>
      <c r="C2479" s="7"/>
    </row>
    <row r="2480" spans="1:3" x14ac:dyDescent="0.2">
      <c r="A2480" s="8"/>
      <c r="B2480" s="8"/>
      <c r="C2480" s="7"/>
    </row>
    <row r="2481" spans="1:3" x14ac:dyDescent="0.2">
      <c r="A2481" s="10"/>
      <c r="B2481" s="10"/>
      <c r="C2481" s="7"/>
    </row>
    <row r="2482" spans="1:3" x14ac:dyDescent="0.2">
      <c r="A2482" s="6"/>
      <c r="B2482" s="6"/>
      <c r="C2482" s="7"/>
    </row>
    <row r="2483" spans="1:3" x14ac:dyDescent="0.2">
      <c r="A2483" s="6"/>
      <c r="B2483" s="6"/>
      <c r="C2483" s="7"/>
    </row>
    <row r="2484" spans="1:3" x14ac:dyDescent="0.2">
      <c r="A2484" s="6"/>
      <c r="B2484" s="6"/>
      <c r="C2484" s="7"/>
    </row>
    <row r="2485" spans="1:3" x14ac:dyDescent="0.2">
      <c r="A2485" s="6"/>
      <c r="B2485" s="6"/>
      <c r="C2485" s="7"/>
    </row>
    <row r="2486" spans="1:3" x14ac:dyDescent="0.2">
      <c r="A2486" s="8"/>
      <c r="B2486" s="8"/>
      <c r="C2486" s="7"/>
    </row>
    <row r="2487" spans="1:3" x14ac:dyDescent="0.2">
      <c r="A2487" s="8"/>
      <c r="B2487" s="8"/>
      <c r="C2487" s="7"/>
    </row>
    <row r="2488" spans="1:3" x14ac:dyDescent="0.2">
      <c r="A2488" s="6"/>
      <c r="B2488" s="6"/>
      <c r="C2488" s="7"/>
    </row>
    <row r="2489" spans="1:3" x14ac:dyDescent="0.2">
      <c r="A2489" s="6"/>
      <c r="B2489" s="6"/>
      <c r="C2489" s="7"/>
    </row>
    <row r="2490" spans="1:3" x14ac:dyDescent="0.2">
      <c r="A2490" s="6"/>
      <c r="B2490" s="6"/>
      <c r="C2490" s="7"/>
    </row>
    <row r="2491" spans="1:3" x14ac:dyDescent="0.2">
      <c r="A2491" s="6"/>
      <c r="B2491" s="6"/>
      <c r="C2491" s="7"/>
    </row>
    <row r="2492" spans="1:3" x14ac:dyDescent="0.2">
      <c r="A2492" s="6"/>
      <c r="B2492" s="6"/>
      <c r="C2492" s="7"/>
    </row>
    <row r="2493" spans="1:3" x14ac:dyDescent="0.2">
      <c r="A2493" s="6"/>
      <c r="B2493" s="6"/>
      <c r="C2493" s="7"/>
    </row>
    <row r="2494" spans="1:3" x14ac:dyDescent="0.2">
      <c r="A2494" s="6"/>
      <c r="B2494" s="6"/>
      <c r="C2494" s="7"/>
    </row>
    <row r="2495" spans="1:3" x14ac:dyDescent="0.2">
      <c r="A2495" s="6"/>
      <c r="B2495" s="6"/>
      <c r="C2495" s="7"/>
    </row>
    <row r="2496" spans="1:3" x14ac:dyDescent="0.2">
      <c r="A2496" s="6"/>
      <c r="B2496" s="6"/>
      <c r="C2496" s="7"/>
    </row>
    <row r="2497" spans="1:3" x14ac:dyDescent="0.2">
      <c r="A2497" s="6"/>
      <c r="B2497" s="6"/>
      <c r="C2497" s="7"/>
    </row>
    <row r="2498" spans="1:3" x14ac:dyDescent="0.2">
      <c r="A2498" s="6"/>
      <c r="B2498" s="6"/>
      <c r="C2498" s="7"/>
    </row>
    <row r="2499" spans="1:3" x14ac:dyDescent="0.2">
      <c r="A2499" s="6"/>
      <c r="B2499" s="6"/>
      <c r="C2499" s="7"/>
    </row>
    <row r="2500" spans="1:3" x14ac:dyDescent="0.2">
      <c r="A2500" s="6"/>
      <c r="B2500" s="6"/>
      <c r="C2500" s="7"/>
    </row>
    <row r="2501" spans="1:3" x14ac:dyDescent="0.2">
      <c r="A2501" s="6"/>
      <c r="B2501" s="6"/>
      <c r="C2501" s="7"/>
    </row>
    <row r="2502" spans="1:3" x14ac:dyDescent="0.2">
      <c r="A2502" s="6"/>
      <c r="B2502" s="6"/>
      <c r="C2502" s="7"/>
    </row>
    <row r="2503" spans="1:3" x14ac:dyDescent="0.2">
      <c r="A2503" s="6"/>
      <c r="B2503" s="6"/>
      <c r="C2503" s="7"/>
    </row>
    <row r="2504" spans="1:3" x14ac:dyDescent="0.2">
      <c r="A2504" s="6"/>
      <c r="B2504" s="6"/>
      <c r="C2504" s="7"/>
    </row>
    <row r="2505" spans="1:3" x14ac:dyDescent="0.2">
      <c r="A2505" s="6"/>
      <c r="B2505" s="6"/>
      <c r="C2505" s="7"/>
    </row>
    <row r="2506" spans="1:3" x14ac:dyDescent="0.2">
      <c r="A2506" s="6"/>
      <c r="B2506" s="6"/>
      <c r="C2506" s="7"/>
    </row>
    <row r="2507" spans="1:3" x14ac:dyDescent="0.2">
      <c r="A2507" s="6"/>
      <c r="B2507" s="6"/>
      <c r="C2507" s="7"/>
    </row>
    <row r="2508" spans="1:3" x14ac:dyDescent="0.2">
      <c r="A2508" s="6"/>
      <c r="B2508" s="6"/>
      <c r="C2508" s="7"/>
    </row>
    <row r="2509" spans="1:3" x14ac:dyDescent="0.2">
      <c r="A2509" s="6"/>
      <c r="B2509" s="6"/>
      <c r="C2509" s="7"/>
    </row>
    <row r="2510" spans="1:3" x14ac:dyDescent="0.2">
      <c r="A2510" s="6"/>
      <c r="B2510" s="6"/>
      <c r="C2510" s="7"/>
    </row>
    <row r="2511" spans="1:3" x14ac:dyDescent="0.2">
      <c r="A2511" s="6"/>
      <c r="B2511" s="6"/>
      <c r="C2511" s="7"/>
    </row>
  </sheetData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Report</vt:lpstr>
      <vt:lpstr>Summary</vt:lpstr>
      <vt:lpstr>Inputs</vt:lpstr>
      <vt:lpstr>Report!Print_Area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Federal Aid Program with Approved Budgets and No Payments to Date</dc:title>
  <dc:creator>sysadmin</dc:creator>
  <dc:description/>
  <cp:lastModifiedBy>EDU-UCMPROD$</cp:lastModifiedBy>
  <cp:lastPrinted>2010-01-04T17:41:26Z</cp:lastPrinted>
  <dcterms:created xsi:type="dcterms:W3CDTF">2009-12-22T22:50:14Z</dcterms:created>
  <dcterms:modified xsi:type="dcterms:W3CDTF">2011-10-18T20:27:23Z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ID">
    <vt:lpwstr>002804</vt:lpwstr>
  </property>
</Properties>
</file>