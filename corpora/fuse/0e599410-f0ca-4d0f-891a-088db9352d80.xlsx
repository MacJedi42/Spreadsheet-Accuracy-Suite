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<sst xmlns="http://schemas.openxmlformats.org/spreadsheetml/2006/main" count="96" uniqueCount="96">
  <si>
    <t/>
  </si>
  <si>
    <t>ID:</t>
  </si>
  <si>
    <t>00146080</t>
  </si>
  <si>
    <t>Notes/Supplemental Information:</t>
  </si>
  <si>
    <t>REIT Name:</t>
  </si>
  <si>
    <t>Taubman Centers,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</si>
  <si>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</si>
  <si>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</si>
  <si>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</si>
  <si>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</si>
  <si>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</si>
  <si>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</si>
  <si>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</si>
  <si>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</si>
  <si>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</si>
  <si>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</si>
  <si>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</si>
  <si>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</si>
  <si>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</si>
  <si>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</si>
  <si>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</si>
  <si>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</si>
  <si>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</si>
  <si>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</si>
  <si>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</si>
  <si>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</si>
  <si>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</si>
  <si>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</si>
  <si>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</si>
  <si>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</si>
  <si>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</si>
  <si>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</si>
  <si>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</si>
  <si>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</si>
  <si>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</si>
  <si>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</si>
  <si>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</si>
  <si>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</si>
  <si>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</si>
  <si>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</si>
  <si>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</si>
  <si>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</si>
  <si>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</si>
  <si>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</si>
  <si>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</si>
  <si>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</si>
  <si>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</si>
  <si>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</si>
  <si>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</si>
  <si>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</si>
  <si>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</si>
  <si>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</si>
  <si>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</si>
  <si>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</si>
  <si>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</si>
  <si>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</si>
  <si>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</si>
  <si>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</si>
  <si>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</si>
  <si>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</si>
  <si>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</si>
  <si>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</si>
  <si>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</si>
  <si>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</si>
  <si>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</si>
  <si>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</si>
  <si>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</si>
  <si>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</si>
  <si>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</si>
  <si>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</si>
  <si>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</si>
  <si>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</si>
  <si>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</si>
  <si>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</si>
  <si>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</si>
  <si>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</si>
  <si>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</si>
  <si>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</si>
  <si>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</si>
  <si>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</si>
  <si>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</si>
  <si>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</si>
  <si>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</si>
  <si>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</si>
  <si>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Taubman Centers, Inc. Common</t>
  </si>
  <si>
    <t>876664-10-3</t>
  </si>
  <si>
    <t>TCO</t>
  </si>
  <si>
    <t>Taubman Centers, Inc. Preferred Series G</t>
  </si>
  <si>
    <t>876664-30-1</t>
  </si>
  <si>
    <t>TCOPrG</t>
  </si>
  <si>
    <t>Taubman Centers, Inc. Preferred Series H</t>
  </si>
  <si>
    <t>876664-40-0</t>
  </si>
  <si>
    <t>TCOPrH</t>
  </si>
  <si>
    <t>Taubman Centers, Inc. Preferred Series J</t>
  </si>
  <si>
    <t>876664-60-8</t>
  </si>
  <si>
    <t>TCOPrJ</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</si>
</sst>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H38" sqref="H38:H39"/>
    </sheetView>
  </sheetViews>
  <sheetFormatPr defaultRowHeight="15" x14ac:dyDescent="0.25"/>
  <cols>
    <col min="1" max="1" bestFit="1" width="30.57031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41291</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40983</v>
      </c>
      <c r="H20" s="62"/>
      <c r="I20" s="62">
        <v>40998</v>
      </c>
      <c r="J20" s="63">
        <f>K20+L20+M20</f>
      </c>
      <c r="K20" s="53"/>
      <c r="L20" s="53"/>
      <c r="M20" s="53">
        <f>N20+O20+V20+Z20+AB20</f>
      </c>
      <c r="N20" s="63">
        <v>0.326765</v>
      </c>
      <c r="O20" s="64"/>
      <c r="P20" s="55"/>
      <c r="Q20" s="65">
        <f>N20+O20</f>
      </c>
      <c r="R20" s="63"/>
      <c r="S20" s="55"/>
      <c r="T20" s="55"/>
      <c r="U20" s="63">
        <f>R20</f>
      </c>
      <c r="V20" s="63"/>
      <c r="W20" s="63"/>
      <c r="X20" s="55"/>
      <c r="Y20" s="63"/>
      <c r="Z20" s="63">
        <v>0.135735</v>
      </c>
      <c r="AA20" s="55"/>
      <c r="AB20" s="63"/>
      <c r="AC20" s="63"/>
      <c r="AD20" s="55"/>
      <c r="AE20" s="55"/>
      <c r="AF20" s="66"/>
      <c r="AG20" s="37"/>
    </row>
    <row r="21">
      <c r="A21" s="59" t="s">
        <v>84</v>
      </c>
      <c r="B21" s="60" t="s">
        <v>85</v>
      </c>
      <c r="C21" s="60" t="s">
        <v>86</v>
      </c>
      <c r="D21" s="61"/>
      <c r="E21" s="61"/>
      <c r="F21" s="61"/>
      <c r="G21" s="62">
        <v>41078</v>
      </c>
      <c r="H21" s="62"/>
      <c r="I21" s="62">
        <v>41089</v>
      </c>
      <c r="J21" s="63">
        <f ref="J21:J23" t="shared" si="1">K21+L21+M21</f>
      </c>
      <c r="K21" s="53"/>
      <c r="L21" s="53"/>
      <c r="M21" s="53">
        <f ref="M21:M23" t="shared" si="2">N21+O21+V21+Z21+AB21</f>
      </c>
      <c r="N21" s="63">
        <v>0.326765</v>
      </c>
      <c r="O21" s="64"/>
      <c r="P21" s="55"/>
      <c r="Q21" s="65">
        <f ref="Q21:Q22" t="shared" si="3">N21+O21</f>
      </c>
      <c r="R21" s="63"/>
      <c r="S21" s="55"/>
      <c r="T21" s="55"/>
      <c r="U21" s="63">
        <f ref="U21:U23" t="shared" si="4">R21</f>
      </c>
      <c r="V21" s="63"/>
      <c r="W21" s="63"/>
      <c r="X21" s="55"/>
      <c r="Y21" s="63"/>
      <c r="Z21" s="63">
        <v>0.135735</v>
      </c>
      <c r="AA21" s="55"/>
      <c r="AB21" s="63"/>
      <c r="AC21" s="63"/>
      <c r="AD21" s="55"/>
      <c r="AE21" s="55"/>
      <c r="AF21" s="66"/>
      <c r="AG21" s="37"/>
    </row>
    <row r="22">
      <c r="A22" s="59" t="s">
        <v>84</v>
      </c>
      <c r="B22" s="60" t="s">
        <v>85</v>
      </c>
      <c r="C22" s="60" t="s">
        <v>86</v>
      </c>
      <c r="D22" s="61"/>
      <c r="E22" s="61"/>
      <c r="F22" s="61"/>
      <c r="G22" s="62">
        <v>41169</v>
      </c>
      <c r="H22" s="62"/>
      <c r="I22" s="62">
        <v>41180</v>
      </c>
      <c r="J22" s="63">
        <f t="shared" si="1"/>
      </c>
      <c r="K22" s="53"/>
      <c r="L22" s="53"/>
      <c r="M22" s="53">
        <f t="shared" si="2"/>
      </c>
      <c r="N22" s="63">
        <v>0.326765</v>
      </c>
      <c r="O22" s="67"/>
      <c r="P22" s="68"/>
      <c r="Q22" s="65">
        <f t="shared" si="3"/>
      </c>
      <c r="R22" s="53"/>
      <c r="S22" s="68"/>
      <c r="T22" s="68"/>
      <c r="U22" s="63">
        <f t="shared" si="4"/>
      </c>
      <c r="V22" s="53"/>
      <c r="W22" s="53"/>
      <c r="X22" s="68"/>
      <c r="Y22" s="53"/>
      <c r="Z22" s="63">
        <v>0.135735</v>
      </c>
      <c r="AA22" s="68"/>
      <c r="AB22" s="53"/>
      <c r="AC22" s="53"/>
      <c r="AD22" s="68"/>
      <c r="AE22" s="68"/>
      <c r="AF22" s="70"/>
      <c r="AG22" s="37"/>
    </row>
    <row r="23">
      <c r="A23" s="59" t="s">
        <v>84</v>
      </c>
      <c r="B23" s="60" t="s">
        <v>85</v>
      </c>
      <c r="C23" s="60" t="s">
        <v>86</v>
      </c>
      <c r="D23" s="73"/>
      <c r="E23" s="73"/>
      <c r="F23" s="73"/>
      <c r="G23" s="74">
        <v>41260</v>
      </c>
      <c r="H23" s="74"/>
      <c r="I23" s="74">
        <v>41274</v>
      </c>
      <c r="J23" s="63">
        <f t="shared" si="1"/>
      </c>
      <c r="K23" s="53"/>
      <c r="L23" s="53"/>
      <c r="M23" s="53">
        <f t="shared" si="2"/>
      </c>
      <c r="N23" s="63">
        <v>0.326765</v>
      </c>
      <c r="O23" s="67"/>
      <c r="P23" s="68"/>
      <c r="Q23" s="65">
        <f>N23+O23</f>
      </c>
      <c r="R23" s="53"/>
      <c r="S23" s="68"/>
      <c r="T23" s="68"/>
      <c r="U23" s="63">
        <f t="shared" si="4"/>
      </c>
      <c r="V23" s="53"/>
      <c r="W23" s="53"/>
      <c r="X23" s="68"/>
      <c r="Y23" s="53"/>
      <c r="Z23" s="63">
        <v>0.135735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40983</v>
      </c>
      <c r="H26" s="62"/>
      <c r="I26" s="62">
        <v>40998</v>
      </c>
      <c r="J26" s="63">
        <f ref="J26:J28" t="shared" si="5">K26+L26+M26</f>
      </c>
      <c r="K26" s="53"/>
      <c r="L26" s="53"/>
      <c r="M26" s="53">
        <f ref="M26:M28" t="shared" si="6">N26+O26+V26+Z26+AB26</f>
      </c>
      <c r="N26" s="63">
        <v>0.5</v>
      </c>
      <c r="O26" s="64"/>
      <c r="P26" s="55"/>
      <c r="Q26" s="65">
        <f ref="Q26:Q28" t="shared" si="7">N26+O26</f>
      </c>
      <c r="R26" s="63"/>
      <c r="S26" s="55"/>
      <c r="T26" s="55"/>
      <c r="U26" s="63">
        <f ref="U26:U28" t="shared" si="8">R26</f>
      </c>
      <c r="V26" s="63"/>
      <c r="W26" s="63"/>
      <c r="X26" s="55"/>
      <c r="Y26" s="63"/>
      <c r="Z26" s="63">
        <v>0</v>
      </c>
      <c r="AA26" s="55"/>
      <c r="AB26" s="63"/>
      <c r="AC26" s="63"/>
      <c r="AD26" s="55"/>
      <c r="AE26" s="55"/>
      <c r="AF26" s="66"/>
      <c r="AG26" s="37"/>
    </row>
    <row r="27">
      <c r="A27" s="59" t="s">
        <v>87</v>
      </c>
      <c r="B27" s="60" t="s">
        <v>88</v>
      </c>
      <c r="C27" s="60" t="s">
        <v>89</v>
      </c>
      <c r="D27" s="61"/>
      <c r="E27" s="61"/>
      <c r="F27" s="61"/>
      <c r="G27" s="62">
        <v>41078</v>
      </c>
      <c r="H27" s="62"/>
      <c r="I27" s="62">
        <v>41089</v>
      </c>
      <c r="J27" s="63">
        <f t="shared" si="5"/>
      </c>
      <c r="K27" s="53"/>
      <c r="L27" s="53"/>
      <c r="M27" s="53">
        <f t="shared" si="6"/>
      </c>
      <c r="N27" s="63">
        <v>0.5</v>
      </c>
      <c r="O27" s="64"/>
      <c r="P27" s="55"/>
      <c r="Q27" s="65">
        <f t="shared" si="7"/>
      </c>
      <c r="R27" s="63"/>
      <c r="S27" s="55"/>
      <c r="T27" s="55"/>
      <c r="U27" s="63">
        <f t="shared" si="8"/>
      </c>
      <c r="V27" s="63"/>
      <c r="W27" s="63"/>
      <c r="X27" s="55"/>
      <c r="Y27" s="63"/>
      <c r="Z27" s="63">
        <v>0</v>
      </c>
      <c r="AA27" s="55"/>
      <c r="AB27" s="63"/>
      <c r="AC27" s="63"/>
      <c r="AD27" s="55"/>
      <c r="AE27" s="55"/>
      <c r="AF27" s="66"/>
      <c r="AG27" s="37"/>
    </row>
    <row r="28">
      <c r="A28" s="59" t="s">
        <v>87</v>
      </c>
      <c r="B28" s="60" t="s">
        <v>88</v>
      </c>
      <c r="C28" s="60" t="s">
        <v>89</v>
      </c>
      <c r="D28" s="61"/>
      <c r="E28" s="61"/>
      <c r="F28" s="61"/>
      <c r="G28" s="62">
        <v>41156</v>
      </c>
      <c r="H28" s="62"/>
      <c r="I28" s="62">
        <v>41156</v>
      </c>
      <c r="J28" s="63">
        <f t="shared" si="5"/>
      </c>
      <c r="K28" s="53"/>
      <c r="L28" s="53"/>
      <c r="M28" s="53">
        <f t="shared" si="6"/>
      </c>
      <c r="N28" s="53">
        <v>0.35</v>
      </c>
      <c r="O28" s="67"/>
      <c r="P28" s="68"/>
      <c r="Q28" s="65">
        <f t="shared" si="7"/>
      </c>
      <c r="R28" s="53"/>
      <c r="S28" s="68"/>
      <c r="T28" s="68"/>
      <c r="U28" s="63">
        <f t="shared" si="8"/>
      </c>
      <c r="V28" s="53"/>
      <c r="W28" s="53"/>
      <c r="X28" s="68"/>
      <c r="Y28" s="53"/>
      <c r="Z28" s="53">
        <v>0</v>
      </c>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40983</v>
      </c>
      <c r="H32" s="62"/>
      <c r="I32" s="62">
        <v>40998</v>
      </c>
      <c r="J32" s="63">
        <f ref="J32:J34" t="shared" si="9">K32+L32+M32</f>
      </c>
      <c r="K32" s="53"/>
      <c r="L32" s="53"/>
      <c r="M32" s="53">
        <f ref="M32:M34" t="shared" si="10">N32+O32+V32+Z32+AB32</f>
      </c>
      <c r="N32" s="63">
        <v>0.476563</v>
      </c>
      <c r="O32" s="64"/>
      <c r="P32" s="55"/>
      <c r="Q32" s="65">
        <f ref="Q32:Q34" t="shared" si="11">N32+O32</f>
      </c>
      <c r="R32" s="63"/>
      <c r="S32" s="55"/>
      <c r="T32" s="55"/>
      <c r="U32" s="63">
        <f ref="U32:U34" t="shared" si="12">R32</f>
      </c>
      <c r="V32" s="63"/>
      <c r="W32" s="63"/>
      <c r="X32" s="55"/>
      <c r="Y32" s="63"/>
      <c r="Z32" s="63">
        <v>0</v>
      </c>
      <c r="AA32" s="55"/>
      <c r="AB32" s="63"/>
      <c r="AC32" s="63"/>
      <c r="AD32" s="55"/>
      <c r="AE32" s="55"/>
      <c r="AF32" s="66"/>
      <c r="AG32" s="37"/>
    </row>
    <row r="33">
      <c r="A33" s="59" t="s">
        <v>90</v>
      </c>
      <c r="B33" s="60" t="s">
        <v>91</v>
      </c>
      <c r="C33" s="60" t="s">
        <v>92</v>
      </c>
      <c r="D33" s="61"/>
      <c r="E33" s="61"/>
      <c r="F33" s="61"/>
      <c r="G33" s="62">
        <v>41078</v>
      </c>
      <c r="H33" s="62"/>
      <c r="I33" s="62">
        <v>41089</v>
      </c>
      <c r="J33" s="63">
        <f t="shared" si="9"/>
      </c>
      <c r="K33" s="53"/>
      <c r="L33" s="53"/>
      <c r="M33" s="53">
        <f t="shared" si="10"/>
      </c>
      <c r="N33" s="63">
        <v>0.476563</v>
      </c>
      <c r="O33" s="64"/>
      <c r="P33" s="55"/>
      <c r="Q33" s="65">
        <f t="shared" si="11"/>
      </c>
      <c r="R33" s="63"/>
      <c r="S33" s="55"/>
      <c r="T33" s="55"/>
      <c r="U33" s="63">
        <f t="shared" si="12"/>
      </c>
      <c r="V33" s="63"/>
      <c r="W33" s="63"/>
      <c r="X33" s="55"/>
      <c r="Y33" s="63"/>
      <c r="Z33" s="63">
        <v>0</v>
      </c>
      <c r="AA33" s="55"/>
      <c r="AB33" s="63"/>
      <c r="AC33" s="63"/>
      <c r="AD33" s="55"/>
      <c r="AE33" s="55"/>
      <c r="AF33" s="66"/>
      <c r="AG33" s="37"/>
    </row>
    <row r="34">
      <c r="A34" s="59" t="s">
        <v>90</v>
      </c>
      <c r="B34" s="60" t="s">
        <v>91</v>
      </c>
      <c r="C34" s="60" t="s">
        <v>92</v>
      </c>
      <c r="D34" s="73"/>
      <c r="E34" s="73"/>
      <c r="F34" s="73"/>
      <c r="G34" s="62">
        <v>41156</v>
      </c>
      <c r="H34" s="62"/>
      <c r="I34" s="74">
        <v>41156</v>
      </c>
      <c r="J34" s="63">
        <f t="shared" si="9"/>
      </c>
      <c r="K34" s="53"/>
      <c r="L34" s="53"/>
      <c r="M34" s="53">
        <f t="shared" si="10"/>
      </c>
      <c r="N34" s="53">
        <v>0.333593</v>
      </c>
      <c r="O34" s="67"/>
      <c r="P34" s="68"/>
      <c r="Q34" s="65">
        <f t="shared" si="11"/>
      </c>
      <c r="R34" s="53"/>
      <c r="S34" s="68"/>
      <c r="T34" s="68"/>
      <c r="U34" s="63">
        <f t="shared" si="12"/>
      </c>
      <c r="V34" s="53"/>
      <c r="W34" s="53"/>
      <c r="X34" s="68"/>
      <c r="Y34" s="53"/>
      <c r="Z34" s="53">
        <v>0</v>
      </c>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41169</v>
      </c>
      <c r="H38" s="62"/>
      <c r="I38" s="62">
        <v>41180</v>
      </c>
      <c r="J38" s="63">
        <f ref="J38:J39" t="shared" si="13">K38+L38+M38</f>
      </c>
      <c r="K38" s="53"/>
      <c r="L38" s="53"/>
      <c r="M38" s="53">
        <f ref="M38:M39" t="shared" si="14">N38+O38+V38+Z38+AB38</f>
      </c>
      <c r="N38" s="63">
        <v>0.212153</v>
      </c>
      <c r="O38" s="64"/>
      <c r="P38" s="55"/>
      <c r="Q38" s="65">
        <f ref="Q38:Q39" t="shared" si="15">N38+O38</f>
      </c>
      <c r="R38" s="63"/>
      <c r="S38" s="55"/>
      <c r="T38" s="55"/>
      <c r="U38" s="63">
        <f ref="U38:U39" t="shared" si="16">R38</f>
      </c>
      <c r="V38" s="63"/>
      <c r="W38" s="63"/>
      <c r="X38" s="55"/>
      <c r="Y38" s="63"/>
      <c r="Z38" s="63">
        <v>0</v>
      </c>
      <c r="AA38" s="55"/>
      <c r="AB38" s="63"/>
      <c r="AC38" s="63"/>
      <c r="AD38" s="55"/>
      <c r="AE38" s="55"/>
      <c r="AF38" s="66"/>
      <c r="AG38" s="37"/>
    </row>
    <row r="39">
      <c r="A39" s="59" t="s">
        <v>93</v>
      </c>
      <c r="B39" s="60" t="s">
        <v>94</v>
      </c>
      <c r="C39" s="60" t="s">
        <v>95</v>
      </c>
      <c r="D39" s="61"/>
      <c r="E39" s="61"/>
      <c r="F39" s="61"/>
      <c r="G39" s="62">
        <v>41260</v>
      </c>
      <c r="H39" s="62"/>
      <c r="I39" s="62">
        <v>41274</v>
      </c>
      <c r="J39" s="63">
        <f t="shared" si="13"/>
      </c>
      <c r="K39" s="53"/>
      <c r="L39" s="53"/>
      <c r="M39" s="53">
        <f t="shared" si="14"/>
      </c>
      <c r="N39" s="63">
        <v>0.40625</v>
      </c>
      <c r="O39" s="64"/>
      <c r="P39" s="55"/>
      <c r="Q39" s="65">
        <f t="shared" si="15"/>
      </c>
      <c r="R39" s="63"/>
      <c r="S39" s="55"/>
      <c r="T39" s="55"/>
      <c r="U39" s="63">
        <f t="shared" si="16"/>
      </c>
      <c r="V39" s="63"/>
      <c r="W39" s="63"/>
      <c r="X39" s="55"/>
      <c r="Y39" s="63"/>
      <c r="Z39" s="63">
        <v>0</v>
      </c>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H32:H34 A19:AG23 A163:AG167 A37:AG41 A43:AG47 A49:AG53 A55:AG59 A61:AG65 A67:AG71 A73:AG77 A79:AG83 A85:AG89 A91:AG95 A97:AG101 A103:AG107 A109:AG113 A115:AG119 A121:AG125 A127:AG131 A133:AG137 A139:AG143 A145:AG149 A151:AG155 A157:AG161 A31:G35 I31:AG35 H31 H35 A25:G29 I25:AG29 H25 H29" name="Range4"/>
    <protectedRange sqref="B6" name="Range1"/>
    <protectedRange sqref="H29 H32:H34 A37:AG41 A43:AG47 A49:AG53 A55:AG59 A61:AG65 A67:AG71 A73:AG77 A79:AG83 A85:AG89 A91:AG95 A97:AG101 A103:AG107 A109:AG113 A115:AG119 A121:AG125 A127:AG131 A133:AG137 A139:AG143 A145:AG149 A151:AG155 A157:AG161 A163:AG167 A19:AG23 A25:G29 I25:AG29 H25 A31:G35 I31:AG35 H31 H35"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75"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Taubman</cp:lastModifiedBy>
  <cp:lastPrinted>2013-01-11T14:46:17Z</cp:lastPrinted>
  <dcterms:created xsi:type="dcterms:W3CDTF">2012-11-27T14:14:45Z</dcterms:created>
  <dcterms:modified xsi:type="dcterms:W3CDTF">2013-01-11T14:47:24Z</dcterms:modified>
</cp:coreProperties>
</file>