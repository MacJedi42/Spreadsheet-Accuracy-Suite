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bookViews>
    <workbookView xWindow="120" yWindow="72" windowWidth="15480" windowHeight="9816"/>
  </bookViews>
  <sheets>
    <sheet name="Calculator" sheetId="1" r:id="rId1"/>
    <sheet name="Sheet2" sheetId="2" r:id="rId2"/>
    <sheet name="Sheet3" sheetId="3" r:id="rId3"/>
    <sheet name="Sheet4" sheetId="4" state="hidden" r:id="rId4"/>
  </sheets>
  <calcPr calcId="145621"/>
</workbook>
</file>

<file path=xl/calcChain.xml><?xml version="1.0" encoding="utf-8"?>
<calcChain xmlns="http://schemas.openxmlformats.org/spreadsheetml/2006/main">
  <c r="D11" i="1" l="1"/>
  <c r="D75" i="1" l="1"/>
  <c r="D12" i="1" l="1"/>
  <c r="D14" i="1" s="1"/>
  <c r="C83" i="1" l="1"/>
  <c r="D22" i="1"/>
  <c r="I16" i="1"/>
  <c r="I17" i="1"/>
  <c r="I18" i="1"/>
  <c r="I19" i="1"/>
  <c r="I20" i="1"/>
  <c r="I21" i="1"/>
  <c r="I22" i="1"/>
  <c r="I14" i="1" l="1"/>
  <c r="D69" i="1"/>
  <c r="D61" i="1"/>
  <c r="I13" i="1"/>
  <c r="D25" i="1"/>
  <c r="D51" i="1" s="1"/>
  <c r="D53" i="1" s="1"/>
  <c r="D88" i="1" s="1"/>
  <c r="D83" i="1"/>
  <c r="I23" i="1" l="1"/>
  <c r="I24" i="1" s="1"/>
  <c r="C87" i="1" s="1"/>
  <c r="C88" i="1"/>
  <c r="D31" i="1"/>
  <c r="D38" i="1" s="1"/>
  <c r="D84" i="1" s="1"/>
  <c r="D87" i="1" l="1"/>
  <c r="C84" i="1"/>
  <c r="D57" i="1"/>
  <c r="D74" i="1" l="1"/>
  <c r="D78" i="1" s="1"/>
  <c r="C86" i="1" s="1"/>
  <c r="E57" i="1"/>
  <c r="D65" i="1"/>
  <c r="D86" i="1" l="1"/>
  <c r="D58" i="1"/>
  <c r="D59" i="1" s="1"/>
  <c r="D60" i="1" s="1"/>
  <c r="D66" i="1"/>
  <c r="D67" i="1" l="1"/>
  <c r="D68" i="1" s="1"/>
  <c r="D71" i="1" s="1"/>
  <c r="D85" i="1" s="1"/>
  <c r="D91" i="1" s="1"/>
  <c r="D63" i="1"/>
  <c r="C85" i="1" s="1"/>
  <c r="D94" i="1" l="1"/>
  <c r="C91" i="1"/>
  <c r="C94" i="1"/>
</calcChain>
</file>

<file path=xl/comments1.xml><?xml version="1.0" encoding="utf-8"?>
<comments xmlns="http://schemas.openxmlformats.org/spreadsheetml/2006/main">
  <authors>
    <author>pitner</author>
  </authors>
  <commentList>
    <comment ref="D9" authorId="0">
      <text>
        <r>
          <rPr>
            <b/>
            <sz val="8"/>
            <color indexed="81"/>
            <rFont val="Tahoma"/>
            <family val="2"/>
          </rPr>
          <t xml:space="preserve">Hourly rate from Civil Service Appointment Information on NESSIE
</t>
        </r>
        <r>
          <rPr>
            <sz val="8"/>
            <color indexed="81"/>
            <rFont val="Tahoma"/>
            <family val="2"/>
          </rPr>
          <t xml:space="preserve">
</t>
        </r>
      </text>
    </comment>
    <comment ref="A19" authorId="0">
      <text>
        <r>
          <rPr>
            <sz val="8"/>
            <color indexed="81"/>
            <rFont val="Tahoma"/>
            <family val="2"/>
          </rPr>
          <t>Taxable Benefits such as Tuition waivers, special event tickets, etc.</t>
        </r>
      </text>
    </comment>
    <comment ref="A20" authorId="0">
      <text>
        <r>
          <rPr>
            <sz val="8"/>
            <color indexed="81"/>
            <rFont val="Tahoma"/>
            <family val="2"/>
          </rPr>
          <t xml:space="preserve">if more than one taxable benefit assessed.
</t>
        </r>
      </text>
    </comment>
    <comment ref="A30" authorId="0">
      <text>
        <r>
          <rPr>
            <sz val="8"/>
            <color indexed="81"/>
            <rFont val="Tahoma"/>
            <family val="2"/>
          </rPr>
          <t>403b plan deductions such as TIAA CREF, Fidelity, etc.</t>
        </r>
      </text>
    </comment>
    <comment ref="A31" authorId="0">
      <text>
        <r>
          <rPr>
            <sz val="8"/>
            <color indexed="81"/>
            <rFont val="Tahoma"/>
            <family val="2"/>
          </rPr>
          <t xml:space="preserve">If more than one 403b plan list all
</t>
        </r>
      </text>
    </comment>
    <comment ref="A51" authorId="0">
      <text>
        <r>
          <rPr>
            <sz val="8"/>
            <color indexed="81"/>
            <rFont val="Tahoma"/>
            <family val="2"/>
          </rPr>
          <t xml:space="preserve">If more than one 403b plan list all
</t>
        </r>
      </text>
    </comment>
    <comment ref="D62" authorId="0">
      <text>
        <r>
          <rPr>
            <sz val="8"/>
            <color indexed="81"/>
            <rFont val="Tahoma"/>
            <family val="2"/>
          </rPr>
          <t>If filing exempt, enter the total federal tax withholding with a negative sign in front of it</t>
        </r>
      </text>
    </comment>
    <comment ref="D70" authorId="0">
      <text>
        <r>
          <rPr>
            <sz val="8"/>
            <color indexed="81"/>
            <rFont val="Tahoma"/>
            <family val="2"/>
          </rPr>
          <t>If filing exempt, enter the total federal tax withholding with a negative sign in front of it</t>
        </r>
      </text>
    </comment>
    <comment ref="D77" authorId="0">
      <text>
        <r>
          <rPr>
            <sz val="8"/>
            <color indexed="81"/>
            <rFont val="Tahoma"/>
            <family val="2"/>
          </rPr>
          <t>If filing exempt, enter the total federal tax withholding with a negative sign in front of it</t>
        </r>
      </text>
    </comment>
  </commentList>
</comments>
</file>

<file path=xl/sharedStrings.xml><?xml version="1.0" encoding="utf-8"?>
<sst xmlns="http://schemas.openxmlformats.org/spreadsheetml/2006/main" count="101" uniqueCount="86">
  <si>
    <t>Minus:</t>
  </si>
  <si>
    <t>Medicare Earnings</t>
  </si>
  <si>
    <t>Life Insurance</t>
  </si>
  <si>
    <t xml:space="preserve">Health Insurance </t>
  </si>
  <si>
    <t>Dental Insurance</t>
  </si>
  <si>
    <t>DCAP</t>
  </si>
  <si>
    <t>MCAP</t>
  </si>
  <si>
    <t>Parking</t>
  </si>
  <si>
    <t xml:space="preserve">Transit Benefit </t>
  </si>
  <si>
    <t>IF APPLICABLE</t>
  </si>
  <si>
    <t>MEDICARE GROSS CALCULATION:</t>
  </si>
  <si>
    <t>Hourly Rate</t>
  </si>
  <si>
    <t>403b plan Percentage enter percentage in column B</t>
  </si>
  <si>
    <t xml:space="preserve">Taxable Benefits </t>
  </si>
  <si>
    <t>Taxable Benefits cont.</t>
  </si>
  <si>
    <t xml:space="preserve">TAXABLE GROSS </t>
  </si>
  <si>
    <t>W4 Status</t>
  </si>
  <si>
    <t>Medicare Withholding</t>
  </si>
  <si>
    <t>MARRIED</t>
  </si>
  <si>
    <t>SINGLE</t>
  </si>
  <si>
    <t>tax amount</t>
  </si>
  <si>
    <t>TAX AMOUNT</t>
  </si>
  <si>
    <t>TAX AMOUNT FILING SINGLE</t>
  </si>
  <si>
    <t>TAX AMOUNT FILING MARRIED</t>
  </si>
  <si>
    <t>NET PAY CALCULATION</t>
  </si>
  <si>
    <t>TAX WITHHOLDING - FEDERAL</t>
  </si>
  <si>
    <t>TAX WITHHOLDING - STATE</t>
  </si>
  <si>
    <t>STATE W4 ALLOWANCES</t>
  </si>
  <si>
    <t>ILLINOIS</t>
  </si>
  <si>
    <t>NET PAY</t>
  </si>
  <si>
    <t>TOTAL FEDERAL TAX WITHHOLDING</t>
  </si>
  <si>
    <t>Monthly Gross Pay</t>
  </si>
  <si>
    <t>Add: Monthly Taxable Benefits</t>
  </si>
  <si>
    <t>W4- MARRIED STATUS</t>
  </si>
  <si>
    <t>W4- SINGLE STATUS</t>
  </si>
  <si>
    <t>GROSS</t>
  </si>
  <si>
    <t xml:space="preserve">MEDICARE if you are not subject to Medicare type 0 </t>
  </si>
  <si>
    <t>W4 Married</t>
  </si>
  <si>
    <t>W4 Single</t>
  </si>
  <si>
    <t>Enter # of Allowances</t>
  </si>
  <si>
    <t>ADDITIONAL WITHHOLDING or FILING EXEMPT</t>
  </si>
  <si>
    <t>To complete this form you need to know your deduction amounts.  These can be found on your earnings statement.  To retrieve your electronic earnings statement log on to NESSIE and go to the Compensation tab:</t>
  </si>
  <si>
    <t>Instructions to access your Earnings Statement:</t>
  </si>
  <si>
    <t>Link to NESSIE</t>
  </si>
  <si>
    <t>Roth 403b plan Percentage enter percentage in column B</t>
  </si>
  <si>
    <t>Excess Life (Current Month amt from Earnings Statement)</t>
  </si>
  <si>
    <t>Total Taxable Benefits</t>
  </si>
  <si>
    <t>Total AfterTax Deductions</t>
  </si>
  <si>
    <t>Total After Tax Deductions</t>
  </si>
  <si>
    <t>AFTER TAX DEDUCTIONS:</t>
  </si>
  <si>
    <t>ADDITIONS to Taxable Gross:</t>
  </si>
  <si>
    <t>NET PAY not subject to Medicare</t>
  </si>
  <si>
    <t>PRE-TAX DEDUCTIONS:</t>
  </si>
  <si>
    <t>Total Pre-Tax Deductions</t>
  </si>
  <si>
    <t>Health Insurance- employee (Current amt from Earnings Statement)</t>
  </si>
  <si>
    <t>Health Insurance- dependents(Current amt from Earnings Statement)</t>
  </si>
  <si>
    <t>Dental Insurance (Current amt from Earnings Statement)</t>
  </si>
  <si>
    <t>State Optional LIfe - employee (Current amt from Earnings Statement)</t>
  </si>
  <si>
    <t>403b plan Flat Rate(Current amt from Earnings Statement)</t>
  </si>
  <si>
    <t>457 plan (Current amt from Earnings Statement)</t>
  </si>
  <si>
    <t>SURS buy back (Current amt from Earnings Statement)</t>
  </si>
  <si>
    <t>Parking  (Current amt from Earnings Statement)</t>
  </si>
  <si>
    <t>Transit Benefit Deduction (Current amt from Earnings Statement)</t>
  </si>
  <si>
    <t>Dependent Care Assistance (Current amt from Earnings Statement)</t>
  </si>
  <si>
    <t>Medical Care Assistance (Current amt from Earnings Statement)</t>
  </si>
  <si>
    <t>Prudential LTD (Current amt from Earnings Statement)</t>
  </si>
  <si>
    <t>U of I Life(Current amt from Earnings Statement)</t>
  </si>
  <si>
    <t>Spouse Life and Dependent Life (Current amt from Earnings Statement)</t>
  </si>
  <si>
    <t>Total Charities (Add all Charities (Current amt from Earnings Statement)</t>
  </si>
  <si>
    <t>Child Support/Alimony (Current amt from Earnings Statement)</t>
  </si>
  <si>
    <t>Garnishments (Current amt from Earnings Statement)</t>
  </si>
  <si>
    <t>Other Involuntary Deductions (Current amt from Earnings Statement)</t>
  </si>
  <si>
    <t>Roth 403b Flat Rate(Current amt from Earnings Statement)</t>
  </si>
  <si>
    <t>Other Miscellaneous Deductions (Current amt from Earnings Statement)</t>
  </si>
  <si>
    <t>Union Dues (Current amt from Earnings Statement)</t>
  </si>
  <si>
    <t>Ad&amp;D (Current amt from Earnings Statement)</t>
  </si>
  <si>
    <t>This calculator is for estimating purposes ONLY.  This will calculate net pay based on information entered and will provide a reasonable approximation of net pay. You do not need to do any calculations, the tool will do the calculations.  You will need to enter information from your earning statement and NOA.Instructions on how to use the form can be found under Helpful Links at:</t>
  </si>
  <si>
    <t>Tax on Taxable Benefits (tax at supplemental rates)</t>
  </si>
  <si>
    <t>Gross pay</t>
  </si>
  <si>
    <t>SURS (this amount will be calculated based on the Gross Pay)</t>
  </si>
  <si>
    <t>Scheduled hours per pay period for full time employees typically 75 or 80</t>
  </si>
  <si>
    <t>BIWEEKLY NET PAY CALCULATION    2013</t>
  </si>
  <si>
    <t>Number of overtime hours at time and a half</t>
  </si>
  <si>
    <t>single</t>
  </si>
  <si>
    <t>Married</t>
  </si>
  <si>
    <t>http://www.obfs.uillinois.edu/payroll/</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</si>
</sst>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8" formatCode="&quot;$&quot;#,##0.00_);[Red]\(&quot;$&quot;#,##0.00\)"/>
    <numFmt numFmtId="44" formatCode="_(&quot;$&quot;* #,##0.00_);_(&quot;$&quot;* \(#,##0.00\);_(&quot;$&quot;* &quot;-&quot;??_);_(@_)"/>
    <numFmt numFmtId="164" formatCode="#,##0.0_);[Red]\(#,##0.0\)"/>
    <numFmt numFmtId="165" formatCode="&quot;$&quot;#,##0.00"/>
  </numFmts>
  <fonts count="40" x14ac:knownFonts="1">
    <font>
      <sz val="10"/>
      <name val="Arial"/>
    </font>
    <font>
      <sz val="8"/>
      <color indexed="81"/>
      <name val="Tahoma"/>
      <family val="2"/>
    </font>
    <font>
      <b/>
      <sz val="8"/>
      <color indexed="81"/>
      <name val="Tahoma"/>
      <family val="2"/>
    </font>
    <font>
      <b/>
      <sz val="10"/>
      <name val="Arial"/>
      <family val="2"/>
    </font>
    <font>
      <b/>
      <sz val="10"/>
      <color indexed="20"/>
      <name val="Arial"/>
      <family val="2"/>
    </font>
    <font>
      <b/>
      <sz val="10"/>
      <color indexed="48"/>
      <name val="Arial"/>
      <family val="2"/>
    </font>
    <font>
      <b/>
      <sz val="10"/>
      <color indexed="57"/>
      <name val="Arial"/>
      <family val="2"/>
    </font>
    <font>
      <sz val="10"/>
      <color indexed="61"/>
      <name val="Arial"/>
      <family val="2"/>
    </font>
    <font>
      <sz val="10"/>
      <color indexed="48"/>
      <name val="Arial"/>
      <family val="2"/>
    </font>
    <font>
      <b/>
      <sz val="10"/>
      <color indexed="62"/>
      <name val="Arial"/>
      <family val="2"/>
    </font>
    <font>
      <sz val="10"/>
      <color indexed="62"/>
      <name val="Arial"/>
      <family val="2"/>
    </font>
    <font>
      <b/>
      <sz val="12"/>
      <name val="Arial"/>
      <family val="2"/>
    </font>
    <font>
      <sz val="16"/>
      <name val="Arial"/>
      <family val="2"/>
    </font>
    <font>
      <b/>
      <i/>
      <sz val="14"/>
      <color indexed="48"/>
      <name val="Arial"/>
      <family val="2"/>
    </font>
    <font>
      <sz val="10"/>
      <name val="Arial"/>
      <family val="2"/>
    </font>
    <font>
      <sz val="10"/>
      <name val="Arial"/>
      <family val="2"/>
    </font>
    <font>
      <sz val="10"/>
      <color indexed="30"/>
      <name val="Arial"/>
      <family val="2"/>
    </font>
    <font>
      <sz val="10"/>
      <color indexed="60"/>
      <name val="Arial"/>
      <family val="2"/>
    </font>
    <font>
      <b/>
      <sz val="10"/>
      <color indexed="60"/>
      <name val="Arial"/>
      <family val="2"/>
    </font>
    <font>
      <b/>
      <sz val="14"/>
      <name val="Arial"/>
      <family val="2"/>
    </font>
    <font>
      <sz val="12"/>
      <name val="Arial"/>
      <family val="2"/>
    </font>
    <font>
      <b/>
      <sz val="16"/>
      <name val="Arial"/>
      <family val="2"/>
    </font>
    <font>
      <b/>
      <sz val="20"/>
      <name val="Arial"/>
      <family val="2"/>
    </font>
    <font>
      <b/>
      <sz val="16"/>
      <color indexed="60"/>
      <name val="Arial"/>
      <family val="2"/>
    </font>
    <font>
      <u/>
      <sz val="10"/>
      <color theme="10"/>
      <name val="Arial"/>
      <family val="2"/>
    </font>
    <font>
      <b/>
      <sz val="10"/>
      <color theme="9" tint="-0.499984740745262"/>
      <name val="Arial"/>
      <family val="2"/>
    </font>
    <font>
      <sz val="10"/>
      <color theme="5" tint="-0.249977111117893"/>
      <name val="Arial"/>
      <family val="2"/>
    </font>
    <font>
      <sz val="10"/>
      <color rgb="FF00B050"/>
      <name val="Arial"/>
      <family val="2"/>
    </font>
    <font>
      <b/>
      <u/>
      <sz val="12"/>
      <color theme="10"/>
      <name val="Arial"/>
      <family val="2"/>
    </font>
    <font>
      <sz val="10"/>
      <color theme="1"/>
      <name val="Arial"/>
      <family val="2"/>
    </font>
    <font>
      <b/>
      <sz val="10"/>
      <color theme="1"/>
      <name val="Arial"/>
      <family val="2"/>
    </font>
    <font>
      <sz val="10"/>
      <color theme="9" tint="-0.499984740745262"/>
      <name val="Arial"/>
      <family val="2"/>
    </font>
    <font>
      <b/>
      <sz val="10"/>
      <color rgb="FFFF0000"/>
      <name val="Arial"/>
      <family val="2"/>
    </font>
    <font>
      <b/>
      <sz val="12"/>
      <color rgb="FF00B050"/>
      <name val="Arial"/>
      <family val="2"/>
    </font>
    <font>
      <b/>
      <sz val="20"/>
      <color rgb="FF00B050"/>
      <name val="Arial"/>
      <family val="2"/>
    </font>
    <font>
      <sz val="10"/>
      <name val="Arial"/>
      <family val="2"/>
    </font>
    <font>
      <sz val="10"/>
      <color theme="0"/>
      <name val="Arial"/>
      <family val="2"/>
    </font>
    <font>
      <sz val="11"/>
      <color rgb="FFFFFF99"/>
      <name val="Calibri"/>
      <family val="2"/>
    </font>
    <font>
      <sz val="10"/>
      <color rgb="FFFFFF99"/>
      <name val="Arial"/>
      <family val="2"/>
    </font>
    <font>
      <b/>
      <sz val="11"/>
      <name val="Arial"/>
      <family val="2"/>
    </font>
  </fonts>
  <fills count="9">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29"/>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99"/>
        <bgColor indexed="64"/>
      </patternFill>
    </fill>
    <fill>
      <patternFill patternType="solid">
        <fgColor theme="0"/>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4" fillId="0" borderId="0" applyNumberFormat="0" applyFill="0" applyBorder="0" applyAlignment="0" applyProtection="0">
      <alignment vertical="top"/>
      <protection locked="0"/>
    </xf>
    <xf numFmtId="44" fontId="35" fillId="0" borderId="0" applyFont="0" applyFill="0" applyBorder="0" applyAlignment="0" applyProtection="0"/>
  </cellStyleXfs>
  <cellXfs count="108">
    <xf numFmtId="0" fontId="0" fillId="0" borderId="0" xfId="0"/>
    <xf numFmtId="0" fontId="0" fillId="0" borderId="0" xfId="0" applyProtection="1">
      <protection locked="0"/>
    </xf>
    <xf numFmtId="8" fontId="3" fillId="2" borderId="1" xfId="0" applyNumberFormat="1" applyFont="1" applyFill="1" applyBorder="1" applyProtection="1">
      <protection locked="0"/>
    </xf>
    <xf numFmtId="8" fontId="10" fillId="2" borderId="1" xfId="0" applyNumberFormat="1" applyFont="1" applyFill="1" applyBorder="1" applyProtection="1">
      <protection locked="0"/>
    </xf>
    <xf numFmtId="8" fontId="10" fillId="2" borderId="2" xfId="0" applyNumberFormat="1" applyFont="1" applyFill="1" applyBorder="1" applyProtection="1">
      <protection locked="0"/>
    </xf>
    <xf numFmtId="10" fontId="10" fillId="2" borderId="1" xfId="0" applyNumberFormat="1" applyFont="1" applyFill="1" applyBorder="1" applyProtection="1">
      <protection locked="0"/>
    </xf>
    <xf numFmtId="8" fontId="0" fillId="2" borderId="1" xfId="0" applyNumberFormat="1" applyFill="1" applyBorder="1" applyProtection="1">
      <protection locked="0"/>
    </xf>
    <xf numFmtId="8" fontId="17" fillId="0" borderId="0" xfId="0" applyNumberFormat="1" applyFont="1" applyProtection="1"/>
    <xf numFmtId="0" fontId="0" fillId="0" borderId="0" xfId="0" applyProtection="1"/>
    <xf numFmtId="8" fontId="17" fillId="0" borderId="0" xfId="0" applyNumberFormat="1" applyFont="1" applyBorder="1" applyProtection="1"/>
    <xf numFmtId="8" fontId="17" fillId="0" borderId="0" xfId="0" applyNumberFormat="1" applyFont="1" applyFill="1" applyBorder="1" applyProtection="1"/>
    <xf numFmtId="8" fontId="18" fillId="0" borderId="0" xfId="0" applyNumberFormat="1" applyFont="1" applyFill="1" applyBorder="1" applyProtection="1"/>
    <xf numFmtId="8" fontId="17" fillId="3" borderId="0" xfId="0" applyNumberFormat="1" applyFont="1" applyFill="1" applyProtection="1"/>
    <xf numFmtId="8" fontId="18" fillId="3" borderId="0" xfId="0" applyNumberFormat="1" applyFont="1" applyFill="1" applyBorder="1" applyProtection="1"/>
    <xf numFmtId="8" fontId="25" fillId="3" borderId="0" xfId="0" applyNumberFormat="1" applyFont="1" applyFill="1" applyProtection="1"/>
    <xf numFmtId="38" fontId="6" fillId="2" borderId="1" xfId="0" applyNumberFormat="1" applyFont="1" applyFill="1" applyBorder="1" applyProtection="1">
      <protection locked="0"/>
    </xf>
    <xf numFmtId="8" fontId="26" fillId="0" borderId="0" xfId="0" applyNumberFormat="1" applyFont="1" applyFill="1" applyBorder="1" applyProtection="1"/>
    <xf numFmtId="0" fontId="13" fillId="0" borderId="0" xfId="0" applyFont="1" applyProtection="1"/>
    <xf numFmtId="0" fontId="5" fillId="0" borderId="0" xfId="0" applyFont="1" applyProtection="1"/>
    <xf numFmtId="0" fontId="8" fillId="0" borderId="0" xfId="0" applyFont="1" applyProtection="1"/>
    <xf numFmtId="0" fontId="5" fillId="0" borderId="0" xfId="0" applyFont="1" applyFill="1" applyProtection="1"/>
    <xf numFmtId="10" fontId="16" fillId="0" borderId="0" xfId="0" applyNumberFormat="1" applyFont="1" applyProtection="1"/>
    <xf numFmtId="0" fontId="19" fillId="0" borderId="0" xfId="0" applyFont="1" applyProtection="1"/>
    <xf numFmtId="0" fontId="3" fillId="0" borderId="0" xfId="0" applyFont="1" applyProtection="1"/>
    <xf numFmtId="0" fontId="9" fillId="0" borderId="0" xfId="0" applyFont="1" applyProtection="1"/>
    <xf numFmtId="0" fontId="10" fillId="0" borderId="0" xfId="0" applyFont="1" applyProtection="1"/>
    <xf numFmtId="0" fontId="4" fillId="0" borderId="0" xfId="0" applyFont="1" applyProtection="1"/>
    <xf numFmtId="0" fontId="7" fillId="0" borderId="0" xfId="0" applyFont="1" applyProtection="1"/>
    <xf numFmtId="0" fontId="6" fillId="3" borderId="0" xfId="0" applyFont="1" applyFill="1" applyProtection="1"/>
    <xf numFmtId="0" fontId="6" fillId="0" borderId="0" xfId="0" applyFont="1" applyFill="1" applyProtection="1"/>
    <xf numFmtId="0" fontId="15" fillId="0" borderId="0" xfId="0" applyFont="1" applyProtection="1"/>
    <xf numFmtId="8" fontId="0" fillId="0" borderId="0" xfId="0" applyNumberFormat="1" applyProtection="1"/>
    <xf numFmtId="8" fontId="10" fillId="0" borderId="0" xfId="0" applyNumberFormat="1" applyFont="1" applyProtection="1"/>
    <xf numFmtId="8" fontId="6" fillId="3" borderId="0" xfId="0" applyNumberFormat="1" applyFont="1" applyFill="1" applyProtection="1"/>
    <xf numFmtId="8" fontId="6" fillId="3" borderId="0" xfId="0" applyNumberFormat="1" applyFont="1" applyFill="1" applyBorder="1" applyProtection="1"/>
    <xf numFmtId="8" fontId="3" fillId="3" borderId="0" xfId="0" applyNumberFormat="1" applyFont="1" applyFill="1" applyProtection="1"/>
    <xf numFmtId="8" fontId="6" fillId="0" borderId="0" xfId="0" applyNumberFormat="1" applyFont="1" applyFill="1" applyProtection="1"/>
    <xf numFmtId="8" fontId="3" fillId="0" borderId="0" xfId="0" applyNumberFormat="1" applyFont="1" applyFill="1" applyProtection="1"/>
    <xf numFmtId="8" fontId="0" fillId="0" borderId="0" xfId="0" applyNumberFormat="1" applyBorder="1" applyProtection="1"/>
    <xf numFmtId="8" fontId="8" fillId="0" borderId="0" xfId="0" applyNumberFormat="1" applyFont="1" applyProtection="1"/>
    <xf numFmtId="0" fontId="0" fillId="0" borderId="0" xfId="0" applyFill="1" applyProtection="1"/>
    <xf numFmtId="0" fontId="18" fillId="0" borderId="0" xfId="0" applyFont="1" applyProtection="1"/>
    <xf numFmtId="0" fontId="0" fillId="0" borderId="0" xfId="0" applyAlignment="1" applyProtection="1"/>
    <xf numFmtId="8" fontId="9" fillId="0" borderId="0" xfId="0" applyNumberFormat="1" applyFont="1" applyFill="1" applyProtection="1"/>
    <xf numFmtId="8" fontId="14" fillId="0" borderId="0" xfId="0" applyNumberFormat="1" applyFont="1" applyAlignment="1" applyProtection="1">
      <alignment horizontal="center" wrapText="1"/>
    </xf>
    <xf numFmtId="0" fontId="12" fillId="0" borderId="0" xfId="0" applyFont="1" applyProtection="1"/>
    <xf numFmtId="0" fontId="9" fillId="0" borderId="0" xfId="0" applyFont="1" applyAlignment="1" applyProtection="1"/>
    <xf numFmtId="0" fontId="10" fillId="0" borderId="0" xfId="0" applyFont="1" applyAlignment="1" applyProtection="1"/>
    <xf numFmtId="0" fontId="4" fillId="0" borderId="0" xfId="0" applyFont="1" applyAlignment="1" applyProtection="1"/>
    <xf numFmtId="0" fontId="16" fillId="0" borderId="0" xfId="0" applyFont="1" applyAlignment="1" applyProtection="1"/>
    <xf numFmtId="0" fontId="7" fillId="0" borderId="0" xfId="0" applyFont="1" applyAlignment="1" applyProtection="1"/>
    <xf numFmtId="0" fontId="6" fillId="3" borderId="0" xfId="0" applyFont="1" applyFill="1" applyAlignment="1" applyProtection="1"/>
    <xf numFmtId="0" fontId="6" fillId="0" borderId="0" xfId="0" applyFont="1" applyFill="1" applyAlignment="1" applyProtection="1"/>
    <xf numFmtId="0" fontId="15" fillId="0" borderId="0" xfId="0" applyFont="1" applyAlignment="1" applyProtection="1"/>
    <xf numFmtId="8" fontId="9" fillId="0" borderId="0" xfId="0" applyNumberFormat="1" applyFont="1" applyProtection="1"/>
    <xf numFmtId="8" fontId="4" fillId="0" borderId="0" xfId="0" applyNumberFormat="1" applyFont="1" applyProtection="1"/>
    <xf numFmtId="8" fontId="7" fillId="0" borderId="0" xfId="0" applyNumberFormat="1" applyFont="1" applyProtection="1"/>
    <xf numFmtId="8" fontId="6" fillId="3" borderId="0" xfId="0" applyNumberFormat="1" applyFont="1" applyFill="1" applyAlignment="1" applyProtection="1">
      <alignment horizontal="center" wrapText="1"/>
    </xf>
    <xf numFmtId="0" fontId="20" fillId="0" borderId="0" xfId="0" applyFont="1" applyProtection="1"/>
    <xf numFmtId="8" fontId="25" fillId="5" borderId="1" xfId="0" applyNumberFormat="1" applyFont="1" applyFill="1" applyBorder="1" applyProtection="1">
      <protection locked="0"/>
    </xf>
    <xf numFmtId="0" fontId="3" fillId="0" borderId="0" xfId="0" applyFont="1" applyAlignment="1" applyProtection="1">
      <alignment wrapText="1"/>
    </xf>
    <xf numFmtId="0" fontId="27" fillId="0" borderId="0" xfId="0" applyFont="1" applyAlignment="1" applyProtection="1">
      <alignment wrapText="1"/>
    </xf>
    <xf numFmtId="0" fontId="28" fillId="0" borderId="0" xfId="1" applyFont="1" applyAlignment="1" applyProtection="1">
      <protection locked="0"/>
    </xf>
    <xf numFmtId="0" fontId="29" fillId="0" borderId="0" xfId="0" applyFont="1" applyAlignment="1" applyProtection="1"/>
    <xf numFmtId="0" fontId="30" fillId="0" borderId="0" xfId="0" applyFont="1" applyAlignment="1" applyProtection="1"/>
    <xf numFmtId="0" fontId="21" fillId="0" borderId="0" xfId="0" applyFont="1" applyAlignment="1" applyProtection="1"/>
    <xf numFmtId="8" fontId="3" fillId="0" borderId="1" xfId="0" applyNumberFormat="1" applyFont="1" applyBorder="1" applyAlignment="1" applyProtection="1">
      <alignment horizontal="center"/>
    </xf>
    <xf numFmtId="8" fontId="0" fillId="0" borderId="0" xfId="0" applyNumberFormat="1" applyFill="1" applyBorder="1" applyAlignment="1" applyProtection="1"/>
    <xf numFmtId="8" fontId="0" fillId="6" borderId="1" xfId="0" applyNumberFormat="1" applyFill="1" applyBorder="1" applyAlignment="1" applyProtection="1">
      <protection locked="0"/>
    </xf>
    <xf numFmtId="8" fontId="17" fillId="0" borderId="0" xfId="0" applyNumberFormat="1" applyFont="1" applyFill="1" applyProtection="1"/>
    <xf numFmtId="0" fontId="22" fillId="0" borderId="0" xfId="0" applyFont="1" applyAlignment="1" applyProtection="1"/>
    <xf numFmtId="8" fontId="23" fillId="4" borderId="2" xfId="0" applyNumberFormat="1" applyFont="1" applyFill="1" applyBorder="1" applyProtection="1"/>
    <xf numFmtId="10" fontId="0" fillId="5" borderId="1" xfId="0" applyNumberFormat="1" applyFill="1" applyBorder="1" applyProtection="1">
      <protection locked="0"/>
    </xf>
    <xf numFmtId="8" fontId="26" fillId="0" borderId="0" xfId="0" applyNumberFormat="1" applyFont="1" applyFill="1" applyBorder="1" applyAlignment="1" applyProtection="1"/>
    <xf numFmtId="8" fontId="31" fillId="3" borderId="0" xfId="0" applyNumberFormat="1" applyFont="1" applyFill="1" applyProtection="1"/>
    <xf numFmtId="8" fontId="14" fillId="2" borderId="1" xfId="0" applyNumberFormat="1" applyFont="1" applyFill="1" applyBorder="1" applyProtection="1">
      <protection locked="0"/>
    </xf>
    <xf numFmtId="8" fontId="18" fillId="0" borderId="0" xfId="0" applyNumberFormat="1" applyFont="1" applyBorder="1" applyProtection="1"/>
    <xf numFmtId="40" fontId="3" fillId="0" borderId="0" xfId="0" applyNumberFormat="1" applyFont="1" applyFill="1" applyBorder="1" applyProtection="1"/>
    <xf numFmtId="8" fontId="26" fillId="3" borderId="0" xfId="0" applyNumberFormat="1" applyFont="1" applyFill="1" applyBorder="1" applyProtection="1"/>
    <xf numFmtId="0" fontId="14" fillId="0" borderId="0" xfId="0" applyFont="1" applyProtection="1">
      <protection locked="0"/>
    </xf>
    <xf numFmtId="8" fontId="18" fillId="0" borderId="1" xfId="0" applyNumberFormat="1" applyFont="1" applyBorder="1" applyProtection="1"/>
    <xf numFmtId="164" fontId="18" fillId="0" borderId="0" xfId="0" applyNumberFormat="1" applyFont="1" applyProtection="1"/>
    <xf numFmtId="2" fontId="0" fillId="0" borderId="0" xfId="0" applyNumberFormat="1" applyProtection="1">
      <protection locked="0"/>
    </xf>
    <xf numFmtId="0" fontId="0" fillId="7" borderId="0" xfId="0" applyFill="1" applyProtection="1"/>
    <xf numFmtId="0" fontId="32" fillId="3" borderId="0" xfId="0" applyFont="1" applyFill="1" applyProtection="1"/>
    <xf numFmtId="8" fontId="36" fillId="8" borderId="0" xfId="0" applyNumberFormat="1" applyFont="1" applyFill="1" applyProtection="1"/>
    <xf numFmtId="165" fontId="37" fillId="7" borderId="0" xfId="2" applyNumberFormat="1" applyFont="1" applyFill="1"/>
    <xf numFmtId="8" fontId="38" fillId="3" borderId="0" xfId="0" applyNumberFormat="1" applyFont="1" applyFill="1" applyProtection="1"/>
    <xf numFmtId="8" fontId="38" fillId="3" borderId="0" xfId="0" applyNumberFormat="1" applyFont="1" applyFill="1" applyBorder="1" applyProtection="1"/>
    <xf numFmtId="0" fontId="14" fillId="0" borderId="0" xfId="0" applyFont="1" applyAlignment="1" applyProtection="1"/>
    <xf numFmtId="0" fontId="14" fillId="0" borderId="0" xfId="0" applyFont="1" applyProtection="1"/>
    <xf numFmtId="8" fontId="3" fillId="2" borderId="4" xfId="0" applyNumberFormat="1" applyFont="1" applyFill="1" applyBorder="1" applyProtection="1">
      <protection locked="0"/>
    </xf>
    <xf numFmtId="164" fontId="18" fillId="5" borderId="4" xfId="0" applyNumberFormat="1" applyFont="1" applyFill="1" applyBorder="1" applyProtection="1">
      <protection locked="0"/>
    </xf>
    <xf numFmtId="0" fontId="3" fillId="0" borderId="1" xfId="0" applyFont="1" applyBorder="1" applyProtection="1">
      <protection locked="0"/>
    </xf>
    <xf numFmtId="164" fontId="18" fillId="5" borderId="4" xfId="0" applyNumberFormat="1" applyFont="1" applyFill="1" applyBorder="1" applyProtection="1"/>
    <xf numFmtId="0" fontId="39" fillId="0" borderId="0" xfId="0" applyFont="1" applyAlignment="1" applyProtection="1">
      <alignment wrapText="1"/>
    </xf>
    <xf numFmtId="0" fontId="11" fillId="0" borderId="3" xfId="0" applyFont="1" applyBorder="1" applyAlignment="1" applyProtection="1">
      <alignment horizontal="center" vertical="center"/>
    </xf>
    <xf numFmtId="0" fontId="11" fillId="0" borderId="0" xfId="0" applyFont="1" applyBorder="1" applyAlignment="1" applyProtection="1">
      <alignment horizontal="center" vertical="center"/>
    </xf>
    <xf numFmtId="0" fontId="11" fillId="0" borderId="0" xfId="0" applyFont="1" applyAlignment="1" applyProtection="1">
      <alignment wrapText="1"/>
    </xf>
    <xf numFmtId="0" fontId="14" fillId="0" borderId="0" xfId="0" applyFont="1" applyAlignment="1" applyProtection="1">
      <alignment wrapText="1"/>
    </xf>
    <xf numFmtId="0" fontId="33" fillId="0" borderId="0" xfId="1" applyFont="1" applyAlignment="1" applyProtection="1">
      <alignment wrapText="1"/>
    </xf>
    <xf numFmtId="0" fontId="27" fillId="0" borderId="0" xfId="0" applyFont="1" applyAlignment="1" applyProtection="1">
      <alignment wrapText="1"/>
    </xf>
    <xf numFmtId="0" fontId="11" fillId="0" borderId="0" xfId="1" applyFont="1" applyAlignment="1" applyProtection="1"/>
    <xf numFmtId="0" fontId="14" fillId="0" borderId="0" xfId="0" applyFont="1" applyAlignment="1" applyProtection="1"/>
    <xf numFmtId="0" fontId="28" fillId="0" borderId="0" xfId="1" applyFont="1" applyAlignment="1" applyProtection="1">
      <protection locked="0"/>
    </xf>
    <xf numFmtId="0" fontId="34" fillId="0" borderId="0" xfId="0" applyFont="1" applyAlignment="1" applyProtection="1"/>
    <xf numFmtId="0" fontId="28" fillId="0" borderId="0" xfId="1" applyFont="1" applyAlignment="1" applyProtection="1">
      <alignment wrapText="1"/>
      <protection locked="0"/>
    </xf>
    <xf numFmtId="0" fontId="11" fillId="0" borderId="0" xfId="0" applyFont="1" applyAlignment="1" applyProtection="1">
      <alignment wrapText="1"/>
      <protection locked="0"/>
    </xf>
  </cellXfs>
  <cellStyles count="3">
    <cellStyle name="Currency" xfId="2" builtinId="4"/>
    <cellStyle name="Hyperlink" xfId="1" builtinId="8"/>
    <cellStyle name="Normal" xfId="0" builtinId="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obfs.uillinois.edu/payroll/" TargetMode="External"/><Relationship Id="rId1" Type="http://schemas.openxmlformats.org/officeDocument/2006/relationships/hyperlink" Target="https://nessie.uihr.uillinois.edu/cf/index.cf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J94"/>
  <sheetViews>
    <sheetView tabSelected="1" zoomScaleNormal="100" workbookViewId="0">
      <selection activeCell="D10" sqref="D10"/>
    </sheetView>
  </sheetViews>
  <sheetFormatPr defaultColWidth="9.109375" defaultRowHeight="13.2" x14ac:dyDescent="0.25"/>
  <cols>
    <col min="1" max="1" width="66.6640625" style="8" customWidth="1"/>
    <col min="2" max="2" width="14.33203125" style="8" customWidth="1"/>
    <col min="3" max="3" width="18" style="8" bestFit="1" customWidth="1"/>
    <col min="4" max="4" width="23.33203125" style="31" customWidth="1"/>
    <col min="5" max="5" width="13.88671875" style="8" customWidth="1"/>
    <col min="6" max="7" width="9.109375" style="8" customWidth="1"/>
    <col min="8" max="8" width="9.109375" style="8"/>
    <col min="9" max="9" width="14.33203125" style="8" customWidth="1"/>
    <col min="10" max="16384" width="9.109375" style="8"/>
  </cols>
  <sheetData>
    <row r="1" spans="1:9" s="58" customFormat="1" ht="72" customHeight="1" x14ac:dyDescent="0.25">
      <c r="A1" s="95" t="s">
        <v>76</v>
      </c>
      <c r="B1" s="95"/>
      <c r="C1" s="95"/>
      <c r="D1" s="95"/>
    </row>
    <row r="2" spans="1:9" s="58" customFormat="1" ht="21.75" customHeight="1" x14ac:dyDescent="0.3">
      <c r="A2" s="106" t="s">
        <v>85</v>
      </c>
      <c r="B2" s="107"/>
      <c r="C2" s="107"/>
      <c r="D2" s="107"/>
    </row>
    <row r="3" spans="1:9" s="58" customFormat="1" ht="48.75" customHeight="1" x14ac:dyDescent="0.3">
      <c r="A3" s="98" t="s">
        <v>41</v>
      </c>
      <c r="B3" s="99"/>
      <c r="C3" s="99"/>
      <c r="D3" s="99"/>
    </row>
    <row r="4" spans="1:9" s="58" customFormat="1" ht="21.75" customHeight="1" x14ac:dyDescent="0.3">
      <c r="A4" s="62" t="s">
        <v>43</v>
      </c>
      <c r="B4" s="100"/>
      <c r="C4" s="101"/>
      <c r="D4" s="101"/>
    </row>
    <row r="5" spans="1:9" s="58" customFormat="1" ht="21.75" customHeight="1" x14ac:dyDescent="0.3">
      <c r="A5" s="102" t="s">
        <v>42</v>
      </c>
      <c r="B5" s="103"/>
      <c r="C5" s="61"/>
      <c r="D5" s="61"/>
    </row>
    <row r="6" spans="1:9" s="58" customFormat="1" ht="21.75" customHeight="1" x14ac:dyDescent="0.3">
      <c r="A6" s="104"/>
      <c r="B6" s="104"/>
      <c r="C6" s="61"/>
      <c r="D6" s="61"/>
    </row>
    <row r="7" spans="1:9" s="45" customFormat="1" ht="34.5" customHeight="1" x14ac:dyDescent="0.4">
      <c r="A7" s="105" t="s">
        <v>81</v>
      </c>
      <c r="B7" s="105"/>
      <c r="C7" s="105"/>
      <c r="D7" s="105"/>
      <c r="E7" s="105"/>
      <c r="F7" s="105"/>
    </row>
    <row r="8" spans="1:9" ht="23.25" customHeight="1" x14ac:dyDescent="0.25">
      <c r="A8" s="96"/>
      <c r="B8" s="96"/>
      <c r="C8" s="96"/>
      <c r="D8" s="97"/>
    </row>
    <row r="9" spans="1:9" ht="17.399999999999999" x14ac:dyDescent="0.3">
      <c r="A9" s="22" t="s">
        <v>11</v>
      </c>
      <c r="C9" s="31"/>
      <c r="D9" s="91"/>
    </row>
    <row r="10" spans="1:9" ht="13.8" thickBot="1" x14ac:dyDescent="0.3">
      <c r="A10" s="60" t="s">
        <v>80</v>
      </c>
      <c r="B10" s="23"/>
      <c r="C10" s="77"/>
      <c r="D10" s="92"/>
    </row>
    <row r="11" spans="1:9" ht="18" thickBot="1" x14ac:dyDescent="0.35">
      <c r="A11" s="60" t="s">
        <v>82</v>
      </c>
      <c r="B11" s="93"/>
      <c r="C11" s="77"/>
      <c r="D11" s="94">
        <f>SUM(D9*B11)*1.5</f>
        <v>0</v>
      </c>
      <c r="F11" s="17" t="s">
        <v>9</v>
      </c>
      <c r="G11" s="17"/>
      <c r="H11" s="17"/>
      <c r="I11" s="39"/>
    </row>
    <row r="12" spans="1:9" ht="13.8" thickBot="1" x14ac:dyDescent="0.3">
      <c r="A12" s="60" t="s">
        <v>82</v>
      </c>
      <c r="B12" s="93"/>
      <c r="C12" s="77"/>
      <c r="D12" s="94">
        <f>SUM(D9*B12)*2</f>
        <v>0</v>
      </c>
      <c r="F12" s="18" t="s">
        <v>10</v>
      </c>
      <c r="G12" s="18"/>
      <c r="H12" s="18"/>
      <c r="I12" s="39"/>
    </row>
    <row r="13" spans="1:9" ht="13.8" thickBot="1" x14ac:dyDescent="0.3">
      <c r="A13" s="90"/>
      <c r="C13" s="31"/>
      <c r="D13" s="81"/>
      <c r="F13" s="19" t="s">
        <v>31</v>
      </c>
      <c r="G13" s="19"/>
      <c r="H13" s="19"/>
      <c r="I13" s="9">
        <f>+D14</f>
        <v>0</v>
      </c>
    </row>
    <row r="14" spans="1:9" ht="13.8" thickBot="1" x14ac:dyDescent="0.3">
      <c r="A14" s="89" t="s">
        <v>78</v>
      </c>
      <c r="C14" s="31"/>
      <c r="D14" s="80">
        <f>SUM(D9*D10)+D11+D12</f>
        <v>0</v>
      </c>
      <c r="F14" s="19" t="s">
        <v>32</v>
      </c>
      <c r="G14" s="19"/>
      <c r="H14" s="19"/>
      <c r="I14" s="9">
        <f>+D22</f>
        <v>0</v>
      </c>
    </row>
    <row r="15" spans="1:9" x14ac:dyDescent="0.25">
      <c r="F15" s="18" t="s">
        <v>0</v>
      </c>
      <c r="G15" s="18"/>
      <c r="H15" s="18"/>
      <c r="I15" s="9"/>
    </row>
    <row r="16" spans="1:9" x14ac:dyDescent="0.25">
      <c r="A16" s="42"/>
      <c r="C16" s="31"/>
      <c r="D16" s="76"/>
      <c r="F16" s="19" t="s">
        <v>3</v>
      </c>
      <c r="G16" s="19"/>
      <c r="H16" s="19"/>
      <c r="I16" s="10">
        <f>-D26-D27</f>
        <v>0</v>
      </c>
    </row>
    <row r="17" spans="1:10" ht="13.8" thickBot="1" x14ac:dyDescent="0.3">
      <c r="A17" s="48" t="s">
        <v>50</v>
      </c>
      <c r="B17" s="26"/>
      <c r="C17" s="55"/>
      <c r="D17" s="38"/>
      <c r="F17" s="19" t="s">
        <v>4</v>
      </c>
      <c r="G17" s="19"/>
      <c r="H17" s="19"/>
      <c r="I17" s="10">
        <f>-D28</f>
        <v>0</v>
      </c>
    </row>
    <row r="18" spans="1:10" ht="13.8" thickBot="1" x14ac:dyDescent="0.3">
      <c r="A18" s="49" t="s">
        <v>45</v>
      </c>
      <c r="B18" s="27"/>
      <c r="C18" s="56"/>
      <c r="D18" s="75">
        <v>0</v>
      </c>
      <c r="F18" s="19" t="s">
        <v>2</v>
      </c>
      <c r="G18" s="19"/>
      <c r="H18" s="19"/>
      <c r="I18" s="10">
        <f>-D29</f>
        <v>0</v>
      </c>
    </row>
    <row r="19" spans="1:10" ht="13.8" thickBot="1" x14ac:dyDescent="0.3">
      <c r="A19" s="50" t="s">
        <v>13</v>
      </c>
      <c r="B19" s="27"/>
      <c r="C19" s="56"/>
      <c r="D19" s="75">
        <v>0</v>
      </c>
      <c r="F19" s="19" t="s">
        <v>5</v>
      </c>
      <c r="G19" s="19"/>
      <c r="H19" s="19"/>
      <c r="I19" s="10">
        <f>-D36</f>
        <v>0</v>
      </c>
    </row>
    <row r="20" spans="1:10" ht="13.8" thickBot="1" x14ac:dyDescent="0.3">
      <c r="A20" s="50" t="s">
        <v>14</v>
      </c>
      <c r="B20" s="27"/>
      <c r="C20" s="56"/>
      <c r="D20" s="75">
        <v>0</v>
      </c>
      <c r="F20" s="19" t="s">
        <v>6</v>
      </c>
      <c r="G20" s="19"/>
      <c r="H20" s="19"/>
      <c r="I20" s="10">
        <f>-D37</f>
        <v>0</v>
      </c>
    </row>
    <row r="21" spans="1:10" ht="13.8" thickBot="1" x14ac:dyDescent="0.3">
      <c r="A21" s="50" t="s">
        <v>14</v>
      </c>
      <c r="B21" s="27"/>
      <c r="C21" s="56"/>
      <c r="D21" s="75">
        <v>0</v>
      </c>
      <c r="F21" s="19" t="s">
        <v>7</v>
      </c>
      <c r="G21" s="19"/>
      <c r="H21" s="19"/>
      <c r="I21" s="10">
        <f>-D34</f>
        <v>0</v>
      </c>
    </row>
    <row r="22" spans="1:10" x14ac:dyDescent="0.25">
      <c r="A22" s="48" t="s">
        <v>46</v>
      </c>
      <c r="B22" s="26"/>
      <c r="C22" s="55"/>
      <c r="D22" s="7">
        <f>SUM(D19:D21)</f>
        <v>0</v>
      </c>
      <c r="F22" s="19" t="s">
        <v>8</v>
      </c>
      <c r="G22" s="19"/>
      <c r="H22" s="19"/>
      <c r="I22" s="10">
        <f>-D35</f>
        <v>0</v>
      </c>
    </row>
    <row r="23" spans="1:10" x14ac:dyDescent="0.25">
      <c r="A23" s="42"/>
      <c r="C23" s="31"/>
      <c r="F23" s="20" t="s">
        <v>1</v>
      </c>
      <c r="G23" s="20"/>
      <c r="H23" s="20"/>
      <c r="I23" s="11">
        <f>SUM(I13:I22)</f>
        <v>0</v>
      </c>
    </row>
    <row r="24" spans="1:10" x14ac:dyDescent="0.25">
      <c r="A24" s="46" t="s">
        <v>52</v>
      </c>
      <c r="B24" s="24"/>
      <c r="C24" s="43"/>
      <c r="D24" s="32"/>
      <c r="F24" s="19" t="s">
        <v>17</v>
      </c>
      <c r="H24" s="21">
        <v>1.4500000000000001E-2</v>
      </c>
      <c r="I24" s="76">
        <f>+H24*I23</f>
        <v>0</v>
      </c>
    </row>
    <row r="25" spans="1:10" ht="13.8" thickBot="1" x14ac:dyDescent="0.3">
      <c r="A25" s="47" t="s">
        <v>79</v>
      </c>
      <c r="B25" s="25"/>
      <c r="C25" s="32"/>
      <c r="D25" s="7">
        <f>+(D14+D18-D29)*0.08</f>
        <v>0</v>
      </c>
      <c r="J25" s="40"/>
    </row>
    <row r="26" spans="1:10" ht="13.8" thickBot="1" x14ac:dyDescent="0.3">
      <c r="A26" s="47" t="s">
        <v>54</v>
      </c>
      <c r="B26" s="25"/>
      <c r="C26" s="32"/>
      <c r="D26" s="3">
        <v>0</v>
      </c>
    </row>
    <row r="27" spans="1:10" ht="13.8" thickBot="1" x14ac:dyDescent="0.3">
      <c r="A27" s="47" t="s">
        <v>55</v>
      </c>
      <c r="B27" s="25"/>
      <c r="C27" s="32"/>
      <c r="D27" s="3"/>
    </row>
    <row r="28" spans="1:10" ht="13.8" thickBot="1" x14ac:dyDescent="0.3">
      <c r="A28" s="47" t="s">
        <v>56</v>
      </c>
      <c r="B28" s="25"/>
      <c r="C28" s="32"/>
      <c r="D28" s="3">
        <v>0</v>
      </c>
    </row>
    <row r="29" spans="1:10" ht="13.8" thickBot="1" x14ac:dyDescent="0.3">
      <c r="A29" s="47" t="s">
        <v>57</v>
      </c>
      <c r="B29" s="25"/>
      <c r="C29" s="32"/>
      <c r="D29" s="3">
        <v>0</v>
      </c>
    </row>
    <row r="30" spans="1:10" ht="13.8" thickBot="1" x14ac:dyDescent="0.3">
      <c r="A30" s="47" t="s">
        <v>58</v>
      </c>
      <c r="B30" s="25"/>
      <c r="C30" s="32"/>
      <c r="D30" s="4"/>
    </row>
    <row r="31" spans="1:10" ht="13.8" thickBot="1" x14ac:dyDescent="0.3">
      <c r="A31" s="47" t="s">
        <v>12</v>
      </c>
      <c r="B31" s="5"/>
      <c r="C31" s="32"/>
      <c r="D31" s="7">
        <f>(+D14-D33-D25)*B31</f>
        <v>0</v>
      </c>
    </row>
    <row r="32" spans="1:10" ht="13.8" thickBot="1" x14ac:dyDescent="0.3">
      <c r="A32" s="47" t="s">
        <v>59</v>
      </c>
      <c r="B32" s="25"/>
      <c r="C32" s="32"/>
      <c r="D32" s="3"/>
    </row>
    <row r="33" spans="1:4" ht="13.8" thickBot="1" x14ac:dyDescent="0.3">
      <c r="A33" s="47" t="s">
        <v>60</v>
      </c>
      <c r="B33" s="25"/>
      <c r="C33" s="32"/>
      <c r="D33" s="3">
        <v>0</v>
      </c>
    </row>
    <row r="34" spans="1:4" ht="13.8" thickBot="1" x14ac:dyDescent="0.3">
      <c r="A34" s="47" t="s">
        <v>61</v>
      </c>
      <c r="B34" s="25"/>
      <c r="C34" s="32"/>
      <c r="D34" s="3">
        <v>0</v>
      </c>
    </row>
    <row r="35" spans="1:4" ht="13.8" thickBot="1" x14ac:dyDescent="0.3">
      <c r="A35" s="47" t="s">
        <v>62</v>
      </c>
      <c r="B35" s="25"/>
      <c r="C35" s="32"/>
      <c r="D35" s="3"/>
    </row>
    <row r="36" spans="1:4" ht="13.8" thickBot="1" x14ac:dyDescent="0.3">
      <c r="A36" s="47" t="s">
        <v>63</v>
      </c>
      <c r="B36" s="25"/>
      <c r="C36" s="32"/>
      <c r="D36" s="3"/>
    </row>
    <row r="37" spans="1:4" ht="13.8" thickBot="1" x14ac:dyDescent="0.3">
      <c r="A37" s="47" t="s">
        <v>64</v>
      </c>
      <c r="B37" s="25"/>
      <c r="C37" s="32"/>
      <c r="D37" s="3"/>
    </row>
    <row r="38" spans="1:4" x14ac:dyDescent="0.25">
      <c r="A38" s="46" t="s">
        <v>53</v>
      </c>
      <c r="B38" s="24"/>
      <c r="C38" s="54"/>
      <c r="D38" s="7">
        <f>SUM(D25:D37)</f>
        <v>0</v>
      </c>
    </row>
    <row r="39" spans="1:4" x14ac:dyDescent="0.25">
      <c r="A39" s="46"/>
      <c r="B39" s="24"/>
      <c r="C39" s="54"/>
      <c r="D39" s="32"/>
    </row>
    <row r="40" spans="1:4" ht="13.8" thickBot="1" x14ac:dyDescent="0.3">
      <c r="A40" s="46" t="s">
        <v>49</v>
      </c>
      <c r="C40" s="31"/>
      <c r="D40" s="38"/>
    </row>
    <row r="41" spans="1:4" ht="13.8" thickBot="1" x14ac:dyDescent="0.3">
      <c r="A41" s="89" t="s">
        <v>65</v>
      </c>
      <c r="C41" s="67"/>
      <c r="D41" s="68">
        <v>0</v>
      </c>
    </row>
    <row r="42" spans="1:4" ht="13.8" thickBot="1" x14ac:dyDescent="0.3">
      <c r="A42" s="89" t="s">
        <v>66</v>
      </c>
      <c r="C42" s="67"/>
      <c r="D42" s="68"/>
    </row>
    <row r="43" spans="1:4" ht="13.8" thickBot="1" x14ac:dyDescent="0.3">
      <c r="A43" s="89" t="s">
        <v>67</v>
      </c>
      <c r="C43" s="67"/>
      <c r="D43" s="68">
        <v>0</v>
      </c>
    </row>
    <row r="44" spans="1:4" ht="13.8" thickBot="1" x14ac:dyDescent="0.3">
      <c r="A44" s="89" t="s">
        <v>68</v>
      </c>
      <c r="C44" s="67"/>
      <c r="D44" s="68">
        <v>0</v>
      </c>
    </row>
    <row r="45" spans="1:4" ht="13.8" thickBot="1" x14ac:dyDescent="0.3">
      <c r="A45" s="89" t="s">
        <v>75</v>
      </c>
      <c r="C45" s="67"/>
      <c r="D45" s="68">
        <v>0</v>
      </c>
    </row>
    <row r="46" spans="1:4" ht="13.8" thickBot="1" x14ac:dyDescent="0.3">
      <c r="A46" s="89" t="s">
        <v>69</v>
      </c>
      <c r="C46" s="67"/>
      <c r="D46" s="68"/>
    </row>
    <row r="47" spans="1:4" ht="13.8" thickBot="1" x14ac:dyDescent="0.3">
      <c r="A47" s="89" t="s">
        <v>70</v>
      </c>
      <c r="C47" s="67"/>
      <c r="D47" s="68"/>
    </row>
    <row r="48" spans="1:4" ht="13.8" thickBot="1" x14ac:dyDescent="0.3">
      <c r="A48" s="89" t="s">
        <v>71</v>
      </c>
      <c r="C48" s="67"/>
      <c r="D48" s="68"/>
    </row>
    <row r="49" spans="1:6" ht="13.8" thickBot="1" x14ac:dyDescent="0.3">
      <c r="A49" s="89" t="s">
        <v>73</v>
      </c>
      <c r="C49" s="67"/>
      <c r="D49" s="68"/>
    </row>
    <row r="50" spans="1:6" ht="13.8" thickBot="1" x14ac:dyDescent="0.3">
      <c r="A50" s="89" t="s">
        <v>72</v>
      </c>
      <c r="C50" s="67"/>
      <c r="D50" s="68"/>
    </row>
    <row r="51" spans="1:6" ht="13.8" thickBot="1" x14ac:dyDescent="0.3">
      <c r="A51" s="63" t="s">
        <v>44</v>
      </c>
      <c r="B51" s="72"/>
      <c r="C51" s="67"/>
      <c r="D51" s="73">
        <f>+(D14-D33-D25)*B51</f>
        <v>0</v>
      </c>
      <c r="F51" s="41"/>
    </row>
    <row r="52" spans="1:6" ht="13.8" thickBot="1" x14ac:dyDescent="0.3">
      <c r="A52" s="89" t="s">
        <v>74</v>
      </c>
      <c r="C52" s="67"/>
      <c r="D52" s="68"/>
    </row>
    <row r="53" spans="1:6" x14ac:dyDescent="0.25">
      <c r="A53" s="46" t="s">
        <v>48</v>
      </c>
      <c r="C53" s="67"/>
      <c r="D53" s="73">
        <f>SUM(D41:D52)</f>
        <v>0</v>
      </c>
    </row>
    <row r="54" spans="1:6" x14ac:dyDescent="0.25">
      <c r="A54" s="42"/>
      <c r="C54" s="31"/>
      <c r="D54" s="38"/>
    </row>
    <row r="55" spans="1:6" x14ac:dyDescent="0.25">
      <c r="A55" s="48"/>
      <c r="B55" s="26"/>
      <c r="C55" s="55"/>
    </row>
    <row r="56" spans="1:6" ht="26.4" x14ac:dyDescent="0.25">
      <c r="A56" s="42"/>
      <c r="B56" s="30"/>
      <c r="C56" s="57" t="s">
        <v>39</v>
      </c>
    </row>
    <row r="57" spans="1:6" ht="13.8" thickBot="1" x14ac:dyDescent="0.3">
      <c r="A57" s="51" t="s">
        <v>15</v>
      </c>
      <c r="B57" s="28"/>
      <c r="C57" s="33"/>
      <c r="D57" s="12">
        <f>+D14-D38+D18</f>
        <v>0</v>
      </c>
      <c r="E57" s="85">
        <f>SUM(D57*27)</f>
        <v>0</v>
      </c>
    </row>
    <row r="58" spans="1:6" ht="15" thickBot="1" x14ac:dyDescent="0.35">
      <c r="A58" s="51" t="s">
        <v>16</v>
      </c>
      <c r="B58" s="84" t="s">
        <v>18</v>
      </c>
      <c r="C58" s="15">
        <v>0</v>
      </c>
      <c r="D58" s="86">
        <f>+E57-(C58*Sheet3!D1)</f>
        <v>0</v>
      </c>
    </row>
    <row r="59" spans="1:6" x14ac:dyDescent="0.25">
      <c r="A59" s="83"/>
      <c r="B59" s="84" t="s">
        <v>20</v>
      </c>
      <c r="C59" s="33"/>
      <c r="D59" s="87">
        <f ca="1">(LOOKUP(D58,Sheet3!A3:A20,Sheet3!C3:C19))+((LOOKUP(Calculator!D58,Sheet3!A3:A19,Sheet3!D3:D19))*(D58-LOOKUP(D58,Sheet3!A3:A19,Sheet3!A3:A19)))</f>
        <v>0</v>
      </c>
      <c r="E59" s="69"/>
    </row>
    <row r="60" spans="1:6" x14ac:dyDescent="0.25">
      <c r="A60" s="51" t="s">
        <v>23</v>
      </c>
      <c r="B60" s="28"/>
      <c r="C60" s="33"/>
      <c r="D60" s="12">
        <f ca="1">SUM(D59/27)</f>
        <v>0</v>
      </c>
      <c r="E60" s="69"/>
    </row>
    <row r="61" spans="1:6" ht="13.8" thickBot="1" x14ac:dyDescent="0.3">
      <c r="A61" s="51" t="s">
        <v>77</v>
      </c>
      <c r="B61" s="28"/>
      <c r="C61" s="33"/>
      <c r="D61" s="12">
        <f>+D22*0.25</f>
        <v>0</v>
      </c>
    </row>
    <row r="62" spans="1:6" ht="13.8" thickBot="1" x14ac:dyDescent="0.3">
      <c r="A62" s="51" t="s">
        <v>40</v>
      </c>
      <c r="B62" s="28"/>
      <c r="C62" s="34"/>
      <c r="D62" s="6">
        <v>0</v>
      </c>
    </row>
    <row r="63" spans="1:6" s="40" customFormat="1" x14ac:dyDescent="0.25">
      <c r="A63" s="51" t="s">
        <v>30</v>
      </c>
      <c r="B63" s="28"/>
      <c r="C63" s="34"/>
      <c r="D63" s="13">
        <f ca="1">+D59/27+D62+D61</f>
        <v>0</v>
      </c>
    </row>
    <row r="64" spans="1:6" x14ac:dyDescent="0.25">
      <c r="A64" s="51"/>
      <c r="B64" s="28"/>
      <c r="C64" s="34"/>
      <c r="D64" s="13"/>
    </row>
    <row r="65" spans="1:4" x14ac:dyDescent="0.25">
      <c r="A65" s="51" t="s">
        <v>15</v>
      </c>
      <c r="B65" s="28"/>
      <c r="C65" s="34"/>
      <c r="D65" s="78">
        <f>+D57</f>
        <v>0</v>
      </c>
    </row>
    <row r="66" spans="1:4" ht="13.8" thickBot="1" x14ac:dyDescent="0.3">
      <c r="A66" s="51"/>
      <c r="B66" s="28"/>
      <c r="C66" s="34"/>
      <c r="D66" s="88">
        <f>+E57-(C67*Sheet2!D1)</f>
        <v>0</v>
      </c>
    </row>
    <row r="67" spans="1:4" ht="15" customHeight="1" thickBot="1" x14ac:dyDescent="0.3">
      <c r="A67" s="51" t="s">
        <v>16</v>
      </c>
      <c r="B67" s="84" t="s">
        <v>19</v>
      </c>
      <c r="C67" s="15">
        <v>0</v>
      </c>
      <c r="D67" s="87">
        <f ca="1">(LOOKUP(D66,Sheet2!A3:A20,Sheet2!C3:C19))+((LOOKUP(Calculator!D58,Sheet2!A3:A19,Sheet2!D3:D19))*(D66-LOOKUP(D66,Sheet2!A3:A19,Sheet2!A3:A19)))</f>
        <v>0</v>
      </c>
    </row>
    <row r="68" spans="1:4" x14ac:dyDescent="0.25">
      <c r="A68" s="51" t="s">
        <v>22</v>
      </c>
      <c r="B68" s="28" t="s">
        <v>20</v>
      </c>
      <c r="C68" s="33"/>
      <c r="D68" s="12">
        <f ca="1">SUM(D67/27)</f>
        <v>0</v>
      </c>
    </row>
    <row r="69" spans="1:4" ht="13.8" thickBot="1" x14ac:dyDescent="0.3">
      <c r="A69" s="51" t="s">
        <v>77</v>
      </c>
      <c r="B69" s="28"/>
      <c r="C69" s="33"/>
      <c r="D69" s="12">
        <f>+D22*0.25</f>
        <v>0</v>
      </c>
    </row>
    <row r="70" spans="1:4" ht="13.8" thickBot="1" x14ac:dyDescent="0.3">
      <c r="A70" s="51" t="s">
        <v>40</v>
      </c>
      <c r="B70" s="28"/>
      <c r="C70" s="33"/>
      <c r="D70" s="2">
        <v>0</v>
      </c>
    </row>
    <row r="71" spans="1:4" x14ac:dyDescent="0.25">
      <c r="A71" s="51" t="s">
        <v>30</v>
      </c>
      <c r="B71" s="28"/>
      <c r="C71" s="33"/>
      <c r="D71" s="13">
        <f ca="1">+D68+D70+D69</f>
        <v>0</v>
      </c>
    </row>
    <row r="72" spans="1:4" x14ac:dyDescent="0.25">
      <c r="A72" s="51"/>
      <c r="B72" s="28"/>
      <c r="C72" s="33"/>
      <c r="D72" s="35"/>
    </row>
    <row r="73" spans="1:4" x14ac:dyDescent="0.25">
      <c r="A73" s="51" t="s">
        <v>28</v>
      </c>
      <c r="B73" s="28"/>
      <c r="C73" s="33"/>
      <c r="D73" s="35"/>
    </row>
    <row r="74" spans="1:4" ht="13.8" thickBot="1" x14ac:dyDescent="0.3">
      <c r="A74" s="51" t="s">
        <v>15</v>
      </c>
      <c r="B74" s="28"/>
      <c r="C74" s="33"/>
      <c r="D74" s="74">
        <f>+D57</f>
        <v>0</v>
      </c>
    </row>
    <row r="75" spans="1:4" ht="14.25" customHeight="1" thickBot="1" x14ac:dyDescent="0.3">
      <c r="A75" s="51" t="s">
        <v>27</v>
      </c>
      <c r="B75" s="28"/>
      <c r="C75" s="15">
        <v>0</v>
      </c>
      <c r="D75" s="74">
        <f>+C75*(2000/26)</f>
        <v>0</v>
      </c>
    </row>
    <row r="76" spans="1:4" ht="13.8" thickBot="1" x14ac:dyDescent="0.3">
      <c r="A76" s="51" t="s">
        <v>77</v>
      </c>
      <c r="B76" s="28"/>
      <c r="C76" s="33"/>
      <c r="D76" s="12">
        <v>0</v>
      </c>
    </row>
    <row r="77" spans="1:4" ht="13.8" thickBot="1" x14ac:dyDescent="0.3">
      <c r="A77" s="51" t="s">
        <v>40</v>
      </c>
      <c r="B77" s="28"/>
      <c r="C77" s="33"/>
      <c r="D77" s="59">
        <v>0</v>
      </c>
    </row>
    <row r="78" spans="1:4" x14ac:dyDescent="0.25">
      <c r="A78" s="51" t="s">
        <v>21</v>
      </c>
      <c r="B78" s="28" t="s">
        <v>20</v>
      </c>
      <c r="C78" s="33"/>
      <c r="D78" s="14">
        <f>(+(D74-D75)*0.05)+D77+D76</f>
        <v>0</v>
      </c>
    </row>
    <row r="79" spans="1:4" x14ac:dyDescent="0.25">
      <c r="A79" s="51"/>
      <c r="B79" s="28"/>
      <c r="C79" s="33"/>
      <c r="D79" s="35"/>
    </row>
    <row r="80" spans="1:4" x14ac:dyDescent="0.25">
      <c r="A80" s="52"/>
      <c r="B80" s="29"/>
      <c r="C80" s="36"/>
      <c r="D80" s="37"/>
    </row>
    <row r="81" spans="1:4" ht="28.2" x14ac:dyDescent="0.4">
      <c r="A81" s="65" t="s">
        <v>24</v>
      </c>
      <c r="C81" s="44" t="s">
        <v>33</v>
      </c>
      <c r="D81" s="44" t="s">
        <v>34</v>
      </c>
    </row>
    <row r="82" spans="1:4" x14ac:dyDescent="0.25">
      <c r="A82" s="42"/>
      <c r="C82" s="31"/>
    </row>
    <row r="83" spans="1:4" x14ac:dyDescent="0.25">
      <c r="A83" s="89" t="s">
        <v>35</v>
      </c>
      <c r="C83" s="7">
        <f>+D14</f>
        <v>0</v>
      </c>
      <c r="D83" s="7">
        <f>+D14</f>
        <v>0</v>
      </c>
    </row>
    <row r="84" spans="1:4" x14ac:dyDescent="0.25">
      <c r="A84" s="64" t="s">
        <v>53</v>
      </c>
      <c r="C84" s="7">
        <f>+D38</f>
        <v>0</v>
      </c>
      <c r="D84" s="7">
        <f>+D38</f>
        <v>0</v>
      </c>
    </row>
    <row r="85" spans="1:4" x14ac:dyDescent="0.25">
      <c r="A85" s="53" t="s">
        <v>25</v>
      </c>
      <c r="C85" s="16">
        <f ca="1">+D63</f>
        <v>0</v>
      </c>
      <c r="D85" s="16">
        <f ca="1">+D71</f>
        <v>0</v>
      </c>
    </row>
    <row r="86" spans="1:4" x14ac:dyDescent="0.25">
      <c r="A86" s="53" t="s">
        <v>26</v>
      </c>
      <c r="C86" s="7">
        <f>+D78</f>
        <v>0</v>
      </c>
      <c r="D86" s="7">
        <f>+D78</f>
        <v>0</v>
      </c>
    </row>
    <row r="87" spans="1:4" x14ac:dyDescent="0.25">
      <c r="A87" s="89" t="s">
        <v>36</v>
      </c>
      <c r="C87" s="69">
        <f>+I24</f>
        <v>0</v>
      </c>
      <c r="D87" s="69">
        <f>I24</f>
        <v>0</v>
      </c>
    </row>
    <row r="88" spans="1:4" x14ac:dyDescent="0.25">
      <c r="A88" s="64" t="s">
        <v>47</v>
      </c>
      <c r="C88" s="69">
        <f>+D53</f>
        <v>0</v>
      </c>
      <c r="D88" s="69">
        <f>+D53</f>
        <v>0</v>
      </c>
    </row>
    <row r="89" spans="1:4" ht="13.8" thickBot="1" x14ac:dyDescent="0.3">
      <c r="A89" s="64"/>
      <c r="C89" s="69"/>
      <c r="D89" s="69"/>
    </row>
    <row r="90" spans="1:4" ht="13.8" thickBot="1" x14ac:dyDescent="0.3">
      <c r="A90" s="53"/>
      <c r="C90" s="66" t="s">
        <v>37</v>
      </c>
      <c r="D90" s="66" t="s">
        <v>38</v>
      </c>
    </row>
    <row r="91" spans="1:4" ht="25.2" thickBot="1" x14ac:dyDescent="0.45">
      <c r="A91" s="70" t="s">
        <v>29</v>
      </c>
      <c r="B91" s="23"/>
      <c r="C91" s="71">
        <f ca="1">+C83-C84-C85-C86-C87-C88</f>
        <v>0</v>
      </c>
      <c r="D91" s="71">
        <f ca="1">+D83-D84-D85-D86-D87-D88</f>
        <v>0</v>
      </c>
    </row>
    <row r="92" spans="1:4" ht="27.75" customHeight="1" thickBot="1" x14ac:dyDescent="0.3">
      <c r="A92" s="42"/>
      <c r="C92" s="31"/>
    </row>
    <row r="93" spans="1:4" ht="13.8" thickBot="1" x14ac:dyDescent="0.3">
      <c r="A93" s="53"/>
      <c r="C93" s="66" t="s">
        <v>37</v>
      </c>
      <c r="D93" s="66" t="s">
        <v>38</v>
      </c>
    </row>
    <row r="94" spans="1:4" ht="25.2" thickBot="1" x14ac:dyDescent="0.45">
      <c r="A94" s="70" t="s">
        <v>51</v>
      </c>
      <c r="B94" s="23"/>
      <c r="C94" s="71">
        <f ca="1">+C83-C84-C85-C86-C88</f>
        <v>0</v>
      </c>
      <c r="D94" s="71">
        <f ca="1">+D83-D84-D85-D86-D88</f>
        <v>0</v>
      </c>
    </row>
  </sheetData>
  <sheetProtection password="DFF9" sheet="1" objects="1" scenarios="1" selectLockedCells="1"/>
  <mergeCells count="8">
    <mergeCell ref="A1:D1"/>
    <mergeCell ref="A8:D8"/>
    <mergeCell ref="A3:D3"/>
    <mergeCell ref="B4:D4"/>
    <mergeCell ref="A5:B5"/>
    <mergeCell ref="A6:B6"/>
    <mergeCell ref="A7:F7"/>
    <mergeCell ref="A2:D2"/>
  </mergeCells>
  <phoneticPr fontId="0" type="noConversion"/>
  <hyperlinks>
    <hyperlink ref="A4" r:id="rId1"/>
    <hyperlink ref="A2" r:id="rId2"/>
  </hyperlinks>
  <pageMargins left="0.75" right="0.75" top="1" bottom="1" header="0.5" footer="0.5"/>
  <pageSetup scale="72" fitToHeight="2" orientation="landscape" r:id="rId3"/>
  <headerFooter alignWithMargins="0"/>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H36"/>
  <sheetViews>
    <sheetView workbookViewId="0"/>
  </sheetViews>
  <sheetFormatPr defaultColWidth="9.109375" defaultRowHeight="13.2" x14ac:dyDescent="0.25"/>
  <cols>
    <col min="1" max="2" width="9.109375" style="8"/>
    <col min="3" max="3" width="9.5546875" style="8" bestFit="1" customWidth="1"/>
    <col min="4" max="16384" width="9.109375" style="8"/>
  </cols>
  <sheetData>
    <row r="1" spans="1:4" x14ac:dyDescent="0.25">
      <c r="A1" s="79" t="s">
        <v>83</v>
      </c>
      <c r="B1" s="1"/>
      <c r="C1" s="1"/>
      <c r="D1" s="1">
        <v>3900</v>
      </c>
    </row>
    <row r="2" spans="1:4" x14ac:dyDescent="0.25">
      <c r="A2" s="1"/>
      <c r="B2" s="1"/>
      <c r="C2" s="1"/>
      <c r="D2" s="1"/>
    </row>
    <row r="3" spans="1:4" x14ac:dyDescent="0.25">
      <c r="A3" s="1">
        <v>0</v>
      </c>
      <c r="B3" s="1"/>
      <c r="C3" s="1"/>
      <c r="D3" s="1">
        <v>0</v>
      </c>
    </row>
    <row r="4" spans="1:4" x14ac:dyDescent="0.25">
      <c r="A4" s="1"/>
      <c r="B4" s="1"/>
      <c r="C4" s="1"/>
      <c r="D4" s="1"/>
    </row>
    <row r="5" spans="1:4" x14ac:dyDescent="0.25">
      <c r="A5" s="1">
        <v>2200</v>
      </c>
      <c r="B5" s="1"/>
      <c r="C5" s="1">
        <v>0</v>
      </c>
      <c r="D5" s="1">
        <v>0.1</v>
      </c>
    </row>
    <row r="6" spans="1:4" x14ac:dyDescent="0.25">
      <c r="A6" s="1"/>
      <c r="B6" s="1"/>
      <c r="C6" s="1"/>
      <c r="D6" s="1"/>
    </row>
    <row r="7" spans="1:4" x14ac:dyDescent="0.25">
      <c r="A7" s="1">
        <v>11125</v>
      </c>
      <c r="B7" s="1"/>
      <c r="C7" s="1">
        <v>892.5</v>
      </c>
      <c r="D7" s="1">
        <v>0.15</v>
      </c>
    </row>
    <row r="8" spans="1:4" x14ac:dyDescent="0.25">
      <c r="A8" s="1"/>
      <c r="B8" s="1"/>
      <c r="C8" s="1"/>
      <c r="D8" s="1"/>
    </row>
    <row r="9" spans="1:4" x14ac:dyDescent="0.25">
      <c r="A9" s="1">
        <v>38450</v>
      </c>
      <c r="B9" s="1"/>
      <c r="C9" s="1">
        <v>4991.25</v>
      </c>
      <c r="D9" s="1">
        <v>0.25</v>
      </c>
    </row>
    <row r="10" spans="1:4" x14ac:dyDescent="0.25">
      <c r="A10" s="1"/>
      <c r="B10" s="1"/>
      <c r="C10" s="1"/>
      <c r="D10" s="1"/>
    </row>
    <row r="11" spans="1:4" x14ac:dyDescent="0.25">
      <c r="A11" s="1">
        <v>90050</v>
      </c>
      <c r="B11" s="1"/>
      <c r="C11" s="1">
        <v>17891.25</v>
      </c>
      <c r="D11" s="1">
        <v>0.28000000000000003</v>
      </c>
    </row>
    <row r="12" spans="1:4" x14ac:dyDescent="0.25">
      <c r="A12" s="1"/>
      <c r="B12" s="1"/>
      <c r="C12" s="1"/>
      <c r="D12" s="1"/>
    </row>
    <row r="13" spans="1:4" x14ac:dyDescent="0.25">
      <c r="A13" s="1">
        <v>185450</v>
      </c>
      <c r="B13" s="1"/>
      <c r="C13" s="1">
        <v>44603.25</v>
      </c>
      <c r="D13" s="1">
        <v>0.33</v>
      </c>
    </row>
    <row r="14" spans="1:4" x14ac:dyDescent="0.25">
      <c r="A14" s="1"/>
      <c r="B14" s="1"/>
      <c r="C14" s="1"/>
      <c r="D14" s="1"/>
    </row>
    <row r="15" spans="1:4" x14ac:dyDescent="0.25">
      <c r="A15" s="1">
        <v>400550</v>
      </c>
      <c r="B15" s="1"/>
      <c r="C15" s="82">
        <v>115586.25</v>
      </c>
      <c r="D15" s="1">
        <v>0.35</v>
      </c>
    </row>
    <row r="16" spans="1:4" x14ac:dyDescent="0.25">
      <c r="A16" s="1"/>
      <c r="B16" s="1"/>
      <c r="C16" s="1"/>
      <c r="D16" s="1"/>
    </row>
    <row r="17" spans="1:8" x14ac:dyDescent="0.25">
      <c r="A17" s="1">
        <v>402200</v>
      </c>
      <c r="B17" s="1"/>
      <c r="C17" s="82">
        <v>116163.75</v>
      </c>
      <c r="D17" s="1">
        <v>0.39600000000000002</v>
      </c>
    </row>
    <row r="18" spans="1:8" x14ac:dyDescent="0.25">
      <c r="A18" s="1"/>
      <c r="B18" s="1"/>
      <c r="C18" s="1"/>
    </row>
    <row r="19" spans="1:8" x14ac:dyDescent="0.25">
      <c r="A19" s="1"/>
      <c r="B19" s="1"/>
      <c r="C19" s="1"/>
    </row>
    <row r="20" spans="1:8" x14ac:dyDescent="0.25">
      <c r="E20" s="79"/>
      <c r="F20" s="1"/>
      <c r="G20" s="1"/>
      <c r="H20" s="1"/>
    </row>
    <row r="21" spans="1:8" x14ac:dyDescent="0.25">
      <c r="E21" s="1"/>
      <c r="F21" s="1"/>
      <c r="G21" s="1"/>
      <c r="H21" s="1"/>
    </row>
    <row r="22" spans="1:8" x14ac:dyDescent="0.25">
      <c r="E22" s="1"/>
      <c r="F22" s="1"/>
      <c r="G22" s="1"/>
      <c r="H22" s="1"/>
    </row>
    <row r="23" spans="1:8" x14ac:dyDescent="0.25">
      <c r="E23" s="1"/>
      <c r="F23" s="1"/>
      <c r="G23" s="1"/>
      <c r="H23" s="1"/>
    </row>
    <row r="24" spans="1:8" x14ac:dyDescent="0.25">
      <c r="E24" s="1"/>
      <c r="F24" s="1"/>
      <c r="G24" s="1"/>
      <c r="H24" s="1"/>
    </row>
    <row r="25" spans="1:8" x14ac:dyDescent="0.25">
      <c r="E25" s="1"/>
      <c r="F25" s="1"/>
      <c r="G25" s="1"/>
      <c r="H25" s="1"/>
    </row>
    <row r="26" spans="1:8" x14ac:dyDescent="0.25">
      <c r="E26" s="1"/>
      <c r="F26" s="1"/>
      <c r="G26" s="1"/>
      <c r="H26" s="1"/>
    </row>
    <row r="27" spans="1:8" x14ac:dyDescent="0.25">
      <c r="E27" s="1"/>
      <c r="F27" s="1"/>
      <c r="G27" s="1"/>
      <c r="H27" s="1"/>
    </row>
    <row r="28" spans="1:8" x14ac:dyDescent="0.25">
      <c r="E28" s="1"/>
      <c r="F28" s="1"/>
      <c r="G28" s="1"/>
      <c r="H28" s="1"/>
    </row>
    <row r="29" spans="1:8" x14ac:dyDescent="0.25">
      <c r="E29" s="1"/>
      <c r="F29" s="1"/>
      <c r="G29" s="1"/>
      <c r="H29" s="1"/>
    </row>
    <row r="30" spans="1:8" x14ac:dyDescent="0.25">
      <c r="E30" s="1"/>
      <c r="F30" s="1"/>
      <c r="G30" s="1"/>
      <c r="H30" s="1"/>
    </row>
    <row r="31" spans="1:8" x14ac:dyDescent="0.25">
      <c r="E31" s="1"/>
      <c r="F31" s="1"/>
      <c r="G31" s="1"/>
      <c r="H31" s="1"/>
    </row>
    <row r="32" spans="1:8" x14ac:dyDescent="0.25">
      <c r="E32" s="1"/>
      <c r="F32" s="1"/>
      <c r="G32" s="1"/>
      <c r="H32" s="1"/>
    </row>
    <row r="33" spans="5:8" x14ac:dyDescent="0.25">
      <c r="E33" s="1"/>
      <c r="F33" s="1"/>
      <c r="G33" s="1"/>
      <c r="H33" s="1"/>
    </row>
    <row r="34" spans="5:8" x14ac:dyDescent="0.25">
      <c r="E34" s="1"/>
      <c r="F34" s="1"/>
      <c r="G34" s="82"/>
      <c r="H34" s="1"/>
    </row>
    <row r="35" spans="5:8" x14ac:dyDescent="0.25">
      <c r="E35" s="1"/>
      <c r="F35" s="1"/>
      <c r="G35" s="1"/>
      <c r="H35" s="1"/>
    </row>
    <row r="36" spans="5:8" x14ac:dyDescent="0.25">
      <c r="E36" s="1"/>
      <c r="F36" s="1"/>
      <c r="G36" s="82"/>
      <c r="H36" s="1"/>
    </row>
  </sheetData>
  <sheetProtection password="DFF9" sheet="1" objects="1" scenarios="1"/>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D22"/>
  <sheetViews>
    <sheetView workbookViewId="0"/>
  </sheetViews>
  <sheetFormatPr defaultColWidth="9.109375" defaultRowHeight="13.2" x14ac:dyDescent="0.25"/>
  <cols>
    <col min="1" max="2" width="9.109375" style="8"/>
    <col min="3" max="3" width="9.5546875" style="8" bestFit="1" customWidth="1"/>
    <col min="4" max="16384" width="9.109375" style="8"/>
  </cols>
  <sheetData>
    <row r="1" spans="1:4" x14ac:dyDescent="0.25">
      <c r="A1" s="1" t="s">
        <v>84</v>
      </c>
      <c r="B1" s="1"/>
      <c r="C1" s="1"/>
      <c r="D1" s="1">
        <v>3900</v>
      </c>
    </row>
    <row r="2" spans="1:4" x14ac:dyDescent="0.25">
      <c r="A2" s="1"/>
      <c r="B2" s="1"/>
      <c r="C2" s="1"/>
      <c r="D2" s="1"/>
    </row>
    <row r="3" spans="1:4" x14ac:dyDescent="0.25">
      <c r="A3" s="1">
        <v>0</v>
      </c>
      <c r="B3" s="1"/>
      <c r="C3" s="1"/>
      <c r="D3" s="1">
        <v>0</v>
      </c>
    </row>
    <row r="4" spans="1:4" x14ac:dyDescent="0.25">
      <c r="A4" s="1"/>
      <c r="B4" s="1"/>
      <c r="C4" s="1"/>
      <c r="D4" s="1"/>
    </row>
    <row r="5" spans="1:4" x14ac:dyDescent="0.25">
      <c r="A5" s="1">
        <v>8300</v>
      </c>
      <c r="B5" s="1"/>
      <c r="C5" s="1">
        <v>0</v>
      </c>
      <c r="D5" s="1">
        <v>0.1</v>
      </c>
    </row>
    <row r="6" spans="1:4" x14ac:dyDescent="0.25">
      <c r="A6" s="1"/>
      <c r="B6" s="1"/>
      <c r="C6" s="1"/>
      <c r="D6" s="1"/>
    </row>
    <row r="7" spans="1:4" x14ac:dyDescent="0.25">
      <c r="A7" s="1">
        <v>26150</v>
      </c>
      <c r="B7" s="1"/>
      <c r="C7" s="1">
        <v>1785</v>
      </c>
      <c r="D7" s="1">
        <v>0.15</v>
      </c>
    </row>
    <row r="8" spans="1:4" x14ac:dyDescent="0.25">
      <c r="A8" s="1"/>
      <c r="B8" s="1"/>
      <c r="C8" s="1"/>
      <c r="D8" s="1"/>
    </row>
    <row r="9" spans="1:4" x14ac:dyDescent="0.25">
      <c r="A9" s="1">
        <v>80800</v>
      </c>
      <c r="B9" s="1"/>
      <c r="C9" s="1">
        <v>9982.5</v>
      </c>
      <c r="D9" s="1">
        <v>0.25</v>
      </c>
    </row>
    <row r="10" spans="1:4" x14ac:dyDescent="0.25">
      <c r="A10" s="1"/>
      <c r="B10" s="1"/>
      <c r="C10" s="1"/>
      <c r="D10" s="1"/>
    </row>
    <row r="11" spans="1:4" x14ac:dyDescent="0.25">
      <c r="A11" s="1">
        <v>154700</v>
      </c>
      <c r="B11" s="1"/>
      <c r="C11" s="1">
        <v>28457.5</v>
      </c>
      <c r="D11" s="1">
        <v>0.28000000000000003</v>
      </c>
    </row>
    <row r="12" spans="1:4" x14ac:dyDescent="0.25">
      <c r="A12" s="1"/>
      <c r="B12" s="1"/>
      <c r="C12" s="1"/>
      <c r="D12" s="1"/>
    </row>
    <row r="13" spans="1:4" x14ac:dyDescent="0.25">
      <c r="A13" s="1">
        <v>231350</v>
      </c>
      <c r="B13" s="1"/>
      <c r="C13" s="1">
        <v>49919.5</v>
      </c>
      <c r="D13" s="1">
        <v>0.33</v>
      </c>
    </row>
    <row r="14" spans="1:4" x14ac:dyDescent="0.25">
      <c r="A14" s="1"/>
      <c r="B14" s="1"/>
      <c r="C14" s="1"/>
      <c r="D14" s="1"/>
    </row>
    <row r="15" spans="1:4" x14ac:dyDescent="0.25">
      <c r="A15" s="1">
        <v>406650</v>
      </c>
      <c r="B15" s="1"/>
      <c r="C15" s="82">
        <v>107768.5</v>
      </c>
      <c r="D15" s="1">
        <v>0.35</v>
      </c>
    </row>
    <row r="16" spans="1:4" x14ac:dyDescent="0.25">
      <c r="A16" s="1"/>
      <c r="B16" s="1"/>
      <c r="C16" s="1"/>
      <c r="D16" s="1"/>
    </row>
    <row r="17" spans="1:4" x14ac:dyDescent="0.25">
      <c r="A17" s="1">
        <v>458300</v>
      </c>
      <c r="B17" s="1"/>
      <c r="C17" s="82">
        <v>125846</v>
      </c>
      <c r="D17" s="1">
        <v>0.39600000000000002</v>
      </c>
    </row>
    <row r="18" spans="1:4" x14ac:dyDescent="0.25">
      <c r="A18" s="1"/>
      <c r="B18" s="1"/>
      <c r="C18" s="1"/>
      <c r="D18" s="1"/>
    </row>
    <row r="19" spans="1:4" x14ac:dyDescent="0.25">
      <c r="A19" s="1"/>
      <c r="B19" s="1"/>
      <c r="C19" s="1"/>
      <c r="D19" s="1"/>
    </row>
    <row r="20" spans="1:4" x14ac:dyDescent="0.25">
      <c r="A20" s="1"/>
      <c r="B20" s="1"/>
      <c r="C20" s="1"/>
      <c r="D20" s="1"/>
    </row>
    <row r="21" spans="1:4" x14ac:dyDescent="0.25">
      <c r="A21" s="1"/>
      <c r="B21" s="1"/>
      <c r="C21" s="1"/>
      <c r="D21" s="1"/>
    </row>
    <row r="22" spans="1:4" x14ac:dyDescent="0.25">
      <c r="A22" s="1"/>
      <c r="B22" s="1"/>
      <c r="C22" s="1"/>
      <c r="D22" s="1"/>
    </row>
  </sheetData>
  <sheetProtection password="DFF9" sheet="1" objects="1" scenarios="1"/>
  <phoneticPr fontId="0" type="noConversion"/>
  <pageMargins left="0.75" right="0.75" top="1" bottom="1" header="0.5" footer="0.5"/>
  <pageSetup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
  <sheetViews>
    <sheetView zoomScaleNormal="100" workbookViewId="0"/>
  </sheetViews>
  <sheetFormatPr defaultRowHeight="13.2"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Calculator</vt:lpstr>
      <vt:lpstr>Sheet2</vt:lpstr>
      <vt:lpstr>Sheet3</vt:lpstr>
      <vt:lpstr>Sheet4</vt:lpstr>
    </vt:vector>
  </TitlesOfParts>
  <Company>OBFS/University of Illinois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Bi-Weekly Net Pay Calculator</dc:title>
  <dc:creator>OBFS Payroll - University of Illinois</dc:creator>
  <cp:keywords>payroll, bi-weekly, biweekly, paid, employee, benefit, accrual, calculator, compensation, hourly rate, estimating, net, pay</cp:keywords>
  <cp:lastModifiedBy>young4</cp:lastModifiedBy>
  <cp:lastPrinted>2010-01-11T22:10:41Z</cp:lastPrinted>
  <dcterms:created xsi:type="dcterms:W3CDTF">2004-12-21T18:46:34Z</dcterms:created>
  <dcterms:modified xsi:type="dcterms:W3CDTF">2013-02-13T20:20:57Z</dcterms:modified>
</cp:coreProperties>
</file>