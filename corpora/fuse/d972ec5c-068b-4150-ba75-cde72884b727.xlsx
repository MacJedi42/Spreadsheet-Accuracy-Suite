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36" yWindow="372" windowWidth="11868" windowHeight="8988" activeTab="1"/>
  </bookViews>
  <sheets>
    <sheet name="Data" sheetId="1" r:id="rId1"/>
    <sheet name="New Table 1_Inde" sheetId="3" r:id="rId2"/>
  </sheets>
  <definedNames>
    <definedName name="_xlnm.Print_Area" localSheetId="0">Data!$A$1:$X$20</definedName>
    <definedName name="TSBINDEX">Data!$A$4:$G$5</definedName>
  </definedNames>
  <calcPr calcId="145621"/>
</workbook>
</file>

<file path=xl/calcChain.xml><?xml version="1.0" encoding="utf-8"?>
<calcChain xmlns="http://schemas.openxmlformats.org/spreadsheetml/2006/main">
  <c r="B4" i="1" l="1"/>
  <c r="H7" i="3"/>
  <c r="G7" i="3"/>
  <c r="F7" i="3"/>
  <c r="E7" i="3"/>
  <c r="D7" i="3"/>
  <c r="C7" i="3"/>
  <c r="B7" i="3"/>
  <c r="G5" i="1"/>
  <c r="F5" i="1"/>
  <c r="E5" i="1"/>
  <c r="D5" i="1"/>
  <c r="C5" i="1"/>
  <c r="B5" i="1"/>
  <c r="G4" i="1"/>
  <c r="F4" i="1"/>
  <c r="D4" i="1"/>
  <c r="C4" i="1"/>
  <c r="A4" i="1"/>
  <c r="O610" i="1"/>
  <c r="N610" i="1"/>
  <c r="M610" i="1"/>
  <c r="E4" i="1" s="1"/>
  <c r="L610" i="1"/>
  <c r="K610" i="1"/>
  <c r="J610" i="1"/>
  <c r="O609" i="1" l="1"/>
  <c r="N609" i="1"/>
  <c r="M609" i="1"/>
  <c r="L609" i="1"/>
  <c r="K609" i="1"/>
  <c r="J609" i="1"/>
  <c r="O608" i="1" l="1"/>
  <c r="N608" i="1"/>
  <c r="M608" i="1"/>
  <c r="L608" i="1"/>
  <c r="K608" i="1"/>
  <c r="J608" i="1"/>
  <c r="O607" i="1" l="1"/>
  <c r="N607" i="1"/>
  <c r="M607" i="1"/>
  <c r="L607" i="1"/>
  <c r="K607" i="1"/>
  <c r="J607" i="1"/>
  <c r="O606" i="1" l="1"/>
  <c r="N606" i="1"/>
  <c r="L606" i="1"/>
  <c r="K606" i="1"/>
  <c r="J606" i="1"/>
  <c r="O605" i="1" l="1"/>
  <c r="N605" i="1"/>
  <c r="M605" i="1"/>
  <c r="L605" i="1"/>
  <c r="K605" i="1"/>
  <c r="J605" i="1"/>
  <c r="O604" i="1" l="1"/>
  <c r="N604" i="1"/>
  <c r="M604" i="1"/>
  <c r="L604" i="1"/>
  <c r="K604" i="1"/>
  <c r="J604" i="1"/>
  <c r="O603" i="1" l="1"/>
  <c r="N603" i="1"/>
  <c r="M603" i="1"/>
  <c r="L603" i="1"/>
  <c r="K603" i="1"/>
  <c r="J603" i="1"/>
  <c r="O602" i="1"/>
  <c r="N602" i="1"/>
  <c r="M602" i="1"/>
  <c r="L602" i="1"/>
  <c r="K602" i="1"/>
  <c r="J602" i="1"/>
  <c r="O601" i="1"/>
  <c r="N601" i="1"/>
  <c r="M601" i="1"/>
  <c r="L601" i="1"/>
  <c r="K601" i="1"/>
  <c r="J601" i="1"/>
  <c r="O600" i="1"/>
  <c r="N600" i="1"/>
  <c r="M600" i="1"/>
  <c r="L600" i="1"/>
  <c r="K600" i="1"/>
  <c r="J600" i="1"/>
  <c r="O599" i="1"/>
  <c r="N599" i="1"/>
  <c r="M599" i="1"/>
  <c r="L599" i="1"/>
  <c r="K599" i="1"/>
  <c r="J599" i="1"/>
  <c r="O598" i="1" l="1"/>
  <c r="N598" i="1"/>
  <c r="M598" i="1"/>
  <c r="L598" i="1"/>
  <c r="K598" i="1"/>
  <c r="J598" i="1"/>
  <c r="O597" i="1" l="1"/>
  <c r="N597" i="1"/>
  <c r="M597" i="1"/>
  <c r="L597" i="1"/>
  <c r="K597" i="1"/>
  <c r="J597" i="1"/>
  <c r="O596" i="1" l="1"/>
  <c r="N596" i="1"/>
  <c r="M596" i="1"/>
  <c r="L596" i="1"/>
  <c r="K596" i="1"/>
  <c r="J596" i="1"/>
  <c r="O595" i="1" l="1"/>
  <c r="N595" i="1"/>
  <c r="M595" i="1"/>
  <c r="L595" i="1"/>
  <c r="K595" i="1"/>
  <c r="J595" i="1"/>
  <c r="O594" i="1" l="1"/>
  <c r="N594" i="1"/>
  <c r="M594" i="1"/>
  <c r="L594" i="1"/>
  <c r="K594" i="1"/>
  <c r="J594" i="1"/>
  <c r="B5" i="3" l="1"/>
  <c r="O593" i="1"/>
  <c r="N593" i="1"/>
  <c r="M593" i="1"/>
  <c r="L593" i="1"/>
  <c r="K593" i="1"/>
  <c r="J593" i="1"/>
  <c r="O592" i="1" l="1"/>
  <c r="N592" i="1"/>
  <c r="M592" i="1"/>
  <c r="L592" i="1"/>
  <c r="K592" i="1"/>
  <c r="J592" i="1"/>
  <c r="O591" i="1" l="1"/>
  <c r="N591" i="1"/>
  <c r="M591" i="1"/>
  <c r="L591" i="1"/>
  <c r="K591" i="1"/>
  <c r="J591" i="1"/>
  <c r="O590" i="1"/>
  <c r="N590" i="1"/>
  <c r="M590" i="1"/>
  <c r="L590" i="1"/>
  <c r="K590" i="1"/>
  <c r="J590" i="1"/>
  <c r="O589" i="1"/>
  <c r="N589" i="1"/>
  <c r="M589" i="1"/>
  <c r="L589" i="1"/>
  <c r="K589" i="1"/>
  <c r="J589" i="1"/>
  <c r="O588" i="1"/>
  <c r="N588" i="1"/>
  <c r="M588" i="1"/>
  <c r="L588" i="1"/>
  <c r="K588" i="1"/>
  <c r="J588" i="1"/>
  <c r="O587" i="1" l="1"/>
  <c r="N587" i="1"/>
  <c r="M587" i="1"/>
  <c r="L587" i="1"/>
  <c r="K587" i="1"/>
  <c r="J587" i="1"/>
  <c r="O586" i="1" l="1"/>
  <c r="N586" i="1"/>
  <c r="M586" i="1"/>
  <c r="L586" i="1"/>
  <c r="K586" i="1"/>
  <c r="J586" i="1"/>
  <c r="O585" i="1" l="1"/>
  <c r="N585" i="1"/>
  <c r="M585" i="1"/>
  <c r="L585" i="1"/>
  <c r="K585" i="1"/>
  <c r="J585" i="1"/>
  <c r="O584" i="1" l="1"/>
  <c r="N584" i="1"/>
  <c r="M584" i="1"/>
  <c r="L584" i="1"/>
  <c r="K584" i="1"/>
  <c r="J584" i="1"/>
  <c r="O583" i="1" l="1"/>
  <c r="N583" i="1"/>
  <c r="M583" i="1"/>
  <c r="L583" i="1"/>
  <c r="K583" i="1"/>
  <c r="J583" i="1"/>
  <c r="O582" i="1" l="1"/>
  <c r="N582" i="1"/>
  <c r="M582" i="1"/>
  <c r="L582" i="1"/>
  <c r="K582" i="1"/>
  <c r="J582" i="1"/>
  <c r="O581" i="1" l="1"/>
  <c r="N581" i="1"/>
  <c r="M581" i="1"/>
  <c r="L581" i="1"/>
  <c r="K581" i="1"/>
  <c r="J581" i="1"/>
  <c r="O580" i="1" l="1"/>
  <c r="N580" i="1"/>
  <c r="M580" i="1"/>
  <c r="L580" i="1"/>
  <c r="K580" i="1"/>
  <c r="J580" i="1"/>
  <c r="O579" i="1" l="1"/>
  <c r="N579" i="1"/>
  <c r="M579" i="1"/>
  <c r="L579" i="1"/>
  <c r="K579" i="1"/>
  <c r="J579" i="1"/>
  <c r="O578" i="1" l="1"/>
  <c r="N578" i="1"/>
  <c r="M578" i="1"/>
  <c r="L578" i="1"/>
  <c r="K578" i="1"/>
  <c r="J578" i="1"/>
  <c r="O577" i="1" l="1"/>
  <c r="N577" i="1"/>
  <c r="M577" i="1"/>
  <c r="L577" i="1"/>
  <c r="K577" i="1"/>
  <c r="J577" i="1"/>
  <c r="O576" i="1" l="1"/>
  <c r="N576" i="1"/>
  <c r="M576" i="1"/>
  <c r="L576" i="1"/>
  <c r="K576" i="1"/>
  <c r="J576" i="1"/>
  <c r="O575" i="1" l="1"/>
  <c r="N575" i="1"/>
  <c r="M575" i="1"/>
  <c r="L575" i="1"/>
  <c r="K575" i="1"/>
  <c r="J575" i="1"/>
  <c r="O574" i="1" l="1"/>
  <c r="N574" i="1"/>
  <c r="M574" i="1"/>
  <c r="L574" i="1"/>
  <c r="K574" i="1"/>
  <c r="J574" i="1"/>
  <c r="O573" i="1" l="1"/>
  <c r="N573" i="1"/>
  <c r="M573" i="1"/>
  <c r="L573" i="1"/>
  <c r="K573" i="1"/>
  <c r="J573" i="1"/>
  <c r="O572" i="1" l="1"/>
  <c r="N572" i="1"/>
  <c r="M572" i="1"/>
  <c r="L572" i="1"/>
  <c r="K572" i="1"/>
  <c r="J572" i="1"/>
  <c r="O571" i="1" l="1"/>
  <c r="N571" i="1"/>
  <c r="M571" i="1"/>
  <c r="L571" i="1"/>
  <c r="K571" i="1"/>
  <c r="J571" i="1"/>
  <c r="O570" i="1" l="1"/>
  <c r="N570" i="1"/>
  <c r="M570" i="1"/>
  <c r="L570" i="1"/>
  <c r="K570" i="1"/>
  <c r="J570" i="1"/>
  <c r="O569" i="1" l="1"/>
  <c r="N569" i="1"/>
  <c r="M569" i="1"/>
  <c r="L569" i="1"/>
  <c r="K569" i="1"/>
  <c r="J569" i="1"/>
  <c r="O568" i="1" l="1"/>
  <c r="N568" i="1"/>
  <c r="M568" i="1"/>
  <c r="L568" i="1"/>
  <c r="K568" i="1"/>
  <c r="J568" i="1"/>
  <c r="K567" i="1" l="1"/>
  <c r="J567" i="1"/>
  <c r="O567" i="1" l="1"/>
  <c r="N567" i="1"/>
  <c r="M567" i="1"/>
  <c r="L567" i="1"/>
  <c r="O566" i="1" l="1"/>
  <c r="N566" i="1"/>
  <c r="L566" i="1"/>
  <c r="K566" i="1"/>
  <c r="J566" i="1"/>
  <c r="O565" i="1" l="1"/>
  <c r="N565" i="1"/>
  <c r="L565" i="1"/>
  <c r="K565" i="1"/>
  <c r="J565" i="1"/>
  <c r="O564" i="1" l="1"/>
  <c r="N564" i="1"/>
  <c r="M564" i="1"/>
  <c r="L564" i="1"/>
  <c r="K564" i="1"/>
  <c r="J564" i="1"/>
  <c r="O563" i="1" l="1"/>
  <c r="N563" i="1"/>
  <c r="M563" i="1"/>
  <c r="L563" i="1"/>
  <c r="K563" i="1"/>
  <c r="J563" i="1"/>
  <c r="O562" i="1" l="1"/>
  <c r="N562" i="1"/>
  <c r="M562" i="1"/>
  <c r="L562" i="1"/>
  <c r="K562" i="1"/>
  <c r="J562" i="1"/>
  <c r="O561" i="1" l="1"/>
  <c r="N561" i="1"/>
  <c r="M561" i="1"/>
  <c r="L561" i="1"/>
  <c r="K561" i="1"/>
  <c r="J561" i="1"/>
  <c r="O560" i="1" l="1"/>
  <c r="N560" i="1"/>
  <c r="M560" i="1"/>
  <c r="L560" i="1"/>
  <c r="K560" i="1"/>
  <c r="J560" i="1"/>
  <c r="O559" i="1" l="1"/>
  <c r="N559" i="1"/>
  <c r="M559" i="1"/>
  <c r="L559" i="1"/>
  <c r="K559" i="1"/>
  <c r="J559" i="1"/>
  <c r="O558" i="1" l="1"/>
  <c r="N558" i="1"/>
  <c r="M558" i="1"/>
  <c r="L558" i="1"/>
  <c r="K558" i="1"/>
  <c r="J558" i="1"/>
  <c r="O557" i="1" l="1"/>
  <c r="N557" i="1"/>
  <c r="M557" i="1"/>
  <c r="L557" i="1"/>
  <c r="K557" i="1"/>
  <c r="J557" i="1"/>
  <c r="O556" i="1" l="1"/>
  <c r="N556" i="1"/>
  <c r="M556" i="1"/>
  <c r="L556" i="1"/>
  <c r="K556" i="1"/>
  <c r="J556" i="1"/>
  <c r="O555" i="1" l="1"/>
  <c r="N555" i="1"/>
  <c r="M555" i="1"/>
  <c r="L555" i="1"/>
  <c r="K555" i="1"/>
  <c r="J555" i="1"/>
  <c r="O554" i="1" l="1"/>
  <c r="N554" i="1"/>
  <c r="M554" i="1"/>
  <c r="L554" i="1"/>
  <c r="K554" i="1"/>
  <c r="J554" i="1"/>
  <c r="O553" i="1" l="1"/>
  <c r="N553" i="1"/>
  <c r="M553" i="1"/>
  <c r="L553" i="1"/>
  <c r="K553" i="1"/>
  <c r="J553" i="1"/>
  <c r="O552" i="1" l="1"/>
  <c r="N552" i="1"/>
  <c r="M552" i="1"/>
  <c r="L552" i="1"/>
  <c r="K552" i="1"/>
  <c r="J552" i="1"/>
  <c r="O551" i="1" l="1"/>
  <c r="N551" i="1"/>
  <c r="M551" i="1"/>
  <c r="L551" i="1"/>
  <c r="K551" i="1"/>
  <c r="J551" i="1"/>
  <c r="O550" i="1"/>
  <c r="N550" i="1"/>
  <c r="M550" i="1"/>
  <c r="L550" i="1"/>
  <c r="K550" i="1"/>
  <c r="J550" i="1"/>
  <c r="O549" i="1"/>
  <c r="N549" i="1"/>
  <c r="M549" i="1"/>
  <c r="L549" i="1"/>
  <c r="K549" i="1"/>
  <c r="J549" i="1"/>
  <c r="O548" i="1" l="1"/>
  <c r="N548" i="1"/>
  <c r="M548" i="1"/>
  <c r="L548" i="1"/>
  <c r="K548" i="1"/>
  <c r="J548" i="1"/>
  <c r="O547" i="1" l="1"/>
  <c r="N547" i="1"/>
  <c r="M547" i="1"/>
  <c r="L547" i="1"/>
  <c r="K547" i="1"/>
  <c r="J547" i="1"/>
  <c r="O546" i="1" l="1"/>
  <c r="N546" i="1"/>
  <c r="M546" i="1"/>
  <c r="L546" i="1"/>
  <c r="K546" i="1"/>
  <c r="J546" i="1"/>
  <c r="O545" i="1" l="1"/>
  <c r="N545" i="1"/>
  <c r="M545" i="1"/>
  <c r="L545" i="1"/>
  <c r="K545" i="1"/>
  <c r="J545" i="1"/>
  <c r="O544" i="1" l="1"/>
  <c r="N544" i="1"/>
  <c r="M544" i="1"/>
  <c r="L544" i="1"/>
  <c r="K544" i="1"/>
  <c r="J544" i="1"/>
  <c r="O543" i="1" l="1"/>
  <c r="N543" i="1"/>
  <c r="M543" i="1"/>
  <c r="L543" i="1"/>
  <c r="K543" i="1"/>
  <c r="J543" i="1"/>
  <c r="O542" i="1" l="1"/>
  <c r="N542" i="1"/>
  <c r="M542" i="1"/>
  <c r="L542" i="1"/>
  <c r="K542" i="1"/>
  <c r="J542" i="1"/>
  <c r="O541" i="1" l="1"/>
  <c r="N541" i="1"/>
  <c r="M541" i="1"/>
  <c r="L541" i="1"/>
  <c r="K541" i="1"/>
  <c r="J541" i="1"/>
  <c r="O540" i="1" l="1"/>
  <c r="N540" i="1"/>
  <c r="M540" i="1"/>
  <c r="L540" i="1"/>
  <c r="K540" i="1"/>
  <c r="J540" i="1"/>
  <c r="O539" i="1" l="1"/>
  <c r="N539" i="1"/>
  <c r="M539" i="1"/>
  <c r="L539" i="1"/>
  <c r="K539" i="1"/>
  <c r="J539" i="1"/>
  <c r="O538" i="1" l="1"/>
  <c r="N538" i="1"/>
  <c r="M538" i="1"/>
  <c r="F5" i="3" s="1"/>
  <c r="L538" i="1"/>
  <c r="K538" i="1"/>
  <c r="J538" i="1"/>
  <c r="O537" i="1"/>
  <c r="N537" i="1"/>
  <c r="M537" i="1"/>
  <c r="L537" i="1"/>
  <c r="K537" i="1"/>
  <c r="J537" i="1"/>
  <c r="O536" i="1"/>
  <c r="N536" i="1"/>
  <c r="M536" i="1"/>
  <c r="L536" i="1"/>
  <c r="K536" i="1"/>
  <c r="J536" i="1"/>
  <c r="O535" i="1"/>
  <c r="N535" i="1"/>
  <c r="M535" i="1"/>
  <c r="L535" i="1"/>
  <c r="K535" i="1"/>
  <c r="J535" i="1"/>
  <c r="O534" i="1"/>
  <c r="N534" i="1"/>
  <c r="M534" i="1"/>
  <c r="L534" i="1"/>
  <c r="K534" i="1"/>
  <c r="J534" i="1"/>
  <c r="O533" i="1"/>
  <c r="N533" i="1"/>
  <c r="M533" i="1"/>
  <c r="L533" i="1"/>
  <c r="K533" i="1"/>
  <c r="J533" i="1"/>
  <c r="O532" i="1"/>
  <c r="N532" i="1"/>
  <c r="M532" i="1"/>
  <c r="L532" i="1"/>
  <c r="K532" i="1"/>
  <c r="J532" i="1"/>
  <c r="O531" i="1"/>
  <c r="N531" i="1"/>
  <c r="M531" i="1"/>
  <c r="L531" i="1"/>
  <c r="K531" i="1"/>
  <c r="J531" i="1"/>
  <c r="O530" i="1"/>
  <c r="N530" i="1"/>
  <c r="M530" i="1"/>
  <c r="L530" i="1"/>
  <c r="K530" i="1"/>
  <c r="J530" i="1"/>
  <c r="O529" i="1"/>
  <c r="N529" i="1"/>
  <c r="M529" i="1"/>
  <c r="L529" i="1"/>
  <c r="K529" i="1"/>
  <c r="J529" i="1"/>
  <c r="O528" i="1"/>
  <c r="N528" i="1"/>
  <c r="M528" i="1"/>
  <c r="L528" i="1"/>
  <c r="K528" i="1"/>
  <c r="J528" i="1"/>
  <c r="O527" i="1"/>
  <c r="N527" i="1"/>
  <c r="M527" i="1"/>
  <c r="L527" i="1"/>
  <c r="K527" i="1"/>
  <c r="J527" i="1"/>
  <c r="O526" i="1"/>
  <c r="N526" i="1"/>
  <c r="M526" i="1"/>
  <c r="L526" i="1"/>
  <c r="K526" i="1"/>
  <c r="J526" i="1"/>
  <c r="O525" i="1"/>
  <c r="N525" i="1"/>
  <c r="M525" i="1"/>
  <c r="L525" i="1"/>
  <c r="K525" i="1"/>
  <c r="J525" i="1"/>
  <c r="O524" i="1"/>
  <c r="N524" i="1"/>
  <c r="M524" i="1"/>
  <c r="L524" i="1"/>
  <c r="K524" i="1"/>
  <c r="J524" i="1"/>
  <c r="M523" i="1"/>
  <c r="K523" i="1"/>
  <c r="L523" i="1"/>
  <c r="O523" i="1"/>
  <c r="N523" i="1"/>
  <c r="J523" i="1"/>
  <c r="O522" i="1"/>
  <c r="N522" i="1"/>
  <c r="M522" i="1"/>
  <c r="L522" i="1"/>
  <c r="K522" i="1"/>
  <c r="J522" i="1"/>
  <c r="O521" i="1"/>
  <c r="N521" i="1"/>
  <c r="M521" i="1"/>
  <c r="L521" i="1"/>
  <c r="K521" i="1"/>
  <c r="J521" i="1"/>
  <c r="O520" i="1"/>
  <c r="N520" i="1"/>
  <c r="M520" i="1"/>
  <c r="L520" i="1"/>
  <c r="K520" i="1"/>
  <c r="J520" i="1"/>
  <c r="O519" i="1"/>
  <c r="N519" i="1"/>
  <c r="M519" i="1"/>
  <c r="L519" i="1"/>
  <c r="K519" i="1"/>
  <c r="J519" i="1"/>
  <c r="O518" i="1"/>
  <c r="N518" i="1"/>
  <c r="M518" i="1"/>
  <c r="L518" i="1"/>
  <c r="K518" i="1"/>
  <c r="J518" i="1"/>
  <c r="O517" i="1"/>
  <c r="N517" i="1"/>
  <c r="M517" i="1"/>
  <c r="L517" i="1"/>
  <c r="K517" i="1"/>
  <c r="J517" i="1"/>
  <c r="O516" i="1"/>
  <c r="N516" i="1"/>
  <c r="M516" i="1"/>
  <c r="L516" i="1"/>
  <c r="K516" i="1"/>
  <c r="J516" i="1"/>
  <c r="O515" i="1"/>
  <c r="N515" i="1"/>
  <c r="M515" i="1"/>
  <c r="L514" i="1"/>
  <c r="L515" i="1"/>
  <c r="K515" i="1"/>
  <c r="J515" i="1"/>
  <c r="O514" i="1"/>
  <c r="N514" i="1"/>
  <c r="M514" i="1"/>
  <c r="K514" i="1"/>
  <c r="J514" i="1"/>
  <c r="O513" i="1"/>
  <c r="N513" i="1"/>
  <c r="M513" i="1"/>
  <c r="L513" i="1"/>
  <c r="K513" i="1"/>
  <c r="J513" i="1"/>
  <c r="O512" i="1"/>
  <c r="N512" i="1"/>
  <c r="M512" i="1"/>
  <c r="L512" i="1"/>
  <c r="K512" i="1"/>
  <c r="J512" i="1"/>
  <c r="O511" i="1"/>
  <c r="N511" i="1"/>
  <c r="M511" i="1"/>
  <c r="L511" i="1"/>
  <c r="K511" i="1"/>
  <c r="J511" i="1"/>
  <c r="O510" i="1"/>
  <c r="N510" i="1"/>
  <c r="M510" i="1"/>
  <c r="L510" i="1"/>
  <c r="K510" i="1"/>
  <c r="J510" i="1"/>
  <c r="O509" i="1"/>
  <c r="N509" i="1"/>
  <c r="M509" i="1"/>
  <c r="L509" i="1"/>
  <c r="K509" i="1"/>
  <c r="J509" i="1"/>
  <c r="O508" i="1"/>
  <c r="N508" i="1"/>
  <c r="M508" i="1"/>
  <c r="L508" i="1"/>
  <c r="K508" i="1"/>
  <c r="J508" i="1"/>
  <c r="O507" i="1"/>
  <c r="N507" i="1"/>
  <c r="M507" i="1"/>
  <c r="L507" i="1"/>
  <c r="K507" i="1"/>
  <c r="J507" i="1"/>
  <c r="J506" i="1"/>
  <c r="K506" i="1"/>
  <c r="L506" i="1"/>
  <c r="M506" i="1"/>
  <c r="N506" i="1"/>
  <c r="O506" i="1"/>
  <c r="L505" i="1"/>
  <c r="K505" i="1"/>
  <c r="N505" i="1"/>
  <c r="O505" i="1"/>
  <c r="M504" i="1"/>
  <c r="M505" i="1"/>
  <c r="J503" i="1"/>
  <c r="J504" i="1"/>
  <c r="J505" i="1"/>
  <c r="N504" i="1"/>
  <c r="O504" i="1"/>
  <c r="K502" i="1"/>
  <c r="K504" i="1"/>
  <c r="L504" i="1"/>
  <c r="K503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E5" i="3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J8" i="1"/>
  <c r="K8" i="1"/>
  <c r="O503" i="1"/>
  <c r="N503" i="1"/>
  <c r="M503" i="1"/>
  <c r="O502" i="1"/>
  <c r="N502" i="1"/>
  <c r="N501" i="1"/>
  <c r="M502" i="1"/>
  <c r="J502" i="1"/>
  <c r="O501" i="1"/>
  <c r="M501" i="1"/>
  <c r="J501" i="1"/>
  <c r="O500" i="1"/>
  <c r="N500" i="1"/>
  <c r="M500" i="1"/>
  <c r="J500" i="1"/>
  <c r="O499" i="1"/>
  <c r="N499" i="1"/>
  <c r="M499" i="1"/>
  <c r="J499" i="1"/>
  <c r="J498" i="1"/>
  <c r="M498" i="1"/>
  <c r="N498" i="1"/>
  <c r="O498" i="1"/>
  <c r="J497" i="1"/>
  <c r="M497" i="1"/>
  <c r="N497" i="1"/>
  <c r="O497" i="1"/>
  <c r="M496" i="1"/>
  <c r="N496" i="1"/>
  <c r="O496" i="1"/>
  <c r="J496" i="1"/>
  <c r="M495" i="1"/>
  <c r="N495" i="1"/>
  <c r="O495" i="1"/>
  <c r="J495" i="1"/>
  <c r="O494" i="1"/>
  <c r="N494" i="1"/>
  <c r="M494" i="1"/>
  <c r="J494" i="1"/>
  <c r="O493" i="1"/>
  <c r="N493" i="1"/>
  <c r="M493" i="1"/>
  <c r="J493" i="1"/>
  <c r="O492" i="1"/>
  <c r="N492" i="1"/>
  <c r="M492" i="1"/>
  <c r="J492" i="1"/>
  <c r="O491" i="1"/>
  <c r="N491" i="1"/>
  <c r="M491" i="1"/>
  <c r="J491" i="1"/>
  <c r="O490" i="1"/>
  <c r="N490" i="1"/>
  <c r="M490" i="1"/>
  <c r="J490" i="1"/>
  <c r="O489" i="1"/>
  <c r="N489" i="1"/>
  <c r="M489" i="1"/>
  <c r="J489" i="1"/>
  <c r="O488" i="1"/>
  <c r="N488" i="1"/>
  <c r="M488" i="1"/>
  <c r="J488" i="1"/>
  <c r="M487" i="1"/>
  <c r="J487" i="1"/>
  <c r="O487" i="1"/>
  <c r="N487" i="1"/>
  <c r="O486" i="1"/>
  <c r="N486" i="1"/>
  <c r="M486" i="1"/>
  <c r="J486" i="1"/>
  <c r="O485" i="1"/>
  <c r="N485" i="1"/>
  <c r="M485" i="1"/>
  <c r="J485" i="1"/>
  <c r="O484" i="1"/>
  <c r="N484" i="1"/>
  <c r="M484" i="1"/>
  <c r="J484" i="1"/>
  <c r="O483" i="1"/>
  <c r="N483" i="1"/>
  <c r="M483" i="1"/>
  <c r="J483" i="1"/>
  <c r="O482" i="1"/>
  <c r="N482" i="1"/>
  <c r="M482" i="1"/>
  <c r="J482" i="1"/>
  <c r="O481" i="1"/>
  <c r="N481" i="1"/>
  <c r="M481" i="1"/>
  <c r="J481" i="1"/>
  <c r="O480" i="1"/>
  <c r="N480" i="1"/>
  <c r="M480" i="1"/>
  <c r="J480" i="1"/>
  <c r="O479" i="1"/>
  <c r="N479" i="1"/>
  <c r="M479" i="1"/>
  <c r="J479" i="1"/>
  <c r="O478" i="1"/>
  <c r="N478" i="1"/>
  <c r="M478" i="1"/>
  <c r="J478" i="1"/>
  <c r="O477" i="1"/>
  <c r="N477" i="1"/>
  <c r="M477" i="1"/>
  <c r="J477" i="1"/>
  <c r="O476" i="1"/>
  <c r="N476" i="1"/>
  <c r="M476" i="1"/>
  <c r="J476" i="1"/>
  <c r="O475" i="1"/>
  <c r="N475" i="1"/>
  <c r="M475" i="1"/>
  <c r="J475" i="1"/>
  <c r="O474" i="1"/>
  <c r="N474" i="1"/>
  <c r="M474" i="1"/>
  <c r="J474" i="1"/>
  <c r="O473" i="1"/>
  <c r="N473" i="1"/>
  <c r="M473" i="1"/>
  <c r="J473" i="1"/>
  <c r="O472" i="1"/>
  <c r="N472" i="1"/>
  <c r="M472" i="1"/>
  <c r="J472" i="1"/>
  <c r="O471" i="1"/>
  <c r="N471" i="1"/>
  <c r="M471" i="1"/>
  <c r="J471" i="1"/>
  <c r="O470" i="1"/>
  <c r="N470" i="1"/>
  <c r="M470" i="1"/>
  <c r="J470" i="1"/>
  <c r="O469" i="1"/>
  <c r="N469" i="1"/>
  <c r="M469" i="1"/>
  <c r="J469" i="1"/>
  <c r="O468" i="1"/>
  <c r="N468" i="1"/>
  <c r="M468" i="1"/>
  <c r="J468" i="1"/>
  <c r="O467" i="1"/>
  <c r="N467" i="1"/>
  <c r="M467" i="1"/>
  <c r="J467" i="1"/>
  <c r="O466" i="1"/>
  <c r="N466" i="1"/>
  <c r="M466" i="1"/>
  <c r="J466" i="1"/>
  <c r="O465" i="1"/>
  <c r="N465" i="1"/>
  <c r="M465" i="1"/>
  <c r="J465" i="1"/>
  <c r="O464" i="1"/>
  <c r="N464" i="1"/>
  <c r="M464" i="1"/>
  <c r="J464" i="1"/>
  <c r="O463" i="1"/>
  <c r="N463" i="1"/>
  <c r="M463" i="1"/>
  <c r="J463" i="1"/>
  <c r="O462" i="1"/>
  <c r="N462" i="1"/>
  <c r="M462" i="1"/>
  <c r="J462" i="1"/>
  <c r="O461" i="1"/>
  <c r="N461" i="1"/>
  <c r="M461" i="1"/>
  <c r="J461" i="1"/>
  <c r="O460" i="1"/>
  <c r="N460" i="1"/>
  <c r="M460" i="1"/>
  <c r="J460" i="1"/>
  <c r="O459" i="1"/>
  <c r="N459" i="1"/>
  <c r="M459" i="1"/>
  <c r="J459" i="1"/>
  <c r="O458" i="1"/>
  <c r="N458" i="1"/>
  <c r="M458" i="1"/>
  <c r="J458" i="1"/>
  <c r="O457" i="1"/>
  <c r="N457" i="1"/>
  <c r="M457" i="1"/>
  <c r="J457" i="1"/>
  <c r="O456" i="1"/>
  <c r="N456" i="1"/>
  <c r="M456" i="1"/>
  <c r="J456" i="1"/>
  <c r="O455" i="1"/>
  <c r="N455" i="1"/>
  <c r="M455" i="1"/>
  <c r="J455" i="1"/>
  <c r="J454" i="1"/>
  <c r="M454" i="1"/>
  <c r="N454" i="1"/>
  <c r="O454" i="1"/>
  <c r="M453" i="1"/>
  <c r="J453" i="1"/>
  <c r="O453" i="1"/>
  <c r="N453" i="1"/>
  <c r="O452" i="1"/>
  <c r="N452" i="1"/>
  <c r="M452" i="1"/>
  <c r="J452" i="1"/>
  <c r="O451" i="1"/>
  <c r="N451" i="1"/>
  <c r="M451" i="1"/>
  <c r="J451" i="1"/>
  <c r="O450" i="1"/>
  <c r="N450" i="1"/>
  <c r="M450" i="1"/>
  <c r="J450" i="1"/>
  <c r="O449" i="1"/>
  <c r="N449" i="1"/>
  <c r="M449" i="1"/>
  <c r="J449" i="1"/>
  <c r="O448" i="1"/>
  <c r="N448" i="1"/>
  <c r="M448" i="1"/>
  <c r="J448" i="1"/>
  <c r="J447" i="1"/>
  <c r="M447" i="1"/>
  <c r="O447" i="1"/>
  <c r="N447" i="1"/>
  <c r="J446" i="1"/>
  <c r="J445" i="1"/>
  <c r="J444" i="1"/>
  <c r="J443" i="1"/>
  <c r="G5" i="3"/>
  <c r="H5" i="3"/>
  <c r="M446" i="1"/>
  <c r="N446" i="1"/>
  <c r="O446" i="1"/>
  <c r="M445" i="1"/>
  <c r="N445" i="1"/>
  <c r="O445" i="1"/>
  <c r="M444" i="1"/>
  <c r="N444" i="1"/>
  <c r="O444" i="1"/>
  <c r="O443" i="1"/>
  <c r="N443" i="1"/>
  <c r="M443" i="1"/>
  <c r="O442" i="1"/>
  <c r="N442" i="1"/>
  <c r="M442" i="1"/>
  <c r="J442" i="1"/>
  <c r="O441" i="1"/>
  <c r="N441" i="1"/>
  <c r="M441" i="1"/>
  <c r="J441" i="1"/>
  <c r="O440" i="1"/>
  <c r="N440" i="1"/>
  <c r="M440" i="1"/>
  <c r="J440" i="1"/>
  <c r="O439" i="1"/>
  <c r="N439" i="1"/>
  <c r="M439" i="1"/>
  <c r="J439" i="1"/>
  <c r="O438" i="1"/>
  <c r="N438" i="1"/>
  <c r="M438" i="1"/>
  <c r="J438" i="1"/>
  <c r="O437" i="1"/>
  <c r="N437" i="1"/>
  <c r="M437" i="1"/>
  <c r="J437" i="1"/>
  <c r="O436" i="1"/>
  <c r="N436" i="1"/>
  <c r="M436" i="1"/>
  <c r="J436" i="1"/>
  <c r="O435" i="1"/>
  <c r="N435" i="1"/>
  <c r="M435" i="1"/>
  <c r="J435" i="1"/>
  <c r="O434" i="1"/>
  <c r="N434" i="1"/>
  <c r="M434" i="1"/>
  <c r="J434" i="1"/>
  <c r="O433" i="1"/>
  <c r="N433" i="1"/>
  <c r="M433" i="1"/>
  <c r="J433" i="1"/>
  <c r="O432" i="1"/>
  <c r="N432" i="1"/>
  <c r="M432" i="1"/>
  <c r="J432" i="1"/>
  <c r="O431" i="1"/>
  <c r="N431" i="1"/>
  <c r="M431" i="1"/>
  <c r="J431" i="1"/>
  <c r="O430" i="1"/>
  <c r="N430" i="1"/>
  <c r="M430" i="1"/>
  <c r="J430" i="1"/>
  <c r="O429" i="1"/>
  <c r="N429" i="1"/>
  <c r="M429" i="1"/>
  <c r="J429" i="1"/>
  <c r="O428" i="1"/>
  <c r="N428" i="1"/>
  <c r="M428" i="1"/>
  <c r="J428" i="1"/>
  <c r="O427" i="1"/>
  <c r="N427" i="1"/>
  <c r="M427" i="1"/>
  <c r="J427" i="1"/>
  <c r="M426" i="1"/>
  <c r="O426" i="1"/>
  <c r="N426" i="1"/>
  <c r="J426" i="1"/>
  <c r="O425" i="1"/>
  <c r="N425" i="1"/>
  <c r="M425" i="1"/>
  <c r="J425" i="1"/>
  <c r="O424" i="1"/>
  <c r="N424" i="1"/>
  <c r="M424" i="1"/>
  <c r="J424" i="1"/>
  <c r="O423" i="1"/>
  <c r="N423" i="1"/>
  <c r="M423" i="1"/>
  <c r="J423" i="1"/>
  <c r="O422" i="1"/>
  <c r="N422" i="1"/>
  <c r="M422" i="1"/>
  <c r="J422" i="1"/>
  <c r="O421" i="1"/>
  <c r="N421" i="1"/>
  <c r="M421" i="1"/>
  <c r="J421" i="1"/>
  <c r="O420" i="1"/>
  <c r="N420" i="1"/>
  <c r="M420" i="1"/>
  <c r="J420" i="1"/>
  <c r="M419" i="1"/>
  <c r="J419" i="1"/>
  <c r="O419" i="1"/>
  <c r="N419" i="1"/>
  <c r="O418" i="1"/>
  <c r="N418" i="1"/>
  <c r="M418" i="1"/>
  <c r="J418" i="1"/>
  <c r="O417" i="1"/>
  <c r="N417" i="1"/>
  <c r="M417" i="1"/>
  <c r="J417" i="1"/>
  <c r="O416" i="1"/>
  <c r="N416" i="1"/>
  <c r="M416" i="1"/>
  <c r="J416" i="1"/>
  <c r="O415" i="1"/>
  <c r="N415" i="1"/>
  <c r="M415" i="1"/>
  <c r="J415" i="1"/>
  <c r="O414" i="1"/>
  <c r="N414" i="1"/>
  <c r="M414" i="1"/>
  <c r="J414" i="1"/>
  <c r="O413" i="1"/>
  <c r="N413" i="1"/>
  <c r="M413" i="1"/>
  <c r="J413" i="1"/>
  <c r="O412" i="1"/>
  <c r="N412" i="1"/>
  <c r="M412" i="1"/>
  <c r="J412" i="1"/>
  <c r="O411" i="1"/>
  <c r="N411" i="1"/>
  <c r="M411" i="1"/>
  <c r="J411" i="1"/>
  <c r="O410" i="1"/>
  <c r="N410" i="1"/>
  <c r="M410" i="1"/>
  <c r="J410" i="1"/>
  <c r="O409" i="1"/>
  <c r="N409" i="1"/>
  <c r="M409" i="1"/>
  <c r="J409" i="1"/>
  <c r="O408" i="1"/>
  <c r="N408" i="1"/>
  <c r="M408" i="1"/>
  <c r="J408" i="1"/>
  <c r="O407" i="1"/>
  <c r="N407" i="1"/>
  <c r="M407" i="1"/>
  <c r="J407" i="1"/>
  <c r="J406" i="1"/>
  <c r="M406" i="1"/>
  <c r="N406" i="1"/>
  <c r="O406" i="1"/>
  <c r="J405" i="1"/>
  <c r="M405" i="1"/>
  <c r="N405" i="1"/>
  <c r="O405" i="1"/>
  <c r="O404" i="1"/>
  <c r="N404" i="1"/>
  <c r="M404" i="1"/>
  <c r="J404" i="1"/>
  <c r="O403" i="1"/>
  <c r="N403" i="1"/>
  <c r="M403" i="1"/>
  <c r="J403" i="1"/>
  <c r="O402" i="1"/>
  <c r="N402" i="1"/>
  <c r="M402" i="1"/>
  <c r="J402" i="1"/>
  <c r="O401" i="1"/>
  <c r="N401" i="1"/>
  <c r="M401" i="1"/>
  <c r="J401" i="1"/>
  <c r="O400" i="1"/>
  <c r="N400" i="1"/>
  <c r="M400" i="1"/>
  <c r="J400" i="1"/>
  <c r="J398" i="1"/>
  <c r="O399" i="1"/>
  <c r="N399" i="1"/>
  <c r="M399" i="1"/>
  <c r="J399" i="1"/>
  <c r="M398" i="1"/>
  <c r="N398" i="1"/>
  <c r="O398" i="1"/>
  <c r="M397" i="1"/>
  <c r="O397" i="1"/>
  <c r="N397" i="1"/>
  <c r="J397" i="1"/>
  <c r="O396" i="1"/>
  <c r="N396" i="1"/>
  <c r="M396" i="1"/>
  <c r="J396" i="1"/>
  <c r="O395" i="1"/>
  <c r="N395" i="1"/>
  <c r="M395" i="1"/>
  <c r="J395" i="1"/>
  <c r="O394" i="1"/>
  <c r="N394" i="1"/>
  <c r="M394" i="1"/>
  <c r="J394" i="1"/>
  <c r="C5" i="3"/>
  <c r="M393" i="1"/>
  <c r="J393" i="1"/>
  <c r="J392" i="1"/>
  <c r="M392" i="1"/>
  <c r="N392" i="1"/>
  <c r="O392" i="1"/>
  <c r="J391" i="1"/>
  <c r="M391" i="1"/>
  <c r="N391" i="1"/>
  <c r="O391" i="1"/>
  <c r="M390" i="1"/>
  <c r="J390" i="1"/>
  <c r="O390" i="1"/>
  <c r="N390" i="1"/>
  <c r="J389" i="1"/>
  <c r="M389" i="1"/>
  <c r="N389" i="1"/>
  <c r="O389" i="1"/>
  <c r="M388" i="1"/>
  <c r="M387" i="1"/>
  <c r="J388" i="1"/>
  <c r="J387" i="1"/>
  <c r="O388" i="1"/>
  <c r="N388" i="1"/>
  <c r="O387" i="1"/>
  <c r="N387" i="1"/>
  <c r="O386" i="1"/>
  <c r="N386" i="1"/>
  <c r="M386" i="1"/>
  <c r="J386" i="1"/>
  <c r="O385" i="1"/>
  <c r="N385" i="1"/>
  <c r="M385" i="1"/>
  <c r="J385" i="1"/>
  <c r="O384" i="1"/>
  <c r="N384" i="1"/>
  <c r="M384" i="1"/>
  <c r="J384" i="1"/>
  <c r="O383" i="1"/>
  <c r="N383" i="1"/>
  <c r="M383" i="1"/>
  <c r="J383" i="1"/>
  <c r="O382" i="1"/>
  <c r="N382" i="1"/>
  <c r="M382" i="1"/>
  <c r="J382" i="1"/>
  <c r="J381" i="1"/>
  <c r="M381" i="1"/>
  <c r="O381" i="1"/>
  <c r="N381" i="1"/>
  <c r="O380" i="1"/>
  <c r="N380" i="1"/>
  <c r="M380" i="1"/>
  <c r="J380" i="1"/>
  <c r="O379" i="1"/>
  <c r="N379" i="1"/>
  <c r="M379" i="1"/>
  <c r="J379" i="1"/>
  <c r="O378" i="1"/>
  <c r="N378" i="1"/>
  <c r="M378" i="1"/>
  <c r="J378" i="1"/>
  <c r="O377" i="1"/>
  <c r="N377" i="1"/>
  <c r="M377" i="1"/>
  <c r="J377" i="1"/>
  <c r="O376" i="1"/>
  <c r="N376" i="1"/>
  <c r="M376" i="1"/>
  <c r="J376" i="1"/>
  <c r="J375" i="1"/>
  <c r="O375" i="1"/>
  <c r="N375" i="1"/>
  <c r="M375" i="1"/>
  <c r="O374" i="1"/>
  <c r="N374" i="1"/>
  <c r="M374" i="1"/>
  <c r="J374" i="1"/>
  <c r="O373" i="1"/>
  <c r="N373" i="1"/>
  <c r="M373" i="1"/>
  <c r="J373" i="1"/>
  <c r="O372" i="1"/>
  <c r="N372" i="1"/>
  <c r="M372" i="1"/>
  <c r="J372" i="1"/>
  <c r="M371" i="1"/>
  <c r="O371" i="1"/>
  <c r="N371" i="1"/>
  <c r="J371" i="1"/>
  <c r="J370" i="1"/>
  <c r="M370" i="1"/>
  <c r="N370" i="1"/>
  <c r="O370" i="1"/>
  <c r="J369" i="1"/>
  <c r="M369" i="1"/>
  <c r="N369" i="1"/>
  <c r="O369" i="1"/>
  <c r="O368" i="1"/>
  <c r="N368" i="1"/>
  <c r="M368" i="1"/>
  <c r="J368" i="1"/>
  <c r="O367" i="1"/>
  <c r="N367" i="1"/>
  <c r="M367" i="1"/>
  <c r="J367" i="1"/>
  <c r="O366" i="1"/>
  <c r="N366" i="1"/>
  <c r="M366" i="1"/>
  <c r="J366" i="1"/>
  <c r="O365" i="1"/>
  <c r="N365" i="1"/>
  <c r="M365" i="1"/>
  <c r="J365" i="1"/>
  <c r="O364" i="1"/>
  <c r="N364" i="1"/>
  <c r="M364" i="1"/>
  <c r="J364" i="1"/>
  <c r="J363" i="1"/>
  <c r="O363" i="1"/>
  <c r="N363" i="1"/>
  <c r="M363" i="1"/>
  <c r="O362" i="1"/>
  <c r="N362" i="1"/>
  <c r="M362" i="1"/>
  <c r="J362" i="1"/>
  <c r="O361" i="1"/>
  <c r="N361" i="1"/>
  <c r="M361" i="1"/>
  <c r="J361" i="1"/>
  <c r="O360" i="1"/>
  <c r="N360" i="1"/>
  <c r="M360" i="1"/>
  <c r="J360" i="1"/>
  <c r="O359" i="1"/>
  <c r="N359" i="1"/>
  <c r="M359" i="1"/>
  <c r="J359" i="1"/>
  <c r="O358" i="1"/>
  <c r="N358" i="1"/>
  <c r="M358" i="1"/>
  <c r="J358" i="1"/>
  <c r="O357" i="1"/>
  <c r="N357" i="1"/>
  <c r="M357" i="1"/>
  <c r="J357" i="1"/>
  <c r="O356" i="1"/>
  <c r="N356" i="1"/>
  <c r="M356" i="1"/>
  <c r="J356" i="1"/>
  <c r="O355" i="1"/>
  <c r="N355" i="1"/>
  <c r="M355" i="1"/>
  <c r="J355" i="1"/>
  <c r="O354" i="1"/>
  <c r="N354" i="1"/>
  <c r="M354" i="1"/>
  <c r="J354" i="1"/>
  <c r="O353" i="1"/>
  <c r="N353" i="1"/>
  <c r="M353" i="1"/>
  <c r="J353" i="1"/>
  <c r="M352" i="1"/>
  <c r="O352" i="1"/>
  <c r="N352" i="1"/>
  <c r="J352" i="1"/>
  <c r="M351" i="1"/>
  <c r="J351" i="1"/>
  <c r="O351" i="1"/>
  <c r="N351" i="1"/>
  <c r="O350" i="1"/>
  <c r="N350" i="1"/>
  <c r="M350" i="1"/>
  <c r="J350" i="1"/>
  <c r="O349" i="1"/>
  <c r="N349" i="1"/>
  <c r="M349" i="1"/>
  <c r="J349" i="1"/>
  <c r="O348" i="1"/>
  <c r="N348" i="1"/>
  <c r="J348" i="1"/>
  <c r="M347" i="1"/>
  <c r="J347" i="1"/>
  <c r="O347" i="1"/>
  <c r="N347" i="1"/>
  <c r="M348" i="1"/>
  <c r="M346" i="1"/>
  <c r="O346" i="1"/>
  <c r="N346" i="1"/>
  <c r="J346" i="1"/>
  <c r="M345" i="1"/>
  <c r="J345" i="1"/>
  <c r="O345" i="1"/>
  <c r="N345" i="1"/>
  <c r="G6" i="3"/>
  <c r="M344" i="1"/>
  <c r="J344" i="1"/>
  <c r="O344" i="1"/>
  <c r="N344" i="1"/>
  <c r="H6" i="3"/>
  <c r="F6" i="3"/>
  <c r="J341" i="1"/>
  <c r="M341" i="1"/>
  <c r="N341" i="1"/>
  <c r="O341" i="1"/>
  <c r="J342" i="1"/>
  <c r="M342" i="1"/>
  <c r="N342" i="1"/>
  <c r="O342" i="1"/>
  <c r="J343" i="1"/>
  <c r="M343" i="1"/>
  <c r="N343" i="1"/>
  <c r="O343" i="1"/>
  <c r="J340" i="1"/>
  <c r="M340" i="1"/>
  <c r="N340" i="1"/>
  <c r="O340" i="1"/>
  <c r="J339" i="1"/>
  <c r="M339" i="1"/>
  <c r="N339" i="1"/>
  <c r="O339" i="1"/>
  <c r="O338" i="1"/>
  <c r="N338" i="1"/>
  <c r="M338" i="1"/>
  <c r="J338" i="1"/>
  <c r="J337" i="1"/>
  <c r="M337" i="1"/>
  <c r="O337" i="1"/>
  <c r="N337" i="1"/>
  <c r="M336" i="1"/>
  <c r="O336" i="1"/>
  <c r="N336" i="1"/>
  <c r="J336" i="1"/>
  <c r="M335" i="1"/>
  <c r="J335" i="1"/>
  <c r="O335" i="1"/>
  <c r="N335" i="1"/>
  <c r="M334" i="1"/>
  <c r="O334" i="1"/>
  <c r="N334" i="1"/>
  <c r="J334" i="1"/>
  <c r="M333" i="1"/>
  <c r="O333" i="1"/>
  <c r="N333" i="1"/>
  <c r="J333" i="1"/>
  <c r="M332" i="1"/>
  <c r="J332" i="1"/>
  <c r="O332" i="1"/>
  <c r="N332" i="1"/>
  <c r="M331" i="1"/>
  <c r="O331" i="1"/>
  <c r="N331" i="1"/>
  <c r="J331" i="1"/>
  <c r="M330" i="1"/>
  <c r="O330" i="1"/>
  <c r="N330" i="1"/>
  <c r="J330" i="1"/>
  <c r="M329" i="1"/>
  <c r="J329" i="1"/>
  <c r="O329" i="1"/>
  <c r="N329" i="1"/>
  <c r="M328" i="1"/>
  <c r="O328" i="1"/>
  <c r="N328" i="1"/>
  <c r="J328" i="1"/>
  <c r="M327" i="1"/>
  <c r="O327" i="1"/>
  <c r="N327" i="1"/>
  <c r="J327" i="1"/>
  <c r="M326" i="1"/>
  <c r="O326" i="1"/>
  <c r="N326" i="1"/>
  <c r="J326" i="1"/>
  <c r="J324" i="1"/>
  <c r="M325" i="1"/>
  <c r="J325" i="1"/>
  <c r="O325" i="1"/>
  <c r="N325" i="1"/>
  <c r="M324" i="1"/>
  <c r="O324" i="1"/>
  <c r="N324" i="1"/>
  <c r="M323" i="1"/>
  <c r="J323" i="1"/>
  <c r="O323" i="1"/>
  <c r="N323" i="1"/>
  <c r="M322" i="1"/>
  <c r="O322" i="1"/>
  <c r="N322" i="1"/>
  <c r="J322" i="1"/>
  <c r="M321" i="1"/>
  <c r="J321" i="1"/>
  <c r="O321" i="1"/>
  <c r="N321" i="1"/>
  <c r="M320" i="1"/>
  <c r="O320" i="1"/>
  <c r="N320" i="1"/>
  <c r="J320" i="1"/>
  <c r="M319" i="1"/>
  <c r="O319" i="1"/>
  <c r="N319" i="1"/>
  <c r="J319" i="1"/>
  <c r="M318" i="1"/>
  <c r="O318" i="1"/>
  <c r="N318" i="1"/>
  <c r="J318" i="1"/>
  <c r="M317" i="1"/>
  <c r="O317" i="1"/>
  <c r="N317" i="1"/>
  <c r="J317" i="1"/>
  <c r="M316" i="1"/>
  <c r="O316" i="1"/>
  <c r="N316" i="1"/>
  <c r="J316" i="1"/>
  <c r="M315" i="1"/>
  <c r="J315" i="1"/>
  <c r="O315" i="1"/>
  <c r="N315" i="1"/>
  <c r="M314" i="1"/>
  <c r="J314" i="1"/>
  <c r="O314" i="1"/>
  <c r="N314" i="1"/>
  <c r="M313" i="1"/>
  <c r="J313" i="1"/>
  <c r="O313" i="1"/>
  <c r="N313" i="1"/>
  <c r="M312" i="1"/>
  <c r="O312" i="1"/>
  <c r="N312" i="1"/>
  <c r="J312" i="1"/>
  <c r="O311" i="1"/>
  <c r="N311" i="1"/>
  <c r="M311" i="1"/>
  <c r="J311" i="1"/>
  <c r="M310" i="1"/>
  <c r="O310" i="1"/>
  <c r="N310" i="1"/>
  <c r="J310" i="1"/>
  <c r="M309" i="1"/>
  <c r="O309" i="1"/>
  <c r="N309" i="1"/>
  <c r="J309" i="1"/>
  <c r="M308" i="1"/>
  <c r="O308" i="1"/>
  <c r="N308" i="1"/>
  <c r="J308" i="1"/>
  <c r="M307" i="1"/>
  <c r="O307" i="1"/>
  <c r="N307" i="1"/>
  <c r="J307" i="1"/>
  <c r="M306" i="1"/>
  <c r="O306" i="1"/>
  <c r="N306" i="1"/>
  <c r="J306" i="1"/>
  <c r="M305" i="1"/>
  <c r="O305" i="1"/>
  <c r="N305" i="1"/>
  <c r="J305" i="1"/>
  <c r="O304" i="1"/>
  <c r="N304" i="1"/>
  <c r="M304" i="1"/>
  <c r="J304" i="1"/>
  <c r="M303" i="1"/>
  <c r="O303" i="1"/>
  <c r="N303" i="1"/>
  <c r="J303" i="1"/>
  <c r="M302" i="1"/>
  <c r="J302" i="1"/>
  <c r="O302" i="1"/>
  <c r="N302" i="1"/>
  <c r="M301" i="1"/>
  <c r="J301" i="1"/>
  <c r="O301" i="1"/>
  <c r="N301" i="1"/>
  <c r="M300" i="1"/>
  <c r="O300" i="1"/>
  <c r="N300" i="1"/>
  <c r="J300" i="1"/>
  <c r="M299" i="1"/>
  <c r="O299" i="1"/>
  <c r="N299" i="1"/>
  <c r="M298" i="1"/>
  <c r="J299" i="1"/>
  <c r="O298" i="1"/>
  <c r="N298" i="1"/>
  <c r="J298" i="1"/>
  <c r="O297" i="1"/>
  <c r="N297" i="1"/>
  <c r="M297" i="1"/>
  <c r="J297" i="1"/>
  <c r="M296" i="1"/>
  <c r="O296" i="1"/>
  <c r="N296" i="1"/>
  <c r="J296" i="1"/>
  <c r="M295" i="1"/>
  <c r="J295" i="1"/>
  <c r="O295" i="1"/>
  <c r="N295" i="1"/>
  <c r="M294" i="1"/>
  <c r="O294" i="1"/>
  <c r="N294" i="1"/>
  <c r="J294" i="1"/>
  <c r="O293" i="1"/>
  <c r="N293" i="1"/>
  <c r="M293" i="1"/>
  <c r="J293" i="1"/>
  <c r="M292" i="1"/>
  <c r="J292" i="1"/>
  <c r="M291" i="1"/>
  <c r="J291" i="1"/>
  <c r="M290" i="1"/>
  <c r="O290" i="1"/>
  <c r="N290" i="1"/>
  <c r="J290" i="1"/>
  <c r="M289" i="1"/>
  <c r="O288" i="1"/>
  <c r="N288" i="1"/>
  <c r="O287" i="1"/>
  <c r="N287" i="1"/>
  <c r="O289" i="1"/>
  <c r="N289" i="1"/>
  <c r="M288" i="1"/>
  <c r="J288" i="1"/>
  <c r="J289" i="1"/>
  <c r="J287" i="1"/>
  <c r="M287" i="1"/>
  <c r="M286" i="1"/>
  <c r="O286" i="1"/>
  <c r="N286" i="1"/>
  <c r="J286" i="1"/>
  <c r="O285" i="1"/>
  <c r="N285" i="1"/>
  <c r="M285" i="1"/>
  <c r="J285" i="1"/>
  <c r="O284" i="1"/>
  <c r="N284" i="1"/>
  <c r="M284" i="1"/>
  <c r="J284" i="1"/>
  <c r="O283" i="1"/>
  <c r="N283" i="1"/>
  <c r="M283" i="1"/>
  <c r="J283" i="1"/>
  <c r="O282" i="1"/>
  <c r="N282" i="1"/>
  <c r="M282" i="1"/>
  <c r="J282" i="1"/>
  <c r="M281" i="1"/>
  <c r="J281" i="1"/>
  <c r="O281" i="1"/>
  <c r="N281" i="1"/>
  <c r="M280" i="1"/>
  <c r="O280" i="1"/>
  <c r="N280" i="1"/>
  <c r="J280" i="1"/>
  <c r="O279" i="1"/>
  <c r="N279" i="1"/>
  <c r="M279" i="1"/>
  <c r="J279" i="1"/>
  <c r="O278" i="1"/>
  <c r="N278" i="1"/>
  <c r="M278" i="1"/>
  <c r="J278" i="1"/>
  <c r="O277" i="1"/>
  <c r="N277" i="1"/>
  <c r="M277" i="1"/>
  <c r="J277" i="1"/>
  <c r="M276" i="1"/>
  <c r="O276" i="1"/>
  <c r="N276" i="1"/>
  <c r="J276" i="1"/>
  <c r="J275" i="1"/>
  <c r="O275" i="1"/>
  <c r="N275" i="1"/>
  <c r="M275" i="1"/>
  <c r="O274" i="1"/>
  <c r="N274" i="1"/>
  <c r="M274" i="1"/>
  <c r="J274" i="1"/>
  <c r="M273" i="1"/>
  <c r="O273" i="1"/>
  <c r="N273" i="1"/>
  <c r="J273" i="1"/>
  <c r="O272" i="1"/>
  <c r="N272" i="1"/>
  <c r="M272" i="1"/>
  <c r="J272" i="1"/>
  <c r="O271" i="1"/>
  <c r="N271" i="1"/>
  <c r="M271" i="1"/>
  <c r="J271" i="1"/>
  <c r="J270" i="1"/>
  <c r="O270" i="1"/>
  <c r="N270" i="1"/>
  <c r="M270" i="1"/>
  <c r="O269" i="1"/>
  <c r="N269" i="1"/>
  <c r="M269" i="1"/>
  <c r="J269" i="1"/>
  <c r="M268" i="1"/>
  <c r="O268" i="1"/>
  <c r="N268" i="1"/>
  <c r="J268" i="1"/>
  <c r="O267" i="1"/>
  <c r="N267" i="1"/>
  <c r="M267" i="1"/>
  <c r="J267" i="1"/>
  <c r="M266" i="1"/>
  <c r="O266" i="1"/>
  <c r="N266" i="1"/>
  <c r="J266" i="1"/>
  <c r="M265" i="1"/>
  <c r="N265" i="1"/>
  <c r="O265" i="1"/>
  <c r="J265" i="1"/>
  <c r="O264" i="1"/>
  <c r="N264" i="1"/>
  <c r="M264" i="1"/>
  <c r="J264" i="1"/>
  <c r="M263" i="1"/>
  <c r="O263" i="1"/>
  <c r="N263" i="1"/>
  <c r="J263" i="1"/>
  <c r="M262" i="1"/>
  <c r="O262" i="1"/>
  <c r="N262" i="1"/>
  <c r="J262" i="1"/>
  <c r="M261" i="1"/>
  <c r="O261" i="1"/>
  <c r="N261" i="1"/>
  <c r="J261" i="1"/>
  <c r="M260" i="1"/>
  <c r="O260" i="1"/>
  <c r="N260" i="1"/>
  <c r="J260" i="1"/>
  <c r="M259" i="1"/>
  <c r="O259" i="1"/>
  <c r="N259" i="1"/>
  <c r="J259" i="1"/>
  <c r="O258" i="1"/>
  <c r="N258" i="1"/>
  <c r="M258" i="1"/>
  <c r="J258" i="1"/>
  <c r="M257" i="1"/>
  <c r="O257" i="1"/>
  <c r="N257" i="1"/>
  <c r="J257" i="1"/>
  <c r="O256" i="1"/>
  <c r="N256" i="1"/>
  <c r="M256" i="1"/>
  <c r="J256" i="1"/>
  <c r="O255" i="1"/>
  <c r="N255" i="1"/>
  <c r="M255" i="1"/>
  <c r="J255" i="1"/>
  <c r="O254" i="1"/>
  <c r="N254" i="1"/>
  <c r="M254" i="1"/>
  <c r="J254" i="1"/>
  <c r="O253" i="1"/>
  <c r="N253" i="1"/>
  <c r="M253" i="1"/>
  <c r="J253" i="1"/>
  <c r="O252" i="1"/>
  <c r="N252" i="1"/>
  <c r="M252" i="1"/>
  <c r="J252" i="1"/>
  <c r="M251" i="1"/>
  <c r="O251" i="1"/>
  <c r="N251" i="1"/>
  <c r="O250" i="1"/>
  <c r="N250" i="1"/>
  <c r="M250" i="1"/>
  <c r="J250" i="1"/>
  <c r="J251" i="1"/>
  <c r="M249" i="1"/>
  <c r="O249" i="1"/>
  <c r="N249" i="1"/>
  <c r="J249" i="1"/>
  <c r="M248" i="1"/>
  <c r="O248" i="1"/>
  <c r="N248" i="1"/>
  <c r="O247" i="1"/>
  <c r="N247" i="1"/>
  <c r="J248" i="1"/>
  <c r="M247" i="1"/>
  <c r="O246" i="1"/>
  <c r="N246" i="1"/>
  <c r="J247" i="1"/>
  <c r="O242" i="1"/>
  <c r="O241" i="1"/>
  <c r="N242" i="1"/>
  <c r="M246" i="1"/>
  <c r="J246" i="1"/>
  <c r="M245" i="1"/>
  <c r="J245" i="1"/>
  <c r="O245" i="1"/>
  <c r="O244" i="1"/>
  <c r="O243" i="1"/>
  <c r="O240" i="1"/>
  <c r="O239" i="1"/>
  <c r="N245" i="1"/>
  <c r="N244" i="1"/>
  <c r="N243" i="1"/>
  <c r="N241" i="1"/>
  <c r="N240" i="1"/>
  <c r="N239" i="1"/>
  <c r="N238" i="1"/>
  <c r="M244" i="1"/>
  <c r="J244" i="1"/>
  <c r="M242" i="1"/>
  <c r="M243" i="1"/>
  <c r="J243" i="1"/>
  <c r="J242" i="1"/>
  <c r="M241" i="1"/>
  <c r="O237" i="1"/>
  <c r="N237" i="1"/>
  <c r="M240" i="1"/>
  <c r="M239" i="1"/>
  <c r="M238" i="1"/>
  <c r="J241" i="1"/>
  <c r="J240" i="1"/>
  <c r="J239" i="1"/>
  <c r="J238" i="1"/>
  <c r="O238" i="1"/>
  <c r="M236" i="1"/>
  <c r="M237" i="1"/>
  <c r="J237" i="1"/>
  <c r="J236" i="1"/>
  <c r="M235" i="1"/>
  <c r="O235" i="1"/>
  <c r="N235" i="1"/>
  <c r="J235" i="1"/>
  <c r="M234" i="1"/>
  <c r="O234" i="1"/>
  <c r="N234" i="1"/>
  <c r="J234" i="1"/>
  <c r="M233" i="1"/>
  <c r="O233" i="1"/>
  <c r="N233" i="1"/>
  <c r="J233" i="1"/>
  <c r="M232" i="1"/>
  <c r="O232" i="1"/>
  <c r="N232" i="1"/>
  <c r="J232" i="1"/>
  <c r="M231" i="1"/>
  <c r="O231" i="1"/>
  <c r="O230" i="1"/>
  <c r="N231" i="1"/>
  <c r="N230" i="1"/>
  <c r="J231" i="1"/>
  <c r="J230" i="1"/>
  <c r="M230" i="1"/>
  <c r="M229" i="1"/>
  <c r="M228" i="1"/>
  <c r="M227" i="1"/>
  <c r="O229" i="1"/>
  <c r="N229" i="1"/>
  <c r="J229" i="1"/>
  <c r="O228" i="1"/>
  <c r="N228" i="1"/>
  <c r="J228" i="1"/>
  <c r="M226" i="1"/>
  <c r="O227" i="1"/>
  <c r="N227" i="1"/>
  <c r="J227" i="1"/>
  <c r="O226" i="1"/>
  <c r="N226" i="1"/>
  <c r="J226" i="1"/>
  <c r="O225" i="1"/>
  <c r="N225" i="1"/>
  <c r="M225" i="1"/>
  <c r="J225" i="1"/>
  <c r="M224" i="1"/>
  <c r="O224" i="1"/>
  <c r="N224" i="1"/>
  <c r="J224" i="1"/>
  <c r="M223" i="1"/>
  <c r="O223" i="1"/>
  <c r="N223" i="1"/>
  <c r="J223" i="1"/>
  <c r="J222" i="1"/>
  <c r="M222" i="1"/>
  <c r="M221" i="1"/>
  <c r="O222" i="1"/>
  <c r="N222" i="1"/>
  <c r="M220" i="1"/>
  <c r="M219" i="1"/>
  <c r="J219" i="1"/>
  <c r="O218" i="1"/>
  <c r="O219" i="1"/>
  <c r="O220" i="1"/>
  <c r="O221" i="1"/>
  <c r="N218" i="1"/>
  <c r="N219" i="1"/>
  <c r="N220" i="1"/>
  <c r="N221" i="1"/>
  <c r="M218" i="1"/>
  <c r="J220" i="1"/>
  <c r="J221" i="1"/>
  <c r="J218" i="1"/>
  <c r="M217" i="1"/>
  <c r="O217" i="1"/>
  <c r="N217" i="1"/>
  <c r="J217" i="1"/>
  <c r="M216" i="1"/>
  <c r="O216" i="1"/>
  <c r="N216" i="1"/>
  <c r="J216" i="1"/>
  <c r="M215" i="1"/>
  <c r="O215" i="1"/>
  <c r="N215" i="1"/>
  <c r="J215" i="1"/>
  <c r="M214" i="1"/>
  <c r="O214" i="1"/>
  <c r="N214" i="1"/>
  <c r="J214" i="1"/>
  <c r="M213" i="1"/>
  <c r="O213" i="1"/>
  <c r="N213" i="1"/>
  <c r="J213" i="1"/>
  <c r="M212" i="1"/>
  <c r="O212" i="1"/>
  <c r="N212" i="1"/>
  <c r="J212" i="1"/>
  <c r="M211" i="1"/>
  <c r="O211" i="1"/>
  <c r="N211" i="1"/>
  <c r="J211" i="1"/>
  <c r="M210" i="1"/>
  <c r="O210" i="1"/>
  <c r="N210" i="1"/>
  <c r="J210" i="1"/>
  <c r="M209" i="1"/>
  <c r="O209" i="1"/>
  <c r="N209" i="1"/>
  <c r="J209" i="1"/>
  <c r="M208" i="1"/>
  <c r="N208" i="1"/>
  <c r="O208" i="1"/>
  <c r="J208" i="1"/>
  <c r="M207" i="1"/>
  <c r="O207" i="1"/>
  <c r="N207" i="1"/>
  <c r="J207" i="1"/>
  <c r="M206" i="1"/>
  <c r="O206" i="1"/>
  <c r="N206" i="1"/>
  <c r="J206" i="1"/>
  <c r="M205" i="1"/>
  <c r="O205" i="1"/>
  <c r="N205" i="1"/>
  <c r="J205" i="1"/>
  <c r="M204" i="1"/>
  <c r="O204" i="1"/>
  <c r="N204" i="1"/>
  <c r="J204" i="1"/>
  <c r="M203" i="1"/>
  <c r="O203" i="1"/>
  <c r="N203" i="1"/>
  <c r="J203" i="1"/>
  <c r="M202" i="1"/>
  <c r="O202" i="1"/>
  <c r="N202" i="1"/>
  <c r="J202" i="1"/>
  <c r="M201" i="1"/>
  <c r="O201" i="1"/>
  <c r="N201" i="1"/>
  <c r="J201" i="1"/>
  <c r="M200" i="1"/>
  <c r="O200" i="1"/>
  <c r="N200" i="1"/>
  <c r="J200" i="1"/>
  <c r="M199" i="1"/>
  <c r="O199" i="1"/>
  <c r="N199" i="1"/>
  <c r="J199" i="1"/>
  <c r="D6" i="3"/>
  <c r="C6" i="3"/>
  <c r="M198" i="1"/>
  <c r="O198" i="1"/>
  <c r="N198" i="1"/>
  <c r="J198" i="1"/>
  <c r="M197" i="1"/>
  <c r="O197" i="1"/>
  <c r="N197" i="1"/>
  <c r="J197" i="1"/>
  <c r="M196" i="1"/>
  <c r="O196" i="1"/>
  <c r="N196" i="1"/>
  <c r="J196" i="1"/>
  <c r="M195" i="1"/>
  <c r="O195" i="1"/>
  <c r="N195" i="1"/>
  <c r="J195" i="1"/>
  <c r="M194" i="1"/>
  <c r="O194" i="1"/>
  <c r="N194" i="1"/>
  <c r="J194" i="1"/>
  <c r="M193" i="1"/>
  <c r="O193" i="1"/>
  <c r="N193" i="1"/>
  <c r="J193" i="1"/>
  <c r="M192" i="1"/>
  <c r="O192" i="1"/>
  <c r="N192" i="1"/>
  <c r="J192" i="1"/>
  <c r="M191" i="1"/>
  <c r="J191" i="1"/>
  <c r="O191" i="1"/>
  <c r="N191" i="1"/>
  <c r="M190" i="1"/>
  <c r="O190" i="1"/>
  <c r="N190" i="1"/>
  <c r="J190" i="1"/>
  <c r="M189" i="1"/>
  <c r="O189" i="1"/>
  <c r="N189" i="1"/>
  <c r="J189" i="1"/>
  <c r="M188" i="1"/>
  <c r="O188" i="1"/>
  <c r="N188" i="1"/>
  <c r="J188" i="1"/>
  <c r="M187" i="1"/>
  <c r="O187" i="1"/>
  <c r="N187" i="1"/>
  <c r="J187" i="1"/>
  <c r="M186" i="1"/>
  <c r="J186" i="1"/>
  <c r="O186" i="1"/>
  <c r="N186" i="1"/>
  <c r="M185" i="1"/>
  <c r="O185" i="1"/>
  <c r="N185" i="1"/>
  <c r="J185" i="1"/>
  <c r="M184" i="1"/>
  <c r="O184" i="1"/>
  <c r="N184" i="1"/>
  <c r="J184" i="1"/>
  <c r="M183" i="1"/>
  <c r="O183" i="1"/>
  <c r="N183" i="1"/>
  <c r="J183" i="1"/>
  <c r="M182" i="1"/>
  <c r="O182" i="1"/>
  <c r="N182" i="1"/>
  <c r="J182" i="1"/>
  <c r="M181" i="1"/>
  <c r="O181" i="1"/>
  <c r="N181" i="1"/>
  <c r="J181" i="1"/>
  <c r="N180" i="1"/>
  <c r="M180" i="1"/>
  <c r="O180" i="1"/>
  <c r="J180" i="1"/>
  <c r="M179" i="1"/>
  <c r="O179" i="1"/>
  <c r="N179" i="1"/>
  <c r="J179" i="1"/>
  <c r="M178" i="1"/>
  <c r="O178" i="1"/>
  <c r="N178" i="1"/>
  <c r="J178" i="1"/>
  <c r="M177" i="1"/>
  <c r="O177" i="1"/>
  <c r="N177" i="1"/>
  <c r="J177" i="1"/>
  <c r="M176" i="1"/>
  <c r="O176" i="1"/>
  <c r="N176" i="1"/>
  <c r="J176" i="1"/>
  <c r="M175" i="1"/>
  <c r="O175" i="1"/>
  <c r="N175" i="1"/>
  <c r="J175" i="1"/>
  <c r="M174" i="1"/>
  <c r="O174" i="1"/>
  <c r="N174" i="1"/>
  <c r="J174" i="1"/>
  <c r="M173" i="1"/>
  <c r="O173" i="1"/>
  <c r="N173" i="1"/>
  <c r="J173" i="1"/>
  <c r="M172" i="1"/>
  <c r="N172" i="1"/>
  <c r="O172" i="1"/>
  <c r="J172" i="1"/>
  <c r="M171" i="1"/>
  <c r="O171" i="1"/>
  <c r="N171" i="1"/>
  <c r="J171" i="1"/>
  <c r="M170" i="1"/>
  <c r="O170" i="1"/>
  <c r="N170" i="1"/>
  <c r="J170" i="1"/>
  <c r="M169" i="1"/>
  <c r="O169" i="1"/>
  <c r="N169" i="1"/>
  <c r="J169" i="1"/>
  <c r="M168" i="1"/>
  <c r="O168" i="1"/>
  <c r="N168" i="1"/>
  <c r="J168" i="1"/>
  <c r="M167" i="1"/>
  <c r="O167" i="1"/>
  <c r="N167" i="1"/>
  <c r="J167" i="1"/>
  <c r="M166" i="1"/>
  <c r="O166" i="1"/>
  <c r="N166" i="1"/>
  <c r="J166" i="1"/>
  <c r="M165" i="1"/>
  <c r="O165" i="1"/>
  <c r="N165" i="1"/>
  <c r="J165" i="1"/>
  <c r="M164" i="1"/>
  <c r="O164" i="1"/>
  <c r="N164" i="1"/>
  <c r="J164" i="1"/>
  <c r="M163" i="1"/>
  <c r="O163" i="1"/>
  <c r="N163" i="1"/>
  <c r="J163" i="1"/>
  <c r="M162" i="1"/>
  <c r="O162" i="1"/>
  <c r="N162" i="1"/>
  <c r="J162" i="1"/>
  <c r="M161" i="1"/>
  <c r="O161" i="1"/>
  <c r="N161" i="1"/>
  <c r="J161" i="1"/>
  <c r="M160" i="1"/>
  <c r="O160" i="1"/>
  <c r="N160" i="1"/>
  <c r="J160" i="1"/>
  <c r="M159" i="1"/>
  <c r="O159" i="1"/>
  <c r="N159" i="1"/>
  <c r="J159" i="1"/>
  <c r="M158" i="1"/>
  <c r="J158" i="1"/>
  <c r="O158" i="1"/>
  <c r="N158" i="1"/>
  <c r="M157" i="1"/>
  <c r="J157" i="1"/>
  <c r="O157" i="1"/>
  <c r="N157" i="1"/>
  <c r="M156" i="1"/>
  <c r="O156" i="1"/>
  <c r="N156" i="1"/>
  <c r="J156" i="1"/>
  <c r="M155" i="1"/>
  <c r="O155" i="1"/>
  <c r="N155" i="1"/>
  <c r="J155" i="1"/>
  <c r="M154" i="1"/>
  <c r="O154" i="1"/>
  <c r="N154" i="1"/>
  <c r="J154" i="1"/>
  <c r="M153" i="1"/>
  <c r="J153" i="1"/>
  <c r="O153" i="1"/>
  <c r="N153" i="1"/>
  <c r="M152" i="1"/>
  <c r="O152" i="1"/>
  <c r="N152" i="1"/>
  <c r="J152" i="1"/>
  <c r="M151" i="1"/>
  <c r="O151" i="1"/>
  <c r="N151" i="1"/>
  <c r="J151" i="1"/>
  <c r="M150" i="1"/>
  <c r="O150" i="1"/>
  <c r="N150" i="1"/>
  <c r="J150" i="1"/>
  <c r="M149" i="1"/>
  <c r="O149" i="1"/>
  <c r="N149" i="1"/>
  <c r="J149" i="1"/>
  <c r="M148" i="1"/>
  <c r="O148" i="1"/>
  <c r="N148" i="1"/>
  <c r="J148" i="1"/>
  <c r="M147" i="1"/>
  <c r="O147" i="1"/>
  <c r="N147" i="1"/>
  <c r="J147" i="1"/>
  <c r="M146" i="1"/>
  <c r="J146" i="1"/>
  <c r="O146" i="1"/>
  <c r="N146" i="1"/>
  <c r="M145" i="1"/>
  <c r="O145" i="1"/>
  <c r="N145" i="1"/>
  <c r="J145" i="1"/>
  <c r="M144" i="1"/>
  <c r="O144" i="1"/>
  <c r="N144" i="1"/>
  <c r="J144" i="1"/>
  <c r="M143" i="1"/>
  <c r="O143" i="1"/>
  <c r="N143" i="1"/>
  <c r="J143" i="1"/>
  <c r="M142" i="1"/>
  <c r="O142" i="1"/>
  <c r="N142" i="1"/>
  <c r="J142" i="1"/>
  <c r="M141" i="1"/>
  <c r="O141" i="1"/>
  <c r="N141" i="1"/>
  <c r="J141" i="1"/>
  <c r="M140" i="1"/>
  <c r="O140" i="1"/>
  <c r="N140" i="1"/>
  <c r="J140" i="1"/>
  <c r="M139" i="1"/>
  <c r="J139" i="1"/>
  <c r="O139" i="1"/>
  <c r="N139" i="1"/>
  <c r="M138" i="1"/>
  <c r="O138" i="1"/>
  <c r="N138" i="1"/>
  <c r="J138" i="1"/>
  <c r="M137" i="1"/>
  <c r="O137" i="1"/>
  <c r="N137" i="1"/>
  <c r="J137" i="1"/>
  <c r="M136" i="1"/>
  <c r="O136" i="1"/>
  <c r="N136" i="1"/>
  <c r="J136" i="1"/>
  <c r="M135" i="1"/>
  <c r="O135" i="1"/>
  <c r="N135" i="1"/>
  <c r="J135" i="1"/>
  <c r="M134" i="1"/>
  <c r="O134" i="1"/>
  <c r="N134" i="1"/>
  <c r="J134" i="1"/>
  <c r="M133" i="1"/>
  <c r="O133" i="1"/>
  <c r="N133" i="1"/>
  <c r="J133" i="1"/>
  <c r="M132" i="1"/>
  <c r="O132" i="1"/>
  <c r="N132" i="1"/>
  <c r="J132" i="1"/>
  <c r="M131" i="1"/>
  <c r="J131" i="1"/>
  <c r="M130" i="1"/>
  <c r="J130" i="1"/>
  <c r="O130" i="1"/>
  <c r="N130" i="1"/>
  <c r="M129" i="1"/>
  <c r="O129" i="1"/>
  <c r="N129" i="1"/>
  <c r="J129" i="1"/>
  <c r="M128" i="1"/>
  <c r="O128" i="1"/>
  <c r="N128" i="1"/>
  <c r="J128" i="1"/>
  <c r="M127" i="1"/>
  <c r="O127" i="1"/>
  <c r="N127" i="1"/>
  <c r="J127" i="1"/>
  <c r="M126" i="1"/>
  <c r="O126" i="1"/>
  <c r="N126" i="1"/>
  <c r="J126" i="1"/>
  <c r="M125" i="1"/>
  <c r="O125" i="1"/>
  <c r="N125" i="1"/>
  <c r="J125" i="1"/>
  <c r="M124" i="1"/>
  <c r="O124" i="1"/>
  <c r="N124" i="1"/>
  <c r="J124" i="1"/>
  <c r="M123" i="1"/>
  <c r="O123" i="1"/>
  <c r="N123" i="1"/>
  <c r="J123" i="1"/>
  <c r="M122" i="1"/>
  <c r="O122" i="1"/>
  <c r="N122" i="1"/>
  <c r="J122" i="1"/>
  <c r="O121" i="1"/>
  <c r="N121" i="1"/>
  <c r="M121" i="1"/>
  <c r="J121" i="1"/>
  <c r="M120" i="1"/>
  <c r="O120" i="1"/>
  <c r="N120" i="1"/>
  <c r="J120" i="1"/>
  <c r="M119" i="1"/>
  <c r="J119" i="1"/>
  <c r="O119" i="1"/>
  <c r="N119" i="1"/>
  <c r="M118" i="1"/>
  <c r="O118" i="1"/>
  <c r="N118" i="1"/>
  <c r="J118" i="1"/>
  <c r="M117" i="1"/>
  <c r="O117" i="1"/>
  <c r="N117" i="1"/>
  <c r="J117" i="1"/>
  <c r="M116" i="1"/>
  <c r="O116" i="1"/>
  <c r="N116" i="1"/>
  <c r="J116" i="1"/>
  <c r="M115" i="1"/>
  <c r="J115" i="1"/>
  <c r="O115" i="1"/>
  <c r="N115" i="1"/>
  <c r="M114" i="1"/>
  <c r="O114" i="1"/>
  <c r="N114" i="1"/>
  <c r="J114" i="1"/>
  <c r="M113" i="1"/>
  <c r="O113" i="1"/>
  <c r="N113" i="1"/>
  <c r="J113" i="1"/>
  <c r="M112" i="1"/>
  <c r="O112" i="1"/>
  <c r="N112" i="1"/>
  <c r="J112" i="1"/>
  <c r="M111" i="1"/>
  <c r="N111" i="1"/>
  <c r="O111" i="1"/>
  <c r="J111" i="1"/>
  <c r="M110" i="1"/>
  <c r="O110" i="1"/>
  <c r="N110" i="1"/>
  <c r="J110" i="1"/>
  <c r="M109" i="1"/>
  <c r="O109" i="1"/>
  <c r="N109" i="1"/>
  <c r="J109" i="1"/>
  <c r="M108" i="1"/>
  <c r="O108" i="1"/>
  <c r="N108" i="1"/>
  <c r="J108" i="1"/>
  <c r="M107" i="1"/>
  <c r="O107" i="1"/>
  <c r="N107" i="1"/>
  <c r="J107" i="1"/>
  <c r="M106" i="1"/>
  <c r="O106" i="1"/>
  <c r="N106" i="1"/>
  <c r="J106" i="1"/>
  <c r="M105" i="1"/>
  <c r="O105" i="1"/>
  <c r="N105" i="1"/>
  <c r="J105" i="1"/>
  <c r="M104" i="1"/>
  <c r="O104" i="1"/>
  <c r="N104" i="1"/>
  <c r="J104" i="1"/>
  <c r="M103" i="1"/>
  <c r="O103" i="1"/>
  <c r="N103" i="1"/>
  <c r="J103" i="1"/>
  <c r="M102" i="1"/>
  <c r="O102" i="1"/>
  <c r="N102" i="1"/>
  <c r="J102" i="1"/>
  <c r="M101" i="1"/>
  <c r="O101" i="1"/>
  <c r="N101" i="1"/>
  <c r="J101" i="1"/>
  <c r="M100" i="1"/>
  <c r="O100" i="1"/>
  <c r="N100" i="1"/>
  <c r="J100" i="1"/>
  <c r="M99" i="1"/>
  <c r="O99" i="1"/>
  <c r="N99" i="1"/>
  <c r="J99" i="1"/>
  <c r="M98" i="1"/>
  <c r="O98" i="1"/>
  <c r="N98" i="1"/>
  <c r="J98" i="1"/>
  <c r="M97" i="1"/>
  <c r="O97" i="1"/>
  <c r="N97" i="1"/>
  <c r="J97" i="1"/>
  <c r="M96" i="1"/>
  <c r="O96" i="1"/>
  <c r="N96" i="1"/>
  <c r="J96" i="1"/>
  <c r="M95" i="1"/>
  <c r="M94" i="1"/>
  <c r="O95" i="1"/>
  <c r="N95" i="1"/>
  <c r="J95" i="1"/>
  <c r="O94" i="1"/>
  <c r="N94" i="1"/>
  <c r="J94" i="1"/>
  <c r="M93" i="1"/>
  <c r="O93" i="1"/>
  <c r="N93" i="1"/>
  <c r="J93" i="1"/>
  <c r="O92" i="1"/>
  <c r="N92" i="1"/>
  <c r="M92" i="1"/>
  <c r="J92" i="1"/>
  <c r="M91" i="1"/>
  <c r="O91" i="1"/>
  <c r="N91" i="1"/>
  <c r="J91" i="1"/>
  <c r="M90" i="1"/>
  <c r="O90" i="1"/>
  <c r="N90" i="1"/>
  <c r="J90" i="1"/>
  <c r="M89" i="1"/>
  <c r="O89" i="1"/>
  <c r="N89" i="1"/>
  <c r="J89" i="1"/>
  <c r="M88" i="1"/>
  <c r="M87" i="1"/>
  <c r="O88" i="1"/>
  <c r="N88" i="1"/>
  <c r="J88" i="1"/>
  <c r="O87" i="1"/>
  <c r="N87" i="1"/>
  <c r="J87" i="1"/>
  <c r="O86" i="1"/>
  <c r="N86" i="1"/>
  <c r="M86" i="1"/>
  <c r="J86" i="1"/>
  <c r="O85" i="1"/>
  <c r="N85" i="1"/>
  <c r="M85" i="1"/>
  <c r="J85" i="1"/>
  <c r="O84" i="1"/>
  <c r="N84" i="1"/>
  <c r="M84" i="1"/>
  <c r="J84" i="1"/>
  <c r="O83" i="1"/>
  <c r="N83" i="1"/>
  <c r="M83" i="1"/>
  <c r="J83" i="1"/>
  <c r="O82" i="1"/>
  <c r="N82" i="1"/>
  <c r="M82" i="1"/>
  <c r="J82" i="1"/>
  <c r="O81" i="1"/>
  <c r="N81" i="1"/>
  <c r="M81" i="1"/>
  <c r="J81" i="1"/>
  <c r="O80" i="1"/>
  <c r="N80" i="1"/>
  <c r="M80" i="1"/>
  <c r="J80" i="1"/>
  <c r="O79" i="1"/>
  <c r="O78" i="1"/>
  <c r="O77" i="1"/>
  <c r="O76" i="1"/>
  <c r="N79" i="1"/>
  <c r="N78" i="1"/>
  <c r="N77" i="1"/>
  <c r="N76" i="1"/>
  <c r="M79" i="1"/>
  <c r="M78" i="1"/>
  <c r="M77" i="1"/>
  <c r="M76" i="1"/>
  <c r="J79" i="1"/>
  <c r="J78" i="1"/>
  <c r="J77" i="1"/>
  <c r="J76" i="1"/>
  <c r="O75" i="1"/>
  <c r="N75" i="1"/>
  <c r="M75" i="1"/>
  <c r="J75" i="1"/>
  <c r="O74" i="1"/>
  <c r="N74" i="1"/>
  <c r="M74" i="1"/>
  <c r="J74" i="1"/>
  <c r="O73" i="1"/>
  <c r="N73" i="1"/>
  <c r="M73" i="1"/>
  <c r="J73" i="1"/>
  <c r="O72" i="1"/>
  <c r="N72" i="1"/>
  <c r="M72" i="1"/>
  <c r="J72" i="1"/>
  <c r="O71" i="1"/>
  <c r="N71" i="1"/>
  <c r="M71" i="1"/>
  <c r="J71" i="1"/>
  <c r="O70" i="1"/>
  <c r="N70" i="1"/>
  <c r="M70" i="1"/>
  <c r="J70" i="1"/>
  <c r="O69" i="1"/>
  <c r="N69" i="1"/>
  <c r="M69" i="1"/>
  <c r="J69" i="1"/>
  <c r="O68" i="1"/>
  <c r="N68" i="1"/>
  <c r="M68" i="1"/>
  <c r="J68" i="1"/>
  <c r="O67" i="1"/>
  <c r="N67" i="1"/>
  <c r="M67" i="1"/>
  <c r="J67" i="1"/>
  <c r="O66" i="1"/>
  <c r="N66" i="1"/>
  <c r="M66" i="1"/>
  <c r="J66" i="1"/>
  <c r="O65" i="1"/>
  <c r="N65" i="1"/>
  <c r="M65" i="1"/>
  <c r="J65" i="1"/>
  <c r="O64" i="1"/>
  <c r="N64" i="1"/>
  <c r="M64" i="1"/>
  <c r="J64" i="1"/>
  <c r="O63" i="1"/>
  <c r="N63" i="1"/>
  <c r="M63" i="1"/>
  <c r="J63" i="1"/>
  <c r="O62" i="1"/>
  <c r="N62" i="1"/>
  <c r="M62" i="1"/>
  <c r="J62" i="1"/>
  <c r="O61" i="1"/>
  <c r="N61" i="1"/>
  <c r="M61" i="1"/>
  <c r="J61" i="1"/>
  <c r="O60" i="1"/>
  <c r="N60" i="1"/>
  <c r="M60" i="1"/>
  <c r="J60" i="1"/>
  <c r="O59" i="1"/>
  <c r="N59" i="1"/>
  <c r="M59" i="1"/>
  <c r="J59" i="1"/>
  <c r="O58" i="1"/>
  <c r="N58" i="1"/>
  <c r="M58" i="1"/>
  <c r="J58" i="1"/>
  <c r="O57" i="1"/>
  <c r="N57" i="1"/>
  <c r="M57" i="1"/>
  <c r="J57" i="1"/>
  <c r="O56" i="1"/>
  <c r="N56" i="1"/>
  <c r="M56" i="1"/>
  <c r="J56" i="1"/>
  <c r="O55" i="1"/>
  <c r="N55" i="1"/>
  <c r="M55" i="1"/>
  <c r="J55" i="1"/>
  <c r="O54" i="1"/>
  <c r="N54" i="1"/>
  <c r="M54" i="1"/>
  <c r="J54" i="1"/>
  <c r="O53" i="1"/>
  <c r="N53" i="1"/>
  <c r="M53" i="1"/>
  <c r="J53" i="1"/>
  <c r="O52" i="1"/>
  <c r="N52" i="1"/>
  <c r="M52" i="1"/>
  <c r="J52" i="1"/>
  <c r="O51" i="1"/>
  <c r="N51" i="1"/>
  <c r="M51" i="1"/>
  <c r="J51" i="1"/>
  <c r="O50" i="1"/>
  <c r="N50" i="1"/>
  <c r="M50" i="1"/>
  <c r="J50" i="1"/>
  <c r="O49" i="1"/>
  <c r="N49" i="1"/>
  <c r="M49" i="1"/>
  <c r="J49" i="1"/>
  <c r="O48" i="1"/>
  <c r="N48" i="1"/>
  <c r="M48" i="1"/>
  <c r="J48" i="1"/>
  <c r="O47" i="1"/>
  <c r="N47" i="1"/>
  <c r="M47" i="1"/>
  <c r="J47" i="1"/>
  <c r="O46" i="1"/>
  <c r="N46" i="1"/>
  <c r="M46" i="1"/>
  <c r="J46" i="1"/>
  <c r="O45" i="1"/>
  <c r="N45" i="1"/>
  <c r="M45" i="1"/>
  <c r="J45" i="1"/>
  <c r="O44" i="1"/>
  <c r="N44" i="1"/>
  <c r="M44" i="1"/>
  <c r="J44" i="1"/>
  <c r="O43" i="1"/>
  <c r="N43" i="1"/>
  <c r="M43" i="1"/>
  <c r="J43" i="1"/>
  <c r="O42" i="1"/>
  <c r="N42" i="1"/>
  <c r="M42" i="1"/>
  <c r="J42" i="1"/>
  <c r="O41" i="1"/>
  <c r="N41" i="1"/>
  <c r="M41" i="1"/>
  <c r="J41" i="1"/>
  <c r="O40" i="1"/>
  <c r="N40" i="1"/>
  <c r="M40" i="1"/>
  <c r="J40" i="1"/>
  <c r="O39" i="1"/>
  <c r="N39" i="1"/>
  <c r="M39" i="1"/>
  <c r="J39" i="1"/>
  <c r="O38" i="1"/>
  <c r="N38" i="1"/>
  <c r="M38" i="1"/>
  <c r="J38" i="1"/>
  <c r="O37" i="1"/>
  <c r="N37" i="1"/>
  <c r="M37" i="1"/>
  <c r="J37" i="1"/>
  <c r="O36" i="1"/>
  <c r="N36" i="1"/>
  <c r="M36" i="1"/>
  <c r="J36" i="1"/>
  <c r="O35" i="1"/>
  <c r="N35" i="1"/>
  <c r="M35" i="1"/>
  <c r="J35" i="1"/>
  <c r="O34" i="1"/>
  <c r="N34" i="1"/>
  <c r="M34" i="1"/>
  <c r="J34" i="1"/>
  <c r="O33" i="1"/>
  <c r="N33" i="1"/>
  <c r="M33" i="1"/>
  <c r="J33" i="1"/>
  <c r="O32" i="1"/>
  <c r="N32" i="1"/>
  <c r="M32" i="1"/>
  <c r="J32" i="1"/>
  <c r="O31" i="1"/>
  <c r="N31" i="1"/>
  <c r="M31" i="1"/>
  <c r="J31" i="1"/>
  <c r="O30" i="1"/>
  <c r="N30" i="1"/>
  <c r="M30" i="1"/>
  <c r="J30" i="1"/>
  <c r="O29" i="1"/>
  <c r="N29" i="1"/>
  <c r="M29" i="1"/>
  <c r="J29" i="1"/>
  <c r="O28" i="1"/>
  <c r="N28" i="1"/>
  <c r="M28" i="1"/>
  <c r="J28" i="1"/>
  <c r="O27" i="1"/>
  <c r="N27" i="1"/>
  <c r="M27" i="1"/>
  <c r="J27" i="1"/>
  <c r="O26" i="1"/>
  <c r="N26" i="1"/>
  <c r="M26" i="1"/>
  <c r="J26" i="1"/>
  <c r="O25" i="1"/>
  <c r="N25" i="1"/>
  <c r="M25" i="1"/>
  <c r="J25" i="1"/>
  <c r="O24" i="1"/>
  <c r="N24" i="1"/>
  <c r="M24" i="1"/>
  <c r="J24" i="1"/>
  <c r="O23" i="1"/>
  <c r="N23" i="1"/>
  <c r="M23" i="1"/>
  <c r="J23" i="1"/>
  <c r="O22" i="1"/>
  <c r="N22" i="1"/>
  <c r="M22" i="1"/>
  <c r="J22" i="1"/>
  <c r="O21" i="1"/>
  <c r="N21" i="1"/>
  <c r="M21" i="1"/>
  <c r="J21" i="1"/>
  <c r="O20" i="1"/>
  <c r="N20" i="1"/>
  <c r="M20" i="1"/>
  <c r="J20" i="1"/>
  <c r="O19" i="1"/>
  <c r="N19" i="1"/>
  <c r="M19" i="1"/>
  <c r="J19" i="1"/>
  <c r="O18" i="1"/>
  <c r="N18" i="1"/>
  <c r="M18" i="1"/>
  <c r="J18" i="1"/>
  <c r="O17" i="1"/>
  <c r="N17" i="1"/>
  <c r="M17" i="1"/>
  <c r="J17" i="1"/>
  <c r="O16" i="1"/>
  <c r="N16" i="1"/>
  <c r="M16" i="1"/>
  <c r="J16" i="1"/>
  <c r="O15" i="1"/>
  <c r="N15" i="1"/>
  <c r="M15" i="1"/>
  <c r="J15" i="1"/>
  <c r="O14" i="1"/>
  <c r="N14" i="1"/>
  <c r="M14" i="1"/>
  <c r="J14" i="1"/>
  <c r="O13" i="1"/>
  <c r="N13" i="1"/>
  <c r="M13" i="1"/>
  <c r="J13" i="1"/>
  <c r="O12" i="1"/>
  <c r="N12" i="1"/>
  <c r="M12" i="1"/>
  <c r="J12" i="1"/>
  <c r="O11" i="1"/>
  <c r="N11" i="1"/>
  <c r="M11" i="1"/>
  <c r="J11" i="1"/>
  <c r="O10" i="1"/>
  <c r="N10" i="1"/>
  <c r="M10" i="1"/>
  <c r="J10" i="1"/>
  <c r="O9" i="1"/>
  <c r="N9" i="1"/>
  <c r="M9" i="1"/>
  <c r="J9" i="1"/>
  <c r="O8" i="1"/>
  <c r="N8" i="1"/>
  <c r="M8" i="1"/>
  <c r="I8" i="1"/>
  <c r="D5" i="3"/>
</calcChain>
</file>

<file path=xl/sharedStrings.xml><?xml version="1.0" encoding="utf-8"?>
<sst xmlns="http://schemas.openxmlformats.org/spreadsheetml/2006/main" count="76" uniqueCount="33">
  <si>
    <t>T&amp;M Grain Transport Cost Index Calculations</t>
  </si>
  <si>
    <t>ENTER DATA IN Columns B..E, COPY G...K and Extend G...K to calculate data for current week</t>
  </si>
  <si>
    <t>CHANGE CELL REF for most current week and SEND A4...F4 to USDA</t>
  </si>
  <si>
    <t>Used diff formula for rail index as Tariff Rate=0 as index base</t>
  </si>
  <si>
    <t>Weekly Data</t>
  </si>
  <si>
    <t>Diesel</t>
  </si>
  <si>
    <t>Ocean</t>
  </si>
  <si>
    <t>Autocalculation with Copy/Paste for weekly report</t>
  </si>
  <si>
    <t>Base Year=2000, Value</t>
  </si>
  <si>
    <t>Date</t>
  </si>
  <si>
    <t>Price</t>
  </si>
  <si>
    <t>Rail</t>
  </si>
  <si>
    <t>River</t>
  </si>
  <si>
    <t>Gulf</t>
  </si>
  <si>
    <t>PNW</t>
  </si>
  <si>
    <t>Weekly Index</t>
  </si>
  <si>
    <t>Truck</t>
  </si>
  <si>
    <t>Barge</t>
  </si>
  <si>
    <t>Pacific</t>
  </si>
  <si>
    <t>n/a</t>
  </si>
  <si>
    <t>Source:  Transportation &amp; Marketing Programs/AMS/USDA</t>
  </si>
  <si>
    <t>Week ending</t>
  </si>
  <si>
    <t>Illinois</t>
  </si>
  <si>
    <r>
      <t>Grain Transport Cost Indicators</t>
    </r>
    <r>
      <rPr>
        <b/>
        <vertAlign val="superscript"/>
        <sz val="11"/>
        <rFont val="Times New Roman"/>
        <family val="1"/>
      </rPr>
      <t>1</t>
    </r>
  </si>
  <si>
    <t>Table 1</t>
  </si>
  <si>
    <t>One week Lag</t>
  </si>
  <si>
    <t>Unit</t>
  </si>
  <si>
    <t>Shuttle</t>
  </si>
  <si>
    <t>Monthly Averaged Tariffs
 with Fuel Surcharges</t>
  </si>
  <si>
    <t>Unit Train</t>
  </si>
  <si>
    <t>Secondary</t>
  </si>
  <si>
    <t>surcharge ($/car); barge = Illinois River barge rate (index = percent of tariff rate); and ocean = routes to Japan ($/metric ton)</t>
  </si>
  <si>
    <r>
      <t>1</t>
    </r>
    <r>
      <rPr>
        <sz val="8"/>
        <rFont val="Times New Roman"/>
        <family val="1"/>
      </rPr>
      <t xml:space="preserve">Indicator:  Base year 2000 = 100; Weekly updates include truck = diesel ($/gallon); rail = near-month secondary rail market bid and monthly tariff rate with fuel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</si>
</sst>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_)"/>
    <numFmt numFmtId="165" formatCode="0_)"/>
    <numFmt numFmtId="166" formatCode="mm/dd/yy;@"/>
    <numFmt numFmtId="167" formatCode="0.0"/>
  </numFmts>
  <fonts count="18" x14ac:knownFonts="1">
    <font>
      <sz val="12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color indexed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6"/>
      <color indexed="9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vertAlign val="superscript"/>
      <sz val="8"/>
      <name val="Times New Roman"/>
      <family val="1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>
      <alignment horizontal="right"/>
    </xf>
    <xf numFmtId="0" fontId="3" fillId="0" borderId="0" xfId="0" applyFont="1" applyProtection="1"/>
    <xf numFmtId="0" fontId="2" fillId="0" borderId="0" xfId="0" applyFont="1" applyAlignment="1" applyProtection="1">
      <alignment horizontal="left"/>
    </xf>
    <xf numFmtId="0" fontId="3" fillId="0" borderId="0" xfId="0" applyFont="1"/>
    <xf numFmtId="0" fontId="4" fillId="0" borderId="0" xfId="0" applyFont="1" applyProtection="1"/>
    <xf numFmtId="164" fontId="2" fillId="0" borderId="0" xfId="0" applyNumberFormat="1" applyFont="1" applyProtection="1"/>
    <xf numFmtId="9" fontId="2" fillId="0" borderId="0" xfId="0" applyNumberFormat="1" applyFont="1" applyAlignment="1" applyProtection="1">
      <alignment horizontal="right"/>
    </xf>
    <xf numFmtId="0" fontId="5" fillId="0" borderId="0" xfId="0" applyFont="1" applyAlignment="1" applyProtection="1">
      <alignment horizontal="left"/>
    </xf>
    <xf numFmtId="164" fontId="6" fillId="0" borderId="0" xfId="0" applyNumberFormat="1" applyFont="1" applyProtection="1"/>
    <xf numFmtId="165" fontId="6" fillId="0" borderId="0" xfId="0" applyNumberFormat="1" applyFont="1" applyProtection="1"/>
    <xf numFmtId="165" fontId="2" fillId="0" borderId="0" xfId="0" applyNumberFormat="1" applyFont="1" applyAlignment="1" applyProtection="1">
      <alignment horizontal="right"/>
    </xf>
    <xf numFmtId="0" fontId="5" fillId="0" borderId="0" xfId="0" applyFont="1" applyProtection="1"/>
    <xf numFmtId="0" fontId="5" fillId="0" borderId="0" xfId="0" applyFont="1" applyAlignment="1" applyProtection="1">
      <alignment horizontal="right"/>
    </xf>
    <xf numFmtId="0" fontId="7" fillId="0" borderId="0" xfId="0" applyFont="1" applyProtection="1"/>
    <xf numFmtId="0" fontId="7" fillId="0" borderId="0" xfId="0" applyFont="1"/>
    <xf numFmtId="0" fontId="11" fillId="2" borderId="1" xfId="0" applyFont="1" applyFill="1" applyBorder="1"/>
    <xf numFmtId="2" fontId="5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67" fontId="2" fillId="0" borderId="0" xfId="0" applyNumberFormat="1" applyFont="1" applyAlignment="1" applyProtection="1">
      <alignment horizontal="right"/>
    </xf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" fillId="0" borderId="0" xfId="0" applyFont="1" applyAlignment="1" applyProtection="1">
      <alignment horizontal="right"/>
    </xf>
    <xf numFmtId="1" fontId="6" fillId="0" borderId="0" xfId="0" applyNumberFormat="1" applyFont="1" applyProtection="1"/>
    <xf numFmtId="166" fontId="13" fillId="2" borderId="0" xfId="0" applyNumberFormat="1" applyFont="1" applyFill="1"/>
    <xf numFmtId="9" fontId="13" fillId="2" borderId="0" xfId="0" applyNumberFormat="1" applyFont="1" applyFill="1" applyAlignment="1">
      <alignment horizontal="center"/>
    </xf>
    <xf numFmtId="1" fontId="2" fillId="0" borderId="0" xfId="0" applyNumberFormat="1" applyFont="1" applyProtection="1"/>
    <xf numFmtId="9" fontId="3" fillId="0" borderId="0" xfId="0" applyNumberFormat="1" applyFont="1" applyAlignment="1" applyProtection="1">
      <alignment horizontal="right"/>
    </xf>
    <xf numFmtId="9" fontId="2" fillId="0" borderId="0" xfId="0" applyNumberFormat="1" applyFont="1" applyProtection="1"/>
    <xf numFmtId="9" fontId="3" fillId="0" borderId="0" xfId="0" applyNumberFormat="1" applyFont="1" applyProtection="1"/>
    <xf numFmtId="9" fontId="2" fillId="0" borderId="0" xfId="0" applyNumberFormat="1" applyFont="1" applyAlignment="1" applyProtection="1">
      <alignment horizontal="left"/>
    </xf>
    <xf numFmtId="9" fontId="3" fillId="0" borderId="0" xfId="0" applyNumberFormat="1" applyFont="1"/>
    <xf numFmtId="2" fontId="1" fillId="0" borderId="0" xfId="0" applyNumberFormat="1" applyFont="1" applyAlignment="1" applyProtection="1">
      <alignment horizontal="right"/>
    </xf>
    <xf numFmtId="167" fontId="1" fillId="0" borderId="0" xfId="0" applyNumberFormat="1" applyFont="1" applyAlignment="1" applyProtection="1">
      <alignment horizontal="right"/>
    </xf>
    <xf numFmtId="1" fontId="1" fillId="0" borderId="0" xfId="0" applyNumberFormat="1" applyFont="1" applyAlignment="1" applyProtection="1">
      <alignment horizontal="right"/>
    </xf>
    <xf numFmtId="166" fontId="11" fillId="2" borderId="0" xfId="0" applyNumberFormat="1" applyFont="1" applyFill="1" applyAlignment="1">
      <alignment horizontal="left"/>
    </xf>
    <xf numFmtId="1" fontId="2" fillId="0" borderId="0" xfId="0" applyNumberFormat="1" applyFont="1" applyAlignment="1" applyProtection="1">
      <alignment horizontal="right"/>
    </xf>
    <xf numFmtId="0" fontId="8" fillId="3" borderId="0" xfId="0" applyFont="1" applyFill="1"/>
    <xf numFmtId="0" fontId="14" fillId="2" borderId="1" xfId="0" applyFont="1" applyFill="1" applyBorder="1"/>
    <xf numFmtId="0" fontId="10" fillId="4" borderId="0" xfId="0" applyFont="1" applyFill="1"/>
    <xf numFmtId="0" fontId="10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Continuous"/>
    </xf>
    <xf numFmtId="0" fontId="11" fillId="4" borderId="1" xfId="0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0" fillId="3" borderId="0" xfId="0" applyFill="1"/>
    <xf numFmtId="0" fontId="11" fillId="2" borderId="0" xfId="0" applyFont="1" applyFill="1" applyBorder="1"/>
    <xf numFmtId="166" fontId="11" fillId="2" borderId="1" xfId="0" applyNumberFormat="1" applyFont="1" applyFill="1" applyBorder="1" applyAlignment="1">
      <alignment horizontal="left"/>
    </xf>
    <xf numFmtId="1" fontId="11" fillId="2" borderId="1" xfId="0" applyNumberFormat="1" applyFont="1" applyFill="1" applyBorder="1" applyAlignment="1">
      <alignment horizontal="center"/>
    </xf>
    <xf numFmtId="1" fontId="11" fillId="2" borderId="0" xfId="0" applyNumberFormat="1" applyFont="1" applyFill="1" applyBorder="1" applyAlignment="1">
      <alignment horizontal="center"/>
    </xf>
    <xf numFmtId="0" fontId="10" fillId="4" borderId="2" xfId="0" applyFont="1" applyFill="1" applyBorder="1"/>
    <xf numFmtId="1" fontId="3" fillId="5" borderId="0" xfId="0" applyNumberFormat="1" applyFont="1" applyFill="1" applyAlignment="1" applyProtection="1">
      <alignment horizontal="right"/>
    </xf>
    <xf numFmtId="164" fontId="2" fillId="5" borderId="0" xfId="0" applyNumberFormat="1" applyFont="1" applyFill="1" applyProtection="1"/>
    <xf numFmtId="2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17" fillId="3" borderId="0" xfId="0" applyFont="1" applyFill="1"/>
    <xf numFmtId="2" fontId="2" fillId="0" borderId="0" xfId="0" applyNumberFormat="1" applyFont="1" applyAlignment="1" applyProtection="1">
      <alignment horizontal="right"/>
    </xf>
    <xf numFmtId="14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" fontId="2" fillId="0" borderId="0" xfId="0" applyNumberFormat="1" applyFont="1" applyAlignment="1" applyProtection="1">
      <alignment horizontal="left"/>
    </xf>
    <xf numFmtId="0" fontId="8" fillId="3" borderId="0" xfId="0" applyFont="1" applyFill="1" applyBorder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3" fillId="0" borderId="0" xfId="0" applyFont="1" applyAlignment="1" applyProtection="1">
      <alignment horizontal="lef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center"/>
    </xf>
    <xf numFmtId="0" fontId="16" fillId="3" borderId="0" xfId="0" applyFont="1" applyFill="1" applyAlignment="1">
      <alignment horizontal="left" wrapText="1"/>
    </xf>
    <xf numFmtId="0" fontId="10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G610"/>
  <sheetViews>
    <sheetView defaultGridColor="0" colorId="22" zoomScaleNormal="100" workbookViewId="0">
      <pane xSplit="1" ySplit="7" topLeftCell="B600" activePane="bottomRight" state="frozen"/>
      <selection pane="topRight" activeCell="B1" sqref="B1"/>
      <selection pane="bottomLeft" activeCell="A8" sqref="A8"/>
      <selection pane="bottomRight" activeCell="F612" sqref="F612"/>
    </sheetView>
  </sheetViews>
  <sheetFormatPr defaultColWidth="9.81640625" defaultRowHeight="15.6" x14ac:dyDescent="0.3"/>
  <cols>
    <col min="1" max="1" width="13.90625" style="1" customWidth="1"/>
    <col min="2" max="2" width="6.81640625" style="19" customWidth="1"/>
    <col min="3" max="4" width="7.1796875" style="2" bestFit="1" customWidth="1"/>
    <col min="5" max="5" width="6.81640625" style="2" customWidth="1"/>
    <col min="6" max="6" width="7.81640625" style="19" customWidth="1"/>
    <col min="7" max="7" width="6.81640625" style="19" customWidth="1"/>
    <col min="8" max="8" width="4.36328125" style="1" bestFit="1" customWidth="1"/>
    <col min="9" max="9" width="9.81640625" style="1"/>
    <col min="10" max="15" width="7.81640625" style="1" customWidth="1"/>
    <col min="16" max="16" width="6.54296875" style="3" customWidth="1"/>
    <col min="17" max="19" width="5.81640625" style="4" customWidth="1"/>
    <col min="20" max="20" width="4.81640625" style="4" customWidth="1"/>
    <col min="21" max="21" width="5.81640625" style="4" customWidth="1"/>
    <col min="22" max="22" width="9.81640625" style="3"/>
    <col min="23" max="23" width="2.81640625" style="3" customWidth="1"/>
    <col min="24" max="24" width="9.81640625" style="5"/>
    <col min="25" max="25" width="10.1796875" style="5" bestFit="1" customWidth="1"/>
    <col min="26" max="26" width="8.81640625" style="5" customWidth="1"/>
    <col min="27" max="16384" width="9.81640625" style="5"/>
  </cols>
  <sheetData>
    <row r="1" spans="1:26" s="16" customFormat="1" ht="15" customHeight="1" x14ac:dyDescent="0.3">
      <c r="A1" s="13" t="s">
        <v>0</v>
      </c>
      <c r="B1" s="18"/>
      <c r="C1" s="14"/>
      <c r="D1" s="14"/>
      <c r="E1" s="14"/>
      <c r="F1" s="18"/>
      <c r="G1" s="18"/>
      <c r="H1" s="13"/>
      <c r="I1" s="13"/>
      <c r="J1" s="13"/>
      <c r="K1" s="13"/>
      <c r="L1" s="13"/>
      <c r="M1" s="13"/>
      <c r="N1" s="13"/>
      <c r="O1" s="13"/>
      <c r="P1" s="15"/>
      <c r="Q1" s="9"/>
      <c r="R1" s="9"/>
      <c r="S1" s="9"/>
      <c r="T1" s="9"/>
      <c r="U1" s="9"/>
      <c r="V1" s="15"/>
      <c r="W1" s="15"/>
    </row>
    <row r="2" spans="1:26" ht="15" customHeight="1" x14ac:dyDescent="0.3">
      <c r="A2" s="6" t="s">
        <v>1</v>
      </c>
    </row>
    <row r="3" spans="1:26" ht="15" customHeight="1" x14ac:dyDescent="0.3">
      <c r="A3" s="6" t="s">
        <v>2</v>
      </c>
      <c r="Q3" s="4" t="s">
        <v>3</v>
      </c>
    </row>
    <row r="4" spans="1:26" ht="15" customHeight="1" x14ac:dyDescent="0.3">
      <c r="A4" s="54">
        <f>(A610)</f>
        <v>41703</v>
      </c>
      <c r="B4" s="53">
        <f t="shared" ref="B4:G4" si="0">J610</f>
        <v>269.53020134228188</v>
      </c>
      <c r="C4" s="53">
        <f t="shared" si="0"/>
        <v>300.72861479342606</v>
      </c>
      <c r="D4" s="53">
        <f t="shared" si="0"/>
        <v>288.01139210248755</v>
      </c>
      <c r="E4" s="53">
        <f t="shared" si="0"/>
        <v>344.44444444444446</v>
      </c>
      <c r="F4" s="53">
        <f t="shared" si="0"/>
        <v>237.03041144901613</v>
      </c>
      <c r="G4" s="53">
        <f t="shared" si="0"/>
        <v>198.58156028368796</v>
      </c>
    </row>
    <row r="5" spans="1:26" s="32" customFormat="1" ht="15.6" customHeight="1" x14ac:dyDescent="0.3">
      <c r="A5" s="28"/>
      <c r="B5" s="8">
        <f t="shared" ref="B5:G5" si="1">(B610-B609)/(B609)</f>
        <v>-2.4894199651489515E-4</v>
      </c>
      <c r="C5" s="8" t="e">
        <f t="shared" si="1"/>
        <v>#DIV/0!</v>
      </c>
      <c r="D5" s="8">
        <f t="shared" si="1"/>
        <v>1.2262773722627737E-2</v>
      </c>
      <c r="E5" s="8">
        <f t="shared" si="1"/>
        <v>4.72972972972973E-2</v>
      </c>
      <c r="F5" s="8">
        <f t="shared" si="1"/>
        <v>0</v>
      </c>
      <c r="G5" s="8">
        <f t="shared" si="1"/>
        <v>0</v>
      </c>
      <c r="H5" s="29"/>
      <c r="I5" s="29"/>
      <c r="J5" s="29"/>
      <c r="K5" s="29">
        <v>-0.115</v>
      </c>
      <c r="L5" s="29"/>
      <c r="M5" s="29"/>
      <c r="N5" s="29"/>
      <c r="O5" s="29"/>
      <c r="P5" s="30"/>
      <c r="Q5" s="31"/>
      <c r="R5" s="31"/>
      <c r="S5" s="31"/>
      <c r="T5" s="31"/>
      <c r="U5" s="31"/>
      <c r="V5" s="30"/>
      <c r="W5" s="30"/>
      <c r="Y5" s="165" t="s">
        <v>28</v>
      </c>
      <c r="Z5" s="166"/>
    </row>
    <row r="6" spans="1:26" x14ac:dyDescent="0.3">
      <c r="A6" s="1" t="s">
        <v>4</v>
      </c>
      <c r="B6" s="19" t="s">
        <v>5</v>
      </c>
      <c r="C6" s="2" t="s">
        <v>30</v>
      </c>
      <c r="D6" s="2" t="s">
        <v>30</v>
      </c>
      <c r="E6" s="2" t="s">
        <v>22</v>
      </c>
      <c r="F6" s="19" t="s">
        <v>6</v>
      </c>
      <c r="I6" s="1" t="s">
        <v>7</v>
      </c>
      <c r="Q6" s="9" t="s">
        <v>8</v>
      </c>
      <c r="Y6" s="166"/>
      <c r="Z6" s="166"/>
    </row>
    <row r="7" spans="1:26" x14ac:dyDescent="0.3">
      <c r="A7" s="1" t="s">
        <v>9</v>
      </c>
      <c r="B7" s="19" t="s">
        <v>10</v>
      </c>
      <c r="C7" s="2" t="s">
        <v>26</v>
      </c>
      <c r="D7" s="2" t="s">
        <v>27</v>
      </c>
      <c r="E7" s="2" t="s">
        <v>12</v>
      </c>
      <c r="F7" s="19" t="s">
        <v>13</v>
      </c>
      <c r="G7" s="19" t="s">
        <v>14</v>
      </c>
      <c r="I7" s="1" t="s">
        <v>15</v>
      </c>
      <c r="Q7" s="4" t="s">
        <v>16</v>
      </c>
      <c r="R7" s="4" t="s">
        <v>26</v>
      </c>
      <c r="S7" s="4" t="s">
        <v>27</v>
      </c>
      <c r="T7" s="4" t="s">
        <v>17</v>
      </c>
      <c r="U7" s="4" t="s">
        <v>13</v>
      </c>
      <c r="V7" s="3" t="s">
        <v>14</v>
      </c>
      <c r="Y7" s="4" t="s">
        <v>26</v>
      </c>
      <c r="Z7" s="4" t="s">
        <v>27</v>
      </c>
    </row>
    <row r="8" spans="1:26" x14ac:dyDescent="0.3">
      <c r="A8" s="7">
        <v>37489</v>
      </c>
      <c r="B8" s="19">
        <v>1.333</v>
      </c>
      <c r="C8" s="20">
        <v>-21.5</v>
      </c>
      <c r="D8" s="20"/>
      <c r="E8" s="2">
        <v>128</v>
      </c>
      <c r="F8" s="19">
        <v>20.13</v>
      </c>
      <c r="G8" s="19">
        <v>11.05</v>
      </c>
      <c r="I8" s="10">
        <f>A8</f>
        <v>37489</v>
      </c>
      <c r="J8" s="11">
        <f>(1+(B8-Q8)/Q8)*100</f>
        <v>89.463087248322154</v>
      </c>
      <c r="K8" s="11">
        <f>(C8+Y8)/R8*100</f>
        <v>95.19223348641161</v>
      </c>
      <c r="L8" s="11">
        <f>(D8+Z8)/S8*100</f>
        <v>100.26436310330315</v>
      </c>
      <c r="M8" s="11">
        <f t="shared" ref="M8:M39" si="2">(1+(E8-T8)/T8)*100</f>
        <v>71.111111111111114</v>
      </c>
      <c r="N8" s="11">
        <f t="shared" ref="N8:N39" si="3">(1+(F8-U8)/U8)*100</f>
        <v>90.026833631484791</v>
      </c>
      <c r="O8" s="11">
        <f t="shared" ref="O8:O39" si="4">(1+(G8-V8)/V8)*100</f>
        <v>78.368794326241144</v>
      </c>
      <c r="Q8" s="4">
        <v>1.49</v>
      </c>
      <c r="R8" s="4">
        <v>1815.8525733157076</v>
      </c>
      <c r="S8" s="4">
        <v>2338.2847000963566</v>
      </c>
      <c r="T8" s="4">
        <v>180</v>
      </c>
      <c r="U8" s="4">
        <v>22.36</v>
      </c>
      <c r="V8" s="4">
        <v>14.1</v>
      </c>
      <c r="W8" s="4"/>
      <c r="X8" s="7">
        <v>37489</v>
      </c>
      <c r="Y8" s="68">
        <v>1750.0506213597021</v>
      </c>
      <c r="Z8" s="68">
        <v>2344.4662620935942</v>
      </c>
    </row>
    <row r="9" spans="1:26" x14ac:dyDescent="0.3">
      <c r="A9" s="7">
        <v>37496</v>
      </c>
      <c r="B9" s="19">
        <v>1.37</v>
      </c>
      <c r="C9" s="20">
        <v>-11.5</v>
      </c>
      <c r="D9" s="20"/>
      <c r="E9" s="2">
        <v>128</v>
      </c>
      <c r="F9" s="19">
        <v>20.83</v>
      </c>
      <c r="G9" s="19">
        <v>11.03</v>
      </c>
      <c r="I9" s="10">
        <v>37496</v>
      </c>
      <c r="J9" s="11">
        <f t="shared" ref="J9:J39" si="5">(1+(B9-Q9)/Q9)*100</f>
        <v>91.946308724832221</v>
      </c>
      <c r="K9" s="11">
        <f t="shared" ref="K9:K72" si="6">(C9+Y9)/R9*100</f>
        <v>95.742938986789341</v>
      </c>
      <c r="L9" s="11">
        <f t="shared" ref="L9:L72" si="7">(D9+Z9)/S9*100</f>
        <v>100.26436310330315</v>
      </c>
      <c r="M9" s="11">
        <f t="shared" si="2"/>
        <v>71.111111111111114</v>
      </c>
      <c r="N9" s="11">
        <f t="shared" si="3"/>
        <v>93.157423971377455</v>
      </c>
      <c r="O9" s="11">
        <f t="shared" si="4"/>
        <v>78.226950354609926</v>
      </c>
      <c r="Q9" s="4">
        <v>1.49</v>
      </c>
      <c r="R9" s="4">
        <v>1815.8525733157076</v>
      </c>
      <c r="S9" s="4">
        <v>2338.2847000963566</v>
      </c>
      <c r="T9" s="4">
        <v>180</v>
      </c>
      <c r="U9" s="4">
        <v>22.36</v>
      </c>
      <c r="V9" s="4">
        <v>14.1</v>
      </c>
      <c r="W9" s="4"/>
      <c r="X9" s="7">
        <v>37496</v>
      </c>
      <c r="Y9" s="68">
        <v>1750.0506213597021</v>
      </c>
      <c r="Z9" s="68">
        <v>2344.4662620935942</v>
      </c>
    </row>
    <row r="10" spans="1:26" x14ac:dyDescent="0.3">
      <c r="A10" s="7">
        <v>37503</v>
      </c>
      <c r="B10" s="19">
        <v>1.3879999999999999</v>
      </c>
      <c r="C10" s="20">
        <v>-13</v>
      </c>
      <c r="D10" s="20"/>
      <c r="E10" s="2">
        <v>139</v>
      </c>
      <c r="F10" s="19">
        <v>22.06</v>
      </c>
      <c r="G10" s="19">
        <v>11.21</v>
      </c>
      <c r="I10" s="10">
        <v>37503</v>
      </c>
      <c r="J10" s="11">
        <f t="shared" si="5"/>
        <v>93.154362416107375</v>
      </c>
      <c r="K10" s="11">
        <f t="shared" si="6"/>
        <v>96.11202033321139</v>
      </c>
      <c r="L10" s="11">
        <f t="shared" si="7"/>
        <v>100.82617156219291</v>
      </c>
      <c r="M10" s="11">
        <f t="shared" si="2"/>
        <v>77.222222222222229</v>
      </c>
      <c r="N10" s="11">
        <f t="shared" si="3"/>
        <v>98.658318425760285</v>
      </c>
      <c r="O10" s="11">
        <f t="shared" si="4"/>
        <v>79.503546099290787</v>
      </c>
      <c r="Q10" s="4">
        <v>1.49</v>
      </c>
      <c r="R10" s="4">
        <v>1815.8525733157076</v>
      </c>
      <c r="S10" s="4">
        <v>2338.2847000963566</v>
      </c>
      <c r="T10" s="4">
        <v>180</v>
      </c>
      <c r="U10" s="4">
        <v>22.36</v>
      </c>
      <c r="V10" s="4">
        <v>14.1</v>
      </c>
      <c r="W10" s="4"/>
      <c r="X10" s="7">
        <v>37503</v>
      </c>
      <c r="Y10" s="68">
        <v>1758.2525944863351</v>
      </c>
      <c r="Z10" s="68">
        <v>2357.6029433316603</v>
      </c>
    </row>
    <row r="11" spans="1:26" x14ac:dyDescent="0.3">
      <c r="A11" s="7">
        <v>37510</v>
      </c>
      <c r="B11" s="19">
        <v>1.3959999999999999</v>
      </c>
      <c r="C11" s="20">
        <v>-15</v>
      </c>
      <c r="D11" s="20"/>
      <c r="E11" s="2">
        <v>145</v>
      </c>
      <c r="F11" s="19">
        <v>22.7</v>
      </c>
      <c r="G11" s="19">
        <v>12.16</v>
      </c>
      <c r="I11" s="10">
        <v>37510</v>
      </c>
      <c r="J11" s="11">
        <f t="shared" si="5"/>
        <v>93.691275167785221</v>
      </c>
      <c r="K11" s="11">
        <f t="shared" si="6"/>
        <v>96.001879233135838</v>
      </c>
      <c r="L11" s="11">
        <f t="shared" si="7"/>
        <v>100.82617156219291</v>
      </c>
      <c r="M11" s="11">
        <f t="shared" si="2"/>
        <v>80.555555555555557</v>
      </c>
      <c r="N11" s="11">
        <f t="shared" si="3"/>
        <v>101.52057245080502</v>
      </c>
      <c r="O11" s="11">
        <f t="shared" si="4"/>
        <v>86.241134751773046</v>
      </c>
      <c r="Q11" s="4">
        <v>1.49</v>
      </c>
      <c r="R11" s="4">
        <v>1815.8525733157076</v>
      </c>
      <c r="S11" s="4">
        <v>2338.2847000963566</v>
      </c>
      <c r="T11" s="4">
        <v>180</v>
      </c>
      <c r="U11" s="4">
        <v>22.36</v>
      </c>
      <c r="V11" s="4">
        <v>14.1</v>
      </c>
      <c r="W11" s="4"/>
      <c r="X11" s="7">
        <v>37510</v>
      </c>
      <c r="Y11" s="68">
        <v>1758.2525944863351</v>
      </c>
      <c r="Z11" s="68">
        <v>2357.6029433316603</v>
      </c>
    </row>
    <row r="12" spans="1:26" x14ac:dyDescent="0.3">
      <c r="A12" s="7">
        <v>37517</v>
      </c>
      <c r="B12" s="19">
        <v>1.4139999999999999</v>
      </c>
      <c r="C12" s="20">
        <v>14</v>
      </c>
      <c r="D12" s="20"/>
      <c r="E12" s="2">
        <v>150</v>
      </c>
      <c r="F12" s="19">
        <v>23.1</v>
      </c>
      <c r="G12" s="19">
        <v>12.51</v>
      </c>
      <c r="I12" s="10">
        <v>37517</v>
      </c>
      <c r="J12" s="11">
        <f t="shared" si="5"/>
        <v>94.89932885906039</v>
      </c>
      <c r="K12" s="11">
        <f t="shared" si="6"/>
        <v>97.598925184231234</v>
      </c>
      <c r="L12" s="11">
        <f t="shared" si="7"/>
        <v>100.82617156219291</v>
      </c>
      <c r="M12" s="11">
        <f t="shared" si="2"/>
        <v>83.333333333333343</v>
      </c>
      <c r="N12" s="11">
        <f t="shared" si="3"/>
        <v>103.30948121645798</v>
      </c>
      <c r="O12" s="11">
        <f t="shared" si="4"/>
        <v>88.723404255319153</v>
      </c>
      <c r="Q12" s="4">
        <v>1.49</v>
      </c>
      <c r="R12" s="4">
        <v>1815.8525733157076</v>
      </c>
      <c r="S12" s="4">
        <v>2338.2847000963566</v>
      </c>
      <c r="T12" s="4">
        <v>180</v>
      </c>
      <c r="U12" s="4">
        <v>22.36</v>
      </c>
      <c r="V12" s="4">
        <v>14.1</v>
      </c>
      <c r="W12" s="4"/>
      <c r="X12" s="7">
        <v>37517</v>
      </c>
      <c r="Y12" s="68">
        <v>1758.2525944863351</v>
      </c>
      <c r="Z12" s="68">
        <v>2357.6029433316603</v>
      </c>
    </row>
    <row r="13" spans="1:26" x14ac:dyDescent="0.3">
      <c r="A13" s="7">
        <v>37524</v>
      </c>
      <c r="B13" s="19">
        <v>1.417</v>
      </c>
      <c r="C13" s="20">
        <v>0</v>
      </c>
      <c r="D13" s="20"/>
      <c r="E13" s="2">
        <v>157</v>
      </c>
      <c r="F13" s="19">
        <v>24.5</v>
      </c>
      <c r="G13" s="19">
        <v>12.94</v>
      </c>
      <c r="I13" s="10">
        <v>37524</v>
      </c>
      <c r="J13" s="11">
        <f t="shared" si="5"/>
        <v>95.100671140939596</v>
      </c>
      <c r="K13" s="11">
        <f t="shared" si="6"/>
        <v>96.827937483702414</v>
      </c>
      <c r="L13" s="11">
        <f t="shared" si="7"/>
        <v>100.83147449248409</v>
      </c>
      <c r="M13" s="11">
        <f t="shared" si="2"/>
        <v>87.222222222222229</v>
      </c>
      <c r="N13" s="11">
        <f t="shared" si="3"/>
        <v>109.57066189624329</v>
      </c>
      <c r="O13" s="11">
        <f t="shared" si="4"/>
        <v>91.773049645390074</v>
      </c>
      <c r="Q13" s="4">
        <v>1.49</v>
      </c>
      <c r="R13" s="4">
        <v>1815.8525733157076</v>
      </c>
      <c r="S13" s="4">
        <v>2338.2847000963566</v>
      </c>
      <c r="T13" s="4">
        <v>180</v>
      </c>
      <c r="U13" s="4">
        <v>22.36</v>
      </c>
      <c r="V13" s="4">
        <v>14.1</v>
      </c>
      <c r="W13" s="4"/>
      <c r="X13" s="7">
        <v>37524</v>
      </c>
      <c r="Y13" s="68">
        <v>1758.2525944863351</v>
      </c>
      <c r="Z13" s="68">
        <v>2357.7269409393157</v>
      </c>
    </row>
    <row r="14" spans="1:26" x14ac:dyDescent="0.3">
      <c r="A14" s="7">
        <v>37531</v>
      </c>
      <c r="B14" s="19">
        <v>1.4379999999999999</v>
      </c>
      <c r="C14" s="20">
        <v>0</v>
      </c>
      <c r="D14" s="20"/>
      <c r="E14" s="2">
        <v>178</v>
      </c>
      <c r="F14" s="19">
        <v>24.62</v>
      </c>
      <c r="G14" s="19">
        <v>13.27</v>
      </c>
      <c r="I14" s="10">
        <v>37531</v>
      </c>
      <c r="J14" s="11">
        <f t="shared" si="5"/>
        <v>96.510067114093957</v>
      </c>
      <c r="K14" s="11">
        <f t="shared" si="6"/>
        <v>98.922758742926845</v>
      </c>
      <c r="L14" s="11">
        <f t="shared" si="7"/>
        <v>102.61640244122768</v>
      </c>
      <c r="M14" s="11">
        <f t="shared" si="2"/>
        <v>98.888888888888886</v>
      </c>
      <c r="N14" s="11">
        <f t="shared" si="3"/>
        <v>110.10733452593919</v>
      </c>
      <c r="O14" s="11">
        <f t="shared" si="4"/>
        <v>94.113475177304963</v>
      </c>
      <c r="Q14" s="4">
        <v>1.49</v>
      </c>
      <c r="R14" s="4">
        <v>1815.8525733157076</v>
      </c>
      <c r="S14" s="4">
        <v>2338.2847000963566</v>
      </c>
      <c r="T14" s="4">
        <v>180</v>
      </c>
      <c r="U14" s="4">
        <v>22.36</v>
      </c>
      <c r="V14" s="4">
        <v>14.1</v>
      </c>
      <c r="W14" s="4"/>
      <c r="X14" s="7">
        <v>37531</v>
      </c>
      <c r="Y14" s="68">
        <v>1796.2914602283261</v>
      </c>
      <c r="Z14" s="68">
        <v>2399.463638072531</v>
      </c>
    </row>
    <row r="15" spans="1:26" x14ac:dyDescent="0.3">
      <c r="A15" s="7">
        <v>37538</v>
      </c>
      <c r="B15" s="19">
        <v>1.46</v>
      </c>
      <c r="C15" s="20">
        <v>0</v>
      </c>
      <c r="D15" s="20"/>
      <c r="E15" s="2">
        <v>200</v>
      </c>
      <c r="F15" s="19">
        <v>24.12</v>
      </c>
      <c r="G15" s="19">
        <v>13.81</v>
      </c>
      <c r="I15" s="10">
        <v>37538</v>
      </c>
      <c r="J15" s="11">
        <f t="shared" si="5"/>
        <v>97.986577181208062</v>
      </c>
      <c r="K15" s="11">
        <f t="shared" si="6"/>
        <v>98.922758742926845</v>
      </c>
      <c r="L15" s="11">
        <f t="shared" si="7"/>
        <v>102.61640244122768</v>
      </c>
      <c r="M15" s="11">
        <f t="shared" si="2"/>
        <v>111.11111111111111</v>
      </c>
      <c r="N15" s="11">
        <f t="shared" si="3"/>
        <v>107.871198568873</v>
      </c>
      <c r="O15" s="11">
        <f t="shared" si="4"/>
        <v>97.943262411347519</v>
      </c>
      <c r="Q15" s="4">
        <v>1.49</v>
      </c>
      <c r="R15" s="4">
        <v>1815.8525733157076</v>
      </c>
      <c r="S15" s="4">
        <v>2338.2847000963566</v>
      </c>
      <c r="T15" s="4">
        <v>180</v>
      </c>
      <c r="U15" s="4">
        <v>22.36</v>
      </c>
      <c r="V15" s="4">
        <v>14.1</v>
      </c>
      <c r="W15" s="4"/>
      <c r="X15" s="7">
        <v>37538</v>
      </c>
      <c r="Y15" s="68">
        <v>1796.2914602283261</v>
      </c>
      <c r="Z15" s="68">
        <v>2399.463638072531</v>
      </c>
    </row>
    <row r="16" spans="1:26" x14ac:dyDescent="0.3">
      <c r="A16" s="7">
        <v>37545</v>
      </c>
      <c r="B16" s="19">
        <v>1.46</v>
      </c>
      <c r="C16" s="20">
        <v>0</v>
      </c>
      <c r="D16" s="20"/>
      <c r="E16" s="2">
        <v>206</v>
      </c>
      <c r="F16" s="19">
        <v>24.3</v>
      </c>
      <c r="G16" s="19">
        <v>13.3</v>
      </c>
      <c r="I16" s="10">
        <v>37545</v>
      </c>
      <c r="J16" s="11">
        <f t="shared" si="5"/>
        <v>97.986577181208062</v>
      </c>
      <c r="K16" s="11">
        <f t="shared" si="6"/>
        <v>98.922758742926845</v>
      </c>
      <c r="L16" s="11">
        <f t="shared" si="7"/>
        <v>102.61640244122768</v>
      </c>
      <c r="M16" s="11">
        <f t="shared" si="2"/>
        <v>114.44444444444444</v>
      </c>
      <c r="N16" s="11">
        <f t="shared" si="3"/>
        <v>108.67620751341683</v>
      </c>
      <c r="O16" s="11">
        <f t="shared" si="4"/>
        <v>94.326241134751783</v>
      </c>
      <c r="Q16" s="4">
        <v>1.49</v>
      </c>
      <c r="R16" s="4">
        <v>1815.8525733157076</v>
      </c>
      <c r="S16" s="4">
        <v>2338.2847000963566</v>
      </c>
      <c r="T16" s="4">
        <v>180</v>
      </c>
      <c r="U16" s="4">
        <v>22.36</v>
      </c>
      <c r="V16" s="4">
        <v>14.1</v>
      </c>
      <c r="W16" s="4"/>
      <c r="X16" s="7">
        <v>37545</v>
      </c>
      <c r="Y16" s="68">
        <v>1796.2914602283261</v>
      </c>
      <c r="Z16" s="68">
        <v>2399.463638072531</v>
      </c>
    </row>
    <row r="17" spans="1:26" x14ac:dyDescent="0.3">
      <c r="A17" s="7">
        <v>37552</v>
      </c>
      <c r="B17" s="19">
        <v>1.47</v>
      </c>
      <c r="C17" s="20">
        <v>0</v>
      </c>
      <c r="D17" s="20"/>
      <c r="E17" s="2">
        <v>209</v>
      </c>
      <c r="F17" s="19">
        <v>24.75</v>
      </c>
      <c r="G17" s="19">
        <v>13.59</v>
      </c>
      <c r="I17" s="10">
        <v>37552</v>
      </c>
      <c r="J17" s="11">
        <f t="shared" si="5"/>
        <v>98.65771812080537</v>
      </c>
      <c r="K17" s="11">
        <f t="shared" si="6"/>
        <v>98.922758742926845</v>
      </c>
      <c r="L17" s="11">
        <f t="shared" si="7"/>
        <v>102.61640244122768</v>
      </c>
      <c r="M17" s="11">
        <f t="shared" si="2"/>
        <v>116.11111111111111</v>
      </c>
      <c r="N17" s="11">
        <f t="shared" si="3"/>
        <v>110.68872987477639</v>
      </c>
      <c r="O17" s="11">
        <f t="shared" si="4"/>
        <v>96.38297872340425</v>
      </c>
      <c r="Q17" s="4">
        <v>1.49</v>
      </c>
      <c r="R17" s="4">
        <v>1815.8525733157076</v>
      </c>
      <c r="S17" s="4">
        <v>2338.2847000963566</v>
      </c>
      <c r="T17" s="4">
        <v>180</v>
      </c>
      <c r="U17" s="4">
        <v>22.36</v>
      </c>
      <c r="V17" s="4">
        <v>14.1</v>
      </c>
      <c r="W17" s="4"/>
      <c r="X17" s="7">
        <v>37552</v>
      </c>
      <c r="Y17" s="68">
        <v>1796.2914602283261</v>
      </c>
      <c r="Z17" s="68">
        <v>2399.463638072531</v>
      </c>
    </row>
    <row r="18" spans="1:26" x14ac:dyDescent="0.3">
      <c r="A18" s="7">
        <v>37559</v>
      </c>
      <c r="B18" s="19">
        <v>1.46</v>
      </c>
      <c r="C18" s="20">
        <v>16</v>
      </c>
      <c r="D18" s="20"/>
      <c r="E18" s="2">
        <v>209</v>
      </c>
      <c r="F18" s="19">
        <v>24.96</v>
      </c>
      <c r="G18" s="19">
        <v>13.97</v>
      </c>
      <c r="I18" s="10">
        <v>37559</v>
      </c>
      <c r="J18" s="11">
        <f t="shared" si="5"/>
        <v>97.986577181208062</v>
      </c>
      <c r="K18" s="11">
        <f t="shared" si="6"/>
        <v>99.784907271783126</v>
      </c>
      <c r="L18" s="11">
        <f t="shared" si="7"/>
        <v>102.61045878032324</v>
      </c>
      <c r="M18" s="11">
        <f t="shared" si="2"/>
        <v>116.11111111111111</v>
      </c>
      <c r="N18" s="11">
        <f t="shared" si="3"/>
        <v>111.62790697674419</v>
      </c>
      <c r="O18" s="11">
        <f t="shared" si="4"/>
        <v>99.078014184397162</v>
      </c>
      <c r="Q18" s="4">
        <v>1.49</v>
      </c>
      <c r="R18" s="4">
        <v>1815.8525733157076</v>
      </c>
      <c r="S18" s="4">
        <v>2338.2847000963566</v>
      </c>
      <c r="T18" s="4">
        <v>180</v>
      </c>
      <c r="U18" s="4">
        <v>22.36</v>
      </c>
      <c r="V18" s="4">
        <v>14.1</v>
      </c>
      <c r="W18" s="4"/>
      <c r="X18" s="7">
        <v>37559</v>
      </c>
      <c r="Y18" s="68">
        <v>1795.9468064753667</v>
      </c>
      <c r="Z18" s="68">
        <v>2399.3246583589771</v>
      </c>
    </row>
    <row r="19" spans="1:26" x14ac:dyDescent="0.3">
      <c r="A19" s="7">
        <v>37566</v>
      </c>
      <c r="B19" s="19">
        <v>1.44</v>
      </c>
      <c r="C19" s="20">
        <v>19</v>
      </c>
      <c r="D19" s="20"/>
      <c r="E19" s="2">
        <v>217</v>
      </c>
      <c r="F19" s="19">
        <v>25.1</v>
      </c>
      <c r="G19" s="19">
        <v>14.42</v>
      </c>
      <c r="I19" s="10">
        <v>37566</v>
      </c>
      <c r="J19" s="11">
        <f t="shared" si="5"/>
        <v>96.644295302013418</v>
      </c>
      <c r="K19" s="11">
        <f t="shared" si="6"/>
        <v>99.485531318453667</v>
      </c>
      <c r="L19" s="11">
        <f t="shared" si="7"/>
        <v>104.52166405531604</v>
      </c>
      <c r="M19" s="11">
        <f t="shared" si="2"/>
        <v>120.55555555555554</v>
      </c>
      <c r="N19" s="11">
        <f t="shared" si="3"/>
        <v>112.25402504472272</v>
      </c>
      <c r="O19" s="11">
        <f t="shared" si="4"/>
        <v>102.26950354609929</v>
      </c>
      <c r="Q19" s="4">
        <v>1.49</v>
      </c>
      <c r="R19" s="4">
        <v>1815.8525733157076</v>
      </c>
      <c r="S19" s="4">
        <v>2338.2847000963566</v>
      </c>
      <c r="T19" s="4">
        <v>180</v>
      </c>
      <c r="U19" s="4">
        <v>22.36</v>
      </c>
      <c r="V19" s="4">
        <v>14.1</v>
      </c>
      <c r="W19" s="4"/>
      <c r="X19" s="7">
        <v>37566</v>
      </c>
      <c r="Y19" s="68">
        <v>1787.510580522945</v>
      </c>
      <c r="Z19" s="68">
        <v>2444.0140788915683</v>
      </c>
    </row>
    <row r="20" spans="1:26" x14ac:dyDescent="0.3">
      <c r="A20" s="7">
        <v>37573</v>
      </c>
      <c r="B20" s="19">
        <v>1.43</v>
      </c>
      <c r="C20" s="20">
        <v>8</v>
      </c>
      <c r="D20" s="20"/>
      <c r="E20" s="2">
        <v>223</v>
      </c>
      <c r="F20" s="19">
        <v>24.81</v>
      </c>
      <c r="G20" s="19">
        <v>14.8</v>
      </c>
      <c r="I20" s="10">
        <v>37573</v>
      </c>
      <c r="J20" s="11">
        <f t="shared" si="5"/>
        <v>95.973154362416096</v>
      </c>
      <c r="K20" s="11">
        <f t="shared" si="6"/>
        <v>98.879755268038167</v>
      </c>
      <c r="L20" s="11">
        <f t="shared" si="7"/>
        <v>104.52166405531604</v>
      </c>
      <c r="M20" s="11">
        <f t="shared" si="2"/>
        <v>123.88888888888889</v>
      </c>
      <c r="N20" s="11">
        <f t="shared" si="3"/>
        <v>110.95706618962433</v>
      </c>
      <c r="O20" s="11">
        <f t="shared" si="4"/>
        <v>104.96453900709221</v>
      </c>
      <c r="Q20" s="4">
        <v>1.49</v>
      </c>
      <c r="R20" s="4">
        <v>1815.8525733157076</v>
      </c>
      <c r="S20" s="4">
        <v>2338.2847000963566</v>
      </c>
      <c r="T20" s="4">
        <v>180</v>
      </c>
      <c r="U20" s="4">
        <v>22.36</v>
      </c>
      <c r="V20" s="4">
        <v>14.1</v>
      </c>
      <c r="W20" s="4"/>
      <c r="X20" s="7">
        <v>37573</v>
      </c>
      <c r="Y20" s="68">
        <v>1787.510580522945</v>
      </c>
      <c r="Z20" s="68">
        <v>2444.0140788915683</v>
      </c>
    </row>
    <row r="21" spans="1:26" x14ac:dyDescent="0.3">
      <c r="A21" s="7">
        <v>37580</v>
      </c>
      <c r="B21" s="19">
        <v>1.41</v>
      </c>
      <c r="C21" s="20">
        <v>14.5</v>
      </c>
      <c r="D21" s="20"/>
      <c r="E21" s="2">
        <v>214</v>
      </c>
      <c r="F21" s="19">
        <v>24.31</v>
      </c>
      <c r="G21" s="19">
        <v>15.33</v>
      </c>
      <c r="I21" s="10">
        <v>37580</v>
      </c>
      <c r="J21" s="11">
        <f t="shared" si="5"/>
        <v>94.630872483221466</v>
      </c>
      <c r="K21" s="11">
        <f t="shared" si="6"/>
        <v>99.237713843283686</v>
      </c>
      <c r="L21" s="11">
        <f t="shared" si="7"/>
        <v>104.52166405531604</v>
      </c>
      <c r="M21" s="11">
        <f t="shared" si="2"/>
        <v>118.88888888888889</v>
      </c>
      <c r="N21" s="11">
        <f t="shared" si="3"/>
        <v>108.72093023255813</v>
      </c>
      <c r="O21" s="11">
        <f t="shared" si="4"/>
        <v>108.72340425531914</v>
      </c>
      <c r="Q21" s="4">
        <v>1.49</v>
      </c>
      <c r="R21" s="4">
        <v>1815.8525733157076</v>
      </c>
      <c r="S21" s="4">
        <v>2338.2847000963566</v>
      </c>
      <c r="T21" s="4">
        <v>180</v>
      </c>
      <c r="U21" s="4">
        <v>22.36</v>
      </c>
      <c r="V21" s="4">
        <v>14.1</v>
      </c>
      <c r="W21" s="4"/>
      <c r="X21" s="7">
        <v>37580</v>
      </c>
      <c r="Y21" s="68">
        <v>1787.510580522945</v>
      </c>
      <c r="Z21" s="68">
        <v>2444.0140788915683</v>
      </c>
    </row>
    <row r="22" spans="1:26" x14ac:dyDescent="0.3">
      <c r="A22" s="7">
        <v>37587</v>
      </c>
      <c r="B22" s="19">
        <v>1.41</v>
      </c>
      <c r="C22" s="20">
        <v>4</v>
      </c>
      <c r="D22" s="20"/>
      <c r="E22" s="2">
        <v>241</v>
      </c>
      <c r="F22" s="19">
        <v>24.5</v>
      </c>
      <c r="G22" s="19">
        <v>16.010000000000002</v>
      </c>
      <c r="I22" s="10">
        <v>37587</v>
      </c>
      <c r="J22" s="11">
        <f t="shared" si="5"/>
        <v>94.630872483221466</v>
      </c>
      <c r="K22" s="11">
        <f t="shared" si="6"/>
        <v>98.651221055617739</v>
      </c>
      <c r="L22" s="11">
        <f t="shared" si="7"/>
        <v>104.53200728352741</v>
      </c>
      <c r="M22" s="11">
        <f t="shared" si="2"/>
        <v>133.88888888888891</v>
      </c>
      <c r="N22" s="11">
        <f t="shared" si="3"/>
        <v>109.57066189624329</v>
      </c>
      <c r="O22" s="11">
        <f t="shared" si="4"/>
        <v>113.54609929078015</v>
      </c>
      <c r="Q22" s="4">
        <v>1.49</v>
      </c>
      <c r="R22" s="4">
        <v>1815.8525733157076</v>
      </c>
      <c r="S22" s="4">
        <v>2338.2847000963566</v>
      </c>
      <c r="T22" s="4">
        <v>180</v>
      </c>
      <c r="U22" s="4">
        <v>22.36</v>
      </c>
      <c r="V22" s="4">
        <v>14.1</v>
      </c>
      <c r="W22" s="4"/>
      <c r="X22" s="7">
        <v>37587</v>
      </c>
      <c r="Y22" s="68">
        <v>1787.3607361458019</v>
      </c>
      <c r="Z22" s="68">
        <v>2444.2559330143304</v>
      </c>
    </row>
    <row r="23" spans="1:26" x14ac:dyDescent="0.3">
      <c r="A23" s="7">
        <v>37594</v>
      </c>
      <c r="B23" s="19">
        <v>1.41</v>
      </c>
      <c r="C23" s="20">
        <v>62</v>
      </c>
      <c r="D23" s="20"/>
      <c r="E23" s="2">
        <v>216</v>
      </c>
      <c r="F23" s="19">
        <v>24.89</v>
      </c>
      <c r="G23" s="19">
        <v>17.09</v>
      </c>
      <c r="I23" s="10">
        <v>37594</v>
      </c>
      <c r="J23" s="11">
        <f t="shared" si="5"/>
        <v>94.630872483221466</v>
      </c>
      <c r="K23" s="11">
        <f t="shared" si="6"/>
        <v>100.16833360184609</v>
      </c>
      <c r="L23" s="11">
        <f t="shared" si="7"/>
        <v>101.55625479199324</v>
      </c>
      <c r="M23" s="11">
        <f t="shared" si="2"/>
        <v>120</v>
      </c>
      <c r="N23" s="11">
        <f t="shared" si="3"/>
        <v>111.31484794275492</v>
      </c>
      <c r="O23" s="11">
        <f t="shared" si="4"/>
        <v>121.20567375886525</v>
      </c>
      <c r="Q23" s="4">
        <v>1.49</v>
      </c>
      <c r="R23" s="4">
        <v>1815.8525733157076</v>
      </c>
      <c r="S23" s="4">
        <v>2338.2847000963566</v>
      </c>
      <c r="T23" s="4">
        <v>180</v>
      </c>
      <c r="U23" s="4">
        <v>22.36</v>
      </c>
      <c r="V23" s="4">
        <v>14.1</v>
      </c>
      <c r="W23" s="4"/>
      <c r="X23" s="7">
        <v>37594</v>
      </c>
      <c r="Y23" s="68">
        <v>1756.9092633565849</v>
      </c>
      <c r="Z23" s="68">
        <v>2374.6743677920508</v>
      </c>
    </row>
    <row r="24" spans="1:26" x14ac:dyDescent="0.3">
      <c r="A24" s="7">
        <v>37601</v>
      </c>
      <c r="B24" s="19">
        <v>1.41</v>
      </c>
      <c r="C24" s="20">
        <v>21</v>
      </c>
      <c r="D24" s="20"/>
      <c r="E24" s="2">
        <v>228</v>
      </c>
      <c r="F24" s="19">
        <v>24.91</v>
      </c>
      <c r="G24" s="19">
        <v>18.100000000000001</v>
      </c>
      <c r="I24" s="10">
        <v>37601</v>
      </c>
      <c r="J24" s="11">
        <f t="shared" si="5"/>
        <v>94.630872483221466</v>
      </c>
      <c r="K24" s="11">
        <f t="shared" si="6"/>
        <v>97.910441050297436</v>
      </c>
      <c r="L24" s="11">
        <f t="shared" si="7"/>
        <v>101.55625479199324</v>
      </c>
      <c r="M24" s="11">
        <f t="shared" si="2"/>
        <v>126.66666666666666</v>
      </c>
      <c r="N24" s="11">
        <f t="shared" si="3"/>
        <v>111.40429338103756</v>
      </c>
      <c r="O24" s="11">
        <f t="shared" si="4"/>
        <v>128.36879432624116</v>
      </c>
      <c r="Q24" s="4">
        <v>1.49</v>
      </c>
      <c r="R24" s="4">
        <v>1815.8525733157076</v>
      </c>
      <c r="S24" s="4">
        <v>2338.2847000963566</v>
      </c>
      <c r="T24" s="4">
        <v>180</v>
      </c>
      <c r="U24" s="4">
        <v>22.36</v>
      </c>
      <c r="V24" s="4">
        <v>14.1</v>
      </c>
      <c r="W24" s="4"/>
      <c r="X24" s="7">
        <v>37601</v>
      </c>
      <c r="Y24" s="68">
        <v>1756.9092633565849</v>
      </c>
      <c r="Z24" s="68">
        <v>2374.6743677920508</v>
      </c>
    </row>
    <row r="25" spans="1:26" x14ac:dyDescent="0.3">
      <c r="A25" s="7">
        <v>37608</v>
      </c>
      <c r="B25" s="19">
        <v>1.4</v>
      </c>
      <c r="C25" s="20">
        <v>2.5</v>
      </c>
      <c r="D25" s="20"/>
      <c r="E25" s="12">
        <v>174</v>
      </c>
      <c r="F25" s="19">
        <v>25.17</v>
      </c>
      <c r="G25" s="19">
        <v>18.850000000000001</v>
      </c>
      <c r="I25" s="10">
        <v>37608</v>
      </c>
      <c r="J25" s="11">
        <f t="shared" si="5"/>
        <v>93.959731543624159</v>
      </c>
      <c r="K25" s="11">
        <f t="shared" si="6"/>
        <v>96.891635874598663</v>
      </c>
      <c r="L25" s="11">
        <f t="shared" si="7"/>
        <v>101.55625479199324</v>
      </c>
      <c r="M25" s="11">
        <f t="shared" si="2"/>
        <v>96.666666666666671</v>
      </c>
      <c r="N25" s="11">
        <f t="shared" si="3"/>
        <v>112.56708407871199</v>
      </c>
      <c r="O25" s="11">
        <f t="shared" si="4"/>
        <v>133.68794326241135</v>
      </c>
      <c r="Q25" s="4">
        <v>1.49</v>
      </c>
      <c r="R25" s="4">
        <v>1815.8525733157076</v>
      </c>
      <c r="S25" s="4">
        <v>2338.2847000963566</v>
      </c>
      <c r="T25" s="4">
        <v>180</v>
      </c>
      <c r="U25" s="4">
        <v>22.36</v>
      </c>
      <c r="V25" s="4">
        <v>14.1</v>
      </c>
      <c r="W25" s="4"/>
      <c r="X25" s="7">
        <v>37608</v>
      </c>
      <c r="Y25" s="68">
        <v>1756.9092633565849</v>
      </c>
      <c r="Z25" s="68">
        <v>2374.6743677920508</v>
      </c>
    </row>
    <row r="26" spans="1:26" x14ac:dyDescent="0.3">
      <c r="A26" s="7">
        <v>37615</v>
      </c>
      <c r="B26" s="19">
        <v>1.44</v>
      </c>
      <c r="C26" s="20">
        <v>28</v>
      </c>
      <c r="D26" s="20"/>
      <c r="E26" s="2">
        <v>166</v>
      </c>
      <c r="F26" s="19">
        <v>25.55</v>
      </c>
      <c r="G26" s="19">
        <v>19.43</v>
      </c>
      <c r="I26" s="10">
        <v>37615</v>
      </c>
      <c r="J26" s="11">
        <f t="shared" si="5"/>
        <v>96.644295302013418</v>
      </c>
      <c r="K26" s="11">
        <f t="shared" si="6"/>
        <v>98.297010944308809</v>
      </c>
      <c r="L26" s="11">
        <f t="shared" si="7"/>
        <v>101.55193650282057</v>
      </c>
      <c r="M26" s="11">
        <f t="shared" si="2"/>
        <v>92.222222222222229</v>
      </c>
      <c r="N26" s="11">
        <f t="shared" si="3"/>
        <v>114.26654740608231</v>
      </c>
      <c r="O26" s="11">
        <f t="shared" si="4"/>
        <v>137.80141843971631</v>
      </c>
      <c r="Q26" s="4">
        <v>1.49</v>
      </c>
      <c r="R26" s="4">
        <v>1815.8525733157076</v>
      </c>
      <c r="S26" s="4">
        <v>2338.2847000963566</v>
      </c>
      <c r="T26" s="4">
        <v>180</v>
      </c>
      <c r="U26" s="4">
        <v>22.36</v>
      </c>
      <c r="V26" s="4">
        <v>14.1</v>
      </c>
      <c r="W26" s="4"/>
      <c r="X26" s="7">
        <v>37615</v>
      </c>
      <c r="Y26" s="68">
        <v>1756.9288027246541</v>
      </c>
      <c r="Z26" s="68">
        <v>2374.5733938970207</v>
      </c>
    </row>
    <row r="27" spans="1:26" x14ac:dyDescent="0.3">
      <c r="A27" s="7">
        <v>37622</v>
      </c>
      <c r="B27" s="19">
        <v>1.49</v>
      </c>
      <c r="C27" s="20">
        <v>17.5</v>
      </c>
      <c r="D27" s="20"/>
      <c r="E27" s="2">
        <v>160</v>
      </c>
      <c r="F27" s="19">
        <v>25.55</v>
      </c>
      <c r="G27" s="19">
        <v>19.47</v>
      </c>
      <c r="I27" s="10">
        <v>37622</v>
      </c>
      <c r="J27" s="11">
        <f t="shared" si="5"/>
        <v>100</v>
      </c>
      <c r="K27" s="11">
        <f t="shared" si="6"/>
        <v>96.988955530655517</v>
      </c>
      <c r="L27" s="11">
        <f t="shared" si="7"/>
        <v>99.28909562512473</v>
      </c>
      <c r="M27" s="11">
        <f t="shared" si="2"/>
        <v>88.888888888888886</v>
      </c>
      <c r="N27" s="11">
        <f t="shared" si="3"/>
        <v>114.26654740608231</v>
      </c>
      <c r="O27" s="11">
        <f t="shared" si="4"/>
        <v>138.08510638297869</v>
      </c>
      <c r="Q27" s="4">
        <v>1.49</v>
      </c>
      <c r="R27" s="4">
        <v>1815.8525733157076</v>
      </c>
      <c r="S27" s="4">
        <v>2338.2847000963566</v>
      </c>
      <c r="T27" s="4">
        <v>180</v>
      </c>
      <c r="U27" s="4">
        <v>22.36</v>
      </c>
      <c r="V27" s="4">
        <v>14.1</v>
      </c>
      <c r="W27" s="4"/>
      <c r="X27" s="7">
        <v>37622</v>
      </c>
      <c r="Y27" s="68">
        <v>1743.6764448354354</v>
      </c>
      <c r="Z27" s="68">
        <v>2321.6617318663325</v>
      </c>
    </row>
    <row r="28" spans="1:26" x14ac:dyDescent="0.3">
      <c r="A28" s="7">
        <v>37629</v>
      </c>
      <c r="B28" s="19">
        <v>1.5</v>
      </c>
      <c r="C28" s="20">
        <v>11</v>
      </c>
      <c r="D28" s="20"/>
      <c r="E28" s="2">
        <v>160</v>
      </c>
      <c r="F28" s="19">
        <v>25.8</v>
      </c>
      <c r="G28" s="19">
        <v>19.55</v>
      </c>
      <c r="I28" s="10">
        <v>37629</v>
      </c>
      <c r="J28" s="11">
        <f t="shared" si="5"/>
        <v>100.67114093959732</v>
      </c>
      <c r="K28" s="11">
        <f t="shared" si="6"/>
        <v>96.630996955409998</v>
      </c>
      <c r="L28" s="11">
        <f t="shared" si="7"/>
        <v>99.28909562512473</v>
      </c>
      <c r="M28" s="11">
        <f t="shared" si="2"/>
        <v>88.888888888888886</v>
      </c>
      <c r="N28" s="11">
        <f t="shared" si="3"/>
        <v>115.3846153846154</v>
      </c>
      <c r="O28" s="11">
        <f t="shared" si="4"/>
        <v>138.65248226950357</v>
      </c>
      <c r="Q28" s="4">
        <v>1.49</v>
      </c>
      <c r="R28" s="4">
        <v>1815.8525733157076</v>
      </c>
      <c r="S28" s="4">
        <v>2338.2847000963566</v>
      </c>
      <c r="T28" s="4">
        <v>180</v>
      </c>
      <c r="U28" s="4">
        <v>22.36</v>
      </c>
      <c r="V28" s="4">
        <v>14.1</v>
      </c>
      <c r="W28" s="4"/>
      <c r="X28" s="7">
        <v>37629</v>
      </c>
      <c r="Y28" s="68">
        <v>1743.6764448354354</v>
      </c>
      <c r="Z28" s="68">
        <v>2321.6617318663325</v>
      </c>
    </row>
    <row r="29" spans="1:26" x14ac:dyDescent="0.3">
      <c r="A29" s="7">
        <v>37636</v>
      </c>
      <c r="B29" s="19">
        <v>1.48</v>
      </c>
      <c r="C29" s="20">
        <v>2.5</v>
      </c>
      <c r="D29" s="20"/>
      <c r="E29" s="2">
        <v>237</v>
      </c>
      <c r="F29" s="19">
        <v>27.26</v>
      </c>
      <c r="G29" s="19">
        <v>20.420000000000002</v>
      </c>
      <c r="I29" s="10">
        <v>37636</v>
      </c>
      <c r="J29" s="11">
        <f t="shared" si="5"/>
        <v>99.328859060402692</v>
      </c>
      <c r="K29" s="11">
        <f t="shared" si="6"/>
        <v>96.162897280088927</v>
      </c>
      <c r="L29" s="11">
        <f t="shared" si="7"/>
        <v>99.28909562512473</v>
      </c>
      <c r="M29" s="11">
        <f t="shared" si="2"/>
        <v>131.66666666666666</v>
      </c>
      <c r="N29" s="11">
        <f t="shared" si="3"/>
        <v>121.91413237924866</v>
      </c>
      <c r="O29" s="11">
        <f t="shared" si="4"/>
        <v>144.82269503546101</v>
      </c>
      <c r="Q29" s="4">
        <v>1.49</v>
      </c>
      <c r="R29" s="4">
        <v>1815.8525733157076</v>
      </c>
      <c r="S29" s="4">
        <v>2338.2847000963566</v>
      </c>
      <c r="T29" s="4">
        <v>180</v>
      </c>
      <c r="U29" s="4">
        <v>22.36</v>
      </c>
      <c r="V29" s="4">
        <v>14.1</v>
      </c>
      <c r="W29" s="4"/>
      <c r="X29" s="7">
        <v>37636</v>
      </c>
      <c r="Y29" s="68">
        <v>1743.6764448354354</v>
      </c>
      <c r="Z29" s="68">
        <v>2321.6617318663325</v>
      </c>
    </row>
    <row r="30" spans="1:26" x14ac:dyDescent="0.3">
      <c r="A30" s="7">
        <v>37643</v>
      </c>
      <c r="B30" s="19">
        <v>1.48</v>
      </c>
      <c r="C30" s="20">
        <v>26.5</v>
      </c>
      <c r="D30" s="20"/>
      <c r="E30" s="2">
        <v>239</v>
      </c>
      <c r="F30" s="19">
        <v>28</v>
      </c>
      <c r="G30" s="19">
        <v>20.76</v>
      </c>
      <c r="I30" s="10">
        <v>37643</v>
      </c>
      <c r="J30" s="11">
        <f t="shared" si="5"/>
        <v>99.328859060402692</v>
      </c>
      <c r="K30" s="11">
        <f t="shared" si="6"/>
        <v>97.484590480995465</v>
      </c>
      <c r="L30" s="11">
        <f t="shared" si="7"/>
        <v>99.28909562512473</v>
      </c>
      <c r="M30" s="11">
        <f t="shared" si="2"/>
        <v>132.77777777777777</v>
      </c>
      <c r="N30" s="11">
        <f t="shared" si="3"/>
        <v>125.22361359570662</v>
      </c>
      <c r="O30" s="11">
        <f t="shared" si="4"/>
        <v>147.2340425531915</v>
      </c>
      <c r="Q30" s="4">
        <v>1.49</v>
      </c>
      <c r="R30" s="4">
        <v>1815.8525733157076</v>
      </c>
      <c r="S30" s="4">
        <v>2338.2847000963566</v>
      </c>
      <c r="T30" s="4">
        <v>180</v>
      </c>
      <c r="U30" s="4">
        <v>22.36</v>
      </c>
      <c r="V30" s="4">
        <v>14.1</v>
      </c>
      <c r="W30" s="4"/>
      <c r="X30" s="7">
        <v>37643</v>
      </c>
      <c r="Y30" s="68">
        <v>1743.6764448354354</v>
      </c>
      <c r="Z30" s="68">
        <v>2321.6617318663325</v>
      </c>
    </row>
    <row r="31" spans="1:26" x14ac:dyDescent="0.3">
      <c r="A31" s="7">
        <v>37650</v>
      </c>
      <c r="B31" s="19">
        <v>1.49</v>
      </c>
      <c r="C31" s="20">
        <v>19.5</v>
      </c>
      <c r="D31" s="20"/>
      <c r="E31" s="2">
        <v>223</v>
      </c>
      <c r="F31" s="19">
        <v>26.36</v>
      </c>
      <c r="G31" s="19">
        <v>18.690000000000001</v>
      </c>
      <c r="I31" s="10">
        <v>37650</v>
      </c>
      <c r="J31" s="11">
        <f t="shared" si="5"/>
        <v>100</v>
      </c>
      <c r="K31" s="11">
        <f t="shared" si="6"/>
        <v>97.104428339975073</v>
      </c>
      <c r="L31" s="11">
        <f t="shared" si="7"/>
        <v>99.265227499421187</v>
      </c>
      <c r="M31" s="11">
        <f t="shared" si="2"/>
        <v>123.88888888888889</v>
      </c>
      <c r="N31" s="11">
        <f t="shared" si="3"/>
        <v>117.88908765652953</v>
      </c>
      <c r="O31" s="11">
        <f t="shared" si="4"/>
        <v>132.55319148936172</v>
      </c>
      <c r="Q31" s="4">
        <v>1.49</v>
      </c>
      <c r="R31" s="4">
        <v>1815.8525733157076</v>
      </c>
      <c r="S31" s="4">
        <v>2338.2847000963566</v>
      </c>
      <c r="T31" s="4">
        <v>180</v>
      </c>
      <c r="U31" s="4">
        <v>22.36</v>
      </c>
      <c r="V31" s="4">
        <v>14.1</v>
      </c>
      <c r="W31" s="4"/>
      <c r="X31" s="7">
        <v>37650</v>
      </c>
      <c r="Y31" s="68">
        <v>1743.7732608149447</v>
      </c>
      <c r="Z31" s="68">
        <v>2321.1036271348066</v>
      </c>
    </row>
    <row r="32" spans="1:26" x14ac:dyDescent="0.3">
      <c r="A32" s="7">
        <v>37657</v>
      </c>
      <c r="B32" s="19">
        <v>1.54</v>
      </c>
      <c r="C32" s="20">
        <v>14</v>
      </c>
      <c r="D32" s="20"/>
      <c r="E32" s="2">
        <v>205</v>
      </c>
      <c r="F32" s="19">
        <v>26.28</v>
      </c>
      <c r="G32" s="19">
        <v>18.72</v>
      </c>
      <c r="I32" s="10">
        <v>37657</v>
      </c>
      <c r="J32" s="11">
        <f t="shared" si="5"/>
        <v>103.35570469798658</v>
      </c>
      <c r="K32" s="11">
        <f t="shared" si="6"/>
        <v>99.031500348416074</v>
      </c>
      <c r="L32" s="11">
        <f t="shared" si="7"/>
        <v>100.61362764603206</v>
      </c>
      <c r="M32" s="11">
        <f t="shared" si="2"/>
        <v>113.88888888888889</v>
      </c>
      <c r="N32" s="11">
        <f t="shared" si="3"/>
        <v>117.53130590339893</v>
      </c>
      <c r="O32" s="11">
        <f t="shared" si="4"/>
        <v>132.7659574468085</v>
      </c>
      <c r="Q32" s="4">
        <v>1.49</v>
      </c>
      <c r="R32" s="4">
        <v>1815.8525733157076</v>
      </c>
      <c r="S32" s="4">
        <v>2338.2847000963566</v>
      </c>
      <c r="T32" s="4">
        <v>180</v>
      </c>
      <c r="U32" s="4">
        <v>22.36</v>
      </c>
      <c r="V32" s="4">
        <v>14.1</v>
      </c>
      <c r="W32" s="4"/>
      <c r="X32" s="7">
        <v>37657</v>
      </c>
      <c r="Y32" s="68">
        <v>1784.2660474698671</v>
      </c>
      <c r="Z32" s="68">
        <v>2352.6330614590856</v>
      </c>
    </row>
    <row r="33" spans="1:26" x14ac:dyDescent="0.3">
      <c r="A33" s="7">
        <v>37664</v>
      </c>
      <c r="B33" s="19">
        <v>1.66</v>
      </c>
      <c r="C33" s="20">
        <v>4.5</v>
      </c>
      <c r="D33" s="20"/>
      <c r="E33" s="2">
        <v>178</v>
      </c>
      <c r="F33" s="19">
        <v>27.2</v>
      </c>
      <c r="G33" s="19">
        <v>19.36</v>
      </c>
      <c r="I33" s="10">
        <v>37664</v>
      </c>
      <c r="J33" s="11">
        <f t="shared" si="5"/>
        <v>111.40939597315436</v>
      </c>
      <c r="K33" s="11">
        <f t="shared" si="6"/>
        <v>98.508330123057235</v>
      </c>
      <c r="L33" s="11">
        <f t="shared" si="7"/>
        <v>100.61362764603206</v>
      </c>
      <c r="M33" s="11">
        <f t="shared" si="2"/>
        <v>98.888888888888886</v>
      </c>
      <c r="N33" s="11">
        <f t="shared" si="3"/>
        <v>121.64579606440071</v>
      </c>
      <c r="O33" s="11">
        <f t="shared" si="4"/>
        <v>137.3049645390071</v>
      </c>
      <c r="Q33" s="4">
        <v>1.49</v>
      </c>
      <c r="R33" s="4">
        <v>1815.8525733157076</v>
      </c>
      <c r="S33" s="4">
        <v>2338.2847000963566</v>
      </c>
      <c r="T33" s="4">
        <v>180</v>
      </c>
      <c r="U33" s="4">
        <v>22.36</v>
      </c>
      <c r="V33" s="4">
        <v>14.1</v>
      </c>
      <c r="W33" s="4"/>
      <c r="X33" s="7">
        <v>37664</v>
      </c>
      <c r="Y33" s="68">
        <v>1784.2660474698671</v>
      </c>
      <c r="Z33" s="68">
        <v>2352.6330614590856</v>
      </c>
    </row>
    <row r="34" spans="1:26" x14ac:dyDescent="0.3">
      <c r="A34" s="7">
        <v>37671</v>
      </c>
      <c r="B34" s="19">
        <v>1.7</v>
      </c>
      <c r="C34" s="20">
        <v>12</v>
      </c>
      <c r="D34" s="20"/>
      <c r="E34" s="2">
        <v>166</v>
      </c>
      <c r="F34" s="19">
        <v>27.6</v>
      </c>
      <c r="G34" s="19">
        <v>19.100000000000001</v>
      </c>
      <c r="I34" s="10">
        <v>37671</v>
      </c>
      <c r="J34" s="11">
        <f t="shared" si="5"/>
        <v>114.09395973154362</v>
      </c>
      <c r="K34" s="11">
        <f t="shared" si="6"/>
        <v>98.921359248340522</v>
      </c>
      <c r="L34" s="11">
        <f t="shared" si="7"/>
        <v>100.61362764603206</v>
      </c>
      <c r="M34" s="11">
        <f t="shared" si="2"/>
        <v>92.222222222222229</v>
      </c>
      <c r="N34" s="11">
        <f t="shared" si="3"/>
        <v>123.43470483005368</v>
      </c>
      <c r="O34" s="11">
        <f t="shared" si="4"/>
        <v>135.46099290780143</v>
      </c>
      <c r="Q34" s="4">
        <v>1.49</v>
      </c>
      <c r="R34" s="4">
        <v>1815.8525733157076</v>
      </c>
      <c r="S34" s="4">
        <v>2338.2847000963566</v>
      </c>
      <c r="T34" s="4">
        <v>180</v>
      </c>
      <c r="U34" s="4">
        <v>22.36</v>
      </c>
      <c r="V34" s="4">
        <v>14.1</v>
      </c>
      <c r="W34" s="4"/>
      <c r="X34" s="7">
        <v>37671</v>
      </c>
      <c r="Y34" s="68">
        <v>1784.2660474698671</v>
      </c>
      <c r="Z34" s="68">
        <v>2352.6330614590856</v>
      </c>
    </row>
    <row r="35" spans="1:26" x14ac:dyDescent="0.3">
      <c r="A35" s="7">
        <v>37678</v>
      </c>
      <c r="B35" s="19">
        <v>1.71</v>
      </c>
      <c r="C35" s="20">
        <v>-13.5</v>
      </c>
      <c r="D35" s="20"/>
      <c r="E35" s="2">
        <v>168</v>
      </c>
      <c r="F35" s="19">
        <v>28.07</v>
      </c>
      <c r="G35" s="19">
        <v>19.34</v>
      </c>
      <c r="I35" s="10">
        <v>37678</v>
      </c>
      <c r="J35" s="11">
        <f t="shared" si="5"/>
        <v>114.76510067114094</v>
      </c>
      <c r="K35" s="11">
        <f t="shared" si="6"/>
        <v>97.539863275312683</v>
      </c>
      <c r="L35" s="11">
        <f t="shared" si="7"/>
        <v>100.63465656750104</v>
      </c>
      <c r="M35" s="11">
        <f t="shared" si="2"/>
        <v>93.333333333333329</v>
      </c>
      <c r="N35" s="11">
        <f t="shared" si="3"/>
        <v>125.5366726296959</v>
      </c>
      <c r="O35" s="11">
        <f t="shared" si="4"/>
        <v>137.1631205673759</v>
      </c>
      <c r="Q35" s="4">
        <v>1.49</v>
      </c>
      <c r="R35" s="4">
        <v>1815.8525733157076</v>
      </c>
      <c r="S35" s="4">
        <v>2338.2847000963566</v>
      </c>
      <c r="T35" s="4">
        <v>180</v>
      </c>
      <c r="U35" s="4">
        <v>22.36</v>
      </c>
      <c r="V35" s="4">
        <v>14.1</v>
      </c>
      <c r="W35" s="4"/>
      <c r="X35" s="7">
        <v>37678</v>
      </c>
      <c r="Y35" s="68">
        <v>1784.6801172933881</v>
      </c>
      <c r="Z35" s="68">
        <v>2353.1247775123898</v>
      </c>
    </row>
    <row r="36" spans="1:26" x14ac:dyDescent="0.3">
      <c r="A36" s="7">
        <v>37685</v>
      </c>
      <c r="B36" s="19">
        <v>1.75</v>
      </c>
      <c r="C36" s="20">
        <v>-20.5</v>
      </c>
      <c r="D36" s="20"/>
      <c r="E36" s="2">
        <v>182</v>
      </c>
      <c r="F36" s="19">
        <v>28.4</v>
      </c>
      <c r="G36" s="19">
        <v>19.059999999999999</v>
      </c>
      <c r="I36" s="10">
        <v>37685</v>
      </c>
      <c r="J36" s="11">
        <f t="shared" si="5"/>
        <v>117.4496644295302</v>
      </c>
      <c r="K36" s="11">
        <f t="shared" si="6"/>
        <v>98.382999734843935</v>
      </c>
      <c r="L36" s="11">
        <f t="shared" si="7"/>
        <v>101.75360114995853</v>
      </c>
      <c r="M36" s="11">
        <f t="shared" si="2"/>
        <v>101.11111111111111</v>
      </c>
      <c r="N36" s="11">
        <f t="shared" si="3"/>
        <v>127.01252236135959</v>
      </c>
      <c r="O36" s="11">
        <f t="shared" si="4"/>
        <v>135.17730496453902</v>
      </c>
      <c r="Q36" s="4">
        <v>1.49</v>
      </c>
      <c r="R36" s="4">
        <v>1815.8525733157076</v>
      </c>
      <c r="S36" s="4">
        <v>2338.2847000963566</v>
      </c>
      <c r="T36" s="4">
        <v>180</v>
      </c>
      <c r="U36" s="4">
        <v>22.36</v>
      </c>
      <c r="V36" s="4">
        <v>14.1</v>
      </c>
      <c r="W36" s="4"/>
      <c r="X36" s="7">
        <v>37685</v>
      </c>
      <c r="Y36" s="68">
        <v>1806.9902323903493</v>
      </c>
      <c r="Z36" s="68">
        <v>2379.2888874865507</v>
      </c>
    </row>
    <row r="37" spans="1:26" x14ac:dyDescent="0.3">
      <c r="A37" s="7">
        <v>37692</v>
      </c>
      <c r="B37" s="19">
        <v>1.77</v>
      </c>
      <c r="C37" s="20">
        <v>-8</v>
      </c>
      <c r="D37" s="20"/>
      <c r="E37" s="2">
        <v>189</v>
      </c>
      <c r="F37" s="19">
        <v>29.16</v>
      </c>
      <c r="G37" s="19">
        <v>18.66</v>
      </c>
      <c r="I37" s="10">
        <v>37692</v>
      </c>
      <c r="J37" s="11">
        <f t="shared" si="5"/>
        <v>118.79194630872483</v>
      </c>
      <c r="K37" s="11">
        <f t="shared" si="6"/>
        <v>99.071381610316095</v>
      </c>
      <c r="L37" s="11">
        <f t="shared" si="7"/>
        <v>101.75360114995853</v>
      </c>
      <c r="M37" s="11">
        <f t="shared" si="2"/>
        <v>105</v>
      </c>
      <c r="N37" s="11">
        <f t="shared" si="3"/>
        <v>130.41144901610016</v>
      </c>
      <c r="O37" s="11">
        <f t="shared" si="4"/>
        <v>132.34042553191489</v>
      </c>
      <c r="Q37" s="4">
        <v>1.49</v>
      </c>
      <c r="R37" s="4">
        <v>1815.8525733157076</v>
      </c>
      <c r="S37" s="4">
        <v>2338.2847000963566</v>
      </c>
      <c r="T37" s="4">
        <v>180</v>
      </c>
      <c r="U37" s="4">
        <v>22.36</v>
      </c>
      <c r="V37" s="4">
        <v>14.1</v>
      </c>
      <c r="W37" s="4"/>
      <c r="X37" s="7">
        <v>37692</v>
      </c>
      <c r="Y37" s="68">
        <v>1806.9902323903493</v>
      </c>
      <c r="Z37" s="68">
        <v>2379.2888874865507</v>
      </c>
    </row>
    <row r="38" spans="1:26" x14ac:dyDescent="0.3">
      <c r="A38" s="7">
        <v>37699</v>
      </c>
      <c r="B38" s="19">
        <v>1.75</v>
      </c>
      <c r="C38" s="20">
        <v>-4.5</v>
      </c>
      <c r="D38" s="20"/>
      <c r="E38" s="2">
        <v>175</v>
      </c>
      <c r="F38" s="19">
        <v>30.14</v>
      </c>
      <c r="G38" s="19">
        <v>19.73</v>
      </c>
      <c r="I38" s="10">
        <v>37699</v>
      </c>
      <c r="J38" s="11">
        <f t="shared" si="5"/>
        <v>117.4496644295302</v>
      </c>
      <c r="K38" s="11">
        <f t="shared" si="6"/>
        <v>99.264128535448293</v>
      </c>
      <c r="L38" s="11">
        <f t="shared" si="7"/>
        <v>101.75360114995853</v>
      </c>
      <c r="M38" s="11">
        <f t="shared" si="2"/>
        <v>97.222222222222214</v>
      </c>
      <c r="N38" s="11">
        <f t="shared" si="3"/>
        <v>134.79427549194992</v>
      </c>
      <c r="O38" s="11">
        <f t="shared" si="4"/>
        <v>139.92907801418443</v>
      </c>
      <c r="Q38" s="4">
        <v>1.49</v>
      </c>
      <c r="R38" s="4">
        <v>1815.8525733157076</v>
      </c>
      <c r="S38" s="4">
        <v>2338.2847000963566</v>
      </c>
      <c r="T38" s="4">
        <v>180</v>
      </c>
      <c r="U38" s="4">
        <v>22.36</v>
      </c>
      <c r="V38" s="4">
        <v>14.1</v>
      </c>
      <c r="W38" s="4"/>
      <c r="X38" s="7">
        <v>37699</v>
      </c>
      <c r="Y38" s="68">
        <v>1806.9902323903493</v>
      </c>
      <c r="Z38" s="68">
        <v>2379.2888874865507</v>
      </c>
    </row>
    <row r="39" spans="1:26" x14ac:dyDescent="0.3">
      <c r="A39" s="7">
        <v>37706</v>
      </c>
      <c r="B39" s="19">
        <v>1.66</v>
      </c>
      <c r="C39" s="20">
        <v>-10.5</v>
      </c>
      <c r="D39" s="20"/>
      <c r="E39" s="2">
        <v>154</v>
      </c>
      <c r="F39" s="19">
        <v>30.09</v>
      </c>
      <c r="G39" s="19">
        <v>19.829999999999998</v>
      </c>
      <c r="I39" s="10">
        <v>37706</v>
      </c>
      <c r="J39" s="11">
        <f t="shared" si="5"/>
        <v>111.40939597315436</v>
      </c>
      <c r="K39" s="11">
        <f t="shared" si="6"/>
        <v>98.903260964641973</v>
      </c>
      <c r="L39" s="11">
        <f t="shared" si="7"/>
        <v>101.70499420455548</v>
      </c>
      <c r="M39" s="11">
        <f t="shared" si="2"/>
        <v>85.555555555555557</v>
      </c>
      <c r="N39" s="11">
        <f t="shared" si="3"/>
        <v>134.57066189624328</v>
      </c>
      <c r="O39" s="11">
        <f t="shared" si="4"/>
        <v>140.63829787234042</v>
      </c>
      <c r="Q39" s="4">
        <v>1.49</v>
      </c>
      <c r="R39" s="4">
        <v>1815.8525733157076</v>
      </c>
      <c r="S39" s="4">
        <v>2338.2847000963566</v>
      </c>
      <c r="T39" s="4">
        <v>180</v>
      </c>
      <c r="U39" s="4">
        <v>22.36</v>
      </c>
      <c r="V39" s="4">
        <v>14.1</v>
      </c>
      <c r="W39" s="4"/>
      <c r="X39" s="7">
        <v>37706</v>
      </c>
      <c r="Y39" s="68">
        <v>1806.4374093196009</v>
      </c>
      <c r="Z39" s="68">
        <v>2378.1523187190069</v>
      </c>
    </row>
    <row r="40" spans="1:26" x14ac:dyDescent="0.3">
      <c r="A40" s="7">
        <v>37713</v>
      </c>
      <c r="B40" s="19">
        <v>1.6</v>
      </c>
      <c r="C40" s="20">
        <v>-10.5</v>
      </c>
      <c r="D40" s="20"/>
      <c r="E40" s="2">
        <v>145</v>
      </c>
      <c r="F40" s="19">
        <v>30.32</v>
      </c>
      <c r="G40" s="19">
        <v>19.899999999999999</v>
      </c>
      <c r="I40" s="10">
        <v>37713</v>
      </c>
      <c r="J40" s="11">
        <f t="shared" ref="J40:J72" si="8">(1+(B40-Q40)/Q40)*100</f>
        <v>107.38255033557047</v>
      </c>
      <c r="K40" s="11">
        <f t="shared" si="6"/>
        <v>97.867880550203225</v>
      </c>
      <c r="L40" s="11">
        <f t="shared" si="7"/>
        <v>99.932406345255529</v>
      </c>
      <c r="M40" s="11">
        <f t="shared" ref="M40:M72" si="9">(1+(E40-T40)/T40)*100</f>
        <v>80.555555555555557</v>
      </c>
      <c r="N40" s="11">
        <f t="shared" ref="N40:N72" si="10">(1+(F40-U40)/U40)*100</f>
        <v>135.59928443649375</v>
      </c>
      <c r="O40" s="11">
        <f t="shared" ref="O40:O72" si="11">(1+(G40-V40)/V40)*100</f>
        <v>141.13475177304963</v>
      </c>
      <c r="Q40" s="4">
        <v>1.49</v>
      </c>
      <c r="R40" s="4">
        <v>1815.8525733157076</v>
      </c>
      <c r="S40" s="4">
        <v>2338.2847000963566</v>
      </c>
      <c r="T40" s="4">
        <v>180</v>
      </c>
      <c r="U40" s="4">
        <v>22.36</v>
      </c>
      <c r="V40" s="4">
        <v>14.1</v>
      </c>
      <c r="W40" s="4"/>
      <c r="X40" s="7">
        <v>37713</v>
      </c>
      <c r="Y40" s="68">
        <v>1787.6364274204082</v>
      </c>
      <c r="Z40" s="68">
        <v>2336.7041680092307</v>
      </c>
    </row>
    <row r="41" spans="1:26" x14ac:dyDescent="0.3">
      <c r="A41" s="7">
        <v>37720</v>
      </c>
      <c r="B41" s="19">
        <v>1.55</v>
      </c>
      <c r="C41" s="20">
        <v>-5.5</v>
      </c>
      <c r="D41" s="20"/>
      <c r="E41" s="2">
        <v>143</v>
      </c>
      <c r="F41" s="19">
        <v>30.99</v>
      </c>
      <c r="G41" s="19">
        <v>20.97</v>
      </c>
      <c r="I41" s="10">
        <v>37720</v>
      </c>
      <c r="J41" s="11">
        <f t="shared" si="8"/>
        <v>104.02684563758389</v>
      </c>
      <c r="K41" s="11">
        <f t="shared" si="6"/>
        <v>98.143233300392083</v>
      </c>
      <c r="L41" s="11">
        <f t="shared" si="7"/>
        <v>99.932406345255529</v>
      </c>
      <c r="M41" s="11">
        <f t="shared" si="9"/>
        <v>79.444444444444457</v>
      </c>
      <c r="N41" s="11">
        <f t="shared" si="10"/>
        <v>138.59570661896242</v>
      </c>
      <c r="O41" s="11">
        <f t="shared" si="11"/>
        <v>148.72340425531917</v>
      </c>
      <c r="Q41" s="4">
        <v>1.49</v>
      </c>
      <c r="R41" s="4">
        <v>1815.8525733157076</v>
      </c>
      <c r="S41" s="4">
        <v>2338.2847000963566</v>
      </c>
      <c r="T41" s="4">
        <v>180</v>
      </c>
      <c r="U41" s="4">
        <v>22.36</v>
      </c>
      <c r="V41" s="4">
        <v>14.1</v>
      </c>
      <c r="W41" s="4"/>
      <c r="X41" s="7">
        <v>37720</v>
      </c>
      <c r="Y41" s="68">
        <v>1787.6364274204082</v>
      </c>
      <c r="Z41" s="68">
        <v>2336.7041680092307</v>
      </c>
    </row>
    <row r="42" spans="1:26" x14ac:dyDescent="0.3">
      <c r="A42" s="7">
        <v>37727</v>
      </c>
      <c r="B42" s="19">
        <v>1.54</v>
      </c>
      <c r="C42" s="20">
        <v>-5.5</v>
      </c>
      <c r="D42" s="20"/>
      <c r="E42" s="2">
        <v>138</v>
      </c>
      <c r="F42" s="19">
        <v>32.15</v>
      </c>
      <c r="G42" s="19">
        <v>21.94</v>
      </c>
      <c r="I42" s="10">
        <v>37727</v>
      </c>
      <c r="J42" s="11">
        <f t="shared" si="8"/>
        <v>103.35570469798658</v>
      </c>
      <c r="K42" s="11">
        <f t="shared" si="6"/>
        <v>98.143233300392083</v>
      </c>
      <c r="L42" s="11">
        <f t="shared" si="7"/>
        <v>99.932406345255529</v>
      </c>
      <c r="M42" s="11">
        <f t="shared" si="9"/>
        <v>76.666666666666657</v>
      </c>
      <c r="N42" s="11">
        <f t="shared" si="10"/>
        <v>143.78354203935601</v>
      </c>
      <c r="O42" s="11">
        <f t="shared" si="11"/>
        <v>155.60283687943263</v>
      </c>
      <c r="Q42" s="4">
        <v>1.49</v>
      </c>
      <c r="R42" s="4">
        <v>1815.8525733157076</v>
      </c>
      <c r="S42" s="4">
        <v>2338.2847000963566</v>
      </c>
      <c r="T42" s="4">
        <v>180</v>
      </c>
      <c r="U42" s="4">
        <v>22.36</v>
      </c>
      <c r="V42" s="4">
        <v>14.1</v>
      </c>
      <c r="W42" s="4"/>
      <c r="X42" s="7">
        <v>37727</v>
      </c>
      <c r="Y42" s="68">
        <v>1787.6364274204082</v>
      </c>
      <c r="Z42" s="68">
        <v>2336.7041680092307</v>
      </c>
    </row>
    <row r="43" spans="1:26" x14ac:dyDescent="0.3">
      <c r="A43" s="7">
        <v>37734</v>
      </c>
      <c r="B43" s="19">
        <v>1.53</v>
      </c>
      <c r="C43" s="20">
        <v>-10.5</v>
      </c>
      <c r="D43" s="20"/>
      <c r="E43" s="2">
        <v>129</v>
      </c>
      <c r="F43" s="19">
        <v>32.33</v>
      </c>
      <c r="G43" s="19">
        <v>21.76</v>
      </c>
      <c r="I43" s="10">
        <v>37734</v>
      </c>
      <c r="J43" s="11">
        <f t="shared" si="8"/>
        <v>102.68456375838926</v>
      </c>
      <c r="K43" s="11">
        <f t="shared" si="6"/>
        <v>97.867880550203225</v>
      </c>
      <c r="L43" s="11">
        <f t="shared" si="7"/>
        <v>99.932406345255529</v>
      </c>
      <c r="M43" s="11">
        <f t="shared" si="9"/>
        <v>71.666666666666671</v>
      </c>
      <c r="N43" s="11">
        <f t="shared" si="10"/>
        <v>144.58855098389984</v>
      </c>
      <c r="O43" s="11">
        <f t="shared" si="11"/>
        <v>154.32624113475177</v>
      </c>
      <c r="Q43" s="4">
        <v>1.49</v>
      </c>
      <c r="R43" s="4">
        <v>1815.8525733157076</v>
      </c>
      <c r="S43" s="4">
        <v>2338.2847000963566</v>
      </c>
      <c r="T43" s="4">
        <v>180</v>
      </c>
      <c r="U43" s="4">
        <v>22.36</v>
      </c>
      <c r="V43" s="4">
        <v>14.1</v>
      </c>
      <c r="W43" s="4"/>
      <c r="X43" s="7">
        <v>37734</v>
      </c>
      <c r="Y43" s="68">
        <v>1787.6364274204082</v>
      </c>
      <c r="Z43" s="68">
        <v>2336.7041680092307</v>
      </c>
    </row>
    <row r="44" spans="1:26" x14ac:dyDescent="0.3">
      <c r="A44" s="7">
        <v>37741</v>
      </c>
      <c r="B44" s="19">
        <v>1.51</v>
      </c>
      <c r="C44" s="20">
        <v>-12</v>
      </c>
      <c r="D44" s="20"/>
      <c r="E44" s="2">
        <v>126</v>
      </c>
      <c r="F44" s="19">
        <v>34.14</v>
      </c>
      <c r="G44" s="19">
        <v>21.64</v>
      </c>
      <c r="I44" s="10">
        <v>37741</v>
      </c>
      <c r="J44" s="11">
        <f t="shared" si="8"/>
        <v>101.34228187919463</v>
      </c>
      <c r="K44" s="11">
        <f t="shared" si="6"/>
        <v>97.80733947073881</v>
      </c>
      <c r="L44" s="11">
        <f t="shared" si="7"/>
        <v>99.947086074211228</v>
      </c>
      <c r="M44" s="11">
        <f t="shared" si="9"/>
        <v>70</v>
      </c>
      <c r="N44" s="11">
        <f t="shared" si="10"/>
        <v>152.68336314847943</v>
      </c>
      <c r="O44" s="11">
        <f t="shared" si="11"/>
        <v>153.47517730496457</v>
      </c>
      <c r="Q44" s="4">
        <v>1.49</v>
      </c>
      <c r="R44" s="4">
        <v>1815.8525733157076</v>
      </c>
      <c r="S44" s="4">
        <v>2338.2847000963566</v>
      </c>
      <c r="T44" s="4">
        <v>180</v>
      </c>
      <c r="U44" s="4">
        <v>22.36</v>
      </c>
      <c r="V44" s="4">
        <v>14.1</v>
      </c>
      <c r="W44" s="4"/>
      <c r="X44" s="7">
        <v>37741</v>
      </c>
      <c r="Y44" s="68">
        <v>1788.0370906710405</v>
      </c>
      <c r="Z44" s="68">
        <v>2337.0474218654176</v>
      </c>
    </row>
    <row r="45" spans="1:26" x14ac:dyDescent="0.3">
      <c r="A45" s="7">
        <v>37748</v>
      </c>
      <c r="B45" s="19">
        <v>1.48</v>
      </c>
      <c r="C45" s="20">
        <v>-9.5</v>
      </c>
      <c r="D45" s="20"/>
      <c r="E45" s="2">
        <v>128</v>
      </c>
      <c r="F45" s="19">
        <v>34.94</v>
      </c>
      <c r="G45" s="19">
        <v>21.52</v>
      </c>
      <c r="I45" s="10">
        <v>37748</v>
      </c>
      <c r="J45" s="11">
        <f t="shared" si="8"/>
        <v>99.328859060402692</v>
      </c>
      <c r="K45" s="11">
        <f t="shared" si="6"/>
        <v>98.453620659060675</v>
      </c>
      <c r="L45" s="11">
        <f t="shared" si="7"/>
        <v>101.16720889963584</v>
      </c>
      <c r="M45" s="11">
        <f t="shared" si="9"/>
        <v>71.111111111111114</v>
      </c>
      <c r="N45" s="11">
        <f t="shared" si="10"/>
        <v>156.26118067978533</v>
      </c>
      <c r="O45" s="11">
        <f t="shared" si="11"/>
        <v>152.6241134751773</v>
      </c>
      <c r="Q45" s="4">
        <v>1.49</v>
      </c>
      <c r="R45" s="4">
        <v>1815.8525733157076</v>
      </c>
      <c r="S45" s="4">
        <v>2338.2847000963566</v>
      </c>
      <c r="T45" s="4">
        <v>180</v>
      </c>
      <c r="U45" s="4">
        <v>22.36</v>
      </c>
      <c r="V45" s="4">
        <v>14.1</v>
      </c>
      <c r="W45" s="4"/>
      <c r="X45" s="7">
        <v>37748</v>
      </c>
      <c r="Y45" s="68">
        <v>1797.2726042600384</v>
      </c>
      <c r="Z45" s="68">
        <v>2365.5773672147047</v>
      </c>
    </row>
    <row r="46" spans="1:26" x14ac:dyDescent="0.3">
      <c r="A46" s="7">
        <v>37755</v>
      </c>
      <c r="B46" s="19">
        <v>1.44</v>
      </c>
      <c r="C46" s="20">
        <v>-3</v>
      </c>
      <c r="D46" s="20"/>
      <c r="E46" s="2">
        <v>148</v>
      </c>
      <c r="F46" s="19">
        <v>35.49</v>
      </c>
      <c r="G46" s="19">
        <v>22.26</v>
      </c>
      <c r="I46" s="10">
        <v>37755</v>
      </c>
      <c r="J46" s="11">
        <f t="shared" si="8"/>
        <v>96.644295302013418</v>
      </c>
      <c r="K46" s="11">
        <f t="shared" si="6"/>
        <v>98.811579234306208</v>
      </c>
      <c r="L46" s="11">
        <f t="shared" si="7"/>
        <v>101.16720889963584</v>
      </c>
      <c r="M46" s="11">
        <f t="shared" si="9"/>
        <v>82.222222222222214</v>
      </c>
      <c r="N46" s="11">
        <f t="shared" si="10"/>
        <v>158.72093023255815</v>
      </c>
      <c r="O46" s="11">
        <f t="shared" si="11"/>
        <v>157.87234042553195</v>
      </c>
      <c r="Q46" s="4">
        <v>1.49</v>
      </c>
      <c r="R46" s="4">
        <v>1815.8525733157076</v>
      </c>
      <c r="S46" s="4">
        <v>2338.2847000963566</v>
      </c>
      <c r="T46" s="4">
        <v>180</v>
      </c>
      <c r="U46" s="4">
        <v>22.36</v>
      </c>
      <c r="V46" s="4">
        <v>14.1</v>
      </c>
      <c r="W46" s="4"/>
      <c r="X46" s="7">
        <v>37755</v>
      </c>
      <c r="Y46" s="68">
        <v>1797.2726042600384</v>
      </c>
      <c r="Z46" s="68">
        <v>2365.5773672147047</v>
      </c>
    </row>
    <row r="47" spans="1:26" x14ac:dyDescent="0.3">
      <c r="A47" s="7">
        <v>37762</v>
      </c>
      <c r="B47" s="19">
        <v>1.44</v>
      </c>
      <c r="C47" s="20">
        <v>0</v>
      </c>
      <c r="D47" s="20"/>
      <c r="E47" s="2">
        <v>141</v>
      </c>
      <c r="F47" s="19">
        <v>34.18</v>
      </c>
      <c r="G47" s="19">
        <v>23.31</v>
      </c>
      <c r="I47" s="10">
        <v>37762</v>
      </c>
      <c r="J47" s="11">
        <f t="shared" si="8"/>
        <v>96.644295302013418</v>
      </c>
      <c r="K47" s="11">
        <f t="shared" si="6"/>
        <v>98.976790884419515</v>
      </c>
      <c r="L47" s="11">
        <f t="shared" si="7"/>
        <v>101.16720889963584</v>
      </c>
      <c r="M47" s="11">
        <f t="shared" si="9"/>
        <v>78.333333333333329</v>
      </c>
      <c r="N47" s="11">
        <f t="shared" si="10"/>
        <v>152.86225402504473</v>
      </c>
      <c r="O47" s="11">
        <f t="shared" si="11"/>
        <v>165.31914893617022</v>
      </c>
      <c r="Q47" s="4">
        <v>1.49</v>
      </c>
      <c r="R47" s="4">
        <v>1815.8525733157076</v>
      </c>
      <c r="S47" s="4">
        <v>2338.2847000963566</v>
      </c>
      <c r="T47" s="4">
        <v>180</v>
      </c>
      <c r="U47" s="4">
        <v>22.36</v>
      </c>
      <c r="V47" s="4">
        <v>14.1</v>
      </c>
      <c r="W47" s="4"/>
      <c r="X47" s="7">
        <v>37762</v>
      </c>
      <c r="Y47" s="68">
        <v>1797.2726042600384</v>
      </c>
      <c r="Z47" s="68">
        <v>2365.5773672147047</v>
      </c>
    </row>
    <row r="48" spans="1:26" x14ac:dyDescent="0.3">
      <c r="A48" s="7">
        <v>37769</v>
      </c>
      <c r="B48" s="19">
        <v>1.43</v>
      </c>
      <c r="C48" s="20">
        <v>-5.5</v>
      </c>
      <c r="D48" s="20"/>
      <c r="E48" s="2">
        <v>135</v>
      </c>
      <c r="F48" s="19">
        <v>31.29</v>
      </c>
      <c r="G48" s="19">
        <v>23</v>
      </c>
      <c r="I48" s="10">
        <v>37769</v>
      </c>
      <c r="J48" s="11">
        <f t="shared" si="8"/>
        <v>95.973154362416096</v>
      </c>
      <c r="K48" s="11">
        <f t="shared" si="6"/>
        <v>98.658034520729771</v>
      </c>
      <c r="L48" s="11">
        <f t="shared" si="7"/>
        <v>101.20119092001939</v>
      </c>
      <c r="M48" s="11">
        <f t="shared" si="9"/>
        <v>75</v>
      </c>
      <c r="N48" s="11">
        <f t="shared" si="10"/>
        <v>139.93738819320214</v>
      </c>
      <c r="O48" s="11">
        <f t="shared" si="11"/>
        <v>163.12056737588651</v>
      </c>
      <c r="Q48" s="4">
        <v>1.49</v>
      </c>
      <c r="R48" s="4">
        <v>1815.8525733157076</v>
      </c>
      <c r="S48" s="4">
        <v>2338.2847000963566</v>
      </c>
      <c r="T48" s="4">
        <v>180</v>
      </c>
      <c r="U48" s="4">
        <v>22.36</v>
      </c>
      <c r="V48" s="4">
        <v>14.1</v>
      </c>
      <c r="W48" s="4"/>
      <c r="X48" s="7">
        <v>37769</v>
      </c>
      <c r="Y48" s="68">
        <v>1796.9844586273707</v>
      </c>
      <c r="Z48" s="68">
        <v>2366.3719635981165</v>
      </c>
    </row>
    <row r="49" spans="1:26" x14ac:dyDescent="0.3">
      <c r="A49" s="7">
        <v>37776</v>
      </c>
      <c r="B49" s="19">
        <v>1.42</v>
      </c>
      <c r="C49" s="20">
        <v>-6.5</v>
      </c>
      <c r="D49" s="20"/>
      <c r="E49" s="2">
        <v>133</v>
      </c>
      <c r="F49" s="19">
        <v>31.3</v>
      </c>
      <c r="G49" s="19">
        <v>22.38</v>
      </c>
      <c r="I49" s="10">
        <v>37776</v>
      </c>
      <c r="J49" s="11">
        <f t="shared" si="8"/>
        <v>95.302013422818789</v>
      </c>
      <c r="K49" s="11">
        <f t="shared" si="6"/>
        <v>98.080084375018728</v>
      </c>
      <c r="L49" s="11">
        <f t="shared" si="7"/>
        <v>102.12454170657497</v>
      </c>
      <c r="M49" s="11">
        <f t="shared" si="9"/>
        <v>73.888888888888886</v>
      </c>
      <c r="N49" s="11">
        <f t="shared" si="10"/>
        <v>139.98211091234347</v>
      </c>
      <c r="O49" s="11">
        <f t="shared" si="11"/>
        <v>158.72340425531914</v>
      </c>
      <c r="Q49" s="4">
        <v>1.49</v>
      </c>
      <c r="R49" s="4">
        <v>1815.8525733157076</v>
      </c>
      <c r="S49" s="4">
        <v>2338.2847000963566</v>
      </c>
      <c r="T49" s="4">
        <v>180</v>
      </c>
      <c r="U49" s="4">
        <v>22.36</v>
      </c>
      <c r="V49" s="4">
        <v>14.1</v>
      </c>
      <c r="W49" s="4"/>
      <c r="X49" s="7">
        <v>37776</v>
      </c>
      <c r="Y49" s="68">
        <v>1787.4897360339949</v>
      </c>
      <c r="Z49" s="68">
        <v>2387.9625337683651</v>
      </c>
    </row>
    <row r="50" spans="1:26" x14ac:dyDescent="0.3">
      <c r="A50" s="7">
        <v>37783</v>
      </c>
      <c r="B50" s="19">
        <v>1.42</v>
      </c>
      <c r="C50" s="20">
        <v>-8</v>
      </c>
      <c r="D50" s="20"/>
      <c r="E50" s="2">
        <v>139</v>
      </c>
      <c r="F50" s="19">
        <v>30.6</v>
      </c>
      <c r="G50" s="19">
        <v>21.91</v>
      </c>
      <c r="I50" s="10">
        <v>37783</v>
      </c>
      <c r="J50" s="11">
        <f t="shared" si="8"/>
        <v>95.302013422818789</v>
      </c>
      <c r="K50" s="11">
        <f t="shared" si="6"/>
        <v>97.997478549962068</v>
      </c>
      <c r="L50" s="11">
        <f t="shared" si="7"/>
        <v>102.12454170657497</v>
      </c>
      <c r="M50" s="11">
        <f t="shared" si="9"/>
        <v>77.222222222222229</v>
      </c>
      <c r="N50" s="11">
        <f t="shared" si="10"/>
        <v>136.8515205724508</v>
      </c>
      <c r="O50" s="11">
        <f t="shared" si="11"/>
        <v>155.39007092198582</v>
      </c>
      <c r="Q50" s="4">
        <v>1.49</v>
      </c>
      <c r="R50" s="4">
        <v>1815.8525733157076</v>
      </c>
      <c r="S50" s="4">
        <v>2338.2847000963566</v>
      </c>
      <c r="T50" s="4">
        <v>180</v>
      </c>
      <c r="U50" s="4">
        <v>22.36</v>
      </c>
      <c r="V50" s="4">
        <v>14.1</v>
      </c>
      <c r="W50" s="4"/>
      <c r="X50" s="7">
        <v>37783</v>
      </c>
      <c r="Y50" s="68">
        <v>1787.4897360339949</v>
      </c>
      <c r="Z50" s="68">
        <v>2387.9625337683651</v>
      </c>
    </row>
    <row r="51" spans="1:26" x14ac:dyDescent="0.3">
      <c r="A51" s="7">
        <v>37790</v>
      </c>
      <c r="B51" s="19">
        <v>1.43</v>
      </c>
      <c r="C51" s="20">
        <v>1.5</v>
      </c>
      <c r="D51" s="20"/>
      <c r="E51" s="2">
        <v>149</v>
      </c>
      <c r="F51" s="19">
        <v>30.41</v>
      </c>
      <c r="G51" s="19">
        <v>22.53</v>
      </c>
      <c r="I51" s="10">
        <v>37790</v>
      </c>
      <c r="J51" s="11">
        <f t="shared" si="8"/>
        <v>95.973154362416096</v>
      </c>
      <c r="K51" s="11">
        <f t="shared" si="6"/>
        <v>98.520648775320907</v>
      </c>
      <c r="L51" s="11">
        <f t="shared" si="7"/>
        <v>102.12454170657497</v>
      </c>
      <c r="M51" s="11">
        <f t="shared" si="9"/>
        <v>82.777777777777771</v>
      </c>
      <c r="N51" s="11">
        <f t="shared" si="10"/>
        <v>136.00178890876566</v>
      </c>
      <c r="O51" s="11">
        <f t="shared" si="11"/>
        <v>159.78723404255319</v>
      </c>
      <c r="Q51" s="4">
        <v>1.49</v>
      </c>
      <c r="R51" s="4">
        <v>1815.8525733157076</v>
      </c>
      <c r="S51" s="4">
        <v>2338.2847000963566</v>
      </c>
      <c r="T51" s="4">
        <v>180</v>
      </c>
      <c r="U51" s="4">
        <v>22.36</v>
      </c>
      <c r="V51" s="4">
        <v>14.1</v>
      </c>
      <c r="W51" s="4"/>
      <c r="X51" s="7">
        <v>37790</v>
      </c>
      <c r="Y51" s="68">
        <v>1787.4897360339949</v>
      </c>
      <c r="Z51" s="68">
        <v>2387.9625337683651</v>
      </c>
    </row>
    <row r="52" spans="1:26" x14ac:dyDescent="0.3">
      <c r="A52" s="7">
        <v>37797</v>
      </c>
      <c r="B52" s="19">
        <v>1.42</v>
      </c>
      <c r="C52" s="20">
        <v>10</v>
      </c>
      <c r="D52" s="20"/>
      <c r="E52" s="2">
        <v>157</v>
      </c>
      <c r="F52" s="19">
        <v>30.18</v>
      </c>
      <c r="G52" s="19">
        <v>22.7</v>
      </c>
      <c r="I52" s="10">
        <v>37797</v>
      </c>
      <c r="J52" s="11">
        <f t="shared" si="8"/>
        <v>95.302013422818789</v>
      </c>
      <c r="K52" s="11">
        <f t="shared" si="6"/>
        <v>99.034960795927915</v>
      </c>
      <c r="L52" s="11">
        <f t="shared" si="7"/>
        <v>102.13705788104517</v>
      </c>
      <c r="M52" s="11">
        <f t="shared" si="9"/>
        <v>87.222222222222229</v>
      </c>
      <c r="N52" s="11">
        <f t="shared" si="10"/>
        <v>134.97316636851519</v>
      </c>
      <c r="O52" s="11">
        <f t="shared" si="11"/>
        <v>160.99290780141843</v>
      </c>
      <c r="Q52" s="4">
        <v>1.49</v>
      </c>
      <c r="R52" s="4">
        <v>1815.8525733157076</v>
      </c>
      <c r="S52" s="4">
        <v>2338.2847000963566</v>
      </c>
      <c r="T52" s="4">
        <v>180</v>
      </c>
      <c r="U52" s="4">
        <v>22.36</v>
      </c>
      <c r="V52" s="4">
        <v>14.1</v>
      </c>
      <c r="W52" s="4"/>
      <c r="X52" s="7">
        <v>37797</v>
      </c>
      <c r="Y52" s="68">
        <v>1788.3288840950593</v>
      </c>
      <c r="Z52" s="68">
        <v>2388.255197561039</v>
      </c>
    </row>
    <row r="53" spans="1:26" x14ac:dyDescent="0.3">
      <c r="A53" s="7">
        <v>37804</v>
      </c>
      <c r="B53" s="19">
        <v>1.42</v>
      </c>
      <c r="C53" s="20">
        <v>14.5</v>
      </c>
      <c r="D53" s="20"/>
      <c r="E53" s="2">
        <v>160</v>
      </c>
      <c r="F53" s="19">
        <v>30.69</v>
      </c>
      <c r="G53" s="19">
        <v>23.12</v>
      </c>
      <c r="I53" s="10">
        <v>37804</v>
      </c>
      <c r="J53" s="11">
        <f t="shared" si="8"/>
        <v>95.302013422818789</v>
      </c>
      <c r="K53" s="11">
        <f t="shared" si="6"/>
        <v>100.84483563931488</v>
      </c>
      <c r="L53" s="11">
        <f t="shared" si="7"/>
        <v>102.70012799505794</v>
      </c>
      <c r="M53" s="11">
        <f t="shared" si="9"/>
        <v>88.888888888888886</v>
      </c>
      <c r="N53" s="11">
        <f t="shared" si="10"/>
        <v>137.25402504472274</v>
      </c>
      <c r="O53" s="11">
        <f t="shared" si="11"/>
        <v>163.97163120567376</v>
      </c>
      <c r="Q53" s="4">
        <v>1.49</v>
      </c>
      <c r="R53" s="4">
        <v>1815.8525733157076</v>
      </c>
      <c r="S53" s="4">
        <v>2338.2847000963566</v>
      </c>
      <c r="T53" s="4">
        <v>180</v>
      </c>
      <c r="U53" s="4">
        <v>22.36</v>
      </c>
      <c r="V53" s="4">
        <v>14.1</v>
      </c>
      <c r="W53" s="4"/>
      <c r="X53" s="7">
        <v>37804</v>
      </c>
      <c r="Y53" s="68">
        <v>1816.6935430124952</v>
      </c>
      <c r="Z53" s="68">
        <v>2401.421379887815</v>
      </c>
    </row>
    <row r="54" spans="1:26" x14ac:dyDescent="0.3">
      <c r="A54" s="7">
        <v>37811</v>
      </c>
      <c r="B54" s="19">
        <v>1.43</v>
      </c>
      <c r="C54" s="20">
        <v>27</v>
      </c>
      <c r="D54" s="20"/>
      <c r="E54" s="2">
        <v>156</v>
      </c>
      <c r="F54" s="19">
        <v>31.41</v>
      </c>
      <c r="G54" s="19">
        <v>23.36</v>
      </c>
      <c r="I54" s="10">
        <v>37811</v>
      </c>
      <c r="J54" s="11">
        <f t="shared" si="8"/>
        <v>95.973154362416096</v>
      </c>
      <c r="K54" s="11">
        <f t="shared" si="6"/>
        <v>101.53321751478703</v>
      </c>
      <c r="L54" s="11">
        <f t="shared" si="7"/>
        <v>102.70012799505794</v>
      </c>
      <c r="M54" s="11">
        <f t="shared" si="9"/>
        <v>86.666666666666671</v>
      </c>
      <c r="N54" s="11">
        <f t="shared" si="10"/>
        <v>140.47406082289802</v>
      </c>
      <c r="O54" s="11">
        <f t="shared" si="11"/>
        <v>165.67375886524823</v>
      </c>
      <c r="Q54" s="4">
        <v>1.49</v>
      </c>
      <c r="R54" s="4">
        <v>1815.8525733157076</v>
      </c>
      <c r="S54" s="4">
        <v>2338.2847000963566</v>
      </c>
      <c r="T54" s="4">
        <v>180</v>
      </c>
      <c r="U54" s="4">
        <v>22.36</v>
      </c>
      <c r="V54" s="4">
        <v>14.1</v>
      </c>
      <c r="W54" s="4"/>
      <c r="X54" s="7">
        <v>37811</v>
      </c>
      <c r="Y54" s="68">
        <v>1816.6935430124952</v>
      </c>
      <c r="Z54" s="68">
        <v>2401.421379887815</v>
      </c>
    </row>
    <row r="55" spans="1:26" x14ac:dyDescent="0.3">
      <c r="A55" s="7">
        <v>37818</v>
      </c>
      <c r="B55" s="19">
        <v>1.44</v>
      </c>
      <c r="C55" s="20">
        <v>47</v>
      </c>
      <c r="D55" s="20"/>
      <c r="E55" s="2">
        <v>154</v>
      </c>
      <c r="F55" s="19">
        <v>32.24</v>
      </c>
      <c r="G55" s="19">
        <v>23.59</v>
      </c>
      <c r="I55" s="10">
        <v>37818</v>
      </c>
      <c r="J55" s="11">
        <f t="shared" si="8"/>
        <v>96.644295302013418</v>
      </c>
      <c r="K55" s="11">
        <f t="shared" si="6"/>
        <v>102.63462851554249</v>
      </c>
      <c r="L55" s="11">
        <f t="shared" si="7"/>
        <v>102.70012799505794</v>
      </c>
      <c r="M55" s="11">
        <f t="shared" si="9"/>
        <v>85.555555555555557</v>
      </c>
      <c r="N55" s="11">
        <f t="shared" si="10"/>
        <v>144.18604651162792</v>
      </c>
      <c r="O55" s="11">
        <f t="shared" si="11"/>
        <v>167.3049645390071</v>
      </c>
      <c r="Q55" s="4">
        <v>1.49</v>
      </c>
      <c r="R55" s="4">
        <v>1815.8525733157076</v>
      </c>
      <c r="S55" s="4">
        <v>2338.2847000963566</v>
      </c>
      <c r="T55" s="4">
        <v>180</v>
      </c>
      <c r="U55" s="4">
        <v>22.36</v>
      </c>
      <c r="V55" s="4">
        <v>14.1</v>
      </c>
      <c r="W55" s="4"/>
      <c r="X55" s="7">
        <v>37818</v>
      </c>
      <c r="Y55" s="68">
        <v>1816.6935430124952</v>
      </c>
      <c r="Z55" s="68">
        <v>2401.421379887815</v>
      </c>
    </row>
    <row r="56" spans="1:26" x14ac:dyDescent="0.3">
      <c r="A56" s="7">
        <v>37825</v>
      </c>
      <c r="B56" s="19">
        <v>1.44</v>
      </c>
      <c r="C56" s="20">
        <v>65</v>
      </c>
      <c r="D56" s="20"/>
      <c r="E56" s="2">
        <v>147</v>
      </c>
      <c r="F56" s="19">
        <v>33.29</v>
      </c>
      <c r="G56" s="19">
        <v>23.38</v>
      </c>
      <c r="I56" s="10">
        <v>37825</v>
      </c>
      <c r="J56" s="11">
        <f t="shared" si="8"/>
        <v>96.644295302013418</v>
      </c>
      <c r="K56" s="11">
        <f t="shared" si="6"/>
        <v>103.62589841622238</v>
      </c>
      <c r="L56" s="11">
        <f t="shared" si="7"/>
        <v>102.70012799505794</v>
      </c>
      <c r="M56" s="11">
        <f t="shared" si="9"/>
        <v>81.666666666666671</v>
      </c>
      <c r="N56" s="11">
        <f t="shared" si="10"/>
        <v>148.88193202146692</v>
      </c>
      <c r="O56" s="11">
        <f t="shared" si="11"/>
        <v>165.81560283687944</v>
      </c>
      <c r="Q56" s="4">
        <v>1.49</v>
      </c>
      <c r="R56" s="4">
        <v>1815.8525733157076</v>
      </c>
      <c r="S56" s="4">
        <v>2338.2847000963566</v>
      </c>
      <c r="T56" s="4">
        <v>180</v>
      </c>
      <c r="U56" s="4">
        <v>22.36</v>
      </c>
      <c r="V56" s="4">
        <v>14.1</v>
      </c>
      <c r="W56" s="4"/>
      <c r="X56" s="7">
        <v>37825</v>
      </c>
      <c r="Y56" s="68">
        <v>1816.6935430124952</v>
      </c>
      <c r="Z56" s="68">
        <v>2401.421379887815</v>
      </c>
    </row>
    <row r="57" spans="1:26" x14ac:dyDescent="0.3">
      <c r="A57" s="7">
        <v>37832</v>
      </c>
      <c r="B57" s="19">
        <v>1.44</v>
      </c>
      <c r="C57" s="20">
        <v>55.5</v>
      </c>
      <c r="D57" s="20"/>
      <c r="E57" s="2">
        <v>151</v>
      </c>
      <c r="F57" s="19">
        <v>32.6</v>
      </c>
      <c r="G57" s="19">
        <v>22.52</v>
      </c>
      <c r="I57" s="10">
        <v>37832</v>
      </c>
      <c r="J57" s="11">
        <f t="shared" si="8"/>
        <v>96.644295302013418</v>
      </c>
      <c r="K57" s="11">
        <f t="shared" si="6"/>
        <v>103.11163635891209</v>
      </c>
      <c r="L57" s="11">
        <f t="shared" si="7"/>
        <v>102.74304198583289</v>
      </c>
      <c r="M57" s="11">
        <f t="shared" si="9"/>
        <v>83.888888888888886</v>
      </c>
      <c r="N57" s="11">
        <f t="shared" si="10"/>
        <v>145.79606440071558</v>
      </c>
      <c r="O57" s="11">
        <f t="shared" si="11"/>
        <v>159.71631205673756</v>
      </c>
      <c r="Q57" s="4">
        <v>1.49</v>
      </c>
      <c r="R57" s="4">
        <v>1815.8525733157076</v>
      </c>
      <c r="S57" s="4">
        <v>2338.2847000963566</v>
      </c>
      <c r="T57" s="4">
        <v>180</v>
      </c>
      <c r="U57" s="4">
        <v>22.36</v>
      </c>
      <c r="V57" s="4">
        <v>14.1</v>
      </c>
      <c r="W57" s="4"/>
      <c r="X57" s="7">
        <v>37832</v>
      </c>
      <c r="Y57" s="68">
        <v>1816.8553022112399</v>
      </c>
      <c r="Z57" s="68">
        <v>2402.4248311683059</v>
      </c>
    </row>
    <row r="58" spans="1:26" x14ac:dyDescent="0.3">
      <c r="A58" s="7">
        <v>37839</v>
      </c>
      <c r="B58" s="19">
        <v>1.45</v>
      </c>
      <c r="C58" s="20">
        <v>65.5</v>
      </c>
      <c r="D58" s="20"/>
      <c r="E58" s="2">
        <v>151</v>
      </c>
      <c r="F58" s="19">
        <v>32.08</v>
      </c>
      <c r="G58" s="19">
        <v>20.76</v>
      </c>
      <c r="I58" s="10">
        <v>37839</v>
      </c>
      <c r="J58" s="11">
        <f t="shared" si="8"/>
        <v>97.315436241610726</v>
      </c>
      <c r="K58" s="11">
        <f t="shared" si="6"/>
        <v>103.86158745966152</v>
      </c>
      <c r="L58" s="11">
        <f t="shared" si="7"/>
        <v>104.29724444813601</v>
      </c>
      <c r="M58" s="11">
        <f t="shared" si="9"/>
        <v>83.888888888888886</v>
      </c>
      <c r="N58" s="11">
        <f t="shared" si="10"/>
        <v>143.4704830053667</v>
      </c>
      <c r="O58" s="11">
        <f t="shared" si="11"/>
        <v>147.2340425531915</v>
      </c>
      <c r="Q58" s="4">
        <v>1.49</v>
      </c>
      <c r="R58" s="4">
        <v>1815.8525733157076</v>
      </c>
      <c r="S58" s="4">
        <v>2338.2847000963566</v>
      </c>
      <c r="T58" s="4">
        <v>180</v>
      </c>
      <c r="U58" s="4">
        <v>22.36</v>
      </c>
      <c r="V58" s="4">
        <v>14.1</v>
      </c>
      <c r="W58" s="4"/>
      <c r="X58" s="7">
        <v>37839</v>
      </c>
      <c r="Y58" s="68">
        <v>1820.473308572808</v>
      </c>
      <c r="Z58" s="68">
        <v>2438.766509552861</v>
      </c>
    </row>
    <row r="59" spans="1:26" x14ac:dyDescent="0.3">
      <c r="A59" s="7">
        <v>37846</v>
      </c>
      <c r="B59" s="19">
        <v>1.49</v>
      </c>
      <c r="C59" s="20">
        <v>62.5</v>
      </c>
      <c r="D59" s="20"/>
      <c r="E59" s="2">
        <v>162.5</v>
      </c>
      <c r="F59" s="19">
        <v>33.840000000000003</v>
      </c>
      <c r="G59" s="19">
        <v>21.77</v>
      </c>
      <c r="I59" s="10">
        <v>37846</v>
      </c>
      <c r="J59" s="11">
        <f t="shared" si="8"/>
        <v>100</v>
      </c>
      <c r="K59" s="11">
        <f t="shared" si="6"/>
        <v>103.6963758095482</v>
      </c>
      <c r="L59" s="11">
        <f t="shared" si="7"/>
        <v>104.29724444813601</v>
      </c>
      <c r="M59" s="11">
        <f t="shared" si="9"/>
        <v>90.277777777777786</v>
      </c>
      <c r="N59" s="11">
        <f t="shared" si="10"/>
        <v>151.34168157423971</v>
      </c>
      <c r="O59" s="11">
        <f t="shared" si="11"/>
        <v>154.3971631205674</v>
      </c>
      <c r="Q59" s="4">
        <v>1.49</v>
      </c>
      <c r="R59" s="4">
        <v>1815.8525733157076</v>
      </c>
      <c r="S59" s="4">
        <v>2338.2847000963566</v>
      </c>
      <c r="T59" s="4">
        <v>180</v>
      </c>
      <c r="U59" s="4">
        <v>22.36</v>
      </c>
      <c r="V59" s="4">
        <v>14.1</v>
      </c>
      <c r="W59" s="4"/>
      <c r="X59" s="7">
        <v>37846</v>
      </c>
      <c r="Y59" s="68">
        <v>1820.473308572808</v>
      </c>
      <c r="Z59" s="68">
        <v>2438.766509552861</v>
      </c>
    </row>
    <row r="60" spans="1:26" x14ac:dyDescent="0.3">
      <c r="A60" s="7">
        <v>37853</v>
      </c>
      <c r="B60" s="19">
        <v>1.5</v>
      </c>
      <c r="C60" s="20">
        <v>74</v>
      </c>
      <c r="D60" s="20"/>
      <c r="E60" s="2">
        <v>170</v>
      </c>
      <c r="F60" s="19">
        <v>33.94</v>
      </c>
      <c r="G60" s="19">
        <v>21.69</v>
      </c>
      <c r="I60" s="10">
        <v>37853</v>
      </c>
      <c r="J60" s="11">
        <f t="shared" si="8"/>
        <v>100.67114093959732</v>
      </c>
      <c r="K60" s="11">
        <f t="shared" si="6"/>
        <v>104.32968713498258</v>
      </c>
      <c r="L60" s="11">
        <f t="shared" si="7"/>
        <v>104.29724444813601</v>
      </c>
      <c r="M60" s="11">
        <f t="shared" si="9"/>
        <v>94.444444444444443</v>
      </c>
      <c r="N60" s="11">
        <f t="shared" si="10"/>
        <v>151.78890876565293</v>
      </c>
      <c r="O60" s="11">
        <f t="shared" si="11"/>
        <v>153.82978723404256</v>
      </c>
      <c r="Q60" s="4">
        <v>1.49</v>
      </c>
      <c r="R60" s="4">
        <v>1815.8525733157076</v>
      </c>
      <c r="S60" s="4">
        <v>2338.2847000963566</v>
      </c>
      <c r="T60" s="4">
        <v>180</v>
      </c>
      <c r="U60" s="4">
        <v>22.36</v>
      </c>
      <c r="V60" s="4">
        <v>14.1</v>
      </c>
      <c r="W60" s="4"/>
      <c r="X60" s="7">
        <v>37853</v>
      </c>
      <c r="Y60" s="68">
        <v>1820.473308572808</v>
      </c>
      <c r="Z60" s="68">
        <v>2438.766509552861</v>
      </c>
    </row>
    <row r="61" spans="1:26" x14ac:dyDescent="0.3">
      <c r="A61" s="7">
        <v>37860</v>
      </c>
      <c r="B61" s="19">
        <v>1.5</v>
      </c>
      <c r="C61" s="20">
        <v>65.5</v>
      </c>
      <c r="D61" s="20"/>
      <c r="E61" s="2">
        <v>188</v>
      </c>
      <c r="F61" s="19">
        <v>33.159999999999997</v>
      </c>
      <c r="G61" s="19">
        <v>20.43</v>
      </c>
      <c r="I61" s="10">
        <v>37860</v>
      </c>
      <c r="J61" s="11">
        <f t="shared" si="8"/>
        <v>100.67114093959732</v>
      </c>
      <c r="K61" s="11">
        <f t="shared" si="6"/>
        <v>103.89353208229608</v>
      </c>
      <c r="L61" s="11">
        <f t="shared" si="7"/>
        <v>104.28008203481507</v>
      </c>
      <c r="M61" s="11">
        <f t="shared" si="9"/>
        <v>104.44444444444446</v>
      </c>
      <c r="N61" s="11">
        <f t="shared" si="10"/>
        <v>148.30053667262968</v>
      </c>
      <c r="O61" s="11">
        <f t="shared" si="11"/>
        <v>144.89361702127658</v>
      </c>
      <c r="Q61" s="4">
        <v>1.49</v>
      </c>
      <c r="R61" s="4">
        <v>1815.8525733157076</v>
      </c>
      <c r="S61" s="4">
        <v>2338.2847000963566</v>
      </c>
      <c r="T61" s="4">
        <v>180</v>
      </c>
      <c r="U61" s="4">
        <v>22.36</v>
      </c>
      <c r="V61" s="4">
        <v>14.1</v>
      </c>
      <c r="W61" s="4"/>
      <c r="X61" s="7">
        <v>37860</v>
      </c>
      <c r="Y61" s="68">
        <v>1821.0533758249535</v>
      </c>
      <c r="Z61" s="68">
        <v>2438.3652034680099</v>
      </c>
    </row>
    <row r="62" spans="1:26" x14ac:dyDescent="0.3">
      <c r="A62" s="7">
        <v>37867</v>
      </c>
      <c r="B62" s="19">
        <v>1.5</v>
      </c>
      <c r="C62" s="20">
        <v>79.5</v>
      </c>
      <c r="D62" s="20"/>
      <c r="E62" s="2">
        <v>188</v>
      </c>
      <c r="F62" s="19">
        <v>33.96</v>
      </c>
      <c r="G62" s="19">
        <v>19.5</v>
      </c>
      <c r="I62" s="10">
        <v>37867</v>
      </c>
      <c r="J62" s="11">
        <f t="shared" si="8"/>
        <v>100.67114093959732</v>
      </c>
      <c r="K62" s="11">
        <f t="shared" si="6"/>
        <v>106.26175091455316</v>
      </c>
      <c r="L62" s="11">
        <f t="shared" si="7"/>
        <v>103.07800716912337</v>
      </c>
      <c r="M62" s="11">
        <f t="shared" si="9"/>
        <v>104.44444444444446</v>
      </c>
      <c r="N62" s="11">
        <f t="shared" si="10"/>
        <v>151.8783542039356</v>
      </c>
      <c r="O62" s="11">
        <f t="shared" si="11"/>
        <v>138.29787234042556</v>
      </c>
      <c r="Q62" s="4">
        <v>1.49</v>
      </c>
      <c r="R62" s="4">
        <v>1815.8525733157076</v>
      </c>
      <c r="S62" s="4">
        <v>2338.2847000963566</v>
      </c>
      <c r="T62" s="4">
        <v>180</v>
      </c>
      <c r="U62" s="4">
        <v>22.36</v>
      </c>
      <c r="V62" s="4">
        <v>14.1</v>
      </c>
      <c r="W62" s="4"/>
      <c r="X62" s="7">
        <v>37867</v>
      </c>
      <c r="Y62" s="68">
        <v>1850.056738432241</v>
      </c>
      <c r="Z62" s="68">
        <v>2410.257270799837</v>
      </c>
    </row>
    <row r="63" spans="1:26" x14ac:dyDescent="0.3">
      <c r="A63" s="7">
        <v>37874</v>
      </c>
      <c r="B63" s="19">
        <v>1.49</v>
      </c>
      <c r="C63" s="20">
        <v>51.5</v>
      </c>
      <c r="D63" s="20"/>
      <c r="E63" s="2">
        <v>199</v>
      </c>
      <c r="F63" s="19">
        <v>34.89</v>
      </c>
      <c r="G63" s="19">
        <v>19.600000000000001</v>
      </c>
      <c r="I63" s="10">
        <v>37874</v>
      </c>
      <c r="J63" s="11">
        <f t="shared" si="8"/>
        <v>100</v>
      </c>
      <c r="K63" s="11">
        <f t="shared" si="6"/>
        <v>104.71977551349553</v>
      </c>
      <c r="L63" s="11">
        <f t="shared" si="7"/>
        <v>103.07800716912337</v>
      </c>
      <c r="M63" s="11">
        <f t="shared" si="9"/>
        <v>110.55555555555556</v>
      </c>
      <c r="N63" s="11">
        <f t="shared" si="10"/>
        <v>156.03756708407872</v>
      </c>
      <c r="O63" s="11">
        <f t="shared" si="11"/>
        <v>139.00709219858157</v>
      </c>
      <c r="Q63" s="4">
        <v>1.49</v>
      </c>
      <c r="R63" s="4">
        <v>1815.8525733157076</v>
      </c>
      <c r="S63" s="4">
        <v>2338.2847000963566</v>
      </c>
      <c r="T63" s="4">
        <v>180</v>
      </c>
      <c r="U63" s="4">
        <v>22.36</v>
      </c>
      <c r="V63" s="4">
        <v>14.1</v>
      </c>
      <c r="W63" s="4"/>
      <c r="X63" s="7">
        <v>37874</v>
      </c>
      <c r="Y63" s="68">
        <v>1850.056738432241</v>
      </c>
      <c r="Z63" s="68">
        <v>2410.257270799837</v>
      </c>
    </row>
    <row r="64" spans="1:26" x14ac:dyDescent="0.3">
      <c r="A64" s="7">
        <v>37881</v>
      </c>
      <c r="B64" s="19">
        <v>1.47</v>
      </c>
      <c r="C64" s="20">
        <v>44.5</v>
      </c>
      <c r="D64" s="20"/>
      <c r="E64" s="2">
        <v>248</v>
      </c>
      <c r="F64" s="19">
        <v>34.4</v>
      </c>
      <c r="G64" s="19">
        <v>20.2</v>
      </c>
      <c r="I64" s="10">
        <v>37881</v>
      </c>
      <c r="J64" s="11">
        <f t="shared" si="8"/>
        <v>98.65771812080537</v>
      </c>
      <c r="K64" s="11">
        <f t="shared" si="6"/>
        <v>104.33428166323114</v>
      </c>
      <c r="L64" s="11">
        <f t="shared" si="7"/>
        <v>103.07800716912337</v>
      </c>
      <c r="M64" s="11">
        <f t="shared" si="9"/>
        <v>137.77777777777777</v>
      </c>
      <c r="N64" s="11">
        <f t="shared" si="10"/>
        <v>153.84615384615384</v>
      </c>
      <c r="O64" s="11">
        <f t="shared" si="11"/>
        <v>143.26241134751774</v>
      </c>
      <c r="Q64" s="4">
        <v>1.49</v>
      </c>
      <c r="R64" s="4">
        <v>1815.8525733157076</v>
      </c>
      <c r="S64" s="4">
        <v>2338.2847000963566</v>
      </c>
      <c r="T64" s="4">
        <v>180</v>
      </c>
      <c r="U64" s="4">
        <v>22.36</v>
      </c>
      <c r="V64" s="4">
        <v>14.1</v>
      </c>
      <c r="W64" s="4"/>
      <c r="X64" s="7">
        <v>37881</v>
      </c>
      <c r="Y64" s="68">
        <v>1850.056738432241</v>
      </c>
      <c r="Z64" s="68">
        <v>2410.257270799837</v>
      </c>
    </row>
    <row r="65" spans="1:26" x14ac:dyDescent="0.3">
      <c r="A65" s="7">
        <v>37888</v>
      </c>
      <c r="B65" s="19">
        <v>1.44</v>
      </c>
      <c r="C65" s="20">
        <v>17.5</v>
      </c>
      <c r="D65" s="20"/>
      <c r="E65" s="2">
        <v>273</v>
      </c>
      <c r="F65" s="19">
        <v>33.65</v>
      </c>
      <c r="G65" s="19">
        <v>22.82</v>
      </c>
      <c r="I65" s="10">
        <v>37888</v>
      </c>
      <c r="J65" s="11">
        <f t="shared" si="8"/>
        <v>96.644295302013418</v>
      </c>
      <c r="K65" s="11">
        <f t="shared" si="6"/>
        <v>102.75588943287661</v>
      </c>
      <c r="L65" s="11">
        <f t="shared" si="7"/>
        <v>103.11450146980312</v>
      </c>
      <c r="M65" s="11">
        <f t="shared" si="9"/>
        <v>151.66666666666666</v>
      </c>
      <c r="N65" s="11">
        <f t="shared" si="10"/>
        <v>150.49194991055455</v>
      </c>
      <c r="O65" s="11">
        <f t="shared" si="11"/>
        <v>161.84397163120568</v>
      </c>
      <c r="Q65" s="4">
        <v>1.49</v>
      </c>
      <c r="R65" s="4">
        <v>1815.8525733157076</v>
      </c>
      <c r="S65" s="4">
        <v>2338.2847000963566</v>
      </c>
      <c r="T65" s="4">
        <v>180</v>
      </c>
      <c r="U65" s="4">
        <v>22.36</v>
      </c>
      <c r="V65" s="4">
        <v>14.1</v>
      </c>
      <c r="W65" s="4"/>
      <c r="X65" s="7">
        <v>37888</v>
      </c>
      <c r="Y65" s="68">
        <v>1848.3954625003332</v>
      </c>
      <c r="Z65" s="68">
        <v>2411.110611449039</v>
      </c>
    </row>
    <row r="66" spans="1:26" x14ac:dyDescent="0.3">
      <c r="A66" s="7">
        <v>37895</v>
      </c>
      <c r="B66" s="19">
        <v>1.43</v>
      </c>
      <c r="C66" s="20">
        <v>6</v>
      </c>
      <c r="D66" s="20"/>
      <c r="E66" s="2">
        <v>301</v>
      </c>
      <c r="F66" s="19">
        <v>37.729999999999997</v>
      </c>
      <c r="G66" s="19">
        <v>27.07</v>
      </c>
      <c r="I66" s="10">
        <v>37895</v>
      </c>
      <c r="J66" s="11">
        <f t="shared" si="8"/>
        <v>95.973154362416096</v>
      </c>
      <c r="K66" s="11">
        <f t="shared" si="6"/>
        <v>97.572410000894621</v>
      </c>
      <c r="L66" s="11">
        <f t="shared" si="7"/>
        <v>104.87362514454941</v>
      </c>
      <c r="M66" s="11">
        <f t="shared" si="9"/>
        <v>167.22222222222223</v>
      </c>
      <c r="N66" s="11">
        <f t="shared" si="10"/>
        <v>168.73881932021467</v>
      </c>
      <c r="O66" s="11">
        <f t="shared" si="11"/>
        <v>191.98581560283691</v>
      </c>
      <c r="Q66" s="4">
        <v>1.49</v>
      </c>
      <c r="R66" s="4">
        <v>1815.8525733157076</v>
      </c>
      <c r="S66" s="4">
        <v>2338.2847000963566</v>
      </c>
      <c r="T66" s="4">
        <v>180</v>
      </c>
      <c r="U66" s="4">
        <v>22.36</v>
      </c>
      <c r="V66" s="4">
        <v>14.1</v>
      </c>
      <c r="W66" s="4"/>
      <c r="X66" s="7">
        <v>37895</v>
      </c>
      <c r="Y66" s="68">
        <v>1765.7711178473976</v>
      </c>
      <c r="Z66" s="68">
        <v>2452.2439311914045</v>
      </c>
    </row>
    <row r="67" spans="1:26" x14ac:dyDescent="0.3">
      <c r="A67" s="7">
        <v>37902</v>
      </c>
      <c r="B67" s="19">
        <v>1.45</v>
      </c>
      <c r="C67" s="20">
        <v>-2.5</v>
      </c>
      <c r="D67" s="20"/>
      <c r="E67" s="2">
        <v>298</v>
      </c>
      <c r="F67" s="19">
        <v>42.36</v>
      </c>
      <c r="G67" s="19">
        <v>32.82</v>
      </c>
      <c r="I67" s="10">
        <v>37902</v>
      </c>
      <c r="J67" s="11">
        <f t="shared" si="8"/>
        <v>97.315436241610726</v>
      </c>
      <c r="K67" s="11">
        <f t="shared" si="6"/>
        <v>97.10431032557355</v>
      </c>
      <c r="L67" s="11">
        <f t="shared" si="7"/>
        <v>104.87362514454941</v>
      </c>
      <c r="M67" s="11">
        <f t="shared" si="9"/>
        <v>165.55555555555554</v>
      </c>
      <c r="N67" s="11">
        <f t="shared" si="10"/>
        <v>189.44543828264759</v>
      </c>
      <c r="O67" s="11">
        <f t="shared" si="11"/>
        <v>232.76595744680853</v>
      </c>
      <c r="Q67" s="4">
        <v>1.49</v>
      </c>
      <c r="R67" s="4">
        <v>1815.8525733157076</v>
      </c>
      <c r="S67" s="4">
        <v>2338.2847000963566</v>
      </c>
      <c r="T67" s="4">
        <v>180</v>
      </c>
      <c r="U67" s="4">
        <v>22.36</v>
      </c>
      <c r="V67" s="4">
        <v>14.1</v>
      </c>
      <c r="W67" s="4"/>
      <c r="X67" s="7">
        <v>37902</v>
      </c>
      <c r="Y67" s="68">
        <v>1765.7711178473976</v>
      </c>
      <c r="Z67" s="68">
        <v>2452.2439311914045</v>
      </c>
    </row>
    <row r="68" spans="1:26" x14ac:dyDescent="0.3">
      <c r="A68" s="7">
        <v>37909</v>
      </c>
      <c r="B68" s="19">
        <v>1.48</v>
      </c>
      <c r="C68" s="20">
        <v>-3</v>
      </c>
      <c r="D68" s="20"/>
      <c r="E68" s="2">
        <v>268</v>
      </c>
      <c r="F68" s="19">
        <v>45.52</v>
      </c>
      <c r="G68" s="19">
        <v>38.020000000000003</v>
      </c>
      <c r="I68" s="10">
        <v>37909</v>
      </c>
      <c r="J68" s="11">
        <f t="shared" si="8"/>
        <v>99.328859060402692</v>
      </c>
      <c r="K68" s="11">
        <f t="shared" si="6"/>
        <v>97.076775050554659</v>
      </c>
      <c r="L68" s="11">
        <f t="shared" si="7"/>
        <v>104.87362514454941</v>
      </c>
      <c r="M68" s="11">
        <f t="shared" si="9"/>
        <v>148.88888888888889</v>
      </c>
      <c r="N68" s="11">
        <f t="shared" si="10"/>
        <v>203.57781753130593</v>
      </c>
      <c r="O68" s="11">
        <f t="shared" si="11"/>
        <v>269.64539007092202</v>
      </c>
      <c r="Q68" s="4">
        <v>1.49</v>
      </c>
      <c r="R68" s="4">
        <v>1815.8525733157076</v>
      </c>
      <c r="S68" s="4">
        <v>2338.2847000963566</v>
      </c>
      <c r="T68" s="4">
        <v>180</v>
      </c>
      <c r="U68" s="4">
        <v>22.36</v>
      </c>
      <c r="V68" s="4">
        <v>14.1</v>
      </c>
      <c r="W68" s="4"/>
      <c r="X68" s="7">
        <v>37909</v>
      </c>
      <c r="Y68" s="68">
        <v>1765.7711178473976</v>
      </c>
      <c r="Z68" s="68">
        <v>2452.2439311914045</v>
      </c>
    </row>
    <row r="69" spans="1:26" x14ac:dyDescent="0.3">
      <c r="A69" s="7">
        <v>37916</v>
      </c>
      <c r="B69" s="19">
        <v>1.5</v>
      </c>
      <c r="C69" s="20">
        <v>1.5</v>
      </c>
      <c r="D69" s="20"/>
      <c r="E69" s="2">
        <v>305</v>
      </c>
      <c r="F69" s="19">
        <v>45.75</v>
      </c>
      <c r="G69" s="19">
        <v>38.340000000000003</v>
      </c>
      <c r="I69" s="10">
        <v>37916</v>
      </c>
      <c r="J69" s="11">
        <f t="shared" si="8"/>
        <v>100.67114093959732</v>
      </c>
      <c r="K69" s="11">
        <f t="shared" si="6"/>
        <v>97.32459252572464</v>
      </c>
      <c r="L69" s="11">
        <f t="shared" si="7"/>
        <v>104.87362514454941</v>
      </c>
      <c r="M69" s="11">
        <f t="shared" si="9"/>
        <v>169.44444444444443</v>
      </c>
      <c r="N69" s="11">
        <f t="shared" si="10"/>
        <v>204.60644007155634</v>
      </c>
      <c r="O69" s="11">
        <f t="shared" si="11"/>
        <v>271.91489361702128</v>
      </c>
      <c r="Q69" s="4">
        <v>1.49</v>
      </c>
      <c r="R69" s="4">
        <v>1815.8525733157076</v>
      </c>
      <c r="S69" s="4">
        <v>2338.2847000963566</v>
      </c>
      <c r="T69" s="4">
        <v>180</v>
      </c>
      <c r="U69" s="4">
        <v>22.36</v>
      </c>
      <c r="V69" s="4">
        <v>14.1</v>
      </c>
      <c r="W69" s="4"/>
      <c r="X69" s="7">
        <v>37916</v>
      </c>
      <c r="Y69" s="68">
        <v>1765.7711178473976</v>
      </c>
      <c r="Z69" s="68">
        <v>2452.2439311914045</v>
      </c>
    </row>
    <row r="70" spans="1:26" x14ac:dyDescent="0.3">
      <c r="A70" s="7">
        <v>37923</v>
      </c>
      <c r="B70" s="19">
        <v>1.5</v>
      </c>
      <c r="C70" s="20">
        <v>32.5</v>
      </c>
      <c r="D70" s="20"/>
      <c r="E70" s="2">
        <v>350</v>
      </c>
      <c r="F70" s="19">
        <v>46.78</v>
      </c>
      <c r="G70" s="19">
        <v>41.99</v>
      </c>
      <c r="I70" s="10">
        <v>37923</v>
      </c>
      <c r="J70" s="11">
        <f t="shared" si="8"/>
        <v>100.67114093959732</v>
      </c>
      <c r="K70" s="11">
        <f t="shared" si="6"/>
        <v>99.124176685134586</v>
      </c>
      <c r="L70" s="11">
        <f t="shared" si="7"/>
        <v>104.85098488868776</v>
      </c>
      <c r="M70" s="11">
        <f t="shared" si="9"/>
        <v>194.44444444444443</v>
      </c>
      <c r="N70" s="11">
        <f t="shared" si="10"/>
        <v>209.21288014311276</v>
      </c>
      <c r="O70" s="11">
        <f t="shared" si="11"/>
        <v>297.80141843971631</v>
      </c>
      <c r="Q70" s="4">
        <v>1.49</v>
      </c>
      <c r="R70" s="4">
        <v>1815.8525733157076</v>
      </c>
      <c r="S70" s="4">
        <v>2338.2847000963566</v>
      </c>
      <c r="T70" s="4">
        <v>180</v>
      </c>
      <c r="U70" s="4">
        <v>22.36</v>
      </c>
      <c r="V70" s="4">
        <v>14.1</v>
      </c>
      <c r="W70" s="4"/>
      <c r="X70" s="7">
        <v>37923</v>
      </c>
      <c r="Y70" s="68">
        <v>1767.4489131150251</v>
      </c>
      <c r="Z70" s="68">
        <v>2451.7145375525288</v>
      </c>
    </row>
    <row r="71" spans="1:26" x14ac:dyDescent="0.3">
      <c r="A71" s="7">
        <v>37930</v>
      </c>
      <c r="B71" s="19">
        <v>1.48</v>
      </c>
      <c r="C71" s="20">
        <v>117.5</v>
      </c>
      <c r="D71" s="20"/>
      <c r="E71" s="2">
        <v>277</v>
      </c>
      <c r="F71" s="19">
        <v>47.48</v>
      </c>
      <c r="G71" s="19">
        <v>41.51</v>
      </c>
      <c r="I71" s="10">
        <v>37930</v>
      </c>
      <c r="J71" s="11">
        <f t="shared" si="8"/>
        <v>99.328859060402692</v>
      </c>
      <c r="K71" s="11">
        <f t="shared" si="6"/>
        <v>107.87494034320366</v>
      </c>
      <c r="L71" s="11">
        <f t="shared" si="7"/>
        <v>103.6776875625829</v>
      </c>
      <c r="M71" s="11">
        <f t="shared" si="9"/>
        <v>153.88888888888889</v>
      </c>
      <c r="N71" s="11">
        <f t="shared" si="10"/>
        <v>212.34347048300535</v>
      </c>
      <c r="O71" s="11">
        <f t="shared" si="11"/>
        <v>294.39716312056737</v>
      </c>
      <c r="Q71" s="4">
        <v>1.49</v>
      </c>
      <c r="R71" s="4">
        <v>1815.8525733157076</v>
      </c>
      <c r="S71" s="4">
        <v>2338.2847000963566</v>
      </c>
      <c r="T71" s="4">
        <v>180</v>
      </c>
      <c r="U71" s="4">
        <v>22.36</v>
      </c>
      <c r="V71" s="4">
        <v>14.1</v>
      </c>
      <c r="W71" s="4"/>
      <c r="X71" s="7">
        <v>37930</v>
      </c>
      <c r="Y71" s="68">
        <v>1841.349880184848</v>
      </c>
      <c r="Z71" s="68">
        <v>2424.2795056895793</v>
      </c>
    </row>
    <row r="72" spans="1:26" x14ac:dyDescent="0.3">
      <c r="A72" s="7">
        <v>37937</v>
      </c>
      <c r="B72" s="19">
        <v>1.48</v>
      </c>
      <c r="C72" s="20">
        <v>123</v>
      </c>
      <c r="D72" s="20"/>
      <c r="E72" s="2">
        <v>219</v>
      </c>
      <c r="F72" s="19">
        <v>45.42</v>
      </c>
      <c r="G72" s="19">
        <v>39.46</v>
      </c>
      <c r="I72" s="10">
        <v>37937</v>
      </c>
      <c r="J72" s="11">
        <f t="shared" si="8"/>
        <v>99.328859060402692</v>
      </c>
      <c r="K72" s="11">
        <f t="shared" si="6"/>
        <v>108.17782836841141</v>
      </c>
      <c r="L72" s="11">
        <f t="shared" si="7"/>
        <v>103.6776875625829</v>
      </c>
      <c r="M72" s="11">
        <f t="shared" si="9"/>
        <v>121.66666666666669</v>
      </c>
      <c r="N72" s="11">
        <f t="shared" si="10"/>
        <v>203.13059033989271</v>
      </c>
      <c r="O72" s="11">
        <f t="shared" si="11"/>
        <v>279.8581560283688</v>
      </c>
      <c r="Q72" s="4">
        <v>1.49</v>
      </c>
      <c r="R72" s="4">
        <v>1815.8525733157076</v>
      </c>
      <c r="S72" s="4">
        <v>2338.2847000963566</v>
      </c>
      <c r="T72" s="4">
        <v>180</v>
      </c>
      <c r="U72" s="4">
        <v>22.36</v>
      </c>
      <c r="V72" s="4">
        <v>14.1</v>
      </c>
      <c r="W72" s="4"/>
      <c r="X72" s="7">
        <v>37937</v>
      </c>
      <c r="Y72" s="68">
        <v>1841.349880184848</v>
      </c>
      <c r="Z72" s="68">
        <v>2424.2795056895793</v>
      </c>
    </row>
    <row r="73" spans="1:26" x14ac:dyDescent="0.3">
      <c r="A73" s="7">
        <v>37944</v>
      </c>
      <c r="B73" s="19">
        <v>1.48</v>
      </c>
      <c r="C73" s="20">
        <v>230</v>
      </c>
      <c r="D73" s="20"/>
      <c r="E73" s="2">
        <v>193</v>
      </c>
      <c r="F73" s="19">
        <v>44.98</v>
      </c>
      <c r="G73" s="19">
        <v>39.159999999999997</v>
      </c>
      <c r="I73" s="10">
        <v>37944</v>
      </c>
      <c r="J73" s="11">
        <f t="shared" ref="J73:J79" si="12">(1+(B73-Q73)/Q73)*100</f>
        <v>99.328859060402692</v>
      </c>
      <c r="K73" s="11">
        <f t="shared" ref="K73:K136" si="13">(C73+Y73)/R73*100</f>
        <v>114.07037722245303</v>
      </c>
      <c r="L73" s="11">
        <f t="shared" ref="L73:L136" si="14">(D73+Z73)/S73*100</f>
        <v>103.6776875625829</v>
      </c>
      <c r="M73" s="11">
        <f t="shared" ref="M73:M86" si="15">(1+(E73-T73)/T73)*100</f>
        <v>107.22222222222221</v>
      </c>
      <c r="N73" s="11">
        <f t="shared" ref="N73:N86" si="16">(1+(F73-U73)/U73)*100</f>
        <v>201.16279069767441</v>
      </c>
      <c r="O73" s="11">
        <f t="shared" ref="O73:O86" si="17">(1+(G73-V73)/V73)*100</f>
        <v>277.73049645390068</v>
      </c>
      <c r="Q73" s="4">
        <v>1.49</v>
      </c>
      <c r="R73" s="4">
        <v>1815.8525733157076</v>
      </c>
      <c r="S73" s="4">
        <v>2338.2847000963566</v>
      </c>
      <c r="T73" s="4">
        <v>180</v>
      </c>
      <c r="U73" s="4">
        <v>22.36</v>
      </c>
      <c r="V73" s="4">
        <v>14.1</v>
      </c>
      <c r="W73" s="4"/>
      <c r="X73" s="7">
        <v>37944</v>
      </c>
      <c r="Y73" s="68">
        <v>1841.349880184848</v>
      </c>
      <c r="Z73" s="68">
        <v>2424.2795056895793</v>
      </c>
    </row>
    <row r="74" spans="1:26" x14ac:dyDescent="0.3">
      <c r="A74" s="7">
        <v>37951</v>
      </c>
      <c r="B74" s="19">
        <v>1.49</v>
      </c>
      <c r="C74" s="20">
        <v>149.5</v>
      </c>
      <c r="D74" s="20"/>
      <c r="E74" s="2">
        <v>188</v>
      </c>
      <c r="F74" s="19">
        <v>46.32</v>
      </c>
      <c r="G74" s="19">
        <v>40.97</v>
      </c>
      <c r="I74" s="10">
        <v>37951</v>
      </c>
      <c r="J74" s="11">
        <f t="shared" si="12"/>
        <v>100</v>
      </c>
      <c r="K74" s="11">
        <f t="shared" si="13"/>
        <v>109.70589187884048</v>
      </c>
      <c r="L74" s="11">
        <f t="shared" si="14"/>
        <v>103.66938247535555</v>
      </c>
      <c r="M74" s="11">
        <f t="shared" si="15"/>
        <v>104.44444444444446</v>
      </c>
      <c r="N74" s="11">
        <f t="shared" si="16"/>
        <v>207.15563506261182</v>
      </c>
      <c r="O74" s="11">
        <f t="shared" si="17"/>
        <v>290.56737588652481</v>
      </c>
      <c r="Q74" s="4">
        <v>1.49</v>
      </c>
      <c r="R74" s="4">
        <v>1815.8525733157076</v>
      </c>
      <c r="S74" s="4">
        <v>2338.2847000963566</v>
      </c>
      <c r="T74" s="4">
        <v>180</v>
      </c>
      <c r="U74" s="4">
        <v>22.36</v>
      </c>
      <c r="V74" s="4">
        <v>14.1</v>
      </c>
      <c r="W74" s="4"/>
      <c r="X74" s="7">
        <v>37951</v>
      </c>
      <c r="Y74" s="68">
        <v>1842.5972607608728</v>
      </c>
      <c r="Z74" s="68">
        <v>2424.0853091056124</v>
      </c>
    </row>
    <row r="75" spans="1:26" x14ac:dyDescent="0.3">
      <c r="A75" s="7">
        <v>37958</v>
      </c>
      <c r="B75" s="19">
        <v>1.48</v>
      </c>
      <c r="C75" s="20">
        <v>175.5</v>
      </c>
      <c r="D75" s="20"/>
      <c r="E75" s="2">
        <v>200</v>
      </c>
      <c r="F75" s="19">
        <v>49.14</v>
      </c>
      <c r="G75" s="19">
        <v>41.94</v>
      </c>
      <c r="I75" s="10">
        <v>37958</v>
      </c>
      <c r="J75" s="11">
        <f t="shared" si="12"/>
        <v>99.328859060402692</v>
      </c>
      <c r="K75" s="11">
        <f t="shared" si="13"/>
        <v>114.1142552607528</v>
      </c>
      <c r="L75" s="11">
        <f t="shared" si="14"/>
        <v>103.51552195086194</v>
      </c>
      <c r="M75" s="11">
        <f t="shared" si="15"/>
        <v>111.11111111111111</v>
      </c>
      <c r="N75" s="11">
        <f t="shared" si="16"/>
        <v>219.76744186046514</v>
      </c>
      <c r="O75" s="11">
        <f t="shared" si="17"/>
        <v>297.44680851063828</v>
      </c>
      <c r="Q75" s="4">
        <v>1.49</v>
      </c>
      <c r="R75" s="4">
        <v>1815.8525733157076</v>
      </c>
      <c r="S75" s="4">
        <v>2338.2847000963566</v>
      </c>
      <c r="T75" s="4">
        <v>180</v>
      </c>
      <c r="U75" s="4">
        <v>22.36</v>
      </c>
      <c r="V75" s="4">
        <v>14.1</v>
      </c>
      <c r="W75" s="4"/>
      <c r="X75" s="7">
        <v>37958</v>
      </c>
      <c r="Y75" s="68">
        <v>1896.6466406724346</v>
      </c>
      <c r="Z75" s="68">
        <v>2420.4876120018903</v>
      </c>
    </row>
    <row r="76" spans="1:26" x14ac:dyDescent="0.3">
      <c r="A76" s="7">
        <v>37965</v>
      </c>
      <c r="B76" s="19">
        <v>1.49</v>
      </c>
      <c r="C76" s="20">
        <v>195</v>
      </c>
      <c r="D76" s="20"/>
      <c r="E76" s="2">
        <v>221</v>
      </c>
      <c r="F76" s="2">
        <v>50.51</v>
      </c>
      <c r="G76" s="2">
        <v>41.43</v>
      </c>
      <c r="I76" s="10">
        <v>37965</v>
      </c>
      <c r="J76" s="11">
        <f t="shared" si="12"/>
        <v>100</v>
      </c>
      <c r="K76" s="11">
        <f t="shared" si="13"/>
        <v>115.18813098648934</v>
      </c>
      <c r="L76" s="11">
        <f t="shared" si="14"/>
        <v>103.51552195086194</v>
      </c>
      <c r="M76" s="11">
        <f t="shared" si="15"/>
        <v>122.77777777777779</v>
      </c>
      <c r="N76" s="11">
        <f t="shared" si="16"/>
        <v>225.89445438282647</v>
      </c>
      <c r="O76" s="11">
        <f t="shared" si="17"/>
        <v>293.8297872340425</v>
      </c>
      <c r="Q76" s="4">
        <v>1.49</v>
      </c>
      <c r="R76" s="4">
        <v>1815.8525733157076</v>
      </c>
      <c r="S76" s="4">
        <v>2338.2847000963566</v>
      </c>
      <c r="T76" s="4">
        <v>180</v>
      </c>
      <c r="U76" s="4">
        <v>22.36</v>
      </c>
      <c r="V76" s="4">
        <v>14.1</v>
      </c>
      <c r="W76" s="4"/>
      <c r="X76" s="7">
        <v>37965</v>
      </c>
      <c r="Y76" s="68">
        <v>1896.6466406724346</v>
      </c>
      <c r="Z76" s="68">
        <v>2420.4876120018903</v>
      </c>
    </row>
    <row r="77" spans="1:26" x14ac:dyDescent="0.3">
      <c r="A77" s="7">
        <v>37972</v>
      </c>
      <c r="B77" s="19">
        <v>1.49</v>
      </c>
      <c r="C77" s="20">
        <v>130</v>
      </c>
      <c r="D77" s="20"/>
      <c r="E77" s="2">
        <v>214</v>
      </c>
      <c r="F77" s="2">
        <v>51.28</v>
      </c>
      <c r="G77" s="2">
        <v>41.81</v>
      </c>
      <c r="I77" s="10">
        <v>37972</v>
      </c>
      <c r="J77" s="11">
        <f t="shared" si="12"/>
        <v>100</v>
      </c>
      <c r="K77" s="11">
        <f t="shared" si="13"/>
        <v>111.60854523403414</v>
      </c>
      <c r="L77" s="11">
        <f t="shared" si="14"/>
        <v>103.51552195086194</v>
      </c>
      <c r="M77" s="11">
        <f t="shared" si="15"/>
        <v>118.88888888888889</v>
      </c>
      <c r="N77" s="11">
        <f t="shared" si="16"/>
        <v>229.33810375670842</v>
      </c>
      <c r="O77" s="11">
        <f t="shared" si="17"/>
        <v>296.52482269503543</v>
      </c>
      <c r="Q77" s="4">
        <v>1.49</v>
      </c>
      <c r="R77" s="4">
        <v>1815.8525733157076</v>
      </c>
      <c r="S77" s="4">
        <v>2338.2847000963566</v>
      </c>
      <c r="T77" s="4">
        <v>180</v>
      </c>
      <c r="U77" s="4">
        <v>22.36</v>
      </c>
      <c r="V77" s="4">
        <v>14.1</v>
      </c>
      <c r="W77" s="4"/>
      <c r="X77" s="7">
        <v>37972</v>
      </c>
      <c r="Y77" s="68">
        <v>1896.6466406724346</v>
      </c>
      <c r="Z77" s="68">
        <v>2420.4876120018903</v>
      </c>
    </row>
    <row r="78" spans="1:26" x14ac:dyDescent="0.3">
      <c r="A78" s="7">
        <v>37979</v>
      </c>
      <c r="B78" s="19">
        <v>1.5</v>
      </c>
      <c r="C78" s="20">
        <v>92</v>
      </c>
      <c r="D78" s="20"/>
      <c r="E78" s="2">
        <v>215</v>
      </c>
      <c r="F78" s="2">
        <v>51.36</v>
      </c>
      <c r="G78" s="2">
        <v>41.56</v>
      </c>
      <c r="I78" s="10">
        <v>37979</v>
      </c>
      <c r="J78" s="11">
        <f t="shared" si="12"/>
        <v>100.67114093959732</v>
      </c>
      <c r="K78" s="11">
        <f t="shared" si="13"/>
        <v>109.51586433259881</v>
      </c>
      <c r="L78" s="11">
        <f t="shared" si="14"/>
        <v>103.51552195086194</v>
      </c>
      <c r="M78" s="11">
        <f t="shared" si="15"/>
        <v>119.44444444444444</v>
      </c>
      <c r="N78" s="11">
        <f t="shared" si="16"/>
        <v>229.695885509839</v>
      </c>
      <c r="O78" s="11">
        <f t="shared" si="17"/>
        <v>294.75177304964541</v>
      </c>
      <c r="Q78" s="4">
        <v>1.49</v>
      </c>
      <c r="R78" s="4">
        <v>1815.8525733157076</v>
      </c>
      <c r="S78" s="4">
        <v>2338.2847000963566</v>
      </c>
      <c r="T78" s="4">
        <v>180</v>
      </c>
      <c r="U78" s="4">
        <v>22.36</v>
      </c>
      <c r="V78" s="4">
        <v>14.1</v>
      </c>
      <c r="W78" s="4"/>
      <c r="X78" s="7">
        <v>37979</v>
      </c>
      <c r="Y78" s="68">
        <v>1896.6466406724346</v>
      </c>
      <c r="Z78" s="68">
        <v>2420.4876120018903</v>
      </c>
    </row>
    <row r="79" spans="1:26" x14ac:dyDescent="0.3">
      <c r="A79" s="7">
        <v>37986</v>
      </c>
      <c r="B79" s="19">
        <v>1.502</v>
      </c>
      <c r="C79" s="20">
        <v>80.5</v>
      </c>
      <c r="D79" s="20"/>
      <c r="E79" s="2">
        <v>201</v>
      </c>
      <c r="F79" s="2" t="s">
        <v>19</v>
      </c>
      <c r="G79" s="2" t="s">
        <v>19</v>
      </c>
      <c r="I79" s="10">
        <v>37986</v>
      </c>
      <c r="J79" s="11">
        <f t="shared" si="12"/>
        <v>100.80536912751678</v>
      </c>
      <c r="K79" s="11">
        <f t="shared" si="13"/>
        <v>108.85873571743865</v>
      </c>
      <c r="L79" s="11">
        <f t="shared" si="14"/>
        <v>103.55687850582839</v>
      </c>
      <c r="M79" s="11">
        <f t="shared" si="15"/>
        <v>111.66666666666667</v>
      </c>
      <c r="N79" s="11">
        <f t="shared" si="16"/>
        <v>0</v>
      </c>
      <c r="O79" s="11">
        <f t="shared" si="17"/>
        <v>0</v>
      </c>
      <c r="Q79" s="4">
        <v>1.49</v>
      </c>
      <c r="R79" s="4">
        <v>1815.8525733157076</v>
      </c>
      <c r="S79" s="4">
        <v>2338.2847000963566</v>
      </c>
      <c r="T79" s="4">
        <v>180</v>
      </c>
      <c r="U79" s="4">
        <v>22.36</v>
      </c>
      <c r="V79" s="4">
        <v>14.1</v>
      </c>
      <c r="W79" s="4"/>
      <c r="X79" s="7">
        <v>37986</v>
      </c>
      <c r="Y79" s="68">
        <v>1896.2141538040551</v>
      </c>
      <c r="Z79" s="68">
        <v>2421.4546459991579</v>
      </c>
    </row>
    <row r="80" spans="1:26" x14ac:dyDescent="0.3">
      <c r="A80" s="7">
        <v>37993</v>
      </c>
      <c r="B80" s="19">
        <v>1.5</v>
      </c>
      <c r="C80" s="20">
        <v>81.5</v>
      </c>
      <c r="D80" s="20"/>
      <c r="E80" s="2">
        <v>200</v>
      </c>
      <c r="F80" s="2">
        <v>51.63</v>
      </c>
      <c r="G80" s="2">
        <v>41.45</v>
      </c>
      <c r="I80" s="10">
        <v>37993</v>
      </c>
      <c r="J80" s="11">
        <f t="shared" ref="J80:J123" si="18">(1+(B80-Q80)/Q80)*100</f>
        <v>100.67114093959732</v>
      </c>
      <c r="K80" s="11">
        <f t="shared" si="13"/>
        <v>107.84587272554087</v>
      </c>
      <c r="L80" s="11">
        <f t="shared" si="14"/>
        <v>105.21179555276112</v>
      </c>
      <c r="M80" s="11">
        <f t="shared" si="15"/>
        <v>111.11111111111111</v>
      </c>
      <c r="N80" s="11">
        <f t="shared" si="16"/>
        <v>230.90339892665477</v>
      </c>
      <c r="O80" s="11">
        <f t="shared" si="17"/>
        <v>293.97163120567376</v>
      </c>
      <c r="Q80" s="4">
        <v>1.49</v>
      </c>
      <c r="R80" s="4">
        <v>1815.8525733157076</v>
      </c>
      <c r="S80" s="4">
        <v>2338.2847000963566</v>
      </c>
      <c r="T80" s="4">
        <v>180</v>
      </c>
      <c r="U80" s="4">
        <v>22.36</v>
      </c>
      <c r="V80" s="4">
        <v>14.1</v>
      </c>
      <c r="W80" s="4"/>
      <c r="X80" s="7">
        <v>37993</v>
      </c>
      <c r="Y80" s="68">
        <v>1876.8220551015168</v>
      </c>
      <c r="Z80" s="68">
        <v>2460.1513181068722</v>
      </c>
    </row>
    <row r="81" spans="1:26" x14ac:dyDescent="0.3">
      <c r="A81" s="7">
        <v>38000</v>
      </c>
      <c r="B81" s="19">
        <v>1.58</v>
      </c>
      <c r="C81" s="2">
        <v>32.5</v>
      </c>
      <c r="E81" s="2">
        <v>200</v>
      </c>
      <c r="F81" s="19">
        <v>58.17</v>
      </c>
      <c r="G81" s="19">
        <v>45.14</v>
      </c>
      <c r="I81" s="10">
        <v>38000</v>
      </c>
      <c r="J81" s="24">
        <f t="shared" si="18"/>
        <v>106.04026845637584</v>
      </c>
      <c r="K81" s="11">
        <f t="shared" si="13"/>
        <v>105.14741577369004</v>
      </c>
      <c r="L81" s="11">
        <f t="shared" si="14"/>
        <v>105.21179555276112</v>
      </c>
      <c r="M81" s="24">
        <f t="shared" si="15"/>
        <v>111.11111111111111</v>
      </c>
      <c r="N81" s="24">
        <f t="shared" si="16"/>
        <v>260.15205724508053</v>
      </c>
      <c r="O81" s="24">
        <f t="shared" si="17"/>
        <v>320.1418439716312</v>
      </c>
      <c r="Q81" s="4">
        <v>1.49</v>
      </c>
      <c r="R81" s="4">
        <v>1815.8525733157076</v>
      </c>
      <c r="S81" s="4">
        <v>2338.2847000963566</v>
      </c>
      <c r="T81" s="4">
        <v>180</v>
      </c>
      <c r="U81" s="4">
        <v>22.36</v>
      </c>
      <c r="V81" s="4">
        <v>14.1</v>
      </c>
      <c r="W81" s="4"/>
      <c r="X81" s="7">
        <v>38000</v>
      </c>
      <c r="Y81" s="68">
        <v>1876.8220551015168</v>
      </c>
      <c r="Z81" s="68">
        <v>2460.1513181068722</v>
      </c>
    </row>
    <row r="82" spans="1:26" x14ac:dyDescent="0.3">
      <c r="A82" s="7">
        <v>38007</v>
      </c>
      <c r="B82" s="19">
        <v>1.56</v>
      </c>
      <c r="C82" s="2">
        <v>132</v>
      </c>
      <c r="E82" s="2">
        <v>190</v>
      </c>
      <c r="F82" s="19">
        <v>59.08</v>
      </c>
      <c r="G82" s="19">
        <v>43.65</v>
      </c>
      <c r="I82" s="10">
        <v>38007</v>
      </c>
      <c r="J82" s="24">
        <f t="shared" si="18"/>
        <v>104.69798657718121</v>
      </c>
      <c r="K82" s="11">
        <f t="shared" si="13"/>
        <v>110.62693550244838</v>
      </c>
      <c r="L82" s="11">
        <f t="shared" si="14"/>
        <v>105.21179555276112</v>
      </c>
      <c r="M82" s="24">
        <f t="shared" si="15"/>
        <v>105.55555555555556</v>
      </c>
      <c r="N82" s="24">
        <f t="shared" si="16"/>
        <v>264.22182468694098</v>
      </c>
      <c r="O82" s="24">
        <f t="shared" si="17"/>
        <v>309.57446808510639</v>
      </c>
      <c r="Q82" s="4">
        <v>1.49</v>
      </c>
      <c r="R82" s="4">
        <v>1815.8525733157076</v>
      </c>
      <c r="S82" s="4">
        <v>2338.2847000963566</v>
      </c>
      <c r="T82" s="4">
        <v>180</v>
      </c>
      <c r="U82" s="4">
        <v>22.36</v>
      </c>
      <c r="V82" s="4">
        <v>14.1</v>
      </c>
      <c r="W82" s="4"/>
      <c r="X82" s="7">
        <v>38007</v>
      </c>
      <c r="Y82" s="68">
        <v>1876.8220551015168</v>
      </c>
      <c r="Z82" s="68">
        <v>2460.1513181068722</v>
      </c>
    </row>
    <row r="83" spans="1:26" x14ac:dyDescent="0.3">
      <c r="A83" s="7">
        <v>38014</v>
      </c>
      <c r="B83" s="19">
        <v>1.58</v>
      </c>
      <c r="C83" s="2">
        <v>70.5</v>
      </c>
      <c r="E83" s="2">
        <v>208</v>
      </c>
      <c r="F83" s="19">
        <v>62.23</v>
      </c>
      <c r="G83" s="19">
        <v>43.89</v>
      </c>
      <c r="I83" s="10">
        <v>38014</v>
      </c>
      <c r="J83" s="24">
        <f t="shared" si="18"/>
        <v>106.04026845637584</v>
      </c>
      <c r="K83" s="11">
        <f t="shared" si="13"/>
        <v>107.30590909230915</v>
      </c>
      <c r="L83" s="11">
        <f t="shared" si="14"/>
        <v>105.2099352815367</v>
      </c>
      <c r="M83" s="24">
        <f t="shared" si="15"/>
        <v>115.55555555555554</v>
      </c>
      <c r="N83" s="24">
        <f t="shared" si="16"/>
        <v>278.30948121645793</v>
      </c>
      <c r="O83" s="24">
        <f t="shared" si="17"/>
        <v>311.27659574468083</v>
      </c>
      <c r="Q83" s="4">
        <v>1.49</v>
      </c>
      <c r="R83" s="4">
        <v>1815.8525733157076</v>
      </c>
      <c r="S83" s="4">
        <v>2338.2847000963566</v>
      </c>
      <c r="T83" s="4">
        <v>180</v>
      </c>
      <c r="U83" s="4">
        <v>22.36</v>
      </c>
      <c r="V83" s="4">
        <v>14.1</v>
      </c>
      <c r="W83" s="4"/>
      <c r="X83" s="7">
        <v>38014</v>
      </c>
      <c r="Y83" s="68">
        <v>1878.0171115725093</v>
      </c>
      <c r="Z83" s="68">
        <v>2460.1078196694511</v>
      </c>
    </row>
    <row r="84" spans="1:26" x14ac:dyDescent="0.3">
      <c r="A84" s="7">
        <v>38021</v>
      </c>
      <c r="B84" s="19">
        <v>1.58</v>
      </c>
      <c r="C84" s="2">
        <v>137.5</v>
      </c>
      <c r="E84" s="2">
        <v>215</v>
      </c>
      <c r="F84" s="19">
        <v>71.47</v>
      </c>
      <c r="G84" s="19">
        <v>45.27</v>
      </c>
      <c r="I84" s="10">
        <v>38021</v>
      </c>
      <c r="J84" s="24">
        <f t="shared" si="18"/>
        <v>106.04026845637584</v>
      </c>
      <c r="K84" s="11">
        <f t="shared" si="13"/>
        <v>113.72068029238054</v>
      </c>
      <c r="L84" s="11">
        <f t="shared" si="14"/>
        <v>105.12290289010053</v>
      </c>
      <c r="M84" s="24">
        <f t="shared" si="15"/>
        <v>119.44444444444444</v>
      </c>
      <c r="N84" s="24">
        <f t="shared" si="16"/>
        <v>319.63327370304114</v>
      </c>
      <c r="O84" s="24">
        <f t="shared" si="17"/>
        <v>321.06382978723406</v>
      </c>
      <c r="Q84" s="4">
        <v>1.49</v>
      </c>
      <c r="R84" s="4">
        <v>1815.8525733157076</v>
      </c>
      <c r="S84" s="4">
        <v>2338.2847000963566</v>
      </c>
      <c r="T84" s="4">
        <v>180</v>
      </c>
      <c r="U84" s="4">
        <v>22.36</v>
      </c>
      <c r="V84" s="4">
        <v>14.1</v>
      </c>
      <c r="W84" s="4"/>
      <c r="X84" s="7">
        <v>38021</v>
      </c>
      <c r="Y84" s="68">
        <v>1927.4998994813209</v>
      </c>
      <c r="Z84" s="68">
        <v>2458.0727545763716</v>
      </c>
    </row>
    <row r="85" spans="1:26" x14ac:dyDescent="0.3">
      <c r="A85" s="7">
        <v>38028</v>
      </c>
      <c r="B85" s="19">
        <v>1.57</v>
      </c>
      <c r="C85" s="2">
        <v>200</v>
      </c>
      <c r="E85" s="2">
        <v>196</v>
      </c>
      <c r="F85" s="19">
        <v>69.209999999999994</v>
      </c>
      <c r="G85" s="19">
        <v>43.93</v>
      </c>
      <c r="I85" s="10">
        <v>38028</v>
      </c>
      <c r="J85" s="24">
        <f t="shared" si="18"/>
        <v>105.36912751677853</v>
      </c>
      <c r="K85" s="11">
        <f t="shared" si="13"/>
        <v>117.16258966974131</v>
      </c>
      <c r="L85" s="11">
        <f t="shared" si="14"/>
        <v>105.12290289010053</v>
      </c>
      <c r="M85" s="24">
        <f t="shared" si="15"/>
        <v>108.88888888888889</v>
      </c>
      <c r="N85" s="24">
        <f t="shared" si="16"/>
        <v>309.52593917710198</v>
      </c>
      <c r="O85" s="24">
        <f t="shared" si="17"/>
        <v>311.56028368794324</v>
      </c>
      <c r="Q85" s="4">
        <v>1.49</v>
      </c>
      <c r="R85" s="4">
        <v>1815.8525733157076</v>
      </c>
      <c r="S85" s="4">
        <v>2338.2847000963566</v>
      </c>
      <c r="T85" s="4">
        <v>180</v>
      </c>
      <c r="U85" s="4">
        <v>22.36</v>
      </c>
      <c r="V85" s="4">
        <v>14.1</v>
      </c>
      <c r="W85" s="4"/>
      <c r="X85" s="7">
        <v>38028</v>
      </c>
      <c r="Y85" s="68">
        <v>1927.4998994813209</v>
      </c>
      <c r="Z85" s="68">
        <v>2458.0727545763716</v>
      </c>
    </row>
    <row r="86" spans="1:26" x14ac:dyDescent="0.3">
      <c r="A86" s="7">
        <v>38035</v>
      </c>
      <c r="B86" s="19">
        <v>1.58</v>
      </c>
      <c r="C86" s="2">
        <v>218</v>
      </c>
      <c r="E86" s="2">
        <v>181</v>
      </c>
      <c r="F86" s="19">
        <v>68.83</v>
      </c>
      <c r="G86" s="19">
        <v>43.74</v>
      </c>
      <c r="I86" s="10">
        <v>38035</v>
      </c>
      <c r="J86" s="24">
        <f t="shared" si="18"/>
        <v>106.04026845637584</v>
      </c>
      <c r="K86" s="11">
        <f t="shared" si="13"/>
        <v>118.15385957042122</v>
      </c>
      <c r="L86" s="11">
        <f t="shared" si="14"/>
        <v>105.12290289010053</v>
      </c>
      <c r="M86" s="24">
        <f t="shared" si="15"/>
        <v>100.55555555555556</v>
      </c>
      <c r="N86" s="24">
        <f t="shared" si="16"/>
        <v>307.82647584973171</v>
      </c>
      <c r="O86" s="24">
        <f t="shared" si="17"/>
        <v>310.21276595744683</v>
      </c>
      <c r="Q86" s="4">
        <v>1.49</v>
      </c>
      <c r="R86" s="4">
        <v>1815.8525733157076</v>
      </c>
      <c r="S86" s="4">
        <v>2338.2847000963566</v>
      </c>
      <c r="T86" s="4">
        <v>180</v>
      </c>
      <c r="U86" s="4">
        <v>22.36</v>
      </c>
      <c r="V86" s="4">
        <v>14.1</v>
      </c>
      <c r="W86" s="4"/>
      <c r="X86" s="7">
        <v>38035</v>
      </c>
      <c r="Y86" s="68">
        <v>1927.4998994813209</v>
      </c>
      <c r="Z86" s="68">
        <v>2458.0727545763716</v>
      </c>
    </row>
    <row r="87" spans="1:26" x14ac:dyDescent="0.3">
      <c r="A87" s="7">
        <v>38042</v>
      </c>
      <c r="B87" s="19">
        <v>1.6</v>
      </c>
      <c r="C87" s="2">
        <v>105.5</v>
      </c>
      <c r="E87" s="2">
        <v>158</v>
      </c>
      <c r="F87" s="19">
        <v>73.010000000000005</v>
      </c>
      <c r="G87" s="19">
        <v>44.76</v>
      </c>
      <c r="I87" s="10">
        <v>38042</v>
      </c>
      <c r="J87" s="27">
        <f t="shared" si="18"/>
        <v>107.38255033557047</v>
      </c>
      <c r="K87" s="11">
        <f t="shared" si="13"/>
        <v>111.94871837563252</v>
      </c>
      <c r="L87" s="11">
        <f t="shared" si="14"/>
        <v>105.10174997979725</v>
      </c>
      <c r="M87" s="24">
        <f t="shared" ref="M87:M117" si="19">(1+(E87-T87)/T87)*100</f>
        <v>87.777777777777771</v>
      </c>
      <c r="N87" s="27">
        <f t="shared" ref="N87:N130" si="20">(1+(F87-U87)/U87)*100</f>
        <v>326.52057245080505</v>
      </c>
      <c r="O87" s="27">
        <f t="shared" ref="O87:O130" si="21">(1+(G87-V87)/V87)*100</f>
        <v>317.44680851063828</v>
      </c>
      <c r="Q87" s="4">
        <v>1.49</v>
      </c>
      <c r="R87" s="4">
        <v>1815.8525733157076</v>
      </c>
      <c r="S87" s="4">
        <v>2338.2847000963566</v>
      </c>
      <c r="T87" s="4">
        <v>180</v>
      </c>
      <c r="U87" s="4">
        <v>22.36</v>
      </c>
      <c r="V87" s="4">
        <v>14.1</v>
      </c>
      <c r="W87" s="4"/>
      <c r="X87" s="7">
        <v>38042</v>
      </c>
      <c r="Y87" s="68">
        <v>1927.3236834178774</v>
      </c>
      <c r="Z87" s="68">
        <v>2457.5781393111242</v>
      </c>
    </row>
    <row r="88" spans="1:26" x14ac:dyDescent="0.3">
      <c r="A88" s="7">
        <v>38049</v>
      </c>
      <c r="B88" s="23">
        <v>1.62</v>
      </c>
      <c r="C88" s="23">
        <v>129.5</v>
      </c>
      <c r="D88" s="23"/>
      <c r="E88" s="23">
        <v>160</v>
      </c>
      <c r="F88" s="23">
        <v>72.209999999999994</v>
      </c>
      <c r="G88" s="23">
        <v>43.76</v>
      </c>
      <c r="I88" s="10">
        <v>38049</v>
      </c>
      <c r="J88" s="27">
        <f t="shared" si="18"/>
        <v>108.7248322147651</v>
      </c>
      <c r="K88" s="11">
        <f t="shared" si="13"/>
        <v>113.80141670975866</v>
      </c>
      <c r="L88" s="11">
        <f t="shared" si="14"/>
        <v>105.35878540870482</v>
      </c>
      <c r="M88" s="24">
        <f t="shared" si="19"/>
        <v>88.888888888888886</v>
      </c>
      <c r="N88" s="27">
        <f t="shared" si="20"/>
        <v>322.94275491949907</v>
      </c>
      <c r="O88" s="27">
        <f t="shared" si="21"/>
        <v>310.35460992907798</v>
      </c>
      <c r="Q88" s="4">
        <v>1.49</v>
      </c>
      <c r="R88" s="4">
        <v>1815.8525733157076</v>
      </c>
      <c r="S88" s="4">
        <v>2338.2847000963566</v>
      </c>
      <c r="T88" s="4">
        <v>180</v>
      </c>
      <c r="U88" s="4">
        <v>22.36</v>
      </c>
      <c r="V88" s="4">
        <v>14.1</v>
      </c>
      <c r="W88" s="4"/>
      <c r="X88" s="7">
        <v>38049</v>
      </c>
      <c r="Y88" s="68">
        <v>1936.9659537938844</v>
      </c>
      <c r="Z88" s="68">
        <v>2463.5883594190977</v>
      </c>
    </row>
    <row r="89" spans="1:26" x14ac:dyDescent="0.3">
      <c r="A89" s="7">
        <v>38056</v>
      </c>
      <c r="B89" s="23">
        <v>1.63</v>
      </c>
      <c r="C89" s="23">
        <v>153.5</v>
      </c>
      <c r="D89" s="23"/>
      <c r="E89" s="23">
        <v>149</v>
      </c>
      <c r="F89" s="23">
        <v>73.11</v>
      </c>
      <c r="G89" s="23">
        <v>44.93</v>
      </c>
      <c r="I89" s="10">
        <v>38056</v>
      </c>
      <c r="J89" s="27">
        <f t="shared" si="18"/>
        <v>109.39597315436241</v>
      </c>
      <c r="K89" s="11">
        <f t="shared" si="13"/>
        <v>115.12310991066519</v>
      </c>
      <c r="L89" s="11">
        <f t="shared" si="14"/>
        <v>105.35878540870482</v>
      </c>
      <c r="M89" s="27">
        <f t="shared" si="19"/>
        <v>82.777777777777771</v>
      </c>
      <c r="N89" s="27">
        <f t="shared" si="20"/>
        <v>326.96779964221827</v>
      </c>
      <c r="O89" s="27">
        <f t="shared" si="21"/>
        <v>318.65248226950354</v>
      </c>
      <c r="Q89" s="4">
        <v>1.49</v>
      </c>
      <c r="R89" s="4">
        <v>1815.8525733157076</v>
      </c>
      <c r="S89" s="4">
        <v>2338.2847000963566</v>
      </c>
      <c r="T89" s="4">
        <v>180</v>
      </c>
      <c r="U89" s="4">
        <v>22.36</v>
      </c>
      <c r="V89" s="4">
        <v>14.1</v>
      </c>
      <c r="W89" s="4"/>
      <c r="X89" s="7">
        <v>38056</v>
      </c>
      <c r="Y89" s="68">
        <v>1936.9659537938844</v>
      </c>
      <c r="Z89" s="68">
        <v>2463.5883594190977</v>
      </c>
    </row>
    <row r="90" spans="1:26" x14ac:dyDescent="0.3">
      <c r="A90" s="7">
        <v>38063</v>
      </c>
      <c r="B90" s="33">
        <v>1.617</v>
      </c>
      <c r="C90" s="34">
        <v>125</v>
      </c>
      <c r="D90" s="34"/>
      <c r="E90" s="35">
        <v>151</v>
      </c>
      <c r="F90" s="33">
        <v>73.260999999999996</v>
      </c>
      <c r="G90" s="33">
        <v>45.386000000000003</v>
      </c>
      <c r="I90" s="10">
        <v>38063</v>
      </c>
      <c r="J90" s="27">
        <f t="shared" si="18"/>
        <v>108.52348993288589</v>
      </c>
      <c r="K90" s="11">
        <f t="shared" si="13"/>
        <v>113.55359923458867</v>
      </c>
      <c r="L90" s="11">
        <f t="shared" si="14"/>
        <v>105.35878540870482</v>
      </c>
      <c r="M90" s="27">
        <f t="shared" si="19"/>
        <v>83.888888888888886</v>
      </c>
      <c r="N90" s="27">
        <f t="shared" si="20"/>
        <v>327.64311270125222</v>
      </c>
      <c r="O90" s="27">
        <f t="shared" si="21"/>
        <v>321.88652482269504</v>
      </c>
      <c r="Q90" s="4">
        <v>1.49</v>
      </c>
      <c r="R90" s="4">
        <v>1815.8525733157076</v>
      </c>
      <c r="S90" s="4">
        <v>2338.2847000963566</v>
      </c>
      <c r="T90" s="4">
        <v>180</v>
      </c>
      <c r="U90" s="4">
        <v>22.36</v>
      </c>
      <c r="V90" s="4">
        <v>14.1</v>
      </c>
      <c r="W90" s="4"/>
      <c r="X90" s="7">
        <v>38063</v>
      </c>
      <c r="Y90" s="68">
        <v>1936.9659537938844</v>
      </c>
      <c r="Z90" s="68">
        <v>2463.5883594190977</v>
      </c>
    </row>
    <row r="91" spans="1:26" x14ac:dyDescent="0.3">
      <c r="A91" s="7">
        <v>38070</v>
      </c>
      <c r="B91" s="23">
        <v>1.64</v>
      </c>
      <c r="C91" s="23">
        <v>90</v>
      </c>
      <c r="D91" s="23"/>
      <c r="E91" s="23">
        <v>143</v>
      </c>
      <c r="F91" s="23">
        <v>73.03</v>
      </c>
      <c r="G91" s="23">
        <v>44.01</v>
      </c>
      <c r="I91" s="10">
        <v>38070</v>
      </c>
      <c r="J91" s="27">
        <f t="shared" si="18"/>
        <v>110.06711409395973</v>
      </c>
      <c r="K91" s="11">
        <f t="shared" si="13"/>
        <v>111.62612998326667</v>
      </c>
      <c r="L91" s="11">
        <f t="shared" si="14"/>
        <v>105.35878540870482</v>
      </c>
      <c r="M91" s="27">
        <f t="shared" si="19"/>
        <v>79.444444444444457</v>
      </c>
      <c r="N91" s="27">
        <f t="shared" si="20"/>
        <v>326.61001788908766</v>
      </c>
      <c r="O91" s="27">
        <f t="shared" si="21"/>
        <v>312.12765957446805</v>
      </c>
      <c r="Q91" s="4">
        <v>1.49</v>
      </c>
      <c r="R91" s="4">
        <v>1815.8525733157076</v>
      </c>
      <c r="S91" s="4">
        <v>2338.2847000963566</v>
      </c>
      <c r="T91" s="4">
        <v>180</v>
      </c>
      <c r="U91" s="4">
        <v>22.36</v>
      </c>
      <c r="V91" s="4">
        <v>14.1</v>
      </c>
      <c r="W91" s="4"/>
      <c r="X91" s="7">
        <v>38070</v>
      </c>
      <c r="Y91" s="68">
        <v>1936.9659537938844</v>
      </c>
      <c r="Z91" s="68">
        <v>2463.5883594190977</v>
      </c>
    </row>
    <row r="92" spans="1:26" x14ac:dyDescent="0.3">
      <c r="A92" s="7">
        <v>38077</v>
      </c>
      <c r="B92" s="23">
        <v>1.64</v>
      </c>
      <c r="C92" s="23">
        <v>104</v>
      </c>
      <c r="D92" s="23"/>
      <c r="E92" s="23">
        <v>151</v>
      </c>
      <c r="F92" s="23">
        <v>72.23</v>
      </c>
      <c r="G92" s="23">
        <v>42.13</v>
      </c>
      <c r="I92" s="10">
        <v>38077</v>
      </c>
      <c r="J92" s="27">
        <f t="shared" si="18"/>
        <v>110.06711409395973</v>
      </c>
      <c r="K92" s="11">
        <f t="shared" si="13"/>
        <v>112.22801165949483</v>
      </c>
      <c r="L92" s="11">
        <f t="shared" si="14"/>
        <v>105.42225711278992</v>
      </c>
      <c r="M92" s="27">
        <f t="shared" si="19"/>
        <v>83.888888888888886</v>
      </c>
      <c r="N92" s="27">
        <f t="shared" si="20"/>
        <v>323.03220035778179</v>
      </c>
      <c r="O92" s="27">
        <f t="shared" si="21"/>
        <v>298.79432624113474</v>
      </c>
      <c r="Q92" s="4">
        <v>1.49</v>
      </c>
      <c r="R92" s="4">
        <v>1815.8525733157076</v>
      </c>
      <c r="S92" s="4">
        <v>2338.2847000963566</v>
      </c>
      <c r="T92" s="4">
        <v>180</v>
      </c>
      <c r="U92" s="4">
        <v>22.36</v>
      </c>
      <c r="V92" s="4">
        <v>14.1</v>
      </c>
      <c r="W92" s="4"/>
      <c r="X92" s="7">
        <v>38077</v>
      </c>
      <c r="Y92" s="68">
        <v>1933.8952376999894</v>
      </c>
      <c r="Z92" s="68">
        <v>2465.0725085646095</v>
      </c>
    </row>
    <row r="93" spans="1:26" x14ac:dyDescent="0.3">
      <c r="A93" s="7">
        <v>38084</v>
      </c>
      <c r="B93" s="19">
        <v>1.6479999999999999</v>
      </c>
      <c r="C93" s="2">
        <v>104</v>
      </c>
      <c r="E93" s="2">
        <v>147</v>
      </c>
      <c r="F93" s="19">
        <v>72.738</v>
      </c>
      <c r="G93" s="19">
        <v>41.454999999999998</v>
      </c>
      <c r="I93" s="10">
        <v>38084</v>
      </c>
      <c r="J93" s="27">
        <f t="shared" si="18"/>
        <v>110.60402684563758</v>
      </c>
      <c r="K93" s="11">
        <f t="shared" si="13"/>
        <v>107.9681401055726</v>
      </c>
      <c r="L93" s="11">
        <f t="shared" si="14"/>
        <v>107.11100356694585</v>
      </c>
      <c r="M93" s="27">
        <f t="shared" si="19"/>
        <v>81.666666666666671</v>
      </c>
      <c r="N93" s="27">
        <f t="shared" si="20"/>
        <v>325.304114490161</v>
      </c>
      <c r="O93" s="27">
        <f t="shared" si="21"/>
        <v>294.00709219858152</v>
      </c>
      <c r="Q93" s="4">
        <v>1.49</v>
      </c>
      <c r="R93" s="4">
        <v>1815.8525733157076</v>
      </c>
      <c r="S93" s="4">
        <v>2338.2847000963566</v>
      </c>
      <c r="T93" s="4">
        <v>180</v>
      </c>
      <c r="U93" s="4">
        <v>22.36</v>
      </c>
      <c r="V93" s="4">
        <v>14.1</v>
      </c>
      <c r="W93" s="4"/>
      <c r="X93" s="7">
        <v>38084</v>
      </c>
      <c r="Y93" s="68">
        <v>1856.5422504681487</v>
      </c>
      <c r="Z93" s="68">
        <v>2504.5602085255578</v>
      </c>
    </row>
    <row r="94" spans="1:26" x14ac:dyDescent="0.3">
      <c r="A94" s="7">
        <v>38091</v>
      </c>
      <c r="B94" s="19">
        <v>1.679</v>
      </c>
      <c r="C94" s="2">
        <v>91</v>
      </c>
      <c r="E94" s="2">
        <v>146</v>
      </c>
      <c r="F94" s="19">
        <v>72.581000000000003</v>
      </c>
      <c r="G94" s="19">
        <v>41.134999999999998</v>
      </c>
      <c r="I94" s="10">
        <v>38091</v>
      </c>
      <c r="J94" s="27">
        <f t="shared" si="18"/>
        <v>112.68456375838926</v>
      </c>
      <c r="K94" s="11">
        <f t="shared" si="13"/>
        <v>107.25222295508156</v>
      </c>
      <c r="L94" s="11">
        <f t="shared" si="14"/>
        <v>107.11100356694585</v>
      </c>
      <c r="M94" s="27">
        <f t="shared" si="19"/>
        <v>81.111111111111114</v>
      </c>
      <c r="N94" s="27">
        <f t="shared" si="20"/>
        <v>324.60196779964224</v>
      </c>
      <c r="O94" s="27">
        <f t="shared" si="21"/>
        <v>291.7375886524822</v>
      </c>
      <c r="Q94" s="4">
        <v>1.49</v>
      </c>
      <c r="R94" s="4">
        <v>1815.8525733157076</v>
      </c>
      <c r="S94" s="4">
        <v>2338.2847000963566</v>
      </c>
      <c r="T94" s="4">
        <v>180</v>
      </c>
      <c r="U94" s="4">
        <v>22.36</v>
      </c>
      <c r="V94" s="4">
        <v>14.1</v>
      </c>
      <c r="W94" s="4"/>
      <c r="X94" s="7">
        <v>38091</v>
      </c>
      <c r="Y94" s="68">
        <v>1856.5422504681487</v>
      </c>
      <c r="Z94" s="68">
        <v>2504.5602085255578</v>
      </c>
    </row>
    <row r="95" spans="1:26" x14ac:dyDescent="0.3">
      <c r="A95" s="7">
        <v>38098</v>
      </c>
      <c r="B95" s="19">
        <v>1.72</v>
      </c>
      <c r="C95" s="2">
        <v>100.5</v>
      </c>
      <c r="E95" s="2">
        <v>140</v>
      </c>
      <c r="F95" s="19">
        <v>71.635999999999996</v>
      </c>
      <c r="G95" s="19">
        <v>41.417999999999999</v>
      </c>
      <c r="I95" s="10">
        <v>38098</v>
      </c>
      <c r="J95" s="27">
        <f t="shared" si="18"/>
        <v>115.43624161073826</v>
      </c>
      <c r="K95" s="11">
        <f t="shared" si="13"/>
        <v>107.7753931804404</v>
      </c>
      <c r="L95" s="11">
        <f t="shared" si="14"/>
        <v>107.11100356694585</v>
      </c>
      <c r="M95" s="27">
        <f t="shared" si="19"/>
        <v>77.777777777777786</v>
      </c>
      <c r="N95" s="27">
        <f t="shared" si="20"/>
        <v>320.37567084078711</v>
      </c>
      <c r="O95" s="27">
        <f t="shared" si="21"/>
        <v>293.74468085106383</v>
      </c>
      <c r="Q95" s="4">
        <v>1.49</v>
      </c>
      <c r="R95" s="4">
        <v>1815.8525733157076</v>
      </c>
      <c r="S95" s="4">
        <v>2338.2847000963566</v>
      </c>
      <c r="T95" s="4">
        <v>180</v>
      </c>
      <c r="U95" s="4">
        <v>22.36</v>
      </c>
      <c r="V95" s="4">
        <v>14.1</v>
      </c>
      <c r="W95" s="4"/>
      <c r="X95" s="7">
        <v>38098</v>
      </c>
      <c r="Y95" s="68">
        <v>1856.5422504681487</v>
      </c>
      <c r="Z95" s="68">
        <v>2504.5602085255578</v>
      </c>
    </row>
    <row r="96" spans="1:26" x14ac:dyDescent="0.3">
      <c r="A96" s="7">
        <v>38105</v>
      </c>
      <c r="B96" s="19">
        <v>1.718</v>
      </c>
      <c r="C96" s="2">
        <v>77</v>
      </c>
      <c r="E96" s="2">
        <v>136.5</v>
      </c>
      <c r="F96" s="19">
        <v>66.438999999999993</v>
      </c>
      <c r="G96" s="19">
        <v>38.131999999999998</v>
      </c>
      <c r="I96" s="10">
        <v>38105</v>
      </c>
      <c r="J96" s="27">
        <f t="shared" si="18"/>
        <v>115.30201342281879</v>
      </c>
      <c r="K96" s="11">
        <f t="shared" si="13"/>
        <v>106.57214102856996</v>
      </c>
      <c r="L96" s="11">
        <f t="shared" si="14"/>
        <v>107.07787533501252</v>
      </c>
      <c r="M96" s="27">
        <f t="shared" si="19"/>
        <v>75.833333333333329</v>
      </c>
      <c r="N96" s="27">
        <f t="shared" si="20"/>
        <v>297.13327370304114</v>
      </c>
      <c r="O96" s="27">
        <f t="shared" si="21"/>
        <v>270.4397163120567</v>
      </c>
      <c r="Q96" s="4">
        <v>1.49</v>
      </c>
      <c r="R96" s="4">
        <v>1815.8525733157076</v>
      </c>
      <c r="S96" s="4">
        <v>2338.2847000963566</v>
      </c>
      <c r="T96" s="4">
        <v>180</v>
      </c>
      <c r="U96" s="4">
        <v>22.36</v>
      </c>
      <c r="V96" s="4">
        <v>14.1</v>
      </c>
      <c r="W96" s="4"/>
      <c r="X96" s="7">
        <v>38105</v>
      </c>
      <c r="Y96" s="68">
        <v>1858.1929653049324</v>
      </c>
      <c r="Z96" s="68">
        <v>2503.7855761468481</v>
      </c>
    </row>
    <row r="97" spans="1:26" x14ac:dyDescent="0.3">
      <c r="A97" s="7">
        <v>38112</v>
      </c>
      <c r="B97" s="19">
        <v>1.7170000000000001</v>
      </c>
      <c r="C97" s="2">
        <v>42.5</v>
      </c>
      <c r="E97" s="2">
        <v>136</v>
      </c>
      <c r="F97" s="19">
        <v>63.335999999999999</v>
      </c>
      <c r="G97" s="19">
        <v>35.984999999999999</v>
      </c>
      <c r="I97" s="10">
        <v>38112</v>
      </c>
      <c r="J97" s="27">
        <f t="shared" si="18"/>
        <v>115.23489932885906</v>
      </c>
      <c r="K97" s="11">
        <f t="shared" si="13"/>
        <v>107.34351141692933</v>
      </c>
      <c r="L97" s="11">
        <f t="shared" si="14"/>
        <v>106.80146455904145</v>
      </c>
      <c r="M97" s="27">
        <f t="shared" si="19"/>
        <v>75.555555555555557</v>
      </c>
      <c r="N97" s="27">
        <f t="shared" si="20"/>
        <v>283.25581395348837</v>
      </c>
      <c r="O97" s="27">
        <f t="shared" si="21"/>
        <v>255.21276595744681</v>
      </c>
      <c r="Q97" s="4">
        <v>1.49</v>
      </c>
      <c r="R97" s="4">
        <v>1815.8525733157076</v>
      </c>
      <c r="S97" s="4">
        <v>2338.2847000963566</v>
      </c>
      <c r="T97" s="4">
        <v>180</v>
      </c>
      <c r="U97" s="4">
        <v>22.36</v>
      </c>
      <c r="V97" s="4">
        <v>14.1</v>
      </c>
      <c r="W97" s="4"/>
      <c r="X97" s="7">
        <v>38112</v>
      </c>
      <c r="Y97" s="68">
        <v>1906.6999143517517</v>
      </c>
      <c r="Z97" s="68">
        <v>2497.3223052628991</v>
      </c>
    </row>
    <row r="98" spans="1:26" x14ac:dyDescent="0.3">
      <c r="A98" s="7">
        <v>38119</v>
      </c>
      <c r="B98" s="19">
        <v>1.7450000000000001</v>
      </c>
      <c r="C98" s="2">
        <v>-2</v>
      </c>
      <c r="E98" s="2">
        <v>152</v>
      </c>
      <c r="F98" s="19">
        <v>63.381999999999998</v>
      </c>
      <c r="G98" s="19">
        <v>37.052</v>
      </c>
      <c r="I98" s="10">
        <v>38119</v>
      </c>
      <c r="J98" s="27">
        <f t="shared" si="18"/>
        <v>117.11409395973156</v>
      </c>
      <c r="K98" s="11">
        <f t="shared" si="13"/>
        <v>104.89287194024848</v>
      </c>
      <c r="L98" s="11">
        <f t="shared" si="14"/>
        <v>106.80146455904145</v>
      </c>
      <c r="M98" s="27">
        <f t="shared" si="19"/>
        <v>84.444444444444443</v>
      </c>
      <c r="N98" s="27">
        <f t="shared" si="20"/>
        <v>283.46153846153845</v>
      </c>
      <c r="O98" s="27">
        <f t="shared" si="21"/>
        <v>262.78014184397165</v>
      </c>
      <c r="Q98" s="4">
        <v>1.49</v>
      </c>
      <c r="R98" s="4">
        <v>1815.8525733157076</v>
      </c>
      <c r="S98" s="4">
        <v>2338.2847000963566</v>
      </c>
      <c r="T98" s="4">
        <v>180</v>
      </c>
      <c r="U98" s="4">
        <v>22.36</v>
      </c>
      <c r="V98" s="4">
        <v>14.1</v>
      </c>
      <c r="W98" s="4"/>
      <c r="X98" s="7">
        <v>38119</v>
      </c>
      <c r="Y98" s="68">
        <v>1906.6999143517517</v>
      </c>
      <c r="Z98" s="68">
        <v>2497.3223052628991</v>
      </c>
    </row>
    <row r="99" spans="1:26" x14ac:dyDescent="0.3">
      <c r="A99" s="7">
        <v>38126</v>
      </c>
      <c r="B99" s="19">
        <v>1.7629999999999999</v>
      </c>
      <c r="C99" s="2">
        <v>-4.5</v>
      </c>
      <c r="E99" s="2">
        <v>169</v>
      </c>
      <c r="F99" s="19">
        <v>52.411000000000001</v>
      </c>
      <c r="G99" s="19">
        <v>30.495999999999999</v>
      </c>
      <c r="I99" s="10">
        <v>38126</v>
      </c>
      <c r="J99" s="27">
        <f t="shared" si="18"/>
        <v>118.3221476510067</v>
      </c>
      <c r="K99" s="11">
        <f t="shared" si="13"/>
        <v>104.75519556515405</v>
      </c>
      <c r="L99" s="11">
        <f t="shared" si="14"/>
        <v>106.80146455904145</v>
      </c>
      <c r="M99" s="27">
        <f t="shared" si="19"/>
        <v>93.888888888888886</v>
      </c>
      <c r="N99" s="27">
        <f t="shared" si="20"/>
        <v>234.39624329159213</v>
      </c>
      <c r="O99" s="27">
        <f t="shared" si="21"/>
        <v>216.28368794326241</v>
      </c>
      <c r="Q99" s="4">
        <v>1.49</v>
      </c>
      <c r="R99" s="4">
        <v>1815.8525733157076</v>
      </c>
      <c r="S99" s="4">
        <v>2338.2847000963566</v>
      </c>
      <c r="T99" s="4">
        <v>180</v>
      </c>
      <c r="U99" s="4">
        <v>22.36</v>
      </c>
      <c r="V99" s="4">
        <v>14.1</v>
      </c>
      <c r="W99" s="4"/>
      <c r="X99" s="7">
        <v>38126</v>
      </c>
      <c r="Y99" s="68">
        <v>1906.6999143517517</v>
      </c>
      <c r="Z99" s="68">
        <v>2497.3223052628991</v>
      </c>
    </row>
    <row r="100" spans="1:26" x14ac:dyDescent="0.3">
      <c r="A100" s="7">
        <v>38133</v>
      </c>
      <c r="B100" s="19">
        <v>1.7609999999999999</v>
      </c>
      <c r="C100" s="2">
        <v>0</v>
      </c>
      <c r="E100" s="2">
        <v>174</v>
      </c>
      <c r="F100" s="19">
        <v>51.820999999999998</v>
      </c>
      <c r="G100" s="19">
        <v>29.920999999999999</v>
      </c>
      <c r="I100" s="10">
        <v>38133</v>
      </c>
      <c r="J100" s="27">
        <f t="shared" si="18"/>
        <v>118.18791946308724</v>
      </c>
      <c r="K100" s="11">
        <f t="shared" si="13"/>
        <v>104.99820689922504</v>
      </c>
      <c r="L100" s="11">
        <f t="shared" si="14"/>
        <v>106.75641229712929</v>
      </c>
      <c r="M100" s="27">
        <f t="shared" si="19"/>
        <v>96.666666666666671</v>
      </c>
      <c r="N100" s="27">
        <f t="shared" si="20"/>
        <v>231.75760286225403</v>
      </c>
      <c r="O100" s="27">
        <f t="shared" si="21"/>
        <v>212.20567375886526</v>
      </c>
      <c r="Q100" s="4">
        <v>1.49</v>
      </c>
      <c r="R100" s="4">
        <v>1815.8525733157076</v>
      </c>
      <c r="S100" s="4">
        <v>2338.2847000963566</v>
      </c>
      <c r="T100" s="4">
        <v>180</v>
      </c>
      <c r="U100" s="4">
        <v>22.36</v>
      </c>
      <c r="V100" s="4">
        <v>14.1</v>
      </c>
      <c r="W100" s="4"/>
      <c r="X100" s="7">
        <v>38133</v>
      </c>
      <c r="Y100" s="68">
        <v>1906.6126419149284</v>
      </c>
      <c r="Z100" s="68">
        <v>2496.2688551155597</v>
      </c>
    </row>
    <row r="101" spans="1:26" x14ac:dyDescent="0.3">
      <c r="A101" s="7">
        <v>38140</v>
      </c>
      <c r="B101" s="19">
        <v>1.746</v>
      </c>
      <c r="C101" s="2">
        <v>-11.5</v>
      </c>
      <c r="E101" s="2">
        <v>169</v>
      </c>
      <c r="F101" s="19">
        <v>51.418999999999997</v>
      </c>
      <c r="G101" s="19">
        <v>28.518999999999998</v>
      </c>
      <c r="I101" s="10">
        <v>38140</v>
      </c>
      <c r="J101" s="27">
        <f t="shared" si="18"/>
        <v>117.18120805369128</v>
      </c>
      <c r="K101" s="11">
        <f t="shared" si="13"/>
        <v>104.59965589971804</v>
      </c>
      <c r="L101" s="11">
        <f t="shared" si="14"/>
        <v>106.11909276348996</v>
      </c>
      <c r="M101" s="27">
        <f t="shared" si="19"/>
        <v>93.888888888888886</v>
      </c>
      <c r="N101" s="27">
        <f t="shared" si="20"/>
        <v>229.95974955277282</v>
      </c>
      <c r="O101" s="27">
        <f t="shared" si="21"/>
        <v>202.26241134751771</v>
      </c>
      <c r="Q101" s="4">
        <v>1.49</v>
      </c>
      <c r="R101" s="4">
        <v>1815.8525733157076</v>
      </c>
      <c r="S101" s="4">
        <v>2338.2847000963566</v>
      </c>
      <c r="T101" s="4">
        <v>180</v>
      </c>
      <c r="U101" s="4">
        <v>22.36</v>
      </c>
      <c r="V101" s="4">
        <v>14.1</v>
      </c>
      <c r="W101" s="4"/>
      <c r="X101" s="7">
        <v>38140</v>
      </c>
      <c r="Y101" s="68">
        <v>1910.8755433344054</v>
      </c>
      <c r="Z101" s="68">
        <v>2481.3665099697455</v>
      </c>
    </row>
    <row r="102" spans="1:26" x14ac:dyDescent="0.3">
      <c r="A102" s="7">
        <v>38147</v>
      </c>
      <c r="B102" s="19">
        <v>1.734</v>
      </c>
      <c r="C102" s="2">
        <v>0</v>
      </c>
      <c r="E102" s="2">
        <v>163</v>
      </c>
      <c r="F102" s="19">
        <v>47.712000000000003</v>
      </c>
      <c r="G102" s="19">
        <v>26.545999999999999</v>
      </c>
      <c r="I102" s="10">
        <v>38147</v>
      </c>
      <c r="J102" s="27">
        <f t="shared" si="18"/>
        <v>116.3758389261745</v>
      </c>
      <c r="K102" s="11">
        <f t="shared" si="13"/>
        <v>105.23296722515244</v>
      </c>
      <c r="L102" s="11">
        <f t="shared" si="14"/>
        <v>106.11909276348996</v>
      </c>
      <c r="M102" s="27">
        <f t="shared" si="19"/>
        <v>90.555555555555557</v>
      </c>
      <c r="N102" s="27">
        <f t="shared" si="20"/>
        <v>213.38103756708412</v>
      </c>
      <c r="O102" s="27">
        <f t="shared" si="21"/>
        <v>188.26950354609929</v>
      </c>
      <c r="Q102" s="4">
        <v>1.49</v>
      </c>
      <c r="R102" s="4">
        <v>1815.8525733157076</v>
      </c>
      <c r="S102" s="4">
        <v>2338.2847000963566</v>
      </c>
      <c r="T102" s="4">
        <v>180</v>
      </c>
      <c r="U102" s="4">
        <v>22.36</v>
      </c>
      <c r="V102" s="4">
        <v>14.1</v>
      </c>
      <c r="W102" s="4"/>
      <c r="X102" s="7">
        <v>38147</v>
      </c>
      <c r="Y102" s="68">
        <v>1910.8755433344054</v>
      </c>
      <c r="Z102" s="68">
        <v>2481.3665099697455</v>
      </c>
    </row>
    <row r="103" spans="1:26" x14ac:dyDescent="0.3">
      <c r="A103" s="7">
        <v>38154</v>
      </c>
      <c r="B103" s="19">
        <v>1.7110000000000001</v>
      </c>
      <c r="C103" s="2">
        <v>-1</v>
      </c>
      <c r="E103" s="2">
        <v>152</v>
      </c>
      <c r="F103" s="19">
        <v>43.557000000000002</v>
      </c>
      <c r="G103" s="19">
        <v>26.129000000000001</v>
      </c>
      <c r="I103" s="10">
        <v>38154</v>
      </c>
      <c r="J103" s="27">
        <f t="shared" si="18"/>
        <v>114.83221476510069</v>
      </c>
      <c r="K103" s="11">
        <f t="shared" si="13"/>
        <v>105.17789667511465</v>
      </c>
      <c r="L103" s="11">
        <f t="shared" si="14"/>
        <v>106.11909276348996</v>
      </c>
      <c r="M103" s="27">
        <f t="shared" si="19"/>
        <v>84.444444444444443</v>
      </c>
      <c r="N103" s="27">
        <f t="shared" si="20"/>
        <v>194.79874776386404</v>
      </c>
      <c r="O103" s="27">
        <f t="shared" si="21"/>
        <v>185.31205673758868</v>
      </c>
      <c r="Q103" s="4">
        <v>1.49</v>
      </c>
      <c r="R103" s="4">
        <v>1815.8525733157076</v>
      </c>
      <c r="S103" s="4">
        <v>2338.2847000963566</v>
      </c>
      <c r="T103" s="4">
        <v>180</v>
      </c>
      <c r="U103" s="4">
        <v>22.36</v>
      </c>
      <c r="V103" s="4">
        <v>14.1</v>
      </c>
      <c r="W103" s="4"/>
      <c r="X103" s="7">
        <v>38154</v>
      </c>
      <c r="Y103" s="68">
        <v>1910.8755433344054</v>
      </c>
      <c r="Z103" s="68">
        <v>2481.3665099697455</v>
      </c>
    </row>
    <row r="104" spans="1:26" x14ac:dyDescent="0.3">
      <c r="A104" s="7">
        <v>38161</v>
      </c>
      <c r="B104" s="19">
        <v>1.7</v>
      </c>
      <c r="C104" s="2">
        <v>22</v>
      </c>
      <c r="E104" s="2">
        <v>150</v>
      </c>
      <c r="F104" s="19">
        <v>36.975000000000001</v>
      </c>
      <c r="G104" s="19">
        <v>24.646000000000001</v>
      </c>
      <c r="I104" s="10">
        <v>38161</v>
      </c>
      <c r="J104" s="27">
        <f t="shared" si="18"/>
        <v>114.09395973154362</v>
      </c>
      <c r="K104" s="11">
        <f t="shared" si="13"/>
        <v>106.44451932598341</v>
      </c>
      <c r="L104" s="11">
        <f t="shared" si="14"/>
        <v>106.11909276348996</v>
      </c>
      <c r="M104" s="27">
        <f t="shared" si="19"/>
        <v>83.333333333333343</v>
      </c>
      <c r="N104" s="27">
        <f t="shared" si="20"/>
        <v>165.36225402504473</v>
      </c>
      <c r="O104" s="27">
        <f t="shared" si="21"/>
        <v>174.79432624113477</v>
      </c>
      <c r="Q104" s="4">
        <v>1.49</v>
      </c>
      <c r="R104" s="4">
        <v>1815.8525733157076</v>
      </c>
      <c r="S104" s="4">
        <v>2338.2847000963566</v>
      </c>
      <c r="T104" s="4">
        <v>180</v>
      </c>
      <c r="U104" s="4">
        <v>22.36</v>
      </c>
      <c r="V104" s="4">
        <v>14.1</v>
      </c>
      <c r="W104" s="4"/>
      <c r="X104" s="7">
        <v>38161</v>
      </c>
      <c r="Y104" s="68">
        <v>1910.8755433344054</v>
      </c>
      <c r="Z104" s="68">
        <v>2481.3665099697455</v>
      </c>
    </row>
    <row r="105" spans="1:26" x14ac:dyDescent="0.3">
      <c r="A105" s="7">
        <v>38168</v>
      </c>
      <c r="B105" s="19">
        <v>1.7</v>
      </c>
      <c r="C105" s="2">
        <v>-12.5</v>
      </c>
      <c r="E105" s="2">
        <v>151</v>
      </c>
      <c r="F105" s="19">
        <v>38.332000000000001</v>
      </c>
      <c r="G105" s="19">
        <v>26.471</v>
      </c>
      <c r="I105" s="10">
        <v>38168</v>
      </c>
      <c r="J105" s="27">
        <f t="shared" si="18"/>
        <v>114.09395973154362</v>
      </c>
      <c r="K105" s="11">
        <f t="shared" si="13"/>
        <v>104.44001692100171</v>
      </c>
      <c r="L105" s="11">
        <f t="shared" si="14"/>
        <v>106.07153162658345</v>
      </c>
      <c r="M105" s="27">
        <f t="shared" si="19"/>
        <v>83.888888888888886</v>
      </c>
      <c r="N105" s="27">
        <f t="shared" si="20"/>
        <v>171.43112701252235</v>
      </c>
      <c r="O105" s="27">
        <f t="shared" si="21"/>
        <v>187.73758865248226</v>
      </c>
      <c r="Q105" s="4">
        <v>1.49</v>
      </c>
      <c r="R105" s="4">
        <v>1815.8525733157076</v>
      </c>
      <c r="S105" s="4">
        <v>2338.2847000963566</v>
      </c>
      <c r="T105" s="4">
        <v>180</v>
      </c>
      <c r="U105" s="4">
        <v>22.36</v>
      </c>
      <c r="V105" s="4">
        <v>14.1</v>
      </c>
      <c r="W105" s="4"/>
      <c r="X105" s="7">
        <v>38168</v>
      </c>
      <c r="Y105" s="68">
        <v>1908.9767348313701</v>
      </c>
      <c r="Z105" s="68">
        <v>2480.2543951822686</v>
      </c>
    </row>
    <row r="106" spans="1:26" x14ac:dyDescent="0.3">
      <c r="A106" s="7">
        <v>38175</v>
      </c>
      <c r="B106" s="19">
        <v>1.716</v>
      </c>
      <c r="C106" s="2">
        <v>-57</v>
      </c>
      <c r="E106" s="2">
        <v>151</v>
      </c>
      <c r="F106" s="19">
        <v>42.365000000000002</v>
      </c>
      <c r="G106" s="19">
        <v>30.7</v>
      </c>
      <c r="I106" s="10">
        <v>38175</v>
      </c>
      <c r="J106" s="27">
        <f t="shared" si="18"/>
        <v>115.16778523489933</v>
      </c>
      <c r="K106" s="11">
        <f t="shared" si="13"/>
        <v>100.87786205062289</v>
      </c>
      <c r="L106" s="11">
        <f t="shared" si="14"/>
        <v>105.88948009248622</v>
      </c>
      <c r="M106" s="27">
        <f t="shared" si="19"/>
        <v>83.888888888888886</v>
      </c>
      <c r="N106" s="27">
        <f t="shared" si="20"/>
        <v>189.46779964221827</v>
      </c>
      <c r="O106" s="27">
        <f t="shared" si="21"/>
        <v>217.73049645390071</v>
      </c>
      <c r="Q106" s="4">
        <v>1.49</v>
      </c>
      <c r="R106" s="4">
        <v>1815.8525733157076</v>
      </c>
      <c r="S106" s="4">
        <v>2338.2847000963566</v>
      </c>
      <c r="T106" s="4">
        <v>180</v>
      </c>
      <c r="U106" s="4">
        <v>22.36</v>
      </c>
      <c r="V106" s="4">
        <v>14.1</v>
      </c>
      <c r="W106" s="4"/>
      <c r="X106" s="7">
        <v>38175</v>
      </c>
      <c r="Y106" s="68">
        <v>1888.7932539521057</v>
      </c>
      <c r="Z106" s="68">
        <v>2475.9975120141826</v>
      </c>
    </row>
    <row r="107" spans="1:26" x14ac:dyDescent="0.3">
      <c r="A107" s="7">
        <v>38182</v>
      </c>
      <c r="B107" s="19">
        <v>1.74</v>
      </c>
      <c r="C107" s="2">
        <v>-57.5</v>
      </c>
      <c r="E107" s="2">
        <v>146</v>
      </c>
      <c r="F107" s="19">
        <v>48.631999999999998</v>
      </c>
      <c r="G107" s="19">
        <v>36.161000000000001</v>
      </c>
      <c r="I107" s="10">
        <v>38182</v>
      </c>
      <c r="J107" s="27">
        <f t="shared" si="18"/>
        <v>116.77852348993289</v>
      </c>
      <c r="K107" s="11">
        <f t="shared" si="13"/>
        <v>100.85032677560402</v>
      </c>
      <c r="L107" s="11">
        <f t="shared" si="14"/>
        <v>105.88948009248622</v>
      </c>
      <c r="M107" s="27">
        <f t="shared" si="19"/>
        <v>81.111111111111114</v>
      </c>
      <c r="N107" s="27">
        <f t="shared" si="20"/>
        <v>217.49552772808585</v>
      </c>
      <c r="O107" s="27">
        <f t="shared" si="21"/>
        <v>256.46099290780143</v>
      </c>
      <c r="Q107" s="4">
        <v>1.49</v>
      </c>
      <c r="R107" s="4">
        <v>1815.8525733157076</v>
      </c>
      <c r="S107" s="4">
        <v>2338.2847000963566</v>
      </c>
      <c r="T107" s="4">
        <v>180</v>
      </c>
      <c r="U107" s="4">
        <v>22.36</v>
      </c>
      <c r="V107" s="4">
        <v>14.1</v>
      </c>
      <c r="W107" s="4"/>
      <c r="X107" s="7">
        <v>38182</v>
      </c>
      <c r="Y107" s="68">
        <v>1888.7932539521057</v>
      </c>
      <c r="Z107" s="68">
        <v>2475.9975120141826</v>
      </c>
    </row>
    <row r="108" spans="1:26" x14ac:dyDescent="0.3">
      <c r="A108" s="7">
        <v>38189</v>
      </c>
      <c r="B108" s="19">
        <v>1.744</v>
      </c>
      <c r="C108" s="2">
        <v>2</v>
      </c>
      <c r="E108" s="2">
        <v>153</v>
      </c>
      <c r="F108" s="19">
        <v>48.210999999999999</v>
      </c>
      <c r="G108" s="19">
        <v>33.386000000000003</v>
      </c>
      <c r="I108" s="10">
        <v>38189</v>
      </c>
      <c r="J108" s="27">
        <f t="shared" si="18"/>
        <v>117.04697986577182</v>
      </c>
      <c r="K108" s="11">
        <f t="shared" si="13"/>
        <v>104.12702450285147</v>
      </c>
      <c r="L108" s="11">
        <f t="shared" si="14"/>
        <v>105.88948009248622</v>
      </c>
      <c r="M108" s="27">
        <f t="shared" si="19"/>
        <v>85</v>
      </c>
      <c r="N108" s="27">
        <f t="shared" si="20"/>
        <v>215.61270125223615</v>
      </c>
      <c r="O108" s="27">
        <f t="shared" si="21"/>
        <v>236.78014184397168</v>
      </c>
      <c r="Q108" s="4">
        <v>1.49</v>
      </c>
      <c r="R108" s="4">
        <v>1815.8525733157076</v>
      </c>
      <c r="S108" s="4">
        <v>2338.2847000963566</v>
      </c>
      <c r="T108" s="4">
        <v>180</v>
      </c>
      <c r="U108" s="4">
        <v>22.36</v>
      </c>
      <c r="V108" s="4">
        <v>14.1</v>
      </c>
      <c r="W108" s="4"/>
      <c r="X108" s="7">
        <v>38189</v>
      </c>
      <c r="Y108" s="68">
        <v>1888.7932539521057</v>
      </c>
      <c r="Z108" s="68">
        <v>2475.9975120141826</v>
      </c>
    </row>
    <row r="109" spans="1:26" x14ac:dyDescent="0.3">
      <c r="A109" s="7">
        <v>38196</v>
      </c>
      <c r="B109" s="19">
        <v>1.754</v>
      </c>
      <c r="C109" s="2">
        <v>30.5</v>
      </c>
      <c r="E109" s="2">
        <v>196</v>
      </c>
      <c r="F109" s="19">
        <v>49.457999999999998</v>
      </c>
      <c r="G109" s="19">
        <v>31.562000000000001</v>
      </c>
      <c r="I109" s="10">
        <v>38196</v>
      </c>
      <c r="J109" s="27">
        <f t="shared" si="18"/>
        <v>117.71812080536913</v>
      </c>
      <c r="K109" s="11">
        <f t="shared" si="13"/>
        <v>105.84232015914145</v>
      </c>
      <c r="L109" s="11">
        <f t="shared" si="14"/>
        <v>106.00148644028198</v>
      </c>
      <c r="M109" s="27">
        <f t="shared" si="19"/>
        <v>108.88888888888889</v>
      </c>
      <c r="N109" s="27">
        <f t="shared" si="20"/>
        <v>221.18962432915922</v>
      </c>
      <c r="O109" s="27">
        <f t="shared" si="21"/>
        <v>223.84397163120573</v>
      </c>
      <c r="Q109" s="4">
        <v>1.49</v>
      </c>
      <c r="R109" s="4">
        <v>1815.8525733157076</v>
      </c>
      <c r="S109" s="4">
        <v>2338.2847000963566</v>
      </c>
      <c r="T109" s="4">
        <v>180</v>
      </c>
      <c r="U109" s="4">
        <v>22.36</v>
      </c>
      <c r="V109" s="4">
        <v>14.1</v>
      </c>
      <c r="W109" s="4"/>
      <c r="X109" s="7">
        <v>38196</v>
      </c>
      <c r="Y109" s="68">
        <v>1891.44049426682</v>
      </c>
      <c r="Z109" s="68">
        <v>2478.6165393078277</v>
      </c>
    </row>
    <row r="110" spans="1:26" x14ac:dyDescent="0.3">
      <c r="A110" s="7">
        <v>38203</v>
      </c>
      <c r="B110" s="19">
        <v>1.78</v>
      </c>
      <c r="C110" s="2">
        <v>105</v>
      </c>
      <c r="E110" s="2">
        <v>210</v>
      </c>
      <c r="F110" s="19">
        <v>51.746000000000002</v>
      </c>
      <c r="G110" s="19">
        <v>32.825000000000003</v>
      </c>
      <c r="I110" s="10">
        <v>38203</v>
      </c>
      <c r="J110" s="27">
        <f t="shared" si="18"/>
        <v>119.46308724832215</v>
      </c>
      <c r="K110" s="11">
        <f t="shared" si="13"/>
        <v>112.68801525910099</v>
      </c>
      <c r="L110" s="11">
        <f t="shared" si="14"/>
        <v>107.91746858148001</v>
      </c>
      <c r="M110" s="27">
        <f t="shared" si="19"/>
        <v>116.66666666666667</v>
      </c>
      <c r="N110" s="27">
        <f t="shared" si="20"/>
        <v>231.42218246869407</v>
      </c>
      <c r="O110" s="27">
        <f t="shared" si="21"/>
        <v>232.80141843971634</v>
      </c>
      <c r="Q110" s="4">
        <v>1.49</v>
      </c>
      <c r="R110" s="4">
        <v>1815.8525733157076</v>
      </c>
      <c r="S110" s="4">
        <v>2338.2847000963566</v>
      </c>
      <c r="T110" s="4">
        <v>180</v>
      </c>
      <c r="U110" s="4">
        <v>22.36</v>
      </c>
      <c r="V110" s="4">
        <v>14.1</v>
      </c>
      <c r="W110" s="4"/>
      <c r="X110" s="7">
        <v>38203</v>
      </c>
      <c r="Y110" s="68">
        <v>1941.2482249007826</v>
      </c>
      <c r="Z110" s="68">
        <v>2523.41765657204</v>
      </c>
    </row>
    <row r="111" spans="1:26" x14ac:dyDescent="0.3">
      <c r="A111" s="7">
        <v>38210</v>
      </c>
      <c r="B111" s="19">
        <v>1.8140000000000001</v>
      </c>
      <c r="C111" s="2">
        <v>57.5</v>
      </c>
      <c r="E111" s="2">
        <v>220</v>
      </c>
      <c r="F111" s="19">
        <v>50.014000000000003</v>
      </c>
      <c r="G111" s="19">
        <v>31.178999999999998</v>
      </c>
      <c r="I111" s="10">
        <v>38210</v>
      </c>
      <c r="J111" s="27">
        <f t="shared" si="18"/>
        <v>121.74496644295303</v>
      </c>
      <c r="K111" s="11">
        <f t="shared" si="13"/>
        <v>110.07216413230682</v>
      </c>
      <c r="L111" s="11">
        <f t="shared" si="14"/>
        <v>107.91746858148001</v>
      </c>
      <c r="M111" s="27">
        <f t="shared" si="19"/>
        <v>122.22222222222223</v>
      </c>
      <c r="N111" s="27">
        <f t="shared" si="20"/>
        <v>223.67620751341684</v>
      </c>
      <c r="O111" s="27">
        <f t="shared" si="21"/>
        <v>221.12765957446808</v>
      </c>
      <c r="Q111" s="4">
        <v>1.49</v>
      </c>
      <c r="R111" s="4">
        <v>1815.8525733157076</v>
      </c>
      <c r="S111" s="4">
        <v>2338.2847000963566</v>
      </c>
      <c r="T111" s="4">
        <v>180</v>
      </c>
      <c r="U111" s="4">
        <v>22.36</v>
      </c>
      <c r="V111" s="4">
        <v>14.1</v>
      </c>
      <c r="W111" s="4"/>
      <c r="X111" s="7">
        <v>38210</v>
      </c>
      <c r="Y111" s="68">
        <v>1941.2482249007826</v>
      </c>
      <c r="Z111" s="68">
        <v>2523.41765657204</v>
      </c>
    </row>
    <row r="112" spans="1:26" x14ac:dyDescent="0.3">
      <c r="A112" s="7">
        <v>38217</v>
      </c>
      <c r="B112" s="19">
        <v>1.825</v>
      </c>
      <c r="C112" s="2">
        <v>60</v>
      </c>
      <c r="E112" s="2">
        <v>228</v>
      </c>
      <c r="F112" s="19">
        <v>50.968000000000004</v>
      </c>
      <c r="G112" s="19">
        <v>31.896000000000001</v>
      </c>
      <c r="I112" s="10">
        <v>38217</v>
      </c>
      <c r="J112" s="27">
        <f t="shared" si="18"/>
        <v>122.48322147651007</v>
      </c>
      <c r="K112" s="11">
        <f t="shared" si="13"/>
        <v>110.20984050740124</v>
      </c>
      <c r="L112" s="11">
        <f t="shared" si="14"/>
        <v>107.91746858148001</v>
      </c>
      <c r="M112" s="27">
        <f t="shared" si="19"/>
        <v>126.66666666666666</v>
      </c>
      <c r="N112" s="27">
        <f t="shared" si="20"/>
        <v>227.94275491949912</v>
      </c>
      <c r="O112" s="27">
        <f t="shared" si="21"/>
        <v>226.21276595744683</v>
      </c>
      <c r="Q112" s="4">
        <v>1.49</v>
      </c>
      <c r="R112" s="4">
        <v>1815.8525733157076</v>
      </c>
      <c r="S112" s="4">
        <v>2338.2847000963566</v>
      </c>
      <c r="T112" s="4">
        <v>180</v>
      </c>
      <c r="U112" s="4">
        <v>22.36</v>
      </c>
      <c r="V112" s="4">
        <v>14.1</v>
      </c>
      <c r="W112" s="4"/>
      <c r="X112" s="7">
        <v>38217</v>
      </c>
      <c r="Y112" s="68">
        <v>1941.2482249007826</v>
      </c>
      <c r="Z112" s="68">
        <v>2523.41765657204</v>
      </c>
    </row>
    <row r="113" spans="1:26" x14ac:dyDescent="0.3">
      <c r="A113" s="7">
        <v>38224</v>
      </c>
      <c r="B113" s="19">
        <v>1.8740000000000001</v>
      </c>
      <c r="C113" s="2">
        <v>59</v>
      </c>
      <c r="E113" s="2">
        <v>224</v>
      </c>
      <c r="F113" s="19">
        <v>52.841999999999999</v>
      </c>
      <c r="G113" s="19">
        <v>32.603999999999999</v>
      </c>
      <c r="I113" s="10">
        <v>38224</v>
      </c>
      <c r="J113" s="27">
        <f t="shared" si="18"/>
        <v>125.77181208053692</v>
      </c>
      <c r="K113" s="11">
        <f t="shared" si="13"/>
        <v>110.13439971346624</v>
      </c>
      <c r="L113" s="11">
        <f t="shared" si="14"/>
        <v>108.00317314591226</v>
      </c>
      <c r="M113" s="27">
        <f t="shared" si="19"/>
        <v>124.44444444444444</v>
      </c>
      <c r="N113" s="27">
        <f t="shared" si="20"/>
        <v>236.32379248658316</v>
      </c>
      <c r="O113" s="27">
        <f t="shared" si="21"/>
        <v>231.2340425531915</v>
      </c>
      <c r="Q113" s="4">
        <v>1.49</v>
      </c>
      <c r="R113" s="4">
        <v>1815.8525733157076</v>
      </c>
      <c r="S113" s="4">
        <v>2338.2847000963566</v>
      </c>
      <c r="T113" s="4">
        <v>180</v>
      </c>
      <c r="U113" s="4">
        <v>22.36</v>
      </c>
      <c r="V113" s="4">
        <v>14.1</v>
      </c>
      <c r="W113" s="4"/>
      <c r="X113" s="7">
        <v>38224</v>
      </c>
      <c r="Y113" s="68">
        <v>1940.8783313027839</v>
      </c>
      <c r="Z113" s="68">
        <v>2525.4216732894433</v>
      </c>
    </row>
    <row r="114" spans="1:26" x14ac:dyDescent="0.3">
      <c r="A114" s="7">
        <v>38231</v>
      </c>
      <c r="B114" s="19">
        <v>1.871</v>
      </c>
      <c r="C114" s="2">
        <v>30.5</v>
      </c>
      <c r="E114" s="2">
        <v>221</v>
      </c>
      <c r="F114" s="19">
        <v>52.817999999999998</v>
      </c>
      <c r="G114" s="19">
        <v>32.064</v>
      </c>
      <c r="I114" s="10">
        <v>38231</v>
      </c>
      <c r="J114" s="27">
        <f t="shared" si="18"/>
        <v>125.57046979865771</v>
      </c>
      <c r="K114" s="11">
        <f t="shared" si="13"/>
        <v>108.18321400362672</v>
      </c>
      <c r="L114" s="11">
        <f t="shared" si="14"/>
        <v>109.65489446685406</v>
      </c>
      <c r="M114" s="27">
        <f t="shared" si="19"/>
        <v>122.77777777777779</v>
      </c>
      <c r="N114" s="27">
        <f t="shared" si="20"/>
        <v>236.21645796064402</v>
      </c>
      <c r="O114" s="27">
        <f t="shared" si="21"/>
        <v>227.40425531914897</v>
      </c>
      <c r="Q114" s="4">
        <v>1.49</v>
      </c>
      <c r="R114" s="4">
        <v>1815.8525733157076</v>
      </c>
      <c r="S114" s="4">
        <v>2338.2847000963566</v>
      </c>
      <c r="T114" s="4">
        <v>180</v>
      </c>
      <c r="U114" s="4">
        <v>22.36</v>
      </c>
      <c r="V114" s="4">
        <v>14.1</v>
      </c>
      <c r="W114" s="4"/>
      <c r="X114" s="7">
        <v>38231</v>
      </c>
      <c r="Y114" s="68">
        <v>1933.9476753804947</v>
      </c>
      <c r="Z114" s="68">
        <v>2564.0436202252545</v>
      </c>
    </row>
    <row r="115" spans="1:26" x14ac:dyDescent="0.3">
      <c r="A115" s="7">
        <v>38238</v>
      </c>
      <c r="B115" s="19">
        <v>1.869</v>
      </c>
      <c r="C115" s="2">
        <v>0</v>
      </c>
      <c r="E115" s="2">
        <v>228</v>
      </c>
      <c r="F115" s="19">
        <v>51.884999999999998</v>
      </c>
      <c r="G115" s="19">
        <v>31.977</v>
      </c>
      <c r="I115" s="10">
        <v>38238</v>
      </c>
      <c r="J115" s="27">
        <f t="shared" si="18"/>
        <v>125.43624161073825</v>
      </c>
      <c r="K115" s="11">
        <f t="shared" si="13"/>
        <v>106.50356222747467</v>
      </c>
      <c r="L115" s="11">
        <f t="shared" si="14"/>
        <v>109.65489446685406</v>
      </c>
      <c r="M115" s="27">
        <f t="shared" si="19"/>
        <v>126.66666666666666</v>
      </c>
      <c r="N115" s="27">
        <f t="shared" si="20"/>
        <v>232.04382826475847</v>
      </c>
      <c r="O115" s="27">
        <f t="shared" si="21"/>
        <v>226.78723404255319</v>
      </c>
      <c r="Q115" s="4">
        <v>1.49</v>
      </c>
      <c r="R115" s="4">
        <v>1815.8525733157076</v>
      </c>
      <c r="S115" s="4">
        <v>2338.2847000963566</v>
      </c>
      <c r="T115" s="4">
        <v>180</v>
      </c>
      <c r="U115" s="4">
        <v>22.36</v>
      </c>
      <c r="V115" s="4">
        <v>14.1</v>
      </c>
      <c r="W115" s="4"/>
      <c r="X115" s="7">
        <v>38238</v>
      </c>
      <c r="Y115" s="68">
        <v>1933.9476753804947</v>
      </c>
      <c r="Z115" s="68">
        <v>2564.0436202252545</v>
      </c>
    </row>
    <row r="116" spans="1:26" x14ac:dyDescent="0.3">
      <c r="A116" s="7">
        <v>38245</v>
      </c>
      <c r="B116" s="19">
        <v>1.8740000000000001</v>
      </c>
      <c r="C116" s="2">
        <v>51.5</v>
      </c>
      <c r="E116" s="2">
        <v>355</v>
      </c>
      <c r="F116" s="19">
        <v>52.728999999999999</v>
      </c>
      <c r="G116" s="19">
        <v>33.493000000000002</v>
      </c>
      <c r="I116" s="10">
        <v>38245</v>
      </c>
      <c r="J116" s="27">
        <f t="shared" si="18"/>
        <v>125.77181208053692</v>
      </c>
      <c r="K116" s="11">
        <f t="shared" si="13"/>
        <v>109.33969555441993</v>
      </c>
      <c r="L116" s="11">
        <f t="shared" si="14"/>
        <v>109.65489446685406</v>
      </c>
      <c r="M116" s="27">
        <f t="shared" si="19"/>
        <v>197.22222222222223</v>
      </c>
      <c r="N116" s="27">
        <f t="shared" si="20"/>
        <v>235.81842576028623</v>
      </c>
      <c r="O116" s="27">
        <f t="shared" si="21"/>
        <v>237.5390070921986</v>
      </c>
      <c r="Q116" s="4">
        <v>1.49</v>
      </c>
      <c r="R116" s="4">
        <v>1815.8525733157076</v>
      </c>
      <c r="S116" s="4">
        <v>2338.2847000963566</v>
      </c>
      <c r="T116" s="4">
        <v>180</v>
      </c>
      <c r="U116" s="4">
        <v>22.36</v>
      </c>
      <c r="V116" s="4">
        <v>14.1</v>
      </c>
      <c r="W116" s="4"/>
      <c r="X116" s="7">
        <v>38245</v>
      </c>
      <c r="Y116" s="68">
        <v>1933.9476753804947</v>
      </c>
      <c r="Z116" s="68">
        <v>2564.0436202252545</v>
      </c>
    </row>
    <row r="117" spans="1:26" x14ac:dyDescent="0.3">
      <c r="A117" s="7">
        <v>38252</v>
      </c>
      <c r="B117" s="19">
        <v>1.9119999999999999</v>
      </c>
      <c r="C117" s="2">
        <v>89.5</v>
      </c>
      <c r="E117" s="2">
        <v>379</v>
      </c>
      <c r="F117" s="19">
        <v>53.64</v>
      </c>
      <c r="G117" s="19">
        <v>35.630000000000003</v>
      </c>
      <c r="I117" s="10">
        <v>38252</v>
      </c>
      <c r="J117" s="27">
        <f t="shared" si="18"/>
        <v>128.3221476510067</v>
      </c>
      <c r="K117" s="11">
        <f t="shared" si="13"/>
        <v>111.43237645585529</v>
      </c>
      <c r="L117" s="11">
        <f t="shared" si="14"/>
        <v>109.65489446685406</v>
      </c>
      <c r="M117" s="27">
        <f t="shared" si="19"/>
        <v>210.55555555555557</v>
      </c>
      <c r="N117" s="27">
        <f t="shared" si="20"/>
        <v>239.89266547406083</v>
      </c>
      <c r="O117" s="27">
        <f t="shared" si="21"/>
        <v>252.69503546099293</v>
      </c>
      <c r="Q117" s="4">
        <v>1.49</v>
      </c>
      <c r="R117" s="4">
        <v>1815.8525733157076</v>
      </c>
      <c r="S117" s="4">
        <v>2338.2847000963566</v>
      </c>
      <c r="T117" s="4">
        <v>180</v>
      </c>
      <c r="U117" s="4">
        <v>22.36</v>
      </c>
      <c r="V117" s="4">
        <v>14.1</v>
      </c>
      <c r="W117" s="4"/>
      <c r="X117" s="7">
        <v>38252</v>
      </c>
      <c r="Y117" s="68">
        <v>1933.9476753804947</v>
      </c>
      <c r="Z117" s="68">
        <v>2564.0436202252545</v>
      </c>
    </row>
    <row r="118" spans="1:26" x14ac:dyDescent="0.3">
      <c r="A118" s="7">
        <v>38259</v>
      </c>
      <c r="B118" s="19">
        <v>2.012</v>
      </c>
      <c r="C118" s="2">
        <v>108.5</v>
      </c>
      <c r="E118" s="2">
        <v>429</v>
      </c>
      <c r="F118" s="19">
        <v>53.465000000000003</v>
      </c>
      <c r="G118" s="19">
        <v>35.476999999999997</v>
      </c>
      <c r="I118" s="10">
        <v>38259</v>
      </c>
      <c r="J118" s="27">
        <f t="shared" si="18"/>
        <v>135.03355704697987</v>
      </c>
      <c r="K118" s="11">
        <f t="shared" si="13"/>
        <v>112.53056763572671</v>
      </c>
      <c r="L118" s="11">
        <f t="shared" si="14"/>
        <v>110.06554800433597</v>
      </c>
      <c r="M118" s="27">
        <f t="shared" ref="M118:M218" si="22">(1+(E118-T118)/T118)*100</f>
        <v>238.33333333333334</v>
      </c>
      <c r="N118" s="27">
        <f t="shared" si="20"/>
        <v>239.11001788908771</v>
      </c>
      <c r="O118" s="27">
        <f t="shared" si="21"/>
        <v>251.60992907801418</v>
      </c>
      <c r="Q118" s="4">
        <v>1.49</v>
      </c>
      <c r="R118" s="4">
        <v>1815.8525733157076</v>
      </c>
      <c r="S118" s="4">
        <v>2338.2847000963566</v>
      </c>
      <c r="T118" s="4">
        <v>180</v>
      </c>
      <c r="U118" s="4">
        <v>22.36</v>
      </c>
      <c r="V118" s="4">
        <v>14.1</v>
      </c>
      <c r="W118" s="4"/>
      <c r="X118" s="7">
        <v>38259</v>
      </c>
      <c r="Y118" s="68">
        <v>1934.8892081801162</v>
      </c>
      <c r="Z118" s="68">
        <v>2573.6458690625986</v>
      </c>
    </row>
    <row r="119" spans="1:26" x14ac:dyDescent="0.3">
      <c r="A119" s="7">
        <v>38266</v>
      </c>
      <c r="B119" s="19">
        <v>2.0529999999999999</v>
      </c>
      <c r="C119" s="2">
        <v>131.5</v>
      </c>
      <c r="E119" s="2">
        <v>419</v>
      </c>
      <c r="F119" s="19">
        <v>53.710999999999999</v>
      </c>
      <c r="G119" s="19">
        <v>35.204000000000001</v>
      </c>
      <c r="I119" s="10">
        <v>38266</v>
      </c>
      <c r="J119" s="27">
        <f t="shared" si="18"/>
        <v>137.78523489932886</v>
      </c>
      <c r="K119" s="11">
        <f t="shared" si="13"/>
        <v>115.83199168081744</v>
      </c>
      <c r="L119" s="11">
        <f t="shared" si="14"/>
        <v>117.99413702585426</v>
      </c>
      <c r="M119" s="27">
        <f t="shared" si="22"/>
        <v>232.77777777777774</v>
      </c>
      <c r="N119" s="27">
        <f t="shared" si="20"/>
        <v>240.21019677996424</v>
      </c>
      <c r="O119" s="27">
        <f t="shared" si="21"/>
        <v>249.67375886524823</v>
      </c>
      <c r="Q119" s="4">
        <v>1.49</v>
      </c>
      <c r="R119" s="4">
        <v>1815.8525733157076</v>
      </c>
      <c r="S119" s="4">
        <v>2338.2847000963566</v>
      </c>
      <c r="T119" s="4">
        <v>180</v>
      </c>
      <c r="U119" s="4">
        <v>22.36</v>
      </c>
      <c r="V119" s="4">
        <v>14.1</v>
      </c>
      <c r="W119" s="4"/>
      <c r="X119" s="7">
        <v>38266</v>
      </c>
      <c r="Y119" s="68">
        <v>1971.8382016589599</v>
      </c>
      <c r="Z119" s="68">
        <v>2759.0388530862801</v>
      </c>
    </row>
    <row r="120" spans="1:26" x14ac:dyDescent="0.3">
      <c r="A120" s="7">
        <v>38273</v>
      </c>
      <c r="B120" s="19">
        <v>2.0920000000000001</v>
      </c>
      <c r="C120" s="2">
        <v>106.5</v>
      </c>
      <c r="E120" s="2">
        <v>340</v>
      </c>
      <c r="F120" s="19">
        <v>55.091999999999999</v>
      </c>
      <c r="G120" s="19">
        <v>36.311999999999998</v>
      </c>
      <c r="I120" s="10">
        <v>38273</v>
      </c>
      <c r="J120" s="27">
        <f t="shared" si="18"/>
        <v>140.40268456375838</v>
      </c>
      <c r="K120" s="11">
        <f t="shared" si="13"/>
        <v>114.45522792987315</v>
      </c>
      <c r="L120" s="11">
        <f t="shared" si="14"/>
        <v>117.99413702585426</v>
      </c>
      <c r="M120" s="27">
        <f t="shared" si="22"/>
        <v>188.88888888888889</v>
      </c>
      <c r="N120" s="27">
        <f t="shared" si="20"/>
        <v>246.38640429338102</v>
      </c>
      <c r="O120" s="27">
        <f t="shared" si="21"/>
        <v>257.531914893617</v>
      </c>
      <c r="Q120" s="4">
        <v>1.49</v>
      </c>
      <c r="R120" s="4">
        <v>1815.8525733157076</v>
      </c>
      <c r="S120" s="4">
        <v>2338.2847000963566</v>
      </c>
      <c r="T120" s="4">
        <v>180</v>
      </c>
      <c r="U120" s="4">
        <v>22.36</v>
      </c>
      <c r="V120" s="4">
        <v>14.1</v>
      </c>
      <c r="W120" s="4"/>
      <c r="X120" s="7">
        <v>38273</v>
      </c>
      <c r="Y120" s="68">
        <v>1971.8382016589599</v>
      </c>
      <c r="Z120" s="68">
        <v>2759.0388530862801</v>
      </c>
    </row>
    <row r="121" spans="1:26" x14ac:dyDescent="0.3">
      <c r="A121" s="7">
        <v>38280</v>
      </c>
      <c r="B121" s="19">
        <v>2.1800000000000002</v>
      </c>
      <c r="C121" s="2">
        <v>184</v>
      </c>
      <c r="E121" s="2">
        <v>333</v>
      </c>
      <c r="F121" s="19">
        <v>57.424999999999997</v>
      </c>
      <c r="G121" s="19">
        <v>38.753999999999998</v>
      </c>
      <c r="I121" s="10">
        <v>38280</v>
      </c>
      <c r="J121" s="27">
        <f t="shared" si="18"/>
        <v>146.30872483221478</v>
      </c>
      <c r="K121" s="11">
        <f t="shared" si="13"/>
        <v>118.72319555780049</v>
      </c>
      <c r="L121" s="11">
        <f t="shared" si="14"/>
        <v>117.99413702585426</v>
      </c>
      <c r="M121" s="27">
        <f t="shared" si="22"/>
        <v>185</v>
      </c>
      <c r="N121" s="27">
        <f t="shared" si="20"/>
        <v>256.82021466905189</v>
      </c>
      <c r="O121" s="27">
        <f t="shared" si="21"/>
        <v>274.85106382978717</v>
      </c>
      <c r="Q121" s="4">
        <v>1.49</v>
      </c>
      <c r="R121" s="4">
        <v>1815.8525733157076</v>
      </c>
      <c r="S121" s="4">
        <v>2338.2847000963566</v>
      </c>
      <c r="T121" s="4">
        <v>180</v>
      </c>
      <c r="U121" s="4">
        <v>22.36</v>
      </c>
      <c r="V121" s="4">
        <v>14.1</v>
      </c>
      <c r="W121" s="4"/>
      <c r="X121" s="7">
        <v>38280</v>
      </c>
      <c r="Y121" s="68">
        <v>1971.8382016589599</v>
      </c>
      <c r="Z121" s="68">
        <v>2759.0388530862801</v>
      </c>
    </row>
    <row r="122" spans="1:26" x14ac:dyDescent="0.3">
      <c r="A122" s="7">
        <v>38287</v>
      </c>
      <c r="B122" s="19">
        <v>2.2120000000000002</v>
      </c>
      <c r="C122" s="2">
        <v>143.5</v>
      </c>
      <c r="E122" s="2">
        <v>423</v>
      </c>
      <c r="F122" s="19">
        <v>60.05</v>
      </c>
      <c r="G122" s="19">
        <v>40.020000000000003</v>
      </c>
      <c r="I122" s="10">
        <v>38287</v>
      </c>
      <c r="J122" s="27">
        <f t="shared" si="18"/>
        <v>148.45637583892619</v>
      </c>
      <c r="K122" s="11">
        <f t="shared" si="13"/>
        <v>116.61239613578591</v>
      </c>
      <c r="L122" s="11">
        <f t="shared" si="14"/>
        <v>118.16833945565917</v>
      </c>
      <c r="M122" s="27">
        <f t="shared" si="22"/>
        <v>235</v>
      </c>
      <c r="N122" s="27">
        <f t="shared" si="20"/>
        <v>268.55992844364937</v>
      </c>
      <c r="O122" s="27">
        <f t="shared" si="21"/>
        <v>283.82978723404256</v>
      </c>
      <c r="Q122" s="4">
        <v>1.49</v>
      </c>
      <c r="R122" s="4">
        <v>1815.8525733157076</v>
      </c>
      <c r="S122" s="4">
        <v>2338.2847000963566</v>
      </c>
      <c r="T122" s="4">
        <v>180</v>
      </c>
      <c r="U122" s="4">
        <v>22.36</v>
      </c>
      <c r="V122" s="4">
        <v>14.1</v>
      </c>
      <c r="W122" s="4"/>
      <c r="X122" s="7">
        <v>38287</v>
      </c>
      <c r="Y122" s="68">
        <v>1974.0091960367756</v>
      </c>
      <c r="Z122" s="68">
        <v>2763.1122018496044</v>
      </c>
    </row>
    <row r="123" spans="1:26" x14ac:dyDescent="0.3">
      <c r="A123" s="7">
        <v>38294</v>
      </c>
      <c r="B123" s="19">
        <v>2.206</v>
      </c>
      <c r="C123" s="2">
        <v>219.5</v>
      </c>
      <c r="E123" s="2">
        <v>369</v>
      </c>
      <c r="F123" s="19">
        <v>60.462000000000003</v>
      </c>
      <c r="G123" s="19">
        <v>39.685000000000002</v>
      </c>
      <c r="I123" s="10">
        <v>38294</v>
      </c>
      <c r="J123" s="27">
        <f t="shared" si="18"/>
        <v>148.05369127516778</v>
      </c>
      <c r="K123" s="11">
        <f t="shared" si="13"/>
        <v>123.09686692188086</v>
      </c>
      <c r="L123" s="11">
        <f t="shared" si="14"/>
        <v>121.27689312940049</v>
      </c>
      <c r="M123" s="27">
        <f t="shared" si="22"/>
        <v>204.99999999999997</v>
      </c>
      <c r="N123" s="27">
        <f t="shared" si="20"/>
        <v>270.40250447227197</v>
      </c>
      <c r="O123" s="27">
        <f t="shared" si="21"/>
        <v>281.45390070921985</v>
      </c>
      <c r="Q123" s="4">
        <v>1.49</v>
      </c>
      <c r="R123" s="4">
        <v>1815.8525733157076</v>
      </c>
      <c r="S123" s="4">
        <v>2338.2847000963566</v>
      </c>
      <c r="T123" s="4">
        <v>180</v>
      </c>
      <c r="U123" s="4">
        <v>22.36</v>
      </c>
      <c r="V123" s="4">
        <v>14.1</v>
      </c>
      <c r="W123" s="4"/>
      <c r="X123" s="7">
        <v>38294</v>
      </c>
      <c r="Y123" s="68">
        <v>2015.7576256719856</v>
      </c>
      <c r="Z123" s="68">
        <v>2835.799036796981</v>
      </c>
    </row>
    <row r="124" spans="1:26" x14ac:dyDescent="0.3">
      <c r="A124" s="7">
        <v>38301</v>
      </c>
      <c r="B124" s="19">
        <v>2.1629999999999998</v>
      </c>
      <c r="C124" s="2">
        <v>268</v>
      </c>
      <c r="E124" s="2">
        <v>371</v>
      </c>
      <c r="F124" s="19">
        <v>60.808</v>
      </c>
      <c r="G124" s="19">
        <v>39.115000000000002</v>
      </c>
      <c r="I124" s="10">
        <v>38301</v>
      </c>
      <c r="J124" s="27">
        <f t="shared" ref="J124:J219" si="23">(1+(B124-Q124)/Q124)*100</f>
        <v>145.16778523489933</v>
      </c>
      <c r="K124" s="11">
        <f t="shared" si="13"/>
        <v>125.76778859871283</v>
      </c>
      <c r="L124" s="11">
        <f t="shared" si="14"/>
        <v>121.27689312940049</v>
      </c>
      <c r="M124" s="27">
        <f t="shared" si="22"/>
        <v>206.11111111111109</v>
      </c>
      <c r="N124" s="27">
        <f t="shared" si="20"/>
        <v>271.94991055456177</v>
      </c>
      <c r="O124" s="27">
        <f t="shared" si="21"/>
        <v>277.41134751773052</v>
      </c>
      <c r="Q124" s="4">
        <v>1.49</v>
      </c>
      <c r="R124" s="4">
        <v>1815.8525733157076</v>
      </c>
      <c r="S124" s="4">
        <v>2338.2847000963566</v>
      </c>
      <c r="T124" s="4">
        <v>180</v>
      </c>
      <c r="U124" s="4">
        <v>22.36</v>
      </c>
      <c r="V124" s="4">
        <v>14.1</v>
      </c>
      <c r="W124" s="4"/>
      <c r="X124" s="7">
        <v>38301</v>
      </c>
      <c r="Y124" s="68">
        <v>2015.7576256719856</v>
      </c>
      <c r="Z124" s="68">
        <v>2835.799036796981</v>
      </c>
    </row>
    <row r="125" spans="1:26" x14ac:dyDescent="0.3">
      <c r="A125" s="7">
        <v>38308</v>
      </c>
      <c r="B125" s="19">
        <v>2.1320000000000001</v>
      </c>
      <c r="C125" s="2">
        <v>291.5</v>
      </c>
      <c r="E125" s="2">
        <v>299</v>
      </c>
      <c r="F125" s="19">
        <v>61.246000000000002</v>
      </c>
      <c r="G125" s="19">
        <v>40.957000000000001</v>
      </c>
      <c r="I125" s="10">
        <v>38308</v>
      </c>
      <c r="J125" s="27">
        <f t="shared" si="23"/>
        <v>143.08724832214764</v>
      </c>
      <c r="K125" s="11">
        <f t="shared" si="13"/>
        <v>127.06194652460046</v>
      </c>
      <c r="L125" s="11">
        <f t="shared" si="14"/>
        <v>121.27689312940049</v>
      </c>
      <c r="M125" s="27">
        <f t="shared" si="22"/>
        <v>166.11111111111109</v>
      </c>
      <c r="N125" s="27">
        <f t="shared" si="20"/>
        <v>273.90876565295173</v>
      </c>
      <c r="O125" s="27">
        <f t="shared" si="21"/>
        <v>290.47517730496457</v>
      </c>
      <c r="Q125" s="4">
        <v>1.49</v>
      </c>
      <c r="R125" s="4">
        <v>1815.8525733157076</v>
      </c>
      <c r="S125" s="4">
        <v>2338.2847000963566</v>
      </c>
      <c r="T125" s="4">
        <v>180</v>
      </c>
      <c r="U125" s="4">
        <v>22.36</v>
      </c>
      <c r="V125" s="4">
        <v>14.1</v>
      </c>
      <c r="W125" s="4"/>
      <c r="X125" s="7">
        <v>38308</v>
      </c>
      <c r="Y125" s="68">
        <v>2015.7576256719856</v>
      </c>
      <c r="Z125" s="68">
        <v>2835.799036796981</v>
      </c>
    </row>
    <row r="126" spans="1:26" x14ac:dyDescent="0.3">
      <c r="A126" s="7">
        <v>38315</v>
      </c>
      <c r="B126" s="19">
        <v>2.1160000000000001</v>
      </c>
      <c r="C126" s="2">
        <v>284.5</v>
      </c>
      <c r="E126" s="2">
        <v>236</v>
      </c>
      <c r="F126" s="19">
        <v>64.373000000000005</v>
      </c>
      <c r="G126" s="19">
        <v>45.088000000000001</v>
      </c>
      <c r="I126" s="10">
        <v>38315</v>
      </c>
      <c r="J126" s="27">
        <f t="shared" si="23"/>
        <v>142.01342281879198</v>
      </c>
      <c r="K126" s="11">
        <f t="shared" si="13"/>
        <v>127.137464984619</v>
      </c>
      <c r="L126" s="11">
        <f t="shared" si="14"/>
        <v>121.32832036538692</v>
      </c>
      <c r="M126" s="27">
        <f t="shared" si="22"/>
        <v>131.11111111111111</v>
      </c>
      <c r="N126" s="27">
        <f t="shared" si="20"/>
        <v>287.89355992844366</v>
      </c>
      <c r="O126" s="27">
        <f t="shared" si="21"/>
        <v>319.77304964539007</v>
      </c>
      <c r="Q126" s="4">
        <v>1.49</v>
      </c>
      <c r="R126" s="4">
        <v>1815.8525733157076</v>
      </c>
      <c r="S126" s="4">
        <v>2338.2847000963566</v>
      </c>
      <c r="T126" s="4">
        <v>180</v>
      </c>
      <c r="U126" s="4">
        <v>22.36</v>
      </c>
      <c r="V126" s="4">
        <v>14.1</v>
      </c>
      <c r="W126" s="4"/>
      <c r="X126" s="7">
        <v>38315</v>
      </c>
      <c r="Y126" s="68">
        <v>2024.1289295715608</v>
      </c>
      <c r="Z126" s="68">
        <v>2837.0015519877343</v>
      </c>
    </row>
    <row r="127" spans="1:26" x14ac:dyDescent="0.3">
      <c r="A127" s="7">
        <v>38322</v>
      </c>
      <c r="B127" s="19">
        <v>2.1160000000000001</v>
      </c>
      <c r="C127" s="2">
        <v>241.5</v>
      </c>
      <c r="E127" s="2">
        <v>240</v>
      </c>
      <c r="F127" s="19">
        <v>70.369</v>
      </c>
      <c r="G127" s="19">
        <v>49.865000000000002</v>
      </c>
      <c r="I127" s="10">
        <v>38322</v>
      </c>
      <c r="J127" s="27">
        <f t="shared" si="23"/>
        <v>142.01342281879198</v>
      </c>
      <c r="K127" s="11">
        <f t="shared" si="13"/>
        <v>133.2220869744005</v>
      </c>
      <c r="L127" s="11">
        <f t="shared" si="14"/>
        <v>124.44640659674977</v>
      </c>
      <c r="M127" s="27">
        <f t="shared" si="22"/>
        <v>133.33333333333331</v>
      </c>
      <c r="N127" s="27">
        <f t="shared" si="20"/>
        <v>314.7093023255814</v>
      </c>
      <c r="O127" s="27">
        <f t="shared" si="21"/>
        <v>353.65248226950359</v>
      </c>
      <c r="Q127" s="4">
        <v>1.49</v>
      </c>
      <c r="R127" s="4">
        <v>1815.8525733157076</v>
      </c>
      <c r="S127" s="4">
        <v>2338.2847000963566</v>
      </c>
      <c r="T127" s="4">
        <v>180</v>
      </c>
      <c r="U127" s="4">
        <v>22.36</v>
      </c>
      <c r="V127" s="4">
        <v>14.1</v>
      </c>
      <c r="W127" s="4"/>
      <c r="X127" s="7">
        <v>38322</v>
      </c>
      <c r="Y127" s="68">
        <v>2177.6166945495415</v>
      </c>
      <c r="Z127" s="68">
        <v>2909.9112852715029</v>
      </c>
    </row>
    <row r="128" spans="1:26" x14ac:dyDescent="0.3">
      <c r="A128" s="7">
        <v>38329</v>
      </c>
      <c r="B128" s="19">
        <v>2.069</v>
      </c>
      <c r="C128" s="2">
        <v>259.5</v>
      </c>
      <c r="E128" s="2">
        <v>245</v>
      </c>
      <c r="F128" s="19">
        <v>69.436000000000007</v>
      </c>
      <c r="G128" s="19">
        <v>48.677999999999997</v>
      </c>
      <c r="I128" s="10">
        <v>38329</v>
      </c>
      <c r="J128" s="27">
        <f t="shared" si="23"/>
        <v>138.85906040268458</v>
      </c>
      <c r="K128" s="11">
        <f t="shared" si="13"/>
        <v>134.21335687508039</v>
      </c>
      <c r="L128" s="11">
        <f t="shared" si="14"/>
        <v>124.44640659674977</v>
      </c>
      <c r="M128" s="27">
        <f t="shared" si="22"/>
        <v>136.11111111111111</v>
      </c>
      <c r="N128" s="27">
        <f t="shared" si="20"/>
        <v>310.53667262969589</v>
      </c>
      <c r="O128" s="27">
        <f t="shared" si="21"/>
        <v>345.23404255319144</v>
      </c>
      <c r="Q128" s="4">
        <v>1.49</v>
      </c>
      <c r="R128" s="4">
        <v>1815.8525733157076</v>
      </c>
      <c r="S128" s="4">
        <v>2338.2847000963566</v>
      </c>
      <c r="T128" s="4">
        <v>180</v>
      </c>
      <c r="U128" s="4">
        <v>22.36</v>
      </c>
      <c r="V128" s="4">
        <v>14.1</v>
      </c>
      <c r="W128" s="4"/>
      <c r="X128" s="7">
        <v>38329</v>
      </c>
      <c r="Y128" s="68">
        <v>2177.6166945495415</v>
      </c>
      <c r="Z128" s="68">
        <v>2909.9112852715029</v>
      </c>
    </row>
    <row r="129" spans="1:26" x14ac:dyDescent="0.3">
      <c r="A129" s="7">
        <v>38336</v>
      </c>
      <c r="B129" s="19">
        <v>1.9970000000000001</v>
      </c>
      <c r="C129" s="2">
        <v>231.5</v>
      </c>
      <c r="E129" s="2">
        <v>301</v>
      </c>
      <c r="F129" s="19">
        <v>63.231999999999999</v>
      </c>
      <c r="G129" s="19">
        <v>43.55</v>
      </c>
      <c r="I129" s="10">
        <v>38336</v>
      </c>
      <c r="J129" s="27">
        <f t="shared" si="23"/>
        <v>134.0268456375839</v>
      </c>
      <c r="K129" s="11">
        <f t="shared" si="13"/>
        <v>132.67138147402278</v>
      </c>
      <c r="L129" s="11">
        <f t="shared" si="14"/>
        <v>124.44640659674977</v>
      </c>
      <c r="M129" s="27">
        <f t="shared" si="22"/>
        <v>167.22222222222223</v>
      </c>
      <c r="N129" s="27">
        <f t="shared" si="20"/>
        <v>282.7906976744186</v>
      </c>
      <c r="O129" s="27">
        <f t="shared" si="21"/>
        <v>308.86524822695031</v>
      </c>
      <c r="Q129" s="4">
        <v>1.49</v>
      </c>
      <c r="R129" s="4">
        <v>1815.8525733157076</v>
      </c>
      <c r="S129" s="4">
        <v>2338.2847000963566</v>
      </c>
      <c r="T129" s="4">
        <v>180</v>
      </c>
      <c r="U129" s="4">
        <v>22.36</v>
      </c>
      <c r="V129" s="4">
        <v>14.1</v>
      </c>
      <c r="W129" s="4"/>
      <c r="X129" s="7">
        <v>38336</v>
      </c>
      <c r="Y129" s="68">
        <v>2177.6166945495415</v>
      </c>
      <c r="Z129" s="68">
        <v>2909.9112852715029</v>
      </c>
    </row>
    <row r="130" spans="1:26" x14ac:dyDescent="0.3">
      <c r="A130" s="7">
        <v>38343</v>
      </c>
      <c r="B130" s="19">
        <v>1.984</v>
      </c>
      <c r="C130" s="2">
        <v>181</v>
      </c>
      <c r="E130" s="37">
        <v>345.8</v>
      </c>
      <c r="F130" s="19">
        <v>60.731000000000002</v>
      </c>
      <c r="G130" s="19">
        <v>39.558</v>
      </c>
      <c r="I130" s="10">
        <v>38343</v>
      </c>
      <c r="J130" s="27">
        <f t="shared" si="23"/>
        <v>133.15436241610738</v>
      </c>
      <c r="K130" s="11">
        <f t="shared" si="13"/>
        <v>129.8903186971153</v>
      </c>
      <c r="L130" s="11">
        <f t="shared" si="14"/>
        <v>124.44640659674977</v>
      </c>
      <c r="M130" s="27">
        <f t="shared" si="22"/>
        <v>192.11111111111111</v>
      </c>
      <c r="N130" s="27">
        <f t="shared" si="20"/>
        <v>271.60554561717356</v>
      </c>
      <c r="O130" s="27">
        <f t="shared" si="21"/>
        <v>280.55319148936172</v>
      </c>
      <c r="Q130" s="4">
        <v>1.49</v>
      </c>
      <c r="R130" s="4">
        <v>1815.8525733157076</v>
      </c>
      <c r="S130" s="4">
        <v>2338.2847000963566</v>
      </c>
      <c r="T130" s="4">
        <v>180</v>
      </c>
      <c r="U130" s="4">
        <v>22.36</v>
      </c>
      <c r="V130" s="4">
        <v>14.1</v>
      </c>
      <c r="W130" s="4"/>
      <c r="X130" s="7">
        <v>38343</v>
      </c>
      <c r="Y130" s="68">
        <v>2177.6166945495415</v>
      </c>
      <c r="Z130" s="68">
        <v>2909.9112852715029</v>
      </c>
    </row>
    <row r="131" spans="1:26" x14ac:dyDescent="0.3">
      <c r="A131" s="7">
        <v>38350</v>
      </c>
      <c r="B131" s="19">
        <v>1.9870000000000001</v>
      </c>
      <c r="C131" s="2">
        <v>178.5</v>
      </c>
      <c r="E131" s="2">
        <v>300</v>
      </c>
      <c r="F131" s="19" t="s">
        <v>19</v>
      </c>
      <c r="G131" s="19" t="s">
        <v>19</v>
      </c>
      <c r="I131" s="10">
        <v>38350</v>
      </c>
      <c r="J131" s="27">
        <f t="shared" si="23"/>
        <v>133.3557046979866</v>
      </c>
      <c r="K131" s="11">
        <f t="shared" si="13"/>
        <v>129.76505594338093</v>
      </c>
      <c r="L131" s="11">
        <f t="shared" si="14"/>
        <v>124.30285777825887</v>
      </c>
      <c r="M131" s="27">
        <f t="shared" si="22"/>
        <v>166.66666666666666</v>
      </c>
      <c r="N131" s="37" t="s">
        <v>19</v>
      </c>
      <c r="O131" s="37" t="s">
        <v>19</v>
      </c>
      <c r="Q131" s="4">
        <v>1.49</v>
      </c>
      <c r="R131" s="4">
        <v>1815.8525733157076</v>
      </c>
      <c r="S131" s="4">
        <v>2338.2847000963566</v>
      </c>
      <c r="T131" s="4">
        <v>180</v>
      </c>
      <c r="U131" s="4">
        <v>22.36</v>
      </c>
      <c r="V131" s="4">
        <v>14.1</v>
      </c>
      <c r="W131" s="4"/>
      <c r="X131" s="7">
        <v>38350</v>
      </c>
      <c r="Y131" s="68">
        <v>2177.84210761245</v>
      </c>
      <c r="Z131" s="68">
        <v>2906.5547052115612</v>
      </c>
    </row>
    <row r="132" spans="1:26" x14ac:dyDescent="0.3">
      <c r="A132" s="7">
        <v>38357</v>
      </c>
      <c r="B132" s="19">
        <v>1.9570000000000001</v>
      </c>
      <c r="C132" s="2">
        <v>169</v>
      </c>
      <c r="E132" s="2">
        <v>261</v>
      </c>
      <c r="F132" s="19">
        <v>58.274999999999999</v>
      </c>
      <c r="G132" s="19">
        <v>36.450000000000003</v>
      </c>
      <c r="I132" s="10">
        <v>38357</v>
      </c>
      <c r="J132" s="27">
        <f t="shared" si="23"/>
        <v>131.34228187919464</v>
      </c>
      <c r="K132" s="11">
        <f t="shared" si="13"/>
        <v>128.87630101094749</v>
      </c>
      <c r="L132" s="11">
        <f t="shared" si="14"/>
        <v>121.99287400582158</v>
      </c>
      <c r="M132" s="27">
        <f t="shared" si="22"/>
        <v>145</v>
      </c>
      <c r="N132" s="27">
        <f t="shared" ref="N132:N163" si="24">(1+(F132-U132)/U132)*100</f>
        <v>260.6216457960644</v>
      </c>
      <c r="O132" s="27">
        <f t="shared" ref="O132:O163" si="25">(1+(G132-V132)/V132)*100</f>
        <v>258.51063829787233</v>
      </c>
      <c r="Q132" s="4">
        <v>1.49</v>
      </c>
      <c r="R132" s="4">
        <v>1815.8525733157076</v>
      </c>
      <c r="S132" s="4">
        <v>2338.2847000963566</v>
      </c>
      <c r="T132" s="4">
        <v>180</v>
      </c>
      <c r="U132" s="4">
        <v>22.36</v>
      </c>
      <c r="V132" s="4">
        <v>14.1</v>
      </c>
      <c r="W132" s="4"/>
      <c r="X132" s="7">
        <v>38357</v>
      </c>
      <c r="Y132" s="68">
        <v>2171.2036283013872</v>
      </c>
      <c r="Z132" s="68">
        <v>2852.5407080859513</v>
      </c>
    </row>
    <row r="133" spans="1:26" x14ac:dyDescent="0.3">
      <c r="A133" s="7">
        <v>38364</v>
      </c>
      <c r="B133" s="19">
        <v>1.9339999999999999</v>
      </c>
      <c r="C133" s="2">
        <v>169</v>
      </c>
      <c r="E133" s="2">
        <v>324</v>
      </c>
      <c r="F133" s="19">
        <v>62.264000000000003</v>
      </c>
      <c r="G133" s="19">
        <v>39.121000000000002</v>
      </c>
      <c r="I133" s="10">
        <v>38364</v>
      </c>
      <c r="J133" s="27">
        <f t="shared" si="23"/>
        <v>129.79865771812081</v>
      </c>
      <c r="K133" s="11">
        <f t="shared" si="13"/>
        <v>128.87630101094749</v>
      </c>
      <c r="L133" s="11">
        <f t="shared" si="14"/>
        <v>121.99287400582158</v>
      </c>
      <c r="M133" s="27">
        <f t="shared" si="22"/>
        <v>180</v>
      </c>
      <c r="N133" s="27">
        <f t="shared" si="24"/>
        <v>278.46153846153845</v>
      </c>
      <c r="O133" s="27">
        <f t="shared" si="25"/>
        <v>277.45390070921985</v>
      </c>
      <c r="Q133" s="4">
        <v>1.49</v>
      </c>
      <c r="R133" s="4">
        <v>1815.8525733157076</v>
      </c>
      <c r="S133" s="4">
        <v>2338.2847000963566</v>
      </c>
      <c r="T133" s="4">
        <v>180</v>
      </c>
      <c r="U133" s="4">
        <v>22.36</v>
      </c>
      <c r="V133" s="4">
        <v>14.1</v>
      </c>
      <c r="W133" s="4"/>
      <c r="X133" s="7">
        <v>38364</v>
      </c>
      <c r="Y133" s="68">
        <v>2171.2036283013872</v>
      </c>
      <c r="Z133" s="68">
        <v>2852.5407080859513</v>
      </c>
    </row>
    <row r="134" spans="1:26" x14ac:dyDescent="0.3">
      <c r="A134" s="7">
        <v>38371</v>
      </c>
      <c r="B134" s="19">
        <v>1.952</v>
      </c>
      <c r="C134" s="2">
        <v>187</v>
      </c>
      <c r="E134" s="2">
        <v>361</v>
      </c>
      <c r="F134" s="19">
        <v>60.170999999999999</v>
      </c>
      <c r="G134" s="19">
        <v>36.896000000000001</v>
      </c>
      <c r="I134" s="10">
        <v>38371</v>
      </c>
      <c r="J134" s="27">
        <f t="shared" si="23"/>
        <v>131.00671140939596</v>
      </c>
      <c r="K134" s="11">
        <f t="shared" si="13"/>
        <v>129.86757091162738</v>
      </c>
      <c r="L134" s="11">
        <f t="shared" si="14"/>
        <v>121.99287400582158</v>
      </c>
      <c r="M134" s="27">
        <f t="shared" si="22"/>
        <v>200.55555555555554</v>
      </c>
      <c r="N134" s="27">
        <f t="shared" si="24"/>
        <v>269.10107334525941</v>
      </c>
      <c r="O134" s="27">
        <f t="shared" si="25"/>
        <v>261.6737588652482</v>
      </c>
      <c r="Q134" s="4">
        <v>1.49</v>
      </c>
      <c r="R134" s="4">
        <v>1815.8525733157076</v>
      </c>
      <c r="S134" s="4">
        <v>2338.2847000963566</v>
      </c>
      <c r="T134" s="4">
        <v>180</v>
      </c>
      <c r="U134" s="4">
        <v>22.36</v>
      </c>
      <c r="V134" s="4">
        <v>14.1</v>
      </c>
      <c r="W134" s="4"/>
      <c r="X134" s="7">
        <v>38371</v>
      </c>
      <c r="Y134" s="68">
        <v>2171.2036283013872</v>
      </c>
      <c r="Z134" s="68">
        <v>2852.5407080859513</v>
      </c>
    </row>
    <row r="135" spans="1:26" x14ac:dyDescent="0.3">
      <c r="A135" s="7">
        <v>38378</v>
      </c>
      <c r="B135" s="19">
        <v>1.9590000000000001</v>
      </c>
      <c r="C135" s="2">
        <v>130</v>
      </c>
      <c r="E135" s="2">
        <v>292</v>
      </c>
      <c r="F135" s="19">
        <v>58.817999999999998</v>
      </c>
      <c r="G135" s="19">
        <v>34.179000000000002</v>
      </c>
      <c r="I135" s="10">
        <v>38378</v>
      </c>
      <c r="J135" s="27">
        <f t="shared" si="23"/>
        <v>131.47651006711411</v>
      </c>
      <c r="K135" s="11">
        <f t="shared" si="13"/>
        <v>126.49492753024087</v>
      </c>
      <c r="L135" s="11">
        <f t="shared" si="14"/>
        <v>122.78581775523992</v>
      </c>
      <c r="M135" s="27">
        <f t="shared" si="22"/>
        <v>162.22222222222223</v>
      </c>
      <c r="N135" s="27">
        <f t="shared" si="24"/>
        <v>263.05008944543829</v>
      </c>
      <c r="O135" s="27">
        <f t="shared" si="25"/>
        <v>242.40425531914894</v>
      </c>
      <c r="Q135" s="4">
        <v>1.49</v>
      </c>
      <c r="R135" s="4">
        <v>1815.8525733157076</v>
      </c>
      <c r="S135" s="4">
        <v>2338.2847000963566</v>
      </c>
      <c r="T135" s="4">
        <v>180</v>
      </c>
      <c r="U135" s="4">
        <v>22.36</v>
      </c>
      <c r="V135" s="4">
        <v>14.1</v>
      </c>
      <c r="W135" s="4"/>
      <c r="X135" s="7">
        <v>38378</v>
      </c>
      <c r="Y135" s="68">
        <v>2166.9613966717184</v>
      </c>
      <c r="Z135" s="68">
        <v>2871.0819904589707</v>
      </c>
    </row>
    <row r="136" spans="1:26" x14ac:dyDescent="0.3">
      <c r="A136" s="7">
        <v>38385</v>
      </c>
      <c r="B136" s="19">
        <v>1.992</v>
      </c>
      <c r="C136" s="2">
        <v>161</v>
      </c>
      <c r="E136" s="2">
        <v>263</v>
      </c>
      <c r="F136" s="19">
        <v>60.408000000000001</v>
      </c>
      <c r="G136" s="19">
        <v>35.621000000000002</v>
      </c>
      <c r="I136" s="10">
        <v>38385</v>
      </c>
      <c r="J136" s="27">
        <f t="shared" si="23"/>
        <v>133.69127516778522</v>
      </c>
      <c r="K136" s="11">
        <f t="shared" si="13"/>
        <v>124.42594946661234</v>
      </c>
      <c r="L136" s="11">
        <f t="shared" si="14"/>
        <v>129.64505674537779</v>
      </c>
      <c r="M136" s="27">
        <f t="shared" si="22"/>
        <v>146.11111111111111</v>
      </c>
      <c r="N136" s="27">
        <f t="shared" si="24"/>
        <v>270.16100178890883</v>
      </c>
      <c r="O136" s="27">
        <f t="shared" si="25"/>
        <v>252.63120567375887</v>
      </c>
      <c r="Q136" s="4">
        <v>1.49</v>
      </c>
      <c r="R136" s="4">
        <v>1815.8525733157076</v>
      </c>
      <c r="S136" s="4">
        <v>2338.2847000963566</v>
      </c>
      <c r="T136" s="4">
        <v>180</v>
      </c>
      <c r="U136" s="4">
        <v>22.36</v>
      </c>
      <c r="V136" s="4">
        <v>14.1</v>
      </c>
      <c r="W136" s="4"/>
      <c r="X136" s="7">
        <v>38385</v>
      </c>
      <c r="Y136" s="68">
        <v>2098.391805261982</v>
      </c>
      <c r="Z136" s="68">
        <v>3031.4705263084084</v>
      </c>
    </row>
    <row r="137" spans="1:26" x14ac:dyDescent="0.3">
      <c r="A137" s="7">
        <v>38392</v>
      </c>
      <c r="B137" s="19">
        <v>1.9830000000000001</v>
      </c>
      <c r="C137" s="2">
        <v>161.5</v>
      </c>
      <c r="E137" s="2">
        <v>233</v>
      </c>
      <c r="F137" s="19">
        <v>57.825000000000003</v>
      </c>
      <c r="G137" s="19">
        <v>33.779000000000003</v>
      </c>
      <c r="I137" s="10">
        <v>38392</v>
      </c>
      <c r="J137" s="27">
        <f t="shared" si="23"/>
        <v>133.08724832214767</v>
      </c>
      <c r="K137" s="11">
        <f t="shared" ref="K137:K200" si="26">(C137+Y137)/R137*100</f>
        <v>124.45348474163123</v>
      </c>
      <c r="L137" s="11">
        <f t="shared" ref="L137:L200" si="27">(D137+Z137)/S137*100</f>
        <v>129.64505674537779</v>
      </c>
      <c r="M137" s="27">
        <f t="shared" si="22"/>
        <v>129.44444444444446</v>
      </c>
      <c r="N137" s="27">
        <f t="shared" si="24"/>
        <v>258.60912343470488</v>
      </c>
      <c r="O137" s="27">
        <f t="shared" si="25"/>
        <v>239.56737588652484</v>
      </c>
      <c r="Q137" s="4">
        <v>1.49</v>
      </c>
      <c r="R137" s="4">
        <v>1815.8525733157076</v>
      </c>
      <c r="S137" s="4">
        <v>2338.2847000963566</v>
      </c>
      <c r="T137" s="4">
        <v>180</v>
      </c>
      <c r="U137" s="4">
        <v>22.36</v>
      </c>
      <c r="V137" s="4">
        <v>14.1</v>
      </c>
      <c r="W137" s="4"/>
      <c r="X137" s="7">
        <v>38392</v>
      </c>
      <c r="Y137" s="68">
        <v>2098.391805261982</v>
      </c>
      <c r="Z137" s="68">
        <v>3031.4705263084084</v>
      </c>
    </row>
    <row r="138" spans="1:26" x14ac:dyDescent="0.3">
      <c r="A138" s="7">
        <v>38399</v>
      </c>
      <c r="B138" s="19">
        <v>1.986</v>
      </c>
      <c r="C138" s="2">
        <v>66.5</v>
      </c>
      <c r="E138" s="2">
        <v>278</v>
      </c>
      <c r="F138" s="19">
        <v>59.628999999999998</v>
      </c>
      <c r="G138" s="19">
        <v>36.317999999999998</v>
      </c>
      <c r="I138" s="10">
        <v>38399</v>
      </c>
      <c r="J138" s="27">
        <f t="shared" si="23"/>
        <v>133.28859060402684</v>
      </c>
      <c r="K138" s="11">
        <f t="shared" si="26"/>
        <v>119.22178248804288</v>
      </c>
      <c r="L138" s="11">
        <f t="shared" si="27"/>
        <v>129.64505674537779</v>
      </c>
      <c r="M138" s="27">
        <f t="shared" si="22"/>
        <v>154.44444444444443</v>
      </c>
      <c r="N138" s="27">
        <f t="shared" si="24"/>
        <v>266.67710196779962</v>
      </c>
      <c r="O138" s="27">
        <f t="shared" si="25"/>
        <v>257.57446808510639</v>
      </c>
      <c r="Q138" s="4">
        <v>1.49</v>
      </c>
      <c r="R138" s="4">
        <v>1815.8525733157076</v>
      </c>
      <c r="S138" s="4">
        <v>2338.2847000963566</v>
      </c>
      <c r="T138" s="4">
        <v>180</v>
      </c>
      <c r="U138" s="4">
        <v>22.36</v>
      </c>
      <c r="V138" s="4">
        <v>14.1</v>
      </c>
      <c r="W138" s="4"/>
      <c r="X138" s="7">
        <v>38399</v>
      </c>
      <c r="Y138" s="68">
        <v>2098.391805261982</v>
      </c>
      <c r="Z138" s="68">
        <v>3031.4705263084084</v>
      </c>
    </row>
    <row r="139" spans="1:26" x14ac:dyDescent="0.3">
      <c r="A139" s="7">
        <v>38406</v>
      </c>
      <c r="B139" s="19">
        <v>2.02</v>
      </c>
      <c r="C139" s="2">
        <v>11.5</v>
      </c>
      <c r="E139" s="2">
        <v>320</v>
      </c>
      <c r="F139" s="19">
        <v>61.704000000000001</v>
      </c>
      <c r="G139" s="19">
        <v>40.634999999999998</v>
      </c>
      <c r="I139" s="10">
        <v>38406</v>
      </c>
      <c r="J139" s="27">
        <f t="shared" si="23"/>
        <v>135.57046979865771</v>
      </c>
      <c r="K139" s="11">
        <f t="shared" si="26"/>
        <v>115.97586879489677</v>
      </c>
      <c r="L139" s="11">
        <f t="shared" si="27"/>
        <v>129.0326930471474</v>
      </c>
      <c r="M139" s="27">
        <f t="shared" si="22"/>
        <v>177.77777777777777</v>
      </c>
      <c r="N139" s="27">
        <f t="shared" si="24"/>
        <v>275.95706618962436</v>
      </c>
      <c r="O139" s="27">
        <f t="shared" si="25"/>
        <v>288.19148936170211</v>
      </c>
      <c r="Q139" s="4">
        <v>1.49</v>
      </c>
      <c r="R139" s="4">
        <v>1815.8525733157076</v>
      </c>
      <c r="S139" s="4">
        <v>2338.2847000963566</v>
      </c>
      <c r="T139" s="4">
        <v>180</v>
      </c>
      <c r="U139" s="4">
        <v>22.36</v>
      </c>
      <c r="V139" s="4">
        <v>14.1</v>
      </c>
      <c r="W139" s="4"/>
      <c r="X139" s="7">
        <v>38406</v>
      </c>
      <c r="Y139" s="68">
        <v>2094.4507979373816</v>
      </c>
      <c r="Z139" s="68">
        <v>3017.151719643743</v>
      </c>
    </row>
    <row r="140" spans="1:26" x14ac:dyDescent="0.3">
      <c r="A140" s="7">
        <v>38413</v>
      </c>
      <c r="B140" s="19">
        <v>2.1179999999999999</v>
      </c>
      <c r="C140" s="2">
        <v>0</v>
      </c>
      <c r="E140" s="2">
        <v>369</v>
      </c>
      <c r="F140" s="19">
        <v>61.011000000000003</v>
      </c>
      <c r="G140" s="19">
        <v>39.011000000000003</v>
      </c>
      <c r="I140" s="10">
        <v>38413</v>
      </c>
      <c r="J140" s="27">
        <f t="shared" si="23"/>
        <v>142.14765100671141</v>
      </c>
      <c r="K140" s="11">
        <f t="shared" si="26"/>
        <v>112.54698352763887</v>
      </c>
      <c r="L140" s="11">
        <f t="shared" si="27"/>
        <v>121.53269884026909</v>
      </c>
      <c r="M140" s="27">
        <f t="shared" si="22"/>
        <v>204.99999999999997</v>
      </c>
      <c r="N140" s="27">
        <f t="shared" si="24"/>
        <v>272.85778175313061</v>
      </c>
      <c r="O140" s="27">
        <f t="shared" si="25"/>
        <v>276.67375886524826</v>
      </c>
      <c r="Q140" s="4">
        <v>1.49</v>
      </c>
      <c r="R140" s="4">
        <v>1815.8525733157076</v>
      </c>
      <c r="S140" s="4">
        <v>2338.2847000963566</v>
      </c>
      <c r="T140" s="4">
        <v>180</v>
      </c>
      <c r="U140" s="4">
        <v>22.36</v>
      </c>
      <c r="V140" s="4">
        <v>14.1</v>
      </c>
      <c r="W140" s="4"/>
      <c r="X140" s="7">
        <v>38413</v>
      </c>
      <c r="Y140" s="68">
        <v>2043.6872965758359</v>
      </c>
      <c r="Z140" s="68">
        <v>2841.7805025961943</v>
      </c>
    </row>
    <row r="141" spans="1:26" x14ac:dyDescent="0.3">
      <c r="A141" s="7">
        <v>38420</v>
      </c>
      <c r="B141" s="19">
        <v>2.1680000000000001</v>
      </c>
      <c r="C141" s="2">
        <v>-7</v>
      </c>
      <c r="E141" s="2">
        <v>275</v>
      </c>
      <c r="F141" s="19">
        <v>62.207000000000001</v>
      </c>
      <c r="G141" s="19">
        <v>39.9</v>
      </c>
      <c r="I141" s="10">
        <v>38420</v>
      </c>
      <c r="J141" s="27">
        <f t="shared" si="23"/>
        <v>145.50335570469798</v>
      </c>
      <c r="K141" s="11">
        <f t="shared" si="26"/>
        <v>112.16148967737448</v>
      </c>
      <c r="L141" s="11">
        <f t="shared" si="27"/>
        <v>121.53269884026909</v>
      </c>
      <c r="M141" s="27">
        <f t="shared" si="22"/>
        <v>152.77777777777777</v>
      </c>
      <c r="N141" s="27">
        <f t="shared" si="24"/>
        <v>278.20661896243291</v>
      </c>
      <c r="O141" s="27">
        <f t="shared" si="25"/>
        <v>282.97872340425528</v>
      </c>
      <c r="Q141" s="4">
        <v>1.49</v>
      </c>
      <c r="R141" s="4">
        <v>1815.8525733157076</v>
      </c>
      <c r="S141" s="4">
        <v>2338.2847000963566</v>
      </c>
      <c r="T141" s="4">
        <v>180</v>
      </c>
      <c r="U141" s="4">
        <v>22.36</v>
      </c>
      <c r="V141" s="4">
        <v>14.1</v>
      </c>
      <c r="W141" s="4"/>
      <c r="X141" s="7">
        <v>38420</v>
      </c>
      <c r="Y141" s="68">
        <v>2043.6872965758359</v>
      </c>
      <c r="Z141" s="68">
        <v>2841.7805025961943</v>
      </c>
    </row>
    <row r="142" spans="1:26" x14ac:dyDescent="0.3">
      <c r="A142" s="7">
        <v>38427</v>
      </c>
      <c r="B142" s="19">
        <v>2.194</v>
      </c>
      <c r="C142" s="2">
        <v>-20.5</v>
      </c>
      <c r="E142" s="2">
        <v>344</v>
      </c>
      <c r="F142" s="19">
        <v>63.96</v>
      </c>
      <c r="G142" s="19">
        <v>40.121000000000002</v>
      </c>
      <c r="I142" s="10">
        <v>38427</v>
      </c>
      <c r="J142" s="27">
        <f t="shared" si="23"/>
        <v>147.24832214765101</v>
      </c>
      <c r="K142" s="11">
        <f t="shared" si="26"/>
        <v>111.41803725186455</v>
      </c>
      <c r="L142" s="11">
        <f t="shared" si="27"/>
        <v>121.53269884026909</v>
      </c>
      <c r="M142" s="27">
        <f t="shared" si="22"/>
        <v>191.11111111111109</v>
      </c>
      <c r="N142" s="27">
        <f t="shared" si="24"/>
        <v>286.04651162790702</v>
      </c>
      <c r="O142" s="27">
        <f t="shared" si="25"/>
        <v>284.54609929078015</v>
      </c>
      <c r="Q142" s="4">
        <v>1.49</v>
      </c>
      <c r="R142" s="4">
        <v>1815.8525733157076</v>
      </c>
      <c r="S142" s="4">
        <v>2338.2847000963566</v>
      </c>
      <c r="T142" s="4">
        <v>180</v>
      </c>
      <c r="U142" s="4">
        <v>22.36</v>
      </c>
      <c r="V142" s="4">
        <v>14.1</v>
      </c>
      <c r="W142" s="4"/>
      <c r="X142" s="7">
        <v>38427</v>
      </c>
      <c r="Y142" s="68">
        <v>2043.6872965758359</v>
      </c>
      <c r="Z142" s="68">
        <v>2841.7805025961943</v>
      </c>
    </row>
    <row r="143" spans="1:26" x14ac:dyDescent="0.3">
      <c r="A143" s="7">
        <v>38434</v>
      </c>
      <c r="B143" s="19">
        <v>2.2440000000000002</v>
      </c>
      <c r="C143" s="2">
        <v>49</v>
      </c>
      <c r="E143" s="2">
        <v>250</v>
      </c>
      <c r="F143" s="19">
        <v>64.093000000000004</v>
      </c>
      <c r="G143" s="19">
        <v>38.704999999999998</v>
      </c>
      <c r="I143" s="10">
        <v>38434</v>
      </c>
      <c r="J143" s="27">
        <f t="shared" si="23"/>
        <v>150.60402684563758</v>
      </c>
      <c r="K143" s="11">
        <f t="shared" si="26"/>
        <v>115.2454404794897</v>
      </c>
      <c r="L143" s="11">
        <f t="shared" si="27"/>
        <v>121.53269884026909</v>
      </c>
      <c r="M143" s="27">
        <f t="shared" si="22"/>
        <v>138.88888888888889</v>
      </c>
      <c r="N143" s="27">
        <f t="shared" si="24"/>
        <v>286.64132379248662</v>
      </c>
      <c r="O143" s="27">
        <f t="shared" si="25"/>
        <v>274.50354609929076</v>
      </c>
      <c r="Q143" s="4">
        <v>1.49</v>
      </c>
      <c r="R143" s="4">
        <v>1815.8525733157076</v>
      </c>
      <c r="S143" s="4">
        <v>2338.2847000963566</v>
      </c>
      <c r="T143" s="4">
        <v>180</v>
      </c>
      <c r="U143" s="4">
        <v>22.36</v>
      </c>
      <c r="V143" s="4">
        <v>14.1</v>
      </c>
      <c r="W143" s="4"/>
      <c r="X143" s="7">
        <v>38434</v>
      </c>
      <c r="Y143" s="68">
        <v>2043.6872965758359</v>
      </c>
      <c r="Z143" s="68">
        <v>2841.7805025961943</v>
      </c>
    </row>
    <row r="144" spans="1:26" x14ac:dyDescent="0.3">
      <c r="A144" s="7">
        <v>38441</v>
      </c>
      <c r="B144" s="19">
        <v>2.2490000000000001</v>
      </c>
      <c r="C144" s="2">
        <v>14</v>
      </c>
      <c r="E144" s="2">
        <v>231</v>
      </c>
      <c r="F144" s="19">
        <v>63.65</v>
      </c>
      <c r="G144" s="19">
        <v>38.362000000000002</v>
      </c>
      <c r="I144" s="10">
        <v>38441</v>
      </c>
      <c r="J144" s="27">
        <f t="shared" si="23"/>
        <v>150.93959731543626</v>
      </c>
      <c r="K144" s="11">
        <f t="shared" si="26"/>
        <v>113.25525066287121</v>
      </c>
      <c r="L144" s="11">
        <f t="shared" si="27"/>
        <v>121.47590563567931</v>
      </c>
      <c r="M144" s="27">
        <f t="shared" si="22"/>
        <v>128.33333333333331</v>
      </c>
      <c r="N144" s="27">
        <f t="shared" si="24"/>
        <v>284.66010733452595</v>
      </c>
      <c r="O144" s="27">
        <f t="shared" si="25"/>
        <v>272.07092198581557</v>
      </c>
      <c r="Q144" s="4">
        <v>1.49</v>
      </c>
      <c r="R144" s="4">
        <v>1815.8525733157076</v>
      </c>
      <c r="S144" s="4">
        <v>2338.2847000963566</v>
      </c>
      <c r="T144" s="4">
        <v>180</v>
      </c>
      <c r="U144" s="4">
        <v>22.36</v>
      </c>
      <c r="V144" s="4">
        <v>14.1</v>
      </c>
      <c r="W144" s="4"/>
      <c r="X144" s="7">
        <v>38441</v>
      </c>
      <c r="Y144" s="68">
        <v>2042.5483835769019</v>
      </c>
      <c r="Z144" s="68">
        <v>2840.4525157825774</v>
      </c>
    </row>
    <row r="145" spans="1:26" x14ac:dyDescent="0.3">
      <c r="A145" s="7">
        <v>38448</v>
      </c>
      <c r="B145" s="19">
        <v>2.3029999999999999</v>
      </c>
      <c r="C145" s="2">
        <v>-23.5</v>
      </c>
      <c r="E145" s="2">
        <v>313</v>
      </c>
      <c r="F145" s="19">
        <v>62.110999999999997</v>
      </c>
      <c r="G145" s="19">
        <v>35.481999999999999</v>
      </c>
      <c r="I145" s="10">
        <v>38448</v>
      </c>
      <c r="J145" s="27">
        <f t="shared" si="23"/>
        <v>154.56375838926175</v>
      </c>
      <c r="K145" s="11">
        <f t="shared" si="26"/>
        <v>111.04768021041367</v>
      </c>
      <c r="L145" s="11">
        <f t="shared" si="27"/>
        <v>121.15278167353922</v>
      </c>
      <c r="M145" s="27">
        <f t="shared" si="22"/>
        <v>173.88888888888889</v>
      </c>
      <c r="N145" s="27">
        <f t="shared" si="24"/>
        <v>277.77728085867619</v>
      </c>
      <c r="O145" s="27">
        <f t="shared" si="25"/>
        <v>251.64539007092196</v>
      </c>
      <c r="Q145" s="4">
        <v>1.49</v>
      </c>
      <c r="R145" s="4">
        <v>1815.8525733157076</v>
      </c>
      <c r="S145" s="4">
        <v>2338.2847000963566</v>
      </c>
      <c r="T145" s="4">
        <v>180</v>
      </c>
      <c r="U145" s="4">
        <v>22.36</v>
      </c>
      <c r="V145" s="4">
        <v>14.1</v>
      </c>
      <c r="W145" s="4"/>
      <c r="X145" s="7">
        <v>38448</v>
      </c>
      <c r="Y145" s="68">
        <v>2039.9621587081945</v>
      </c>
      <c r="Z145" s="68">
        <v>2832.89695761351</v>
      </c>
    </row>
    <row r="146" spans="1:26" x14ac:dyDescent="0.3">
      <c r="A146" s="7">
        <v>38455</v>
      </c>
      <c r="B146" s="19">
        <v>2.3159999999999998</v>
      </c>
      <c r="C146" s="2">
        <v>-39.5</v>
      </c>
      <c r="E146" s="2">
        <v>241</v>
      </c>
      <c r="F146" s="19">
        <v>62.389000000000003</v>
      </c>
      <c r="G146" s="19">
        <v>35.116</v>
      </c>
      <c r="I146" s="10">
        <v>38455</v>
      </c>
      <c r="J146" s="27">
        <f t="shared" si="23"/>
        <v>155.43624161073825</v>
      </c>
      <c r="K146" s="11">
        <f t="shared" si="26"/>
        <v>110.16655140980933</v>
      </c>
      <c r="L146" s="11">
        <f t="shared" si="27"/>
        <v>121.15278167353922</v>
      </c>
      <c r="M146" s="27">
        <f t="shared" si="22"/>
        <v>133.88888888888891</v>
      </c>
      <c r="N146" s="27">
        <f t="shared" si="24"/>
        <v>279.02057245080505</v>
      </c>
      <c r="O146" s="27">
        <f t="shared" si="25"/>
        <v>249.04964539007094</v>
      </c>
      <c r="Q146" s="4">
        <v>1.49</v>
      </c>
      <c r="R146" s="4">
        <v>1815.8525733157076</v>
      </c>
      <c r="S146" s="4">
        <v>2338.2847000963566</v>
      </c>
      <c r="T146" s="4">
        <v>180</v>
      </c>
      <c r="U146" s="4">
        <v>22.36</v>
      </c>
      <c r="V146" s="4">
        <v>14.1</v>
      </c>
      <c r="W146" s="4"/>
      <c r="X146" s="7">
        <v>38455</v>
      </c>
      <c r="Y146" s="68">
        <v>2039.9621587081945</v>
      </c>
      <c r="Z146" s="68">
        <v>2832.89695761351</v>
      </c>
    </row>
    <row r="147" spans="1:26" x14ac:dyDescent="0.3">
      <c r="A147" s="7">
        <v>38462</v>
      </c>
      <c r="B147" s="19">
        <v>2.2589999999999999</v>
      </c>
      <c r="C147" s="2">
        <v>-59.5</v>
      </c>
      <c r="E147" s="2">
        <v>238</v>
      </c>
      <c r="F147" s="19">
        <v>61.856999999999999</v>
      </c>
      <c r="G147" s="19">
        <v>34.488999999999997</v>
      </c>
      <c r="I147" s="10">
        <v>38462</v>
      </c>
      <c r="J147" s="27">
        <f t="shared" si="23"/>
        <v>151.61073825503354</v>
      </c>
      <c r="K147" s="11">
        <f t="shared" si="26"/>
        <v>109.06514040905388</v>
      </c>
      <c r="L147" s="11">
        <f t="shared" si="27"/>
        <v>121.15278167353922</v>
      </c>
      <c r="M147" s="27">
        <f t="shared" si="22"/>
        <v>132.22222222222223</v>
      </c>
      <c r="N147" s="27">
        <f t="shared" si="24"/>
        <v>276.64132379248656</v>
      </c>
      <c r="O147" s="27">
        <f t="shared" si="25"/>
        <v>244.60283687943257</v>
      </c>
      <c r="Q147" s="4">
        <v>1.49</v>
      </c>
      <c r="R147" s="4">
        <v>1815.8525733157076</v>
      </c>
      <c r="S147" s="4">
        <v>2338.2847000963566</v>
      </c>
      <c r="T147" s="4">
        <v>180</v>
      </c>
      <c r="U147" s="4">
        <v>22.36</v>
      </c>
      <c r="V147" s="4">
        <v>14.1</v>
      </c>
      <c r="W147" s="4"/>
      <c r="X147" s="7">
        <v>38462</v>
      </c>
      <c r="Y147" s="68">
        <v>2039.9621587081945</v>
      </c>
      <c r="Z147" s="68">
        <v>2832.89695761351</v>
      </c>
    </row>
    <row r="148" spans="1:26" x14ac:dyDescent="0.3">
      <c r="A148" s="7">
        <v>38469</v>
      </c>
      <c r="B148" s="19">
        <v>2.2890000000000001</v>
      </c>
      <c r="C148" s="2">
        <v>-37</v>
      </c>
      <c r="E148" s="2">
        <v>223</v>
      </c>
      <c r="F148" s="19">
        <v>57.042999999999999</v>
      </c>
      <c r="G148" s="19">
        <v>27.843</v>
      </c>
      <c r="I148" s="10">
        <v>38469</v>
      </c>
      <c r="J148" s="27">
        <f t="shared" si="23"/>
        <v>153.62416107382552</v>
      </c>
      <c r="K148" s="11">
        <f t="shared" si="26"/>
        <v>110.46938716834877</v>
      </c>
      <c r="L148" s="11">
        <f t="shared" si="27"/>
        <v>121.20572430789964</v>
      </c>
      <c r="M148" s="27">
        <f t="shared" si="22"/>
        <v>123.88888888888889</v>
      </c>
      <c r="N148" s="27">
        <f t="shared" si="24"/>
        <v>255.11180679785329</v>
      </c>
      <c r="O148" s="27">
        <f t="shared" si="25"/>
        <v>197.46808510638297</v>
      </c>
      <c r="Q148" s="4">
        <v>1.49</v>
      </c>
      <c r="R148" s="4">
        <v>1815.8525733157076</v>
      </c>
      <c r="S148" s="4">
        <v>2338.2847000963566</v>
      </c>
      <c r="T148" s="4">
        <v>180</v>
      </c>
      <c r="U148" s="4">
        <v>22.36</v>
      </c>
      <c r="V148" s="4">
        <v>14.1</v>
      </c>
      <c r="W148" s="4"/>
      <c r="X148" s="7">
        <v>38469</v>
      </c>
      <c r="Y148" s="68">
        <v>2042.9612096225533</v>
      </c>
      <c r="Z148" s="68">
        <v>2834.1349071325881</v>
      </c>
    </row>
    <row r="149" spans="1:26" x14ac:dyDescent="0.3">
      <c r="A149" s="7">
        <v>38476</v>
      </c>
      <c r="B149" s="19">
        <v>2.262</v>
      </c>
      <c r="C149" s="2">
        <v>-11.5</v>
      </c>
      <c r="E149" s="2">
        <v>245</v>
      </c>
      <c r="F149" s="19">
        <v>54.274999999999999</v>
      </c>
      <c r="G149" s="19">
        <v>26.516999999999999</v>
      </c>
      <c r="I149" s="10">
        <v>38476</v>
      </c>
      <c r="J149" s="27">
        <f t="shared" si="23"/>
        <v>151.81208053691276</v>
      </c>
      <c r="K149" s="11">
        <f t="shared" si="26"/>
        <v>116.22194811933009</v>
      </c>
      <c r="L149" s="11">
        <f t="shared" si="27"/>
        <v>124.27925430513605</v>
      </c>
      <c r="M149" s="27">
        <f t="shared" si="22"/>
        <v>136.11111111111111</v>
      </c>
      <c r="N149" s="27">
        <f t="shared" si="24"/>
        <v>242.73255813953489</v>
      </c>
      <c r="O149" s="27">
        <f t="shared" si="25"/>
        <v>188.06382978723403</v>
      </c>
      <c r="Q149" s="4">
        <v>1.49</v>
      </c>
      <c r="R149" s="4">
        <v>1815.8525733157076</v>
      </c>
      <c r="S149" s="4">
        <v>2338.2847000963566</v>
      </c>
      <c r="T149" s="4">
        <v>180</v>
      </c>
      <c r="U149" s="4">
        <v>22.36</v>
      </c>
      <c r="V149" s="4">
        <v>14.1</v>
      </c>
      <c r="W149" s="4"/>
      <c r="X149" s="7">
        <v>38476</v>
      </c>
      <c r="Y149" s="68">
        <v>2121.9192356825019</v>
      </c>
      <c r="Z149" s="68">
        <v>2906.0027888108384</v>
      </c>
    </row>
    <row r="150" spans="1:26" x14ac:dyDescent="0.3">
      <c r="A150" s="7">
        <v>38483</v>
      </c>
      <c r="B150" s="19">
        <v>2.2269999999999999</v>
      </c>
      <c r="C150" s="2">
        <v>14</v>
      </c>
      <c r="E150" s="2">
        <v>229</v>
      </c>
      <c r="F150" s="19">
        <v>57.3</v>
      </c>
      <c r="G150" s="19">
        <v>29.335999999999999</v>
      </c>
      <c r="I150" s="10">
        <v>38483</v>
      </c>
      <c r="J150" s="27">
        <f t="shared" si="23"/>
        <v>149.46308724832213</v>
      </c>
      <c r="K150" s="11">
        <f t="shared" si="26"/>
        <v>117.62624714529328</v>
      </c>
      <c r="L150" s="11">
        <f t="shared" si="27"/>
        <v>124.27925430513605</v>
      </c>
      <c r="M150" s="27">
        <f t="shared" si="22"/>
        <v>127.22222222222221</v>
      </c>
      <c r="N150" s="27">
        <f t="shared" si="24"/>
        <v>256.2611806797853</v>
      </c>
      <c r="O150" s="27">
        <f t="shared" si="25"/>
        <v>208.05673758865248</v>
      </c>
      <c r="Q150" s="4">
        <v>1.49</v>
      </c>
      <c r="R150" s="4">
        <v>1815.8525733157076</v>
      </c>
      <c r="S150" s="4">
        <v>2338.2847000963566</v>
      </c>
      <c r="T150" s="4">
        <v>180</v>
      </c>
      <c r="U150" s="4">
        <v>22.36</v>
      </c>
      <c r="V150" s="4">
        <v>14.1</v>
      </c>
      <c r="W150" s="4"/>
      <c r="X150" s="7">
        <v>38483</v>
      </c>
      <c r="Y150" s="68">
        <v>2121.9192356825019</v>
      </c>
      <c r="Z150" s="68">
        <v>2906.0027888108384</v>
      </c>
    </row>
    <row r="151" spans="1:26" x14ac:dyDescent="0.3">
      <c r="A151" s="7">
        <v>38490</v>
      </c>
      <c r="B151" s="19">
        <v>2.1890000000000001</v>
      </c>
      <c r="C151" s="2">
        <v>-18</v>
      </c>
      <c r="E151" s="2">
        <v>250</v>
      </c>
      <c r="F151" s="19">
        <v>54.292999999999999</v>
      </c>
      <c r="G151" s="19">
        <v>27.074999999999999</v>
      </c>
      <c r="I151" s="10">
        <v>38490</v>
      </c>
      <c r="J151" s="27">
        <f t="shared" si="23"/>
        <v>146.91275167785236</v>
      </c>
      <c r="K151" s="11">
        <f t="shared" si="26"/>
        <v>115.86398954408456</v>
      </c>
      <c r="L151" s="11">
        <f t="shared" si="27"/>
        <v>124.27925430513605</v>
      </c>
      <c r="M151" s="27">
        <f t="shared" si="22"/>
        <v>138.88888888888889</v>
      </c>
      <c r="N151" s="27">
        <f t="shared" si="24"/>
        <v>242.81305903398928</v>
      </c>
      <c r="O151" s="27">
        <f t="shared" si="25"/>
        <v>192.02127659574469</v>
      </c>
      <c r="Q151" s="4">
        <v>1.49</v>
      </c>
      <c r="R151" s="4">
        <v>1815.8525733157076</v>
      </c>
      <c r="S151" s="4">
        <v>2338.2847000963566</v>
      </c>
      <c r="T151" s="4">
        <v>180</v>
      </c>
      <c r="U151" s="4">
        <v>22.36</v>
      </c>
      <c r="V151" s="4">
        <v>14.1</v>
      </c>
      <c r="W151" s="4"/>
      <c r="X151" s="7">
        <v>38490</v>
      </c>
      <c r="Y151" s="68">
        <v>2121.9192356825019</v>
      </c>
      <c r="Z151" s="68">
        <v>2906.0027888108384</v>
      </c>
    </row>
    <row r="152" spans="1:26" x14ac:dyDescent="0.3">
      <c r="A152" s="7">
        <v>38497</v>
      </c>
      <c r="B152" s="19">
        <v>2.1560000000000001</v>
      </c>
      <c r="C152" s="2">
        <v>-52</v>
      </c>
      <c r="E152" s="2">
        <v>265</v>
      </c>
      <c r="F152" s="19">
        <v>54.079000000000001</v>
      </c>
      <c r="G152" s="19">
        <v>26.978999999999999</v>
      </c>
      <c r="I152" s="10">
        <v>38497</v>
      </c>
      <c r="J152" s="27">
        <f t="shared" si="23"/>
        <v>144.69798657718121</v>
      </c>
      <c r="K152" s="11">
        <f t="shared" si="26"/>
        <v>114.45363613815249</v>
      </c>
      <c r="L152" s="11">
        <f t="shared" si="27"/>
        <v>124.39748242225768</v>
      </c>
      <c r="M152" s="27">
        <f t="shared" si="22"/>
        <v>147.22222222222223</v>
      </c>
      <c r="N152" s="27">
        <f t="shared" si="24"/>
        <v>241.85599284436492</v>
      </c>
      <c r="O152" s="27">
        <f t="shared" si="25"/>
        <v>191.34042553191489</v>
      </c>
      <c r="Q152" s="4">
        <v>1.49</v>
      </c>
      <c r="R152" s="4">
        <v>1815.8525733157076</v>
      </c>
      <c r="S152" s="4">
        <v>2338.2847000963566</v>
      </c>
      <c r="T152" s="4">
        <v>180</v>
      </c>
      <c r="U152" s="4">
        <v>22.36</v>
      </c>
      <c r="V152" s="4">
        <v>14.1</v>
      </c>
      <c r="W152" s="4"/>
      <c r="X152" s="7">
        <v>38497</v>
      </c>
      <c r="Y152" s="68">
        <v>2130.3092970680386</v>
      </c>
      <c r="Z152" s="68">
        <v>2908.7672987847059</v>
      </c>
    </row>
    <row r="153" spans="1:26" x14ac:dyDescent="0.3">
      <c r="A153" s="7">
        <v>38504</v>
      </c>
      <c r="B153" s="19">
        <v>2.16</v>
      </c>
      <c r="C153" s="2">
        <v>28</v>
      </c>
      <c r="E153" s="2">
        <v>253</v>
      </c>
      <c r="F153" s="19">
        <v>53.713999999999999</v>
      </c>
      <c r="G153" s="19">
        <v>26.55</v>
      </c>
      <c r="I153" s="10">
        <v>38504</v>
      </c>
      <c r="J153" s="27">
        <f t="shared" si="23"/>
        <v>144.96644295302013</v>
      </c>
      <c r="K153" s="11">
        <f t="shared" si="26"/>
        <v>123.35356326553544</v>
      </c>
      <c r="L153" s="11">
        <f t="shared" si="27"/>
        <v>125.78341704348969</v>
      </c>
      <c r="M153" s="27">
        <f t="shared" si="22"/>
        <v>140.55555555555554</v>
      </c>
      <c r="N153" s="27">
        <f t="shared" si="24"/>
        <v>240.22361359570664</v>
      </c>
      <c r="O153" s="27">
        <f t="shared" si="25"/>
        <v>188.29787234042556</v>
      </c>
      <c r="Q153" s="4">
        <v>1.49</v>
      </c>
      <c r="R153" s="4">
        <v>1815.8525733157076</v>
      </c>
      <c r="S153" s="4">
        <v>2338.2847000963566</v>
      </c>
      <c r="T153" s="4">
        <v>180</v>
      </c>
      <c r="U153" s="4">
        <v>22.36</v>
      </c>
      <c r="V153" s="4">
        <v>14.1</v>
      </c>
      <c r="W153" s="4"/>
      <c r="X153" s="7">
        <v>38504</v>
      </c>
      <c r="Y153" s="68">
        <v>2211.9188528338445</v>
      </c>
      <c r="Z153" s="68">
        <v>2941.1743959863124</v>
      </c>
    </row>
    <row r="154" spans="1:26" x14ac:dyDescent="0.3">
      <c r="A154" s="7">
        <v>38511</v>
      </c>
      <c r="B154" s="19">
        <v>2.234</v>
      </c>
      <c r="C154" s="2">
        <v>-25</v>
      </c>
      <c r="E154" s="2">
        <v>233</v>
      </c>
      <c r="F154" s="19">
        <v>53.424999999999997</v>
      </c>
      <c r="G154" s="19">
        <v>27.254000000000001</v>
      </c>
      <c r="I154" s="10">
        <v>38511</v>
      </c>
      <c r="J154" s="27">
        <f t="shared" si="23"/>
        <v>149.93288590604027</v>
      </c>
      <c r="K154" s="11">
        <f t="shared" si="26"/>
        <v>120.43482411353349</v>
      </c>
      <c r="L154" s="11">
        <f t="shared" si="27"/>
        <v>125.78341704348969</v>
      </c>
      <c r="M154" s="27">
        <f t="shared" si="22"/>
        <v>129.44444444444446</v>
      </c>
      <c r="N154" s="27">
        <f t="shared" si="24"/>
        <v>238.93112701252238</v>
      </c>
      <c r="O154" s="27">
        <f t="shared" si="25"/>
        <v>193.29078014184398</v>
      </c>
      <c r="Q154" s="4">
        <v>1.49</v>
      </c>
      <c r="R154" s="4">
        <v>1815.8525733157076</v>
      </c>
      <c r="S154" s="4">
        <v>2338.2847000963566</v>
      </c>
      <c r="T154" s="4">
        <v>180</v>
      </c>
      <c r="U154" s="4">
        <v>22.36</v>
      </c>
      <c r="V154" s="4">
        <v>14.1</v>
      </c>
      <c r="W154" s="4"/>
      <c r="X154" s="7">
        <v>38511</v>
      </c>
      <c r="Y154" s="68">
        <v>2211.9188528338445</v>
      </c>
      <c r="Z154" s="68">
        <v>2941.1743959863124</v>
      </c>
    </row>
    <row r="155" spans="1:26" x14ac:dyDescent="0.3">
      <c r="A155" s="7">
        <v>38518</v>
      </c>
      <c r="B155" s="19">
        <v>2.2759999999999998</v>
      </c>
      <c r="C155" s="2">
        <v>-90</v>
      </c>
      <c r="E155" s="2">
        <v>221</v>
      </c>
      <c r="F155" s="19">
        <v>49.554000000000002</v>
      </c>
      <c r="G155" s="19">
        <v>25.15</v>
      </c>
      <c r="I155" s="10">
        <v>38518</v>
      </c>
      <c r="J155" s="27">
        <f t="shared" si="23"/>
        <v>152.75167785234899</v>
      </c>
      <c r="K155" s="11">
        <f t="shared" si="26"/>
        <v>116.85523836107832</v>
      </c>
      <c r="L155" s="11">
        <f t="shared" si="27"/>
        <v>125.78341704348969</v>
      </c>
      <c r="M155" s="27">
        <f t="shared" si="22"/>
        <v>122.77777777777779</v>
      </c>
      <c r="N155" s="27">
        <f t="shared" si="24"/>
        <v>221.61896243291594</v>
      </c>
      <c r="O155" s="27">
        <f t="shared" si="25"/>
        <v>178.36879432624113</v>
      </c>
      <c r="Q155" s="4">
        <v>1.49</v>
      </c>
      <c r="R155" s="4">
        <v>1815.8525733157076</v>
      </c>
      <c r="S155" s="4">
        <v>2338.2847000963566</v>
      </c>
      <c r="T155" s="4">
        <v>180</v>
      </c>
      <c r="U155" s="4">
        <v>22.36</v>
      </c>
      <c r="V155" s="4">
        <v>14.1</v>
      </c>
      <c r="W155" s="4"/>
      <c r="X155" s="7">
        <v>38518</v>
      </c>
      <c r="Y155" s="68">
        <v>2211.9188528338445</v>
      </c>
      <c r="Z155" s="68">
        <v>2941.1743959863124</v>
      </c>
    </row>
    <row r="156" spans="1:26" x14ac:dyDescent="0.3">
      <c r="A156" s="7">
        <v>38525</v>
      </c>
      <c r="B156" s="19">
        <v>2.3130000000000002</v>
      </c>
      <c r="C156" s="2">
        <v>-82</v>
      </c>
      <c r="E156" s="2">
        <v>209</v>
      </c>
      <c r="F156" s="19">
        <v>46.485999999999997</v>
      </c>
      <c r="G156" s="19">
        <v>23.507000000000001</v>
      </c>
      <c r="I156" s="10">
        <v>38525</v>
      </c>
      <c r="J156" s="27">
        <f t="shared" si="23"/>
        <v>155.23489932885909</v>
      </c>
      <c r="K156" s="11">
        <f t="shared" si="26"/>
        <v>117.2958027613805</v>
      </c>
      <c r="L156" s="11">
        <f t="shared" si="27"/>
        <v>125.78341704348969</v>
      </c>
      <c r="M156" s="27">
        <f t="shared" si="22"/>
        <v>116.11111111111111</v>
      </c>
      <c r="N156" s="27">
        <f t="shared" si="24"/>
        <v>207.89803220035776</v>
      </c>
      <c r="O156" s="27">
        <f t="shared" si="25"/>
        <v>166.71631205673759</v>
      </c>
      <c r="Q156" s="4">
        <v>1.49</v>
      </c>
      <c r="R156" s="4">
        <v>1815.8525733157076</v>
      </c>
      <c r="S156" s="4">
        <v>2338.2847000963566</v>
      </c>
      <c r="T156" s="4">
        <v>180</v>
      </c>
      <c r="U156" s="4">
        <v>22.36</v>
      </c>
      <c r="V156" s="4">
        <v>14.1</v>
      </c>
      <c r="W156" s="4"/>
      <c r="X156" s="7">
        <v>38525</v>
      </c>
      <c r="Y156" s="68">
        <v>2211.9188528338445</v>
      </c>
      <c r="Z156" s="68">
        <v>2941.1743959863124</v>
      </c>
    </row>
    <row r="157" spans="1:26" x14ac:dyDescent="0.3">
      <c r="A157" s="7">
        <v>38532</v>
      </c>
      <c r="B157" s="19">
        <v>2.3359999999999999</v>
      </c>
      <c r="C157" s="2">
        <v>42</v>
      </c>
      <c r="E157" s="2">
        <v>235</v>
      </c>
      <c r="F157" s="19">
        <v>46.261000000000003</v>
      </c>
      <c r="G157" s="19">
        <v>23.629000000000001</v>
      </c>
      <c r="I157" s="10">
        <v>38532</v>
      </c>
      <c r="J157" s="27">
        <f t="shared" si="23"/>
        <v>156.77852348993287</v>
      </c>
      <c r="K157" s="11">
        <f t="shared" si="26"/>
        <v>123.96151138246717</v>
      </c>
      <c r="L157" s="11">
        <f t="shared" si="27"/>
        <v>125.86806621626813</v>
      </c>
      <c r="M157" s="27">
        <f t="shared" si="22"/>
        <v>130.55555555555557</v>
      </c>
      <c r="N157" s="27">
        <f t="shared" si="24"/>
        <v>206.89177101967803</v>
      </c>
      <c r="O157" s="27">
        <f t="shared" si="25"/>
        <v>167.58156028368796</v>
      </c>
      <c r="Q157" s="4">
        <v>1.49</v>
      </c>
      <c r="R157" s="4">
        <v>1815.8525733157076</v>
      </c>
      <c r="S157" s="4">
        <v>2338.2847000963566</v>
      </c>
      <c r="T157" s="4">
        <v>180</v>
      </c>
      <c r="U157" s="4">
        <v>22.36</v>
      </c>
      <c r="V157" s="4">
        <v>14.1</v>
      </c>
      <c r="W157" s="4"/>
      <c r="X157" s="7">
        <v>38532</v>
      </c>
      <c r="Y157" s="68">
        <v>2208.9582943595738</v>
      </c>
      <c r="Z157" s="68">
        <v>2943.1537346421487</v>
      </c>
    </row>
    <row r="158" spans="1:26" x14ac:dyDescent="0.3">
      <c r="A158" s="7">
        <v>38539</v>
      </c>
      <c r="B158" s="19">
        <v>2.3479999999999999</v>
      </c>
      <c r="C158" s="2">
        <v>122.5</v>
      </c>
      <c r="E158" s="2">
        <v>248</v>
      </c>
      <c r="F158" s="19">
        <v>43.435000000000002</v>
      </c>
      <c r="G158" s="19">
        <v>21.8</v>
      </c>
      <c r="I158" s="10">
        <v>38539</v>
      </c>
      <c r="J158" s="27">
        <f t="shared" si="23"/>
        <v>157.58389261744966</v>
      </c>
      <c r="K158" s="11">
        <f t="shared" si="26"/>
        <v>125.5904806128185</v>
      </c>
      <c r="L158" s="11">
        <f t="shared" si="27"/>
        <v>125.27967339593968</v>
      </c>
      <c r="M158" s="27">
        <f t="shared" si="22"/>
        <v>137.77777777777777</v>
      </c>
      <c r="N158" s="27">
        <f t="shared" si="24"/>
        <v>194.25313059033991</v>
      </c>
      <c r="O158" s="27">
        <f t="shared" si="25"/>
        <v>154.6099290780142</v>
      </c>
      <c r="Q158" s="4">
        <v>1.49</v>
      </c>
      <c r="R158" s="4">
        <v>1815.8525733157076</v>
      </c>
      <c r="S158" s="4">
        <v>2338.2847000963566</v>
      </c>
      <c r="T158" s="4">
        <v>180</v>
      </c>
      <c r="U158" s="4">
        <v>22.36</v>
      </c>
      <c r="V158" s="4">
        <v>14.1</v>
      </c>
      <c r="W158" s="4"/>
      <c r="X158" s="7">
        <v>38539</v>
      </c>
      <c r="Y158" s="68">
        <v>2158.0379740474295</v>
      </c>
      <c r="Z158" s="68">
        <v>2929.3954353479435</v>
      </c>
    </row>
    <row r="159" spans="1:26" x14ac:dyDescent="0.3">
      <c r="A159" s="7">
        <v>38546</v>
      </c>
      <c r="B159" s="19">
        <v>2.4079999999999999</v>
      </c>
      <c r="C159" s="2">
        <v>136</v>
      </c>
      <c r="E159" s="2">
        <v>258</v>
      </c>
      <c r="F159" s="19">
        <v>39.656999999999996</v>
      </c>
      <c r="G159" s="19">
        <v>21.614000000000001</v>
      </c>
      <c r="I159" s="10">
        <v>38546</v>
      </c>
      <c r="J159" s="27">
        <f t="shared" si="23"/>
        <v>161.61073825503354</v>
      </c>
      <c r="K159" s="11">
        <f t="shared" si="26"/>
        <v>126.33393303832842</v>
      </c>
      <c r="L159" s="11">
        <f t="shared" si="27"/>
        <v>125.27967339593968</v>
      </c>
      <c r="M159" s="27">
        <f t="shared" si="22"/>
        <v>143.33333333333334</v>
      </c>
      <c r="N159" s="27">
        <f t="shared" si="24"/>
        <v>177.35688729874775</v>
      </c>
      <c r="O159" s="27">
        <f t="shared" si="25"/>
        <v>153.29078014184398</v>
      </c>
      <c r="Q159" s="4">
        <v>1.49</v>
      </c>
      <c r="R159" s="4">
        <v>1815.8525733157076</v>
      </c>
      <c r="S159" s="4">
        <v>2338.2847000963566</v>
      </c>
      <c r="T159" s="4">
        <v>180</v>
      </c>
      <c r="U159" s="4">
        <v>22.36</v>
      </c>
      <c r="V159" s="4">
        <v>14.1</v>
      </c>
      <c r="W159" s="4"/>
      <c r="X159" s="7">
        <v>38546</v>
      </c>
      <c r="Y159" s="68">
        <v>2158.0379740474295</v>
      </c>
      <c r="Z159" s="68">
        <v>2929.3954353479435</v>
      </c>
    </row>
    <row r="160" spans="1:26" x14ac:dyDescent="0.3">
      <c r="A160" s="7">
        <v>38553</v>
      </c>
      <c r="B160" s="19">
        <v>2.3919999999999999</v>
      </c>
      <c r="C160" s="2">
        <v>199</v>
      </c>
      <c r="E160" s="2">
        <v>311</v>
      </c>
      <c r="F160" s="19">
        <v>36.954000000000001</v>
      </c>
      <c r="G160" s="19">
        <v>20.992999999999999</v>
      </c>
      <c r="I160" s="10">
        <v>38553</v>
      </c>
      <c r="J160" s="27">
        <f t="shared" si="23"/>
        <v>160.53691275167785</v>
      </c>
      <c r="K160" s="11">
        <f t="shared" si="26"/>
        <v>129.80337769070806</v>
      </c>
      <c r="L160" s="11">
        <f t="shared" si="27"/>
        <v>125.27967339593968</v>
      </c>
      <c r="M160" s="27">
        <f t="shared" si="22"/>
        <v>172.77777777777777</v>
      </c>
      <c r="N160" s="27">
        <f t="shared" si="24"/>
        <v>165.26833631484794</v>
      </c>
      <c r="O160" s="27">
        <f t="shared" si="25"/>
        <v>148.88652482269501</v>
      </c>
      <c r="Q160" s="4">
        <v>1.49</v>
      </c>
      <c r="R160" s="4">
        <v>1815.8525733157076</v>
      </c>
      <c r="S160" s="4">
        <v>2338.2847000963566</v>
      </c>
      <c r="T160" s="4">
        <v>180</v>
      </c>
      <c r="U160" s="4">
        <v>22.36</v>
      </c>
      <c r="V160" s="4">
        <v>14.1</v>
      </c>
      <c r="W160" s="4"/>
      <c r="X160" s="7">
        <v>38553</v>
      </c>
      <c r="Y160" s="68">
        <v>2158.0379740474295</v>
      </c>
      <c r="Z160" s="68">
        <v>2929.3954353479435</v>
      </c>
    </row>
    <row r="161" spans="1:26" x14ac:dyDescent="0.3">
      <c r="A161" s="7">
        <v>38560</v>
      </c>
      <c r="B161" s="19">
        <v>2.3420000000000001</v>
      </c>
      <c r="C161" s="2">
        <v>253</v>
      </c>
      <c r="E161" s="2">
        <v>276</v>
      </c>
      <c r="F161" s="19">
        <v>34.823</v>
      </c>
      <c r="G161" s="19">
        <v>19.286999999999999</v>
      </c>
      <c r="I161" s="10">
        <v>38560</v>
      </c>
      <c r="J161" s="27">
        <f t="shared" si="23"/>
        <v>157.18120805369128</v>
      </c>
      <c r="K161" s="11">
        <f t="shared" si="26"/>
        <v>132.87204137790073</v>
      </c>
      <c r="L161" s="11">
        <f t="shared" si="27"/>
        <v>125.15932532315806</v>
      </c>
      <c r="M161" s="27">
        <f t="shared" si="22"/>
        <v>153.33333333333331</v>
      </c>
      <c r="N161" s="27">
        <f t="shared" si="24"/>
        <v>155.73792486583184</v>
      </c>
      <c r="O161" s="27">
        <f t="shared" si="25"/>
        <v>136.78723404255319</v>
      </c>
      <c r="Q161" s="4">
        <v>1.49</v>
      </c>
      <c r="R161" s="4">
        <v>1815.8525733157076</v>
      </c>
      <c r="S161" s="4">
        <v>2338.2847000963566</v>
      </c>
      <c r="T161" s="4">
        <v>180</v>
      </c>
      <c r="U161" s="4">
        <v>22.36</v>
      </c>
      <c r="V161" s="4">
        <v>14.1</v>
      </c>
      <c r="W161" s="4"/>
      <c r="X161" s="7">
        <v>38560</v>
      </c>
      <c r="Y161" s="68">
        <v>2159.7603825777223</v>
      </c>
      <c r="Z161" s="68">
        <v>2926.5813547752296</v>
      </c>
    </row>
    <row r="162" spans="1:26" x14ac:dyDescent="0.3">
      <c r="A162" s="7">
        <v>38567</v>
      </c>
      <c r="B162" s="19">
        <v>2.3479999999999999</v>
      </c>
      <c r="C162" s="2">
        <v>276.5</v>
      </c>
      <c r="E162" s="2">
        <v>253</v>
      </c>
      <c r="F162" s="19">
        <v>32.942999999999998</v>
      </c>
      <c r="G162" s="19">
        <v>18.257000000000001</v>
      </c>
      <c r="I162" s="10">
        <v>38567</v>
      </c>
      <c r="J162" s="27">
        <f t="shared" si="23"/>
        <v>157.58389261744966</v>
      </c>
      <c r="K162" s="11">
        <f t="shared" si="26"/>
        <v>136.75850533526409</v>
      </c>
      <c r="L162" s="11">
        <f t="shared" si="27"/>
        <v>125.72691478359393</v>
      </c>
      <c r="M162" s="27">
        <f t="shared" si="22"/>
        <v>140.55555555555554</v>
      </c>
      <c r="N162" s="27">
        <f t="shared" si="24"/>
        <v>147.33005366726294</v>
      </c>
      <c r="O162" s="27">
        <f t="shared" si="25"/>
        <v>129.48226950354612</v>
      </c>
      <c r="Q162" s="4">
        <v>1.49</v>
      </c>
      <c r="R162" s="4">
        <v>1815.8525733157076</v>
      </c>
      <c r="S162" s="4">
        <v>2338.2847000963566</v>
      </c>
      <c r="T162" s="4">
        <v>180</v>
      </c>
      <c r="U162" s="4">
        <v>22.36</v>
      </c>
      <c r="V162" s="4">
        <v>14.1</v>
      </c>
      <c r="W162" s="4"/>
      <c r="X162" s="7">
        <v>38567</v>
      </c>
      <c r="Y162" s="68">
        <v>2206.8328383584926</v>
      </c>
      <c r="Z162" s="68">
        <v>2939.853212287961</v>
      </c>
    </row>
    <row r="163" spans="1:26" x14ac:dyDescent="0.3">
      <c r="A163" s="7">
        <v>38574</v>
      </c>
      <c r="B163" s="19">
        <v>2.407</v>
      </c>
      <c r="C163" s="2">
        <v>324</v>
      </c>
      <c r="E163" s="2">
        <v>273</v>
      </c>
      <c r="F163" s="19">
        <v>34.557000000000002</v>
      </c>
      <c r="G163" s="19">
        <v>19.460999999999999</v>
      </c>
      <c r="I163" s="10">
        <v>38574</v>
      </c>
      <c r="J163" s="27">
        <f t="shared" si="23"/>
        <v>161.54362416107384</v>
      </c>
      <c r="K163" s="11">
        <f t="shared" si="26"/>
        <v>139.3743564620583</v>
      </c>
      <c r="L163" s="11">
        <f t="shared" si="27"/>
        <v>125.72691478359393</v>
      </c>
      <c r="M163" s="27">
        <f t="shared" si="22"/>
        <v>151.66666666666666</v>
      </c>
      <c r="N163" s="27">
        <f t="shared" si="24"/>
        <v>154.54830053667266</v>
      </c>
      <c r="O163" s="27">
        <f t="shared" si="25"/>
        <v>138.02127659574467</v>
      </c>
      <c r="Q163" s="4">
        <v>1.49</v>
      </c>
      <c r="R163" s="4">
        <v>1815.8525733157076</v>
      </c>
      <c r="S163" s="4">
        <v>2338.2847000963566</v>
      </c>
      <c r="T163" s="4">
        <v>180</v>
      </c>
      <c r="U163" s="4">
        <v>22.36</v>
      </c>
      <c r="V163" s="4">
        <v>14.1</v>
      </c>
      <c r="W163" s="4"/>
      <c r="X163" s="7">
        <v>38574</v>
      </c>
      <c r="Y163" s="68">
        <v>2206.8328383584926</v>
      </c>
      <c r="Z163" s="68">
        <v>2939.853212287961</v>
      </c>
    </row>
    <row r="164" spans="1:26" x14ac:dyDescent="0.3">
      <c r="A164" s="7">
        <v>38581</v>
      </c>
      <c r="B164" s="19">
        <v>2.5670000000000002</v>
      </c>
      <c r="C164" s="2">
        <v>359.5</v>
      </c>
      <c r="E164" s="2">
        <v>317</v>
      </c>
      <c r="F164" s="19">
        <v>37.49</v>
      </c>
      <c r="G164" s="19">
        <v>23.073</v>
      </c>
      <c r="I164" s="10">
        <v>38581</v>
      </c>
      <c r="J164" s="27">
        <f t="shared" si="23"/>
        <v>172.28187919463087</v>
      </c>
      <c r="K164" s="11">
        <f t="shared" si="26"/>
        <v>141.3293609883992</v>
      </c>
      <c r="L164" s="11">
        <f t="shared" si="27"/>
        <v>125.72691478359393</v>
      </c>
      <c r="M164" s="27">
        <f t="shared" si="22"/>
        <v>176.11111111111111</v>
      </c>
      <c r="N164" s="27">
        <f t="shared" ref="N164:N195" si="28">(1+(F164-U164)/U164)*100</f>
        <v>167.6654740608229</v>
      </c>
      <c r="O164" s="27">
        <f t="shared" ref="O164:O195" si="29">(1+(G164-V164)/V164)*100</f>
        <v>163.63829787234044</v>
      </c>
      <c r="Q164" s="4">
        <v>1.49</v>
      </c>
      <c r="R164" s="4">
        <v>1815.8525733157076</v>
      </c>
      <c r="S164" s="4">
        <v>2338.2847000963566</v>
      </c>
      <c r="T164" s="4">
        <v>180</v>
      </c>
      <c r="U164" s="4">
        <v>22.36</v>
      </c>
      <c r="V164" s="4">
        <v>14.1</v>
      </c>
      <c r="W164" s="4"/>
      <c r="X164" s="7">
        <v>38581</v>
      </c>
      <c r="Y164" s="68">
        <v>2206.8328383584926</v>
      </c>
      <c r="Z164" s="68">
        <v>2939.853212287961</v>
      </c>
    </row>
    <row r="165" spans="1:26" x14ac:dyDescent="0.3">
      <c r="A165" s="7">
        <v>38588</v>
      </c>
      <c r="B165" s="19">
        <v>2.5880000000000001</v>
      </c>
      <c r="C165" s="2">
        <v>400</v>
      </c>
      <c r="E165" s="2">
        <v>328</v>
      </c>
      <c r="F165" s="19">
        <v>38.917000000000002</v>
      </c>
      <c r="G165" s="19">
        <v>25.106999999999999</v>
      </c>
      <c r="I165" s="10">
        <v>38588</v>
      </c>
      <c r="J165" s="27">
        <f t="shared" si="23"/>
        <v>173.69127516778525</v>
      </c>
      <c r="K165" s="11">
        <f t="shared" si="26"/>
        <v>143.55971826492896</v>
      </c>
      <c r="L165" s="11">
        <f t="shared" si="27"/>
        <v>125.72691478359393</v>
      </c>
      <c r="M165" s="27">
        <f t="shared" si="22"/>
        <v>182.22222222222223</v>
      </c>
      <c r="N165" s="27">
        <f t="shared" si="28"/>
        <v>174.04740608228983</v>
      </c>
      <c r="O165" s="27">
        <f t="shared" si="29"/>
        <v>178.06382978723403</v>
      </c>
      <c r="Q165" s="4">
        <v>1.49</v>
      </c>
      <c r="R165" s="4">
        <v>1815.8525733157076</v>
      </c>
      <c r="S165" s="4">
        <v>2338.2847000963566</v>
      </c>
      <c r="T165" s="4">
        <v>180</v>
      </c>
      <c r="U165" s="4">
        <v>22.36</v>
      </c>
      <c r="V165" s="4">
        <v>14.1</v>
      </c>
      <c r="W165" s="4"/>
      <c r="X165" s="7">
        <v>38588</v>
      </c>
      <c r="Y165" s="68">
        <v>2206.8328383584926</v>
      </c>
      <c r="Z165" s="68">
        <v>2939.853212287961</v>
      </c>
    </row>
    <row r="166" spans="1:26" x14ac:dyDescent="0.3">
      <c r="A166" s="7">
        <v>38595</v>
      </c>
      <c r="B166" s="19">
        <v>2.59</v>
      </c>
      <c r="C166" s="2">
        <v>526</v>
      </c>
      <c r="E166" s="2">
        <v>500</v>
      </c>
      <c r="F166" s="19">
        <v>37.377000000000002</v>
      </c>
      <c r="G166" s="19">
        <v>22.847000000000001</v>
      </c>
      <c r="I166" s="10">
        <v>38595</v>
      </c>
      <c r="J166" s="27">
        <f t="shared" si="23"/>
        <v>173.82550335570471</v>
      </c>
      <c r="K166" s="11">
        <f t="shared" si="26"/>
        <v>150.53848903261488</v>
      </c>
      <c r="L166" s="11">
        <f t="shared" si="27"/>
        <v>126.08447763986544</v>
      </c>
      <c r="M166" s="27">
        <f t="shared" si="22"/>
        <v>277.77777777777777</v>
      </c>
      <c r="N166" s="27">
        <f t="shared" si="28"/>
        <v>167.16010733452595</v>
      </c>
      <c r="O166" s="27">
        <f t="shared" si="29"/>
        <v>162.03546099290782</v>
      </c>
      <c r="Q166" s="4">
        <v>1.49</v>
      </c>
      <c r="R166" s="4">
        <v>1815.8525733157076</v>
      </c>
      <c r="S166" s="4">
        <v>2338.2847000963566</v>
      </c>
      <c r="T166" s="4">
        <v>180</v>
      </c>
      <c r="U166" s="4">
        <v>22.36</v>
      </c>
      <c r="V166" s="4">
        <v>14.1</v>
      </c>
      <c r="W166" s="4"/>
      <c r="X166" s="7">
        <v>38595</v>
      </c>
      <c r="Y166" s="68">
        <v>2207.5570269293212</v>
      </c>
      <c r="Z166" s="68">
        <v>2948.2140498493854</v>
      </c>
    </row>
    <row r="167" spans="1:26" x14ac:dyDescent="0.3">
      <c r="A167" s="7">
        <v>38602</v>
      </c>
      <c r="B167" s="19">
        <v>2.8980000000000001</v>
      </c>
      <c r="C167" s="2">
        <v>600</v>
      </c>
      <c r="E167" s="2">
        <v>560</v>
      </c>
      <c r="F167" s="19">
        <v>36.113999999999997</v>
      </c>
      <c r="G167" s="19">
        <v>21.693000000000001</v>
      </c>
      <c r="I167" s="10">
        <v>38602</v>
      </c>
      <c r="J167" s="27">
        <f t="shared" si="23"/>
        <v>194.49664429530202</v>
      </c>
      <c r="K167" s="11">
        <f t="shared" si="26"/>
        <v>155.99555299862143</v>
      </c>
      <c r="L167" s="11">
        <f t="shared" si="27"/>
        <v>130.12324589074359</v>
      </c>
      <c r="M167" s="27">
        <f t="shared" si="22"/>
        <v>311.11111111111114</v>
      </c>
      <c r="N167" s="27">
        <f t="shared" si="28"/>
        <v>161.51162790697674</v>
      </c>
      <c r="O167" s="27">
        <f t="shared" si="29"/>
        <v>153.85106382978725</v>
      </c>
      <c r="Q167" s="4">
        <v>1.49</v>
      </c>
      <c r="R167" s="4">
        <v>1815.8525733157076</v>
      </c>
      <c r="S167" s="4">
        <v>2338.2847000963566</v>
      </c>
      <c r="T167" s="4">
        <v>180</v>
      </c>
      <c r="U167" s="4">
        <v>22.36</v>
      </c>
      <c r="V167" s="4">
        <v>14.1</v>
      </c>
      <c r="W167" s="4"/>
      <c r="X167" s="7">
        <v>38602</v>
      </c>
      <c r="Y167" s="68">
        <v>2232.649263383536</v>
      </c>
      <c r="Z167" s="68">
        <v>3042.6519499320179</v>
      </c>
    </row>
    <row r="168" spans="1:26" x14ac:dyDescent="0.3">
      <c r="A168" s="7">
        <v>38609</v>
      </c>
      <c r="B168" s="19">
        <v>2.847</v>
      </c>
      <c r="C168" s="2">
        <v>723.5</v>
      </c>
      <c r="E168" s="2">
        <v>670</v>
      </c>
      <c r="F168" s="19">
        <v>39.253</v>
      </c>
      <c r="G168" s="19">
        <v>24.356999999999999</v>
      </c>
      <c r="I168" s="10">
        <v>38609</v>
      </c>
      <c r="J168" s="27">
        <f t="shared" si="23"/>
        <v>191.07382550335569</v>
      </c>
      <c r="K168" s="11">
        <f t="shared" si="26"/>
        <v>162.79676592828631</v>
      </c>
      <c r="L168" s="11">
        <f t="shared" si="27"/>
        <v>130.12324589074359</v>
      </c>
      <c r="M168" s="27">
        <f t="shared" si="22"/>
        <v>372.22222222222223</v>
      </c>
      <c r="N168" s="27">
        <f t="shared" si="28"/>
        <v>175.55008944543829</v>
      </c>
      <c r="O168" s="27">
        <f t="shared" si="29"/>
        <v>172.74468085106383</v>
      </c>
      <c r="Q168" s="4">
        <v>1.49</v>
      </c>
      <c r="R168" s="4">
        <v>1815.8525733157076</v>
      </c>
      <c r="S168" s="4">
        <v>2338.2847000963566</v>
      </c>
      <c r="T168" s="4">
        <v>180</v>
      </c>
      <c r="U168" s="4">
        <v>22.36</v>
      </c>
      <c r="V168" s="4">
        <v>14.1</v>
      </c>
      <c r="W168" s="4"/>
      <c r="X168" s="7">
        <v>38609</v>
      </c>
      <c r="Y168" s="68">
        <v>2232.649263383536</v>
      </c>
      <c r="Z168" s="68">
        <v>3042.6519499320179</v>
      </c>
    </row>
    <row r="169" spans="1:26" x14ac:dyDescent="0.3">
      <c r="A169" s="7">
        <v>38616</v>
      </c>
      <c r="B169" s="19">
        <v>2.7320000000000002</v>
      </c>
      <c r="C169" s="2">
        <v>913</v>
      </c>
      <c r="E169" s="2">
        <v>587</v>
      </c>
      <c r="F169" s="19">
        <v>42.287999999999997</v>
      </c>
      <c r="G169" s="19">
        <v>26.553000000000001</v>
      </c>
      <c r="I169" s="10">
        <v>38616</v>
      </c>
      <c r="J169" s="27">
        <f t="shared" si="23"/>
        <v>183.3557046979866</v>
      </c>
      <c r="K169" s="11">
        <f t="shared" si="26"/>
        <v>173.23263516044415</v>
      </c>
      <c r="L169" s="11">
        <f t="shared" si="27"/>
        <v>130.12324589074359</v>
      </c>
      <c r="M169" s="27">
        <f t="shared" si="22"/>
        <v>326.11111111111109</v>
      </c>
      <c r="N169" s="27">
        <f t="shared" si="28"/>
        <v>189.12343470483003</v>
      </c>
      <c r="O169" s="27">
        <f t="shared" si="29"/>
        <v>188.31914893617022</v>
      </c>
      <c r="Q169" s="4">
        <v>1.49</v>
      </c>
      <c r="R169" s="4">
        <v>1815.8525733157076</v>
      </c>
      <c r="S169" s="4">
        <v>2338.2847000963566</v>
      </c>
      <c r="T169" s="4">
        <v>180</v>
      </c>
      <c r="U169" s="4">
        <v>22.36</v>
      </c>
      <c r="V169" s="4">
        <v>14.1</v>
      </c>
      <c r="W169" s="4"/>
      <c r="X169" s="7">
        <v>38616</v>
      </c>
      <c r="Y169" s="68">
        <v>2232.649263383536</v>
      </c>
      <c r="Z169" s="68">
        <v>3042.6519499320179</v>
      </c>
    </row>
    <row r="170" spans="1:26" x14ac:dyDescent="0.3">
      <c r="A170" s="7">
        <v>38623</v>
      </c>
      <c r="B170" s="19">
        <v>2.798</v>
      </c>
      <c r="C170" s="2">
        <v>792</v>
      </c>
      <c r="E170" s="2">
        <v>633</v>
      </c>
      <c r="F170" s="19">
        <v>43.954000000000001</v>
      </c>
      <c r="G170" s="19">
        <v>25.593</v>
      </c>
      <c r="I170" s="10">
        <v>38623</v>
      </c>
      <c r="J170" s="27">
        <f t="shared" si="23"/>
        <v>187.78523489932888</v>
      </c>
      <c r="K170" s="11">
        <f t="shared" si="26"/>
        <v>166.90797282711293</v>
      </c>
      <c r="L170" s="11">
        <f t="shared" si="27"/>
        <v>130.39437388991624</v>
      </c>
      <c r="M170" s="27">
        <f t="shared" si="22"/>
        <v>351.66666666666669</v>
      </c>
      <c r="N170" s="27">
        <f t="shared" si="28"/>
        <v>196.5742397137746</v>
      </c>
      <c r="O170" s="27">
        <f t="shared" si="29"/>
        <v>181.51063829787236</v>
      </c>
      <c r="Q170" s="4">
        <v>1.49</v>
      </c>
      <c r="R170" s="4">
        <v>1815.8525733157076</v>
      </c>
      <c r="S170" s="4">
        <v>2338.2847000963566</v>
      </c>
      <c r="T170" s="4">
        <v>180</v>
      </c>
      <c r="U170" s="4">
        <v>22.36</v>
      </c>
      <c r="V170" s="4">
        <v>14.1</v>
      </c>
      <c r="W170" s="4"/>
      <c r="X170" s="7">
        <v>38623</v>
      </c>
      <c r="Y170" s="68">
        <v>2238.8027196502117</v>
      </c>
      <c r="Z170" s="68">
        <v>3048.9916944543497</v>
      </c>
    </row>
    <row r="171" spans="1:26" x14ac:dyDescent="0.3">
      <c r="A171" s="7">
        <v>38630</v>
      </c>
      <c r="B171" s="19">
        <v>3.1440000000000001</v>
      </c>
      <c r="C171" s="2">
        <v>806</v>
      </c>
      <c r="E171" s="2">
        <v>708</v>
      </c>
      <c r="F171" s="19">
        <v>44.567</v>
      </c>
      <c r="G171" s="19">
        <v>25.06</v>
      </c>
      <c r="I171" s="10">
        <v>38630</v>
      </c>
      <c r="J171" s="27">
        <f t="shared" si="23"/>
        <v>211.00671140939599</v>
      </c>
      <c r="K171" s="11">
        <f t="shared" si="26"/>
        <v>172.03105738559162</v>
      </c>
      <c r="L171" s="11">
        <f t="shared" si="27"/>
        <v>134.42801810346799</v>
      </c>
      <c r="M171" s="27">
        <f t="shared" si="22"/>
        <v>393.33333333333331</v>
      </c>
      <c r="N171" s="27">
        <f t="shared" si="28"/>
        <v>199.31574239713777</v>
      </c>
      <c r="O171" s="27">
        <f t="shared" si="29"/>
        <v>177.73049645390068</v>
      </c>
      <c r="Q171" s="4">
        <v>1.49</v>
      </c>
      <c r="R171" s="4">
        <v>1815.8525733157076</v>
      </c>
      <c r="S171" s="4">
        <v>2338.2847000963566</v>
      </c>
      <c r="T171" s="4">
        <v>180</v>
      </c>
      <c r="U171" s="4">
        <v>22.36</v>
      </c>
      <c r="V171" s="4">
        <v>14.1</v>
      </c>
      <c r="W171" s="4"/>
      <c r="X171" s="7">
        <v>38630</v>
      </c>
      <c r="Y171" s="68">
        <v>2317.830382438487</v>
      </c>
      <c r="Z171" s="68">
        <v>3143.3097799561524</v>
      </c>
    </row>
    <row r="172" spans="1:26" x14ac:dyDescent="0.3">
      <c r="A172" s="7">
        <v>38637</v>
      </c>
      <c r="B172" s="19">
        <v>3.15</v>
      </c>
      <c r="C172" s="2">
        <v>608.5</v>
      </c>
      <c r="E172" s="2">
        <v>840</v>
      </c>
      <c r="F172" s="19">
        <v>46.73</v>
      </c>
      <c r="G172" s="19">
        <v>26.062999999999999</v>
      </c>
      <c r="I172" s="10">
        <v>38637</v>
      </c>
      <c r="J172" s="27">
        <f t="shared" si="23"/>
        <v>211.40939597315435</v>
      </c>
      <c r="K172" s="11">
        <f t="shared" si="26"/>
        <v>161.15462375313163</v>
      </c>
      <c r="L172" s="11">
        <f t="shared" si="27"/>
        <v>134.42801810346799</v>
      </c>
      <c r="M172" s="27">
        <f t="shared" si="22"/>
        <v>466.66666666666663</v>
      </c>
      <c r="N172" s="27">
        <f t="shared" si="28"/>
        <v>208.98926654740606</v>
      </c>
      <c r="O172" s="27">
        <f t="shared" si="29"/>
        <v>184.84397163120568</v>
      </c>
      <c r="Q172" s="4">
        <v>1.49</v>
      </c>
      <c r="R172" s="4">
        <v>1815.8525733157076</v>
      </c>
      <c r="S172" s="4">
        <v>2338.2847000963566</v>
      </c>
      <c r="T172" s="4">
        <v>180</v>
      </c>
      <c r="U172" s="4">
        <v>22.36</v>
      </c>
      <c r="V172" s="4">
        <v>14.1</v>
      </c>
      <c r="W172" s="4"/>
      <c r="X172" s="7">
        <v>38637</v>
      </c>
      <c r="Y172" s="68">
        <v>2317.830382438487</v>
      </c>
      <c r="Z172" s="68">
        <v>3143.3097799561524</v>
      </c>
    </row>
    <row r="173" spans="1:26" x14ac:dyDescent="0.3">
      <c r="A173" s="7">
        <v>38644</v>
      </c>
      <c r="B173" s="19">
        <v>3.1480000000000001</v>
      </c>
      <c r="C173" s="2">
        <v>961.5</v>
      </c>
      <c r="E173" s="2">
        <v>654</v>
      </c>
      <c r="F173" s="19">
        <v>46.93</v>
      </c>
      <c r="G173" s="19">
        <v>25.393000000000001</v>
      </c>
      <c r="I173" s="10">
        <v>38644</v>
      </c>
      <c r="J173" s="27">
        <f t="shared" si="23"/>
        <v>211.27516778523491</v>
      </c>
      <c r="K173" s="11">
        <f t="shared" si="26"/>
        <v>180.59452791646521</v>
      </c>
      <c r="L173" s="11">
        <f t="shared" si="27"/>
        <v>134.42801810346799</v>
      </c>
      <c r="M173" s="27">
        <f t="shared" si="22"/>
        <v>363.33333333333331</v>
      </c>
      <c r="N173" s="27">
        <f t="shared" si="28"/>
        <v>209.88372093023253</v>
      </c>
      <c r="O173" s="27">
        <f t="shared" si="29"/>
        <v>180.0921985815603</v>
      </c>
      <c r="Q173" s="4">
        <v>1.49</v>
      </c>
      <c r="R173" s="4">
        <v>1815.8525733157076</v>
      </c>
      <c r="S173" s="4">
        <v>2338.2847000963566</v>
      </c>
      <c r="T173" s="4">
        <v>180</v>
      </c>
      <c r="U173" s="4">
        <v>22.36</v>
      </c>
      <c r="V173" s="4">
        <v>14.1</v>
      </c>
      <c r="W173" s="4"/>
      <c r="X173" s="7">
        <v>38644</v>
      </c>
      <c r="Y173" s="68">
        <v>2317.830382438487</v>
      </c>
      <c r="Z173" s="68">
        <v>3143.3097799561524</v>
      </c>
    </row>
    <row r="174" spans="1:26" x14ac:dyDescent="0.3">
      <c r="A174" s="7">
        <v>38651</v>
      </c>
      <c r="B174" s="19">
        <v>3.157</v>
      </c>
      <c r="C174" s="2">
        <v>581.5</v>
      </c>
      <c r="E174" s="2">
        <v>586</v>
      </c>
      <c r="F174" s="19">
        <v>46.643000000000001</v>
      </c>
      <c r="G174" s="19">
        <v>24.356999999999999</v>
      </c>
      <c r="I174" s="10">
        <v>38651</v>
      </c>
      <c r="J174" s="27">
        <f t="shared" si="23"/>
        <v>211.87919463087246</v>
      </c>
      <c r="K174" s="11">
        <f t="shared" si="26"/>
        <v>160.62664296456782</v>
      </c>
      <c r="L174" s="11">
        <f t="shared" si="27"/>
        <v>134.84901390842504</v>
      </c>
      <c r="M174" s="27">
        <f t="shared" si="22"/>
        <v>325.55555555555554</v>
      </c>
      <c r="N174" s="27">
        <f t="shared" si="28"/>
        <v>208.60017889087655</v>
      </c>
      <c r="O174" s="27">
        <f t="shared" si="29"/>
        <v>172.74468085106383</v>
      </c>
      <c r="Q174" s="4">
        <v>1.49</v>
      </c>
      <c r="R174" s="4">
        <v>1815.8525733157076</v>
      </c>
      <c r="S174" s="4">
        <v>2338.2847000963566</v>
      </c>
      <c r="T174" s="4">
        <v>180</v>
      </c>
      <c r="U174" s="4">
        <v>22.36</v>
      </c>
      <c r="V174" s="4">
        <v>14.1</v>
      </c>
      <c r="W174" s="4"/>
      <c r="X174" s="7">
        <v>38651</v>
      </c>
      <c r="Y174" s="68">
        <v>2335.243029702739</v>
      </c>
      <c r="Z174" s="68">
        <v>3153.1538604515104</v>
      </c>
    </row>
    <row r="175" spans="1:26" x14ac:dyDescent="0.3">
      <c r="A175" s="7">
        <v>38658</v>
      </c>
      <c r="B175" s="19">
        <v>2.8759999999999999</v>
      </c>
      <c r="C175" s="2">
        <v>442</v>
      </c>
      <c r="E175" s="2">
        <v>450</v>
      </c>
      <c r="F175" s="19">
        <v>46.326999999999998</v>
      </c>
      <c r="G175" s="19">
        <v>24.65</v>
      </c>
      <c r="I175" s="10">
        <v>38658</v>
      </c>
      <c r="J175" s="27">
        <f t="shared" si="23"/>
        <v>193.02013422818791</v>
      </c>
      <c r="K175" s="11">
        <f t="shared" si="26"/>
        <v>162.60234186870593</v>
      </c>
      <c r="L175" s="11">
        <f t="shared" si="27"/>
        <v>139.90236409038482</v>
      </c>
      <c r="M175" s="27">
        <f t="shared" si="22"/>
        <v>250</v>
      </c>
      <c r="N175" s="27">
        <f t="shared" si="28"/>
        <v>207.18694096601072</v>
      </c>
      <c r="O175" s="27">
        <f t="shared" si="29"/>
        <v>174.82269503546098</v>
      </c>
      <c r="Q175" s="4">
        <v>1.49</v>
      </c>
      <c r="R175" s="4">
        <v>1815.8525733157076</v>
      </c>
      <c r="S175" s="4">
        <v>2338.2847000963566</v>
      </c>
      <c r="T175" s="4">
        <v>180</v>
      </c>
      <c r="U175" s="4">
        <v>22.36</v>
      </c>
      <c r="V175" s="4">
        <v>14.1</v>
      </c>
      <c r="W175" s="4"/>
      <c r="X175" s="7">
        <v>38658</v>
      </c>
      <c r="Y175" s="68">
        <v>2510.6188090945006</v>
      </c>
      <c r="Z175" s="68">
        <v>3271.3155745985678</v>
      </c>
    </row>
    <row r="176" spans="1:26" x14ac:dyDescent="0.3">
      <c r="A176" s="7">
        <v>38665</v>
      </c>
      <c r="B176" s="19">
        <v>2.698</v>
      </c>
      <c r="C176" s="2">
        <v>341.5</v>
      </c>
      <c r="E176" s="2">
        <v>359</v>
      </c>
      <c r="F176" s="19">
        <v>45.46</v>
      </c>
      <c r="G176" s="19">
        <v>24.097000000000001</v>
      </c>
      <c r="I176" s="10">
        <v>38665</v>
      </c>
      <c r="J176" s="27">
        <f t="shared" si="23"/>
        <v>181.07382550335572</v>
      </c>
      <c r="K176" s="11">
        <f t="shared" si="26"/>
        <v>157.06775158990982</v>
      </c>
      <c r="L176" s="11">
        <f t="shared" si="27"/>
        <v>139.90236409038482</v>
      </c>
      <c r="M176" s="27">
        <f t="shared" si="22"/>
        <v>199.44444444444446</v>
      </c>
      <c r="N176" s="27">
        <f t="shared" si="28"/>
        <v>203.30948121645798</v>
      </c>
      <c r="O176" s="27">
        <f t="shared" si="29"/>
        <v>170.90070921985819</v>
      </c>
      <c r="Q176" s="4">
        <v>1.49</v>
      </c>
      <c r="R176" s="4">
        <v>1815.8525733157076</v>
      </c>
      <c r="S176" s="4">
        <v>2338.2847000963566</v>
      </c>
      <c r="T176" s="4">
        <v>180</v>
      </c>
      <c r="U176" s="4">
        <v>22.36</v>
      </c>
      <c r="V176" s="4">
        <v>14.1</v>
      </c>
      <c r="W176" s="4"/>
      <c r="X176" s="7">
        <v>38665</v>
      </c>
      <c r="Y176" s="68">
        <v>2510.6188090945006</v>
      </c>
      <c r="Z176" s="68">
        <v>3271.3155745985678</v>
      </c>
    </row>
    <row r="177" spans="1:26" x14ac:dyDescent="0.3">
      <c r="A177" s="7">
        <v>38672</v>
      </c>
      <c r="B177" s="19">
        <v>2.6019999999999999</v>
      </c>
      <c r="C177" s="2">
        <v>328</v>
      </c>
      <c r="E177" s="2">
        <v>375</v>
      </c>
      <c r="F177" s="19">
        <v>45.442999999999998</v>
      </c>
      <c r="G177" s="19">
        <v>23.792999999999999</v>
      </c>
      <c r="I177" s="10">
        <v>38672</v>
      </c>
      <c r="J177" s="27">
        <f t="shared" si="23"/>
        <v>174.63087248322148</v>
      </c>
      <c r="K177" s="11">
        <f t="shared" si="26"/>
        <v>156.32429916439989</v>
      </c>
      <c r="L177" s="11">
        <f t="shared" si="27"/>
        <v>139.90236409038482</v>
      </c>
      <c r="M177" s="27">
        <f t="shared" si="22"/>
        <v>208.33333333333331</v>
      </c>
      <c r="N177" s="27">
        <f t="shared" si="28"/>
        <v>203.23345259391772</v>
      </c>
      <c r="O177" s="27">
        <f t="shared" si="29"/>
        <v>168.74468085106383</v>
      </c>
      <c r="Q177" s="4">
        <v>1.49</v>
      </c>
      <c r="R177" s="4">
        <v>1815.8525733157076</v>
      </c>
      <c r="S177" s="4">
        <v>2338.2847000963566</v>
      </c>
      <c r="T177" s="4">
        <v>180</v>
      </c>
      <c r="U177" s="4">
        <v>22.36</v>
      </c>
      <c r="V177" s="4">
        <v>14.1</v>
      </c>
      <c r="W177" s="4"/>
      <c r="X177" s="7">
        <v>38672</v>
      </c>
      <c r="Y177" s="68">
        <v>2510.6188090945006</v>
      </c>
      <c r="Z177" s="68">
        <v>3271.3155745985678</v>
      </c>
    </row>
    <row r="178" spans="1:26" x14ac:dyDescent="0.3">
      <c r="A178" s="7">
        <v>38679</v>
      </c>
      <c r="B178" s="19">
        <v>2.5129999999999999</v>
      </c>
      <c r="C178" s="2">
        <v>229.5</v>
      </c>
      <c r="E178" s="2">
        <v>367</v>
      </c>
      <c r="F178" s="19">
        <v>43.423000000000002</v>
      </c>
      <c r="G178" s="19">
        <v>22.422999999999998</v>
      </c>
      <c r="I178" s="10">
        <v>38679</v>
      </c>
      <c r="J178" s="27">
        <f t="shared" si="23"/>
        <v>168.65771812080536</v>
      </c>
      <c r="K178" s="11">
        <f t="shared" si="26"/>
        <v>150.89984998567934</v>
      </c>
      <c r="L178" s="11">
        <f t="shared" si="27"/>
        <v>139.90236409038482</v>
      </c>
      <c r="M178" s="27">
        <f t="shared" si="22"/>
        <v>203.88888888888889</v>
      </c>
      <c r="N178" s="27">
        <f t="shared" si="28"/>
        <v>194.1994633273703</v>
      </c>
      <c r="O178" s="27">
        <f t="shared" si="29"/>
        <v>159.02836879432621</v>
      </c>
      <c r="Q178" s="4">
        <v>1.49</v>
      </c>
      <c r="R178" s="4">
        <v>1815.8525733157076</v>
      </c>
      <c r="S178" s="4">
        <v>2338.2847000963566</v>
      </c>
      <c r="T178" s="4">
        <v>180</v>
      </c>
      <c r="U178" s="4">
        <v>22.36</v>
      </c>
      <c r="V178" s="4">
        <v>14.1</v>
      </c>
      <c r="W178" s="4"/>
      <c r="X178" s="7">
        <v>38679</v>
      </c>
      <c r="Y178" s="68">
        <v>2510.6188090945006</v>
      </c>
      <c r="Z178" s="68">
        <v>3271.3155745985678</v>
      </c>
    </row>
    <row r="179" spans="1:26" x14ac:dyDescent="0.3">
      <c r="A179" s="7">
        <v>38686</v>
      </c>
      <c r="B179" s="19">
        <v>2.4790000000000001</v>
      </c>
      <c r="C179" s="2">
        <v>175</v>
      </c>
      <c r="E179" s="2">
        <v>365</v>
      </c>
      <c r="F179" s="19">
        <v>42.317</v>
      </c>
      <c r="G179" s="19">
        <v>23.56</v>
      </c>
      <c r="I179" s="10">
        <v>38686</v>
      </c>
      <c r="J179" s="27">
        <f t="shared" si="23"/>
        <v>166.37583892617451</v>
      </c>
      <c r="K179" s="11">
        <f t="shared" si="26"/>
        <v>147.6208347500073</v>
      </c>
      <c r="L179" s="11">
        <f t="shared" si="27"/>
        <v>139.99868575044317</v>
      </c>
      <c r="M179" s="27">
        <f t="shared" si="22"/>
        <v>202.77777777777777</v>
      </c>
      <c r="N179" s="27">
        <f t="shared" si="28"/>
        <v>189.25313059033991</v>
      </c>
      <c r="O179" s="27">
        <f t="shared" si="29"/>
        <v>167.09219858156027</v>
      </c>
      <c r="Q179" s="4">
        <v>1.49</v>
      </c>
      <c r="R179" s="4">
        <v>1815.8525733157076</v>
      </c>
      <c r="S179" s="4">
        <v>2338.2847000963566</v>
      </c>
      <c r="T179" s="4">
        <v>180</v>
      </c>
      <c r="U179" s="4">
        <v>22.36</v>
      </c>
      <c r="V179" s="4">
        <v>14.1</v>
      </c>
      <c r="W179" s="4"/>
      <c r="X179" s="7">
        <v>38686</v>
      </c>
      <c r="Y179" s="68">
        <v>2505.5767265581358</v>
      </c>
      <c r="Z179" s="68">
        <v>3273.5678492385905</v>
      </c>
    </row>
    <row r="180" spans="1:26" x14ac:dyDescent="0.3">
      <c r="A180" s="7">
        <v>38693</v>
      </c>
      <c r="B180" s="19">
        <v>2.1469999999999998</v>
      </c>
      <c r="C180" s="2">
        <v>183.5</v>
      </c>
      <c r="E180" s="2">
        <v>478</v>
      </c>
      <c r="F180" s="19">
        <v>41.13</v>
      </c>
      <c r="G180" s="19">
        <v>25.213000000000001</v>
      </c>
      <c r="I180" s="10">
        <v>38693</v>
      </c>
      <c r="J180" s="27">
        <f t="shared" si="23"/>
        <v>144.09395973154361</v>
      </c>
      <c r="K180" s="11">
        <f t="shared" si="26"/>
        <v>148.05561878242423</v>
      </c>
      <c r="L180" s="11">
        <f t="shared" si="27"/>
        <v>142.20282341254716</v>
      </c>
      <c r="M180" s="27">
        <f t="shared" si="22"/>
        <v>265.55555555555554</v>
      </c>
      <c r="N180" s="27">
        <f t="shared" si="28"/>
        <v>183.94454382826478</v>
      </c>
      <c r="O180" s="27">
        <f t="shared" si="29"/>
        <v>178.81560283687944</v>
      </c>
      <c r="Q180" s="4">
        <v>1.49</v>
      </c>
      <c r="R180" s="4">
        <v>1815.8525733157076</v>
      </c>
      <c r="S180" s="4">
        <v>2338.2847000963566</v>
      </c>
      <c r="T180" s="4">
        <v>180</v>
      </c>
      <c r="U180" s="4">
        <v>22.36</v>
      </c>
      <c r="V180" s="4">
        <v>14.1</v>
      </c>
      <c r="W180" s="4"/>
      <c r="X180" s="7">
        <v>38693</v>
      </c>
      <c r="Y180" s="68">
        <v>2504.9717635991447</v>
      </c>
      <c r="Z180" s="68">
        <v>3325.1068629606298</v>
      </c>
    </row>
    <row r="181" spans="1:26" x14ac:dyDescent="0.3">
      <c r="A181" s="7">
        <v>38700</v>
      </c>
      <c r="B181" s="19">
        <v>2.4359999999999999</v>
      </c>
      <c r="C181" s="2">
        <v>267.5</v>
      </c>
      <c r="E181" s="2">
        <v>552</v>
      </c>
      <c r="F181" s="19">
        <v>39.999000000000002</v>
      </c>
      <c r="G181" s="19">
        <v>26.613</v>
      </c>
      <c r="I181" s="10">
        <v>38700</v>
      </c>
      <c r="J181" s="27">
        <f t="shared" si="23"/>
        <v>163.48993288590603</v>
      </c>
      <c r="K181" s="11">
        <f t="shared" si="26"/>
        <v>152.6815449855971</v>
      </c>
      <c r="L181" s="11">
        <f t="shared" si="27"/>
        <v>142.20282341254716</v>
      </c>
      <c r="M181" s="27">
        <f t="shared" si="22"/>
        <v>306.66666666666669</v>
      </c>
      <c r="N181" s="27">
        <f t="shared" si="28"/>
        <v>178.88640429338105</v>
      </c>
      <c r="O181" s="27">
        <f t="shared" si="29"/>
        <v>188.7446808510638</v>
      </c>
      <c r="Q181" s="4">
        <v>1.49</v>
      </c>
      <c r="R181" s="4">
        <v>1815.8525733157076</v>
      </c>
      <c r="S181" s="4">
        <v>2338.2847000963566</v>
      </c>
      <c r="T181" s="4">
        <v>180</v>
      </c>
      <c r="U181" s="4">
        <v>22.36</v>
      </c>
      <c r="V181" s="4">
        <v>14.1</v>
      </c>
      <c r="W181" s="4"/>
      <c r="X181" s="7">
        <v>38700</v>
      </c>
      <c r="Y181" s="68">
        <v>2504.9717635991447</v>
      </c>
      <c r="Z181" s="68">
        <v>3325.1068629606298</v>
      </c>
    </row>
    <row r="182" spans="1:26" x14ac:dyDescent="0.3">
      <c r="A182" s="7">
        <v>38707</v>
      </c>
      <c r="B182" s="19">
        <v>2.4620000000000002</v>
      </c>
      <c r="C182" s="2">
        <v>328.5</v>
      </c>
      <c r="E182" s="2">
        <v>508</v>
      </c>
      <c r="F182" s="19">
        <v>39.576999999999998</v>
      </c>
      <c r="G182" s="19">
        <v>25.39</v>
      </c>
      <c r="I182" s="10">
        <v>38707</v>
      </c>
      <c r="J182" s="27">
        <f t="shared" si="23"/>
        <v>165.23489932885909</v>
      </c>
      <c r="K182" s="11">
        <f t="shared" si="26"/>
        <v>156.04084853790121</v>
      </c>
      <c r="L182" s="11">
        <f t="shared" si="27"/>
        <v>142.20282341254716</v>
      </c>
      <c r="M182" s="27">
        <f t="shared" si="22"/>
        <v>282.22222222222217</v>
      </c>
      <c r="N182" s="27">
        <f t="shared" si="28"/>
        <v>176.99910554561717</v>
      </c>
      <c r="O182" s="27">
        <f t="shared" si="29"/>
        <v>180.0709219858156</v>
      </c>
      <c r="Q182" s="4">
        <v>1.49</v>
      </c>
      <c r="R182" s="4">
        <v>1815.8525733157076</v>
      </c>
      <c r="S182" s="4">
        <v>2338.2847000963566</v>
      </c>
      <c r="T182" s="4">
        <v>180</v>
      </c>
      <c r="U182" s="4">
        <v>22.36</v>
      </c>
      <c r="V182" s="4">
        <v>14.1</v>
      </c>
      <c r="W182" s="4"/>
      <c r="X182" s="7">
        <v>38707</v>
      </c>
      <c r="Y182" s="68">
        <v>2504.9717635991447</v>
      </c>
      <c r="Z182" s="68">
        <v>3325.1068629606298</v>
      </c>
    </row>
    <row r="183" spans="1:26" x14ac:dyDescent="0.3">
      <c r="A183" s="7">
        <v>38714</v>
      </c>
      <c r="B183" s="19">
        <v>2.448</v>
      </c>
      <c r="C183" s="2">
        <v>314</v>
      </c>
      <c r="E183" s="2">
        <v>443</v>
      </c>
      <c r="F183" s="19">
        <v>39.472999999999999</v>
      </c>
      <c r="G183" s="19">
        <v>25.172999999999998</v>
      </c>
      <c r="I183" s="10">
        <v>38714</v>
      </c>
      <c r="J183" s="27">
        <f t="shared" si="23"/>
        <v>164.29530201342283</v>
      </c>
      <c r="K183" s="11">
        <f t="shared" si="26"/>
        <v>155.35803665952685</v>
      </c>
      <c r="L183" s="11">
        <f t="shared" si="27"/>
        <v>142.27057094371898</v>
      </c>
      <c r="M183" s="27">
        <f t="shared" si="22"/>
        <v>246.11111111111111</v>
      </c>
      <c r="N183" s="27">
        <f t="shared" si="28"/>
        <v>176.53398926654739</v>
      </c>
      <c r="O183" s="27">
        <f t="shared" si="29"/>
        <v>178.53191489361703</v>
      </c>
      <c r="Q183" s="4">
        <v>1.49</v>
      </c>
      <c r="R183" s="4">
        <v>1815.8525733157076</v>
      </c>
      <c r="S183" s="4">
        <v>2338.2847000963566</v>
      </c>
      <c r="T183" s="4">
        <v>180</v>
      </c>
      <c r="U183" s="4">
        <v>22.36</v>
      </c>
      <c r="V183" s="4">
        <v>14.1</v>
      </c>
      <c r="W183" s="4"/>
      <c r="X183" s="7">
        <v>38714</v>
      </c>
      <c r="Y183" s="68">
        <v>2507.0729065347787</v>
      </c>
      <c r="Z183" s="68">
        <v>3326.6909931167133</v>
      </c>
    </row>
    <row r="184" spans="1:26" x14ac:dyDescent="0.3">
      <c r="A184" s="7">
        <v>38721</v>
      </c>
      <c r="B184" s="19">
        <v>2.4420000000000002</v>
      </c>
      <c r="C184" s="2">
        <v>290.5</v>
      </c>
      <c r="E184" s="2">
        <v>409</v>
      </c>
      <c r="F184" s="19">
        <v>39.978999999999999</v>
      </c>
      <c r="G184" s="19">
        <v>26.010999999999999</v>
      </c>
      <c r="I184" s="10">
        <v>38721</v>
      </c>
      <c r="J184" s="27">
        <f t="shared" si="23"/>
        <v>163.89261744966444</v>
      </c>
      <c r="K184" s="11">
        <f t="shared" si="26"/>
        <v>149.78354984000526</v>
      </c>
      <c r="L184" s="11">
        <f t="shared" si="27"/>
        <v>138.35605457949509</v>
      </c>
      <c r="M184" s="27">
        <f t="shared" si="22"/>
        <v>227.22222222222223</v>
      </c>
      <c r="N184" s="27">
        <f t="shared" si="28"/>
        <v>178.79695885509838</v>
      </c>
      <c r="O184" s="27">
        <f t="shared" si="29"/>
        <v>184.47517730496452</v>
      </c>
      <c r="Q184" s="4">
        <v>1.49</v>
      </c>
      <c r="R184" s="4">
        <v>1815.8525733157076</v>
      </c>
      <c r="S184" s="4">
        <v>2338.2847000963566</v>
      </c>
      <c r="T184" s="4">
        <v>180</v>
      </c>
      <c r="U184" s="4">
        <v>22.36</v>
      </c>
      <c r="V184" s="4">
        <v>14.1</v>
      </c>
      <c r="W184" s="4"/>
      <c r="X184" s="7">
        <v>38721</v>
      </c>
      <c r="Y184" s="68">
        <v>2429.3484441733508</v>
      </c>
      <c r="Z184" s="68">
        <v>3235.1584558892982</v>
      </c>
    </row>
    <row r="185" spans="1:26" x14ac:dyDescent="0.3">
      <c r="A185" s="7">
        <v>38728</v>
      </c>
      <c r="B185" s="19">
        <v>2.4849999999999999</v>
      </c>
      <c r="C185" s="2">
        <v>212.5</v>
      </c>
      <c r="E185" s="2">
        <v>379</v>
      </c>
      <c r="F185" s="19">
        <v>39.453000000000003</v>
      </c>
      <c r="G185" s="19">
        <v>25.67</v>
      </c>
      <c r="I185" s="10">
        <v>38728</v>
      </c>
      <c r="J185" s="27">
        <f t="shared" si="23"/>
        <v>166.77852348993287</v>
      </c>
      <c r="K185" s="11">
        <f t="shared" si="26"/>
        <v>145.48804693705904</v>
      </c>
      <c r="L185" s="11">
        <f t="shared" si="27"/>
        <v>138.35605457949509</v>
      </c>
      <c r="M185" s="27">
        <f t="shared" si="22"/>
        <v>210.55555555555557</v>
      </c>
      <c r="N185" s="27">
        <f t="shared" si="28"/>
        <v>176.44454382826478</v>
      </c>
      <c r="O185" s="27">
        <f t="shared" si="29"/>
        <v>182.05673758865251</v>
      </c>
      <c r="Q185" s="4">
        <v>1.49</v>
      </c>
      <c r="R185" s="4">
        <v>1815.8525733157076</v>
      </c>
      <c r="S185" s="4">
        <v>2338.2847000963566</v>
      </c>
      <c r="T185" s="4">
        <v>180</v>
      </c>
      <c r="U185" s="4">
        <v>22.36</v>
      </c>
      <c r="V185" s="4">
        <v>14.1</v>
      </c>
      <c r="W185" s="4"/>
      <c r="X185" s="7">
        <v>38728</v>
      </c>
      <c r="Y185" s="68">
        <v>2429.3484441733508</v>
      </c>
      <c r="Z185" s="68">
        <v>3235.1584558892982</v>
      </c>
    </row>
    <row r="186" spans="1:26" x14ac:dyDescent="0.3">
      <c r="A186" s="7">
        <v>38735</v>
      </c>
      <c r="B186" s="19">
        <v>2.4489999999999998</v>
      </c>
      <c r="C186" s="2">
        <v>13.5</v>
      </c>
      <c r="E186" s="2">
        <v>400</v>
      </c>
      <c r="F186" s="19">
        <v>36.796999999999997</v>
      </c>
      <c r="G186" s="19">
        <v>24.96</v>
      </c>
      <c r="I186" s="10">
        <v>38735</v>
      </c>
      <c r="J186" s="27">
        <f t="shared" si="23"/>
        <v>164.36241610738253</v>
      </c>
      <c r="K186" s="11">
        <f t="shared" si="26"/>
        <v>134.52900747954237</v>
      </c>
      <c r="L186" s="11">
        <f t="shared" si="27"/>
        <v>138.35605457949509</v>
      </c>
      <c r="M186" s="27">
        <f t="shared" si="22"/>
        <v>222.22222222222223</v>
      </c>
      <c r="N186" s="27">
        <f t="shared" si="28"/>
        <v>164.56618962432916</v>
      </c>
      <c r="O186" s="27">
        <f t="shared" si="29"/>
        <v>177.02127659574469</v>
      </c>
      <c r="Q186" s="4">
        <v>1.49</v>
      </c>
      <c r="R186" s="4">
        <v>1815.8525733157076</v>
      </c>
      <c r="S186" s="4">
        <v>2338.2847000963566</v>
      </c>
      <c r="T186" s="4">
        <v>180</v>
      </c>
      <c r="U186" s="4">
        <v>22.36</v>
      </c>
      <c r="V186" s="4">
        <v>14.1</v>
      </c>
      <c r="W186" s="4"/>
      <c r="X186" s="7">
        <v>38735</v>
      </c>
      <c r="Y186" s="68">
        <v>2429.3484441733508</v>
      </c>
      <c r="Z186" s="68">
        <v>3235.1584558892982</v>
      </c>
    </row>
    <row r="187" spans="1:26" x14ac:dyDescent="0.3">
      <c r="A187" s="7">
        <v>38742</v>
      </c>
      <c r="B187" s="19">
        <v>2.472</v>
      </c>
      <c r="C187" s="2">
        <v>0</v>
      </c>
      <c r="E187" s="2">
        <v>383</v>
      </c>
      <c r="F187" s="19">
        <v>33.832999999999998</v>
      </c>
      <c r="G187" s="19">
        <v>23.003</v>
      </c>
      <c r="I187" s="10">
        <v>38742</v>
      </c>
      <c r="J187" s="27">
        <f t="shared" si="23"/>
        <v>165.90604026845637</v>
      </c>
      <c r="K187" s="11">
        <f t="shared" si="26"/>
        <v>133.77477110589848</v>
      </c>
      <c r="L187" s="11">
        <f t="shared" si="27"/>
        <v>138.31512663060411</v>
      </c>
      <c r="M187" s="27">
        <f t="shared" si="22"/>
        <v>212.77777777777777</v>
      </c>
      <c r="N187" s="27">
        <f t="shared" si="28"/>
        <v>151.31037567084078</v>
      </c>
      <c r="O187" s="27">
        <f t="shared" si="29"/>
        <v>163.1418439716312</v>
      </c>
      <c r="Q187" s="4">
        <v>1.49</v>
      </c>
      <c r="R187" s="4">
        <v>1815.8525733157076</v>
      </c>
      <c r="S187" s="4">
        <v>2338.2847000963566</v>
      </c>
      <c r="T187" s="4">
        <v>180</v>
      </c>
      <c r="U187" s="4">
        <v>22.36</v>
      </c>
      <c r="V187" s="4">
        <v>14.1</v>
      </c>
      <c r="W187" s="4"/>
      <c r="X187" s="7">
        <v>38742</v>
      </c>
      <c r="Y187" s="68">
        <v>2429.1526235736551</v>
      </c>
      <c r="Z187" s="68">
        <v>3234.2014439223167</v>
      </c>
    </row>
    <row r="188" spans="1:26" x14ac:dyDescent="0.3">
      <c r="A188" s="7">
        <v>38749</v>
      </c>
      <c r="B188" s="19">
        <v>2.4889999999999999</v>
      </c>
      <c r="C188" s="2">
        <v>0</v>
      </c>
      <c r="E188" s="2">
        <v>413</v>
      </c>
      <c r="F188" s="19">
        <v>32.655000000000001</v>
      </c>
      <c r="G188" s="19">
        <v>23.7</v>
      </c>
      <c r="I188" s="10">
        <v>38749</v>
      </c>
      <c r="J188" s="27">
        <f t="shared" si="23"/>
        <v>167.04697986577179</v>
      </c>
      <c r="K188" s="11">
        <f t="shared" si="26"/>
        <v>132.55399729147081</v>
      </c>
      <c r="L188" s="11">
        <f t="shared" si="27"/>
        <v>137.3310340624586</v>
      </c>
      <c r="M188" s="27">
        <f t="shared" si="22"/>
        <v>229.44444444444443</v>
      </c>
      <c r="N188" s="27">
        <f t="shared" si="28"/>
        <v>146.04203935599284</v>
      </c>
      <c r="O188" s="27">
        <f t="shared" si="29"/>
        <v>168.08510638297872</v>
      </c>
      <c r="Q188" s="4">
        <v>1.49</v>
      </c>
      <c r="R188" s="4">
        <v>1815.8525733157076</v>
      </c>
      <c r="S188" s="4">
        <v>2338.2847000963566</v>
      </c>
      <c r="T188" s="4">
        <v>180</v>
      </c>
      <c r="U188" s="4">
        <v>22.36</v>
      </c>
      <c r="V188" s="4">
        <v>14.1</v>
      </c>
      <c r="W188" s="4"/>
      <c r="X188" s="7">
        <v>38749</v>
      </c>
      <c r="Y188" s="68">
        <v>2406.9851708500059</v>
      </c>
      <c r="Z188" s="68">
        <v>3211.1905579665849</v>
      </c>
    </row>
    <row r="189" spans="1:26" x14ac:dyDescent="0.3">
      <c r="A189" s="7">
        <v>38756</v>
      </c>
      <c r="B189" s="19">
        <v>2.4990000000000001</v>
      </c>
      <c r="C189" s="2">
        <v>-25</v>
      </c>
      <c r="E189" s="2">
        <v>475</v>
      </c>
      <c r="F189" s="19">
        <v>33.869999999999997</v>
      </c>
      <c r="G189" s="19">
        <v>24.556999999999999</v>
      </c>
      <c r="I189" s="10">
        <v>38756</v>
      </c>
      <c r="J189" s="27">
        <f t="shared" si="23"/>
        <v>167.71812080536913</v>
      </c>
      <c r="K189" s="11">
        <f t="shared" si="26"/>
        <v>131.17723354052652</v>
      </c>
      <c r="L189" s="11">
        <f t="shared" si="27"/>
        <v>137.3310340624586</v>
      </c>
      <c r="M189" s="27">
        <f t="shared" si="22"/>
        <v>263.88888888888886</v>
      </c>
      <c r="N189" s="27">
        <f t="shared" si="28"/>
        <v>151.47584973166369</v>
      </c>
      <c r="O189" s="27">
        <f t="shared" si="29"/>
        <v>174.16312056737587</v>
      </c>
      <c r="Q189" s="4">
        <v>1.49</v>
      </c>
      <c r="R189" s="4">
        <v>1815.8525733157076</v>
      </c>
      <c r="S189" s="4">
        <v>2338.2847000963566</v>
      </c>
      <c r="T189" s="4">
        <v>180</v>
      </c>
      <c r="U189" s="4">
        <v>22.36</v>
      </c>
      <c r="V189" s="4">
        <v>14.1</v>
      </c>
      <c r="W189" s="4"/>
      <c r="X189" s="7">
        <v>38756</v>
      </c>
      <c r="Y189" s="68">
        <v>2406.9851708500059</v>
      </c>
      <c r="Z189" s="68">
        <v>3211.1905579665849</v>
      </c>
    </row>
    <row r="190" spans="1:26" x14ac:dyDescent="0.3">
      <c r="A190" s="7">
        <v>38763</v>
      </c>
      <c r="B190" s="19">
        <v>2.476</v>
      </c>
      <c r="C190" s="2">
        <v>-25</v>
      </c>
      <c r="E190" s="2">
        <v>427</v>
      </c>
      <c r="F190" s="19">
        <v>34.883000000000003</v>
      </c>
      <c r="G190" s="19">
        <v>25.367000000000001</v>
      </c>
      <c r="I190" s="10">
        <v>38763</v>
      </c>
      <c r="J190" s="27">
        <f t="shared" si="23"/>
        <v>166.17449664429529</v>
      </c>
      <c r="K190" s="11">
        <f t="shared" si="26"/>
        <v>131.17723354052652</v>
      </c>
      <c r="L190" s="11">
        <f t="shared" si="27"/>
        <v>137.3310340624586</v>
      </c>
      <c r="M190" s="27">
        <f t="shared" si="22"/>
        <v>237.22222222222223</v>
      </c>
      <c r="N190" s="27">
        <f t="shared" si="28"/>
        <v>156.00626118067979</v>
      </c>
      <c r="O190" s="27">
        <f t="shared" si="29"/>
        <v>179.90780141843973</v>
      </c>
      <c r="Q190" s="4">
        <v>1.49</v>
      </c>
      <c r="R190" s="4">
        <v>1815.8525733157076</v>
      </c>
      <c r="S190" s="4">
        <v>2338.2847000963566</v>
      </c>
      <c r="T190" s="4">
        <v>180</v>
      </c>
      <c r="U190" s="4">
        <v>22.36</v>
      </c>
      <c r="V190" s="4">
        <v>14.1</v>
      </c>
      <c r="W190" s="4"/>
      <c r="X190" s="7">
        <v>38763</v>
      </c>
      <c r="Y190" s="68">
        <v>2406.9851708500059</v>
      </c>
      <c r="Z190" s="68">
        <v>3211.1905579665849</v>
      </c>
    </row>
    <row r="191" spans="1:26" x14ac:dyDescent="0.3">
      <c r="A191" s="7">
        <v>38770</v>
      </c>
      <c r="B191" s="19">
        <v>2.4550000000000001</v>
      </c>
      <c r="C191" s="2">
        <v>58.5</v>
      </c>
      <c r="E191" s="2">
        <v>375</v>
      </c>
      <c r="F191" s="19">
        <v>36.511000000000003</v>
      </c>
      <c r="G191" s="19">
        <v>27.321000000000002</v>
      </c>
      <c r="I191" s="10">
        <v>38770</v>
      </c>
      <c r="J191" s="27">
        <f t="shared" si="23"/>
        <v>164.76510067114094</v>
      </c>
      <c r="K191" s="11">
        <f t="shared" si="26"/>
        <v>136.0194904370457</v>
      </c>
      <c r="L191" s="11">
        <f t="shared" si="27"/>
        <v>137.34181724197572</v>
      </c>
      <c r="M191" s="27">
        <f t="shared" si="22"/>
        <v>208.33333333333331</v>
      </c>
      <c r="N191" s="27">
        <f t="shared" si="28"/>
        <v>163.2871198568873</v>
      </c>
      <c r="O191" s="27">
        <f t="shared" si="29"/>
        <v>193.7659574468085</v>
      </c>
      <c r="Q191" s="4">
        <v>1.49</v>
      </c>
      <c r="R191" s="4">
        <v>1815.8525733157076</v>
      </c>
      <c r="S191" s="4">
        <v>2338.2847000963566</v>
      </c>
      <c r="T191" s="4">
        <v>180</v>
      </c>
      <c r="U191" s="4">
        <v>22.36</v>
      </c>
      <c r="V191" s="4">
        <v>14.1</v>
      </c>
      <c r="W191" s="4"/>
      <c r="X191" s="7">
        <v>38770</v>
      </c>
      <c r="Y191" s="68">
        <v>2411.4134173120074</v>
      </c>
      <c r="Z191" s="68">
        <v>3211.4426994034179</v>
      </c>
    </row>
    <row r="192" spans="1:26" x14ac:dyDescent="0.3">
      <c r="A192" s="7">
        <v>38777</v>
      </c>
      <c r="B192" s="19">
        <v>2.4710000000000001</v>
      </c>
      <c r="C192" s="2">
        <v>-17</v>
      </c>
      <c r="E192" s="2">
        <v>385</v>
      </c>
      <c r="F192" s="19">
        <v>35.673999999999999</v>
      </c>
      <c r="G192" s="19">
        <v>26.94</v>
      </c>
      <c r="I192" s="10">
        <v>38777</v>
      </c>
      <c r="J192" s="27">
        <f t="shared" si="23"/>
        <v>165.83892617449663</v>
      </c>
      <c r="K192" s="11">
        <f t="shared" si="26"/>
        <v>135.80911450771336</v>
      </c>
      <c r="L192" s="11">
        <f t="shared" si="27"/>
        <v>138.90800967923224</v>
      </c>
      <c r="M192" s="27">
        <f t="shared" si="22"/>
        <v>213.88888888888889</v>
      </c>
      <c r="N192" s="27">
        <f t="shared" si="28"/>
        <v>159.5438282647585</v>
      </c>
      <c r="O192" s="27">
        <f t="shared" si="29"/>
        <v>191.06382978723406</v>
      </c>
      <c r="Q192" s="4">
        <v>1.49</v>
      </c>
      <c r="R192" s="4">
        <v>1815.8525733157076</v>
      </c>
      <c r="S192" s="4">
        <v>2338.2847000963566</v>
      </c>
      <c r="T192" s="4">
        <v>180</v>
      </c>
      <c r="U192" s="4">
        <v>22.36</v>
      </c>
      <c r="V192" s="4">
        <v>14.1</v>
      </c>
      <c r="W192" s="4"/>
      <c r="X192" s="7">
        <v>38777</v>
      </c>
      <c r="Y192" s="68">
        <v>2483.0933005855891</v>
      </c>
      <c r="Z192" s="68">
        <v>3248.064737537853</v>
      </c>
    </row>
    <row r="193" spans="1:26" x14ac:dyDescent="0.3">
      <c r="A193" s="7">
        <v>38784</v>
      </c>
      <c r="B193" s="19">
        <v>2.5449999999999999</v>
      </c>
      <c r="C193" s="2">
        <v>-54</v>
      </c>
      <c r="E193" s="2">
        <v>378</v>
      </c>
      <c r="F193" s="19">
        <v>36.042999999999999</v>
      </c>
      <c r="G193" s="19">
        <v>27.763000000000002</v>
      </c>
      <c r="I193" s="10">
        <v>38784</v>
      </c>
      <c r="J193" s="27">
        <f t="shared" si="23"/>
        <v>170.80536912751677</v>
      </c>
      <c r="K193" s="11">
        <f t="shared" si="26"/>
        <v>133.77150415631581</v>
      </c>
      <c r="L193" s="11">
        <f t="shared" si="27"/>
        <v>138.90800967923224</v>
      </c>
      <c r="M193" s="27">
        <f t="shared" si="22"/>
        <v>210</v>
      </c>
      <c r="N193" s="27">
        <f t="shared" si="28"/>
        <v>161.19409660107334</v>
      </c>
      <c r="O193" s="27">
        <f t="shared" si="29"/>
        <v>196.90070921985816</v>
      </c>
      <c r="Q193" s="4">
        <v>1.49</v>
      </c>
      <c r="R193" s="4">
        <v>1815.8525733157076</v>
      </c>
      <c r="S193" s="4">
        <v>2338.2847000963566</v>
      </c>
      <c r="T193" s="4">
        <v>180</v>
      </c>
      <c r="U193" s="4">
        <v>22.36</v>
      </c>
      <c r="V193" s="4">
        <v>14.1</v>
      </c>
      <c r="W193" s="4"/>
      <c r="X193" s="7">
        <v>38784</v>
      </c>
      <c r="Y193" s="68">
        <v>2483.0933005855891</v>
      </c>
      <c r="Z193" s="68">
        <v>3248.064737537853</v>
      </c>
    </row>
    <row r="194" spans="1:26" x14ac:dyDescent="0.3">
      <c r="A194" s="7">
        <v>38791</v>
      </c>
      <c r="B194" s="19">
        <v>2.5430000000000001</v>
      </c>
      <c r="C194" s="2">
        <v>-63</v>
      </c>
      <c r="E194" s="2">
        <v>337</v>
      </c>
      <c r="F194" s="19">
        <v>36.130000000000003</v>
      </c>
      <c r="G194" s="19">
        <v>29.062999999999999</v>
      </c>
      <c r="I194" s="10">
        <v>38791</v>
      </c>
      <c r="J194" s="27">
        <f t="shared" si="23"/>
        <v>170.67114093959731</v>
      </c>
      <c r="K194" s="11">
        <f t="shared" si="26"/>
        <v>133.27586920597585</v>
      </c>
      <c r="L194" s="11">
        <f t="shared" si="27"/>
        <v>138.90800967923224</v>
      </c>
      <c r="M194" s="27">
        <f t="shared" si="22"/>
        <v>187.22222222222223</v>
      </c>
      <c r="N194" s="27">
        <f t="shared" si="28"/>
        <v>161.58318425760288</v>
      </c>
      <c r="O194" s="27">
        <f t="shared" si="29"/>
        <v>206.12056737588654</v>
      </c>
      <c r="Q194" s="4">
        <v>1.49</v>
      </c>
      <c r="R194" s="4">
        <v>1815.8525733157076</v>
      </c>
      <c r="S194" s="4">
        <v>2338.2847000963566</v>
      </c>
      <c r="T194" s="4">
        <v>180</v>
      </c>
      <c r="U194" s="4">
        <v>22.36</v>
      </c>
      <c r="V194" s="4">
        <v>14.1</v>
      </c>
      <c r="W194" s="4"/>
      <c r="X194" s="7">
        <v>38791</v>
      </c>
      <c r="Y194" s="68">
        <v>2483.0933005855891</v>
      </c>
      <c r="Z194" s="68">
        <v>3248.064737537853</v>
      </c>
    </row>
    <row r="195" spans="1:26" x14ac:dyDescent="0.3">
      <c r="A195" s="7">
        <v>38798</v>
      </c>
      <c r="B195" s="19">
        <v>2.581</v>
      </c>
      <c r="C195" s="2">
        <v>-50</v>
      </c>
      <c r="E195" s="2">
        <v>333</v>
      </c>
      <c r="F195" s="19">
        <v>34.945999999999998</v>
      </c>
      <c r="G195" s="19">
        <v>27.428999999999998</v>
      </c>
      <c r="I195" s="10">
        <v>38798</v>
      </c>
      <c r="J195" s="27">
        <f t="shared" si="23"/>
        <v>173.22147651006711</v>
      </c>
      <c r="K195" s="11">
        <f t="shared" si="26"/>
        <v>133.99178635646689</v>
      </c>
      <c r="L195" s="11">
        <f t="shared" si="27"/>
        <v>138.90800967923224</v>
      </c>
      <c r="M195" s="27">
        <f t="shared" si="22"/>
        <v>185</v>
      </c>
      <c r="N195" s="27">
        <f t="shared" si="28"/>
        <v>156.2880143112701</v>
      </c>
      <c r="O195" s="27">
        <f t="shared" si="29"/>
        <v>194.531914893617</v>
      </c>
      <c r="Q195" s="4">
        <v>1.49</v>
      </c>
      <c r="R195" s="4">
        <v>1815.8525733157076</v>
      </c>
      <c r="S195" s="4">
        <v>2338.2847000963566</v>
      </c>
      <c r="T195" s="4">
        <v>180</v>
      </c>
      <c r="U195" s="4">
        <v>22.36</v>
      </c>
      <c r="V195" s="4">
        <v>14.1</v>
      </c>
      <c r="W195" s="4"/>
      <c r="X195" s="7">
        <v>38798</v>
      </c>
      <c r="Y195" s="68">
        <v>2483.0933005855891</v>
      </c>
      <c r="Z195" s="68">
        <v>3248.064737537853</v>
      </c>
    </row>
    <row r="196" spans="1:26" x14ac:dyDescent="0.3">
      <c r="A196" s="7">
        <v>38805</v>
      </c>
      <c r="B196" s="19">
        <v>2.5649999999999999</v>
      </c>
      <c r="C196" s="2">
        <v>-150</v>
      </c>
      <c r="E196" s="2">
        <v>322</v>
      </c>
      <c r="F196" s="19">
        <v>36.25</v>
      </c>
      <c r="G196" s="19">
        <v>27</v>
      </c>
      <c r="I196" s="10">
        <v>38805</v>
      </c>
      <c r="J196" s="27">
        <f t="shared" si="23"/>
        <v>172.14765100671141</v>
      </c>
      <c r="K196" s="11">
        <f t="shared" si="26"/>
        <v>128.49517528632504</v>
      </c>
      <c r="L196" s="11">
        <f t="shared" si="27"/>
        <v>139.02594853138666</v>
      </c>
      <c r="M196" s="27">
        <f t="shared" si="22"/>
        <v>178.88888888888889</v>
      </c>
      <c r="N196" s="27">
        <f t="shared" ref="N196:N227" si="30">(1+(F196-U196)/U196)*100</f>
        <v>162.11985688729874</v>
      </c>
      <c r="O196" s="27">
        <f t="shared" ref="O196:O227" si="31">(1+(G196-V196)/V196)*100</f>
        <v>191.48936170212767</v>
      </c>
      <c r="Q196" s="4">
        <v>1.49</v>
      </c>
      <c r="R196" s="4">
        <v>1815.8525733157076</v>
      </c>
      <c r="S196" s="4">
        <v>2338.2847000963566</v>
      </c>
      <c r="T196" s="4">
        <v>180</v>
      </c>
      <c r="U196" s="4">
        <v>22.36</v>
      </c>
      <c r="V196" s="4">
        <v>14.1</v>
      </c>
      <c r="W196" s="4"/>
      <c r="X196" s="7">
        <v>38805</v>
      </c>
      <c r="Y196" s="68">
        <v>2483.2829470232623</v>
      </c>
      <c r="Z196" s="68">
        <v>3250.8224836732493</v>
      </c>
    </row>
    <row r="197" spans="1:26" x14ac:dyDescent="0.3">
      <c r="A197" s="7">
        <v>38812</v>
      </c>
      <c r="B197" s="19">
        <v>2.617</v>
      </c>
      <c r="C197" s="2">
        <v>-141</v>
      </c>
      <c r="E197" s="2">
        <v>345</v>
      </c>
      <c r="F197" s="19">
        <v>35.700000000000003</v>
      </c>
      <c r="G197" s="19">
        <v>25.914999999999999</v>
      </c>
      <c r="I197" s="10">
        <v>38812</v>
      </c>
      <c r="J197" s="27">
        <f t="shared" si="23"/>
        <v>175.63758389261744</v>
      </c>
      <c r="K197" s="11">
        <f t="shared" si="26"/>
        <v>129.15900056379402</v>
      </c>
      <c r="L197" s="11">
        <f t="shared" si="27"/>
        <v>139.01134011588715</v>
      </c>
      <c r="M197" s="27">
        <f t="shared" si="22"/>
        <v>191.66666666666666</v>
      </c>
      <c r="N197" s="27">
        <f t="shared" si="30"/>
        <v>159.66010733452595</v>
      </c>
      <c r="O197" s="27">
        <f t="shared" si="31"/>
        <v>183.79432624113474</v>
      </c>
      <c r="Q197" s="4">
        <v>1.49</v>
      </c>
      <c r="R197" s="4">
        <v>1815.8525733157076</v>
      </c>
      <c r="S197" s="4">
        <v>2338.2847000963566</v>
      </c>
      <c r="T197" s="4">
        <v>180</v>
      </c>
      <c r="U197" s="4">
        <v>22.36</v>
      </c>
      <c r="V197" s="4">
        <v>14.1</v>
      </c>
      <c r="W197" s="4"/>
      <c r="X197" s="7">
        <v>38812</v>
      </c>
      <c r="Y197" s="68">
        <v>2486.3370354065028</v>
      </c>
      <c r="Z197" s="68">
        <v>3250.4808973286986</v>
      </c>
    </row>
    <row r="198" spans="1:26" x14ac:dyDescent="0.3">
      <c r="A198" s="7">
        <v>38819</v>
      </c>
      <c r="B198" s="19">
        <v>2.6539999999999999</v>
      </c>
      <c r="C198" s="2">
        <v>-159.5</v>
      </c>
      <c r="E198" s="2">
        <v>328</v>
      </c>
      <c r="F198" s="19">
        <v>34.877000000000002</v>
      </c>
      <c r="G198" s="19">
        <v>25.486999999999998</v>
      </c>
      <c r="I198" s="10">
        <v>38819</v>
      </c>
      <c r="J198" s="27">
        <f t="shared" si="23"/>
        <v>178.12080536912751</v>
      </c>
      <c r="K198" s="11">
        <f t="shared" si="26"/>
        <v>128.14019538809524</v>
      </c>
      <c r="L198" s="11">
        <f t="shared" si="27"/>
        <v>139.01134011588715</v>
      </c>
      <c r="M198" s="27">
        <f t="shared" si="22"/>
        <v>182.22222222222223</v>
      </c>
      <c r="N198" s="27">
        <f t="shared" si="30"/>
        <v>155.97942754919501</v>
      </c>
      <c r="O198" s="27">
        <f t="shared" si="31"/>
        <v>180.75886524822695</v>
      </c>
      <c r="Q198" s="4">
        <v>1.49</v>
      </c>
      <c r="R198" s="4">
        <v>1815.8525733157076</v>
      </c>
      <c r="S198" s="4">
        <v>2338.2847000963566</v>
      </c>
      <c r="T198" s="4">
        <v>180</v>
      </c>
      <c r="U198" s="4">
        <v>22.36</v>
      </c>
      <c r="V198" s="4">
        <v>14.1</v>
      </c>
      <c r="W198" s="4"/>
      <c r="X198" s="7">
        <v>38819</v>
      </c>
      <c r="Y198" s="68">
        <v>2486.3370354065028</v>
      </c>
      <c r="Z198" s="68">
        <v>3250.4808973286986</v>
      </c>
    </row>
    <row r="199" spans="1:26" x14ac:dyDescent="0.3">
      <c r="A199" s="7">
        <v>38826</v>
      </c>
      <c r="B199" s="19">
        <v>2.7650000000000001</v>
      </c>
      <c r="C199" s="2">
        <v>-87.5</v>
      </c>
      <c r="E199" s="2">
        <v>294</v>
      </c>
      <c r="F199" s="19">
        <v>34.753999999999998</v>
      </c>
      <c r="G199" s="19">
        <v>25.335999999999999</v>
      </c>
      <c r="I199" s="10">
        <v>38826</v>
      </c>
      <c r="J199" s="27">
        <f t="shared" si="23"/>
        <v>185.57046979865771</v>
      </c>
      <c r="K199" s="11">
        <f t="shared" si="26"/>
        <v>132.10527499081482</v>
      </c>
      <c r="L199" s="11">
        <f t="shared" si="27"/>
        <v>139.01134011588715</v>
      </c>
      <c r="M199" s="27">
        <f t="shared" si="22"/>
        <v>163.33333333333334</v>
      </c>
      <c r="N199" s="27">
        <f t="shared" si="30"/>
        <v>155.42933810375669</v>
      </c>
      <c r="O199" s="27">
        <f t="shared" si="31"/>
        <v>179.68794326241135</v>
      </c>
      <c r="Q199" s="4">
        <v>1.49</v>
      </c>
      <c r="R199" s="4">
        <v>1815.8525733157076</v>
      </c>
      <c r="S199" s="4">
        <v>2338.2847000963566</v>
      </c>
      <c r="T199" s="4">
        <v>180</v>
      </c>
      <c r="U199" s="4">
        <v>22.36</v>
      </c>
      <c r="V199" s="4">
        <v>14.1</v>
      </c>
      <c r="W199" s="4"/>
      <c r="X199" s="7">
        <v>38826</v>
      </c>
      <c r="Y199" s="68">
        <v>2486.3370354065028</v>
      </c>
      <c r="Z199" s="68">
        <v>3250.4808973286986</v>
      </c>
    </row>
    <row r="200" spans="1:26" x14ac:dyDescent="0.3">
      <c r="A200" s="7">
        <v>38833</v>
      </c>
      <c r="B200" s="19">
        <v>2.8759999999999999</v>
      </c>
      <c r="C200" s="2">
        <v>-112.5</v>
      </c>
      <c r="E200" s="2">
        <v>288</v>
      </c>
      <c r="F200" s="19">
        <v>34.35</v>
      </c>
      <c r="G200" s="19">
        <v>25.003</v>
      </c>
      <c r="I200" s="10">
        <v>38833</v>
      </c>
      <c r="J200" s="27">
        <f t="shared" si="23"/>
        <v>193.02013422818791</v>
      </c>
      <c r="K200" s="11">
        <f t="shared" si="26"/>
        <v>130.6455525537921</v>
      </c>
      <c r="L200" s="11">
        <f t="shared" si="27"/>
        <v>138.80657138539587</v>
      </c>
      <c r="M200" s="27">
        <f t="shared" si="22"/>
        <v>160</v>
      </c>
      <c r="N200" s="27">
        <f t="shared" si="30"/>
        <v>153.62254025044723</v>
      </c>
      <c r="O200" s="27">
        <f t="shared" si="31"/>
        <v>177.32624113475177</v>
      </c>
      <c r="Q200" s="4">
        <v>1.49</v>
      </c>
      <c r="R200" s="4">
        <v>1815.8525733157076</v>
      </c>
      <c r="S200" s="4">
        <v>2338.2847000963566</v>
      </c>
      <c r="T200" s="4">
        <v>180</v>
      </c>
      <c r="U200" s="4">
        <v>22.36</v>
      </c>
      <c r="V200" s="4">
        <v>14.1</v>
      </c>
      <c r="W200" s="4"/>
      <c r="X200" s="7">
        <v>38833</v>
      </c>
      <c r="Y200" s="68">
        <v>2484.8306279705589</v>
      </c>
      <c r="Z200" s="68">
        <v>3245.6928214330387</v>
      </c>
    </row>
    <row r="201" spans="1:26" x14ac:dyDescent="0.3">
      <c r="A201" s="7">
        <v>38840</v>
      </c>
      <c r="B201" s="19">
        <v>2.8959999999999999</v>
      </c>
      <c r="C201" s="2">
        <v>-75.5</v>
      </c>
      <c r="D201" s="2">
        <v>-150</v>
      </c>
      <c r="E201" s="2">
        <v>312</v>
      </c>
      <c r="F201" s="19">
        <v>34.057000000000002</v>
      </c>
      <c r="G201" s="19">
        <v>24.79</v>
      </c>
      <c r="I201" s="10">
        <v>38840</v>
      </c>
      <c r="J201" s="27">
        <f t="shared" si="23"/>
        <v>194.36241610738253</v>
      </c>
      <c r="K201" s="11">
        <f t="shared" ref="K201:K264" si="32">(C201+Y201)/R201*100</f>
        <v>133.40717098358908</v>
      </c>
      <c r="L201" s="11">
        <f t="shared" ref="L201:L264" si="33">(D201+Z201)/S201*100</f>
        <v>131.74559953141775</v>
      </c>
      <c r="M201" s="27">
        <f t="shared" si="22"/>
        <v>173.33333333333334</v>
      </c>
      <c r="N201" s="27">
        <f t="shared" si="30"/>
        <v>152.31216457960645</v>
      </c>
      <c r="O201" s="27">
        <f t="shared" si="31"/>
        <v>175.81560283687944</v>
      </c>
      <c r="Q201" s="4">
        <v>1.49</v>
      </c>
      <c r="R201" s="4">
        <v>1815.8525733157076</v>
      </c>
      <c r="S201" s="4">
        <v>2338.2847000963566</v>
      </c>
      <c r="T201" s="4">
        <v>180</v>
      </c>
      <c r="U201" s="4">
        <v>22.36</v>
      </c>
      <c r="V201" s="4">
        <v>14.1</v>
      </c>
      <c r="W201" s="4"/>
      <c r="X201" s="7">
        <v>38840</v>
      </c>
      <c r="Y201" s="68">
        <v>2497.9775472931883</v>
      </c>
      <c r="Z201" s="68">
        <v>3230.5871968933589</v>
      </c>
    </row>
    <row r="202" spans="1:26" x14ac:dyDescent="0.3">
      <c r="A202" s="7">
        <v>38847</v>
      </c>
      <c r="B202" s="19">
        <v>2.8969999999999998</v>
      </c>
      <c r="C202" s="2">
        <v>-56</v>
      </c>
      <c r="D202" s="2">
        <v>-107.5</v>
      </c>
      <c r="E202" s="2">
        <v>356</v>
      </c>
      <c r="F202" s="19">
        <v>34.35</v>
      </c>
      <c r="G202" s="19">
        <v>25.317</v>
      </c>
      <c r="I202" s="10">
        <v>38847</v>
      </c>
      <c r="J202" s="27">
        <f t="shared" si="23"/>
        <v>194.42953020134226</v>
      </c>
      <c r="K202" s="11">
        <f t="shared" si="32"/>
        <v>134.48104670932562</v>
      </c>
      <c r="L202" s="11">
        <f t="shared" si="33"/>
        <v>133.56317118974698</v>
      </c>
      <c r="M202" s="27">
        <f t="shared" si="22"/>
        <v>197.77777777777777</v>
      </c>
      <c r="N202" s="27">
        <f t="shared" si="30"/>
        <v>153.62254025044723</v>
      </c>
      <c r="O202" s="27">
        <f t="shared" si="31"/>
        <v>179.55319148936169</v>
      </c>
      <c r="Q202" s="4">
        <v>1.49</v>
      </c>
      <c r="R202" s="4">
        <v>1815.8525733157076</v>
      </c>
      <c r="S202" s="4">
        <v>2338.2847000963566</v>
      </c>
      <c r="T202" s="4">
        <v>180</v>
      </c>
      <c r="U202" s="4">
        <v>22.36</v>
      </c>
      <c r="V202" s="4">
        <v>14.1</v>
      </c>
      <c r="W202" s="4"/>
      <c r="X202" s="7">
        <v>38847</v>
      </c>
      <c r="Y202" s="68">
        <v>2497.9775472931883</v>
      </c>
      <c r="Z202" s="68">
        <v>3230.5871968933589</v>
      </c>
    </row>
    <row r="203" spans="1:26" x14ac:dyDescent="0.3">
      <c r="A203" s="7">
        <v>38854</v>
      </c>
      <c r="B203" s="19">
        <v>2.92</v>
      </c>
      <c r="C203" s="2">
        <v>-158</v>
      </c>
      <c r="D203" s="2">
        <v>-72.5</v>
      </c>
      <c r="E203" s="2">
        <v>393</v>
      </c>
      <c r="F203" s="19">
        <v>34.832999999999998</v>
      </c>
      <c r="G203" s="19">
        <v>25.463000000000001</v>
      </c>
      <c r="I203" s="10">
        <v>38854</v>
      </c>
      <c r="J203" s="27">
        <f t="shared" si="23"/>
        <v>195.9731543624161</v>
      </c>
      <c r="K203" s="11">
        <f t="shared" si="32"/>
        <v>128.86385060547286</v>
      </c>
      <c r="L203" s="11">
        <f t="shared" si="33"/>
        <v>135.05999490837107</v>
      </c>
      <c r="M203" s="27">
        <f t="shared" si="22"/>
        <v>218.33333333333337</v>
      </c>
      <c r="N203" s="27">
        <f t="shared" si="30"/>
        <v>155.78264758497315</v>
      </c>
      <c r="O203" s="27">
        <f t="shared" si="31"/>
        <v>180.58865248226951</v>
      </c>
      <c r="Q203" s="4">
        <v>1.49</v>
      </c>
      <c r="R203" s="4">
        <v>1815.8525733157076</v>
      </c>
      <c r="S203" s="4">
        <v>2338.2847000963566</v>
      </c>
      <c r="T203" s="4">
        <v>180</v>
      </c>
      <c r="U203" s="4">
        <v>22.36</v>
      </c>
      <c r="V203" s="4">
        <v>14.1</v>
      </c>
      <c r="W203" s="4"/>
      <c r="X203" s="7">
        <v>38854</v>
      </c>
      <c r="Y203" s="68">
        <v>2497.9775472931883</v>
      </c>
      <c r="Z203" s="68">
        <v>3230.5871968933589</v>
      </c>
    </row>
    <row r="204" spans="1:26" x14ac:dyDescent="0.3">
      <c r="A204" s="7">
        <v>38861</v>
      </c>
      <c r="B204" s="19">
        <v>2.8879999999999999</v>
      </c>
      <c r="C204" s="2">
        <v>0</v>
      </c>
      <c r="D204" s="2">
        <v>-87.5</v>
      </c>
      <c r="E204" s="2">
        <v>384</v>
      </c>
      <c r="F204" s="19">
        <v>35.133000000000003</v>
      </c>
      <c r="G204" s="19">
        <v>25.443000000000001</v>
      </c>
      <c r="I204" s="10">
        <v>38861</v>
      </c>
      <c r="J204" s="27">
        <f t="shared" si="23"/>
        <v>193.82550335570471</v>
      </c>
      <c r="K204" s="11">
        <f t="shared" si="32"/>
        <v>137.56499751144088</v>
      </c>
      <c r="L204" s="11">
        <f t="shared" si="33"/>
        <v>134.41849902896075</v>
      </c>
      <c r="M204" s="27">
        <f t="shared" si="22"/>
        <v>213.33333333333334</v>
      </c>
      <c r="N204" s="27">
        <f t="shared" si="30"/>
        <v>157.12432915921289</v>
      </c>
      <c r="O204" s="27">
        <f t="shared" si="31"/>
        <v>180.44680851063833</v>
      </c>
      <c r="Q204" s="4">
        <v>1.49</v>
      </c>
      <c r="R204" s="4">
        <v>1815.8525733157076</v>
      </c>
      <c r="S204" s="4">
        <v>2338.2847000963566</v>
      </c>
      <c r="T204" s="4">
        <v>180</v>
      </c>
      <c r="U204" s="4">
        <v>22.36</v>
      </c>
      <c r="V204" s="4">
        <v>14.1</v>
      </c>
      <c r="W204" s="4"/>
      <c r="X204" s="7">
        <v>38861</v>
      </c>
      <c r="Y204" s="68">
        <v>2497.9775472931883</v>
      </c>
      <c r="Z204" s="68">
        <v>3230.5871968933589</v>
      </c>
    </row>
    <row r="205" spans="1:26" x14ac:dyDescent="0.3">
      <c r="A205" s="7">
        <v>38868</v>
      </c>
      <c r="B205" s="19">
        <v>2.8820000000000001</v>
      </c>
      <c r="C205" s="2">
        <v>-9</v>
      </c>
      <c r="D205" s="2">
        <v>250</v>
      </c>
      <c r="E205" s="2">
        <v>351</v>
      </c>
      <c r="F205" s="19">
        <v>35.11</v>
      </c>
      <c r="G205" s="19">
        <v>25.856999999999999</v>
      </c>
      <c r="I205" s="10">
        <v>38868</v>
      </c>
      <c r="J205" s="27">
        <f t="shared" si="23"/>
        <v>193.42281879194633</v>
      </c>
      <c r="K205" s="11">
        <f t="shared" si="32"/>
        <v>137.1780744080215</v>
      </c>
      <c r="L205" s="11">
        <f t="shared" si="33"/>
        <v>149.12875354707765</v>
      </c>
      <c r="M205" s="27">
        <f t="shared" si="22"/>
        <v>195</v>
      </c>
      <c r="N205" s="27">
        <f t="shared" si="30"/>
        <v>157.02146690518782</v>
      </c>
      <c r="O205" s="27">
        <f t="shared" si="31"/>
        <v>183.38297872340425</v>
      </c>
      <c r="Q205" s="4">
        <v>1.49</v>
      </c>
      <c r="R205" s="4">
        <v>1815.8525733157076</v>
      </c>
      <c r="S205" s="4">
        <v>2338.2847000963566</v>
      </c>
      <c r="T205" s="4">
        <v>180</v>
      </c>
      <c r="U205" s="4">
        <v>22.36</v>
      </c>
      <c r="V205" s="4">
        <v>14.1</v>
      </c>
      <c r="W205" s="4"/>
      <c r="X205" s="7">
        <v>38868</v>
      </c>
      <c r="Y205" s="68">
        <v>2499.9515941629943</v>
      </c>
      <c r="Z205" s="68">
        <v>3237.0548276357194</v>
      </c>
    </row>
    <row r="206" spans="1:26" x14ac:dyDescent="0.3">
      <c r="A206" s="7">
        <v>38875</v>
      </c>
      <c r="B206" s="19">
        <v>2.89</v>
      </c>
      <c r="C206" s="2">
        <v>-61.5</v>
      </c>
      <c r="D206" s="2">
        <v>-12.5</v>
      </c>
      <c r="E206" s="2">
        <v>375</v>
      </c>
      <c r="F206" s="19">
        <v>35.703000000000003</v>
      </c>
      <c r="G206" s="19">
        <v>27.41</v>
      </c>
      <c r="I206" s="10">
        <v>38875</v>
      </c>
      <c r="J206" s="27">
        <f t="shared" si="23"/>
        <v>193.95973154362417</v>
      </c>
      <c r="K206" s="11">
        <f t="shared" si="32"/>
        <v>136.8972057714125</v>
      </c>
      <c r="L206" s="11">
        <f t="shared" si="33"/>
        <v>141.85093327984438</v>
      </c>
      <c r="M206" s="27">
        <f t="shared" si="22"/>
        <v>208.33333333333331</v>
      </c>
      <c r="N206" s="27">
        <f t="shared" si="30"/>
        <v>159.67352415026835</v>
      </c>
      <c r="O206" s="27">
        <f t="shared" si="31"/>
        <v>194.39716312056737</v>
      </c>
      <c r="Q206" s="4">
        <v>1.49</v>
      </c>
      <c r="R206" s="4">
        <v>1815.8525733157076</v>
      </c>
      <c r="S206" s="4">
        <v>2338.2847000963566</v>
      </c>
      <c r="T206" s="4">
        <v>180</v>
      </c>
      <c r="U206" s="4">
        <v>22.36</v>
      </c>
      <c r="V206" s="4">
        <v>14.1</v>
      </c>
      <c r="W206" s="4"/>
      <c r="X206" s="7">
        <v>38875</v>
      </c>
      <c r="Y206" s="68">
        <v>2547.351433797493</v>
      </c>
      <c r="Z206" s="68">
        <v>3329.3786698264926</v>
      </c>
    </row>
    <row r="207" spans="1:26" x14ac:dyDescent="0.3">
      <c r="A207" s="7">
        <v>38882</v>
      </c>
      <c r="B207" s="19">
        <v>2.9180000000000001</v>
      </c>
      <c r="C207" s="2">
        <v>-73</v>
      </c>
      <c r="D207" s="2">
        <v>-127</v>
      </c>
      <c r="E207" s="2">
        <v>387</v>
      </c>
      <c r="F207" s="19">
        <v>36.976999999999997</v>
      </c>
      <c r="G207" s="19">
        <v>29.07</v>
      </c>
      <c r="I207" s="10">
        <v>38882</v>
      </c>
      <c r="J207" s="27">
        <f t="shared" si="23"/>
        <v>195.83892617449666</v>
      </c>
      <c r="K207" s="11">
        <f t="shared" si="32"/>
        <v>136.26389444597811</v>
      </c>
      <c r="L207" s="11">
        <f t="shared" si="33"/>
        <v>136.95418140034565</v>
      </c>
      <c r="M207" s="27">
        <f t="shared" si="22"/>
        <v>215</v>
      </c>
      <c r="N207" s="27">
        <f t="shared" si="30"/>
        <v>165.37119856887296</v>
      </c>
      <c r="O207" s="27">
        <f t="shared" si="31"/>
        <v>206.17021276595747</v>
      </c>
      <c r="Q207" s="4">
        <v>1.49</v>
      </c>
      <c r="R207" s="4">
        <v>1815.8525733157076</v>
      </c>
      <c r="S207" s="4">
        <v>2338.2847000963566</v>
      </c>
      <c r="T207" s="4">
        <v>180</v>
      </c>
      <c r="U207" s="4">
        <v>22.36</v>
      </c>
      <c r="V207" s="4">
        <v>14.1</v>
      </c>
      <c r="W207" s="4"/>
      <c r="X207" s="7">
        <v>38882</v>
      </c>
      <c r="Y207" s="68">
        <v>2547.351433797493</v>
      </c>
      <c r="Z207" s="68">
        <v>3329.3786698264926</v>
      </c>
    </row>
    <row r="208" spans="1:26" x14ac:dyDescent="0.3">
      <c r="A208" s="7">
        <v>38889</v>
      </c>
      <c r="B208" s="19">
        <v>2.915</v>
      </c>
      <c r="C208" s="2">
        <v>-138</v>
      </c>
      <c r="D208" s="2">
        <v>-189</v>
      </c>
      <c r="E208" s="2">
        <v>382</v>
      </c>
      <c r="F208" s="19">
        <v>36.859000000000002</v>
      </c>
      <c r="G208" s="19">
        <v>28.672999999999998</v>
      </c>
      <c r="I208" s="10">
        <v>38889</v>
      </c>
      <c r="J208" s="27">
        <f t="shared" si="23"/>
        <v>195.63758389261744</v>
      </c>
      <c r="K208" s="11">
        <f t="shared" si="32"/>
        <v>132.68430869352292</v>
      </c>
      <c r="L208" s="11">
        <f t="shared" si="33"/>
        <v>134.30266509878302</v>
      </c>
      <c r="M208" s="27">
        <f t="shared" si="22"/>
        <v>212.22222222222223</v>
      </c>
      <c r="N208" s="27">
        <f t="shared" si="30"/>
        <v>164.84347048300538</v>
      </c>
      <c r="O208" s="27">
        <f t="shared" si="31"/>
        <v>203.35460992907804</v>
      </c>
      <c r="Q208" s="4">
        <v>1.49</v>
      </c>
      <c r="R208" s="4">
        <v>1815.8525733157076</v>
      </c>
      <c r="S208" s="4">
        <v>2338.2847000963566</v>
      </c>
      <c r="T208" s="4">
        <v>180</v>
      </c>
      <c r="U208" s="4">
        <v>22.36</v>
      </c>
      <c r="V208" s="4">
        <v>14.1</v>
      </c>
      <c r="W208" s="4"/>
      <c r="X208" s="7">
        <v>38889</v>
      </c>
      <c r="Y208" s="68">
        <v>2547.351433797493</v>
      </c>
      <c r="Z208" s="68">
        <v>3329.3786698264926</v>
      </c>
    </row>
    <row r="209" spans="1:26" x14ac:dyDescent="0.3">
      <c r="A209" s="7">
        <v>38896</v>
      </c>
      <c r="B209" s="19">
        <v>2.867</v>
      </c>
      <c r="C209" s="2">
        <v>-4.5</v>
      </c>
      <c r="D209" s="2">
        <v>-191</v>
      </c>
      <c r="E209" s="2">
        <v>416</v>
      </c>
      <c r="F209" s="19">
        <v>38.741</v>
      </c>
      <c r="G209" s="19">
        <v>30.283000000000001</v>
      </c>
      <c r="I209" s="10">
        <v>38896</v>
      </c>
      <c r="J209" s="27">
        <f t="shared" si="23"/>
        <v>192.41610738255034</v>
      </c>
      <c r="K209" s="11">
        <f t="shared" si="32"/>
        <v>140.02572012015284</v>
      </c>
      <c r="L209" s="11">
        <f t="shared" si="33"/>
        <v>134.31375599315118</v>
      </c>
      <c r="M209" s="27">
        <f t="shared" si="22"/>
        <v>231.11111111111109</v>
      </c>
      <c r="N209" s="27">
        <f t="shared" si="30"/>
        <v>173.2602862254025</v>
      </c>
      <c r="O209" s="27">
        <f t="shared" si="31"/>
        <v>214.77304964539007</v>
      </c>
      <c r="Q209" s="4">
        <v>1.49</v>
      </c>
      <c r="R209" s="4">
        <v>1815.8525733157076</v>
      </c>
      <c r="S209" s="4">
        <v>2338.2847000963566</v>
      </c>
      <c r="T209" s="4">
        <v>180</v>
      </c>
      <c r="U209" s="4">
        <v>22.36</v>
      </c>
      <c r="V209" s="4">
        <v>14.1</v>
      </c>
      <c r="W209" s="4"/>
      <c r="X209" s="7">
        <v>38896</v>
      </c>
      <c r="Y209" s="68">
        <v>2547.1606421056458</v>
      </c>
      <c r="Z209" s="68">
        <v>3331.6380065126068</v>
      </c>
    </row>
    <row r="210" spans="1:26" x14ac:dyDescent="0.3">
      <c r="A210" s="7">
        <v>38903</v>
      </c>
      <c r="B210" s="19">
        <v>2.8980000000000001</v>
      </c>
      <c r="C210" s="2">
        <v>-7</v>
      </c>
      <c r="D210" s="2">
        <v>-148</v>
      </c>
      <c r="E210" s="2">
        <v>443</v>
      </c>
      <c r="F210" s="19">
        <v>39.917000000000002</v>
      </c>
      <c r="G210" s="19">
        <v>31.443000000000001</v>
      </c>
      <c r="I210" s="10">
        <v>38903</v>
      </c>
      <c r="J210" s="27">
        <f t="shared" si="23"/>
        <v>194.49664429530202</v>
      </c>
      <c r="K210" s="11">
        <f t="shared" si="32"/>
        <v>140.96344142356475</v>
      </c>
      <c r="L210" s="11">
        <f t="shared" si="33"/>
        <v>138.62293915877285</v>
      </c>
      <c r="M210" s="27">
        <f t="shared" si="22"/>
        <v>246.11111111111111</v>
      </c>
      <c r="N210" s="27">
        <f t="shared" si="30"/>
        <v>178.51967799642222</v>
      </c>
      <c r="O210" s="27">
        <f t="shared" si="31"/>
        <v>223.00000000000006</v>
      </c>
      <c r="Q210" s="4">
        <v>1.49</v>
      </c>
      <c r="R210" s="4">
        <v>1815.8525733157076</v>
      </c>
      <c r="S210" s="4">
        <v>2338.2847000963566</v>
      </c>
      <c r="T210" s="4">
        <v>180</v>
      </c>
      <c r="U210" s="4">
        <v>22.36</v>
      </c>
      <c r="V210" s="4">
        <v>14.1</v>
      </c>
      <c r="W210" s="4"/>
      <c r="X210" s="7">
        <v>38903</v>
      </c>
      <c r="Y210" s="68">
        <v>2566.6882785241805</v>
      </c>
      <c r="Z210" s="68">
        <v>3389.3989771734664</v>
      </c>
    </row>
    <row r="211" spans="1:26" x14ac:dyDescent="0.3">
      <c r="A211" s="7">
        <v>38910</v>
      </c>
      <c r="B211" s="19">
        <v>2.9180000000000001</v>
      </c>
      <c r="C211" s="2">
        <v>3.5</v>
      </c>
      <c r="D211" s="2">
        <v>2</v>
      </c>
      <c r="E211" s="2">
        <v>493</v>
      </c>
      <c r="F211" s="19">
        <v>38.533999999999999</v>
      </c>
      <c r="G211" s="19">
        <v>30.12</v>
      </c>
      <c r="I211" s="10">
        <v>38910</v>
      </c>
      <c r="J211" s="27">
        <f t="shared" si="23"/>
        <v>195.83892617449666</v>
      </c>
      <c r="K211" s="11">
        <f t="shared" si="32"/>
        <v>141.54168219896135</v>
      </c>
      <c r="L211" s="11">
        <f t="shared" si="33"/>
        <v>145.03789795287599</v>
      </c>
      <c r="M211" s="27">
        <f t="shared" si="22"/>
        <v>273.88888888888891</v>
      </c>
      <c r="N211" s="27">
        <f t="shared" si="30"/>
        <v>172.3345259391771</v>
      </c>
      <c r="O211" s="27">
        <f t="shared" si="31"/>
        <v>213.61702127659578</v>
      </c>
      <c r="Q211" s="4">
        <v>1.49</v>
      </c>
      <c r="R211" s="4">
        <v>1815.8525733157076</v>
      </c>
      <c r="S211" s="4">
        <v>2338.2847000963566</v>
      </c>
      <c r="T211" s="4">
        <v>180</v>
      </c>
      <c r="U211" s="4">
        <v>22.36</v>
      </c>
      <c r="V211" s="4">
        <v>14.1</v>
      </c>
      <c r="W211" s="4"/>
      <c r="X211" s="7">
        <v>38910</v>
      </c>
      <c r="Y211" s="68">
        <v>2566.6882785241805</v>
      </c>
      <c r="Z211" s="68">
        <v>3389.3989771734664</v>
      </c>
    </row>
    <row r="212" spans="1:26" x14ac:dyDescent="0.3">
      <c r="A212" s="7">
        <v>38917</v>
      </c>
      <c r="B212" s="19">
        <v>2.9260000000000002</v>
      </c>
      <c r="C212" s="2">
        <v>-42</v>
      </c>
      <c r="D212" s="2">
        <v>44.5</v>
      </c>
      <c r="E212" s="2">
        <v>526</v>
      </c>
      <c r="F212" s="19">
        <v>39.334000000000003</v>
      </c>
      <c r="G212" s="19">
        <v>30.09</v>
      </c>
      <c r="I212" s="10">
        <v>38917</v>
      </c>
      <c r="J212" s="27">
        <f t="shared" si="23"/>
        <v>196.37583892617448</v>
      </c>
      <c r="K212" s="11">
        <f t="shared" si="32"/>
        <v>139.03597217224274</v>
      </c>
      <c r="L212" s="11">
        <f t="shared" si="33"/>
        <v>146.85546961120522</v>
      </c>
      <c r="M212" s="27">
        <f t="shared" si="22"/>
        <v>292.22222222222223</v>
      </c>
      <c r="N212" s="27">
        <f t="shared" si="30"/>
        <v>175.91234347048302</v>
      </c>
      <c r="O212" s="27">
        <f t="shared" si="31"/>
        <v>213.40425531914894</v>
      </c>
      <c r="Q212" s="4">
        <v>1.49</v>
      </c>
      <c r="R212" s="4">
        <v>1815.8525733157076</v>
      </c>
      <c r="S212" s="4">
        <v>2338.2847000963566</v>
      </c>
      <c r="T212" s="4">
        <v>180</v>
      </c>
      <c r="U212" s="4">
        <v>22.36</v>
      </c>
      <c r="V212" s="4">
        <v>14.1</v>
      </c>
      <c r="W212" s="4"/>
      <c r="X212" s="7">
        <v>38917</v>
      </c>
      <c r="Y212" s="68">
        <v>2566.6882785241805</v>
      </c>
      <c r="Z212" s="68">
        <v>3389.3989771734664</v>
      </c>
    </row>
    <row r="213" spans="1:26" x14ac:dyDescent="0.3">
      <c r="A213" s="7">
        <v>38924</v>
      </c>
      <c r="B213" s="19">
        <v>2.9460000000000002</v>
      </c>
      <c r="C213" s="2">
        <v>-54</v>
      </c>
      <c r="D213" s="2">
        <v>-126.5</v>
      </c>
      <c r="E213" s="2">
        <v>496</v>
      </c>
      <c r="F213" s="19">
        <v>40.584000000000003</v>
      </c>
      <c r="G213" s="19">
        <v>30.62</v>
      </c>
      <c r="I213" s="10">
        <v>38924</v>
      </c>
      <c r="J213" s="27">
        <f t="shared" si="23"/>
        <v>197.71812080536915</v>
      </c>
      <c r="K213" s="11">
        <f t="shared" si="32"/>
        <v>138.21633166047397</v>
      </c>
      <c r="L213" s="11">
        <f t="shared" si="33"/>
        <v>139.73745845743284</v>
      </c>
      <c r="M213" s="27">
        <f t="shared" si="22"/>
        <v>275.55555555555554</v>
      </c>
      <c r="N213" s="27">
        <f t="shared" si="30"/>
        <v>181.50268336314849</v>
      </c>
      <c r="O213" s="27">
        <f t="shared" si="31"/>
        <v>217.16312056737596</v>
      </c>
      <c r="Q213" s="4">
        <v>1.49</v>
      </c>
      <c r="R213" s="4">
        <v>1815.8525733157076</v>
      </c>
      <c r="S213" s="4">
        <v>2338.2847000963566</v>
      </c>
      <c r="T213" s="4">
        <v>180</v>
      </c>
      <c r="U213" s="4">
        <v>22.36</v>
      </c>
      <c r="V213" s="4">
        <v>14.1</v>
      </c>
      <c r="W213" s="4"/>
      <c r="X213" s="7">
        <v>38924</v>
      </c>
      <c r="Y213" s="68">
        <v>2563.8048151992898</v>
      </c>
      <c r="Z213" s="68">
        <v>3393.9596114136543</v>
      </c>
    </row>
    <row r="214" spans="1:26" x14ac:dyDescent="0.3">
      <c r="A214" s="7">
        <v>38931</v>
      </c>
      <c r="B214" s="19">
        <v>2.98</v>
      </c>
      <c r="C214" s="2">
        <v>-29.5</v>
      </c>
      <c r="D214" s="2">
        <v>-188</v>
      </c>
      <c r="E214" s="2">
        <v>498</v>
      </c>
      <c r="F214" s="19">
        <v>41.453000000000003</v>
      </c>
      <c r="G214" s="19">
        <v>30.056999999999999</v>
      </c>
      <c r="I214" s="10">
        <v>38931</v>
      </c>
      <c r="J214" s="27">
        <f t="shared" si="23"/>
        <v>200</v>
      </c>
      <c r="K214" s="11">
        <f t="shared" si="32"/>
        <v>139.48191662358764</v>
      </c>
      <c r="L214" s="11">
        <f t="shared" si="33"/>
        <v>137.97192035730268</v>
      </c>
      <c r="M214" s="27">
        <f t="shared" si="22"/>
        <v>276.66666666666669</v>
      </c>
      <c r="N214" s="27">
        <f t="shared" si="30"/>
        <v>185.38908765652954</v>
      </c>
      <c r="O214" s="27">
        <f t="shared" si="31"/>
        <v>213.17021276595742</v>
      </c>
      <c r="Q214" s="4">
        <v>1.49</v>
      </c>
      <c r="R214" s="4">
        <v>1815.8525733157076</v>
      </c>
      <c r="S214" s="4">
        <v>2338.2847000963566</v>
      </c>
      <c r="T214" s="4">
        <v>180</v>
      </c>
      <c r="U214" s="4">
        <v>22.36</v>
      </c>
      <c r="V214" s="4">
        <v>14.1</v>
      </c>
      <c r="W214" s="4"/>
      <c r="X214" s="7">
        <v>38931</v>
      </c>
      <c r="Y214" s="68">
        <v>2562.2859723194861</v>
      </c>
      <c r="Z214" s="68">
        <v>3414.176304143939</v>
      </c>
    </row>
    <row r="215" spans="1:26" x14ac:dyDescent="0.3">
      <c r="A215" s="7">
        <v>38938</v>
      </c>
      <c r="B215" s="19">
        <v>3.0550000000000002</v>
      </c>
      <c r="C215" s="2">
        <v>66.5</v>
      </c>
      <c r="D215" s="2">
        <v>-179</v>
      </c>
      <c r="E215" s="2">
        <v>572</v>
      </c>
      <c r="F215" s="19">
        <v>43.533999999999999</v>
      </c>
      <c r="G215" s="19">
        <v>32.057000000000002</v>
      </c>
      <c r="I215" s="10">
        <v>38938</v>
      </c>
      <c r="J215" s="27">
        <f t="shared" si="23"/>
        <v>205.03355704697989</v>
      </c>
      <c r="K215" s="11">
        <f t="shared" si="32"/>
        <v>144.76868942721376</v>
      </c>
      <c r="L215" s="11">
        <f t="shared" si="33"/>
        <v>138.35681788494887</v>
      </c>
      <c r="M215" s="27">
        <f t="shared" si="22"/>
        <v>317.77777777777777</v>
      </c>
      <c r="N215" s="27">
        <f t="shared" si="30"/>
        <v>194.69588550983897</v>
      </c>
      <c r="O215" s="27">
        <f t="shared" si="31"/>
        <v>227.35460992907807</v>
      </c>
      <c r="Q215" s="4">
        <v>1.49</v>
      </c>
      <c r="R215" s="4">
        <v>1815.8525733157076</v>
      </c>
      <c r="S215" s="4">
        <v>2338.2847000963566</v>
      </c>
      <c r="T215" s="4">
        <v>180</v>
      </c>
      <c r="U215" s="4">
        <v>22.36</v>
      </c>
      <c r="V215" s="4">
        <v>14.1</v>
      </c>
      <c r="W215" s="4"/>
      <c r="X215" s="7">
        <v>38938</v>
      </c>
      <c r="Y215" s="68">
        <v>2562.2859723194861</v>
      </c>
      <c r="Z215" s="68">
        <v>3414.176304143939</v>
      </c>
    </row>
    <row r="216" spans="1:26" x14ac:dyDescent="0.3">
      <c r="A216" s="7">
        <v>38945</v>
      </c>
      <c r="B216" s="19">
        <v>3.0649999999999999</v>
      </c>
      <c r="C216" s="2">
        <v>-8</v>
      </c>
      <c r="D216" s="2">
        <v>105.5</v>
      </c>
      <c r="E216" s="2">
        <v>569</v>
      </c>
      <c r="F216" s="19">
        <v>45.277000000000001</v>
      </c>
      <c r="G216" s="19">
        <v>33.353999999999999</v>
      </c>
      <c r="I216" s="10">
        <v>38945</v>
      </c>
      <c r="J216" s="27">
        <f t="shared" si="23"/>
        <v>205.70469798657717</v>
      </c>
      <c r="K216" s="11">
        <f t="shared" si="32"/>
        <v>140.66593344939974</v>
      </c>
      <c r="L216" s="11">
        <f t="shared" si="33"/>
        <v>150.52385639776452</v>
      </c>
      <c r="M216" s="27">
        <f t="shared" si="22"/>
        <v>316.11111111111109</v>
      </c>
      <c r="N216" s="27">
        <f t="shared" si="30"/>
        <v>202.49105545617175</v>
      </c>
      <c r="O216" s="27">
        <f t="shared" si="31"/>
        <v>236.55319148936167</v>
      </c>
      <c r="Q216" s="4">
        <v>1.49</v>
      </c>
      <c r="R216" s="4">
        <v>1815.8525733157076</v>
      </c>
      <c r="S216" s="4">
        <v>2338.2847000963566</v>
      </c>
      <c r="T216" s="4">
        <v>180</v>
      </c>
      <c r="U216" s="4">
        <v>22.36</v>
      </c>
      <c r="V216" s="4">
        <v>14.1</v>
      </c>
      <c r="W216" s="4"/>
      <c r="X216" s="7">
        <v>38945</v>
      </c>
      <c r="Y216" s="68">
        <v>2562.2859723194861</v>
      </c>
      <c r="Z216" s="68">
        <v>3414.176304143939</v>
      </c>
    </row>
    <row r="217" spans="1:26" x14ac:dyDescent="0.3">
      <c r="A217" s="7">
        <v>38952</v>
      </c>
      <c r="B217" s="19">
        <v>3.0329999999999999</v>
      </c>
      <c r="C217" s="2">
        <v>50</v>
      </c>
      <c r="D217" s="2">
        <v>152</v>
      </c>
      <c r="E217" s="2">
        <v>579</v>
      </c>
      <c r="F217" s="19">
        <v>45.628</v>
      </c>
      <c r="G217" s="19">
        <v>33.317</v>
      </c>
      <c r="I217" s="10">
        <v>38952</v>
      </c>
      <c r="J217" s="27">
        <f t="shared" si="23"/>
        <v>203.55704697986576</v>
      </c>
      <c r="K217" s="11">
        <f t="shared" si="32"/>
        <v>143.86002535159054</v>
      </c>
      <c r="L217" s="11">
        <f t="shared" si="33"/>
        <v>152.51249362393654</v>
      </c>
      <c r="M217" s="27">
        <f t="shared" si="22"/>
        <v>321.66666666666669</v>
      </c>
      <c r="N217" s="27">
        <f t="shared" si="30"/>
        <v>204.0608228980322</v>
      </c>
      <c r="O217" s="27">
        <f t="shared" si="31"/>
        <v>236.29078014184398</v>
      </c>
      <c r="Q217" s="4">
        <v>1.49</v>
      </c>
      <c r="R217" s="4">
        <v>1815.8525733157076</v>
      </c>
      <c r="S217" s="4">
        <v>2338.2847000963566</v>
      </c>
      <c r="T217" s="4">
        <v>180</v>
      </c>
      <c r="U217" s="4">
        <v>22.36</v>
      </c>
      <c r="V217" s="4">
        <v>14.1</v>
      </c>
      <c r="W217" s="4"/>
      <c r="X217" s="7">
        <v>38952</v>
      </c>
      <c r="Y217" s="68">
        <v>2562.2859723194861</v>
      </c>
      <c r="Z217" s="68">
        <v>3414.176304143939</v>
      </c>
    </row>
    <row r="218" spans="1:26" x14ac:dyDescent="0.3">
      <c r="A218" s="7">
        <v>38959</v>
      </c>
      <c r="B218" s="19">
        <v>3.0270000000000001</v>
      </c>
      <c r="C218" s="2">
        <v>377.5</v>
      </c>
      <c r="D218" s="2">
        <v>262.5</v>
      </c>
      <c r="E218" s="2">
        <v>569</v>
      </c>
      <c r="F218" s="19">
        <v>46.85</v>
      </c>
      <c r="G218" s="19">
        <v>33.57</v>
      </c>
      <c r="I218" s="10">
        <v>38959</v>
      </c>
      <c r="J218" s="27">
        <f t="shared" si="23"/>
        <v>203.1543624161074</v>
      </c>
      <c r="K218" s="11">
        <f t="shared" si="32"/>
        <v>162.16532552332509</v>
      </c>
      <c r="L218" s="11">
        <f t="shared" si="33"/>
        <v>157.12172947937714</v>
      </c>
      <c r="M218" s="27">
        <f t="shared" si="22"/>
        <v>316.11111111111109</v>
      </c>
      <c r="N218" s="27">
        <f t="shared" si="30"/>
        <v>209.52593917710198</v>
      </c>
      <c r="O218" s="27">
        <f t="shared" si="31"/>
        <v>238.08510638297875</v>
      </c>
      <c r="Q218" s="4">
        <v>1.49</v>
      </c>
      <c r="R218" s="4">
        <v>1815.8525733157076</v>
      </c>
      <c r="S218" s="4">
        <v>2338.2847000963566</v>
      </c>
      <c r="T218" s="4">
        <v>180</v>
      </c>
      <c r="U218" s="4">
        <v>22.36</v>
      </c>
      <c r="V218" s="4">
        <v>14.1</v>
      </c>
      <c r="W218" s="4"/>
      <c r="X218" s="7">
        <v>38959</v>
      </c>
      <c r="Y218" s="68">
        <v>2567.1832365410928</v>
      </c>
      <c r="Z218" s="68">
        <v>3411.4533609430623</v>
      </c>
    </row>
    <row r="219" spans="1:26" x14ac:dyDescent="0.3">
      <c r="A219" s="7">
        <v>38966</v>
      </c>
      <c r="B219" s="19">
        <v>2.9670000000000001</v>
      </c>
      <c r="C219" s="2">
        <v>396</v>
      </c>
      <c r="D219" s="2">
        <v>471.5</v>
      </c>
      <c r="E219" s="2">
        <v>504</v>
      </c>
      <c r="F219" s="19">
        <v>49.23</v>
      </c>
      <c r="G219" s="19">
        <v>35.356999999999999</v>
      </c>
      <c r="I219" s="10">
        <v>38966</v>
      </c>
      <c r="J219" s="27">
        <f t="shared" si="23"/>
        <v>199.1275167785235</v>
      </c>
      <c r="K219" s="11">
        <f t="shared" si="32"/>
        <v>163.27213194792211</v>
      </c>
      <c r="L219" s="11">
        <f t="shared" si="33"/>
        <v>166.53578601510603</v>
      </c>
      <c r="M219" s="27">
        <f t="shared" ref="M219:M236" si="34">(1+(E219-T219)/T219)*100</f>
        <v>280</v>
      </c>
      <c r="N219" s="27">
        <f t="shared" si="30"/>
        <v>220.16994633273703</v>
      </c>
      <c r="O219" s="27">
        <f t="shared" si="31"/>
        <v>250.75886524822693</v>
      </c>
      <c r="Q219" s="4">
        <v>1.49</v>
      </c>
      <c r="R219" s="4">
        <v>1815.8525733157076</v>
      </c>
      <c r="S219" s="4">
        <v>2338.2847000963566</v>
      </c>
      <c r="T219" s="4">
        <v>180</v>
      </c>
      <c r="U219" s="4">
        <v>22.36</v>
      </c>
      <c r="V219" s="4">
        <v>14.1</v>
      </c>
      <c r="W219" s="4"/>
      <c r="X219" s="7">
        <v>38966</v>
      </c>
      <c r="Y219" s="68">
        <v>2568.7812094837614</v>
      </c>
      <c r="Z219" s="68">
        <v>3422.5808045764315</v>
      </c>
    </row>
    <row r="220" spans="1:26" x14ac:dyDescent="0.3">
      <c r="A220" s="7">
        <v>38973</v>
      </c>
      <c r="B220" s="19">
        <v>2.8570000000000002</v>
      </c>
      <c r="C220" s="2">
        <v>50</v>
      </c>
      <c r="D220" s="2">
        <v>477.5</v>
      </c>
      <c r="E220" s="2">
        <v>514</v>
      </c>
      <c r="F220" s="19">
        <v>50.427999999999997</v>
      </c>
      <c r="G220" s="19">
        <v>36.476999999999997</v>
      </c>
      <c r="I220" s="10">
        <v>38973</v>
      </c>
      <c r="J220" s="27">
        <f t="shared" ref="J220:J308" si="35">(1+(B220-Q220)/Q220)*100</f>
        <v>191.74496644295306</v>
      </c>
      <c r="K220" s="11">
        <f t="shared" si="32"/>
        <v>144.21772163485295</v>
      </c>
      <c r="L220" s="11">
        <f t="shared" si="33"/>
        <v>166.79238436687015</v>
      </c>
      <c r="M220" s="27">
        <f t="shared" si="34"/>
        <v>285.55555555555554</v>
      </c>
      <c r="N220" s="27">
        <f t="shared" si="30"/>
        <v>225.52772808586764</v>
      </c>
      <c r="O220" s="27">
        <f t="shared" si="31"/>
        <v>258.70212765957444</v>
      </c>
      <c r="Q220" s="4">
        <v>1.49</v>
      </c>
      <c r="R220" s="4">
        <v>1815.8525733157076</v>
      </c>
      <c r="S220" s="4">
        <v>2338.2847000963566</v>
      </c>
      <c r="T220" s="4">
        <v>180</v>
      </c>
      <c r="U220" s="4">
        <v>22.36</v>
      </c>
      <c r="V220" s="4">
        <v>14.1</v>
      </c>
      <c r="W220" s="4"/>
      <c r="X220" s="7">
        <v>38973</v>
      </c>
      <c r="Y220" s="68">
        <v>2568.7812094837614</v>
      </c>
      <c r="Z220" s="68">
        <v>3422.5808045764315</v>
      </c>
    </row>
    <row r="221" spans="1:26" x14ac:dyDescent="0.3">
      <c r="A221" s="7">
        <v>38980</v>
      </c>
      <c r="B221" s="19">
        <v>2.71</v>
      </c>
      <c r="C221" s="2">
        <v>-75</v>
      </c>
      <c r="D221" s="2">
        <v>312.5</v>
      </c>
      <c r="E221" s="2">
        <v>540</v>
      </c>
      <c r="F221" s="19">
        <v>51.45</v>
      </c>
      <c r="G221" s="19">
        <v>39.460999999999999</v>
      </c>
      <c r="I221" s="10">
        <v>38980</v>
      </c>
      <c r="J221" s="27">
        <f t="shared" si="35"/>
        <v>181.87919463087246</v>
      </c>
      <c r="K221" s="11">
        <f t="shared" si="32"/>
        <v>137.33390288013143</v>
      </c>
      <c r="L221" s="11">
        <f t="shared" si="33"/>
        <v>159.73592969335667</v>
      </c>
      <c r="M221" s="27">
        <f t="shared" si="34"/>
        <v>300</v>
      </c>
      <c r="N221" s="27">
        <f t="shared" si="30"/>
        <v>230.09838998211097</v>
      </c>
      <c r="O221" s="27">
        <f t="shared" si="31"/>
        <v>279.86524822695031</v>
      </c>
      <c r="Q221" s="4">
        <v>1.49</v>
      </c>
      <c r="R221" s="4">
        <v>1815.8525733157076</v>
      </c>
      <c r="S221" s="4">
        <v>2338.2847000963566</v>
      </c>
      <c r="T221" s="4">
        <v>180</v>
      </c>
      <c r="U221" s="4">
        <v>22.36</v>
      </c>
      <c r="V221" s="4">
        <v>14.1</v>
      </c>
      <c r="W221" s="4"/>
      <c r="X221" s="7">
        <v>38980</v>
      </c>
      <c r="Y221" s="68">
        <v>2568.7812094837614</v>
      </c>
      <c r="Z221" s="68">
        <v>3422.5808045764315</v>
      </c>
    </row>
    <row r="222" spans="1:26" x14ac:dyDescent="0.3">
      <c r="A222" s="7">
        <v>38987</v>
      </c>
      <c r="B222" s="19">
        <v>2.5950000000000002</v>
      </c>
      <c r="C222" s="19">
        <v>48</v>
      </c>
      <c r="D222" s="67">
        <v>179</v>
      </c>
      <c r="E222" s="2">
        <v>581</v>
      </c>
      <c r="F222" s="19">
        <v>49.497</v>
      </c>
      <c r="G222" s="19">
        <v>36.9</v>
      </c>
      <c r="I222" s="10">
        <v>38987</v>
      </c>
      <c r="J222" s="27">
        <f t="shared" si="35"/>
        <v>174.16107382550337</v>
      </c>
      <c r="K222" s="11">
        <f t="shared" si="32"/>
        <v>144.1355461862974</v>
      </c>
      <c r="L222" s="11">
        <f t="shared" si="33"/>
        <v>154.56111325866215</v>
      </c>
      <c r="M222" s="27">
        <f t="shared" si="34"/>
        <v>322.77777777777777</v>
      </c>
      <c r="N222" s="27">
        <f t="shared" si="30"/>
        <v>221.36404293381037</v>
      </c>
      <c r="O222" s="27">
        <f t="shared" si="31"/>
        <v>261.7021276595745</v>
      </c>
      <c r="Q222" s="4">
        <v>1.49</v>
      </c>
      <c r="R222" s="4">
        <v>1815.8525733157076</v>
      </c>
      <c r="S222" s="4">
        <v>2338.2847000963566</v>
      </c>
      <c r="T222" s="4">
        <v>180</v>
      </c>
      <c r="U222" s="4">
        <v>22.36</v>
      </c>
      <c r="V222" s="4">
        <v>14.1</v>
      </c>
      <c r="W222" s="4"/>
      <c r="X222" s="7">
        <v>38987</v>
      </c>
      <c r="Y222" s="68">
        <v>2569.2890244865316</v>
      </c>
      <c r="Z222" s="68">
        <v>3435.0788636258985</v>
      </c>
    </row>
    <row r="223" spans="1:26" x14ac:dyDescent="0.3">
      <c r="A223" s="7">
        <v>38994</v>
      </c>
      <c r="B223" s="19">
        <v>2.5459999999999998</v>
      </c>
      <c r="C223" s="2">
        <v>63</v>
      </c>
      <c r="D223" s="2">
        <v>141.5</v>
      </c>
      <c r="E223" s="2">
        <v>610</v>
      </c>
      <c r="F223" s="19">
        <v>49.694000000000003</v>
      </c>
      <c r="G223" s="19">
        <v>38.627000000000002</v>
      </c>
      <c r="I223" s="10">
        <v>38994</v>
      </c>
      <c r="J223" s="27">
        <f t="shared" si="35"/>
        <v>170.8724832214765</v>
      </c>
      <c r="K223" s="11">
        <f t="shared" si="32"/>
        <v>146.35021969551639</v>
      </c>
      <c r="L223" s="11">
        <f t="shared" si="33"/>
        <v>157.48655684872952</v>
      </c>
      <c r="M223" s="27">
        <f t="shared" si="34"/>
        <v>338.88888888888886</v>
      </c>
      <c r="N223" s="27">
        <f t="shared" si="30"/>
        <v>222.24508050089446</v>
      </c>
      <c r="O223" s="27">
        <f t="shared" si="31"/>
        <v>273.95035460992909</v>
      </c>
      <c r="Q223" s="4">
        <v>1.49</v>
      </c>
      <c r="R223" s="4">
        <v>1815.8525733157076</v>
      </c>
      <c r="S223" s="4">
        <v>2338.2847000963566</v>
      </c>
      <c r="T223" s="4">
        <v>180</v>
      </c>
      <c r="U223" s="4">
        <v>22.36</v>
      </c>
      <c r="V223" s="4">
        <v>14.1</v>
      </c>
      <c r="W223" s="4"/>
      <c r="X223" s="7">
        <v>38994</v>
      </c>
      <c r="Y223" s="68">
        <v>2594.5042303942255</v>
      </c>
      <c r="Z223" s="68">
        <v>3540.9840635023934</v>
      </c>
    </row>
    <row r="224" spans="1:26" x14ac:dyDescent="0.3">
      <c r="A224" s="7">
        <v>39001</v>
      </c>
      <c r="B224" s="19">
        <v>2.5059999999999998</v>
      </c>
      <c r="C224" s="2">
        <v>-44</v>
      </c>
      <c r="D224" s="2">
        <v>282</v>
      </c>
      <c r="E224" s="2">
        <v>560</v>
      </c>
      <c r="F224" s="19">
        <v>49.293999999999997</v>
      </c>
      <c r="G224" s="19">
        <v>39.33</v>
      </c>
      <c r="I224" s="10">
        <v>39001</v>
      </c>
      <c r="J224" s="27">
        <f t="shared" si="35"/>
        <v>168.18791946308721</v>
      </c>
      <c r="K224" s="11">
        <f t="shared" si="32"/>
        <v>140.45767084147477</v>
      </c>
      <c r="L224" s="11">
        <f t="shared" si="33"/>
        <v>163.49523491920615</v>
      </c>
      <c r="M224" s="27">
        <f t="shared" si="34"/>
        <v>311.11111111111114</v>
      </c>
      <c r="N224" s="27">
        <f t="shared" si="30"/>
        <v>220.45617173524147</v>
      </c>
      <c r="O224" s="27">
        <f t="shared" si="31"/>
        <v>278.93617021276594</v>
      </c>
      <c r="Q224" s="4">
        <v>1.49</v>
      </c>
      <c r="R224" s="4">
        <v>1815.8525733157076</v>
      </c>
      <c r="S224" s="4">
        <v>2338.2847000963566</v>
      </c>
      <c r="T224" s="4">
        <v>180</v>
      </c>
      <c r="U224" s="4">
        <v>22.36</v>
      </c>
      <c r="V224" s="4">
        <v>14.1</v>
      </c>
      <c r="W224" s="4"/>
      <c r="X224" s="7">
        <v>39001</v>
      </c>
      <c r="Y224" s="68">
        <v>2594.5042303942255</v>
      </c>
      <c r="Z224" s="68">
        <v>3540.9840635023934</v>
      </c>
    </row>
    <row r="225" spans="1:26" x14ac:dyDescent="0.3">
      <c r="A225" s="7">
        <v>39008</v>
      </c>
      <c r="B225" s="19">
        <v>2.5030000000000001</v>
      </c>
      <c r="C225" s="2">
        <v>-119</v>
      </c>
      <c r="D225" s="2">
        <v>132.5</v>
      </c>
      <c r="E225" s="2">
        <v>554</v>
      </c>
      <c r="F225" s="19">
        <v>48.533999999999999</v>
      </c>
      <c r="G225" s="19">
        <v>38.817</v>
      </c>
      <c r="I225" s="10">
        <v>39008</v>
      </c>
      <c r="J225" s="27">
        <f t="shared" si="35"/>
        <v>167.98657718120808</v>
      </c>
      <c r="K225" s="11">
        <f t="shared" si="32"/>
        <v>136.32737958864183</v>
      </c>
      <c r="L225" s="11">
        <f t="shared" si="33"/>
        <v>157.10165932108333</v>
      </c>
      <c r="M225" s="27">
        <f t="shared" si="34"/>
        <v>307.77777777777777</v>
      </c>
      <c r="N225" s="27">
        <f t="shared" si="30"/>
        <v>217.05724508050093</v>
      </c>
      <c r="O225" s="27">
        <f t="shared" si="31"/>
        <v>275.29787234042556</v>
      </c>
      <c r="Q225" s="4">
        <v>1.49</v>
      </c>
      <c r="R225" s="4">
        <v>1815.8525733157076</v>
      </c>
      <c r="S225" s="4">
        <v>2338.2847000963566</v>
      </c>
      <c r="T225" s="4">
        <v>180</v>
      </c>
      <c r="U225" s="4">
        <v>22.36</v>
      </c>
      <c r="V225" s="4">
        <v>14.1</v>
      </c>
      <c r="W225" s="4"/>
      <c r="X225" s="7">
        <v>39008</v>
      </c>
      <c r="Y225" s="68">
        <v>2594.5042303942255</v>
      </c>
      <c r="Z225" s="68">
        <v>3540.9840635023934</v>
      </c>
    </row>
    <row r="226" spans="1:26" x14ac:dyDescent="0.3">
      <c r="A226" s="7">
        <v>39015</v>
      </c>
      <c r="B226" s="19">
        <v>2.524</v>
      </c>
      <c r="C226" s="2">
        <v>-138.5</v>
      </c>
      <c r="D226" s="2">
        <v>228</v>
      </c>
      <c r="E226" s="2">
        <v>450</v>
      </c>
      <c r="F226" s="19">
        <v>48.296999999999997</v>
      </c>
      <c r="G226" s="19">
        <v>36.97</v>
      </c>
      <c r="I226" s="10">
        <v>39015</v>
      </c>
      <c r="J226" s="27">
        <f t="shared" si="35"/>
        <v>169.39597315436242</v>
      </c>
      <c r="K226" s="11">
        <f t="shared" si="32"/>
        <v>135.29889113633871</v>
      </c>
      <c r="L226" s="11">
        <f t="shared" si="33"/>
        <v>161.42216247245835</v>
      </c>
      <c r="M226" s="27">
        <f t="shared" si="34"/>
        <v>250</v>
      </c>
      <c r="N226" s="27">
        <f t="shared" si="30"/>
        <v>215.99731663685154</v>
      </c>
      <c r="O226" s="27">
        <f t="shared" si="31"/>
        <v>262.19858156028369</v>
      </c>
      <c r="Q226" s="4">
        <v>1.49</v>
      </c>
      <c r="R226" s="4">
        <v>1815.8525733157076</v>
      </c>
      <c r="S226" s="4">
        <v>2338.2847000963566</v>
      </c>
      <c r="T226" s="4">
        <v>180</v>
      </c>
      <c r="U226" s="4">
        <v>22.36</v>
      </c>
      <c r="V226" s="4">
        <v>14.1</v>
      </c>
      <c r="W226" s="4"/>
      <c r="X226" s="7">
        <v>39015</v>
      </c>
      <c r="Y226" s="68">
        <v>2595.3283963668241</v>
      </c>
      <c r="Z226" s="68">
        <v>3546.5097276581764</v>
      </c>
    </row>
    <row r="227" spans="1:26" x14ac:dyDescent="0.3">
      <c r="A227" s="7">
        <v>39022</v>
      </c>
      <c r="B227" s="19">
        <v>2.5169999999999999</v>
      </c>
      <c r="C227" s="2">
        <v>-121.5</v>
      </c>
      <c r="D227" s="2">
        <v>-104</v>
      </c>
      <c r="E227" s="37">
        <v>528</v>
      </c>
      <c r="F227" s="19">
        <v>48.177999999999997</v>
      </c>
      <c r="G227" s="19">
        <v>37.82</v>
      </c>
      <c r="I227" s="10">
        <v>39022</v>
      </c>
      <c r="J227" s="27">
        <f t="shared" si="35"/>
        <v>168.92617449664428</v>
      </c>
      <c r="K227" s="11">
        <f t="shared" si="32"/>
        <v>134.05644832982577</v>
      </c>
      <c r="L227" s="11">
        <f t="shared" si="33"/>
        <v>144.59510810047215</v>
      </c>
      <c r="M227" s="27">
        <f t="shared" si="34"/>
        <v>293.33333333333337</v>
      </c>
      <c r="N227" s="27">
        <f t="shared" si="30"/>
        <v>215.46511627906978</v>
      </c>
      <c r="O227" s="27">
        <f t="shared" si="31"/>
        <v>268.22695035460993</v>
      </c>
      <c r="Q227" s="4">
        <v>1.49</v>
      </c>
      <c r="R227" s="4">
        <v>1815.8525733157076</v>
      </c>
      <c r="S227" s="4">
        <v>2338.2847000963566</v>
      </c>
      <c r="T227" s="4">
        <v>180</v>
      </c>
      <c r="U227" s="4">
        <v>22.36</v>
      </c>
      <c r="V227" s="4">
        <v>14.1</v>
      </c>
      <c r="W227" s="4"/>
      <c r="X227" s="7">
        <v>39022</v>
      </c>
      <c r="Y227" s="68">
        <v>2555.7674666927833</v>
      </c>
      <c r="Z227" s="68">
        <v>3485.0452898011281</v>
      </c>
    </row>
    <row r="228" spans="1:26" x14ac:dyDescent="0.3">
      <c r="A228" s="7">
        <v>39029</v>
      </c>
      <c r="B228" s="19">
        <v>2.5059999999999998</v>
      </c>
      <c r="C228" s="2">
        <v>-148.5</v>
      </c>
      <c r="D228" s="2">
        <v>-146</v>
      </c>
      <c r="E228" s="2">
        <v>459</v>
      </c>
      <c r="F228" s="19">
        <v>49.305999999999997</v>
      </c>
      <c r="G228" s="19">
        <v>41.826999999999998</v>
      </c>
      <c r="I228" s="10">
        <v>39029</v>
      </c>
      <c r="J228" s="27">
        <f t="shared" si="35"/>
        <v>168.18791946308721</v>
      </c>
      <c r="K228" s="11">
        <f t="shared" si="32"/>
        <v>132.56954347880594</v>
      </c>
      <c r="L228" s="11">
        <f t="shared" si="33"/>
        <v>142.79891963812327</v>
      </c>
      <c r="M228" s="27">
        <f t="shared" si="34"/>
        <v>254.99999999999997</v>
      </c>
      <c r="N228" s="27">
        <f t="shared" ref="N228:N235" si="36">(1+(F228-U228)/U228)*100</f>
        <v>220.50983899821111</v>
      </c>
      <c r="O228" s="27">
        <f t="shared" ref="O228:O235" si="37">(1+(G228-V228)/V228)*100</f>
        <v>296.64539007092196</v>
      </c>
      <c r="Q228" s="4">
        <v>1.49</v>
      </c>
      <c r="R228" s="4">
        <v>1815.8525733157076</v>
      </c>
      <c r="S228" s="4">
        <v>2338.2847000963566</v>
      </c>
      <c r="T228" s="4">
        <v>180</v>
      </c>
      <c r="U228" s="4">
        <v>22.36</v>
      </c>
      <c r="V228" s="4">
        <v>14.1</v>
      </c>
      <c r="W228" s="4"/>
      <c r="X228" s="7">
        <v>39029</v>
      </c>
      <c r="Y228" s="68">
        <v>2555.7674666927833</v>
      </c>
      <c r="Z228" s="68">
        <v>3485.0452898011281</v>
      </c>
    </row>
    <row r="229" spans="1:26" x14ac:dyDescent="0.3">
      <c r="A229" s="7">
        <v>39036</v>
      </c>
      <c r="B229" s="19">
        <v>2.552</v>
      </c>
      <c r="C229" s="2">
        <v>-90.5</v>
      </c>
      <c r="D229" s="2">
        <v>-183</v>
      </c>
      <c r="E229" s="2">
        <v>445</v>
      </c>
      <c r="F229" s="19">
        <v>49.591000000000001</v>
      </c>
      <c r="G229" s="19">
        <v>40.942999999999998</v>
      </c>
      <c r="I229" s="10">
        <v>39036</v>
      </c>
      <c r="J229" s="27">
        <f t="shared" si="35"/>
        <v>171.27516778523491</v>
      </c>
      <c r="K229" s="11">
        <f t="shared" si="32"/>
        <v>135.7636353809967</v>
      </c>
      <c r="L229" s="11">
        <f t="shared" si="33"/>
        <v>141.21656313557781</v>
      </c>
      <c r="M229" s="27">
        <f t="shared" si="34"/>
        <v>247.22222222222223</v>
      </c>
      <c r="N229" s="27">
        <f t="shared" si="36"/>
        <v>221.78443649373884</v>
      </c>
      <c r="O229" s="27">
        <f t="shared" si="37"/>
        <v>290.37588652482265</v>
      </c>
      <c r="Q229" s="4">
        <v>1.49</v>
      </c>
      <c r="R229" s="4">
        <v>1815.8525733157076</v>
      </c>
      <c r="S229" s="4">
        <v>2338.2847000963566</v>
      </c>
      <c r="T229" s="4">
        <v>180</v>
      </c>
      <c r="U229" s="4">
        <v>22.36</v>
      </c>
      <c r="V229" s="4">
        <v>14.1</v>
      </c>
      <c r="W229" s="4"/>
      <c r="X229" s="7">
        <v>39036</v>
      </c>
      <c r="Y229" s="68">
        <v>2555.7674666927833</v>
      </c>
      <c r="Z229" s="68">
        <v>3485.0452898011281</v>
      </c>
    </row>
    <row r="230" spans="1:26" x14ac:dyDescent="0.3">
      <c r="A230" s="7">
        <v>39043</v>
      </c>
      <c r="B230" s="19">
        <v>2.5529999999999999</v>
      </c>
      <c r="C230" s="2">
        <v>-133.5</v>
      </c>
      <c r="D230" s="2">
        <v>-181</v>
      </c>
      <c r="E230" s="2">
        <v>464</v>
      </c>
      <c r="F230" s="19">
        <v>49.231000000000002</v>
      </c>
      <c r="G230" s="19">
        <v>40.707000000000001</v>
      </c>
      <c r="I230" s="10">
        <v>39043</v>
      </c>
      <c r="J230" s="27">
        <f t="shared" si="35"/>
        <v>171.34228187919462</v>
      </c>
      <c r="K230" s="11">
        <f t="shared" si="32"/>
        <v>133.39560172937252</v>
      </c>
      <c r="L230" s="11">
        <f t="shared" si="33"/>
        <v>141.30209591949921</v>
      </c>
      <c r="M230" s="27">
        <f t="shared" si="34"/>
        <v>257.77777777777777</v>
      </c>
      <c r="N230" s="27">
        <f t="shared" si="36"/>
        <v>220.17441860465118</v>
      </c>
      <c r="O230" s="27">
        <f t="shared" si="37"/>
        <v>288.70212765957444</v>
      </c>
      <c r="Q230" s="4">
        <v>1.49</v>
      </c>
      <c r="R230" s="4">
        <v>1815.8525733157076</v>
      </c>
      <c r="S230" s="4">
        <v>2338.2847000963566</v>
      </c>
      <c r="T230" s="4">
        <v>180</v>
      </c>
      <c r="U230" s="4">
        <v>22.36</v>
      </c>
      <c r="V230" s="4">
        <v>14.1</v>
      </c>
      <c r="W230" s="4"/>
      <c r="X230" s="7">
        <v>39043</v>
      </c>
      <c r="Y230" s="68">
        <v>2555.7674666927833</v>
      </c>
      <c r="Z230" s="68">
        <v>3485.0452898011281</v>
      </c>
    </row>
    <row r="231" spans="1:26" x14ac:dyDescent="0.3">
      <c r="A231" s="7">
        <v>39050</v>
      </c>
      <c r="B231" s="19">
        <v>2.5670000000000002</v>
      </c>
      <c r="C231" s="2">
        <v>-61</v>
      </c>
      <c r="D231" s="2">
        <v>-167</v>
      </c>
      <c r="E231" s="2">
        <v>445</v>
      </c>
      <c r="F231" s="19">
        <v>49.878</v>
      </c>
      <c r="G231" s="19">
        <v>41.07</v>
      </c>
      <c r="I231" s="10">
        <v>39050</v>
      </c>
      <c r="J231" s="27">
        <f t="shared" si="35"/>
        <v>172.28187919463087</v>
      </c>
      <c r="K231" s="11">
        <f t="shared" si="32"/>
        <v>137.39319457722078</v>
      </c>
      <c r="L231" s="11">
        <f t="shared" si="33"/>
        <v>141.47171677996042</v>
      </c>
      <c r="M231" s="27">
        <f t="shared" si="34"/>
        <v>247.22222222222223</v>
      </c>
      <c r="N231" s="27">
        <f t="shared" si="36"/>
        <v>223.06797853309482</v>
      </c>
      <c r="O231" s="27">
        <f t="shared" si="37"/>
        <v>291.27659574468083</v>
      </c>
      <c r="Q231" s="4">
        <v>1.49</v>
      </c>
      <c r="R231" s="4">
        <v>1815.8525733157076</v>
      </c>
      <c r="S231" s="4">
        <v>2338.2847000963566</v>
      </c>
      <c r="T231" s="4">
        <v>180</v>
      </c>
      <c r="U231" s="4">
        <v>22.36</v>
      </c>
      <c r="V231" s="4">
        <v>14.1</v>
      </c>
      <c r="W231" s="4"/>
      <c r="X231" s="7">
        <v>39050</v>
      </c>
      <c r="Y231" s="68">
        <v>2555.8578592911208</v>
      </c>
      <c r="Z231" s="68">
        <v>3475.0115084294644</v>
      </c>
    </row>
    <row r="232" spans="1:26" x14ac:dyDescent="0.3">
      <c r="A232" s="7">
        <v>39057</v>
      </c>
      <c r="B232" s="19">
        <v>2.6179999999999999</v>
      </c>
      <c r="C232" s="2">
        <v>-63.5</v>
      </c>
      <c r="D232" s="2">
        <v>-223.5</v>
      </c>
      <c r="E232" s="2">
        <v>377</v>
      </c>
      <c r="F232" s="19">
        <v>52.143999999999998</v>
      </c>
      <c r="G232" s="19">
        <v>41.616999999999997</v>
      </c>
      <c r="I232" s="10">
        <v>39057</v>
      </c>
      <c r="J232" s="27">
        <f t="shared" si="35"/>
        <v>175.70469798657717</v>
      </c>
      <c r="K232" s="11">
        <f t="shared" si="32"/>
        <v>132.40638983841879</v>
      </c>
      <c r="L232" s="11">
        <f t="shared" si="33"/>
        <v>133.39403706697024</v>
      </c>
      <c r="M232" s="27">
        <f t="shared" si="34"/>
        <v>209.44444444444446</v>
      </c>
      <c r="N232" s="27">
        <f t="shared" si="36"/>
        <v>233.20214669051876</v>
      </c>
      <c r="O232" s="27">
        <f t="shared" si="37"/>
        <v>295.1560283687943</v>
      </c>
      <c r="Q232" s="4">
        <v>1.49</v>
      </c>
      <c r="R232" s="4">
        <v>1815.8525733157076</v>
      </c>
      <c r="S232" s="4">
        <v>2338.2847000963566</v>
      </c>
      <c r="T232" s="4">
        <v>180</v>
      </c>
      <c r="U232" s="4">
        <v>22.36</v>
      </c>
      <c r="V232" s="4">
        <v>14.1</v>
      </c>
      <c r="W232" s="4"/>
      <c r="X232" s="7">
        <v>39057</v>
      </c>
      <c r="Y232" s="68">
        <v>2467.804837115355</v>
      </c>
      <c r="Z232" s="68">
        <v>3342.6323595778276</v>
      </c>
    </row>
    <row r="233" spans="1:26" x14ac:dyDescent="0.3">
      <c r="A233" s="7">
        <v>39064</v>
      </c>
      <c r="B233" s="19">
        <v>2.621</v>
      </c>
      <c r="C233" s="2">
        <v>-21</v>
      </c>
      <c r="D233" s="2">
        <v>-222</v>
      </c>
      <c r="E233" s="2">
        <v>382</v>
      </c>
      <c r="F233" s="19">
        <v>52.302999999999997</v>
      </c>
      <c r="G233" s="19">
        <v>39.732999999999997</v>
      </c>
      <c r="I233" s="10">
        <v>39064</v>
      </c>
      <c r="J233" s="27">
        <f t="shared" si="35"/>
        <v>175.90604026845637</v>
      </c>
      <c r="K233" s="11">
        <f t="shared" si="32"/>
        <v>134.74688821502409</v>
      </c>
      <c r="L233" s="11">
        <f t="shared" si="33"/>
        <v>133.45818665491126</v>
      </c>
      <c r="M233" s="27">
        <f t="shared" si="34"/>
        <v>212.22222222222223</v>
      </c>
      <c r="N233" s="27">
        <f t="shared" si="36"/>
        <v>233.91323792486585</v>
      </c>
      <c r="O233" s="27">
        <f t="shared" si="37"/>
        <v>281.79432624113474</v>
      </c>
      <c r="Q233" s="4">
        <v>1.49</v>
      </c>
      <c r="R233" s="4">
        <v>1815.8525733157076</v>
      </c>
      <c r="S233" s="4">
        <v>2338.2847000963566</v>
      </c>
      <c r="T233" s="4">
        <v>180</v>
      </c>
      <c r="U233" s="4">
        <v>22.36</v>
      </c>
      <c r="V233" s="4">
        <v>14.1</v>
      </c>
      <c r="W233" s="4"/>
      <c r="X233" s="7">
        <v>39064</v>
      </c>
      <c r="Y233" s="68">
        <v>2467.804837115355</v>
      </c>
      <c r="Z233" s="68">
        <v>3342.6323595778276</v>
      </c>
    </row>
    <row r="234" spans="1:26" x14ac:dyDescent="0.3">
      <c r="A234" s="7">
        <v>39071</v>
      </c>
      <c r="B234" s="19">
        <v>2.6059999999999999</v>
      </c>
      <c r="C234" s="2">
        <v>25</v>
      </c>
      <c r="D234" s="2">
        <v>-117</v>
      </c>
      <c r="E234" s="2">
        <v>285</v>
      </c>
      <c r="F234" s="19">
        <v>52.8</v>
      </c>
      <c r="G234" s="19">
        <v>39.213000000000001</v>
      </c>
      <c r="I234" s="10">
        <v>39071</v>
      </c>
      <c r="J234" s="27">
        <f t="shared" si="35"/>
        <v>174.89932885906038</v>
      </c>
      <c r="K234" s="11">
        <f t="shared" si="32"/>
        <v>137.28013351676162</v>
      </c>
      <c r="L234" s="11">
        <f t="shared" si="33"/>
        <v>137.94865781078346</v>
      </c>
      <c r="M234" s="27">
        <f t="shared" si="34"/>
        <v>158.33333333333334</v>
      </c>
      <c r="N234" s="27">
        <f t="shared" si="36"/>
        <v>236.1359570661896</v>
      </c>
      <c r="O234" s="27">
        <f t="shared" si="37"/>
        <v>278.10638297872339</v>
      </c>
      <c r="Q234" s="4">
        <v>1.49</v>
      </c>
      <c r="R234" s="4">
        <v>1815.8525733157076</v>
      </c>
      <c r="S234" s="4">
        <v>2338.2847000963566</v>
      </c>
      <c r="T234" s="4">
        <v>180</v>
      </c>
      <c r="U234" s="4">
        <v>22.36</v>
      </c>
      <c r="V234" s="4">
        <v>14.1</v>
      </c>
      <c r="W234" s="4"/>
      <c r="X234" s="7">
        <v>39071</v>
      </c>
      <c r="Y234" s="68">
        <v>2467.804837115355</v>
      </c>
      <c r="Z234" s="68">
        <v>3342.6323595778276</v>
      </c>
    </row>
    <row r="235" spans="1:26" x14ac:dyDescent="0.3">
      <c r="A235" s="7">
        <v>39078</v>
      </c>
      <c r="B235" s="19">
        <v>2.5960000000000001</v>
      </c>
      <c r="C235" s="2">
        <v>0</v>
      </c>
      <c r="D235" s="2">
        <v>81</v>
      </c>
      <c r="E235" s="2">
        <v>274</v>
      </c>
      <c r="F235" s="19">
        <v>53.438000000000002</v>
      </c>
      <c r="G235" s="19">
        <v>39.406999999999996</v>
      </c>
      <c r="I235" s="10">
        <v>39078</v>
      </c>
      <c r="J235" s="27">
        <f t="shared" si="35"/>
        <v>174.2281879194631</v>
      </c>
      <c r="K235" s="11">
        <f t="shared" si="32"/>
        <v>136.51790425795457</v>
      </c>
      <c r="L235" s="11">
        <f t="shared" si="33"/>
        <v>146.55488676555734</v>
      </c>
      <c r="M235" s="27">
        <f t="shared" si="34"/>
        <v>152.22222222222223</v>
      </c>
      <c r="N235" s="27">
        <f t="shared" si="36"/>
        <v>238.98926654740615</v>
      </c>
      <c r="O235" s="27">
        <f t="shared" si="37"/>
        <v>279.48226950354609</v>
      </c>
      <c r="Q235" s="4">
        <v>1.49</v>
      </c>
      <c r="R235" s="4">
        <v>1815.8525733157076</v>
      </c>
      <c r="S235" s="4">
        <v>2338.2847000963566</v>
      </c>
      <c r="T235" s="4">
        <v>180</v>
      </c>
      <c r="U235" s="4">
        <v>22.36</v>
      </c>
      <c r="V235" s="4">
        <v>14.1</v>
      </c>
      <c r="W235" s="4"/>
      <c r="X235" s="7">
        <v>39078</v>
      </c>
      <c r="Y235" s="68">
        <v>2478.963877504742</v>
      </c>
      <c r="Z235" s="68">
        <v>3345.8704944825677</v>
      </c>
    </row>
    <row r="236" spans="1:26" x14ac:dyDescent="0.3">
      <c r="A236" s="7">
        <v>39085</v>
      </c>
      <c r="B236" s="19">
        <v>2.58</v>
      </c>
      <c r="C236" s="2">
        <v>-75</v>
      </c>
      <c r="D236" s="2">
        <v>-75</v>
      </c>
      <c r="E236" s="2">
        <v>268</v>
      </c>
      <c r="F236" s="164" t="s">
        <v>25</v>
      </c>
      <c r="G236" s="164"/>
      <c r="I236" s="10">
        <v>39085</v>
      </c>
      <c r="J236" s="27">
        <f t="shared" si="35"/>
        <v>173.15436241610738</v>
      </c>
      <c r="K236" s="11">
        <f t="shared" si="32"/>
        <v>137.2763750904148</v>
      </c>
      <c r="L236" s="11">
        <f t="shared" si="33"/>
        <v>141.11416835392933</v>
      </c>
      <c r="M236" s="27">
        <f t="shared" si="34"/>
        <v>148.88888888888889</v>
      </c>
      <c r="Q236" s="4">
        <v>1.49</v>
      </c>
      <c r="R236" s="4">
        <v>1815.8525733157076</v>
      </c>
      <c r="S236" s="4">
        <v>2338.2847000963566</v>
      </c>
      <c r="T236" s="4">
        <v>180</v>
      </c>
      <c r="U236" s="4">
        <v>22.36</v>
      </c>
      <c r="V236" s="4">
        <v>14.1</v>
      </c>
      <c r="W236" s="4"/>
      <c r="X236" s="7">
        <v>39085</v>
      </c>
      <c r="Y236" s="68">
        <v>2567.7365896338206</v>
      </c>
      <c r="Z236" s="68">
        <v>3374.6510082881446</v>
      </c>
    </row>
    <row r="237" spans="1:26" x14ac:dyDescent="0.3">
      <c r="A237" s="7">
        <v>39092</v>
      </c>
      <c r="B237" s="19">
        <v>2.5369999999999999</v>
      </c>
      <c r="C237" s="2">
        <v>-71.5</v>
      </c>
      <c r="D237" s="2">
        <v>-137</v>
      </c>
      <c r="E237" s="2">
        <v>268</v>
      </c>
      <c r="F237" s="19">
        <v>53.5</v>
      </c>
      <c r="G237" s="19">
        <v>39.463999999999999</v>
      </c>
      <c r="I237" s="10">
        <v>39092</v>
      </c>
      <c r="J237" s="27">
        <f t="shared" si="35"/>
        <v>170.26845637583892</v>
      </c>
      <c r="K237" s="11">
        <f t="shared" si="32"/>
        <v>137.46912201554701</v>
      </c>
      <c r="L237" s="11">
        <f t="shared" si="33"/>
        <v>138.46265205236671</v>
      </c>
      <c r="M237" s="27">
        <f t="shared" ref="M237:M242" si="38">(1+(E237-T237)/T237)*100</f>
        <v>148.88888888888889</v>
      </c>
      <c r="N237" s="27">
        <f t="shared" ref="N237:N264" si="39">(1+(F237-U236)/U236)*100</f>
        <v>239.26654740608225</v>
      </c>
      <c r="O237" s="27">
        <f t="shared" ref="O237:O264" si="40">(1+(G237-V236)/V236)*100</f>
        <v>279.88652482269504</v>
      </c>
      <c r="Q237" s="4">
        <v>1.49</v>
      </c>
      <c r="R237" s="4">
        <v>1815.8525733157076</v>
      </c>
      <c r="S237" s="4">
        <v>2338.2847000963566</v>
      </c>
      <c r="T237" s="4">
        <v>180</v>
      </c>
      <c r="U237" s="4">
        <v>22.36</v>
      </c>
      <c r="V237" s="4">
        <v>14.1</v>
      </c>
      <c r="W237" s="4"/>
      <c r="X237" s="7">
        <v>39092</v>
      </c>
      <c r="Y237" s="68">
        <v>2567.7365896338206</v>
      </c>
      <c r="Z237" s="68">
        <v>3374.6510082881446</v>
      </c>
    </row>
    <row r="238" spans="1:26" x14ac:dyDescent="0.3">
      <c r="A238" s="7">
        <v>39099</v>
      </c>
      <c r="B238" s="19">
        <v>2.4630000000000001</v>
      </c>
      <c r="C238" s="2">
        <v>-38</v>
      </c>
      <c r="D238" s="2">
        <v>-150</v>
      </c>
      <c r="E238" s="2">
        <v>393</v>
      </c>
      <c r="F238" s="18">
        <v>56</v>
      </c>
      <c r="G238" s="18">
        <v>41</v>
      </c>
      <c r="I238" s="10">
        <v>39099</v>
      </c>
      <c r="J238" s="27">
        <f t="shared" si="35"/>
        <v>165.30201342281879</v>
      </c>
      <c r="K238" s="11">
        <f t="shared" si="32"/>
        <v>139.31398544181241</v>
      </c>
      <c r="L238" s="11">
        <f t="shared" si="33"/>
        <v>137.90668895687776</v>
      </c>
      <c r="M238" s="27">
        <f t="shared" si="38"/>
        <v>218.33333333333337</v>
      </c>
      <c r="N238" s="27">
        <f t="shared" si="39"/>
        <v>250.44722719141325</v>
      </c>
      <c r="O238" s="27">
        <f t="shared" si="40"/>
        <v>290.78014184397165</v>
      </c>
      <c r="Q238" s="4">
        <v>1.49</v>
      </c>
      <c r="R238" s="4">
        <v>1815.8525733157076</v>
      </c>
      <c r="S238" s="4">
        <v>2338.2847000963566</v>
      </c>
      <c r="T238" s="4">
        <v>180</v>
      </c>
      <c r="U238" s="4">
        <v>22.36</v>
      </c>
      <c r="V238" s="4">
        <v>14.1</v>
      </c>
      <c r="W238" s="4"/>
      <c r="X238" s="7">
        <v>39099</v>
      </c>
      <c r="Y238" s="68">
        <v>2567.7365896338206</v>
      </c>
      <c r="Z238" s="68">
        <v>3374.6510082881446</v>
      </c>
    </row>
    <row r="239" spans="1:26" x14ac:dyDescent="0.3">
      <c r="A239" s="7">
        <v>39106</v>
      </c>
      <c r="B239" s="19">
        <v>2.4300000000000002</v>
      </c>
      <c r="C239" s="2">
        <v>-91</v>
      </c>
      <c r="D239" s="2">
        <v>-125</v>
      </c>
      <c r="E239" s="2">
        <v>286</v>
      </c>
      <c r="F239" s="18">
        <v>53.5</v>
      </c>
      <c r="G239" s="18">
        <v>38</v>
      </c>
      <c r="I239" s="10">
        <v>39106</v>
      </c>
      <c r="J239" s="27">
        <f t="shared" si="35"/>
        <v>163.08724832214767</v>
      </c>
      <c r="K239" s="11">
        <f t="shared" si="32"/>
        <v>136.39524628981047</v>
      </c>
      <c r="L239" s="11">
        <f t="shared" si="33"/>
        <v>138.97584875589496</v>
      </c>
      <c r="M239" s="27">
        <f t="shared" si="38"/>
        <v>158.88888888888891</v>
      </c>
      <c r="N239" s="27">
        <f t="shared" si="39"/>
        <v>239.26654740608225</v>
      </c>
      <c r="O239" s="27">
        <f t="shared" si="40"/>
        <v>269.50354609929076</v>
      </c>
      <c r="Q239" s="4">
        <v>1.49</v>
      </c>
      <c r="R239" s="4">
        <v>1815.8525733157076</v>
      </c>
      <c r="S239" s="4">
        <v>2338.2847000963566</v>
      </c>
      <c r="T239" s="4">
        <v>180</v>
      </c>
      <c r="U239" s="4">
        <v>22.36</v>
      </c>
      <c r="V239" s="4">
        <v>14.1</v>
      </c>
      <c r="W239" s="4"/>
      <c r="X239" s="7">
        <v>39106</v>
      </c>
      <c r="Y239" s="68">
        <v>2567.7365896338206</v>
      </c>
      <c r="Z239" s="68">
        <v>3374.6510082881446</v>
      </c>
    </row>
    <row r="240" spans="1:26" x14ac:dyDescent="0.3">
      <c r="A240" s="7">
        <v>39113</v>
      </c>
      <c r="B240" s="19">
        <v>2.4129999999999998</v>
      </c>
      <c r="C240" s="2">
        <v>-104</v>
      </c>
      <c r="D240" s="2">
        <v>-96</v>
      </c>
      <c r="E240" s="2">
        <v>312</v>
      </c>
      <c r="F240" s="18">
        <v>52.5</v>
      </c>
      <c r="G240" s="18">
        <v>37</v>
      </c>
      <c r="I240" s="10">
        <v>39113</v>
      </c>
      <c r="J240" s="27">
        <f t="shared" si="35"/>
        <v>161.94630872483219</v>
      </c>
      <c r="K240" s="11">
        <f t="shared" si="32"/>
        <v>135.13893090127988</v>
      </c>
      <c r="L240" s="11">
        <f t="shared" si="33"/>
        <v>140.4406065332671</v>
      </c>
      <c r="M240" s="27">
        <f t="shared" si="38"/>
        <v>173.33333333333334</v>
      </c>
      <c r="N240" s="27">
        <f t="shared" si="39"/>
        <v>234.79427549194992</v>
      </c>
      <c r="O240" s="27">
        <f t="shared" si="40"/>
        <v>262.41134751773052</v>
      </c>
      <c r="Q240" s="4">
        <v>1.49</v>
      </c>
      <c r="R240" s="4">
        <v>1815.8525733157076</v>
      </c>
      <c r="S240" s="4">
        <v>2338.2847000963566</v>
      </c>
      <c r="T240" s="4">
        <v>180</v>
      </c>
      <c r="U240" s="4">
        <v>22.36</v>
      </c>
      <c r="V240" s="4">
        <v>14.1</v>
      </c>
      <c r="W240" s="4"/>
      <c r="X240" s="7">
        <v>39113</v>
      </c>
      <c r="Y240" s="68">
        <v>2557.9237543222266</v>
      </c>
      <c r="Z240" s="68">
        <v>3379.9012152899086</v>
      </c>
    </row>
    <row r="241" spans="1:26" x14ac:dyDescent="0.3">
      <c r="A241" s="7">
        <v>39120</v>
      </c>
      <c r="B241" s="19">
        <v>2.4350000000000001</v>
      </c>
      <c r="C241" s="2">
        <v>-112</v>
      </c>
      <c r="D241" s="2">
        <v>-200</v>
      </c>
      <c r="E241" s="2">
        <v>358</v>
      </c>
      <c r="F241" s="18">
        <v>52.5</v>
      </c>
      <c r="G241" s="18">
        <v>36</v>
      </c>
      <c r="I241" s="10">
        <v>39120</v>
      </c>
      <c r="J241" s="27">
        <f t="shared" si="35"/>
        <v>163.4228187919463</v>
      </c>
      <c r="K241" s="11">
        <f t="shared" si="32"/>
        <v>130.96468539641953</v>
      </c>
      <c r="L241" s="11">
        <f t="shared" si="33"/>
        <v>139.78543787262049</v>
      </c>
      <c r="M241" s="27">
        <f t="shared" si="38"/>
        <v>198.88888888888889</v>
      </c>
      <c r="N241" s="27">
        <f t="shared" si="39"/>
        <v>234.79427549194992</v>
      </c>
      <c r="O241" s="27">
        <f t="shared" si="40"/>
        <v>255.31914893617022</v>
      </c>
      <c r="Q241" s="4">
        <v>1.49</v>
      </c>
      <c r="R241" s="4">
        <v>1815.8525733157076</v>
      </c>
      <c r="S241" s="4">
        <v>2338.2847000963566</v>
      </c>
      <c r="T241" s="4">
        <v>180</v>
      </c>
      <c r="U241" s="4">
        <v>22.36</v>
      </c>
      <c r="V241" s="4">
        <v>14.1</v>
      </c>
      <c r="W241" s="4"/>
      <c r="X241" s="7">
        <v>39120</v>
      </c>
      <c r="Y241" s="68">
        <v>2490.1256099057046</v>
      </c>
      <c r="Z241" s="68">
        <v>3468.5815067381827</v>
      </c>
    </row>
    <row r="242" spans="1:26" x14ac:dyDescent="0.3">
      <c r="A242" s="7">
        <v>39127</v>
      </c>
      <c r="B242" s="19">
        <v>2.476</v>
      </c>
      <c r="C242" s="2">
        <v>-50</v>
      </c>
      <c r="D242" s="2">
        <v>-188</v>
      </c>
      <c r="E242" s="2">
        <v>370</v>
      </c>
      <c r="F242" s="18">
        <v>52.5</v>
      </c>
      <c r="G242" s="18">
        <v>37</v>
      </c>
      <c r="I242" s="10">
        <v>39127</v>
      </c>
      <c r="J242" s="27">
        <f t="shared" si="35"/>
        <v>166.17449664429529</v>
      </c>
      <c r="K242" s="11">
        <f t="shared" si="32"/>
        <v>134.37905949876139</v>
      </c>
      <c r="L242" s="11">
        <f t="shared" si="33"/>
        <v>140.29863457614874</v>
      </c>
      <c r="M242" s="27">
        <f t="shared" si="38"/>
        <v>205.55555555555554</v>
      </c>
      <c r="N242" s="27">
        <f t="shared" si="39"/>
        <v>234.79427549194992</v>
      </c>
      <c r="O242" s="27">
        <f t="shared" si="40"/>
        <v>262.41134751773052</v>
      </c>
      <c r="Q242" s="4">
        <v>1.49</v>
      </c>
      <c r="R242" s="4">
        <v>1815.8525733157076</v>
      </c>
      <c r="S242" s="4">
        <v>2338.2847000963566</v>
      </c>
      <c r="T242" s="4">
        <v>180</v>
      </c>
      <c r="U242" s="4">
        <v>22.36</v>
      </c>
      <c r="V242" s="4">
        <v>14.1</v>
      </c>
      <c r="W242" s="4"/>
      <c r="X242" s="7">
        <v>39127</v>
      </c>
      <c r="Y242" s="68">
        <v>2490.1256099057046</v>
      </c>
      <c r="Z242" s="68">
        <v>3468.5815067381827</v>
      </c>
    </row>
    <row r="243" spans="1:26" x14ac:dyDescent="0.3">
      <c r="A243" s="7">
        <v>39134</v>
      </c>
      <c r="B243" s="19">
        <v>2.4910000000000001</v>
      </c>
      <c r="C243" s="2">
        <v>-45</v>
      </c>
      <c r="D243" s="2">
        <v>-242.5</v>
      </c>
      <c r="E243" s="2">
        <v>364</v>
      </c>
      <c r="F243" s="18">
        <v>53.5</v>
      </c>
      <c r="G243" s="18">
        <v>37.75</v>
      </c>
      <c r="I243" s="10">
        <v>39134</v>
      </c>
      <c r="J243" s="27">
        <f t="shared" si="35"/>
        <v>167.18120805369128</v>
      </c>
      <c r="K243" s="11">
        <f t="shared" si="32"/>
        <v>134.65441224895025</v>
      </c>
      <c r="L243" s="11">
        <f t="shared" si="33"/>
        <v>137.96786621429123</v>
      </c>
      <c r="M243" s="27">
        <f t="shared" ref="M243:M264" si="41">(1+(E243-T243)/T243)*100</f>
        <v>202.22222222222223</v>
      </c>
      <c r="N243" s="27">
        <f t="shared" si="39"/>
        <v>239.26654740608225</v>
      </c>
      <c r="O243" s="27">
        <f t="shared" si="40"/>
        <v>267.73049645390074</v>
      </c>
      <c r="Q243" s="4">
        <v>1.49</v>
      </c>
      <c r="R243" s="4">
        <v>1815.8525733157076</v>
      </c>
      <c r="S243" s="4">
        <v>2338.2847000963566</v>
      </c>
      <c r="T243" s="4">
        <v>180</v>
      </c>
      <c r="U243" s="4">
        <v>22.36</v>
      </c>
      <c r="V243" s="4">
        <v>14.1</v>
      </c>
      <c r="W243" s="4"/>
      <c r="X243" s="7">
        <v>39134</v>
      </c>
      <c r="Y243" s="68">
        <v>2490.1256099057046</v>
      </c>
      <c r="Z243" s="68">
        <v>3468.5815067381827</v>
      </c>
    </row>
    <row r="244" spans="1:26" x14ac:dyDescent="0.3">
      <c r="A244" s="7">
        <v>39141</v>
      </c>
      <c r="B244" s="19">
        <v>2.5510000000000002</v>
      </c>
      <c r="C244" s="2">
        <v>-116</v>
      </c>
      <c r="D244" s="2">
        <v>-280.5</v>
      </c>
      <c r="E244" s="2">
        <v>320</v>
      </c>
      <c r="F244" s="18">
        <v>55.5</v>
      </c>
      <c r="G244" s="18">
        <v>38.25</v>
      </c>
      <c r="I244" s="10">
        <v>39141</v>
      </c>
      <c r="J244" s="27">
        <f t="shared" si="35"/>
        <v>171.20805369127518</v>
      </c>
      <c r="K244" s="11">
        <f t="shared" si="32"/>
        <v>130.94617990434665</v>
      </c>
      <c r="L244" s="11">
        <f t="shared" si="33"/>
        <v>136.51238277721711</v>
      </c>
      <c r="M244" s="27">
        <f t="shared" si="41"/>
        <v>177.77777777777777</v>
      </c>
      <c r="N244" s="27">
        <f t="shared" si="39"/>
        <v>248.21109123434707</v>
      </c>
      <c r="O244" s="27">
        <f t="shared" si="40"/>
        <v>271.27659574468083</v>
      </c>
      <c r="Q244" s="4">
        <v>1.49</v>
      </c>
      <c r="R244" s="4">
        <v>1815.8525733157076</v>
      </c>
      <c r="S244" s="4">
        <v>2338.2847000963566</v>
      </c>
      <c r="T244" s="4">
        <v>180</v>
      </c>
      <c r="U244" s="4">
        <v>22.36</v>
      </c>
      <c r="V244" s="4">
        <v>14.1</v>
      </c>
      <c r="W244" s="4"/>
      <c r="X244" s="7">
        <v>39141</v>
      </c>
      <c r="Y244" s="68">
        <v>2493.7895774516946</v>
      </c>
      <c r="Z244" s="68">
        <v>3472.5481602166415</v>
      </c>
    </row>
    <row r="245" spans="1:26" x14ac:dyDescent="0.3">
      <c r="A245" s="7">
        <v>39148</v>
      </c>
      <c r="B245" s="19">
        <v>2.6259999999999999</v>
      </c>
      <c r="C245" s="2">
        <v>-125</v>
      </c>
      <c r="D245" s="2">
        <v>-255.5</v>
      </c>
      <c r="E245" s="2">
        <v>285</v>
      </c>
      <c r="F245" s="18">
        <v>56</v>
      </c>
      <c r="G245" s="18">
        <v>39</v>
      </c>
      <c r="I245" s="10">
        <v>39148</v>
      </c>
      <c r="J245" s="27">
        <f t="shared" si="35"/>
        <v>176.24161073825505</v>
      </c>
      <c r="K245" s="11">
        <f t="shared" si="32"/>
        <v>129.7967852646953</v>
      </c>
      <c r="L245" s="11">
        <f t="shared" si="33"/>
        <v>133.32471044071835</v>
      </c>
      <c r="M245" s="27">
        <f t="shared" si="41"/>
        <v>158.33333333333334</v>
      </c>
      <c r="N245" s="27">
        <f t="shared" si="39"/>
        <v>250.44722719141325</v>
      </c>
      <c r="O245" s="27">
        <f t="shared" si="40"/>
        <v>276.59574468085106</v>
      </c>
      <c r="Q245" s="4">
        <v>1.49</v>
      </c>
      <c r="R245" s="4">
        <v>1815.8525733157076</v>
      </c>
      <c r="S245" s="4">
        <v>2338.2847000963566</v>
      </c>
      <c r="T245" s="4">
        <v>180</v>
      </c>
      <c r="U245" s="4">
        <v>22.36</v>
      </c>
      <c r="V245" s="4">
        <v>14.1</v>
      </c>
      <c r="W245" s="4"/>
      <c r="X245" s="7">
        <v>39148</v>
      </c>
      <c r="Y245" s="68">
        <v>2481.9182653100324</v>
      </c>
      <c r="Z245" s="68">
        <v>3373.0113056830864</v>
      </c>
    </row>
    <row r="246" spans="1:26" x14ac:dyDescent="0.3">
      <c r="A246" s="7">
        <v>39155</v>
      </c>
      <c r="B246" s="19">
        <v>2.6850000000000001</v>
      </c>
      <c r="C246" s="2">
        <v>-6</v>
      </c>
      <c r="D246" s="2">
        <v>-248.5</v>
      </c>
      <c r="E246" s="2">
        <v>297</v>
      </c>
      <c r="F246" s="18">
        <v>57</v>
      </c>
      <c r="G246" s="18">
        <v>40</v>
      </c>
      <c r="I246" s="10">
        <v>39155</v>
      </c>
      <c r="J246" s="27">
        <f t="shared" si="35"/>
        <v>180.20134228187919</v>
      </c>
      <c r="K246" s="11">
        <f t="shared" si="32"/>
        <v>136.35018071919015</v>
      </c>
      <c r="L246" s="11">
        <f t="shared" si="33"/>
        <v>133.62407518444314</v>
      </c>
      <c r="M246" s="1">
        <f t="shared" si="41"/>
        <v>165</v>
      </c>
      <c r="N246" s="27">
        <f t="shared" si="39"/>
        <v>254.91949910554564</v>
      </c>
      <c r="O246" s="27">
        <f t="shared" si="40"/>
        <v>283.6879432624113</v>
      </c>
      <c r="Q246" s="4">
        <v>1.49</v>
      </c>
      <c r="R246" s="4">
        <v>1815.8525733157076</v>
      </c>
      <c r="S246" s="4">
        <v>2338.2847000963566</v>
      </c>
      <c r="T246" s="4">
        <v>180</v>
      </c>
      <c r="U246" s="4">
        <v>22.36</v>
      </c>
      <c r="V246" s="4">
        <v>14.1</v>
      </c>
      <c r="W246" s="4"/>
      <c r="X246" s="7">
        <v>39155</v>
      </c>
      <c r="Y246" s="68">
        <v>2481.9182653100324</v>
      </c>
      <c r="Z246" s="68">
        <v>3373.0113056830864</v>
      </c>
    </row>
    <row r="247" spans="1:26" x14ac:dyDescent="0.3">
      <c r="A247" s="7">
        <v>39162</v>
      </c>
      <c r="B247" s="19">
        <v>2.681</v>
      </c>
      <c r="C247" s="2">
        <v>-114.5</v>
      </c>
      <c r="D247" s="2">
        <v>-185</v>
      </c>
      <c r="E247" s="2">
        <v>268</v>
      </c>
      <c r="F247" s="18">
        <v>57</v>
      </c>
      <c r="G247" s="18">
        <v>40</v>
      </c>
      <c r="I247" s="10">
        <v>39162</v>
      </c>
      <c r="J247" s="27">
        <f t="shared" si="35"/>
        <v>179.9328859060403</v>
      </c>
      <c r="K247" s="11">
        <f t="shared" si="32"/>
        <v>130.37502604009191</v>
      </c>
      <c r="L247" s="11">
        <f t="shared" si="33"/>
        <v>136.33974107394681</v>
      </c>
      <c r="M247" s="27">
        <f t="shared" si="41"/>
        <v>148.88888888888889</v>
      </c>
      <c r="N247" s="27">
        <f t="shared" si="39"/>
        <v>254.91949910554564</v>
      </c>
      <c r="O247" s="27">
        <f t="shared" si="40"/>
        <v>283.6879432624113</v>
      </c>
      <c r="Q247" s="4">
        <v>1.49</v>
      </c>
      <c r="R247" s="4">
        <v>1815.8525733157076</v>
      </c>
      <c r="S247" s="4">
        <v>2338.2847000963566</v>
      </c>
      <c r="T247" s="4">
        <v>180</v>
      </c>
      <c r="U247" s="4">
        <v>22.36</v>
      </c>
      <c r="V247" s="4">
        <v>14.1</v>
      </c>
      <c r="W247" s="4"/>
      <c r="X247" s="7">
        <v>39162</v>
      </c>
      <c r="Y247" s="68">
        <v>2481.9182653100324</v>
      </c>
      <c r="Z247" s="68">
        <v>3373.0113056830864</v>
      </c>
    </row>
    <row r="248" spans="1:26" x14ac:dyDescent="0.3">
      <c r="A248" s="7">
        <v>39169</v>
      </c>
      <c r="B248" s="19">
        <v>2.6760000000000002</v>
      </c>
      <c r="C248" s="2">
        <v>-124.5</v>
      </c>
      <c r="D248" s="2">
        <v>-194</v>
      </c>
      <c r="E248" s="2">
        <v>244</v>
      </c>
      <c r="F248" s="18">
        <v>57</v>
      </c>
      <c r="G248" s="18">
        <v>40.25</v>
      </c>
      <c r="I248" s="10">
        <v>39169</v>
      </c>
      <c r="J248" s="27">
        <f t="shared" si="35"/>
        <v>179.59731543624162</v>
      </c>
      <c r="K248" s="11">
        <f t="shared" si="32"/>
        <v>129.71659733299381</v>
      </c>
      <c r="L248" s="11">
        <f t="shared" si="33"/>
        <v>136.24303136171642</v>
      </c>
      <c r="M248" s="27">
        <f t="shared" si="41"/>
        <v>135.55555555555557</v>
      </c>
      <c r="N248" s="27">
        <f t="shared" si="39"/>
        <v>254.91949910554564</v>
      </c>
      <c r="O248" s="27">
        <f t="shared" si="40"/>
        <v>285.46099290780143</v>
      </c>
      <c r="Q248" s="4">
        <v>1.49</v>
      </c>
      <c r="R248" s="4">
        <v>1815.8525733157076</v>
      </c>
      <c r="S248" s="4">
        <v>2338.2847000963566</v>
      </c>
      <c r="T248" s="4">
        <v>180</v>
      </c>
      <c r="U248" s="4">
        <v>22.36</v>
      </c>
      <c r="V248" s="4">
        <v>14.1</v>
      </c>
      <c r="W248" s="4"/>
      <c r="X248" s="7">
        <v>39169</v>
      </c>
      <c r="Y248" s="68">
        <v>2479.9621706887424</v>
      </c>
      <c r="Z248" s="68">
        <v>3379.7499572784959</v>
      </c>
    </row>
    <row r="249" spans="1:26" x14ac:dyDescent="0.3">
      <c r="A249" s="7">
        <v>39176</v>
      </c>
      <c r="B249" s="19">
        <v>2.79</v>
      </c>
      <c r="C249" s="2">
        <v>-127.5</v>
      </c>
      <c r="D249" s="2">
        <v>-309.5</v>
      </c>
      <c r="E249" s="2">
        <v>237</v>
      </c>
      <c r="F249" s="19">
        <v>57</v>
      </c>
      <c r="G249" s="19">
        <v>40.25</v>
      </c>
      <c r="I249" s="10">
        <v>39176</v>
      </c>
      <c r="J249" s="27">
        <f t="shared" si="35"/>
        <v>187.24832214765101</v>
      </c>
      <c r="K249" s="11">
        <f t="shared" si="32"/>
        <v>119.36771638952797</v>
      </c>
      <c r="L249" s="11">
        <f t="shared" si="33"/>
        <v>122.96600551757611</v>
      </c>
      <c r="M249" s="27">
        <f t="shared" si="41"/>
        <v>131.66666666666666</v>
      </c>
      <c r="N249" s="27">
        <f t="shared" si="39"/>
        <v>254.91949910554564</v>
      </c>
      <c r="O249" s="27">
        <f t="shared" si="40"/>
        <v>285.46099290780143</v>
      </c>
      <c r="Q249" s="4">
        <v>1.49</v>
      </c>
      <c r="R249" s="4">
        <v>1815.8525733157076</v>
      </c>
      <c r="S249" s="4">
        <v>2338.2847000963566</v>
      </c>
      <c r="T249" s="4">
        <v>180</v>
      </c>
      <c r="U249" s="4">
        <v>22.36</v>
      </c>
      <c r="V249" s="4">
        <v>14.1</v>
      </c>
      <c r="W249" s="4"/>
      <c r="X249" s="7">
        <v>39176</v>
      </c>
      <c r="Y249" s="68">
        <v>2295.0417497674393</v>
      </c>
      <c r="Z249" s="68">
        <v>3184.7952933371234</v>
      </c>
    </row>
    <row r="250" spans="1:26" x14ac:dyDescent="0.3">
      <c r="A250" s="7">
        <v>39183</v>
      </c>
      <c r="B250" s="19">
        <v>2.84</v>
      </c>
      <c r="C250" s="2">
        <v>-135</v>
      </c>
      <c r="D250" s="2">
        <v>-276.5</v>
      </c>
      <c r="E250" s="2">
        <v>231</v>
      </c>
      <c r="F250" s="19">
        <v>57</v>
      </c>
      <c r="G250" s="19">
        <v>40.25</v>
      </c>
      <c r="I250" s="10">
        <v>39183</v>
      </c>
      <c r="J250" s="27">
        <f t="shared" si="35"/>
        <v>190.60402684563758</v>
      </c>
      <c r="K250" s="11">
        <f t="shared" si="32"/>
        <v>118.95468726424467</v>
      </c>
      <c r="L250" s="11">
        <f t="shared" si="33"/>
        <v>124.3772964522788</v>
      </c>
      <c r="M250" s="27">
        <f t="shared" si="41"/>
        <v>128.33333333333331</v>
      </c>
      <c r="N250" s="27">
        <f t="shared" si="39"/>
        <v>254.91949910554564</v>
      </c>
      <c r="O250" s="27">
        <f t="shared" si="40"/>
        <v>285.46099290780143</v>
      </c>
      <c r="Q250" s="4">
        <v>1.49</v>
      </c>
      <c r="R250" s="4">
        <v>1815.8525733157076</v>
      </c>
      <c r="S250" s="4">
        <v>2338.2847000963566</v>
      </c>
      <c r="T250" s="4">
        <v>180</v>
      </c>
      <c r="U250" s="4">
        <v>22.36</v>
      </c>
      <c r="V250" s="4">
        <v>14.1</v>
      </c>
      <c r="W250" s="4"/>
      <c r="X250" s="7">
        <v>39183</v>
      </c>
      <c r="Y250" s="68">
        <v>2295.0417497674393</v>
      </c>
      <c r="Z250" s="68">
        <v>3184.7952933371234</v>
      </c>
    </row>
    <row r="251" spans="1:26" x14ac:dyDescent="0.3">
      <c r="A251" s="7">
        <v>39190</v>
      </c>
      <c r="B251" s="19">
        <v>2.8769999999999998</v>
      </c>
      <c r="C251" s="2">
        <v>-75</v>
      </c>
      <c r="D251" s="2">
        <v>-247.5</v>
      </c>
      <c r="E251" s="2">
        <v>224</v>
      </c>
      <c r="F251" s="19">
        <v>58.5</v>
      </c>
      <c r="G251" s="19">
        <v>41.5</v>
      </c>
      <c r="I251" s="10">
        <v>39190</v>
      </c>
      <c r="J251" s="27">
        <f t="shared" si="35"/>
        <v>193.08724832214764</v>
      </c>
      <c r="K251" s="11">
        <f t="shared" si="32"/>
        <v>122.25892026651101</v>
      </c>
      <c r="L251" s="11">
        <f t="shared" si="33"/>
        <v>125.61752181913874</v>
      </c>
      <c r="M251" s="27">
        <f t="shared" si="41"/>
        <v>124.44444444444444</v>
      </c>
      <c r="N251" s="27">
        <f t="shared" si="39"/>
        <v>261.62790697674421</v>
      </c>
      <c r="O251" s="27">
        <f t="shared" si="40"/>
        <v>294.32624113475174</v>
      </c>
      <c r="Q251" s="4">
        <v>1.49</v>
      </c>
      <c r="R251" s="4">
        <v>1815.8525733157076</v>
      </c>
      <c r="S251" s="4">
        <v>2338.2847000963566</v>
      </c>
      <c r="T251" s="4">
        <v>180</v>
      </c>
      <c r="U251" s="4">
        <v>22.36</v>
      </c>
      <c r="V251" s="4">
        <v>14.1</v>
      </c>
      <c r="W251" s="4"/>
      <c r="X251" s="7">
        <v>39190</v>
      </c>
      <c r="Y251" s="68">
        <v>2295.0417497674393</v>
      </c>
      <c r="Z251" s="68">
        <v>3184.7952933371234</v>
      </c>
    </row>
    <row r="252" spans="1:26" x14ac:dyDescent="0.3">
      <c r="A252" s="7">
        <v>39197</v>
      </c>
      <c r="B252" s="19">
        <v>2.851</v>
      </c>
      <c r="C252" s="2">
        <v>-112.5</v>
      </c>
      <c r="D252" s="2">
        <v>-284.5</v>
      </c>
      <c r="E252" s="2">
        <v>213</v>
      </c>
      <c r="F252" s="19">
        <v>60</v>
      </c>
      <c r="G252" s="19">
        <v>42.5</v>
      </c>
      <c r="I252" s="10">
        <v>39197</v>
      </c>
      <c r="J252" s="27">
        <f t="shared" si="35"/>
        <v>191.34228187919464</v>
      </c>
      <c r="K252" s="11">
        <f t="shared" si="32"/>
        <v>120.19377464009455</v>
      </c>
      <c r="L252" s="11">
        <f t="shared" si="33"/>
        <v>124.03516531659329</v>
      </c>
      <c r="M252" s="27">
        <f t="shared" si="41"/>
        <v>118.33333333333333</v>
      </c>
      <c r="N252" s="27">
        <f t="shared" si="39"/>
        <v>268.33631484794279</v>
      </c>
      <c r="O252" s="27">
        <f t="shared" si="40"/>
        <v>301.41843971631204</v>
      </c>
      <c r="Q252" s="4">
        <v>1.49</v>
      </c>
      <c r="R252" s="4">
        <v>1815.8525733157076</v>
      </c>
      <c r="S252" s="4">
        <v>2338.2847000963566</v>
      </c>
      <c r="T252" s="4">
        <v>180</v>
      </c>
      <c r="U252" s="4">
        <v>22.36</v>
      </c>
      <c r="V252" s="4">
        <v>14.1</v>
      </c>
      <c r="W252" s="4"/>
      <c r="X252" s="7">
        <v>39197</v>
      </c>
      <c r="Y252" s="68">
        <v>2295.0417497674393</v>
      </c>
      <c r="Z252" s="68">
        <v>3184.7952933371234</v>
      </c>
    </row>
    <row r="253" spans="1:26" x14ac:dyDescent="0.3">
      <c r="A253" s="7">
        <v>39204</v>
      </c>
      <c r="B253" s="19">
        <v>2.8109999999999999</v>
      </c>
      <c r="C253" s="2">
        <v>-135</v>
      </c>
      <c r="D253" s="2">
        <v>-298</v>
      </c>
      <c r="E253" s="2">
        <v>214</v>
      </c>
      <c r="F253" s="19">
        <v>60</v>
      </c>
      <c r="G253" s="19">
        <v>43.5</v>
      </c>
      <c r="I253" s="10">
        <v>39204</v>
      </c>
      <c r="J253" s="27">
        <f t="shared" si="35"/>
        <v>188.65771812080536</v>
      </c>
      <c r="K253" s="11">
        <f t="shared" si="32"/>
        <v>120.52277281473572</v>
      </c>
      <c r="L253" s="11">
        <f t="shared" si="33"/>
        <v>124.62714962117344</v>
      </c>
      <c r="M253" s="27">
        <f t="shared" si="41"/>
        <v>118.88888888888889</v>
      </c>
      <c r="N253" s="27">
        <f t="shared" si="39"/>
        <v>268.33631484794279</v>
      </c>
      <c r="O253" s="27">
        <f t="shared" si="40"/>
        <v>308.51063829787233</v>
      </c>
      <c r="Q253" s="4">
        <v>1.49</v>
      </c>
      <c r="R253" s="4">
        <v>1815.8525733157076</v>
      </c>
      <c r="S253" s="4">
        <v>2338.2847000963566</v>
      </c>
      <c r="T253" s="4">
        <v>180</v>
      </c>
      <c r="U253" s="4">
        <v>22.36</v>
      </c>
      <c r="V253" s="4">
        <v>14.1</v>
      </c>
      <c r="W253" s="4"/>
      <c r="X253" s="7">
        <v>39204</v>
      </c>
      <c r="Y253" s="68">
        <v>2323.5158715878224</v>
      </c>
      <c r="Z253" s="68">
        <v>3212.1375717580931</v>
      </c>
    </row>
    <row r="254" spans="1:26" x14ac:dyDescent="0.3">
      <c r="A254" s="7">
        <v>39211</v>
      </c>
      <c r="B254" s="19">
        <v>2.7919999999999998</v>
      </c>
      <c r="C254" s="2">
        <v>-134</v>
      </c>
      <c r="D254" s="2">
        <v>-252</v>
      </c>
      <c r="E254" s="2">
        <v>209</v>
      </c>
      <c r="F254" s="19">
        <v>61</v>
      </c>
      <c r="G254" s="19">
        <v>44.5</v>
      </c>
      <c r="I254" s="10">
        <v>39211</v>
      </c>
      <c r="J254" s="27">
        <f t="shared" si="35"/>
        <v>187.38255033557047</v>
      </c>
      <c r="K254" s="11">
        <f t="shared" si="32"/>
        <v>120.57784336477349</v>
      </c>
      <c r="L254" s="11">
        <f t="shared" si="33"/>
        <v>126.5944036513651</v>
      </c>
      <c r="M254" s="27">
        <f t="shared" si="41"/>
        <v>116.11111111111111</v>
      </c>
      <c r="N254" s="27">
        <f t="shared" si="39"/>
        <v>272.80858676207515</v>
      </c>
      <c r="O254" s="27">
        <f t="shared" si="40"/>
        <v>315.60283687943263</v>
      </c>
      <c r="Q254" s="4">
        <v>1.49</v>
      </c>
      <c r="R254" s="4">
        <v>1815.8525733157076</v>
      </c>
      <c r="S254" s="4">
        <v>2338.2847000963566</v>
      </c>
      <c r="T254" s="4">
        <v>180</v>
      </c>
      <c r="U254" s="4">
        <v>22.36</v>
      </c>
      <c r="V254" s="4">
        <v>14.1</v>
      </c>
      <c r="W254" s="4"/>
      <c r="X254" s="7">
        <v>39211</v>
      </c>
      <c r="Y254" s="68">
        <v>2323.5158715878224</v>
      </c>
      <c r="Z254" s="68">
        <v>3212.1375717580931</v>
      </c>
    </row>
    <row r="255" spans="1:26" x14ac:dyDescent="0.3">
      <c r="A255" s="7">
        <v>39218</v>
      </c>
      <c r="B255" s="19">
        <v>2.7730000000000001</v>
      </c>
      <c r="C255" s="2">
        <v>-13</v>
      </c>
      <c r="D255" s="2">
        <v>-322.5</v>
      </c>
      <c r="E255" s="2">
        <v>227</v>
      </c>
      <c r="F255" s="19">
        <v>65</v>
      </c>
      <c r="G255" s="19">
        <v>46</v>
      </c>
      <c r="I255" s="10">
        <v>39218</v>
      </c>
      <c r="J255" s="27">
        <f t="shared" si="35"/>
        <v>186.10738255033556</v>
      </c>
      <c r="K255" s="11">
        <f t="shared" si="32"/>
        <v>127.24137991934393</v>
      </c>
      <c r="L255" s="11">
        <f t="shared" si="33"/>
        <v>123.57937301813659</v>
      </c>
      <c r="M255" s="27">
        <f t="shared" si="41"/>
        <v>126.11111111111111</v>
      </c>
      <c r="N255" s="27">
        <f t="shared" si="39"/>
        <v>290.69767441860461</v>
      </c>
      <c r="O255" s="27">
        <f t="shared" si="40"/>
        <v>326.24113475177302</v>
      </c>
      <c r="Q255" s="4">
        <v>1.49</v>
      </c>
      <c r="R255" s="4">
        <v>1815.8525733157076</v>
      </c>
      <c r="S255" s="4">
        <v>2338.2847000963566</v>
      </c>
      <c r="T255" s="4">
        <v>180</v>
      </c>
      <c r="U255" s="4">
        <v>22.36</v>
      </c>
      <c r="V255" s="4">
        <v>14.1</v>
      </c>
      <c r="W255" s="4"/>
      <c r="X255" s="7">
        <v>39218</v>
      </c>
      <c r="Y255" s="68">
        <v>2323.5158715878224</v>
      </c>
      <c r="Z255" s="68">
        <v>3212.1375717580931</v>
      </c>
    </row>
    <row r="256" spans="1:26" x14ac:dyDescent="0.3">
      <c r="A256" s="7">
        <v>39225</v>
      </c>
      <c r="B256" s="19">
        <v>2.8029999999999999</v>
      </c>
      <c r="C256" s="2">
        <v>-22</v>
      </c>
      <c r="D256" s="2">
        <v>-259.5</v>
      </c>
      <c r="E256" s="2">
        <v>275</v>
      </c>
      <c r="F256" s="19">
        <v>64</v>
      </c>
      <c r="G256" s="19">
        <v>44.5</v>
      </c>
      <c r="I256" s="10">
        <v>39225</v>
      </c>
      <c r="J256" s="27">
        <f t="shared" si="35"/>
        <v>188.12080536912751</v>
      </c>
      <c r="K256" s="11">
        <f t="shared" si="32"/>
        <v>126.74574496900397</v>
      </c>
      <c r="L256" s="11">
        <f t="shared" si="33"/>
        <v>126.27365571165991</v>
      </c>
      <c r="M256" s="27">
        <f t="shared" si="41"/>
        <v>152.77777777777777</v>
      </c>
      <c r="N256" s="27">
        <f t="shared" si="39"/>
        <v>286.2254025044723</v>
      </c>
      <c r="O256" s="27">
        <f t="shared" si="40"/>
        <v>315.60283687943263</v>
      </c>
      <c r="Q256" s="4">
        <v>1.49</v>
      </c>
      <c r="R256" s="4">
        <v>1815.8525733157076</v>
      </c>
      <c r="S256" s="4">
        <v>2338.2847000963566</v>
      </c>
      <c r="T256" s="4">
        <v>180</v>
      </c>
      <c r="U256" s="4">
        <v>22.36</v>
      </c>
      <c r="V256" s="4">
        <v>14.1</v>
      </c>
      <c r="W256" s="4"/>
      <c r="X256" s="7">
        <v>39225</v>
      </c>
      <c r="Y256" s="68">
        <v>2323.5158715878224</v>
      </c>
      <c r="Z256" s="68">
        <v>3212.1375717580931</v>
      </c>
    </row>
    <row r="257" spans="1:26" x14ac:dyDescent="0.3">
      <c r="A257" s="7">
        <v>39232</v>
      </c>
      <c r="B257" s="19">
        <v>2.8170000000000002</v>
      </c>
      <c r="C257" s="2">
        <v>-1.5</v>
      </c>
      <c r="D257" s="2">
        <v>-207.5</v>
      </c>
      <c r="E257" s="2">
        <v>326</v>
      </c>
      <c r="F257" s="19">
        <v>64</v>
      </c>
      <c r="G257" s="19">
        <v>42.5</v>
      </c>
      <c r="I257" s="10">
        <v>39232</v>
      </c>
      <c r="J257" s="27">
        <f t="shared" si="35"/>
        <v>189.06040268456377</v>
      </c>
      <c r="K257" s="11">
        <f t="shared" si="32"/>
        <v>127.87469124477828</v>
      </c>
      <c r="L257" s="11">
        <f t="shared" si="33"/>
        <v>128.49750809361569</v>
      </c>
      <c r="M257" s="27">
        <f t="shared" si="41"/>
        <v>181.11111111111111</v>
      </c>
      <c r="N257" s="27">
        <f t="shared" si="39"/>
        <v>286.2254025044723</v>
      </c>
      <c r="O257" s="27">
        <f t="shared" si="40"/>
        <v>301.41843971631204</v>
      </c>
      <c r="Q257" s="4">
        <v>1.49</v>
      </c>
      <c r="R257" s="4">
        <v>1815.8525733157076</v>
      </c>
      <c r="S257" s="4">
        <v>2338.2847000963566</v>
      </c>
      <c r="T257" s="4">
        <v>180</v>
      </c>
      <c r="U257" s="4">
        <v>22.36</v>
      </c>
      <c r="V257" s="4">
        <v>14.1</v>
      </c>
      <c r="W257" s="4"/>
      <c r="X257" s="7">
        <v>39232</v>
      </c>
      <c r="Y257" s="68">
        <v>2323.5158715878224</v>
      </c>
      <c r="Z257" s="68">
        <v>3212.1375717580931</v>
      </c>
    </row>
    <row r="258" spans="1:26" x14ac:dyDescent="0.3">
      <c r="A258" s="7">
        <v>39239</v>
      </c>
      <c r="B258" s="19">
        <v>2.7989999999999999</v>
      </c>
      <c r="C258" s="2">
        <v>-8.5</v>
      </c>
      <c r="D258" s="2">
        <v>-202</v>
      </c>
      <c r="E258" s="2">
        <v>354</v>
      </c>
      <c r="F258" s="19">
        <v>64</v>
      </c>
      <c r="G258" s="19">
        <v>41.5</v>
      </c>
      <c r="I258" s="10">
        <v>39239</v>
      </c>
      <c r="J258" s="27">
        <f t="shared" si="35"/>
        <v>187.85234899328859</v>
      </c>
      <c r="K258" s="11">
        <f t="shared" si="32"/>
        <v>130.99482569009598</v>
      </c>
      <c r="L258" s="11">
        <f t="shared" si="33"/>
        <v>129.1291142936102</v>
      </c>
      <c r="M258" s="27">
        <f t="shared" si="41"/>
        <v>196.66666666666669</v>
      </c>
      <c r="N258" s="27">
        <f t="shared" si="39"/>
        <v>286.2254025044723</v>
      </c>
      <c r="O258" s="27">
        <f t="shared" si="40"/>
        <v>294.32624113475174</v>
      </c>
      <c r="Q258" s="4">
        <v>1.49</v>
      </c>
      <c r="R258" s="4">
        <v>1815.8525733157076</v>
      </c>
      <c r="S258" s="4">
        <v>2338.2847000963566</v>
      </c>
      <c r="T258" s="4">
        <v>180</v>
      </c>
      <c r="U258" s="4">
        <v>22.36</v>
      </c>
      <c r="V258" s="4">
        <v>14.1</v>
      </c>
      <c r="W258" s="4"/>
      <c r="X258" s="7">
        <v>39239</v>
      </c>
      <c r="Y258" s="68">
        <v>2387.1729132040332</v>
      </c>
      <c r="Z258" s="68">
        <v>3221.4063228974251</v>
      </c>
    </row>
    <row r="259" spans="1:26" x14ac:dyDescent="0.3">
      <c r="A259" s="7">
        <v>39246</v>
      </c>
      <c r="B259" s="19">
        <v>2.972</v>
      </c>
      <c r="C259" s="2">
        <v>-13</v>
      </c>
      <c r="D259" s="2">
        <v>-208</v>
      </c>
      <c r="E259" s="2">
        <v>330</v>
      </c>
      <c r="F259" s="19">
        <v>62</v>
      </c>
      <c r="G259" s="19">
        <v>40</v>
      </c>
      <c r="I259" s="10">
        <v>39246</v>
      </c>
      <c r="J259" s="27">
        <f t="shared" si="35"/>
        <v>199.46308724832215</v>
      </c>
      <c r="K259" s="11">
        <f t="shared" si="32"/>
        <v>130.74700821492598</v>
      </c>
      <c r="L259" s="11">
        <f t="shared" si="33"/>
        <v>128.87251594184607</v>
      </c>
      <c r="M259" s="27">
        <f t="shared" si="41"/>
        <v>183.33333333333334</v>
      </c>
      <c r="N259" s="27">
        <f t="shared" si="39"/>
        <v>277.28085867620752</v>
      </c>
      <c r="O259" s="27">
        <f t="shared" si="40"/>
        <v>283.6879432624113</v>
      </c>
      <c r="Q259" s="4">
        <v>1.49</v>
      </c>
      <c r="R259" s="4">
        <v>1815.8525733157076</v>
      </c>
      <c r="S259" s="4">
        <v>2338.2847000963566</v>
      </c>
      <c r="T259" s="4">
        <v>180</v>
      </c>
      <c r="U259" s="4">
        <v>22.36</v>
      </c>
      <c r="V259" s="4">
        <v>14.1</v>
      </c>
      <c r="W259" s="4"/>
      <c r="X259" s="7">
        <v>39246</v>
      </c>
      <c r="Y259" s="68">
        <v>2387.1729132040332</v>
      </c>
      <c r="Z259" s="68">
        <v>3221.4063228974251</v>
      </c>
    </row>
    <row r="260" spans="1:26" x14ac:dyDescent="0.3">
      <c r="A260" s="7">
        <v>39253</v>
      </c>
      <c r="B260" s="19">
        <v>2.8050000000000002</v>
      </c>
      <c r="C260" s="2">
        <v>-25</v>
      </c>
      <c r="D260" s="2">
        <v>-287.5</v>
      </c>
      <c r="E260" s="2">
        <v>345</v>
      </c>
      <c r="F260" s="19">
        <v>59</v>
      </c>
      <c r="G260" s="19">
        <v>39</v>
      </c>
      <c r="I260" s="10">
        <v>39253</v>
      </c>
      <c r="J260" s="27">
        <f t="shared" si="35"/>
        <v>188.25503355704697</v>
      </c>
      <c r="K260" s="11">
        <f t="shared" si="32"/>
        <v>130.08616161447273</v>
      </c>
      <c r="L260" s="11">
        <f t="shared" si="33"/>
        <v>125.47258778097141</v>
      </c>
      <c r="M260" s="27">
        <f t="shared" si="41"/>
        <v>191.66666666666666</v>
      </c>
      <c r="N260" s="27">
        <f t="shared" si="39"/>
        <v>263.86404293381037</v>
      </c>
      <c r="O260" s="27">
        <f t="shared" si="40"/>
        <v>276.59574468085106</v>
      </c>
      <c r="Q260" s="4">
        <v>1.49</v>
      </c>
      <c r="R260" s="4">
        <v>1815.8525733157076</v>
      </c>
      <c r="S260" s="4">
        <v>2338.2847000963566</v>
      </c>
      <c r="T260" s="4">
        <v>180</v>
      </c>
      <c r="U260" s="4">
        <v>22.36</v>
      </c>
      <c r="V260" s="4">
        <v>14.1</v>
      </c>
      <c r="W260" s="4"/>
      <c r="X260" s="7">
        <v>39253</v>
      </c>
      <c r="Y260" s="68">
        <v>2387.1729132040332</v>
      </c>
      <c r="Z260" s="68">
        <v>3221.4063228974251</v>
      </c>
    </row>
    <row r="261" spans="1:26" x14ac:dyDescent="0.3">
      <c r="A261" s="7">
        <v>39260</v>
      </c>
      <c r="B261" s="19">
        <v>2.835</v>
      </c>
      <c r="C261" s="2">
        <v>-41</v>
      </c>
      <c r="D261" s="2">
        <v>-308.5</v>
      </c>
      <c r="E261" s="2">
        <v>369</v>
      </c>
      <c r="F261" s="19">
        <v>60.5</v>
      </c>
      <c r="G261" s="19">
        <v>41</v>
      </c>
      <c r="I261" s="10">
        <v>39260</v>
      </c>
      <c r="J261" s="27">
        <f t="shared" si="35"/>
        <v>190.26845637583892</v>
      </c>
      <c r="K261" s="11">
        <f t="shared" si="32"/>
        <v>129.20503281386837</v>
      </c>
      <c r="L261" s="11">
        <f t="shared" si="33"/>
        <v>124.57449354979697</v>
      </c>
      <c r="M261" s="27">
        <f t="shared" si="41"/>
        <v>204.99999999999997</v>
      </c>
      <c r="N261" s="27">
        <f t="shared" si="39"/>
        <v>270.57245080500894</v>
      </c>
      <c r="O261" s="27">
        <f t="shared" si="40"/>
        <v>290.78014184397165</v>
      </c>
      <c r="Q261" s="4">
        <v>1.49</v>
      </c>
      <c r="R261" s="4">
        <v>1815.8525733157076</v>
      </c>
      <c r="S261" s="4">
        <v>2338.2847000963566</v>
      </c>
      <c r="T261" s="4">
        <v>180</v>
      </c>
      <c r="U261" s="4">
        <v>22.36</v>
      </c>
      <c r="V261" s="4">
        <v>14.1</v>
      </c>
      <c r="W261" s="4"/>
      <c r="X261" s="7">
        <v>39260</v>
      </c>
      <c r="Y261" s="68">
        <v>2387.1729132040332</v>
      </c>
      <c r="Z261" s="68">
        <v>3221.4063228974251</v>
      </c>
    </row>
    <row r="262" spans="1:26" x14ac:dyDescent="0.3">
      <c r="A262" s="7">
        <v>39267</v>
      </c>
      <c r="B262" s="19">
        <v>2.8290000000000002</v>
      </c>
      <c r="C262" s="2">
        <v>-58.5</v>
      </c>
      <c r="D262" s="2">
        <v>-409</v>
      </c>
      <c r="E262" s="2">
        <v>360</v>
      </c>
      <c r="F262" s="19">
        <v>74</v>
      </c>
      <c r="G262" s="19">
        <v>51</v>
      </c>
      <c r="I262" s="10">
        <v>39267</v>
      </c>
      <c r="J262" s="27">
        <f t="shared" si="35"/>
        <v>189.86577181208054</v>
      </c>
      <c r="K262" s="11">
        <f t="shared" si="32"/>
        <v>127.96255802152949</v>
      </c>
      <c r="L262" s="11">
        <f t="shared" si="33"/>
        <v>121.70781106847292</v>
      </c>
      <c r="M262" s="27">
        <f t="shared" si="41"/>
        <v>200</v>
      </c>
      <c r="N262" s="27">
        <f t="shared" si="39"/>
        <v>330.94812164579605</v>
      </c>
      <c r="O262" s="27">
        <f t="shared" si="40"/>
        <v>361.7021276595745</v>
      </c>
      <c r="Q262" s="4">
        <v>1.49</v>
      </c>
      <c r="R262" s="4">
        <v>1815.8525733157076</v>
      </c>
      <c r="S262" s="4">
        <v>2338.2847000963566</v>
      </c>
      <c r="T262" s="4">
        <v>180</v>
      </c>
      <c r="U262" s="4">
        <v>22.36</v>
      </c>
      <c r="V262" s="4">
        <v>14.1</v>
      </c>
      <c r="W262" s="4"/>
      <c r="X262" s="7">
        <v>39267</v>
      </c>
      <c r="Y262" s="68">
        <v>2382.1114027145486</v>
      </c>
      <c r="Z262" s="68">
        <v>3254.8751250362825</v>
      </c>
    </row>
    <row r="263" spans="1:26" x14ac:dyDescent="0.3">
      <c r="A263" s="7">
        <v>39274</v>
      </c>
      <c r="B263" s="19">
        <v>2.8490000000000002</v>
      </c>
      <c r="C263" s="2">
        <v>-33</v>
      </c>
      <c r="D263" s="2">
        <v>-361</v>
      </c>
      <c r="E263" s="2">
        <v>356</v>
      </c>
      <c r="F263" s="19">
        <v>74</v>
      </c>
      <c r="G263" s="19">
        <v>54</v>
      </c>
      <c r="I263" s="10">
        <v>39274</v>
      </c>
      <c r="J263" s="27">
        <f t="shared" si="35"/>
        <v>191.20805369127518</v>
      </c>
      <c r="K263" s="11">
        <f t="shared" si="32"/>
        <v>129.36685704749269</v>
      </c>
      <c r="L263" s="11">
        <f t="shared" si="33"/>
        <v>123.76059788258593</v>
      </c>
      <c r="M263" s="27">
        <f t="shared" si="41"/>
        <v>197.77777777777777</v>
      </c>
      <c r="N263" s="27">
        <f t="shared" si="39"/>
        <v>330.94812164579605</v>
      </c>
      <c r="O263" s="27">
        <f t="shared" si="40"/>
        <v>382.97872340425528</v>
      </c>
      <c r="Q263" s="4">
        <v>1.49</v>
      </c>
      <c r="R263" s="4">
        <v>1815.8525733157076</v>
      </c>
      <c r="S263" s="4">
        <v>2338.2847000963566</v>
      </c>
      <c r="T263" s="4">
        <v>180</v>
      </c>
      <c r="U263" s="4">
        <v>22.36</v>
      </c>
      <c r="V263" s="4">
        <v>14.1</v>
      </c>
      <c r="W263" s="4"/>
      <c r="X263" s="7">
        <v>39274</v>
      </c>
      <c r="Y263" s="68">
        <v>2382.1114027145486</v>
      </c>
      <c r="Z263" s="68">
        <v>3254.8751250362825</v>
      </c>
    </row>
    <row r="264" spans="1:26" x14ac:dyDescent="0.3">
      <c r="A264" s="7">
        <v>39281</v>
      </c>
      <c r="B264" s="19">
        <v>2.8889999999999998</v>
      </c>
      <c r="C264" s="2">
        <v>38</v>
      </c>
      <c r="D264" s="2">
        <v>-198.5</v>
      </c>
      <c r="E264" s="2">
        <v>439</v>
      </c>
      <c r="F264" s="19">
        <v>80</v>
      </c>
      <c r="G264" s="19">
        <v>60</v>
      </c>
      <c r="I264" s="10">
        <v>39281</v>
      </c>
      <c r="J264" s="27">
        <f t="shared" si="35"/>
        <v>193.89261744966441</v>
      </c>
      <c r="K264" s="11">
        <f t="shared" si="32"/>
        <v>133.27686610017452</v>
      </c>
      <c r="L264" s="11">
        <f t="shared" si="33"/>
        <v>130.7101365761977</v>
      </c>
      <c r="M264" s="27">
        <f t="shared" si="41"/>
        <v>243.88888888888891</v>
      </c>
      <c r="N264" s="27">
        <f t="shared" si="39"/>
        <v>357.78175313059035</v>
      </c>
      <c r="O264" s="27">
        <f t="shared" si="40"/>
        <v>425.531914893617</v>
      </c>
      <c r="Q264" s="4">
        <v>1.49</v>
      </c>
      <c r="R264" s="4">
        <v>1815.8525733157076</v>
      </c>
      <c r="S264" s="4">
        <v>2338.2847000963566</v>
      </c>
      <c r="T264" s="4">
        <v>180</v>
      </c>
      <c r="U264" s="4">
        <v>22.36</v>
      </c>
      <c r="V264" s="4">
        <v>14.1</v>
      </c>
      <c r="W264" s="4"/>
      <c r="X264" s="7">
        <v>39281</v>
      </c>
      <c r="Y264" s="68">
        <v>2382.1114027145486</v>
      </c>
      <c r="Z264" s="68">
        <v>3254.8751250362825</v>
      </c>
    </row>
    <row r="265" spans="1:26" x14ac:dyDescent="0.3">
      <c r="A265" s="7">
        <v>39288</v>
      </c>
      <c r="B265" s="19">
        <v>2.8889999999999998</v>
      </c>
      <c r="C265" s="2">
        <v>144.5</v>
      </c>
      <c r="D265" s="2">
        <v>-69</v>
      </c>
      <c r="E265" s="2">
        <v>458</v>
      </c>
      <c r="F265" s="19">
        <v>84</v>
      </c>
      <c r="G265" s="19">
        <v>60</v>
      </c>
      <c r="I265" s="10">
        <v>39288</v>
      </c>
      <c r="J265" s="27">
        <f t="shared" si="35"/>
        <v>193.89261744966441</v>
      </c>
      <c r="K265" s="11">
        <f t="shared" ref="K265:K328" si="42">(C265+Y265)/R265*100</f>
        <v>139.14187967919725</v>
      </c>
      <c r="L265" s="11">
        <f t="shared" ref="L265:L328" si="43">(D265+Z265)/S265*100</f>
        <v>136.24838433510678</v>
      </c>
      <c r="M265" s="27">
        <f t="shared" ref="M265:M303" si="44">(1+(E265-T265)/T265)*100</f>
        <v>254.44444444444443</v>
      </c>
      <c r="N265" s="27">
        <f t="shared" ref="N265:N290" si="45">(1+(F265-U264)/U264)*100</f>
        <v>375.67084078711986</v>
      </c>
      <c r="O265" s="27">
        <f t="shared" ref="O265:O290" si="46">(1+(G265-V264)/V264)*100</f>
        <v>425.531914893617</v>
      </c>
      <c r="Q265" s="4">
        <v>1.49</v>
      </c>
      <c r="R265" s="4">
        <v>1815.8525733157076</v>
      </c>
      <c r="S265" s="4">
        <v>2338.2847000963566</v>
      </c>
      <c r="T265" s="4">
        <v>180</v>
      </c>
      <c r="U265" s="4">
        <v>22.36</v>
      </c>
      <c r="V265" s="4">
        <v>14.1</v>
      </c>
      <c r="W265" s="4"/>
      <c r="X265" s="7">
        <v>39288</v>
      </c>
      <c r="Y265" s="68">
        <v>2382.1114027145486</v>
      </c>
      <c r="Z265" s="68">
        <v>3254.8751250362825</v>
      </c>
    </row>
    <row r="266" spans="1:26" x14ac:dyDescent="0.3">
      <c r="A266" s="7">
        <v>39295</v>
      </c>
      <c r="B266" s="19">
        <v>2.8860000000000001</v>
      </c>
      <c r="C266" s="2">
        <v>202</v>
      </c>
      <c r="D266" s="2">
        <v>117</v>
      </c>
      <c r="E266" s="2">
        <v>395</v>
      </c>
      <c r="F266" s="19">
        <v>90</v>
      </c>
      <c r="G266" s="19">
        <v>59</v>
      </c>
      <c r="I266" s="10">
        <v>39295</v>
      </c>
      <c r="J266" s="27">
        <f t="shared" si="35"/>
        <v>193.69127516778525</v>
      </c>
      <c r="K266" s="11">
        <f t="shared" si="42"/>
        <v>147.17154387675248</v>
      </c>
      <c r="L266" s="11">
        <f t="shared" si="43"/>
        <v>147.0352640777466</v>
      </c>
      <c r="M266" s="27">
        <f t="shared" si="44"/>
        <v>219.44444444444446</v>
      </c>
      <c r="N266" s="27">
        <f t="shared" si="45"/>
        <v>402.5044722719141</v>
      </c>
      <c r="O266" s="27">
        <f t="shared" si="46"/>
        <v>418.43971631205676</v>
      </c>
      <c r="Q266" s="4">
        <v>1.49</v>
      </c>
      <c r="R266" s="4">
        <v>1815.8525733157076</v>
      </c>
      <c r="S266" s="4">
        <v>2338.2847000963566</v>
      </c>
      <c r="T266" s="4">
        <v>180</v>
      </c>
      <c r="U266" s="4">
        <v>22.36</v>
      </c>
      <c r="V266" s="4">
        <v>14.1</v>
      </c>
      <c r="W266" s="4"/>
      <c r="X266" s="7">
        <v>39295</v>
      </c>
      <c r="Y266" s="68">
        <v>2470.4182666744655</v>
      </c>
      <c r="Z266" s="68">
        <v>3321.1030836762234</v>
      </c>
    </row>
    <row r="267" spans="1:26" x14ac:dyDescent="0.3">
      <c r="A267" s="7">
        <v>39302</v>
      </c>
      <c r="B267" s="19">
        <v>2.8980000000000001</v>
      </c>
      <c r="C267" s="2">
        <v>211.5</v>
      </c>
      <c r="D267" s="2">
        <v>327</v>
      </c>
      <c r="E267" s="2">
        <v>446</v>
      </c>
      <c r="F267" s="19">
        <v>89.5</v>
      </c>
      <c r="G267" s="19">
        <v>58</v>
      </c>
      <c r="I267" s="10">
        <v>39302</v>
      </c>
      <c r="J267" s="27">
        <f t="shared" si="35"/>
        <v>194.49664429530202</v>
      </c>
      <c r="K267" s="11">
        <f t="shared" si="42"/>
        <v>147.69471410211131</v>
      </c>
      <c r="L267" s="11">
        <f t="shared" si="43"/>
        <v>156.01620638949106</v>
      </c>
      <c r="M267" s="27">
        <f t="shared" si="44"/>
        <v>247.77777777777777</v>
      </c>
      <c r="N267" s="27">
        <f t="shared" si="45"/>
        <v>400.26833631484794</v>
      </c>
      <c r="O267" s="27">
        <f t="shared" si="46"/>
        <v>411.34751773049646</v>
      </c>
      <c r="Q267" s="4">
        <v>1.49</v>
      </c>
      <c r="R267" s="4">
        <v>1815.8525733157076</v>
      </c>
      <c r="S267" s="4">
        <v>2338.2847000963566</v>
      </c>
      <c r="T267" s="4">
        <v>180</v>
      </c>
      <c r="U267" s="4">
        <v>22.36</v>
      </c>
      <c r="V267" s="4">
        <v>14.1</v>
      </c>
      <c r="W267" s="4"/>
      <c r="X267" s="7">
        <v>39302</v>
      </c>
      <c r="Y267" s="68">
        <v>2470.4182666744655</v>
      </c>
      <c r="Z267" s="68">
        <v>3321.1030836762234</v>
      </c>
    </row>
    <row r="268" spans="1:26" x14ac:dyDescent="0.3">
      <c r="A268" s="7">
        <v>39309</v>
      </c>
      <c r="B268" s="19">
        <v>2.847</v>
      </c>
      <c r="C268" s="2">
        <v>412.5</v>
      </c>
      <c r="D268" s="2">
        <v>433.5</v>
      </c>
      <c r="E268" s="2">
        <v>531</v>
      </c>
      <c r="F268" s="19">
        <v>89</v>
      </c>
      <c r="G268" s="19">
        <v>56.5</v>
      </c>
      <c r="I268" s="10">
        <v>39309</v>
      </c>
      <c r="J268" s="27">
        <f t="shared" si="35"/>
        <v>191.07382550335569</v>
      </c>
      <c r="K268" s="11">
        <f t="shared" si="42"/>
        <v>158.76389465970351</v>
      </c>
      <c r="L268" s="11">
        <f t="shared" si="43"/>
        <v>160.57082713330428</v>
      </c>
      <c r="M268" s="27">
        <f t="shared" si="44"/>
        <v>295</v>
      </c>
      <c r="N268" s="27">
        <f t="shared" si="45"/>
        <v>398.03220035778179</v>
      </c>
      <c r="O268" s="27">
        <f t="shared" si="46"/>
        <v>400.70921985815602</v>
      </c>
      <c r="Q268" s="4">
        <v>1.49</v>
      </c>
      <c r="R268" s="4">
        <v>1815.8525733157076</v>
      </c>
      <c r="S268" s="4">
        <v>2338.2847000963566</v>
      </c>
      <c r="T268" s="4">
        <v>180</v>
      </c>
      <c r="U268" s="4">
        <v>22.36</v>
      </c>
      <c r="V268" s="4">
        <v>14.1</v>
      </c>
      <c r="W268" s="4"/>
      <c r="X268" s="7">
        <v>39309</v>
      </c>
      <c r="Y268" s="68">
        <v>2470.4182666744655</v>
      </c>
      <c r="Z268" s="68">
        <v>3321.1030836762234</v>
      </c>
    </row>
    <row r="269" spans="1:26" x14ac:dyDescent="0.3">
      <c r="A269" s="7">
        <v>39316</v>
      </c>
      <c r="B269" s="19">
        <v>2.8690000000000002</v>
      </c>
      <c r="C269" s="2">
        <v>504.5</v>
      </c>
      <c r="D269" s="2">
        <v>1275</v>
      </c>
      <c r="E269" s="2">
        <v>578</v>
      </c>
      <c r="F269" s="19">
        <v>94</v>
      </c>
      <c r="G269" s="19">
        <v>61</v>
      </c>
      <c r="I269" s="10">
        <v>39316</v>
      </c>
      <c r="J269" s="27">
        <f t="shared" si="35"/>
        <v>192.5503355704698</v>
      </c>
      <c r="K269" s="11">
        <f t="shared" si="42"/>
        <v>163.83038526317856</v>
      </c>
      <c r="L269" s="11">
        <f t="shared" si="43"/>
        <v>196.55874596822304</v>
      </c>
      <c r="M269" s="27">
        <f t="shared" si="44"/>
        <v>321.11111111111114</v>
      </c>
      <c r="N269" s="27">
        <f t="shared" si="45"/>
        <v>420.39355992844366</v>
      </c>
      <c r="O269" s="27">
        <f t="shared" si="46"/>
        <v>432.6241134751773</v>
      </c>
      <c r="Q269" s="4">
        <v>1.49</v>
      </c>
      <c r="R269" s="4">
        <v>1815.8525733157076</v>
      </c>
      <c r="S269" s="4">
        <v>2338.2847000963566</v>
      </c>
      <c r="T269" s="4">
        <v>180</v>
      </c>
      <c r="U269" s="4">
        <v>22.36</v>
      </c>
      <c r="V269" s="4">
        <v>14.1</v>
      </c>
      <c r="W269" s="4"/>
      <c r="X269" s="7">
        <v>39316</v>
      </c>
      <c r="Y269" s="68">
        <v>2470.4182666744655</v>
      </c>
      <c r="Z269" s="68">
        <v>3321.1030836762234</v>
      </c>
    </row>
    <row r="270" spans="1:26" x14ac:dyDescent="0.3">
      <c r="A270" s="7">
        <v>39323</v>
      </c>
      <c r="B270" s="19">
        <v>2.863</v>
      </c>
      <c r="C270" s="2">
        <v>637</v>
      </c>
      <c r="D270" s="2">
        <v>925</v>
      </c>
      <c r="E270" s="2">
        <v>698</v>
      </c>
      <c r="F270" s="19">
        <v>90</v>
      </c>
      <c r="G270" s="19">
        <v>59</v>
      </c>
      <c r="I270" s="10">
        <v>39323</v>
      </c>
      <c r="J270" s="27">
        <f t="shared" si="35"/>
        <v>192.14765100671141</v>
      </c>
      <c r="K270" s="11">
        <f t="shared" si="42"/>
        <v>171.12723314318336</v>
      </c>
      <c r="L270" s="11">
        <f t="shared" si="43"/>
        <v>181.59050878198235</v>
      </c>
      <c r="M270" s="27">
        <f t="shared" si="44"/>
        <v>387.77777777777777</v>
      </c>
      <c r="N270" s="27">
        <f t="shared" si="45"/>
        <v>402.5044722719141</v>
      </c>
      <c r="O270" s="27">
        <f t="shared" si="46"/>
        <v>418.43971631205676</v>
      </c>
      <c r="Q270" s="4">
        <v>1.49</v>
      </c>
      <c r="R270" s="4">
        <v>1815.8525733157076</v>
      </c>
      <c r="S270" s="4">
        <v>2338.2847000963566</v>
      </c>
      <c r="T270" s="4">
        <v>180</v>
      </c>
      <c r="U270" s="4">
        <v>22.36</v>
      </c>
      <c r="V270" s="4">
        <v>14.1</v>
      </c>
      <c r="W270" s="4"/>
      <c r="X270" s="7">
        <v>39323</v>
      </c>
      <c r="Y270" s="68">
        <v>2470.4182666744655</v>
      </c>
      <c r="Z270" s="68">
        <v>3321.1030836762234</v>
      </c>
    </row>
    <row r="271" spans="1:26" x14ac:dyDescent="0.3">
      <c r="A271" s="7">
        <v>39330</v>
      </c>
      <c r="B271" s="19">
        <v>2.8929999999999998</v>
      </c>
      <c r="C271" s="2">
        <v>622</v>
      </c>
      <c r="D271" s="2">
        <v>800</v>
      </c>
      <c r="E271" s="2">
        <v>810</v>
      </c>
      <c r="F271" s="19">
        <v>91.2</v>
      </c>
      <c r="G271" s="19">
        <v>59.1</v>
      </c>
      <c r="I271" s="10">
        <v>39330</v>
      </c>
      <c r="J271" s="27">
        <f t="shared" si="35"/>
        <v>194.16107382550334</v>
      </c>
      <c r="K271" s="11">
        <f t="shared" si="42"/>
        <v>174.51980057854419</v>
      </c>
      <c r="L271" s="11">
        <f t="shared" si="43"/>
        <v>177.96947992538446</v>
      </c>
      <c r="M271" s="27">
        <f t="shared" si="44"/>
        <v>450</v>
      </c>
      <c r="N271" s="27">
        <f t="shared" si="45"/>
        <v>407.87119856887301</v>
      </c>
      <c r="O271" s="27">
        <f t="shared" si="46"/>
        <v>419.14893617021278</v>
      </c>
      <c r="Q271" s="4">
        <v>1.49</v>
      </c>
      <c r="R271" s="4">
        <v>1815.8525733157076</v>
      </c>
      <c r="S271" s="4">
        <v>2338.2847000963566</v>
      </c>
      <c r="T271" s="4">
        <v>180</v>
      </c>
      <c r="U271" s="4">
        <v>22.36</v>
      </c>
      <c r="V271" s="4">
        <v>14.1</v>
      </c>
      <c r="W271" s="4"/>
      <c r="X271" s="7">
        <v>39330</v>
      </c>
      <c r="Y271" s="68">
        <v>2547.0222897509357</v>
      </c>
      <c r="Z271" s="68">
        <v>3361.4331199363214</v>
      </c>
    </row>
    <row r="272" spans="1:26" x14ac:dyDescent="0.3">
      <c r="A272" s="7">
        <v>39337</v>
      </c>
      <c r="B272" s="19">
        <v>2.9239999999999999</v>
      </c>
      <c r="C272" s="2">
        <v>625</v>
      </c>
      <c r="D272" s="2">
        <v>897</v>
      </c>
      <c r="E272" s="2">
        <v>688</v>
      </c>
      <c r="F272" s="19">
        <v>98.5</v>
      </c>
      <c r="G272" s="19">
        <v>68</v>
      </c>
      <c r="I272" s="10">
        <v>39337</v>
      </c>
      <c r="J272" s="27">
        <f t="shared" si="35"/>
        <v>196.24161073825505</v>
      </c>
      <c r="K272" s="11">
        <f t="shared" si="42"/>
        <v>174.68501222865751</v>
      </c>
      <c r="L272" s="11">
        <f t="shared" si="43"/>
        <v>182.11781994557117</v>
      </c>
      <c r="M272" s="27">
        <f t="shared" si="44"/>
        <v>382.22222222222223</v>
      </c>
      <c r="N272" s="27">
        <f t="shared" si="45"/>
        <v>440.51878354203939</v>
      </c>
      <c r="O272" s="27">
        <f t="shared" si="46"/>
        <v>482.26950354609926</v>
      </c>
      <c r="Q272" s="4">
        <v>1.49</v>
      </c>
      <c r="R272" s="4">
        <v>1815.8525733157076</v>
      </c>
      <c r="S272" s="4">
        <v>2338.2847000963566</v>
      </c>
      <c r="T272" s="4">
        <v>180</v>
      </c>
      <c r="U272" s="4">
        <v>22.36</v>
      </c>
      <c r="V272" s="4">
        <v>14.1</v>
      </c>
      <c r="W272" s="4"/>
      <c r="X272" s="7">
        <v>39337</v>
      </c>
      <c r="Y272" s="68">
        <v>2547.0222897509357</v>
      </c>
      <c r="Z272" s="68">
        <v>3361.4331199363214</v>
      </c>
    </row>
    <row r="273" spans="1:26" x14ac:dyDescent="0.3">
      <c r="A273" s="7">
        <v>39344</v>
      </c>
      <c r="B273" s="19">
        <v>2.964</v>
      </c>
      <c r="C273" s="2">
        <v>800</v>
      </c>
      <c r="D273" s="2">
        <v>679.5</v>
      </c>
      <c r="E273" s="2">
        <v>746</v>
      </c>
      <c r="F273" s="19">
        <v>95</v>
      </c>
      <c r="G273" s="19">
        <v>65.5</v>
      </c>
      <c r="I273" s="10">
        <v>39344</v>
      </c>
      <c r="J273" s="27">
        <f t="shared" si="35"/>
        <v>198.92617449664428</v>
      </c>
      <c r="K273" s="11">
        <f t="shared" si="42"/>
        <v>184.32235848526764</v>
      </c>
      <c r="L273" s="11">
        <f t="shared" si="43"/>
        <v>172.8161296941216</v>
      </c>
      <c r="M273" s="27">
        <f t="shared" si="44"/>
        <v>414.4444444444444</v>
      </c>
      <c r="N273" s="27">
        <f t="shared" si="45"/>
        <v>424.86583184257603</v>
      </c>
      <c r="O273" s="27">
        <f t="shared" si="46"/>
        <v>464.53900709219857</v>
      </c>
      <c r="Q273" s="4">
        <v>1.49</v>
      </c>
      <c r="R273" s="4">
        <v>1815.8525733157076</v>
      </c>
      <c r="S273" s="4">
        <v>2338.2847000963566</v>
      </c>
      <c r="T273" s="4">
        <v>180</v>
      </c>
      <c r="U273" s="4">
        <v>22.36</v>
      </c>
      <c r="V273" s="4">
        <v>14.1</v>
      </c>
      <c r="W273" s="4"/>
      <c r="X273" s="7">
        <v>39344</v>
      </c>
      <c r="Y273" s="68">
        <v>2547.0222897509357</v>
      </c>
      <c r="Z273" s="68">
        <v>3361.4331199363214</v>
      </c>
    </row>
    <row r="274" spans="1:26" x14ac:dyDescent="0.3">
      <c r="A274" s="7">
        <v>39351</v>
      </c>
      <c r="B274" s="19">
        <v>3.032</v>
      </c>
      <c r="C274" s="2">
        <v>754</v>
      </c>
      <c r="D274" s="2">
        <v>1075</v>
      </c>
      <c r="E274" s="2">
        <v>653</v>
      </c>
      <c r="F274" s="19">
        <v>95</v>
      </c>
      <c r="G274" s="19">
        <v>67</v>
      </c>
      <c r="I274" s="10">
        <v>39351</v>
      </c>
      <c r="J274" s="27">
        <f t="shared" si="35"/>
        <v>203.48993288590603</v>
      </c>
      <c r="K274" s="11">
        <f t="shared" si="42"/>
        <v>181.78911318353011</v>
      </c>
      <c r="L274" s="11">
        <f t="shared" si="43"/>
        <v>189.73023771457358</v>
      </c>
      <c r="M274" s="27">
        <f t="shared" si="44"/>
        <v>362.77777777777777</v>
      </c>
      <c r="N274" s="27">
        <f t="shared" si="45"/>
        <v>424.86583184257603</v>
      </c>
      <c r="O274" s="27">
        <f t="shared" si="46"/>
        <v>475.17730496453902</v>
      </c>
      <c r="Q274" s="4">
        <v>1.49</v>
      </c>
      <c r="R274" s="4">
        <v>1815.8525733157076</v>
      </c>
      <c r="S274" s="4">
        <v>2338.2847000963566</v>
      </c>
      <c r="T274" s="4">
        <v>180</v>
      </c>
      <c r="U274" s="4">
        <v>22.36</v>
      </c>
      <c r="V274" s="4">
        <v>14.1</v>
      </c>
      <c r="W274" s="4"/>
      <c r="X274" s="7">
        <v>39351</v>
      </c>
      <c r="Y274" s="68">
        <v>2547.0222897509357</v>
      </c>
      <c r="Z274" s="68">
        <v>3361.4331199363214</v>
      </c>
    </row>
    <row r="275" spans="1:26" x14ac:dyDescent="0.3">
      <c r="A275" s="7">
        <v>39358</v>
      </c>
      <c r="B275" s="19">
        <v>3.048</v>
      </c>
      <c r="C275" s="2">
        <v>375</v>
      </c>
      <c r="D275" s="2">
        <v>1108.5</v>
      </c>
      <c r="E275" s="2">
        <v>671</v>
      </c>
      <c r="F275" s="19">
        <v>99</v>
      </c>
      <c r="G275" s="19">
        <v>66</v>
      </c>
      <c r="I275" s="10">
        <v>39358</v>
      </c>
      <c r="J275" s="27">
        <f t="shared" si="35"/>
        <v>204.56375838926175</v>
      </c>
      <c r="K275" s="11">
        <f t="shared" si="42"/>
        <v>170.42907427798477</v>
      </c>
      <c r="L275" s="11">
        <f t="shared" si="43"/>
        <v>198.40521369008849</v>
      </c>
      <c r="M275" s="27">
        <f t="shared" si="44"/>
        <v>372.77777777777777</v>
      </c>
      <c r="N275" s="27">
        <f t="shared" si="45"/>
        <v>442.75491949910554</v>
      </c>
      <c r="O275" s="27">
        <f t="shared" si="46"/>
        <v>468.08510638297872</v>
      </c>
      <c r="Q275" s="4">
        <v>1.49</v>
      </c>
      <c r="R275" s="4">
        <v>1815.8525733157076</v>
      </c>
      <c r="S275" s="4">
        <v>2338.2847000963566</v>
      </c>
      <c r="T275" s="4">
        <v>180</v>
      </c>
      <c r="U275" s="4">
        <v>22.36</v>
      </c>
      <c r="V275" s="4">
        <v>14.1</v>
      </c>
      <c r="W275" s="4"/>
      <c r="X275" s="7">
        <v>39358</v>
      </c>
      <c r="Y275" s="68">
        <v>2719.7407309549253</v>
      </c>
      <c r="Z275" s="68">
        <v>3530.778755908821</v>
      </c>
    </row>
    <row r="276" spans="1:26" x14ac:dyDescent="0.3">
      <c r="A276" s="7">
        <v>39365</v>
      </c>
      <c r="B276" s="19">
        <v>3.0350000000000001</v>
      </c>
      <c r="C276" s="2">
        <v>331.5</v>
      </c>
      <c r="D276" s="2">
        <v>894</v>
      </c>
      <c r="E276" s="2">
        <v>640</v>
      </c>
      <c r="F276" s="19">
        <v>101</v>
      </c>
      <c r="G276" s="19">
        <v>68.5</v>
      </c>
      <c r="I276" s="10">
        <v>39365</v>
      </c>
      <c r="J276" s="27">
        <f t="shared" si="35"/>
        <v>203.69127516778525</v>
      </c>
      <c r="K276" s="11">
        <f t="shared" si="42"/>
        <v>168.03350535134169</v>
      </c>
      <c r="L276" s="11">
        <f t="shared" si="43"/>
        <v>189.23182261452095</v>
      </c>
      <c r="M276" s="27">
        <f t="shared" si="44"/>
        <v>355.55555555555554</v>
      </c>
      <c r="N276" s="27">
        <f t="shared" si="45"/>
        <v>451.69946332737032</v>
      </c>
      <c r="O276" s="27">
        <f t="shared" si="46"/>
        <v>485.81560283687946</v>
      </c>
      <c r="Q276" s="4">
        <v>1.49</v>
      </c>
      <c r="R276" s="4">
        <v>1815.8525733157076</v>
      </c>
      <c r="S276" s="4">
        <v>2338.2847000963566</v>
      </c>
      <c r="T276" s="4">
        <v>180</v>
      </c>
      <c r="U276" s="4">
        <v>22.36</v>
      </c>
      <c r="V276" s="4">
        <v>14.1</v>
      </c>
      <c r="W276" s="4"/>
      <c r="X276" s="7">
        <v>39365</v>
      </c>
      <c r="Y276" s="68">
        <v>2719.7407309549253</v>
      </c>
      <c r="Z276" s="68">
        <v>3530.778755908821</v>
      </c>
    </row>
    <row r="277" spans="1:26" x14ac:dyDescent="0.3">
      <c r="A277" s="7">
        <v>39372</v>
      </c>
      <c r="B277" s="19">
        <v>3.0390000000000001</v>
      </c>
      <c r="C277" s="2">
        <v>338</v>
      </c>
      <c r="D277" s="2">
        <v>1008.5</v>
      </c>
      <c r="E277" s="2">
        <v>526</v>
      </c>
      <c r="F277" s="19">
        <v>115</v>
      </c>
      <c r="G277" s="19">
        <v>90</v>
      </c>
      <c r="I277" s="10">
        <v>39372</v>
      </c>
      <c r="J277" s="27">
        <f t="shared" si="35"/>
        <v>203.95973154362417</v>
      </c>
      <c r="K277" s="11">
        <f t="shared" si="42"/>
        <v>168.39146392658722</v>
      </c>
      <c r="L277" s="11">
        <f t="shared" si="43"/>
        <v>194.12857449401972</v>
      </c>
      <c r="M277" s="27">
        <f t="shared" si="44"/>
        <v>292.22222222222223</v>
      </c>
      <c r="N277" s="27">
        <f t="shared" si="45"/>
        <v>514.31127012522359</v>
      </c>
      <c r="O277" s="27">
        <f t="shared" si="46"/>
        <v>638.29787234042556</v>
      </c>
      <c r="Q277" s="4">
        <v>1.49</v>
      </c>
      <c r="R277" s="4">
        <v>1815.8525733157076</v>
      </c>
      <c r="S277" s="4">
        <v>2338.2847000963566</v>
      </c>
      <c r="T277" s="4">
        <v>180</v>
      </c>
      <c r="U277" s="4">
        <v>22.36</v>
      </c>
      <c r="V277" s="4">
        <v>14.1</v>
      </c>
      <c r="W277" s="4"/>
      <c r="X277" s="7">
        <v>39372</v>
      </c>
      <c r="Y277" s="68">
        <v>2719.7407309549253</v>
      </c>
      <c r="Z277" s="68">
        <v>3530.778755908821</v>
      </c>
    </row>
    <row r="278" spans="1:26" x14ac:dyDescent="0.3">
      <c r="A278" s="7">
        <v>39379</v>
      </c>
      <c r="B278" s="19">
        <v>3.0939999999999999</v>
      </c>
      <c r="C278" s="2">
        <v>110.5</v>
      </c>
      <c r="D278" s="2">
        <v>375</v>
      </c>
      <c r="E278" s="2">
        <v>533</v>
      </c>
      <c r="F278" s="19">
        <v>115</v>
      </c>
      <c r="G278" s="19">
        <v>90</v>
      </c>
      <c r="I278" s="10">
        <v>39379</v>
      </c>
      <c r="J278" s="27">
        <f t="shared" si="35"/>
        <v>207.65100671140937</v>
      </c>
      <c r="K278" s="11">
        <f t="shared" si="42"/>
        <v>155.86291379299405</v>
      </c>
      <c r="L278" s="11">
        <f t="shared" si="43"/>
        <v>167.03606518692402</v>
      </c>
      <c r="M278" s="27">
        <f t="shared" si="44"/>
        <v>296.11111111111114</v>
      </c>
      <c r="N278" s="27">
        <f t="shared" si="45"/>
        <v>514.31127012522359</v>
      </c>
      <c r="O278" s="27">
        <f t="shared" si="46"/>
        <v>638.29787234042556</v>
      </c>
      <c r="Q278" s="4">
        <v>1.49</v>
      </c>
      <c r="R278" s="4">
        <v>1815.8525733157076</v>
      </c>
      <c r="S278" s="4">
        <v>2338.2847000963566</v>
      </c>
      <c r="T278" s="4">
        <v>180</v>
      </c>
      <c r="U278" s="4">
        <v>22.36</v>
      </c>
      <c r="V278" s="4">
        <v>14.1</v>
      </c>
      <c r="W278" s="4"/>
      <c r="X278" s="7">
        <v>39379</v>
      </c>
      <c r="Y278" s="68">
        <v>2719.7407309549253</v>
      </c>
      <c r="Z278" s="68">
        <v>3530.778755908821</v>
      </c>
    </row>
    <row r="279" spans="1:26" x14ac:dyDescent="0.3">
      <c r="A279" s="7">
        <v>39386</v>
      </c>
      <c r="B279" s="19">
        <v>3.157</v>
      </c>
      <c r="C279" s="2">
        <v>37.5</v>
      </c>
      <c r="D279" s="2">
        <v>9</v>
      </c>
      <c r="E279" s="2">
        <v>456</v>
      </c>
      <c r="F279" s="19">
        <v>117</v>
      </c>
      <c r="G279" s="19">
        <v>92</v>
      </c>
      <c r="I279" s="10">
        <v>39386</v>
      </c>
      <c r="J279" s="27">
        <f t="shared" si="35"/>
        <v>211.87919463087246</v>
      </c>
      <c r="K279" s="11">
        <f t="shared" si="42"/>
        <v>151.84276364023668</v>
      </c>
      <c r="L279" s="11">
        <f t="shared" si="43"/>
        <v>151.38356572931229</v>
      </c>
      <c r="M279" s="27">
        <f t="shared" si="44"/>
        <v>253.33333333333331</v>
      </c>
      <c r="N279" s="27">
        <f t="shared" si="45"/>
        <v>523.25581395348843</v>
      </c>
      <c r="O279" s="27">
        <f t="shared" si="46"/>
        <v>652.48226950354615</v>
      </c>
      <c r="Q279" s="4">
        <v>1.49</v>
      </c>
      <c r="R279" s="4">
        <v>1815.8525733157076</v>
      </c>
      <c r="S279" s="4">
        <v>2338.2847000963566</v>
      </c>
      <c r="T279" s="4">
        <v>180</v>
      </c>
      <c r="U279" s="4">
        <v>22.36</v>
      </c>
      <c r="V279" s="4">
        <v>14.1</v>
      </c>
      <c r="W279" s="4"/>
      <c r="X279" s="7">
        <v>39386</v>
      </c>
      <c r="Y279" s="68">
        <v>2719.7407309549253</v>
      </c>
      <c r="Z279" s="68">
        <v>3530.778755908821</v>
      </c>
    </row>
    <row r="280" spans="1:26" x14ac:dyDescent="0.3">
      <c r="A280" s="7">
        <v>39393</v>
      </c>
      <c r="B280" s="19">
        <v>3.3029999999999999</v>
      </c>
      <c r="C280" s="2">
        <v>-40</v>
      </c>
      <c r="D280" s="2">
        <v>-239.5</v>
      </c>
      <c r="E280" s="2">
        <v>418</v>
      </c>
      <c r="F280" s="19">
        <v>115</v>
      </c>
      <c r="G280" s="19">
        <v>93</v>
      </c>
      <c r="I280" s="10">
        <v>39393</v>
      </c>
      <c r="J280" s="27">
        <f t="shared" si="35"/>
        <v>221.6778523489933</v>
      </c>
      <c r="K280" s="11">
        <f t="shared" si="42"/>
        <v>147.3736106939873</v>
      </c>
      <c r="L280" s="11">
        <f t="shared" si="43"/>
        <v>141.83789628596531</v>
      </c>
      <c r="M280" s="27">
        <f t="shared" si="44"/>
        <v>232.2222222222222</v>
      </c>
      <c r="N280" s="27">
        <f t="shared" si="45"/>
        <v>514.31127012522359</v>
      </c>
      <c r="O280" s="27">
        <f t="shared" si="46"/>
        <v>659.57446808510645</v>
      </c>
      <c r="Q280" s="4">
        <v>1.49</v>
      </c>
      <c r="R280" s="4">
        <v>1815.8525733157076</v>
      </c>
      <c r="S280" s="4">
        <v>2338.2847000963566</v>
      </c>
      <c r="T280" s="4">
        <v>180</v>
      </c>
      <c r="U280" s="4">
        <v>22.36</v>
      </c>
      <c r="V280" s="4">
        <v>14.1</v>
      </c>
      <c r="W280" s="4"/>
      <c r="X280" s="7">
        <v>39393</v>
      </c>
      <c r="Y280" s="68">
        <v>2716.0875021750412</v>
      </c>
      <c r="Z280" s="68">
        <v>3556.0738277932655</v>
      </c>
    </row>
    <row r="281" spans="1:26" x14ac:dyDescent="0.3">
      <c r="A281" s="7">
        <v>39400</v>
      </c>
      <c r="B281" s="19">
        <v>3.4249999999999998</v>
      </c>
      <c r="C281" s="2">
        <v>22</v>
      </c>
      <c r="D281" s="2">
        <v>-154.5</v>
      </c>
      <c r="E281" s="2">
        <v>438</v>
      </c>
      <c r="F281" s="19">
        <v>115</v>
      </c>
      <c r="G281" s="19">
        <v>92</v>
      </c>
      <c r="I281" s="10">
        <v>39400</v>
      </c>
      <c r="J281" s="27">
        <f t="shared" si="35"/>
        <v>229.86577181208051</v>
      </c>
      <c r="K281" s="11">
        <f t="shared" si="42"/>
        <v>150.78798479632917</v>
      </c>
      <c r="L281" s="11">
        <f t="shared" si="43"/>
        <v>145.4730396026238</v>
      </c>
      <c r="M281" s="27">
        <f t="shared" si="44"/>
        <v>243.33333333333337</v>
      </c>
      <c r="N281" s="27">
        <f t="shared" si="45"/>
        <v>514.31127012522359</v>
      </c>
      <c r="O281" s="27">
        <f t="shared" si="46"/>
        <v>652.48226950354615</v>
      </c>
      <c r="Q281" s="4">
        <v>1.49</v>
      </c>
      <c r="R281" s="4">
        <v>1815.8525733157076</v>
      </c>
      <c r="S281" s="4">
        <v>2338.2847000963566</v>
      </c>
      <c r="T281" s="4">
        <v>180</v>
      </c>
      <c r="U281" s="4">
        <v>22.36</v>
      </c>
      <c r="V281" s="4">
        <v>14.1</v>
      </c>
      <c r="W281" s="4"/>
      <c r="X281" s="7">
        <v>39400</v>
      </c>
      <c r="Y281" s="68">
        <v>2716.0875021750412</v>
      </c>
      <c r="Z281" s="68">
        <v>3556.0738277932655</v>
      </c>
    </row>
    <row r="282" spans="1:26" x14ac:dyDescent="0.3">
      <c r="A282" s="7">
        <v>39407</v>
      </c>
      <c r="B282" s="19">
        <v>3.41</v>
      </c>
      <c r="C282" s="2">
        <v>-69.5</v>
      </c>
      <c r="D282" s="2">
        <v>-347</v>
      </c>
      <c r="E282" s="2">
        <v>406</v>
      </c>
      <c r="F282" s="19">
        <v>118</v>
      </c>
      <c r="G282" s="19">
        <v>90</v>
      </c>
      <c r="I282" s="10">
        <v>39407</v>
      </c>
      <c r="J282" s="27">
        <f t="shared" si="35"/>
        <v>228.85906040268455</v>
      </c>
      <c r="K282" s="11">
        <f t="shared" si="42"/>
        <v>145.74902946787302</v>
      </c>
      <c r="L282" s="11">
        <f t="shared" si="43"/>
        <v>137.2405091501914</v>
      </c>
      <c r="M282" s="27">
        <f t="shared" si="44"/>
        <v>225.55555555555554</v>
      </c>
      <c r="N282" s="27">
        <f t="shared" si="45"/>
        <v>527.72808586762073</v>
      </c>
      <c r="O282" s="27">
        <f t="shared" si="46"/>
        <v>638.29787234042556</v>
      </c>
      <c r="Q282" s="4">
        <v>1.49</v>
      </c>
      <c r="R282" s="4">
        <v>1815.8525733157076</v>
      </c>
      <c r="S282" s="4">
        <v>2338.2847000963566</v>
      </c>
      <c r="T282" s="4">
        <v>180</v>
      </c>
      <c r="U282" s="4">
        <v>22.36</v>
      </c>
      <c r="V282" s="4">
        <v>14.1</v>
      </c>
      <c r="W282" s="4"/>
      <c r="X282" s="7">
        <v>39407</v>
      </c>
      <c r="Y282" s="68">
        <v>2716.0875021750412</v>
      </c>
      <c r="Z282" s="68">
        <v>3556.0738277932655</v>
      </c>
    </row>
    <row r="283" spans="1:26" x14ac:dyDescent="0.3">
      <c r="A283" s="7">
        <v>39414</v>
      </c>
      <c r="B283" s="19">
        <v>3.444</v>
      </c>
      <c r="C283" s="2">
        <v>-88.5</v>
      </c>
      <c r="D283" s="2">
        <v>-275</v>
      </c>
      <c r="E283" s="2">
        <v>387</v>
      </c>
      <c r="F283" s="19">
        <v>120</v>
      </c>
      <c r="G283" s="19">
        <v>82</v>
      </c>
      <c r="I283" s="10">
        <v>39414</v>
      </c>
      <c r="J283" s="27">
        <f t="shared" si="35"/>
        <v>231.14093959731542</v>
      </c>
      <c r="K283" s="11">
        <f t="shared" si="42"/>
        <v>144.70268901715536</v>
      </c>
      <c r="L283" s="11">
        <f t="shared" si="43"/>
        <v>140.31968937136091</v>
      </c>
      <c r="M283" s="27">
        <f t="shared" si="44"/>
        <v>215</v>
      </c>
      <c r="N283" s="27">
        <f t="shared" si="45"/>
        <v>536.67262969588558</v>
      </c>
      <c r="O283" s="27">
        <f t="shared" si="46"/>
        <v>581.5602836879433</v>
      </c>
      <c r="Q283" s="4">
        <v>1.49</v>
      </c>
      <c r="R283" s="4">
        <v>1815.8525733157076</v>
      </c>
      <c r="S283" s="4">
        <v>2338.2847000963566</v>
      </c>
      <c r="T283" s="4">
        <v>180</v>
      </c>
      <c r="U283" s="4">
        <v>22.36</v>
      </c>
      <c r="V283" s="4">
        <v>14.1</v>
      </c>
      <c r="W283" s="4"/>
      <c r="X283" s="7">
        <v>39414</v>
      </c>
      <c r="Y283" s="68">
        <v>2716.0875021750412</v>
      </c>
      <c r="Z283" s="68">
        <v>3556.0738277932655</v>
      </c>
    </row>
    <row r="284" spans="1:26" x14ac:dyDescent="0.3">
      <c r="A284" s="7">
        <v>39421</v>
      </c>
      <c r="B284" s="19">
        <v>3.4159999999999999</v>
      </c>
      <c r="C284" s="2">
        <v>-94</v>
      </c>
      <c r="D284" s="2">
        <v>-320</v>
      </c>
      <c r="E284" s="2">
        <v>387</v>
      </c>
      <c r="F284" s="19">
        <v>119</v>
      </c>
      <c r="G284" s="19">
        <v>82</v>
      </c>
      <c r="I284" s="10">
        <v>39421</v>
      </c>
      <c r="J284" s="27">
        <f t="shared" si="35"/>
        <v>229.26174496644296</v>
      </c>
      <c r="K284" s="11">
        <f t="shared" si="42"/>
        <v>148.98927346344695</v>
      </c>
      <c r="L284" s="11">
        <f t="shared" si="43"/>
        <v>139.42280852113359</v>
      </c>
      <c r="M284" s="27">
        <f t="shared" si="44"/>
        <v>215</v>
      </c>
      <c r="N284" s="27">
        <f t="shared" si="45"/>
        <v>532.20035778175315</v>
      </c>
      <c r="O284" s="27">
        <f t="shared" si="46"/>
        <v>581.5602836879433</v>
      </c>
      <c r="Q284" s="4">
        <v>1.49</v>
      </c>
      <c r="R284" s="4">
        <v>1815.8525733157076</v>
      </c>
      <c r="S284" s="4">
        <v>2338.2847000963566</v>
      </c>
      <c r="T284" s="4">
        <v>180</v>
      </c>
      <c r="U284" s="4">
        <v>22.36</v>
      </c>
      <c r="V284" s="4">
        <v>14.1</v>
      </c>
      <c r="W284" s="4"/>
      <c r="X284" s="7">
        <v>39421</v>
      </c>
      <c r="Y284" s="68">
        <v>2799.4255561503778</v>
      </c>
      <c r="Z284" s="68">
        <v>3580.1022000943062</v>
      </c>
    </row>
    <row r="285" spans="1:26" x14ac:dyDescent="0.3">
      <c r="A285" s="7">
        <v>39428</v>
      </c>
      <c r="B285" s="19">
        <v>3.3250000000000002</v>
      </c>
      <c r="C285" s="2">
        <v>-96.5</v>
      </c>
      <c r="D285" s="2">
        <v>-189</v>
      </c>
      <c r="E285" s="2">
        <v>400</v>
      </c>
      <c r="F285" s="19">
        <v>122</v>
      </c>
      <c r="G285" s="19">
        <v>82</v>
      </c>
      <c r="I285" s="10">
        <v>39428</v>
      </c>
      <c r="J285" s="27">
        <f t="shared" si="35"/>
        <v>223.15436241610743</v>
      </c>
      <c r="K285" s="11">
        <f t="shared" si="42"/>
        <v>148.85159708835252</v>
      </c>
      <c r="L285" s="11">
        <f t="shared" si="43"/>
        <v>145.02520586798369</v>
      </c>
      <c r="M285" s="27">
        <f t="shared" si="44"/>
        <v>222.22222222222223</v>
      </c>
      <c r="N285" s="27">
        <f t="shared" si="45"/>
        <v>545.6171735241503</v>
      </c>
      <c r="O285" s="27">
        <f t="shared" si="46"/>
        <v>581.5602836879433</v>
      </c>
      <c r="Q285" s="4">
        <v>1.49</v>
      </c>
      <c r="R285" s="4">
        <v>1815.8525733157076</v>
      </c>
      <c r="S285" s="4">
        <v>2338.2847000963566</v>
      </c>
      <c r="T285" s="4">
        <v>180</v>
      </c>
      <c r="U285" s="4">
        <v>22.36</v>
      </c>
      <c r="V285" s="4">
        <v>14.1</v>
      </c>
      <c r="W285" s="4"/>
      <c r="X285" s="7">
        <v>39428</v>
      </c>
      <c r="Y285" s="68">
        <v>2799.4255561503778</v>
      </c>
      <c r="Z285" s="68">
        <v>3580.1022000943062</v>
      </c>
    </row>
    <row r="286" spans="1:26" x14ac:dyDescent="0.3">
      <c r="A286" s="7">
        <v>39435</v>
      </c>
      <c r="B286" s="19">
        <v>3.3090000000000002</v>
      </c>
      <c r="C286" s="2">
        <v>-6</v>
      </c>
      <c r="D286" s="2">
        <v>-103</v>
      </c>
      <c r="E286" s="2">
        <v>377</v>
      </c>
      <c r="F286" s="19">
        <v>124</v>
      </c>
      <c r="G286" s="19">
        <v>78</v>
      </c>
      <c r="I286" s="10">
        <v>39435</v>
      </c>
      <c r="J286" s="27">
        <f t="shared" si="35"/>
        <v>222.08053691275168</v>
      </c>
      <c r="K286" s="11">
        <f t="shared" si="42"/>
        <v>153.83548186677089</v>
      </c>
      <c r="L286" s="11">
        <f t="shared" si="43"/>
        <v>148.70311557660284</v>
      </c>
      <c r="M286" s="27">
        <f t="shared" si="44"/>
        <v>209.44444444444446</v>
      </c>
      <c r="N286" s="27">
        <f t="shared" si="45"/>
        <v>554.56171735241503</v>
      </c>
      <c r="O286" s="27">
        <f t="shared" si="46"/>
        <v>553.19148936170222</v>
      </c>
      <c r="Q286" s="4">
        <v>1.49</v>
      </c>
      <c r="R286" s="4">
        <v>1815.8525733157076</v>
      </c>
      <c r="S286" s="4">
        <v>2338.2847000963566</v>
      </c>
      <c r="T286" s="4">
        <v>180</v>
      </c>
      <c r="U286" s="4">
        <v>22.36</v>
      </c>
      <c r="V286" s="4">
        <v>14.1</v>
      </c>
      <c r="W286" s="4"/>
      <c r="X286" s="7">
        <v>39435</v>
      </c>
      <c r="Y286" s="68">
        <v>2799.4255561503778</v>
      </c>
      <c r="Z286" s="68">
        <v>3580.1022000943062</v>
      </c>
    </row>
    <row r="287" spans="1:26" x14ac:dyDescent="0.3">
      <c r="A287" s="7">
        <v>39442</v>
      </c>
      <c r="B287" s="19">
        <v>3.3079999999999998</v>
      </c>
      <c r="C287" s="2">
        <v>-71</v>
      </c>
      <c r="D287" s="2">
        <v>-94</v>
      </c>
      <c r="E287" s="2">
        <v>367</v>
      </c>
      <c r="F287" s="19">
        <v>126.5</v>
      </c>
      <c r="G287" s="19">
        <v>78</v>
      </c>
      <c r="I287" s="10">
        <v>39442</v>
      </c>
      <c r="J287" s="27">
        <f t="shared" si="35"/>
        <v>222.01342281879189</v>
      </c>
      <c r="K287" s="11">
        <f t="shared" si="42"/>
        <v>150.2558961143157</v>
      </c>
      <c r="L287" s="11">
        <f t="shared" si="43"/>
        <v>149.08801310424903</v>
      </c>
      <c r="M287" s="27">
        <f t="shared" si="44"/>
        <v>203.88888888888889</v>
      </c>
      <c r="N287" s="27">
        <f t="shared" si="45"/>
        <v>565.74239713774602</v>
      </c>
      <c r="O287" s="27">
        <f t="shared" si="46"/>
        <v>553.19148936170222</v>
      </c>
      <c r="Q287" s="4">
        <v>1.49</v>
      </c>
      <c r="R287" s="4">
        <v>1815.8525733157076</v>
      </c>
      <c r="S287" s="4">
        <v>2338.2847000963566</v>
      </c>
      <c r="T287" s="4">
        <v>180</v>
      </c>
      <c r="U287" s="4">
        <v>22.36</v>
      </c>
      <c r="V287" s="4">
        <v>14.1</v>
      </c>
      <c r="W287" s="4"/>
      <c r="X287" s="7">
        <v>39442</v>
      </c>
      <c r="Y287" s="68">
        <v>2799.4255561503778</v>
      </c>
      <c r="Z287" s="68">
        <v>3580.1022000943062</v>
      </c>
    </row>
    <row r="288" spans="1:26" x14ac:dyDescent="0.3">
      <c r="A288" s="7">
        <v>39449</v>
      </c>
      <c r="B288" s="19">
        <v>3.3450000000000002</v>
      </c>
      <c r="C288" s="2">
        <v>-50.5</v>
      </c>
      <c r="D288" s="2">
        <v>-44</v>
      </c>
      <c r="E288" s="2">
        <v>360</v>
      </c>
      <c r="F288" s="19">
        <v>123</v>
      </c>
      <c r="G288" s="19">
        <v>78</v>
      </c>
      <c r="I288" s="10">
        <v>39449</v>
      </c>
      <c r="J288" s="27">
        <f t="shared" si="35"/>
        <v>224.49664429530202</v>
      </c>
      <c r="K288" s="11">
        <f t="shared" si="42"/>
        <v>154.12628329616672</v>
      </c>
      <c r="L288" s="11">
        <f t="shared" si="43"/>
        <v>154.57049194083692</v>
      </c>
      <c r="M288" s="27">
        <f t="shared" si="44"/>
        <v>200</v>
      </c>
      <c r="N288" s="27">
        <f t="shared" si="45"/>
        <v>550.08944543828261</v>
      </c>
      <c r="O288" s="27">
        <f t="shared" si="46"/>
        <v>553.19148936170222</v>
      </c>
      <c r="Q288" s="4">
        <v>1.49</v>
      </c>
      <c r="R288" s="4">
        <v>1815.8525733157076</v>
      </c>
      <c r="S288" s="4">
        <v>2338.2847000963566</v>
      </c>
      <c r="T288" s="4">
        <v>180</v>
      </c>
      <c r="U288" s="4">
        <v>22.36</v>
      </c>
      <c r="V288" s="4">
        <v>14.1</v>
      </c>
      <c r="W288" s="4"/>
      <c r="X288" s="7">
        <v>39449</v>
      </c>
      <c r="Y288" s="68">
        <v>2849.2060813893013</v>
      </c>
      <c r="Z288" s="68">
        <v>3658.2981639162617</v>
      </c>
    </row>
    <row r="289" spans="1:26" x14ac:dyDescent="0.3">
      <c r="A289" s="7">
        <v>39456</v>
      </c>
      <c r="B289" s="19">
        <v>3.3759999999999999</v>
      </c>
      <c r="C289" s="2">
        <v>-66.5</v>
      </c>
      <c r="D289" s="2">
        <v>53.5</v>
      </c>
      <c r="E289" s="2">
        <v>351</v>
      </c>
      <c r="F289" s="19">
        <v>124</v>
      </c>
      <c r="G289" s="19">
        <v>70</v>
      </c>
      <c r="I289" s="10">
        <v>39456</v>
      </c>
      <c r="J289" s="27">
        <f t="shared" si="35"/>
        <v>226.5771812080537</v>
      </c>
      <c r="K289" s="11">
        <f t="shared" si="42"/>
        <v>153.24515449556239</v>
      </c>
      <c r="L289" s="11">
        <f t="shared" si="43"/>
        <v>158.74021515700397</v>
      </c>
      <c r="M289" s="1">
        <f t="shared" si="44"/>
        <v>195</v>
      </c>
      <c r="N289" s="27">
        <f t="shared" si="45"/>
        <v>554.56171735241503</v>
      </c>
      <c r="O289" s="27">
        <f t="shared" si="46"/>
        <v>496.45390070921991</v>
      </c>
      <c r="Q289" s="4">
        <v>1.49</v>
      </c>
      <c r="R289" s="4">
        <v>1815.8525733157076</v>
      </c>
      <c r="S289" s="4">
        <v>2338.2847000963566</v>
      </c>
      <c r="T289" s="4">
        <v>180</v>
      </c>
      <c r="U289" s="4">
        <v>22.36</v>
      </c>
      <c r="V289" s="4">
        <v>14.1</v>
      </c>
      <c r="W289" s="4"/>
      <c r="X289" s="7">
        <v>39456</v>
      </c>
      <c r="Y289" s="68">
        <v>2849.2060813893013</v>
      </c>
      <c r="Z289" s="68">
        <v>3658.2981639162617</v>
      </c>
    </row>
    <row r="290" spans="1:26" x14ac:dyDescent="0.3">
      <c r="A290" s="7">
        <v>39463</v>
      </c>
      <c r="B290" s="19">
        <v>3.3260000000000001</v>
      </c>
      <c r="C290" s="2">
        <v>50</v>
      </c>
      <c r="D290" s="2">
        <v>31.5</v>
      </c>
      <c r="E290" s="2">
        <v>325</v>
      </c>
      <c r="F290" s="19">
        <v>121</v>
      </c>
      <c r="G290" s="19">
        <v>68</v>
      </c>
      <c r="I290" s="10">
        <v>39463</v>
      </c>
      <c r="J290" s="27">
        <f t="shared" si="35"/>
        <v>223.22147651006711</v>
      </c>
      <c r="K290" s="11">
        <f t="shared" si="42"/>
        <v>159.66087357496284</v>
      </c>
      <c r="L290" s="11">
        <f t="shared" si="43"/>
        <v>157.79935453386884</v>
      </c>
      <c r="M290" s="27">
        <f t="shared" si="44"/>
        <v>180.55555555555557</v>
      </c>
      <c r="N290" s="27">
        <f t="shared" si="45"/>
        <v>541.14490161001788</v>
      </c>
      <c r="O290" s="27">
        <f t="shared" si="46"/>
        <v>482.26950354609926</v>
      </c>
      <c r="Q290" s="4">
        <v>1.49</v>
      </c>
      <c r="R290" s="4">
        <v>1815.8525733157076</v>
      </c>
      <c r="S290" s="4">
        <v>2338.2847000963566</v>
      </c>
      <c r="T290" s="4">
        <v>180</v>
      </c>
      <c r="U290" s="4">
        <v>22.36</v>
      </c>
      <c r="V290" s="4">
        <v>14.1</v>
      </c>
      <c r="W290" s="4"/>
      <c r="X290" s="7">
        <v>39463</v>
      </c>
      <c r="Y290" s="68">
        <v>2849.2060813893013</v>
      </c>
      <c r="Z290" s="68">
        <v>3658.2981639162617</v>
      </c>
    </row>
    <row r="291" spans="1:26" x14ac:dyDescent="0.3">
      <c r="A291" s="7">
        <v>39470</v>
      </c>
      <c r="B291" s="19">
        <v>3.27</v>
      </c>
      <c r="C291" s="2">
        <v>-34</v>
      </c>
      <c r="D291" s="2">
        <v>125</v>
      </c>
      <c r="E291" s="2">
        <v>428</v>
      </c>
      <c r="F291" s="19" t="s">
        <v>19</v>
      </c>
      <c r="G291" s="19" t="s">
        <v>19</v>
      </c>
      <c r="I291" s="10">
        <v>39470</v>
      </c>
      <c r="J291" s="27">
        <f t="shared" si="35"/>
        <v>219.46308724832218</v>
      </c>
      <c r="K291" s="11">
        <f t="shared" si="42"/>
        <v>155.03494737178997</v>
      </c>
      <c r="L291" s="11">
        <f t="shared" si="43"/>
        <v>161.79801218219316</v>
      </c>
      <c r="M291" s="27">
        <f t="shared" si="44"/>
        <v>237.77777777777777</v>
      </c>
      <c r="N291" s="37" t="s">
        <v>19</v>
      </c>
      <c r="O291" s="37" t="s">
        <v>19</v>
      </c>
      <c r="Q291" s="4">
        <v>1.49</v>
      </c>
      <c r="R291" s="4">
        <v>1815.8525733157076</v>
      </c>
      <c r="S291" s="4">
        <v>2338.2847000963566</v>
      </c>
      <c r="T291" s="4">
        <v>180</v>
      </c>
      <c r="U291" s="4">
        <v>22.36</v>
      </c>
      <c r="V291" s="4">
        <v>14.1</v>
      </c>
      <c r="W291" s="4"/>
      <c r="X291" s="7">
        <v>39470</v>
      </c>
      <c r="Y291" s="68">
        <v>2849.2060813893013</v>
      </c>
      <c r="Z291" s="68">
        <v>3658.2981639162617</v>
      </c>
    </row>
    <row r="292" spans="1:26" x14ac:dyDescent="0.3">
      <c r="A292" s="7">
        <v>39477</v>
      </c>
      <c r="B292" s="19">
        <v>3.2589999999999999</v>
      </c>
      <c r="C292" s="2">
        <v>-3</v>
      </c>
      <c r="D292" s="2">
        <v>100</v>
      </c>
      <c r="E292" s="2">
        <v>446</v>
      </c>
      <c r="F292" s="19" t="s">
        <v>19</v>
      </c>
      <c r="G292" s="19" t="s">
        <v>19</v>
      </c>
      <c r="I292" s="10">
        <v>39477</v>
      </c>
      <c r="J292" s="27">
        <f t="shared" si="35"/>
        <v>218.72483221476512</v>
      </c>
      <c r="K292" s="11">
        <f t="shared" si="42"/>
        <v>156.74213442296093</v>
      </c>
      <c r="L292" s="11">
        <f t="shared" si="43"/>
        <v>160.72885238317596</v>
      </c>
      <c r="M292" s="27">
        <f t="shared" si="44"/>
        <v>247.77777777777777</v>
      </c>
      <c r="N292" s="37" t="s">
        <v>19</v>
      </c>
      <c r="O292" s="37" t="s">
        <v>19</v>
      </c>
      <c r="Q292" s="4">
        <v>1.49</v>
      </c>
      <c r="R292" s="4">
        <v>1815.8525733157076</v>
      </c>
      <c r="S292" s="4">
        <v>2338.2847000963566</v>
      </c>
      <c r="T292" s="4">
        <v>180</v>
      </c>
      <c r="U292" s="4">
        <v>22.36</v>
      </c>
      <c r="V292" s="4">
        <v>14.1</v>
      </c>
      <c r="W292" s="4"/>
      <c r="X292" s="7">
        <v>39477</v>
      </c>
      <c r="Y292" s="68">
        <v>2849.2060813893013</v>
      </c>
      <c r="Z292" s="68">
        <v>3658.2981639162617</v>
      </c>
    </row>
    <row r="293" spans="1:26" x14ac:dyDescent="0.3">
      <c r="A293" s="7">
        <v>39484</v>
      </c>
      <c r="B293" s="19">
        <v>3.28</v>
      </c>
      <c r="C293" s="2">
        <v>-55.5</v>
      </c>
      <c r="D293" s="2">
        <v>25</v>
      </c>
      <c r="E293" s="2">
        <v>498</v>
      </c>
      <c r="F293" s="19">
        <v>92</v>
      </c>
      <c r="G293" s="19">
        <v>51</v>
      </c>
      <c r="I293" s="10">
        <v>39484</v>
      </c>
      <c r="J293" s="27">
        <f t="shared" si="35"/>
        <v>220.13422818791946</v>
      </c>
      <c r="K293" s="11">
        <f t="shared" si="42"/>
        <v>153.15350750695512</v>
      </c>
      <c r="L293" s="11">
        <f t="shared" si="43"/>
        <v>156.6379588276487</v>
      </c>
      <c r="M293" s="27">
        <f t="shared" si="44"/>
        <v>276.66666666666669</v>
      </c>
      <c r="N293" s="27">
        <f t="shared" ref="N293:N324" si="47">(1+(F293-U292)/U292)*100</f>
        <v>411.44901610017894</v>
      </c>
      <c r="O293" s="27">
        <f t="shared" ref="O293:O324" si="48">(1+(G293-V292)/V292)*100</f>
        <v>361.7021276595745</v>
      </c>
      <c r="Q293" s="4">
        <v>1.49</v>
      </c>
      <c r="R293" s="4">
        <v>1815.8525733157076</v>
      </c>
      <c r="S293" s="4">
        <v>2338.2847000963566</v>
      </c>
      <c r="T293" s="4">
        <v>180</v>
      </c>
      <c r="U293" s="4">
        <v>22.36</v>
      </c>
      <c r="V293" s="4">
        <v>14.1</v>
      </c>
      <c r="W293" s="4"/>
      <c r="X293" s="7">
        <v>39484</v>
      </c>
      <c r="Y293" s="68">
        <v>2836.5419071883102</v>
      </c>
      <c r="Z293" s="68">
        <v>3637.6414258101399</v>
      </c>
    </row>
    <row r="294" spans="1:26" x14ac:dyDescent="0.3">
      <c r="A294" s="7">
        <v>39491</v>
      </c>
      <c r="B294" s="19">
        <v>3.28</v>
      </c>
      <c r="C294" s="2">
        <v>18</v>
      </c>
      <c r="D294" s="2">
        <v>32.5</v>
      </c>
      <c r="E294" s="2">
        <v>470</v>
      </c>
      <c r="F294" s="19">
        <v>97</v>
      </c>
      <c r="G294" s="19">
        <v>54</v>
      </c>
      <c r="I294" s="10">
        <v>39491</v>
      </c>
      <c r="J294" s="27">
        <f t="shared" si="35"/>
        <v>220.13422818791946</v>
      </c>
      <c r="K294" s="11">
        <f t="shared" si="42"/>
        <v>157.20119293473138</v>
      </c>
      <c r="L294" s="11">
        <f t="shared" si="43"/>
        <v>156.95870676735387</v>
      </c>
      <c r="M294" s="27">
        <f t="shared" si="44"/>
        <v>261.11111111111114</v>
      </c>
      <c r="N294" s="27">
        <f t="shared" si="47"/>
        <v>433.81037567084081</v>
      </c>
      <c r="O294" s="27">
        <f t="shared" si="48"/>
        <v>382.97872340425528</v>
      </c>
      <c r="Q294" s="4">
        <v>1.49</v>
      </c>
      <c r="R294" s="4">
        <v>1815.8525733157076</v>
      </c>
      <c r="S294" s="4">
        <v>2338.2847000963566</v>
      </c>
      <c r="T294" s="4">
        <v>180</v>
      </c>
      <c r="U294" s="4">
        <v>22.36</v>
      </c>
      <c r="V294" s="4">
        <v>14.1</v>
      </c>
      <c r="W294" s="4"/>
      <c r="X294" s="7">
        <v>39491</v>
      </c>
      <c r="Y294" s="68">
        <v>2836.5419071883102</v>
      </c>
      <c r="Z294" s="68">
        <v>3637.6414258101399</v>
      </c>
    </row>
    <row r="295" spans="1:26" x14ac:dyDescent="0.3">
      <c r="A295" s="7">
        <v>39498</v>
      </c>
      <c r="B295" s="19">
        <v>3.3959999999999999</v>
      </c>
      <c r="C295" s="2">
        <v>-38.5</v>
      </c>
      <c r="D295" s="2">
        <v>106.5</v>
      </c>
      <c r="E295" s="2">
        <v>500</v>
      </c>
      <c r="F295" s="19">
        <v>105</v>
      </c>
      <c r="G295" s="19">
        <v>63</v>
      </c>
      <c r="I295" s="10">
        <v>39498</v>
      </c>
      <c r="J295" s="27">
        <f t="shared" si="35"/>
        <v>227.91946308724832</v>
      </c>
      <c r="K295" s="11">
        <f t="shared" si="42"/>
        <v>154.08970685759726</v>
      </c>
      <c r="L295" s="11">
        <f t="shared" si="43"/>
        <v>160.12341977244475</v>
      </c>
      <c r="M295" s="27">
        <f t="shared" si="44"/>
        <v>277.77777777777777</v>
      </c>
      <c r="N295" s="27">
        <f t="shared" si="47"/>
        <v>469.58855098389984</v>
      </c>
      <c r="O295" s="27">
        <f t="shared" si="48"/>
        <v>446.80851063829789</v>
      </c>
      <c r="Q295" s="4">
        <v>1.49</v>
      </c>
      <c r="R295" s="4">
        <v>1815.8525733157076</v>
      </c>
      <c r="S295" s="4">
        <v>2338.2847000963566</v>
      </c>
      <c r="T295" s="4">
        <v>180</v>
      </c>
      <c r="U295" s="4">
        <v>22.36</v>
      </c>
      <c r="V295" s="4">
        <v>14.1</v>
      </c>
      <c r="W295" s="4"/>
      <c r="X295" s="7">
        <v>39498</v>
      </c>
      <c r="Y295" s="68">
        <v>2836.5419071883102</v>
      </c>
      <c r="Z295" s="68">
        <v>3637.6414258101399</v>
      </c>
    </row>
    <row r="296" spans="1:26" x14ac:dyDescent="0.3">
      <c r="A296" s="7">
        <v>39505</v>
      </c>
      <c r="B296" s="19">
        <v>3.552</v>
      </c>
      <c r="C296" s="2">
        <v>-1</v>
      </c>
      <c r="D296" s="2">
        <v>456.5</v>
      </c>
      <c r="E296" s="2">
        <v>529</v>
      </c>
      <c r="F296" s="19">
        <v>107</v>
      </c>
      <c r="G296" s="19">
        <v>62</v>
      </c>
      <c r="I296" s="10">
        <v>39505</v>
      </c>
      <c r="J296" s="27">
        <f t="shared" si="35"/>
        <v>238.38926174496646</v>
      </c>
      <c r="K296" s="11">
        <f t="shared" si="42"/>
        <v>156.15485248401373</v>
      </c>
      <c r="L296" s="11">
        <f t="shared" si="43"/>
        <v>175.09165695868546</v>
      </c>
      <c r="M296" s="27">
        <f t="shared" si="44"/>
        <v>293.88888888888891</v>
      </c>
      <c r="N296" s="27">
        <f t="shared" si="47"/>
        <v>478.53309481216451</v>
      </c>
      <c r="O296" s="27">
        <f t="shared" si="48"/>
        <v>439.71631205673754</v>
      </c>
      <c r="Q296" s="4">
        <v>1.49</v>
      </c>
      <c r="R296" s="4">
        <v>1815.8525733157076</v>
      </c>
      <c r="S296" s="4">
        <v>2338.2847000963566</v>
      </c>
      <c r="T296" s="4">
        <v>180</v>
      </c>
      <c r="U296" s="4">
        <v>22.36</v>
      </c>
      <c r="V296" s="4">
        <v>14.1</v>
      </c>
      <c r="W296" s="4"/>
      <c r="X296" s="7">
        <v>39505</v>
      </c>
      <c r="Y296" s="68">
        <v>2836.5419071883102</v>
      </c>
      <c r="Z296" s="68">
        <v>3637.6414258101399</v>
      </c>
    </row>
    <row r="297" spans="1:26" x14ac:dyDescent="0.3">
      <c r="A297" s="7">
        <v>39512</v>
      </c>
      <c r="B297" s="19">
        <v>3.6579999999999999</v>
      </c>
      <c r="C297" s="2">
        <v>-9</v>
      </c>
      <c r="D297" s="2">
        <v>8.5</v>
      </c>
      <c r="E297" s="2">
        <v>444</v>
      </c>
      <c r="F297" s="19">
        <v>111</v>
      </c>
      <c r="G297" s="19">
        <v>67</v>
      </c>
      <c r="I297" s="10">
        <v>39512</v>
      </c>
      <c r="J297" s="27">
        <f t="shared" si="35"/>
        <v>245.50335570469798</v>
      </c>
      <c r="K297" s="11">
        <f t="shared" si="42"/>
        <v>161.22186641632902</v>
      </c>
      <c r="L297" s="11">
        <f t="shared" si="43"/>
        <v>162.28483322909202</v>
      </c>
      <c r="M297" s="27">
        <f t="shared" si="44"/>
        <v>246.66666666666669</v>
      </c>
      <c r="N297" s="27">
        <f t="shared" si="47"/>
        <v>496.42218246869413</v>
      </c>
      <c r="O297" s="27">
        <f t="shared" si="48"/>
        <v>475.17730496453902</v>
      </c>
      <c r="Q297" s="4">
        <v>1.49</v>
      </c>
      <c r="R297" s="4">
        <v>1815.8525733157076</v>
      </c>
      <c r="S297" s="4">
        <v>2338.2847000963566</v>
      </c>
      <c r="T297" s="4">
        <v>180</v>
      </c>
      <c r="U297" s="4">
        <v>22.36</v>
      </c>
      <c r="V297" s="4">
        <v>14.1</v>
      </c>
      <c r="W297" s="4"/>
      <c r="X297" s="7">
        <v>39512</v>
      </c>
      <c r="Y297" s="68">
        <v>2936.5514100685227</v>
      </c>
      <c r="Z297" s="68">
        <v>3786.1814259727466</v>
      </c>
    </row>
    <row r="298" spans="1:26" x14ac:dyDescent="0.3">
      <c r="A298" s="7">
        <v>39519</v>
      </c>
      <c r="B298" s="19">
        <v>3.819</v>
      </c>
      <c r="C298" s="2">
        <v>63</v>
      </c>
      <c r="D298" s="2">
        <v>5</v>
      </c>
      <c r="E298" s="2">
        <v>485</v>
      </c>
      <c r="F298" s="19">
        <v>112.5</v>
      </c>
      <c r="G298" s="19">
        <v>69</v>
      </c>
      <c r="I298" s="10">
        <v>39519</v>
      </c>
      <c r="J298" s="27">
        <f t="shared" si="35"/>
        <v>256.30872483221469</v>
      </c>
      <c r="K298" s="11">
        <f t="shared" si="42"/>
        <v>165.18694601904861</v>
      </c>
      <c r="L298" s="11">
        <f t="shared" si="43"/>
        <v>162.1351508572296</v>
      </c>
      <c r="M298" s="27">
        <f t="shared" si="44"/>
        <v>269.44444444444446</v>
      </c>
      <c r="N298" s="27">
        <f t="shared" si="47"/>
        <v>503.13059033989271</v>
      </c>
      <c r="O298" s="27">
        <f t="shared" si="48"/>
        <v>489.36170212765956</v>
      </c>
      <c r="Q298" s="4">
        <v>1.49</v>
      </c>
      <c r="R298" s="4">
        <v>1815.8525733157076</v>
      </c>
      <c r="S298" s="4">
        <v>2338.2847000963566</v>
      </c>
      <c r="T298" s="4">
        <v>180</v>
      </c>
      <c r="U298" s="4">
        <v>22.36</v>
      </c>
      <c r="V298" s="4">
        <v>14.1</v>
      </c>
      <c r="W298" s="4"/>
      <c r="X298" s="7">
        <v>39519</v>
      </c>
      <c r="Y298" s="68">
        <v>2936.5514100685227</v>
      </c>
      <c r="Z298" s="68">
        <v>3786.1814259727466</v>
      </c>
    </row>
    <row r="299" spans="1:26" x14ac:dyDescent="0.3">
      <c r="A299" s="7">
        <v>39526</v>
      </c>
      <c r="B299" s="19">
        <v>3.9740000000000002</v>
      </c>
      <c r="C299" s="2">
        <v>-45</v>
      </c>
      <c r="D299" s="2">
        <v>-3</v>
      </c>
      <c r="E299" s="2">
        <v>430</v>
      </c>
      <c r="F299" s="19">
        <v>111.5</v>
      </c>
      <c r="G299" s="19">
        <v>67</v>
      </c>
      <c r="I299" s="10">
        <v>39526</v>
      </c>
      <c r="J299" s="27">
        <f t="shared" si="35"/>
        <v>266.71140939597313</v>
      </c>
      <c r="K299" s="11">
        <f t="shared" si="42"/>
        <v>159.2393266149692</v>
      </c>
      <c r="L299" s="11">
        <f t="shared" si="43"/>
        <v>161.79301972154408</v>
      </c>
      <c r="M299" s="27">
        <f t="shared" si="44"/>
        <v>238.88888888888889</v>
      </c>
      <c r="N299" s="27">
        <f t="shared" si="47"/>
        <v>498.65831842576023</v>
      </c>
      <c r="O299" s="27">
        <f t="shared" si="48"/>
        <v>475.17730496453902</v>
      </c>
      <c r="Q299" s="4">
        <v>1.49</v>
      </c>
      <c r="R299" s="4">
        <v>1815.8525733157076</v>
      </c>
      <c r="S299" s="4">
        <v>2338.2847000963566</v>
      </c>
      <c r="T299" s="4">
        <v>180</v>
      </c>
      <c r="U299" s="4">
        <v>22.36</v>
      </c>
      <c r="V299" s="4">
        <v>14.1</v>
      </c>
      <c r="W299" s="4"/>
      <c r="X299" s="7">
        <v>39526</v>
      </c>
      <c r="Y299" s="68">
        <v>2936.5514100685227</v>
      </c>
      <c r="Z299" s="68">
        <v>3786.1814259727466</v>
      </c>
    </row>
    <row r="300" spans="1:26" x14ac:dyDescent="0.3">
      <c r="A300" s="7">
        <v>39533</v>
      </c>
      <c r="B300" s="19">
        <v>3.9889999999999999</v>
      </c>
      <c r="C300" s="2">
        <v>-43.5</v>
      </c>
      <c r="D300" s="2">
        <v>131.5</v>
      </c>
      <c r="E300" s="2">
        <v>469</v>
      </c>
      <c r="F300" s="19">
        <v>111</v>
      </c>
      <c r="G300" s="19">
        <v>66</v>
      </c>
      <c r="I300" s="10">
        <v>39533</v>
      </c>
      <c r="J300" s="27">
        <f t="shared" si="35"/>
        <v>267.7181208053691</v>
      </c>
      <c r="K300" s="11">
        <f t="shared" si="42"/>
        <v>159.32193244002585</v>
      </c>
      <c r="L300" s="11">
        <f t="shared" si="43"/>
        <v>167.54509944025662</v>
      </c>
      <c r="M300" s="27">
        <f t="shared" si="44"/>
        <v>260.55555555555554</v>
      </c>
      <c r="N300" s="27">
        <f t="shared" si="47"/>
        <v>496.42218246869413</v>
      </c>
      <c r="O300" s="27">
        <f t="shared" si="48"/>
        <v>468.08510638297872</v>
      </c>
      <c r="Q300" s="4">
        <v>1.49</v>
      </c>
      <c r="R300" s="4">
        <v>1815.8525733157076</v>
      </c>
      <c r="S300" s="4">
        <v>2338.2847000963566</v>
      </c>
      <c r="T300" s="4">
        <v>180</v>
      </c>
      <c r="U300" s="4">
        <v>22.36</v>
      </c>
      <c r="V300" s="4">
        <v>14.1</v>
      </c>
      <c r="W300" s="4"/>
      <c r="X300" s="7">
        <v>39533</v>
      </c>
      <c r="Y300" s="68">
        <v>2936.5514100685227</v>
      </c>
      <c r="Z300" s="68">
        <v>3786.1814259727466</v>
      </c>
    </row>
    <row r="301" spans="1:26" x14ac:dyDescent="0.3">
      <c r="A301" s="7">
        <v>39540</v>
      </c>
      <c r="B301" s="19">
        <v>3.964</v>
      </c>
      <c r="C301" s="2">
        <v>-68.5</v>
      </c>
      <c r="D301" s="2">
        <v>-188</v>
      </c>
      <c r="E301" s="2">
        <v>434</v>
      </c>
      <c r="F301" s="19">
        <v>110</v>
      </c>
      <c r="G301" s="19">
        <v>64</v>
      </c>
      <c r="I301" s="10">
        <v>39540</v>
      </c>
      <c r="J301" s="27">
        <f t="shared" si="35"/>
        <v>266.04026845637583</v>
      </c>
      <c r="K301" s="11">
        <f t="shared" si="42"/>
        <v>157.91176256463015</v>
      </c>
      <c r="L301" s="11">
        <f t="shared" si="43"/>
        <v>149.61782528327262</v>
      </c>
      <c r="M301" s="27">
        <f t="shared" si="44"/>
        <v>241.11111111111114</v>
      </c>
      <c r="N301" s="27">
        <f t="shared" si="47"/>
        <v>491.94991055456165</v>
      </c>
      <c r="O301" s="27">
        <f t="shared" si="48"/>
        <v>453.90070921985807</v>
      </c>
      <c r="Q301" s="4">
        <v>1.49</v>
      </c>
      <c r="R301" s="4">
        <v>1815.8525733157076</v>
      </c>
      <c r="S301" s="4">
        <v>2338.2847000963566</v>
      </c>
      <c r="T301" s="4">
        <v>180</v>
      </c>
      <c r="U301" s="4">
        <v>22.36</v>
      </c>
      <c r="V301" s="4">
        <v>14.1</v>
      </c>
      <c r="W301" s="4"/>
      <c r="X301" s="7">
        <v>39540</v>
      </c>
      <c r="Y301" s="68">
        <v>2935.9448040980269</v>
      </c>
      <c r="Z301" s="68">
        <v>3686.4907172156618</v>
      </c>
    </row>
    <row r="302" spans="1:26" x14ac:dyDescent="0.3">
      <c r="A302" s="7">
        <v>39547</v>
      </c>
      <c r="B302" s="19">
        <v>3.9950000000000001</v>
      </c>
      <c r="C302" s="2">
        <v>-78</v>
      </c>
      <c r="D302" s="2">
        <v>-188</v>
      </c>
      <c r="E302" s="2">
        <v>416</v>
      </c>
      <c r="F302" s="19">
        <v>109</v>
      </c>
      <c r="G302" s="19">
        <v>62</v>
      </c>
      <c r="I302" s="10">
        <v>39547</v>
      </c>
      <c r="J302" s="27">
        <f t="shared" si="35"/>
        <v>268.12080536912754</v>
      </c>
      <c r="K302" s="11">
        <f t="shared" si="42"/>
        <v>157.38859233927133</v>
      </c>
      <c r="L302" s="11">
        <f t="shared" si="43"/>
        <v>149.61782528327262</v>
      </c>
      <c r="M302" s="27">
        <f t="shared" si="44"/>
        <v>231.11111111111109</v>
      </c>
      <c r="N302" s="27">
        <f t="shared" si="47"/>
        <v>487.4776386404294</v>
      </c>
      <c r="O302" s="27">
        <f t="shared" si="48"/>
        <v>439.71631205673754</v>
      </c>
      <c r="Q302" s="4">
        <v>1.49</v>
      </c>
      <c r="R302" s="4">
        <v>1815.8525733157076</v>
      </c>
      <c r="S302" s="4">
        <v>2338.2847000963566</v>
      </c>
      <c r="T302" s="4">
        <v>180</v>
      </c>
      <c r="U302" s="4">
        <v>22.36</v>
      </c>
      <c r="V302" s="4">
        <v>14.1</v>
      </c>
      <c r="W302" s="4"/>
      <c r="X302" s="7">
        <v>39547</v>
      </c>
      <c r="Y302" s="68">
        <v>2935.9448040980269</v>
      </c>
      <c r="Z302" s="68">
        <v>3686.4907172156618</v>
      </c>
    </row>
    <row r="303" spans="1:26" x14ac:dyDescent="0.3">
      <c r="A303" s="7">
        <v>39554</v>
      </c>
      <c r="B303" s="19">
        <v>4.0590000000000002</v>
      </c>
      <c r="C303" s="2">
        <v>-91</v>
      </c>
      <c r="D303" s="2">
        <v>-156.5</v>
      </c>
      <c r="E303" s="2">
        <v>408</v>
      </c>
      <c r="F303" s="19">
        <v>111</v>
      </c>
      <c r="G303" s="19">
        <v>63</v>
      </c>
      <c r="I303" s="10">
        <v>39554</v>
      </c>
      <c r="J303" s="27">
        <f t="shared" si="35"/>
        <v>272.41610738255036</v>
      </c>
      <c r="K303" s="11">
        <f t="shared" si="42"/>
        <v>156.67267518878026</v>
      </c>
      <c r="L303" s="11">
        <f t="shared" si="43"/>
        <v>150.96496663003427</v>
      </c>
      <c r="M303" s="27">
        <f t="shared" si="44"/>
        <v>226.66666666666666</v>
      </c>
      <c r="N303" s="27">
        <f t="shared" si="47"/>
        <v>496.42218246869413</v>
      </c>
      <c r="O303" s="27">
        <f t="shared" si="48"/>
        <v>446.80851063829789</v>
      </c>
      <c r="Q303" s="4">
        <v>1.49</v>
      </c>
      <c r="R303" s="4">
        <v>1815.8525733157076</v>
      </c>
      <c r="S303" s="4">
        <v>2338.2847000963566</v>
      </c>
      <c r="T303" s="4">
        <v>180</v>
      </c>
      <c r="U303" s="4">
        <v>22.36</v>
      </c>
      <c r="V303" s="4">
        <v>14.1</v>
      </c>
      <c r="W303" s="4"/>
      <c r="X303" s="7">
        <v>39554</v>
      </c>
      <c r="Y303" s="68">
        <v>2935.9448040980269</v>
      </c>
      <c r="Z303" s="68">
        <v>3686.4907172156618</v>
      </c>
    </row>
    <row r="304" spans="1:26" x14ac:dyDescent="0.3">
      <c r="A304" s="7">
        <v>39561</v>
      </c>
      <c r="B304" s="19">
        <v>4.1399999999999997</v>
      </c>
      <c r="C304" s="2">
        <v>-103.5</v>
      </c>
      <c r="D304" s="2">
        <v>-159.5</v>
      </c>
      <c r="E304" s="2">
        <v>421</v>
      </c>
      <c r="F304" s="19">
        <v>114</v>
      </c>
      <c r="G304" s="19">
        <v>65</v>
      </c>
      <c r="I304" s="10">
        <v>39561</v>
      </c>
      <c r="J304" s="27">
        <f t="shared" si="35"/>
        <v>277.8523489932885</v>
      </c>
      <c r="K304" s="11">
        <f t="shared" si="42"/>
        <v>155.98429331330814</v>
      </c>
      <c r="L304" s="11">
        <f t="shared" si="43"/>
        <v>150.83666745415221</v>
      </c>
      <c r="M304" s="27">
        <f t="shared" ref="M304:M310" si="49">(1+(E304-T304)/T304)*100</f>
        <v>233.88888888888886</v>
      </c>
      <c r="N304" s="27">
        <f t="shared" si="47"/>
        <v>509.83899821109128</v>
      </c>
      <c r="O304" s="27">
        <f t="shared" si="48"/>
        <v>460.99290780141848</v>
      </c>
      <c r="Q304" s="4">
        <v>1.49</v>
      </c>
      <c r="R304" s="4">
        <v>1815.8525733157076</v>
      </c>
      <c r="S304" s="4">
        <v>2338.2847000963566</v>
      </c>
      <c r="T304" s="4">
        <v>180</v>
      </c>
      <c r="U304" s="4">
        <v>22.36</v>
      </c>
      <c r="V304" s="4">
        <v>14.1</v>
      </c>
      <c r="W304" s="4"/>
      <c r="X304" s="7">
        <v>39561</v>
      </c>
      <c r="Y304" s="68">
        <v>2935.9448040980269</v>
      </c>
      <c r="Z304" s="68">
        <v>3686.4907172156618</v>
      </c>
    </row>
    <row r="305" spans="1:26" x14ac:dyDescent="0.3">
      <c r="A305" s="7">
        <v>39568</v>
      </c>
      <c r="B305" s="19">
        <v>4.1769999999999996</v>
      </c>
      <c r="C305" s="2">
        <v>-120</v>
      </c>
      <c r="D305" s="2">
        <v>-125</v>
      </c>
      <c r="E305" s="2">
        <v>388</v>
      </c>
      <c r="F305" s="19">
        <v>119</v>
      </c>
      <c r="G305" s="19">
        <v>69</v>
      </c>
      <c r="I305" s="10">
        <v>39568</v>
      </c>
      <c r="J305" s="27">
        <f t="shared" si="35"/>
        <v>280.3355704697986</v>
      </c>
      <c r="K305" s="11">
        <f t="shared" si="42"/>
        <v>155.07562923768489</v>
      </c>
      <c r="L305" s="11">
        <f t="shared" si="43"/>
        <v>152.31210797679594</v>
      </c>
      <c r="M305" s="27">
        <f t="shared" si="49"/>
        <v>215.55555555555554</v>
      </c>
      <c r="N305" s="27">
        <f t="shared" si="47"/>
        <v>532.20035778175315</v>
      </c>
      <c r="O305" s="27">
        <f t="shared" si="48"/>
        <v>489.36170212765956</v>
      </c>
      <c r="Q305" s="4">
        <v>1.49</v>
      </c>
      <c r="R305" s="4">
        <v>1815.8525733157076</v>
      </c>
      <c r="S305" s="4">
        <v>2338.2847000963566</v>
      </c>
      <c r="T305" s="4">
        <v>180</v>
      </c>
      <c r="U305" s="4">
        <v>22.36</v>
      </c>
      <c r="V305" s="4">
        <v>14.1</v>
      </c>
      <c r="W305" s="4"/>
      <c r="X305" s="7">
        <v>39568</v>
      </c>
      <c r="Y305" s="68">
        <v>2935.9448040980269</v>
      </c>
      <c r="Z305" s="68">
        <v>3686.4907172156618</v>
      </c>
    </row>
    <row r="306" spans="1:26" x14ac:dyDescent="0.3">
      <c r="A306" s="7">
        <v>39575</v>
      </c>
      <c r="B306" s="19">
        <v>4.149</v>
      </c>
      <c r="C306" s="2">
        <v>-130</v>
      </c>
      <c r="D306" s="2">
        <v>-134.5</v>
      </c>
      <c r="E306" s="2">
        <v>383</v>
      </c>
      <c r="F306" s="19">
        <v>123</v>
      </c>
      <c r="G306" s="19">
        <v>68</v>
      </c>
      <c r="I306" s="10">
        <v>39575</v>
      </c>
      <c r="J306" s="27">
        <f t="shared" si="35"/>
        <v>278.45637583892619</v>
      </c>
      <c r="K306" s="11">
        <f t="shared" si="42"/>
        <v>160.01562488796085</v>
      </c>
      <c r="L306" s="11">
        <f t="shared" si="43"/>
        <v>154.06605756959212</v>
      </c>
      <c r="M306" s="27">
        <f t="shared" si="49"/>
        <v>212.77777777777777</v>
      </c>
      <c r="N306" s="27">
        <f t="shared" si="47"/>
        <v>550.08944543828261</v>
      </c>
      <c r="O306" s="27">
        <f t="shared" si="48"/>
        <v>482.26950354609926</v>
      </c>
      <c r="Q306" s="4">
        <v>1.49</v>
      </c>
      <c r="R306" s="4">
        <v>1815.8525733157076</v>
      </c>
      <c r="S306" s="4">
        <v>2338.2847000963566</v>
      </c>
      <c r="T306" s="4">
        <v>180</v>
      </c>
      <c r="U306" s="4">
        <v>22.36</v>
      </c>
      <c r="V306" s="4">
        <v>14.1</v>
      </c>
      <c r="W306" s="4"/>
      <c r="X306" s="7">
        <v>39575</v>
      </c>
      <c r="Y306" s="68">
        <v>3035.647842235247</v>
      </c>
      <c r="Z306" s="68">
        <v>3737.0030521914173</v>
      </c>
    </row>
    <row r="307" spans="1:26" x14ac:dyDescent="0.3">
      <c r="A307" s="7">
        <v>39582</v>
      </c>
      <c r="B307" s="19">
        <v>4.3310000000000004</v>
      </c>
      <c r="C307" s="2">
        <v>-50</v>
      </c>
      <c r="D307" s="2">
        <v>-306.5</v>
      </c>
      <c r="E307" s="2">
        <v>377</v>
      </c>
      <c r="F307" s="19">
        <v>126.5</v>
      </c>
      <c r="G307" s="19">
        <v>70</v>
      </c>
      <c r="I307" s="10">
        <v>39582</v>
      </c>
      <c r="J307" s="27">
        <f t="shared" si="35"/>
        <v>290.67114093959736</v>
      </c>
      <c r="K307" s="11">
        <f t="shared" si="42"/>
        <v>164.42126889098262</v>
      </c>
      <c r="L307" s="11">
        <f t="shared" si="43"/>
        <v>146.71023815235381</v>
      </c>
      <c r="M307" s="27">
        <f t="shared" si="49"/>
        <v>209.44444444444446</v>
      </c>
      <c r="N307" s="27">
        <f t="shared" si="47"/>
        <v>565.74239713774602</v>
      </c>
      <c r="O307" s="27">
        <f t="shared" si="48"/>
        <v>496.45390070921991</v>
      </c>
      <c r="Q307" s="4">
        <v>1.49</v>
      </c>
      <c r="R307" s="4">
        <v>1815.8525733157076</v>
      </c>
      <c r="S307" s="4">
        <v>2338.2847000963566</v>
      </c>
      <c r="T307" s="4">
        <v>180</v>
      </c>
      <c r="U307" s="4">
        <v>22.36</v>
      </c>
      <c r="V307" s="4">
        <v>14.1</v>
      </c>
      <c r="W307" s="4"/>
      <c r="X307" s="7">
        <v>39582</v>
      </c>
      <c r="Y307" s="68">
        <v>3035.647842235247</v>
      </c>
      <c r="Z307" s="68">
        <v>3737.0030521914173</v>
      </c>
    </row>
    <row r="308" spans="1:26" x14ac:dyDescent="0.3">
      <c r="A308" s="7">
        <v>39589</v>
      </c>
      <c r="B308" s="19">
        <v>4.97</v>
      </c>
      <c r="C308" s="2">
        <v>36.5</v>
      </c>
      <c r="D308" s="2">
        <v>-394</v>
      </c>
      <c r="E308" s="2">
        <v>381</v>
      </c>
      <c r="F308" s="19">
        <v>141</v>
      </c>
      <c r="G308" s="19">
        <v>72</v>
      </c>
      <c r="I308" s="10">
        <v>39589</v>
      </c>
      <c r="J308" s="27">
        <f t="shared" si="35"/>
        <v>333.55704697986573</v>
      </c>
      <c r="K308" s="11">
        <f t="shared" si="42"/>
        <v>169.18487146924991</v>
      </c>
      <c r="L308" s="11">
        <f t="shared" si="43"/>
        <v>142.96817885579364</v>
      </c>
      <c r="M308" s="27">
        <f t="shared" si="49"/>
        <v>211.66666666666666</v>
      </c>
      <c r="N308" s="27">
        <f t="shared" si="47"/>
        <v>630.5903398926655</v>
      </c>
      <c r="O308" s="27">
        <f t="shared" si="48"/>
        <v>510.63829787234044</v>
      </c>
      <c r="Q308" s="4">
        <v>1.49</v>
      </c>
      <c r="R308" s="4">
        <v>1815.8525733157076</v>
      </c>
      <c r="S308" s="4">
        <v>2338.2847000963566</v>
      </c>
      <c r="T308" s="4">
        <v>180</v>
      </c>
      <c r="U308" s="4">
        <v>22.36</v>
      </c>
      <c r="V308" s="4">
        <v>14.1</v>
      </c>
      <c r="W308" s="4"/>
      <c r="X308" s="7">
        <v>39589</v>
      </c>
      <c r="Y308" s="68">
        <v>3035.647842235247</v>
      </c>
      <c r="Z308" s="68">
        <v>3737.0030521914173</v>
      </c>
    </row>
    <row r="309" spans="1:26" x14ac:dyDescent="0.3">
      <c r="A309" s="7">
        <v>39596</v>
      </c>
      <c r="B309" s="19">
        <v>4.72</v>
      </c>
      <c r="C309" s="2">
        <v>86</v>
      </c>
      <c r="D309" s="2">
        <v>-306.5</v>
      </c>
      <c r="E309" s="2">
        <v>405</v>
      </c>
      <c r="F309" s="19">
        <v>140</v>
      </c>
      <c r="G309" s="19">
        <v>73</v>
      </c>
      <c r="I309" s="10">
        <v>39596</v>
      </c>
      <c r="J309" s="27">
        <f t="shared" ref="J309:J336" si="50">(1+(B309-Q309)/Q309)*100</f>
        <v>316.77852348993287</v>
      </c>
      <c r="K309" s="11">
        <f t="shared" si="42"/>
        <v>171.91086369611966</v>
      </c>
      <c r="L309" s="11">
        <f t="shared" si="43"/>
        <v>146.71023815235381</v>
      </c>
      <c r="M309" s="27">
        <f t="shared" si="49"/>
        <v>225</v>
      </c>
      <c r="N309" s="27">
        <f t="shared" si="47"/>
        <v>626.11806797853319</v>
      </c>
      <c r="O309" s="27">
        <f t="shared" si="48"/>
        <v>517.73049645390074</v>
      </c>
      <c r="Q309" s="4">
        <v>1.49</v>
      </c>
      <c r="R309" s="4">
        <v>1815.8525733157076</v>
      </c>
      <c r="S309" s="4">
        <v>2338.2847000963566</v>
      </c>
      <c r="T309" s="4">
        <v>180</v>
      </c>
      <c r="U309" s="4">
        <v>22.36</v>
      </c>
      <c r="V309" s="4">
        <v>14.1</v>
      </c>
      <c r="W309" s="4"/>
      <c r="X309" s="7">
        <v>39596</v>
      </c>
      <c r="Y309" s="68">
        <v>3035.647842235247</v>
      </c>
      <c r="Z309" s="68">
        <v>3737.0030521914173</v>
      </c>
    </row>
    <row r="310" spans="1:26" x14ac:dyDescent="0.3">
      <c r="A310" s="7">
        <v>39603</v>
      </c>
      <c r="B310" s="19">
        <v>4.7069999999999999</v>
      </c>
      <c r="C310" s="2">
        <v>79.5</v>
      </c>
      <c r="D310" s="2">
        <v>-312.5</v>
      </c>
      <c r="E310" s="2">
        <v>431</v>
      </c>
      <c r="F310" s="19">
        <v>135</v>
      </c>
      <c r="G310" s="19">
        <v>78</v>
      </c>
      <c r="I310" s="10">
        <v>39603</v>
      </c>
      <c r="J310" s="27">
        <f t="shared" si="50"/>
        <v>315.90604026845637</v>
      </c>
      <c r="K310" s="11">
        <f t="shared" si="42"/>
        <v>182.37418560997665</v>
      </c>
      <c r="L310" s="11">
        <f t="shared" si="43"/>
        <v>154.1477115932839</v>
      </c>
      <c r="M310" s="27">
        <f t="shared" si="49"/>
        <v>239.44444444444443</v>
      </c>
      <c r="N310" s="27">
        <f t="shared" si="47"/>
        <v>603.7567084078712</v>
      </c>
      <c r="O310" s="27">
        <f t="shared" si="48"/>
        <v>553.19148936170222</v>
      </c>
      <c r="Q310" s="4">
        <v>1.49</v>
      </c>
      <c r="R310" s="4">
        <v>1815.8525733157076</v>
      </c>
      <c r="S310" s="4">
        <v>2338.2847000963566</v>
      </c>
      <c r="T310" s="4">
        <v>180</v>
      </c>
      <c r="U310" s="4">
        <v>22.36</v>
      </c>
      <c r="V310" s="4">
        <v>14.1</v>
      </c>
      <c r="W310" s="4"/>
      <c r="X310" s="7">
        <v>39603</v>
      </c>
      <c r="Y310" s="68">
        <v>3232.1463424623257</v>
      </c>
      <c r="Z310" s="68">
        <v>3916.9123557344151</v>
      </c>
    </row>
    <row r="311" spans="1:26" x14ac:dyDescent="0.3">
      <c r="A311" s="7">
        <v>39610</v>
      </c>
      <c r="B311" s="19">
        <v>4.6920000000000002</v>
      </c>
      <c r="C311" s="2">
        <v>83.5</v>
      </c>
      <c r="D311" s="2">
        <v>-312.5</v>
      </c>
      <c r="E311" s="2">
        <v>527</v>
      </c>
      <c r="F311" s="19">
        <v>135</v>
      </c>
      <c r="G311" s="19">
        <v>80</v>
      </c>
      <c r="I311" s="10">
        <v>39610</v>
      </c>
      <c r="J311" s="27">
        <f t="shared" si="50"/>
        <v>314.8993288590604</v>
      </c>
      <c r="K311" s="11">
        <f t="shared" si="42"/>
        <v>182.59446781012772</v>
      </c>
      <c r="L311" s="11">
        <f t="shared" si="43"/>
        <v>154.1477115932839</v>
      </c>
      <c r="M311" s="27">
        <f t="shared" ref="M311:M338" si="51">(1+(E311-T310)/T310)*100</f>
        <v>292.77777777777783</v>
      </c>
      <c r="N311" s="27">
        <f t="shared" si="47"/>
        <v>603.7567084078712</v>
      </c>
      <c r="O311" s="27">
        <f t="shared" si="48"/>
        <v>567.3758865248227</v>
      </c>
      <c r="Q311" s="4">
        <v>1.49</v>
      </c>
      <c r="R311" s="4">
        <v>1815.8525733157076</v>
      </c>
      <c r="S311" s="4">
        <v>2338.2847000963566</v>
      </c>
      <c r="T311" s="4">
        <v>180</v>
      </c>
      <c r="U311" s="4">
        <v>22.36</v>
      </c>
      <c r="V311" s="4">
        <v>14.1</v>
      </c>
      <c r="W311" s="4"/>
      <c r="X311" s="7">
        <v>39610</v>
      </c>
      <c r="Y311" s="68">
        <v>3232.1463424623257</v>
      </c>
      <c r="Z311" s="68">
        <v>3916.9123557344151</v>
      </c>
    </row>
    <row r="312" spans="1:26" x14ac:dyDescent="0.3">
      <c r="A312" s="7">
        <v>39617</v>
      </c>
      <c r="B312" s="19">
        <v>4.6920000000000002</v>
      </c>
      <c r="C312" s="2">
        <v>50</v>
      </c>
      <c r="D312" s="2">
        <v>-313</v>
      </c>
      <c r="E312" s="2">
        <v>644</v>
      </c>
      <c r="F312" s="19">
        <v>121</v>
      </c>
      <c r="G312" s="19">
        <v>78</v>
      </c>
      <c r="I312" s="10">
        <v>39617</v>
      </c>
      <c r="J312" s="27">
        <f t="shared" si="50"/>
        <v>314.8993288590604</v>
      </c>
      <c r="K312" s="11">
        <f t="shared" si="42"/>
        <v>180.74960438386236</v>
      </c>
      <c r="L312" s="11">
        <f t="shared" si="43"/>
        <v>154.12632839730355</v>
      </c>
      <c r="M312" s="27">
        <f t="shared" si="51"/>
        <v>357.77777777777777</v>
      </c>
      <c r="N312" s="27">
        <f t="shared" si="47"/>
        <v>541.14490161001788</v>
      </c>
      <c r="O312" s="27">
        <f t="shared" si="48"/>
        <v>553.19148936170222</v>
      </c>
      <c r="Q312" s="4">
        <v>1.49</v>
      </c>
      <c r="R312" s="4">
        <v>1815.8525733157076</v>
      </c>
      <c r="S312" s="4">
        <v>2338.2847000963566</v>
      </c>
      <c r="T312" s="4">
        <v>180</v>
      </c>
      <c r="U312" s="4">
        <v>22.36</v>
      </c>
      <c r="V312" s="4">
        <v>14.1</v>
      </c>
      <c r="W312" s="4"/>
      <c r="X312" s="7">
        <v>39617</v>
      </c>
      <c r="Y312" s="68">
        <v>3232.1463424623257</v>
      </c>
      <c r="Z312" s="68">
        <v>3916.9123557344151</v>
      </c>
    </row>
    <row r="313" spans="1:26" x14ac:dyDescent="0.3">
      <c r="A313" s="7">
        <v>39624</v>
      </c>
      <c r="B313" s="19">
        <v>4.6479999999999997</v>
      </c>
      <c r="C313" s="2">
        <v>86</v>
      </c>
      <c r="D313" s="2">
        <v>-263</v>
      </c>
      <c r="E313" s="2">
        <v>558</v>
      </c>
      <c r="F313" s="19">
        <v>122</v>
      </c>
      <c r="G313" s="19">
        <v>81</v>
      </c>
      <c r="I313" s="10">
        <v>39624</v>
      </c>
      <c r="J313" s="27">
        <f t="shared" si="50"/>
        <v>311.94630872483219</v>
      </c>
      <c r="K313" s="11">
        <f t="shared" si="42"/>
        <v>182.73214418522215</v>
      </c>
      <c r="L313" s="11">
        <f t="shared" si="43"/>
        <v>156.26464799533795</v>
      </c>
      <c r="M313" s="27">
        <f t="shared" si="51"/>
        <v>310</v>
      </c>
      <c r="N313" s="27">
        <f t="shared" si="47"/>
        <v>545.6171735241503</v>
      </c>
      <c r="O313" s="27">
        <f t="shared" si="48"/>
        <v>574.46808510638311</v>
      </c>
      <c r="Q313" s="4">
        <v>1.49</v>
      </c>
      <c r="R313" s="4">
        <v>1815.8525733157076</v>
      </c>
      <c r="S313" s="4">
        <v>2338.2847000963566</v>
      </c>
      <c r="T313" s="4">
        <v>180</v>
      </c>
      <c r="U313" s="4">
        <v>22.36</v>
      </c>
      <c r="V313" s="4">
        <v>14.1</v>
      </c>
      <c r="W313" s="4"/>
      <c r="X313" s="7">
        <v>39624</v>
      </c>
      <c r="Y313" s="68">
        <v>3232.1463424623257</v>
      </c>
      <c r="Z313" s="68">
        <v>3916.9123557344151</v>
      </c>
    </row>
    <row r="314" spans="1:26" x14ac:dyDescent="0.3">
      <c r="A314" s="7">
        <v>39631</v>
      </c>
      <c r="B314" s="19">
        <v>4.6449999999999996</v>
      </c>
      <c r="C314" s="2">
        <v>97</v>
      </c>
      <c r="D314" s="2">
        <v>-162.5</v>
      </c>
      <c r="E314" s="2">
        <v>604</v>
      </c>
      <c r="F314" s="19">
        <v>131</v>
      </c>
      <c r="G314" s="19">
        <v>82</v>
      </c>
      <c r="I314" s="10">
        <v>39631</v>
      </c>
      <c r="J314" s="27">
        <f t="shared" si="50"/>
        <v>311.744966442953</v>
      </c>
      <c r="K314" s="11">
        <f t="shared" si="42"/>
        <v>189.51170664411211</v>
      </c>
      <c r="L314" s="11">
        <f t="shared" si="43"/>
        <v>160.47882319320513</v>
      </c>
      <c r="M314" s="27">
        <f t="shared" si="51"/>
        <v>335.55555555555554</v>
      </c>
      <c r="N314" s="27">
        <f t="shared" si="47"/>
        <v>585.86762075134175</v>
      </c>
      <c r="O314" s="27">
        <f t="shared" si="48"/>
        <v>581.5602836879433</v>
      </c>
      <c r="Q314" s="4">
        <v>1.49</v>
      </c>
      <c r="R314" s="4">
        <v>1815.8525733157076</v>
      </c>
      <c r="S314" s="4">
        <v>2338.2847000963566</v>
      </c>
      <c r="T314" s="4">
        <v>180</v>
      </c>
      <c r="U314" s="4">
        <v>22.36</v>
      </c>
      <c r="V314" s="4">
        <v>14.1</v>
      </c>
      <c r="W314" s="4"/>
      <c r="X314" s="7">
        <v>39631</v>
      </c>
      <c r="Y314" s="68">
        <v>3344.2532018316247</v>
      </c>
      <c r="Z314" s="68">
        <v>3914.9517696213993</v>
      </c>
    </row>
    <row r="315" spans="1:26" x14ac:dyDescent="0.3">
      <c r="A315" s="7">
        <v>39638</v>
      </c>
      <c r="B315" s="19">
        <v>4.7270000000000003</v>
      </c>
      <c r="C315" s="2">
        <v>78</v>
      </c>
      <c r="D315" s="2">
        <v>-63</v>
      </c>
      <c r="E315" s="2">
        <v>548</v>
      </c>
      <c r="F315" s="19">
        <v>126</v>
      </c>
      <c r="G315" s="19">
        <v>76</v>
      </c>
      <c r="I315" s="10">
        <v>39638</v>
      </c>
      <c r="J315" s="27">
        <f t="shared" si="50"/>
        <v>317.24832214765104</v>
      </c>
      <c r="K315" s="11">
        <f t="shared" si="42"/>
        <v>188.46536619339446</v>
      </c>
      <c r="L315" s="11">
        <f t="shared" si="43"/>
        <v>164.73407919329358</v>
      </c>
      <c r="M315" s="27">
        <f t="shared" si="51"/>
        <v>304.44444444444446</v>
      </c>
      <c r="N315" s="27">
        <f t="shared" si="47"/>
        <v>563.50626118067976</v>
      </c>
      <c r="O315" s="27">
        <f t="shared" si="48"/>
        <v>539.00709219858152</v>
      </c>
      <c r="Q315" s="4">
        <v>1.49</v>
      </c>
      <c r="R315" s="4">
        <v>1815.8525733157076</v>
      </c>
      <c r="S315" s="4">
        <v>2338.2847000963566</v>
      </c>
      <c r="T315" s="4">
        <v>180</v>
      </c>
      <c r="U315" s="4">
        <v>22.36</v>
      </c>
      <c r="V315" s="4">
        <v>14.1</v>
      </c>
      <c r="W315" s="4"/>
      <c r="X315" s="7">
        <v>39638</v>
      </c>
      <c r="Y315" s="68">
        <v>3344.2532018316247</v>
      </c>
      <c r="Z315" s="68">
        <v>3914.9517696213993</v>
      </c>
    </row>
    <row r="316" spans="1:26" x14ac:dyDescent="0.3">
      <c r="A316" s="7">
        <v>39645</v>
      </c>
      <c r="B316" s="19">
        <v>4.7640000000000002</v>
      </c>
      <c r="C316" s="2">
        <v>-63</v>
      </c>
      <c r="D316" s="2">
        <v>-94.5</v>
      </c>
      <c r="E316" s="2">
        <v>466</v>
      </c>
      <c r="F316" s="19">
        <v>132</v>
      </c>
      <c r="G316" s="19">
        <v>76</v>
      </c>
      <c r="I316" s="10">
        <v>39645</v>
      </c>
      <c r="J316" s="27">
        <f t="shared" si="50"/>
        <v>319.73154362416108</v>
      </c>
      <c r="K316" s="11">
        <f t="shared" si="42"/>
        <v>180.70041863806858</v>
      </c>
      <c r="L316" s="11">
        <f t="shared" si="43"/>
        <v>163.38693784653191</v>
      </c>
      <c r="M316" s="27">
        <f t="shared" si="51"/>
        <v>258.88888888888886</v>
      </c>
      <c r="N316" s="27">
        <f t="shared" si="47"/>
        <v>590.33989266547405</v>
      </c>
      <c r="O316" s="27">
        <f t="shared" si="48"/>
        <v>539.00709219858152</v>
      </c>
      <c r="Q316" s="4">
        <v>1.49</v>
      </c>
      <c r="R316" s="4">
        <v>1815.8525733157076</v>
      </c>
      <c r="S316" s="4">
        <v>2338.2847000963566</v>
      </c>
      <c r="T316" s="4">
        <v>180</v>
      </c>
      <c r="U316" s="4">
        <v>22.36</v>
      </c>
      <c r="V316" s="4">
        <v>14.1</v>
      </c>
      <c r="W316" s="4"/>
      <c r="X316" s="7">
        <v>39645</v>
      </c>
      <c r="Y316" s="68">
        <v>3344.2532018316247</v>
      </c>
      <c r="Z316" s="68">
        <v>3914.9517696213993</v>
      </c>
    </row>
    <row r="317" spans="1:26" x14ac:dyDescent="0.3">
      <c r="A317" s="7">
        <v>39652</v>
      </c>
      <c r="B317" s="19">
        <v>4.718</v>
      </c>
      <c r="C317" s="2">
        <v>71</v>
      </c>
      <c r="D317" s="2">
        <v>106.5</v>
      </c>
      <c r="E317" s="2">
        <v>453</v>
      </c>
      <c r="F317" s="19">
        <v>129</v>
      </c>
      <c r="G317" s="19">
        <v>72</v>
      </c>
      <c r="I317" s="10">
        <v>39652</v>
      </c>
      <c r="J317" s="27">
        <f t="shared" si="50"/>
        <v>316.6442953020134</v>
      </c>
      <c r="K317" s="11">
        <f t="shared" si="42"/>
        <v>188.07987234313003</v>
      </c>
      <c r="L317" s="11">
        <f t="shared" si="43"/>
        <v>171.98298263063015</v>
      </c>
      <c r="M317" s="27">
        <f t="shared" si="51"/>
        <v>251.66666666666666</v>
      </c>
      <c r="N317" s="27">
        <f t="shared" si="47"/>
        <v>576.92307692307691</v>
      </c>
      <c r="O317" s="27">
        <f t="shared" si="48"/>
        <v>510.63829787234044</v>
      </c>
      <c r="Q317" s="4">
        <v>1.49</v>
      </c>
      <c r="R317" s="4">
        <v>1815.8525733157076</v>
      </c>
      <c r="S317" s="4">
        <v>2338.2847000963566</v>
      </c>
      <c r="T317" s="4">
        <v>180</v>
      </c>
      <c r="U317" s="4">
        <v>22.36</v>
      </c>
      <c r="V317" s="4">
        <v>14.1</v>
      </c>
      <c r="W317" s="4"/>
      <c r="X317" s="7">
        <v>39652</v>
      </c>
      <c r="Y317" s="68">
        <v>3344.2532018316247</v>
      </c>
      <c r="Z317" s="68">
        <v>3914.9517696213993</v>
      </c>
    </row>
    <row r="318" spans="1:26" x14ac:dyDescent="0.3">
      <c r="A318" s="7">
        <v>39659</v>
      </c>
      <c r="B318" s="19">
        <v>4.6029999999999998</v>
      </c>
      <c r="C318" s="2">
        <v>77</v>
      </c>
      <c r="D318" s="2">
        <v>-50</v>
      </c>
      <c r="E318" s="2">
        <v>492</v>
      </c>
      <c r="F318" s="19">
        <v>123</v>
      </c>
      <c r="G318" s="19">
        <v>66</v>
      </c>
      <c r="I318" s="10">
        <v>39659</v>
      </c>
      <c r="J318" s="27">
        <f t="shared" si="50"/>
        <v>308.92617449664431</v>
      </c>
      <c r="K318" s="11">
        <f t="shared" si="42"/>
        <v>188.41029564335668</v>
      </c>
      <c r="L318" s="11">
        <f t="shared" si="43"/>
        <v>165.29004228878253</v>
      </c>
      <c r="M318" s="27">
        <f t="shared" si="51"/>
        <v>273.33333333333331</v>
      </c>
      <c r="N318" s="27">
        <f t="shared" si="47"/>
        <v>550.08944543828261</v>
      </c>
      <c r="O318" s="27">
        <f t="shared" si="48"/>
        <v>468.08510638297872</v>
      </c>
      <c r="Q318" s="4">
        <v>1.49</v>
      </c>
      <c r="R318" s="4">
        <v>1815.8525733157076</v>
      </c>
      <c r="S318" s="4">
        <v>2338.2847000963566</v>
      </c>
      <c r="T318" s="4">
        <v>180</v>
      </c>
      <c r="U318" s="4">
        <v>22.36</v>
      </c>
      <c r="V318" s="4">
        <v>14.1</v>
      </c>
      <c r="W318" s="4"/>
      <c r="X318" s="7">
        <v>39659</v>
      </c>
      <c r="Y318" s="68">
        <v>3344.2532018316247</v>
      </c>
      <c r="Z318" s="68">
        <v>3914.9517696213993</v>
      </c>
    </row>
    <row r="319" spans="1:26" x14ac:dyDescent="0.3">
      <c r="A319" s="7">
        <v>39666</v>
      </c>
      <c r="B319" s="19">
        <v>4.5019999999999998</v>
      </c>
      <c r="C319" s="2">
        <v>104</v>
      </c>
      <c r="D319" s="2">
        <v>12.5</v>
      </c>
      <c r="E319" s="2">
        <v>485</v>
      </c>
      <c r="F319" s="19">
        <v>119</v>
      </c>
      <c r="G319" s="19">
        <v>65</v>
      </c>
      <c r="I319" s="10">
        <v>39666</v>
      </c>
      <c r="J319" s="27">
        <f t="shared" si="50"/>
        <v>302.14765100671138</v>
      </c>
      <c r="K319" s="11">
        <f t="shared" si="42"/>
        <v>196.19787893412831</v>
      </c>
      <c r="L319" s="11">
        <f t="shared" si="43"/>
        <v>170.26789290052332</v>
      </c>
      <c r="M319" s="27">
        <f t="shared" si="51"/>
        <v>269.44444444444446</v>
      </c>
      <c r="N319" s="27">
        <f t="shared" si="47"/>
        <v>532.20035778175315</v>
      </c>
      <c r="O319" s="27">
        <f t="shared" si="48"/>
        <v>460.99290780141848</v>
      </c>
      <c r="Q319" s="4">
        <v>1.49</v>
      </c>
      <c r="R319" s="4">
        <v>1815.8525733157076</v>
      </c>
      <c r="S319" s="4">
        <v>2338.2847000963566</v>
      </c>
      <c r="T319" s="4">
        <v>180</v>
      </c>
      <c r="U319" s="4">
        <v>22.36</v>
      </c>
      <c r="V319" s="4">
        <v>14.1</v>
      </c>
      <c r="W319" s="4"/>
      <c r="X319" s="7">
        <v>39666</v>
      </c>
      <c r="Y319" s="68">
        <v>3458.6642334162057</v>
      </c>
      <c r="Z319" s="68">
        <v>3968.8480888693871</v>
      </c>
    </row>
    <row r="320" spans="1:26" x14ac:dyDescent="0.3">
      <c r="A320" s="7">
        <v>39673</v>
      </c>
      <c r="B320" s="19">
        <v>4.3529999999999998</v>
      </c>
      <c r="C320" s="2">
        <v>-58.5</v>
      </c>
      <c r="D320" s="2">
        <v>-87.5</v>
      </c>
      <c r="E320" s="2">
        <v>460</v>
      </c>
      <c r="F320" s="19">
        <v>112</v>
      </c>
      <c r="G320" s="19">
        <v>58</v>
      </c>
      <c r="I320" s="10">
        <v>39673</v>
      </c>
      <c r="J320" s="27">
        <f t="shared" si="50"/>
        <v>292.14765100671138</v>
      </c>
      <c r="K320" s="11">
        <f t="shared" si="42"/>
        <v>187.24891455299036</v>
      </c>
      <c r="L320" s="11">
        <f t="shared" si="43"/>
        <v>165.99125370445452</v>
      </c>
      <c r="M320" s="27">
        <f t="shared" si="51"/>
        <v>255.55555555555554</v>
      </c>
      <c r="N320" s="27">
        <f t="shared" si="47"/>
        <v>500.8944543828265</v>
      </c>
      <c r="O320" s="27">
        <f t="shared" si="48"/>
        <v>411.34751773049646</v>
      </c>
      <c r="Q320" s="4">
        <v>1.49</v>
      </c>
      <c r="R320" s="4">
        <v>1815.8525733157076</v>
      </c>
      <c r="S320" s="4">
        <v>2338.2847000963566</v>
      </c>
      <c r="T320" s="4">
        <v>180</v>
      </c>
      <c r="U320" s="4">
        <v>22.36</v>
      </c>
      <c r="V320" s="4">
        <v>14.1</v>
      </c>
      <c r="W320" s="4"/>
      <c r="X320" s="7">
        <v>39673</v>
      </c>
      <c r="Y320" s="68">
        <v>3458.6642334162057</v>
      </c>
      <c r="Z320" s="68">
        <v>3968.8480888693871</v>
      </c>
    </row>
    <row r="321" spans="1:26" x14ac:dyDescent="0.3">
      <c r="A321" s="7">
        <v>39680</v>
      </c>
      <c r="B321" s="19">
        <v>4.2069999999999999</v>
      </c>
      <c r="C321" s="2">
        <v>8</v>
      </c>
      <c r="D321" s="2">
        <v>-231.5</v>
      </c>
      <c r="E321" s="2">
        <v>515</v>
      </c>
      <c r="F321" s="19">
        <v>118</v>
      </c>
      <c r="G321" s="19">
        <v>62</v>
      </c>
      <c r="I321" s="10">
        <v>39680</v>
      </c>
      <c r="J321" s="27">
        <f t="shared" si="50"/>
        <v>282.34899328859058</v>
      </c>
      <c r="K321" s="11">
        <f t="shared" si="42"/>
        <v>190.91110613050219</v>
      </c>
      <c r="L321" s="11">
        <f t="shared" si="43"/>
        <v>159.8328932621155</v>
      </c>
      <c r="M321" s="27">
        <f t="shared" si="51"/>
        <v>286.11111111111114</v>
      </c>
      <c r="N321" s="27">
        <f t="shared" si="47"/>
        <v>527.72808586762073</v>
      </c>
      <c r="O321" s="27">
        <f t="shared" si="48"/>
        <v>439.71631205673754</v>
      </c>
      <c r="Q321" s="4">
        <v>1.49</v>
      </c>
      <c r="R321" s="4">
        <v>1815.8525733157076</v>
      </c>
      <c r="S321" s="4">
        <v>2338.2847000963566</v>
      </c>
      <c r="T321" s="4">
        <v>180</v>
      </c>
      <c r="U321" s="4">
        <v>22.36</v>
      </c>
      <c r="V321" s="4">
        <v>14.1</v>
      </c>
      <c r="W321" s="4"/>
      <c r="X321" s="7">
        <v>39680</v>
      </c>
      <c r="Y321" s="68">
        <v>3458.6642334162057</v>
      </c>
      <c r="Z321" s="68">
        <v>3968.8480888693871</v>
      </c>
    </row>
    <row r="322" spans="1:26" x14ac:dyDescent="0.3">
      <c r="A322" s="7">
        <v>39687</v>
      </c>
      <c r="B322" s="19">
        <v>4.1449999999999996</v>
      </c>
      <c r="C322" s="2">
        <v>-0.5</v>
      </c>
      <c r="D322" s="2">
        <v>-137.5</v>
      </c>
      <c r="E322" s="2">
        <v>566</v>
      </c>
      <c r="F322" s="19">
        <v>116</v>
      </c>
      <c r="G322" s="19">
        <v>60</v>
      </c>
      <c r="I322" s="10">
        <v>39687</v>
      </c>
      <c r="J322" s="27">
        <f t="shared" si="50"/>
        <v>278.18791946308721</v>
      </c>
      <c r="K322" s="11">
        <f t="shared" si="42"/>
        <v>190.44300645518112</v>
      </c>
      <c r="L322" s="11">
        <f t="shared" si="43"/>
        <v>163.85293410642015</v>
      </c>
      <c r="M322" s="27">
        <f t="shared" si="51"/>
        <v>314.44444444444446</v>
      </c>
      <c r="N322" s="27">
        <f t="shared" si="47"/>
        <v>518.78354203935601</v>
      </c>
      <c r="O322" s="27">
        <f t="shared" si="48"/>
        <v>425.531914893617</v>
      </c>
      <c r="Q322" s="4">
        <v>1.49</v>
      </c>
      <c r="R322" s="4">
        <v>1815.8525733157076</v>
      </c>
      <c r="S322" s="4">
        <v>2338.2847000963566</v>
      </c>
      <c r="T322" s="4">
        <v>180</v>
      </c>
      <c r="U322" s="4">
        <v>22.36</v>
      </c>
      <c r="V322" s="4">
        <v>14.1</v>
      </c>
      <c r="W322" s="4"/>
      <c r="X322" s="7">
        <v>39687</v>
      </c>
      <c r="Y322" s="68">
        <v>3458.6642334162057</v>
      </c>
      <c r="Z322" s="68">
        <v>3968.8480888693871</v>
      </c>
    </row>
    <row r="323" spans="1:26" x14ac:dyDescent="0.3">
      <c r="A323" s="7">
        <v>39694</v>
      </c>
      <c r="B323" s="19">
        <v>4.1210000000000004</v>
      </c>
      <c r="C323" s="2">
        <v>46</v>
      </c>
      <c r="D323" s="2">
        <v>-42</v>
      </c>
      <c r="E323" s="2">
        <v>595</v>
      </c>
      <c r="F323" s="19">
        <v>114</v>
      </c>
      <c r="G323" s="19">
        <v>55</v>
      </c>
      <c r="H323" s="55"/>
      <c r="I323" s="10">
        <v>39694</v>
      </c>
      <c r="J323" s="27">
        <f t="shared" si="50"/>
        <v>276.57718120805373</v>
      </c>
      <c r="K323" s="11">
        <f t="shared" si="42"/>
        <v>195.39360791141621</v>
      </c>
      <c r="L323" s="11">
        <f t="shared" si="43"/>
        <v>170.02091515985009</v>
      </c>
      <c r="M323" s="27">
        <f t="shared" si="51"/>
        <v>330.55555555555554</v>
      </c>
      <c r="N323" s="27">
        <f t="shared" si="47"/>
        <v>509.83899821109128</v>
      </c>
      <c r="O323" s="27">
        <f t="shared" si="48"/>
        <v>390.07092198581563</v>
      </c>
      <c r="Q323" s="4">
        <v>1.49</v>
      </c>
      <c r="R323" s="4">
        <v>1815.8525733157076</v>
      </c>
      <c r="S323" s="4">
        <v>2338.2847000963566</v>
      </c>
      <c r="T323" s="4">
        <v>180</v>
      </c>
      <c r="U323" s="4">
        <v>22.36</v>
      </c>
      <c r="V323" s="4">
        <v>14.1</v>
      </c>
      <c r="W323" s="4"/>
      <c r="X323" s="7">
        <v>39694</v>
      </c>
      <c r="Y323" s="68">
        <v>3502.0598573538555</v>
      </c>
      <c r="Z323" s="68">
        <v>4017.5730461465819</v>
      </c>
    </row>
    <row r="324" spans="1:26" x14ac:dyDescent="0.3">
      <c r="A324" s="7">
        <v>39701</v>
      </c>
      <c r="B324" s="19">
        <v>4.0590000000000002</v>
      </c>
      <c r="C324" s="2">
        <v>48</v>
      </c>
      <c r="D324" s="2">
        <v>-160.5</v>
      </c>
      <c r="E324" s="2">
        <v>609</v>
      </c>
      <c r="F324" s="19">
        <v>105</v>
      </c>
      <c r="G324" s="19">
        <v>53</v>
      </c>
      <c r="H324" s="55"/>
      <c r="I324" s="10">
        <v>39701</v>
      </c>
      <c r="J324" s="27">
        <f t="shared" si="50"/>
        <v>272.41610738255036</v>
      </c>
      <c r="K324" s="11">
        <f t="shared" si="42"/>
        <v>195.50374901149178</v>
      </c>
      <c r="L324" s="11">
        <f t="shared" si="43"/>
        <v>164.95309771250862</v>
      </c>
      <c r="M324" s="27">
        <f t="shared" si="51"/>
        <v>338.33333333333331</v>
      </c>
      <c r="N324" s="27">
        <f t="shared" si="47"/>
        <v>469.58855098389984</v>
      </c>
      <c r="O324" s="27">
        <f t="shared" si="48"/>
        <v>375.88652482269504</v>
      </c>
      <c r="Q324" s="4">
        <v>1.49</v>
      </c>
      <c r="R324" s="4">
        <v>1815.8525733157076</v>
      </c>
      <c r="S324" s="4">
        <v>2338.2847000963566</v>
      </c>
      <c r="T324" s="4">
        <v>180</v>
      </c>
      <c r="U324" s="4">
        <v>22.36</v>
      </c>
      <c r="V324" s="4">
        <v>14.1</v>
      </c>
      <c r="W324" s="4"/>
      <c r="X324" s="7">
        <v>39701</v>
      </c>
      <c r="Y324" s="68">
        <v>3502.0598573538555</v>
      </c>
      <c r="Z324" s="68">
        <v>4017.5730461465819</v>
      </c>
    </row>
    <row r="325" spans="1:26" x14ac:dyDescent="0.3">
      <c r="A325" s="7">
        <v>39708</v>
      </c>
      <c r="B325" s="19">
        <v>4.0229999999999997</v>
      </c>
      <c r="C325" s="2">
        <v>113</v>
      </c>
      <c r="D325" s="2">
        <v>-185.5</v>
      </c>
      <c r="E325" s="2">
        <v>612</v>
      </c>
      <c r="F325" s="19">
        <v>91</v>
      </c>
      <c r="G325" s="19">
        <v>50</v>
      </c>
      <c r="H325" s="55"/>
      <c r="I325" s="10">
        <v>39708</v>
      </c>
      <c r="J325" s="1">
        <f t="shared" si="50"/>
        <v>270</v>
      </c>
      <c r="K325" s="11">
        <f t="shared" si="42"/>
        <v>199.08333476394694</v>
      </c>
      <c r="L325" s="11">
        <f t="shared" si="43"/>
        <v>163.88393791349139</v>
      </c>
      <c r="M325" s="27">
        <f t="shared" si="51"/>
        <v>340</v>
      </c>
      <c r="N325" s="27">
        <f t="shared" ref="N325:N356" si="52">(1+(F325-U324)/U324)*100</f>
        <v>406.97674418604652</v>
      </c>
      <c r="O325" s="27">
        <f t="shared" ref="O325:O356" si="53">(1+(G325-V324)/V324)*100</f>
        <v>354.60992907801415</v>
      </c>
      <c r="Q325" s="4">
        <v>1.49</v>
      </c>
      <c r="R325" s="4">
        <v>1815.8525733157076</v>
      </c>
      <c r="S325" s="4">
        <v>2338.2847000963566</v>
      </c>
      <c r="T325" s="4">
        <v>180</v>
      </c>
      <c r="U325" s="4">
        <v>22.36</v>
      </c>
      <c r="V325" s="4">
        <v>14.1</v>
      </c>
      <c r="W325" s="4"/>
      <c r="X325" s="7">
        <v>39708</v>
      </c>
      <c r="Y325" s="68">
        <v>3502.0598573538555</v>
      </c>
      <c r="Z325" s="68">
        <v>4017.5730461465819</v>
      </c>
    </row>
    <row r="326" spans="1:26" x14ac:dyDescent="0.3">
      <c r="A326" s="7">
        <v>39715</v>
      </c>
      <c r="B326" s="19">
        <v>3.9580000000000002</v>
      </c>
      <c r="C326" s="2">
        <v>-44</v>
      </c>
      <c r="D326" s="2">
        <v>-294</v>
      </c>
      <c r="E326" s="2">
        <v>596</v>
      </c>
      <c r="F326" s="19">
        <v>91</v>
      </c>
      <c r="G326" s="19">
        <v>60</v>
      </c>
      <c r="H326" s="55"/>
      <c r="I326" s="10">
        <v>39715</v>
      </c>
      <c r="J326" s="27">
        <f t="shared" si="50"/>
        <v>265.63758389261744</v>
      </c>
      <c r="K326" s="11">
        <f t="shared" si="42"/>
        <v>190.43725840801673</v>
      </c>
      <c r="L326" s="11">
        <f t="shared" si="43"/>
        <v>159.24378438575678</v>
      </c>
      <c r="M326" s="27">
        <f t="shared" si="51"/>
        <v>331.11111111111109</v>
      </c>
      <c r="N326" s="27">
        <f t="shared" si="52"/>
        <v>406.97674418604652</v>
      </c>
      <c r="O326" s="27">
        <f t="shared" si="53"/>
        <v>425.531914893617</v>
      </c>
      <c r="Q326" s="4">
        <v>1.49</v>
      </c>
      <c r="R326" s="4">
        <v>1815.8525733157076</v>
      </c>
      <c r="S326" s="4">
        <v>2338.2847000963566</v>
      </c>
      <c r="T326" s="4">
        <v>180</v>
      </c>
      <c r="U326" s="4">
        <v>22.36</v>
      </c>
      <c r="V326" s="4">
        <v>14.1</v>
      </c>
      <c r="W326" s="4"/>
      <c r="X326" s="7">
        <v>39715</v>
      </c>
      <c r="Y326" s="68">
        <v>3502.0598573538555</v>
      </c>
      <c r="Z326" s="68">
        <v>4017.5730461465819</v>
      </c>
    </row>
    <row r="327" spans="1:26" x14ac:dyDescent="0.3">
      <c r="A327" s="7">
        <v>39722</v>
      </c>
      <c r="B327" s="19">
        <v>3.9590000000000001</v>
      </c>
      <c r="C327" s="2">
        <v>3.5</v>
      </c>
      <c r="D327" s="2">
        <v>-112.5</v>
      </c>
      <c r="E327" s="2">
        <v>625</v>
      </c>
      <c r="F327" s="19">
        <v>65</v>
      </c>
      <c r="G327" s="19">
        <v>43</v>
      </c>
      <c r="H327" s="55"/>
      <c r="I327" s="10">
        <v>39722</v>
      </c>
      <c r="J327" s="27">
        <f t="shared" si="50"/>
        <v>265.70469798657717</v>
      </c>
      <c r="K327" s="11">
        <f t="shared" si="42"/>
        <v>189.87078206047855</v>
      </c>
      <c r="L327" s="11">
        <f t="shared" si="43"/>
        <v>167.25318465940907</v>
      </c>
      <c r="M327" s="27">
        <f t="shared" si="51"/>
        <v>347.22222222222223</v>
      </c>
      <c r="N327" s="27">
        <f t="shared" si="52"/>
        <v>290.69767441860461</v>
      </c>
      <c r="O327" s="27">
        <f t="shared" si="53"/>
        <v>304.96453900709218</v>
      </c>
      <c r="Q327" s="4">
        <v>1.49</v>
      </c>
      <c r="R327" s="4">
        <v>1815.8525733157076</v>
      </c>
      <c r="S327" s="4">
        <v>2338.2847000963566</v>
      </c>
      <c r="T327" s="4">
        <v>180</v>
      </c>
      <c r="U327" s="4">
        <v>22.36</v>
      </c>
      <c r="V327" s="4">
        <v>14.1</v>
      </c>
      <c r="W327" s="4"/>
      <c r="X327" s="7">
        <v>39722</v>
      </c>
      <c r="Y327" s="68">
        <v>3444.2734820198589</v>
      </c>
      <c r="Z327" s="68">
        <v>4023.3556273148683</v>
      </c>
    </row>
    <row r="328" spans="1:26" x14ac:dyDescent="0.3">
      <c r="A328" s="7">
        <v>39729</v>
      </c>
      <c r="B328" s="19">
        <v>3.875</v>
      </c>
      <c r="C328" s="2">
        <v>6.5</v>
      </c>
      <c r="D328" s="2">
        <v>-102</v>
      </c>
      <c r="E328" s="2">
        <v>750</v>
      </c>
      <c r="F328" s="19">
        <v>56</v>
      </c>
      <c r="G328" s="19">
        <v>35</v>
      </c>
      <c r="H328" s="55"/>
      <c r="I328" s="10">
        <v>39729</v>
      </c>
      <c r="J328" s="27">
        <f t="shared" si="50"/>
        <v>260.06711409395973</v>
      </c>
      <c r="K328" s="11">
        <f t="shared" si="42"/>
        <v>190.03599371059187</v>
      </c>
      <c r="L328" s="11">
        <f t="shared" si="43"/>
        <v>167.70223177499628</v>
      </c>
      <c r="M328" s="27">
        <f t="shared" si="51"/>
        <v>416.66666666666663</v>
      </c>
      <c r="N328" s="27">
        <f t="shared" si="52"/>
        <v>250.44722719141325</v>
      </c>
      <c r="O328" s="27">
        <f t="shared" si="53"/>
        <v>248.22695035460995</v>
      </c>
      <c r="Q328" s="4">
        <v>1.49</v>
      </c>
      <c r="R328" s="4">
        <v>1815.8525733157076</v>
      </c>
      <c r="S328" s="4">
        <v>2338.2847000963566</v>
      </c>
      <c r="T328" s="4">
        <v>180</v>
      </c>
      <c r="U328" s="4">
        <v>22.36</v>
      </c>
      <c r="V328" s="4">
        <v>14.1</v>
      </c>
      <c r="W328" s="4"/>
      <c r="X328" s="7">
        <v>39729</v>
      </c>
      <c r="Y328" s="68">
        <v>3444.2734820198589</v>
      </c>
      <c r="Z328" s="68">
        <v>4023.3556273148683</v>
      </c>
    </row>
    <row r="329" spans="1:26" x14ac:dyDescent="0.3">
      <c r="A329" s="7">
        <v>39736</v>
      </c>
      <c r="B329" s="19">
        <v>3.6589999999999998</v>
      </c>
      <c r="C329" s="2">
        <v>-21.5</v>
      </c>
      <c r="D329" s="2">
        <v>-21</v>
      </c>
      <c r="E329" s="2">
        <v>660</v>
      </c>
      <c r="F329" s="19">
        <v>48</v>
      </c>
      <c r="G329" s="19">
        <v>30</v>
      </c>
      <c r="H329" s="55"/>
      <c r="I329" s="10">
        <v>39736</v>
      </c>
      <c r="J329" s="27">
        <f t="shared" si="50"/>
        <v>245.57046979865768</v>
      </c>
      <c r="K329" s="11">
        <f t="shared" ref="K329:K392" si="54">(C329+Y329)/R329*100</f>
        <v>188.49401830953428</v>
      </c>
      <c r="L329" s="11">
        <f t="shared" ref="L329:L392" si="55">(D329+Z329)/S329*100</f>
        <v>171.16630952381198</v>
      </c>
      <c r="M329" s="27">
        <f t="shared" si="51"/>
        <v>366.66666666666663</v>
      </c>
      <c r="N329" s="27">
        <f t="shared" si="52"/>
        <v>214.6690518783542</v>
      </c>
      <c r="O329" s="27">
        <f t="shared" si="53"/>
        <v>212.7659574468085</v>
      </c>
      <c r="Q329" s="4">
        <v>1.49</v>
      </c>
      <c r="R329" s="4">
        <v>1815.8525733157076</v>
      </c>
      <c r="S329" s="4">
        <v>2338.2847000963566</v>
      </c>
      <c r="T329" s="4">
        <v>180</v>
      </c>
      <c r="U329" s="4">
        <v>22.36</v>
      </c>
      <c r="V329" s="4">
        <v>14.1</v>
      </c>
      <c r="W329" s="4"/>
      <c r="X329" s="7">
        <v>39736</v>
      </c>
      <c r="Y329" s="68">
        <v>3444.2734820198589</v>
      </c>
      <c r="Z329" s="68">
        <v>4023.3556273148683</v>
      </c>
    </row>
    <row r="330" spans="1:26" x14ac:dyDescent="0.3">
      <c r="A330" s="7">
        <v>39743</v>
      </c>
      <c r="B330" s="19">
        <v>3.4820000000000002</v>
      </c>
      <c r="C330" s="2">
        <v>-11</v>
      </c>
      <c r="D330" s="2">
        <v>-81.5</v>
      </c>
      <c r="E330" s="2">
        <v>571</v>
      </c>
      <c r="F330" s="19">
        <v>38</v>
      </c>
      <c r="G330" s="19">
        <v>19</v>
      </c>
      <c r="H330" s="55"/>
      <c r="I330" s="10">
        <v>39743</v>
      </c>
      <c r="J330" s="27">
        <f t="shared" si="50"/>
        <v>233.69127516778522</v>
      </c>
      <c r="K330" s="11">
        <f t="shared" si="54"/>
        <v>189.07225908493086</v>
      </c>
      <c r="L330" s="11">
        <f t="shared" si="55"/>
        <v>168.57894281019037</v>
      </c>
      <c r="M330" s="27">
        <f t="shared" si="51"/>
        <v>317.22222222222223</v>
      </c>
      <c r="N330" s="27">
        <f t="shared" si="52"/>
        <v>169.94633273703042</v>
      </c>
      <c r="O330" s="27">
        <f t="shared" si="53"/>
        <v>134.75177304964538</v>
      </c>
      <c r="Q330" s="4">
        <v>1.49</v>
      </c>
      <c r="R330" s="4">
        <v>1815.8525733157076</v>
      </c>
      <c r="S330" s="4">
        <v>2338.2847000963566</v>
      </c>
      <c r="T330" s="4">
        <v>180</v>
      </c>
      <c r="U330" s="4">
        <v>22.36</v>
      </c>
      <c r="V330" s="4">
        <v>14.1</v>
      </c>
      <c r="W330" s="4"/>
      <c r="X330" s="7">
        <v>39743</v>
      </c>
      <c r="Y330" s="68">
        <v>3444.2734820198589</v>
      </c>
      <c r="Z330" s="68">
        <v>4023.3556273148683</v>
      </c>
    </row>
    <row r="331" spans="1:26" x14ac:dyDescent="0.3">
      <c r="A331" s="7">
        <v>39750</v>
      </c>
      <c r="B331" s="19">
        <v>3.2879999999999998</v>
      </c>
      <c r="C331" s="2">
        <v>-47</v>
      </c>
      <c r="D331" s="2">
        <v>-134.5</v>
      </c>
      <c r="E331" s="2">
        <v>694</v>
      </c>
      <c r="F331" s="19">
        <v>31</v>
      </c>
      <c r="G331" s="19">
        <v>17</v>
      </c>
      <c r="H331" s="55"/>
      <c r="I331" s="10">
        <v>39750</v>
      </c>
      <c r="J331" s="27">
        <f t="shared" si="50"/>
        <v>220.67114093959731</v>
      </c>
      <c r="K331" s="11">
        <f t="shared" si="54"/>
        <v>187.08971928357107</v>
      </c>
      <c r="L331" s="11">
        <f t="shared" si="55"/>
        <v>166.31232403627391</v>
      </c>
      <c r="M331" s="27">
        <f t="shared" si="51"/>
        <v>385.55555555555554</v>
      </c>
      <c r="N331" s="27">
        <f t="shared" si="52"/>
        <v>138.64042933810376</v>
      </c>
      <c r="O331" s="27">
        <f t="shared" si="53"/>
        <v>120.56737588652481</v>
      </c>
      <c r="Q331" s="4">
        <v>1.49</v>
      </c>
      <c r="R331" s="4">
        <v>1815.8525733157076</v>
      </c>
      <c r="S331" s="4">
        <v>2338.2847000963566</v>
      </c>
      <c r="T331" s="4">
        <v>180</v>
      </c>
      <c r="U331" s="4">
        <v>22.36</v>
      </c>
      <c r="V331" s="4">
        <v>14.1</v>
      </c>
      <c r="W331" s="4"/>
      <c r="X331" s="7">
        <v>39750</v>
      </c>
      <c r="Y331" s="68">
        <v>3444.2734820198589</v>
      </c>
      <c r="Z331" s="68">
        <v>4023.3556273148683</v>
      </c>
    </row>
    <row r="332" spans="1:26" x14ac:dyDescent="0.3">
      <c r="A332" s="7">
        <v>39757</v>
      </c>
      <c r="B332" s="19">
        <v>3.0880000000000001</v>
      </c>
      <c r="C332" s="2">
        <v>-66.5</v>
      </c>
      <c r="D332" s="2">
        <v>-146</v>
      </c>
      <c r="E332" s="2">
        <v>1050</v>
      </c>
      <c r="F332" s="19">
        <v>29</v>
      </c>
      <c r="G332" s="19">
        <v>17</v>
      </c>
      <c r="H332" s="55"/>
      <c r="I332" s="10">
        <v>39757</v>
      </c>
      <c r="J332" s="27">
        <f t="shared" si="50"/>
        <v>207.24832214765101</v>
      </c>
      <c r="K332" s="11">
        <f t="shared" si="54"/>
        <v>185.61837774687143</v>
      </c>
      <c r="L332" s="11">
        <f t="shared" si="55"/>
        <v>164.25084714400236</v>
      </c>
      <c r="M332" s="27">
        <f t="shared" si="51"/>
        <v>583.33333333333326</v>
      </c>
      <c r="N332" s="27">
        <f t="shared" si="52"/>
        <v>129.695885509839</v>
      </c>
      <c r="O332" s="27">
        <f t="shared" si="53"/>
        <v>120.56737588652481</v>
      </c>
      <c r="Q332" s="4">
        <v>1.49</v>
      </c>
      <c r="R332" s="4">
        <v>1815.8525733157076</v>
      </c>
      <c r="S332" s="4">
        <v>2338.2847000963566</v>
      </c>
      <c r="T332" s="4">
        <v>180</v>
      </c>
      <c r="U332" s="4">
        <v>22.36</v>
      </c>
      <c r="V332" s="4">
        <v>14.1</v>
      </c>
      <c r="W332" s="4"/>
      <c r="X332" s="7">
        <v>39757</v>
      </c>
      <c r="Y332" s="68">
        <v>3437.0560888634359</v>
      </c>
      <c r="Z332" s="68">
        <v>3986.6524285468608</v>
      </c>
    </row>
    <row r="333" spans="1:26" x14ac:dyDescent="0.3">
      <c r="A333" s="7">
        <v>39764</v>
      </c>
      <c r="B333" s="19">
        <v>2.944</v>
      </c>
      <c r="C333" s="2">
        <v>-63.5</v>
      </c>
      <c r="D333" s="2">
        <v>-102</v>
      </c>
      <c r="E333" s="2">
        <v>550</v>
      </c>
      <c r="F333" s="19">
        <v>29</v>
      </c>
      <c r="G333" s="19">
        <v>19</v>
      </c>
      <c r="H333" s="55"/>
      <c r="I333" s="10">
        <v>39764</v>
      </c>
      <c r="J333" s="27">
        <f t="shared" si="50"/>
        <v>197.58389261744966</v>
      </c>
      <c r="K333" s="11">
        <f t="shared" si="54"/>
        <v>185.78358939698475</v>
      </c>
      <c r="L333" s="11">
        <f t="shared" si="55"/>
        <v>166.13256839027264</v>
      </c>
      <c r="M333" s="27">
        <f t="shared" si="51"/>
        <v>305.55555555555554</v>
      </c>
      <c r="N333" s="27">
        <f t="shared" si="52"/>
        <v>129.695885509839</v>
      </c>
      <c r="O333" s="27">
        <f t="shared" si="53"/>
        <v>134.75177304964538</v>
      </c>
      <c r="Q333" s="4">
        <v>1.49</v>
      </c>
      <c r="R333" s="4">
        <v>1815.8525733157076</v>
      </c>
      <c r="S333" s="4">
        <v>2338.2847000963566</v>
      </c>
      <c r="T333" s="4">
        <v>180</v>
      </c>
      <c r="U333" s="4">
        <v>22.36</v>
      </c>
      <c r="V333" s="4">
        <v>14.1</v>
      </c>
      <c r="W333" s="4"/>
      <c r="X333" s="7">
        <v>39764</v>
      </c>
      <c r="Y333" s="68">
        <v>3437.0560888634359</v>
      </c>
      <c r="Z333" s="68">
        <v>3986.6524285468608</v>
      </c>
    </row>
    <row r="334" spans="1:26" x14ac:dyDescent="0.3">
      <c r="A334" s="7">
        <v>39771</v>
      </c>
      <c r="B334" s="19">
        <v>2.8090000000000002</v>
      </c>
      <c r="C334" s="2">
        <v>-175</v>
      </c>
      <c r="D334" s="2">
        <v>-206.5</v>
      </c>
      <c r="E334" s="2">
        <v>479</v>
      </c>
      <c r="F334" s="19">
        <v>29</v>
      </c>
      <c r="G334" s="19">
        <v>19</v>
      </c>
      <c r="H334" s="55"/>
      <c r="I334" s="10">
        <v>39771</v>
      </c>
      <c r="J334" s="27">
        <f t="shared" si="50"/>
        <v>188.52348993288589</v>
      </c>
      <c r="K334" s="11">
        <f t="shared" si="54"/>
        <v>179.64322306777316</v>
      </c>
      <c r="L334" s="11">
        <f t="shared" si="55"/>
        <v>161.66348043038076</v>
      </c>
      <c r="M334" s="27">
        <f t="shared" si="51"/>
        <v>266.11111111111114</v>
      </c>
      <c r="N334" s="27">
        <f t="shared" si="52"/>
        <v>129.695885509839</v>
      </c>
      <c r="O334" s="27">
        <f t="shared" si="53"/>
        <v>134.75177304964538</v>
      </c>
      <c r="Q334" s="4">
        <v>1.49</v>
      </c>
      <c r="R334" s="4">
        <v>1815.8525733157076</v>
      </c>
      <c r="S334" s="4">
        <v>2338.2847000963566</v>
      </c>
      <c r="T334" s="4">
        <v>180</v>
      </c>
      <c r="U334" s="4">
        <v>22.36</v>
      </c>
      <c r="V334" s="4">
        <v>14.1</v>
      </c>
      <c r="W334" s="4"/>
      <c r="X334" s="7">
        <v>39771</v>
      </c>
      <c r="Y334" s="68">
        <v>3437.0560888634359</v>
      </c>
      <c r="Z334" s="68">
        <v>3986.6524285468608</v>
      </c>
    </row>
    <row r="335" spans="1:26" x14ac:dyDescent="0.3">
      <c r="A335" s="7">
        <v>39778</v>
      </c>
      <c r="B335" s="19">
        <v>2.6640000000000001</v>
      </c>
      <c r="C335" s="2">
        <v>-94</v>
      </c>
      <c r="D335" s="2">
        <v>-456.5</v>
      </c>
      <c r="E335" s="2">
        <v>395</v>
      </c>
      <c r="F335" s="19">
        <v>27.5</v>
      </c>
      <c r="G335" s="19">
        <v>17</v>
      </c>
      <c r="H335" s="55"/>
      <c r="I335" s="10">
        <v>39778</v>
      </c>
      <c r="J335" s="27">
        <f t="shared" si="50"/>
        <v>178.79194630872485</v>
      </c>
      <c r="K335" s="11">
        <f t="shared" si="54"/>
        <v>184.10393762083274</v>
      </c>
      <c r="L335" s="11">
        <f t="shared" si="55"/>
        <v>150.97188244020882</v>
      </c>
      <c r="M335" s="27">
        <f t="shared" si="51"/>
        <v>219.44444444444446</v>
      </c>
      <c r="N335" s="27">
        <f t="shared" si="52"/>
        <v>122.98747763864044</v>
      </c>
      <c r="O335" s="27">
        <f t="shared" si="53"/>
        <v>120.56737588652481</v>
      </c>
      <c r="Q335" s="4">
        <v>1.49</v>
      </c>
      <c r="R335" s="4">
        <v>1815.8525733157076</v>
      </c>
      <c r="S335" s="4">
        <v>2338.2847000963566</v>
      </c>
      <c r="T335" s="4">
        <v>180</v>
      </c>
      <c r="U335" s="4">
        <v>22.36</v>
      </c>
      <c r="V335" s="4">
        <v>14.1</v>
      </c>
      <c r="W335" s="4"/>
      <c r="X335" s="7">
        <v>39778</v>
      </c>
      <c r="Y335" s="68">
        <v>3437.0560888634359</v>
      </c>
      <c r="Z335" s="68">
        <v>3986.6524285468608</v>
      </c>
    </row>
    <row r="336" spans="1:26" x14ac:dyDescent="0.3">
      <c r="A336" s="7">
        <v>39785</v>
      </c>
      <c r="B336" s="19">
        <v>2.6150000000000002</v>
      </c>
      <c r="C336" s="2">
        <v>-96</v>
      </c>
      <c r="D336" s="2">
        <v>-325</v>
      </c>
      <c r="E336" s="2">
        <v>400</v>
      </c>
      <c r="F336" s="19">
        <v>25</v>
      </c>
      <c r="G336" s="19">
        <v>14.5</v>
      </c>
      <c r="H336" s="55"/>
      <c r="I336" s="10">
        <v>39785</v>
      </c>
      <c r="J336" s="27">
        <f t="shared" si="50"/>
        <v>175.50335570469801</v>
      </c>
      <c r="K336" s="11">
        <f t="shared" si="54"/>
        <v>180.4602961690679</v>
      </c>
      <c r="L336" s="11">
        <f t="shared" si="55"/>
        <v>156.71311287329124</v>
      </c>
      <c r="M336" s="27">
        <f t="shared" si="51"/>
        <v>222.22222222222223</v>
      </c>
      <c r="N336" s="27">
        <f t="shared" si="52"/>
        <v>111.80679785330949</v>
      </c>
      <c r="O336" s="27">
        <f t="shared" si="53"/>
        <v>102.83687943262412</v>
      </c>
      <c r="Q336" s="4">
        <v>1.49</v>
      </c>
      <c r="R336" s="4">
        <v>1815.8525733157076</v>
      </c>
      <c r="S336" s="4">
        <v>2338.2847000963566</v>
      </c>
      <c r="T336" s="4">
        <v>180</v>
      </c>
      <c r="U336" s="4">
        <v>22.36</v>
      </c>
      <c r="V336" s="4">
        <v>14.1</v>
      </c>
      <c r="W336" s="4"/>
      <c r="X336" s="7">
        <v>39785</v>
      </c>
      <c r="Y336" s="68">
        <v>3372.8929317991665</v>
      </c>
      <c r="Z336" s="68">
        <v>3989.3987413609029</v>
      </c>
    </row>
    <row r="337" spans="1:26" x14ac:dyDescent="0.3">
      <c r="A337" s="7">
        <v>39792</v>
      </c>
      <c r="B337" s="19">
        <v>2.5150000000000001</v>
      </c>
      <c r="C337" s="2">
        <v>-131.5</v>
      </c>
      <c r="D337" s="2">
        <v>-300</v>
      </c>
      <c r="E337" s="2">
        <v>500</v>
      </c>
      <c r="F337" s="19">
        <v>23</v>
      </c>
      <c r="G337" s="19">
        <v>14</v>
      </c>
      <c r="H337" s="55"/>
      <c r="I337" s="10">
        <v>39792</v>
      </c>
      <c r="J337" s="27">
        <f t="shared" ref="J337:J368" si="56">(1+(B337-Q337)/Q337)*100</f>
        <v>168.79194630872485</v>
      </c>
      <c r="K337" s="11">
        <f t="shared" si="54"/>
        <v>178.50529164272697</v>
      </c>
      <c r="L337" s="11">
        <f t="shared" si="55"/>
        <v>157.78227267230844</v>
      </c>
      <c r="M337" s="27">
        <f t="shared" si="51"/>
        <v>277.77777777777777</v>
      </c>
      <c r="N337" s="27">
        <f t="shared" si="52"/>
        <v>102.86225402504472</v>
      </c>
      <c r="O337" s="27">
        <f t="shared" si="53"/>
        <v>99.290780141843967</v>
      </c>
      <c r="Q337" s="4">
        <v>1.49</v>
      </c>
      <c r="R337" s="4">
        <v>1815.8525733157076</v>
      </c>
      <c r="S337" s="4">
        <v>2338.2847000963566</v>
      </c>
      <c r="T337" s="4">
        <v>180</v>
      </c>
      <c r="U337" s="4">
        <v>22.36</v>
      </c>
      <c r="V337" s="4">
        <v>14.1</v>
      </c>
      <c r="W337" s="4"/>
      <c r="X337" s="7">
        <v>39792</v>
      </c>
      <c r="Y337" s="68">
        <v>3372.8929317991665</v>
      </c>
      <c r="Z337" s="68">
        <v>3989.3987413609029</v>
      </c>
    </row>
    <row r="338" spans="1:26" x14ac:dyDescent="0.3">
      <c r="A338" s="7">
        <v>39799</v>
      </c>
      <c r="B338" s="19">
        <v>2.42</v>
      </c>
      <c r="C338" s="2">
        <v>-153</v>
      </c>
      <c r="D338" s="2">
        <v>-385.5</v>
      </c>
      <c r="E338" s="2">
        <v>470</v>
      </c>
      <c r="F338" s="19">
        <v>23</v>
      </c>
      <c r="G338" s="19">
        <v>13</v>
      </c>
      <c r="H338" s="55"/>
      <c r="I338" s="10">
        <v>39799</v>
      </c>
      <c r="J338" s="27">
        <f t="shared" si="56"/>
        <v>162.41610738255034</v>
      </c>
      <c r="K338" s="11">
        <f t="shared" si="54"/>
        <v>177.32127481691489</v>
      </c>
      <c r="L338" s="11">
        <f t="shared" si="55"/>
        <v>154.12574615966963</v>
      </c>
      <c r="M338" s="27">
        <f t="shared" si="51"/>
        <v>261.11111111111114</v>
      </c>
      <c r="N338" s="27">
        <f t="shared" si="52"/>
        <v>102.86225402504472</v>
      </c>
      <c r="O338" s="27">
        <f t="shared" si="53"/>
        <v>92.198581560283685</v>
      </c>
      <c r="Q338" s="4">
        <v>1.49</v>
      </c>
      <c r="R338" s="4">
        <v>1815.8525733157076</v>
      </c>
      <c r="S338" s="4">
        <v>2338.2847000963566</v>
      </c>
      <c r="T338" s="4">
        <v>180</v>
      </c>
      <c r="U338" s="4">
        <v>22.36</v>
      </c>
      <c r="V338" s="4">
        <v>14.1</v>
      </c>
      <c r="W338" s="4"/>
      <c r="X338" s="7">
        <v>39799</v>
      </c>
      <c r="Y338" s="68">
        <v>3372.8929317991665</v>
      </c>
      <c r="Z338" s="68">
        <v>3989.3987413609029</v>
      </c>
    </row>
    <row r="339" spans="1:26" x14ac:dyDescent="0.3">
      <c r="A339" s="7">
        <v>39806</v>
      </c>
      <c r="B339" s="19">
        <v>2.37</v>
      </c>
      <c r="C339" s="2">
        <v>-62</v>
      </c>
      <c r="D339" s="2">
        <v>-275</v>
      </c>
      <c r="E339" s="2">
        <v>519</v>
      </c>
      <c r="F339" s="19">
        <v>24</v>
      </c>
      <c r="G339" s="19">
        <v>13</v>
      </c>
      <c r="H339" s="55"/>
      <c r="I339" s="10">
        <v>39806</v>
      </c>
      <c r="J339" s="27">
        <f t="shared" si="56"/>
        <v>159.06040268456377</v>
      </c>
      <c r="K339" s="11">
        <f t="shared" si="54"/>
        <v>182.33269487035216</v>
      </c>
      <c r="L339" s="11">
        <f t="shared" si="55"/>
        <v>158.85143247132564</v>
      </c>
      <c r="M339" s="27">
        <f t="shared" ref="M339:M368" si="57">(1+(E339-T338)/T338)*100</f>
        <v>288.33333333333331</v>
      </c>
      <c r="N339" s="27">
        <f t="shared" si="52"/>
        <v>107.3345259391771</v>
      </c>
      <c r="O339" s="27">
        <f t="shared" si="53"/>
        <v>92.198581560283685</v>
      </c>
      <c r="Q339" s="4">
        <v>1.49</v>
      </c>
      <c r="R339" s="4">
        <v>1815.8525733157076</v>
      </c>
      <c r="S339" s="4">
        <v>2338.2847000963566</v>
      </c>
      <c r="T339" s="4">
        <v>180</v>
      </c>
      <c r="U339" s="4">
        <v>22.36</v>
      </c>
      <c r="V339" s="4">
        <v>14.1</v>
      </c>
      <c r="W339" s="4"/>
      <c r="X339" s="7">
        <v>39806</v>
      </c>
      <c r="Y339" s="68">
        <v>3372.8929317991665</v>
      </c>
      <c r="Z339" s="68">
        <v>3989.3987413609029</v>
      </c>
    </row>
    <row r="340" spans="1:26" x14ac:dyDescent="0.3">
      <c r="A340" s="7">
        <v>39813</v>
      </c>
      <c r="B340" s="19">
        <v>2.33</v>
      </c>
      <c r="C340" s="2">
        <v>-62.5</v>
      </c>
      <c r="D340" s="2">
        <v>-100</v>
      </c>
      <c r="E340" s="2">
        <v>441</v>
      </c>
      <c r="F340" s="19">
        <v>24</v>
      </c>
      <c r="G340" s="19">
        <v>13</v>
      </c>
      <c r="H340" s="55"/>
      <c r="I340" s="10">
        <v>39813</v>
      </c>
      <c r="J340" s="27">
        <f t="shared" si="56"/>
        <v>156.37583892617451</v>
      </c>
      <c r="K340" s="11">
        <f t="shared" si="54"/>
        <v>182.30515959533327</v>
      </c>
      <c r="L340" s="11">
        <f t="shared" si="55"/>
        <v>166.33555106444601</v>
      </c>
      <c r="M340" s="27">
        <f t="shared" si="57"/>
        <v>245.00000000000003</v>
      </c>
      <c r="N340" s="27">
        <f t="shared" si="52"/>
        <v>107.3345259391771</v>
      </c>
      <c r="O340" s="27">
        <f t="shared" si="53"/>
        <v>92.198581560283685</v>
      </c>
      <c r="Q340" s="4">
        <v>1.49</v>
      </c>
      <c r="R340" s="4">
        <v>1815.8525733157076</v>
      </c>
      <c r="S340" s="4">
        <v>2338.2847000963566</v>
      </c>
      <c r="T340" s="4">
        <v>180</v>
      </c>
      <c r="U340" s="4">
        <v>22.36</v>
      </c>
      <c r="V340" s="4">
        <v>14.1</v>
      </c>
      <c r="W340" s="4"/>
      <c r="X340" s="7">
        <v>39813</v>
      </c>
      <c r="Y340" s="68">
        <v>3372.8929317991665</v>
      </c>
      <c r="Z340" s="68">
        <v>3989.3987413609029</v>
      </c>
    </row>
    <row r="341" spans="1:26" x14ac:dyDescent="0.3">
      <c r="A341" s="7">
        <v>39820</v>
      </c>
      <c r="B341" s="19">
        <v>2.29</v>
      </c>
      <c r="C341" s="2">
        <v>-83.5</v>
      </c>
      <c r="D341" s="2">
        <v>-200</v>
      </c>
      <c r="E341" s="2">
        <v>371</v>
      </c>
      <c r="F341" s="19">
        <v>23</v>
      </c>
      <c r="G341" s="19">
        <v>13</v>
      </c>
      <c r="I341" s="10">
        <v>39820</v>
      </c>
      <c r="J341" s="27">
        <f t="shared" si="56"/>
        <v>153.69127516778525</v>
      </c>
      <c r="K341" s="11">
        <f t="shared" si="54"/>
        <v>168.76312828521802</v>
      </c>
      <c r="L341" s="11">
        <f t="shared" si="55"/>
        <v>167.62214998859318</v>
      </c>
      <c r="M341" s="27">
        <f t="shared" si="57"/>
        <v>206.11111111111109</v>
      </c>
      <c r="N341" s="27">
        <f t="shared" si="52"/>
        <v>102.86225402504472</v>
      </c>
      <c r="O341" s="27">
        <f t="shared" si="53"/>
        <v>92.198581560283685</v>
      </c>
      <c r="Q341" s="4">
        <v>1.49</v>
      </c>
      <c r="R341" s="4">
        <v>1815.8525733157076</v>
      </c>
      <c r="S341" s="4">
        <v>2338.2847000963566</v>
      </c>
      <c r="T341" s="4">
        <v>180</v>
      </c>
      <c r="U341" s="4">
        <v>22.36</v>
      </c>
      <c r="V341" s="4">
        <v>14.1</v>
      </c>
      <c r="W341" s="4"/>
      <c r="X341" s="7">
        <v>39820</v>
      </c>
      <c r="Y341" s="68">
        <v>3147.9896077752201</v>
      </c>
      <c r="Z341" s="68">
        <v>4119.4830871558406</v>
      </c>
    </row>
    <row r="342" spans="1:26" x14ac:dyDescent="0.3">
      <c r="A342" s="7">
        <v>39827</v>
      </c>
      <c r="B342" s="19">
        <v>2.31</v>
      </c>
      <c r="C342" s="2">
        <v>-33.5</v>
      </c>
      <c r="D342" s="2">
        <v>-290</v>
      </c>
      <c r="E342" s="2">
        <v>550</v>
      </c>
      <c r="F342" s="19">
        <v>27</v>
      </c>
      <c r="G342" s="19">
        <v>13.5</v>
      </c>
      <c r="I342" s="10">
        <v>39827</v>
      </c>
      <c r="J342" s="27">
        <f t="shared" si="56"/>
        <v>155.03355704697987</v>
      </c>
      <c r="K342" s="11">
        <f t="shared" si="54"/>
        <v>171.51665578710663</v>
      </c>
      <c r="L342" s="11">
        <f t="shared" si="55"/>
        <v>163.77317471213127</v>
      </c>
      <c r="M342" s="27">
        <f t="shared" si="57"/>
        <v>305.55555555555554</v>
      </c>
      <c r="N342" s="27">
        <f t="shared" si="52"/>
        <v>120.75134168157425</v>
      </c>
      <c r="O342" s="27">
        <f t="shared" si="53"/>
        <v>95.744680851063833</v>
      </c>
      <c r="Q342" s="4">
        <v>1.49</v>
      </c>
      <c r="R342" s="4">
        <v>1815.8525733157076</v>
      </c>
      <c r="S342" s="4">
        <v>2338.2847000963566</v>
      </c>
      <c r="T342" s="4">
        <v>180</v>
      </c>
      <c r="U342" s="4">
        <v>22.36</v>
      </c>
      <c r="V342" s="4">
        <v>14.1</v>
      </c>
      <c r="W342" s="4"/>
      <c r="X342" s="7">
        <v>39827</v>
      </c>
      <c r="Y342" s="68">
        <v>3147.9896077752201</v>
      </c>
      <c r="Z342" s="68">
        <v>4119.4830871558406</v>
      </c>
    </row>
    <row r="343" spans="1:26" x14ac:dyDescent="0.3">
      <c r="A343" s="7">
        <v>39834</v>
      </c>
      <c r="B343" s="19">
        <v>2.2999999999999998</v>
      </c>
      <c r="C343" s="2">
        <v>-50</v>
      </c>
      <c r="D343" s="2">
        <v>-128.5</v>
      </c>
      <c r="E343" s="2">
        <v>563</v>
      </c>
      <c r="F343" s="19">
        <v>25</v>
      </c>
      <c r="G343" s="19">
        <v>13.5</v>
      </c>
      <c r="I343" s="10">
        <v>39834</v>
      </c>
      <c r="J343" s="27">
        <f t="shared" si="56"/>
        <v>154.36241610738253</v>
      </c>
      <c r="K343" s="11">
        <f t="shared" si="54"/>
        <v>170.60799171148338</v>
      </c>
      <c r="L343" s="11">
        <f t="shared" si="55"/>
        <v>170.67994701378234</v>
      </c>
      <c r="M343" s="27">
        <f t="shared" si="57"/>
        <v>312.77777777777777</v>
      </c>
      <c r="N343" s="27">
        <f t="shared" si="52"/>
        <v>111.80679785330949</v>
      </c>
      <c r="O343" s="27">
        <f t="shared" si="53"/>
        <v>95.744680851063833</v>
      </c>
      <c r="Q343" s="4">
        <v>1.49</v>
      </c>
      <c r="R343" s="4">
        <v>1815.8525733157076</v>
      </c>
      <c r="S343" s="4">
        <v>2338.2847000963566</v>
      </c>
      <c r="T343" s="4">
        <v>180</v>
      </c>
      <c r="U343" s="4">
        <v>22.36</v>
      </c>
      <c r="V343" s="4">
        <v>14.1</v>
      </c>
      <c r="W343" s="4"/>
      <c r="X343" s="7">
        <v>39834</v>
      </c>
      <c r="Y343" s="68">
        <v>3147.9896077752201</v>
      </c>
      <c r="Z343" s="68">
        <v>4119.4830871558406</v>
      </c>
    </row>
    <row r="344" spans="1:26" x14ac:dyDescent="0.3">
      <c r="A344" s="7">
        <v>39841</v>
      </c>
      <c r="B344" s="19">
        <v>2.2679999999999998</v>
      </c>
      <c r="C344" s="2">
        <v>-43.5</v>
      </c>
      <c r="D344" s="2">
        <v>-200</v>
      </c>
      <c r="E344" s="2">
        <v>560</v>
      </c>
      <c r="F344" s="19">
        <v>26.5</v>
      </c>
      <c r="G344" s="19">
        <v>14.5</v>
      </c>
      <c r="I344" s="10">
        <v>39841</v>
      </c>
      <c r="J344" s="27">
        <f t="shared" si="56"/>
        <v>152.21476510067112</v>
      </c>
      <c r="K344" s="11">
        <f t="shared" si="54"/>
        <v>170.96595028672888</v>
      </c>
      <c r="L344" s="11">
        <f t="shared" si="55"/>
        <v>167.62214998859318</v>
      </c>
      <c r="M344" s="27">
        <f t="shared" si="57"/>
        <v>311.11111111111114</v>
      </c>
      <c r="N344" s="27">
        <f t="shared" si="52"/>
        <v>118.51520572450805</v>
      </c>
      <c r="O344" s="27">
        <f t="shared" si="53"/>
        <v>102.83687943262412</v>
      </c>
      <c r="Q344" s="4">
        <v>1.49</v>
      </c>
      <c r="R344" s="4">
        <v>1815.8525733157076</v>
      </c>
      <c r="S344" s="4">
        <v>2338.2847000963566</v>
      </c>
      <c r="T344" s="4">
        <v>180</v>
      </c>
      <c r="U344" s="4">
        <v>22.36</v>
      </c>
      <c r="V344" s="4">
        <v>14.1</v>
      </c>
      <c r="W344" s="4"/>
      <c r="X344" s="7">
        <v>39841</v>
      </c>
      <c r="Y344" s="68">
        <v>3147.9896077752201</v>
      </c>
      <c r="Z344" s="68">
        <v>4119.4830871558406</v>
      </c>
    </row>
    <row r="345" spans="1:26" x14ac:dyDescent="0.3">
      <c r="A345" s="7">
        <v>39848</v>
      </c>
      <c r="B345" s="19">
        <v>2.246</v>
      </c>
      <c r="C345" s="2">
        <v>-37</v>
      </c>
      <c r="D345" s="2">
        <v>-147</v>
      </c>
      <c r="E345" s="2">
        <v>456</v>
      </c>
      <c r="F345" s="19">
        <v>30</v>
      </c>
      <c r="G345" s="19">
        <v>18.5</v>
      </c>
      <c r="I345" s="10">
        <v>39848</v>
      </c>
      <c r="J345" s="27">
        <f t="shared" si="56"/>
        <v>150.73825503355704</v>
      </c>
      <c r="K345" s="11">
        <f t="shared" si="54"/>
        <v>170.0598768358673</v>
      </c>
      <c r="L345" s="11">
        <f t="shared" si="55"/>
        <v>158.74298662263143</v>
      </c>
      <c r="M345" s="27">
        <f t="shared" si="57"/>
        <v>253.33333333333331</v>
      </c>
      <c r="N345" s="27">
        <f t="shared" si="52"/>
        <v>134.16815742397139</v>
      </c>
      <c r="O345" s="27">
        <f t="shared" si="53"/>
        <v>131.20567375886526</v>
      </c>
      <c r="Q345" s="4">
        <v>1.49</v>
      </c>
      <c r="R345" s="4">
        <v>1815.8525733157076</v>
      </c>
      <c r="S345" s="4">
        <v>2338.2847000963566</v>
      </c>
      <c r="T345" s="4">
        <v>180</v>
      </c>
      <c r="U345" s="4">
        <v>22.36</v>
      </c>
      <c r="V345" s="4">
        <v>14.1</v>
      </c>
      <c r="W345" s="4"/>
      <c r="X345" s="7">
        <v>39848</v>
      </c>
      <c r="Y345" s="68">
        <v>3125.0366497016194</v>
      </c>
      <c r="Z345" s="68">
        <v>3858.8629686729973</v>
      </c>
    </row>
    <row r="346" spans="1:26" x14ac:dyDescent="0.3">
      <c r="A346" s="7">
        <v>39855</v>
      </c>
      <c r="B346" s="19">
        <v>2.2189999999999999</v>
      </c>
      <c r="C346" s="2">
        <v>-29</v>
      </c>
      <c r="D346" s="2">
        <v>-79.5</v>
      </c>
      <c r="E346" s="2">
        <v>356</v>
      </c>
      <c r="F346" s="19">
        <v>38.5</v>
      </c>
      <c r="G346" s="19">
        <v>20.5</v>
      </c>
      <c r="I346" s="10">
        <v>39855</v>
      </c>
      <c r="J346" s="27">
        <f t="shared" si="56"/>
        <v>148.92617449664428</v>
      </c>
      <c r="K346" s="11">
        <f t="shared" si="54"/>
        <v>170.50044123616948</v>
      </c>
      <c r="L346" s="11">
        <f t="shared" si="55"/>
        <v>161.62971807997789</v>
      </c>
      <c r="M346" s="27">
        <f t="shared" si="57"/>
        <v>197.77777777777777</v>
      </c>
      <c r="N346" s="27">
        <f t="shared" si="52"/>
        <v>172.1824686940966</v>
      </c>
      <c r="O346" s="27">
        <f t="shared" si="53"/>
        <v>145.39007092198582</v>
      </c>
      <c r="Q346" s="4">
        <v>1.49</v>
      </c>
      <c r="R346" s="4">
        <v>1815.8525733157076</v>
      </c>
      <c r="S346" s="4">
        <v>2338.2847000963566</v>
      </c>
      <c r="T346" s="4">
        <v>180</v>
      </c>
      <c r="U346" s="4">
        <v>22.36</v>
      </c>
      <c r="V346" s="4">
        <v>14.1</v>
      </c>
      <c r="W346" s="4"/>
      <c r="X346" s="7">
        <v>39855</v>
      </c>
      <c r="Y346" s="68">
        <v>3125.0366497016194</v>
      </c>
      <c r="Z346" s="68">
        <v>3858.8629686729973</v>
      </c>
    </row>
    <row r="347" spans="1:26" x14ac:dyDescent="0.3">
      <c r="A347" s="7">
        <v>39862</v>
      </c>
      <c r="B347" s="19">
        <v>2.1859999999999999</v>
      </c>
      <c r="C347" s="2">
        <v>-25</v>
      </c>
      <c r="D347" s="2">
        <v>-137.5</v>
      </c>
      <c r="E347" s="2">
        <v>310</v>
      </c>
      <c r="F347" s="19">
        <v>40</v>
      </c>
      <c r="G347" s="19">
        <v>20</v>
      </c>
      <c r="I347" s="10">
        <v>39862</v>
      </c>
      <c r="J347" s="27">
        <f t="shared" si="56"/>
        <v>146.71140939597316</v>
      </c>
      <c r="K347" s="11">
        <f t="shared" si="54"/>
        <v>170.72072343632055</v>
      </c>
      <c r="L347" s="11">
        <f t="shared" si="55"/>
        <v>159.14926734625797</v>
      </c>
      <c r="M347" s="27">
        <f t="shared" si="57"/>
        <v>172.22222222222223</v>
      </c>
      <c r="N347" s="27">
        <f t="shared" si="52"/>
        <v>178.89087656529517</v>
      </c>
      <c r="O347" s="27">
        <f t="shared" si="53"/>
        <v>141.84397163120568</v>
      </c>
      <c r="Q347" s="4">
        <v>1.49</v>
      </c>
      <c r="R347" s="4">
        <v>1815.8525733157076</v>
      </c>
      <c r="S347" s="4">
        <v>2338.2847000963566</v>
      </c>
      <c r="T347" s="4">
        <v>180</v>
      </c>
      <c r="U347" s="4">
        <v>22.36</v>
      </c>
      <c r="V347" s="4">
        <v>14.1</v>
      </c>
      <c r="W347" s="4"/>
      <c r="X347" s="7">
        <v>39862</v>
      </c>
      <c r="Y347" s="68">
        <v>3125.0366497016194</v>
      </c>
      <c r="Z347" s="68">
        <v>3858.8629686729973</v>
      </c>
    </row>
    <row r="348" spans="1:26" x14ac:dyDescent="0.3">
      <c r="A348" s="7">
        <v>39869</v>
      </c>
      <c r="B348" s="19">
        <v>2.13</v>
      </c>
      <c r="C348" s="2">
        <v>-26</v>
      </c>
      <c r="D348" s="2">
        <v>-61.5</v>
      </c>
      <c r="E348" s="2">
        <v>305</v>
      </c>
      <c r="F348" s="19">
        <v>39</v>
      </c>
      <c r="G348" s="19">
        <v>19</v>
      </c>
      <c r="I348" s="10">
        <v>39869</v>
      </c>
      <c r="J348" s="27">
        <f t="shared" si="56"/>
        <v>142.95302013422818</v>
      </c>
      <c r="K348" s="11">
        <f t="shared" si="54"/>
        <v>170.6656528862828</v>
      </c>
      <c r="L348" s="11">
        <f t="shared" si="55"/>
        <v>162.39951313527027</v>
      </c>
      <c r="M348" s="27">
        <f t="shared" si="57"/>
        <v>169.44444444444443</v>
      </c>
      <c r="N348" s="27">
        <f t="shared" si="52"/>
        <v>174.41860465116278</v>
      </c>
      <c r="O348" s="27">
        <f t="shared" si="53"/>
        <v>134.75177304964538</v>
      </c>
      <c r="Q348" s="4">
        <v>1.49</v>
      </c>
      <c r="R348" s="4">
        <v>1815.8525733157076</v>
      </c>
      <c r="S348" s="4">
        <v>2338.2847000963566</v>
      </c>
      <c r="T348" s="4">
        <v>180</v>
      </c>
      <c r="U348" s="4">
        <v>22.36</v>
      </c>
      <c r="V348" s="4">
        <v>14.1</v>
      </c>
      <c r="W348" s="4"/>
      <c r="X348" s="7">
        <v>39869</v>
      </c>
      <c r="Y348" s="68">
        <v>3125.0366497016194</v>
      </c>
      <c r="Z348" s="68">
        <v>3858.8629686729973</v>
      </c>
    </row>
    <row r="349" spans="1:26" x14ac:dyDescent="0.3">
      <c r="A349" s="7">
        <v>39876</v>
      </c>
      <c r="B349" s="19">
        <v>2.0870000000000002</v>
      </c>
      <c r="C349" s="2">
        <v>-16</v>
      </c>
      <c r="D349" s="2">
        <v>-148</v>
      </c>
      <c r="E349" s="2">
        <v>282</v>
      </c>
      <c r="F349" s="19">
        <v>39.5</v>
      </c>
      <c r="G349" s="19">
        <v>19.5</v>
      </c>
      <c r="I349" s="10">
        <v>39876</v>
      </c>
      <c r="J349" s="27">
        <f t="shared" si="56"/>
        <v>140.06711409395973</v>
      </c>
      <c r="K349" s="11">
        <f t="shared" si="54"/>
        <v>166.44268788125086</v>
      </c>
      <c r="L349" s="11">
        <f t="shared" si="55"/>
        <v>161.20357035011719</v>
      </c>
      <c r="M349" s="27">
        <f t="shared" si="57"/>
        <v>156.66666666666666</v>
      </c>
      <c r="N349" s="27">
        <f t="shared" si="52"/>
        <v>176.65474060822899</v>
      </c>
      <c r="O349" s="27">
        <f t="shared" si="53"/>
        <v>138.29787234042556</v>
      </c>
      <c r="Q349" s="4">
        <v>1.49</v>
      </c>
      <c r="R349" s="4">
        <v>1815.8525733157076</v>
      </c>
      <c r="S349" s="4">
        <v>2338.2847000963566</v>
      </c>
      <c r="T349" s="4">
        <v>180</v>
      </c>
      <c r="U349" s="4">
        <v>22.36</v>
      </c>
      <c r="V349" s="4">
        <v>14.1</v>
      </c>
      <c r="W349" s="4"/>
      <c r="X349" s="7">
        <v>39876</v>
      </c>
      <c r="Y349" s="68">
        <v>3038.3538309875248</v>
      </c>
      <c r="Z349" s="68">
        <v>3917.3984215058567</v>
      </c>
    </row>
    <row r="350" spans="1:26" x14ac:dyDescent="0.3">
      <c r="A350" s="7">
        <v>39883</v>
      </c>
      <c r="B350" s="19">
        <v>2.0449999999999999</v>
      </c>
      <c r="C350" s="2">
        <v>-14</v>
      </c>
      <c r="D350" s="2">
        <v>-181.5</v>
      </c>
      <c r="E350" s="2">
        <v>267</v>
      </c>
      <c r="F350" s="19">
        <v>43</v>
      </c>
      <c r="G350" s="19">
        <v>23</v>
      </c>
      <c r="I350" s="10">
        <v>39883</v>
      </c>
      <c r="J350" s="27">
        <f t="shared" si="56"/>
        <v>137.24832214765098</v>
      </c>
      <c r="K350" s="11">
        <f t="shared" si="54"/>
        <v>166.5528289813264</v>
      </c>
      <c r="L350" s="11">
        <f t="shared" si="55"/>
        <v>159.77089621943415</v>
      </c>
      <c r="M350" s="27">
        <f t="shared" si="57"/>
        <v>148.33333333333334</v>
      </c>
      <c r="N350" s="27">
        <f t="shared" si="52"/>
        <v>192.30769230769232</v>
      </c>
      <c r="O350" s="27">
        <f t="shared" si="53"/>
        <v>163.12056737588651</v>
      </c>
      <c r="Q350" s="4">
        <v>1.49</v>
      </c>
      <c r="R350" s="4">
        <v>1815.8525733157076</v>
      </c>
      <c r="S350" s="4">
        <v>2338.2847000963566</v>
      </c>
      <c r="T350" s="4">
        <v>180</v>
      </c>
      <c r="U350" s="4">
        <v>22.36</v>
      </c>
      <c r="V350" s="4">
        <v>14.1</v>
      </c>
      <c r="W350" s="4"/>
      <c r="X350" s="7">
        <v>39883</v>
      </c>
      <c r="Y350" s="68">
        <v>3038.3538309875248</v>
      </c>
      <c r="Z350" s="68">
        <v>3917.3984215058567</v>
      </c>
    </row>
    <row r="351" spans="1:26" x14ac:dyDescent="0.3">
      <c r="A351" s="7">
        <v>39890</v>
      </c>
      <c r="B351" s="19">
        <v>2.0169999999999999</v>
      </c>
      <c r="C351" s="2">
        <v>0</v>
      </c>
      <c r="D351" s="2">
        <v>-147</v>
      </c>
      <c r="E351" s="2">
        <v>265</v>
      </c>
      <c r="F351" s="19">
        <v>46</v>
      </c>
      <c r="G351" s="19">
        <v>25</v>
      </c>
      <c r="I351" s="10">
        <v>39890</v>
      </c>
      <c r="J351" s="27">
        <f t="shared" si="56"/>
        <v>135.36912751677852</v>
      </c>
      <c r="K351" s="11">
        <f t="shared" si="54"/>
        <v>167.32381668185522</v>
      </c>
      <c r="L351" s="11">
        <f t="shared" si="55"/>
        <v>161.24633674207786</v>
      </c>
      <c r="M351" s="27">
        <f t="shared" si="57"/>
        <v>147.22222222222223</v>
      </c>
      <c r="N351" s="27">
        <f t="shared" si="52"/>
        <v>205.72450805008947</v>
      </c>
      <c r="O351" s="27">
        <f t="shared" si="53"/>
        <v>177.3049645390071</v>
      </c>
      <c r="Q351" s="4">
        <v>1.49</v>
      </c>
      <c r="R351" s="4">
        <v>1815.8525733157076</v>
      </c>
      <c r="S351" s="4">
        <v>2338.2847000963566</v>
      </c>
      <c r="T351" s="4">
        <v>180</v>
      </c>
      <c r="U351" s="4">
        <v>22.36</v>
      </c>
      <c r="V351" s="4">
        <v>14.1</v>
      </c>
      <c r="W351" s="4"/>
      <c r="X351" s="7">
        <v>39890</v>
      </c>
      <c r="Y351" s="68">
        <v>3038.3538309875248</v>
      </c>
      <c r="Z351" s="68">
        <v>3917.3984215058567</v>
      </c>
    </row>
    <row r="352" spans="1:26" x14ac:dyDescent="0.3">
      <c r="A352" s="7">
        <v>39897</v>
      </c>
      <c r="B352" s="19">
        <v>2.09</v>
      </c>
      <c r="C352" s="2">
        <v>-21</v>
      </c>
      <c r="D352" s="2">
        <v>-144</v>
      </c>
      <c r="E352" s="2">
        <v>271</v>
      </c>
      <c r="F352" s="19">
        <v>40</v>
      </c>
      <c r="G352" s="19">
        <v>20</v>
      </c>
      <c r="I352" s="10">
        <v>39897</v>
      </c>
      <c r="J352" s="27">
        <f t="shared" si="56"/>
        <v>140.26845637583892</v>
      </c>
      <c r="K352" s="11">
        <f t="shared" si="54"/>
        <v>166.16733513106198</v>
      </c>
      <c r="L352" s="11">
        <f t="shared" si="55"/>
        <v>161.37463591795992</v>
      </c>
      <c r="M352" s="27">
        <f t="shared" si="57"/>
        <v>150.55555555555554</v>
      </c>
      <c r="N352" s="27">
        <f t="shared" si="52"/>
        <v>178.89087656529517</v>
      </c>
      <c r="O352" s="27">
        <f t="shared" si="53"/>
        <v>141.84397163120568</v>
      </c>
      <c r="Q352" s="4">
        <v>1.49</v>
      </c>
      <c r="R352" s="4">
        <v>1815.8525733157076</v>
      </c>
      <c r="S352" s="4">
        <v>2338.2847000963566</v>
      </c>
      <c r="T352" s="4">
        <v>180</v>
      </c>
      <c r="U352" s="4">
        <v>22.36</v>
      </c>
      <c r="V352" s="4">
        <v>14.1</v>
      </c>
      <c r="W352" s="4"/>
      <c r="X352" s="7">
        <v>39897</v>
      </c>
      <c r="Y352" s="68">
        <v>3038.3538309875248</v>
      </c>
      <c r="Z352" s="68">
        <v>3917.3984215058567</v>
      </c>
    </row>
    <row r="353" spans="1:26" x14ac:dyDescent="0.3">
      <c r="A353" s="7">
        <v>39904</v>
      </c>
      <c r="B353" s="19">
        <v>2.2210000000000001</v>
      </c>
      <c r="C353" s="2">
        <v>-21.5</v>
      </c>
      <c r="D353" s="2">
        <v>-312.5</v>
      </c>
      <c r="E353" s="2">
        <v>249</v>
      </c>
      <c r="F353" s="19">
        <v>40</v>
      </c>
      <c r="G353" s="19">
        <v>20</v>
      </c>
      <c r="I353" s="10">
        <v>39904</v>
      </c>
      <c r="J353" s="27">
        <f t="shared" si="56"/>
        <v>149.06040268456374</v>
      </c>
      <c r="K353" s="11">
        <f t="shared" si="54"/>
        <v>164.06385477880085</v>
      </c>
      <c r="L353" s="11">
        <f t="shared" si="55"/>
        <v>152.5478575494314</v>
      </c>
      <c r="M353" s="27">
        <f t="shared" si="57"/>
        <v>138.33333333333334</v>
      </c>
      <c r="N353" s="27">
        <f t="shared" si="52"/>
        <v>178.89087656529517</v>
      </c>
      <c r="O353" s="27">
        <f t="shared" si="53"/>
        <v>141.84397163120568</v>
      </c>
      <c r="Q353" s="4">
        <v>1.49</v>
      </c>
      <c r="R353" s="4">
        <v>1815.8525733157076</v>
      </c>
      <c r="S353" s="4">
        <v>2338.2847000963566</v>
      </c>
      <c r="T353" s="4">
        <v>180</v>
      </c>
      <c r="U353" s="4">
        <v>22.36</v>
      </c>
      <c r="V353" s="4">
        <v>14.1</v>
      </c>
      <c r="W353" s="4"/>
      <c r="X353" s="7">
        <v>39904</v>
      </c>
      <c r="Y353" s="68">
        <v>3000.6577288818003</v>
      </c>
      <c r="Z353" s="68">
        <v>3879.5032134031389</v>
      </c>
    </row>
    <row r="354" spans="1:26" x14ac:dyDescent="0.3">
      <c r="A354" s="7">
        <v>39911</v>
      </c>
      <c r="B354" s="19">
        <v>2.2280000000000002</v>
      </c>
      <c r="C354" s="2">
        <v>-10</v>
      </c>
      <c r="D354" s="2">
        <v>-333.5</v>
      </c>
      <c r="E354" s="2">
        <v>253</v>
      </c>
      <c r="F354" s="19">
        <v>37.5</v>
      </c>
      <c r="G354" s="19">
        <v>17</v>
      </c>
      <c r="I354" s="10">
        <v>39911</v>
      </c>
      <c r="J354" s="27">
        <f t="shared" si="56"/>
        <v>149.53020134228188</v>
      </c>
      <c r="K354" s="11">
        <f t="shared" si="54"/>
        <v>164.69716610423521</v>
      </c>
      <c r="L354" s="11">
        <f t="shared" si="55"/>
        <v>151.64976331825696</v>
      </c>
      <c r="M354" s="27">
        <f t="shared" si="57"/>
        <v>140.55555555555554</v>
      </c>
      <c r="N354" s="27">
        <f t="shared" si="52"/>
        <v>167.71019677996421</v>
      </c>
      <c r="O354" s="27">
        <f t="shared" si="53"/>
        <v>120.56737588652481</v>
      </c>
      <c r="Q354" s="4">
        <v>1.49</v>
      </c>
      <c r="R354" s="4">
        <v>1815.8525733157076</v>
      </c>
      <c r="S354" s="4">
        <v>2338.2847000963566</v>
      </c>
      <c r="T354" s="4">
        <v>180</v>
      </c>
      <c r="U354" s="4">
        <v>22.36</v>
      </c>
      <c r="V354" s="4">
        <v>14.1</v>
      </c>
      <c r="W354" s="4"/>
      <c r="X354" s="7">
        <v>39911</v>
      </c>
      <c r="Y354" s="68">
        <v>3000.6577288818003</v>
      </c>
      <c r="Z354" s="68">
        <v>3879.5032134031389</v>
      </c>
    </row>
    <row r="355" spans="1:26" x14ac:dyDescent="0.3">
      <c r="A355" s="7">
        <v>39918</v>
      </c>
      <c r="B355" s="19">
        <v>2.2290000000000001</v>
      </c>
      <c r="C355" s="2">
        <v>0</v>
      </c>
      <c r="D355" s="2">
        <v>-208.5</v>
      </c>
      <c r="E355" s="2">
        <v>263</v>
      </c>
      <c r="F355" s="19">
        <v>39</v>
      </c>
      <c r="G355" s="19">
        <v>18</v>
      </c>
      <c r="I355" s="10">
        <v>39918</v>
      </c>
      <c r="J355" s="27">
        <f t="shared" si="56"/>
        <v>149.59731543624162</v>
      </c>
      <c r="K355" s="11">
        <f t="shared" si="54"/>
        <v>165.24787160461295</v>
      </c>
      <c r="L355" s="11">
        <f t="shared" si="55"/>
        <v>156.9955623133429</v>
      </c>
      <c r="M355" s="27">
        <f t="shared" si="57"/>
        <v>146.11111111111111</v>
      </c>
      <c r="N355" s="27">
        <f t="shared" si="52"/>
        <v>174.41860465116278</v>
      </c>
      <c r="O355" s="27">
        <f t="shared" si="53"/>
        <v>127.65957446808511</v>
      </c>
      <c r="Q355" s="4">
        <v>1.49</v>
      </c>
      <c r="R355" s="4">
        <v>1815.8525733157076</v>
      </c>
      <c r="S355" s="4">
        <v>2338.2847000963566</v>
      </c>
      <c r="T355" s="4">
        <v>180</v>
      </c>
      <c r="U355" s="4">
        <v>22.36</v>
      </c>
      <c r="V355" s="4">
        <v>14.1</v>
      </c>
      <c r="W355" s="4"/>
      <c r="X355" s="7">
        <v>39918</v>
      </c>
      <c r="Y355" s="68">
        <v>3000.6577288818003</v>
      </c>
      <c r="Z355" s="68">
        <v>3879.5032134031389</v>
      </c>
    </row>
    <row r="356" spans="1:26" x14ac:dyDescent="0.3">
      <c r="A356" s="7">
        <v>39925</v>
      </c>
      <c r="B356" s="19">
        <v>2.2210000000000001</v>
      </c>
      <c r="C356" s="2">
        <v>-22</v>
      </c>
      <c r="D356" s="2">
        <v>-350</v>
      </c>
      <c r="E356" s="2">
        <v>259</v>
      </c>
      <c r="F356" s="19">
        <v>43</v>
      </c>
      <c r="G356" s="19">
        <v>23</v>
      </c>
      <c r="I356" s="10">
        <v>39925</v>
      </c>
      <c r="J356" s="27">
        <f t="shared" si="56"/>
        <v>149.06040268456374</v>
      </c>
      <c r="K356" s="11">
        <f t="shared" si="54"/>
        <v>164.03631950378195</v>
      </c>
      <c r="L356" s="11">
        <f t="shared" si="55"/>
        <v>150.9441178509056</v>
      </c>
      <c r="M356" s="27">
        <f t="shared" si="57"/>
        <v>143.88888888888889</v>
      </c>
      <c r="N356" s="27">
        <f t="shared" si="52"/>
        <v>192.30769230769232</v>
      </c>
      <c r="O356" s="27">
        <f t="shared" si="53"/>
        <v>163.12056737588651</v>
      </c>
      <c r="Q356" s="4">
        <v>1.49</v>
      </c>
      <c r="R356" s="4">
        <v>1815.8525733157076</v>
      </c>
      <c r="S356" s="4">
        <v>2338.2847000963566</v>
      </c>
      <c r="T356" s="4">
        <v>180</v>
      </c>
      <c r="U356" s="4">
        <v>22.36</v>
      </c>
      <c r="V356" s="4">
        <v>14.1</v>
      </c>
      <c r="W356" s="4"/>
      <c r="X356" s="7">
        <v>39925</v>
      </c>
      <c r="Y356" s="68">
        <v>3000.6577288818003</v>
      </c>
      <c r="Z356" s="68">
        <v>3879.5032134031389</v>
      </c>
    </row>
    <row r="357" spans="1:26" x14ac:dyDescent="0.3">
      <c r="A357" s="7">
        <v>39932</v>
      </c>
      <c r="B357" s="19">
        <v>2.2010000000000001</v>
      </c>
      <c r="C357" s="2">
        <v>-22.5</v>
      </c>
      <c r="D357" s="2">
        <v>-375</v>
      </c>
      <c r="E357" s="2">
        <v>249</v>
      </c>
      <c r="F357" s="19">
        <v>42</v>
      </c>
      <c r="G357" s="19">
        <v>24.5</v>
      </c>
      <c r="I357" s="10">
        <v>39932</v>
      </c>
      <c r="J357" s="27">
        <f t="shared" si="56"/>
        <v>147.71812080536915</v>
      </c>
      <c r="K357" s="11">
        <f t="shared" si="54"/>
        <v>164.00878422876306</v>
      </c>
      <c r="L357" s="11">
        <f t="shared" si="55"/>
        <v>149.8749580518884</v>
      </c>
      <c r="M357" s="27">
        <f t="shared" si="57"/>
        <v>138.33333333333334</v>
      </c>
      <c r="N357" s="27">
        <f t="shared" ref="N357:N368" si="58">(1+(F357-U356)/U356)*100</f>
        <v>187.83542039355993</v>
      </c>
      <c r="O357" s="27">
        <f t="shared" ref="O357:O368" si="59">(1+(G357-V356)/V356)*100</f>
        <v>173.75886524822698</v>
      </c>
      <c r="Q357" s="4">
        <v>1.49</v>
      </c>
      <c r="R357" s="4">
        <v>1815.8525733157076</v>
      </c>
      <c r="S357" s="4">
        <v>2338.2847000963566</v>
      </c>
      <c r="T357" s="4">
        <v>180</v>
      </c>
      <c r="U357" s="4">
        <v>22.36</v>
      </c>
      <c r="V357" s="4">
        <v>14.1</v>
      </c>
      <c r="W357" s="4"/>
      <c r="X357" s="7">
        <v>39932</v>
      </c>
      <c r="Y357" s="68">
        <v>3000.6577288818003</v>
      </c>
      <c r="Z357" s="68">
        <v>3879.5032134031389</v>
      </c>
    </row>
    <row r="358" spans="1:26" x14ac:dyDescent="0.3">
      <c r="A358" s="7">
        <v>39939</v>
      </c>
      <c r="B358" s="19">
        <v>2.1850000000000001</v>
      </c>
      <c r="C358" s="2">
        <v>-43</v>
      </c>
      <c r="D358" s="2">
        <v>-337.5</v>
      </c>
      <c r="E358" s="2">
        <v>249</v>
      </c>
      <c r="F358" s="19">
        <v>40</v>
      </c>
      <c r="G358" s="19">
        <v>21</v>
      </c>
      <c r="I358" s="10">
        <v>39939</v>
      </c>
      <c r="J358" s="27">
        <f t="shared" si="56"/>
        <v>146.6442953020134</v>
      </c>
      <c r="K358" s="11">
        <f t="shared" si="54"/>
        <v>161.13853979968803</v>
      </c>
      <c r="L358" s="11">
        <f t="shared" si="55"/>
        <v>153.53773366239525</v>
      </c>
      <c r="M358" s="27">
        <f t="shared" si="57"/>
        <v>138.33333333333334</v>
      </c>
      <c r="N358" s="27">
        <f t="shared" si="58"/>
        <v>178.89087656529517</v>
      </c>
      <c r="O358" s="27">
        <f t="shared" si="59"/>
        <v>148.93617021276597</v>
      </c>
      <c r="Q358" s="4">
        <v>1.49</v>
      </c>
      <c r="R358" s="4">
        <v>1815.8525733157076</v>
      </c>
      <c r="S358" s="4">
        <v>2338.2847000963566</v>
      </c>
      <c r="T358" s="4">
        <v>180</v>
      </c>
      <c r="U358" s="4">
        <v>22.36</v>
      </c>
      <c r="V358" s="4">
        <v>14.1</v>
      </c>
      <c r="W358" s="4"/>
      <c r="X358" s="7">
        <v>39939</v>
      </c>
      <c r="Y358" s="68">
        <v>2969.0383215559909</v>
      </c>
      <c r="Z358" s="68">
        <v>3927.6493351024815</v>
      </c>
    </row>
    <row r="359" spans="1:26" x14ac:dyDescent="0.3">
      <c r="A359" s="7">
        <v>39946</v>
      </c>
      <c r="B359" s="19">
        <v>2.2160000000000002</v>
      </c>
      <c r="C359" s="2">
        <v>-27.5</v>
      </c>
      <c r="D359" s="2">
        <v>-318</v>
      </c>
      <c r="E359" s="2">
        <v>273</v>
      </c>
      <c r="F359" s="19">
        <v>43.5</v>
      </c>
      <c r="G359" s="19">
        <v>23.5</v>
      </c>
      <c r="I359" s="10">
        <v>39946</v>
      </c>
      <c r="J359" s="27">
        <f t="shared" si="56"/>
        <v>148.72483221476512</v>
      </c>
      <c r="K359" s="11">
        <f t="shared" si="54"/>
        <v>161.9921333252735</v>
      </c>
      <c r="L359" s="11">
        <f t="shared" si="55"/>
        <v>154.37167830562865</v>
      </c>
      <c r="M359" s="27">
        <f t="shared" si="57"/>
        <v>151.66666666666666</v>
      </c>
      <c r="N359" s="27">
        <f t="shared" si="58"/>
        <v>194.5438282647585</v>
      </c>
      <c r="O359" s="27">
        <f t="shared" si="59"/>
        <v>166.66666666666669</v>
      </c>
      <c r="Q359" s="4">
        <v>1.49</v>
      </c>
      <c r="R359" s="4">
        <v>1815.8525733157076</v>
      </c>
      <c r="S359" s="4">
        <v>2338.2847000963566</v>
      </c>
      <c r="T359" s="4">
        <v>180</v>
      </c>
      <c r="U359" s="4">
        <v>22.36</v>
      </c>
      <c r="V359" s="4">
        <v>14.1</v>
      </c>
      <c r="W359" s="4"/>
      <c r="X359" s="7">
        <v>39946</v>
      </c>
      <c r="Y359" s="68">
        <v>2969.0383215559909</v>
      </c>
      <c r="Z359" s="68">
        <v>3927.6493351024815</v>
      </c>
    </row>
    <row r="360" spans="1:26" x14ac:dyDescent="0.3">
      <c r="A360" s="7">
        <v>39953</v>
      </c>
      <c r="B360" s="19">
        <v>2.2309999999999999</v>
      </c>
      <c r="C360" s="2">
        <v>0</v>
      </c>
      <c r="D360" s="2">
        <v>-275</v>
      </c>
      <c r="E360" s="2">
        <v>272</v>
      </c>
      <c r="F360" s="19">
        <v>48</v>
      </c>
      <c r="G360" s="19">
        <v>26.5</v>
      </c>
      <c r="I360" s="10">
        <v>39953</v>
      </c>
      <c r="J360" s="27">
        <f t="shared" si="56"/>
        <v>149.73154362416108</v>
      </c>
      <c r="K360" s="11">
        <f t="shared" si="54"/>
        <v>163.50657345131225</v>
      </c>
      <c r="L360" s="11">
        <f t="shared" si="55"/>
        <v>156.21063315993823</v>
      </c>
      <c r="M360" s="27">
        <f t="shared" si="57"/>
        <v>151.11111111111111</v>
      </c>
      <c r="N360" s="27">
        <f t="shared" si="58"/>
        <v>214.6690518783542</v>
      </c>
      <c r="O360" s="27">
        <f t="shared" si="59"/>
        <v>187.94326241134752</v>
      </c>
      <c r="Q360" s="4">
        <v>1.49</v>
      </c>
      <c r="R360" s="4">
        <v>1815.8525733157076</v>
      </c>
      <c r="S360" s="4">
        <v>2338.2847000963566</v>
      </c>
      <c r="T360" s="4">
        <v>180</v>
      </c>
      <c r="U360" s="4">
        <v>22.36</v>
      </c>
      <c r="V360" s="4">
        <v>14.1</v>
      </c>
      <c r="W360" s="4"/>
      <c r="X360" s="7">
        <v>39953</v>
      </c>
      <c r="Y360" s="68">
        <v>2969.0383215559909</v>
      </c>
      <c r="Z360" s="68">
        <v>3927.6493351024815</v>
      </c>
    </row>
    <row r="361" spans="1:26" x14ac:dyDescent="0.3">
      <c r="A361" s="7">
        <v>39960</v>
      </c>
      <c r="B361" s="19">
        <v>2.274</v>
      </c>
      <c r="C361" s="2">
        <v>-9.5</v>
      </c>
      <c r="D361" s="2">
        <v>-325</v>
      </c>
      <c r="E361" s="2">
        <v>271</v>
      </c>
      <c r="F361" s="19">
        <v>49.5</v>
      </c>
      <c r="G361" s="19">
        <v>26.5</v>
      </c>
      <c r="I361" s="10">
        <v>39960</v>
      </c>
      <c r="J361" s="27">
        <f t="shared" si="56"/>
        <v>152.61744966442953</v>
      </c>
      <c r="K361" s="11">
        <f t="shared" si="54"/>
        <v>162.98340322595342</v>
      </c>
      <c r="L361" s="11">
        <f t="shared" si="55"/>
        <v>154.07231356190385</v>
      </c>
      <c r="M361" s="27">
        <f t="shared" si="57"/>
        <v>150.55555555555554</v>
      </c>
      <c r="N361" s="27">
        <f t="shared" si="58"/>
        <v>221.37745974955277</v>
      </c>
      <c r="O361" s="27">
        <f t="shared" si="59"/>
        <v>187.94326241134752</v>
      </c>
      <c r="Q361" s="4">
        <v>1.49</v>
      </c>
      <c r="R361" s="4">
        <v>1815.8525733157076</v>
      </c>
      <c r="S361" s="4">
        <v>2338.2847000963566</v>
      </c>
      <c r="T361" s="4">
        <v>180</v>
      </c>
      <c r="U361" s="4">
        <v>22.36</v>
      </c>
      <c r="V361" s="4">
        <v>14.1</v>
      </c>
      <c r="W361" s="4"/>
      <c r="X361" s="7">
        <v>39960</v>
      </c>
      <c r="Y361" s="68">
        <v>2969.0383215559909</v>
      </c>
      <c r="Z361" s="68">
        <v>3927.6493351024815</v>
      </c>
    </row>
    <row r="362" spans="1:26" x14ac:dyDescent="0.3">
      <c r="A362" s="7">
        <v>39967</v>
      </c>
      <c r="B362" s="19">
        <v>2.3519999999999999</v>
      </c>
      <c r="C362" s="2">
        <v>-7</v>
      </c>
      <c r="D362" s="2">
        <v>-250</v>
      </c>
      <c r="E362" s="2">
        <v>264</v>
      </c>
      <c r="F362" s="19">
        <v>54</v>
      </c>
      <c r="G362" s="19">
        <v>31</v>
      </c>
      <c r="I362" s="10">
        <v>39967</v>
      </c>
      <c r="J362" s="27">
        <f t="shared" si="56"/>
        <v>157.85234899328859</v>
      </c>
      <c r="K362" s="11">
        <f t="shared" si="54"/>
        <v>164.11486363091697</v>
      </c>
      <c r="L362" s="11">
        <f t="shared" si="55"/>
        <v>161.42702820365955</v>
      </c>
      <c r="M362" s="27">
        <f t="shared" si="57"/>
        <v>146.66666666666669</v>
      </c>
      <c r="N362" s="27">
        <f t="shared" si="58"/>
        <v>241.50268336314849</v>
      </c>
      <c r="O362" s="27">
        <f t="shared" si="59"/>
        <v>219.85815602836877</v>
      </c>
      <c r="Q362" s="4">
        <v>1.49</v>
      </c>
      <c r="R362" s="4">
        <v>1815.8525733157076</v>
      </c>
      <c r="S362" s="4">
        <v>2338.2847000963566</v>
      </c>
      <c r="T362" s="4">
        <v>180</v>
      </c>
      <c r="U362" s="4">
        <v>22.36</v>
      </c>
      <c r="V362" s="4">
        <v>14.1</v>
      </c>
      <c r="W362" s="4"/>
      <c r="X362" s="7">
        <v>39967</v>
      </c>
      <c r="Y362" s="68">
        <v>2987.0839744355699</v>
      </c>
      <c r="Z362" s="68">
        <v>4024.6235023064019</v>
      </c>
    </row>
    <row r="363" spans="1:26" x14ac:dyDescent="0.3">
      <c r="A363" s="7">
        <v>39974</v>
      </c>
      <c r="B363" s="19">
        <v>2.4980000000000002</v>
      </c>
      <c r="C363" s="2">
        <v>-11.5</v>
      </c>
      <c r="D363" s="2">
        <v>-311.5</v>
      </c>
      <c r="E363" s="2">
        <v>268</v>
      </c>
      <c r="F363" s="19">
        <v>56.5</v>
      </c>
      <c r="G363" s="19">
        <v>34</v>
      </c>
      <c r="I363" s="10">
        <v>39974</v>
      </c>
      <c r="J363" s="27">
        <f t="shared" si="56"/>
        <v>167.65100671140942</v>
      </c>
      <c r="K363" s="11">
        <f t="shared" si="54"/>
        <v>163.86704615574698</v>
      </c>
      <c r="L363" s="11">
        <f t="shared" si="55"/>
        <v>158.79689509807727</v>
      </c>
      <c r="M363" s="27">
        <f t="shared" si="57"/>
        <v>148.88888888888889</v>
      </c>
      <c r="N363" s="27">
        <f t="shared" si="58"/>
        <v>252.6833631484794</v>
      </c>
      <c r="O363" s="27">
        <f t="shared" si="59"/>
        <v>241.13475177304963</v>
      </c>
      <c r="Q363" s="4">
        <v>1.49</v>
      </c>
      <c r="R363" s="4">
        <v>1815.8525733157076</v>
      </c>
      <c r="S363" s="4">
        <v>2338.2847000963566</v>
      </c>
      <c r="T363" s="4">
        <v>180</v>
      </c>
      <c r="U363" s="4">
        <v>22.36</v>
      </c>
      <c r="V363" s="4">
        <v>14.1</v>
      </c>
      <c r="W363" s="4"/>
      <c r="X363" s="7">
        <v>39974</v>
      </c>
      <c r="Y363" s="68">
        <v>2987.0839744355699</v>
      </c>
      <c r="Z363" s="68">
        <v>4024.6235023064019</v>
      </c>
    </row>
    <row r="364" spans="1:26" x14ac:dyDescent="0.3">
      <c r="A364" s="7">
        <v>39981</v>
      </c>
      <c r="B364" s="19">
        <v>2.5720000000000001</v>
      </c>
      <c r="C364" s="2">
        <v>-34</v>
      </c>
      <c r="D364" s="2">
        <v>-403.5</v>
      </c>
      <c r="E364" s="2">
        <v>290</v>
      </c>
      <c r="F364" s="19">
        <v>56.5</v>
      </c>
      <c r="G364" s="19">
        <v>35</v>
      </c>
      <c r="I364" s="10">
        <v>39981</v>
      </c>
      <c r="J364" s="27">
        <f t="shared" si="56"/>
        <v>172.61744966442953</v>
      </c>
      <c r="K364" s="11">
        <f t="shared" si="54"/>
        <v>162.62795877989711</v>
      </c>
      <c r="L364" s="11">
        <f t="shared" si="55"/>
        <v>154.86238703769399</v>
      </c>
      <c r="M364" s="27">
        <f t="shared" si="57"/>
        <v>161.11111111111111</v>
      </c>
      <c r="N364" s="27">
        <f t="shared" si="58"/>
        <v>252.6833631484794</v>
      </c>
      <c r="O364" s="27">
        <f t="shared" si="59"/>
        <v>248.22695035460995</v>
      </c>
      <c r="Q364" s="4">
        <v>1.49</v>
      </c>
      <c r="R364" s="4">
        <v>1815.8525733157076</v>
      </c>
      <c r="S364" s="4">
        <v>2338.2847000963566</v>
      </c>
      <c r="T364" s="4">
        <v>180</v>
      </c>
      <c r="U364" s="4">
        <v>22.36</v>
      </c>
      <c r="V364" s="4">
        <v>14.1</v>
      </c>
      <c r="W364" s="4"/>
      <c r="X364" s="7">
        <v>39981</v>
      </c>
      <c r="Y364" s="68">
        <v>2987.0839744355699</v>
      </c>
      <c r="Z364" s="68">
        <v>4024.6235023064019</v>
      </c>
    </row>
    <row r="365" spans="1:26" x14ac:dyDescent="0.3">
      <c r="A365" s="7">
        <v>39988</v>
      </c>
      <c r="B365" s="19">
        <v>2.6160000000000001</v>
      </c>
      <c r="C365" s="2">
        <v>-1.5</v>
      </c>
      <c r="D365" s="2">
        <v>-150</v>
      </c>
      <c r="E365" s="2">
        <v>276</v>
      </c>
      <c r="F365" s="19">
        <v>62</v>
      </c>
      <c r="G365" s="19">
        <v>35</v>
      </c>
      <c r="I365" s="10">
        <v>39988</v>
      </c>
      <c r="J365" s="27">
        <f t="shared" si="56"/>
        <v>175.57046979865771</v>
      </c>
      <c r="K365" s="11">
        <f t="shared" si="54"/>
        <v>164.41775165612472</v>
      </c>
      <c r="L365" s="11">
        <f t="shared" si="55"/>
        <v>165.70366739972832</v>
      </c>
      <c r="M365" s="27">
        <f t="shared" si="57"/>
        <v>153.33333333333331</v>
      </c>
      <c r="N365" s="27">
        <f t="shared" si="58"/>
        <v>277.28085867620752</v>
      </c>
      <c r="O365" s="27">
        <f t="shared" si="59"/>
        <v>248.22695035460995</v>
      </c>
      <c r="Q365" s="4">
        <v>1.49</v>
      </c>
      <c r="R365" s="4">
        <v>1815.8525733157076</v>
      </c>
      <c r="S365" s="4">
        <v>2338.2847000963566</v>
      </c>
      <c r="T365" s="4">
        <v>180</v>
      </c>
      <c r="U365" s="4">
        <v>22.36</v>
      </c>
      <c r="V365" s="4">
        <v>14.1</v>
      </c>
      <c r="W365" s="4"/>
      <c r="X365" s="7">
        <v>39988</v>
      </c>
      <c r="Y365" s="68">
        <v>2987.0839744355699</v>
      </c>
      <c r="Z365" s="68">
        <v>4024.6235023064019</v>
      </c>
    </row>
    <row r="366" spans="1:26" x14ac:dyDescent="0.3">
      <c r="A366" s="7">
        <v>39995</v>
      </c>
      <c r="B366" s="19">
        <v>2.6080000000000001</v>
      </c>
      <c r="C366" s="2">
        <v>4</v>
      </c>
      <c r="D366" s="2">
        <v>-172</v>
      </c>
      <c r="E366" s="2">
        <v>263</v>
      </c>
      <c r="F366" s="19">
        <v>59</v>
      </c>
      <c r="G366" s="19">
        <v>31</v>
      </c>
      <c r="I366" s="10">
        <v>39995</v>
      </c>
      <c r="J366" s="27">
        <f t="shared" si="56"/>
        <v>175.03355704697987</v>
      </c>
      <c r="K366" s="11">
        <f t="shared" si="54"/>
        <v>168.84559823141686</v>
      </c>
      <c r="L366" s="11">
        <f t="shared" si="55"/>
        <v>163.71197249066881</v>
      </c>
      <c r="M366" s="27">
        <f t="shared" si="57"/>
        <v>146.11111111111111</v>
      </c>
      <c r="N366" s="27">
        <f t="shared" si="58"/>
        <v>263.86404293381037</v>
      </c>
      <c r="O366" s="27">
        <f t="shared" si="59"/>
        <v>219.85815602836877</v>
      </c>
      <c r="Q366" s="4">
        <v>1.49</v>
      </c>
      <c r="R366" s="4">
        <v>1815.8525733157076</v>
      </c>
      <c r="S366" s="4">
        <v>2338.2847000963566</v>
      </c>
      <c r="T366" s="4">
        <v>180</v>
      </c>
      <c r="U366" s="4">
        <v>22.36</v>
      </c>
      <c r="V366" s="4">
        <v>14.1</v>
      </c>
      <c r="W366" s="4"/>
      <c r="X366" s="7">
        <v>39995</v>
      </c>
      <c r="Y366" s="68">
        <v>3061.9871404154842</v>
      </c>
      <c r="Z366" s="68">
        <v>4000.0520049752654</v>
      </c>
    </row>
    <row r="367" spans="1:26" x14ac:dyDescent="0.3">
      <c r="A367" s="7">
        <v>40002</v>
      </c>
      <c r="B367" s="19">
        <v>2.5939999999999999</v>
      </c>
      <c r="C367" s="2">
        <v>19</v>
      </c>
      <c r="D367" s="2">
        <v>-103</v>
      </c>
      <c r="E367" s="2">
        <v>249</v>
      </c>
      <c r="F367" s="19">
        <v>60</v>
      </c>
      <c r="G367" s="19">
        <v>33</v>
      </c>
      <c r="I367" s="10">
        <v>40002</v>
      </c>
      <c r="J367" s="27">
        <f t="shared" si="56"/>
        <v>174.09395973154363</v>
      </c>
      <c r="K367" s="11">
        <f t="shared" si="54"/>
        <v>169.67165648198346</v>
      </c>
      <c r="L367" s="11">
        <f t="shared" si="55"/>
        <v>166.66285353595629</v>
      </c>
      <c r="M367" s="27">
        <f t="shared" si="57"/>
        <v>138.33333333333334</v>
      </c>
      <c r="N367" s="27">
        <f t="shared" si="58"/>
        <v>268.33631484794279</v>
      </c>
      <c r="O367" s="27">
        <f t="shared" si="59"/>
        <v>234.04255319148933</v>
      </c>
      <c r="Q367" s="4">
        <v>1.49</v>
      </c>
      <c r="R367" s="4">
        <v>1815.8525733157076</v>
      </c>
      <c r="S367" s="4">
        <v>2338.2847000963566</v>
      </c>
      <c r="T367" s="4">
        <v>180</v>
      </c>
      <c r="U367" s="4">
        <v>22.36</v>
      </c>
      <c r="V367" s="4">
        <v>14.1</v>
      </c>
      <c r="W367" s="4"/>
      <c r="X367" s="7">
        <v>40002</v>
      </c>
      <c r="Y367" s="68">
        <v>3061.9871404154842</v>
      </c>
      <c r="Z367" s="68">
        <v>4000.0520049752654</v>
      </c>
    </row>
    <row r="368" spans="1:26" x14ac:dyDescent="0.3">
      <c r="A368" s="7">
        <v>40009</v>
      </c>
      <c r="B368" s="19">
        <v>2.5419999999999998</v>
      </c>
      <c r="C368" s="2">
        <v>5</v>
      </c>
      <c r="D368" s="2">
        <v>-131.5</v>
      </c>
      <c r="E368" s="2">
        <v>270</v>
      </c>
      <c r="F368" s="19">
        <v>55</v>
      </c>
      <c r="G368" s="19">
        <v>31</v>
      </c>
      <c r="I368" s="10">
        <v>40009</v>
      </c>
      <c r="J368" s="27">
        <f t="shared" si="56"/>
        <v>170.60402684563755</v>
      </c>
      <c r="K368" s="11">
        <f t="shared" si="54"/>
        <v>168.90066878145464</v>
      </c>
      <c r="L368" s="11">
        <f t="shared" si="55"/>
        <v>165.4440113650767</v>
      </c>
      <c r="M368" s="27">
        <f t="shared" si="57"/>
        <v>150</v>
      </c>
      <c r="N368" s="27">
        <f t="shared" si="58"/>
        <v>245.97495527728083</v>
      </c>
      <c r="O368" s="27">
        <f t="shared" si="59"/>
        <v>219.85815602836877</v>
      </c>
      <c r="Q368" s="4">
        <v>1.49</v>
      </c>
      <c r="R368" s="4">
        <v>1815.8525733157076</v>
      </c>
      <c r="S368" s="4">
        <v>2338.2847000963566</v>
      </c>
      <c r="T368" s="4">
        <v>180</v>
      </c>
      <c r="U368" s="4">
        <v>22.36</v>
      </c>
      <c r="V368" s="4">
        <v>14.1</v>
      </c>
      <c r="W368" s="4"/>
      <c r="X368" s="7">
        <v>40009</v>
      </c>
      <c r="Y368" s="68">
        <v>3061.9871404154842</v>
      </c>
      <c r="Z368" s="68">
        <v>4000.0520049752654</v>
      </c>
    </row>
    <row r="369" spans="1:26" x14ac:dyDescent="0.3">
      <c r="A369" s="7">
        <v>40016</v>
      </c>
      <c r="B369" s="19">
        <v>2.5</v>
      </c>
      <c r="C369" s="2">
        <v>18</v>
      </c>
      <c r="D369" s="2">
        <v>127.5</v>
      </c>
      <c r="E369" s="2">
        <v>298</v>
      </c>
      <c r="F369" s="19">
        <v>60</v>
      </c>
      <c r="G369" s="19">
        <v>31</v>
      </c>
      <c r="I369" s="10">
        <v>40016</v>
      </c>
      <c r="J369" s="27">
        <f t="shared" ref="J369" si="60">(1+(B369-Q369)/Q369)*100</f>
        <v>167.78523489932886</v>
      </c>
      <c r="K369" s="11">
        <f t="shared" si="54"/>
        <v>169.61658593194568</v>
      </c>
      <c r="L369" s="11">
        <f t="shared" si="55"/>
        <v>176.52050688289481</v>
      </c>
      <c r="M369" s="27">
        <f t="shared" ref="M369" si="61">(1+(E369-T368)/T368)*100</f>
        <v>165.55555555555554</v>
      </c>
      <c r="N369" s="27">
        <f t="shared" ref="N369" si="62">(1+(F369-U368)/U368)*100</f>
        <v>268.33631484794279</v>
      </c>
      <c r="O369" s="27">
        <f t="shared" ref="O369" si="63">(1+(G369-V368)/V368)*100</f>
        <v>219.85815602836877</v>
      </c>
      <c r="Q369" s="4">
        <v>1.49</v>
      </c>
      <c r="R369" s="4">
        <v>1815.8525733157076</v>
      </c>
      <c r="S369" s="4">
        <v>2338.2847000963566</v>
      </c>
      <c r="T369" s="4">
        <v>180</v>
      </c>
      <c r="U369" s="4">
        <v>22.36</v>
      </c>
      <c r="V369" s="4">
        <v>14.1</v>
      </c>
      <c r="W369" s="4"/>
      <c r="X369" s="7">
        <v>40016</v>
      </c>
      <c r="Y369" s="68">
        <v>3061.9871404154842</v>
      </c>
      <c r="Z369" s="68">
        <v>4000.0520049752654</v>
      </c>
    </row>
    <row r="370" spans="1:26" x14ac:dyDescent="0.3">
      <c r="A370" s="7">
        <v>40023</v>
      </c>
      <c r="B370" s="19">
        <v>2.5299999999999998</v>
      </c>
      <c r="C370" s="2">
        <v>26</v>
      </c>
      <c r="D370" s="2">
        <v>6.5</v>
      </c>
      <c r="E370" s="2">
        <v>288</v>
      </c>
      <c r="F370" s="19">
        <v>64</v>
      </c>
      <c r="G370" s="19">
        <v>33</v>
      </c>
      <c r="I370" s="10">
        <v>40023</v>
      </c>
      <c r="J370" s="27">
        <f t="shared" ref="J370:J388" si="64">(1+(B370-Q370)/Q370)*100</f>
        <v>169.79865771812081</v>
      </c>
      <c r="K370" s="11">
        <f t="shared" si="54"/>
        <v>170.05715033224786</v>
      </c>
      <c r="L370" s="11">
        <f t="shared" si="55"/>
        <v>171.3457734556516</v>
      </c>
      <c r="M370" s="27">
        <f t="shared" ref="M370:M388" si="65">(1+(E370-T369)/T369)*100</f>
        <v>160</v>
      </c>
      <c r="N370" s="27">
        <f t="shared" ref="N370:N388" si="66">(1+(F370-U369)/U369)*100</f>
        <v>286.2254025044723</v>
      </c>
      <c r="O370" s="27">
        <f t="shared" ref="O370:O388" si="67">(1+(G370-V369)/V369)*100</f>
        <v>234.04255319148933</v>
      </c>
      <c r="Q370" s="4">
        <v>1.49</v>
      </c>
      <c r="R370" s="4">
        <v>1815.8525733157076</v>
      </c>
      <c r="S370" s="4">
        <v>2338.2847000963566</v>
      </c>
      <c r="T370" s="4">
        <v>180</v>
      </c>
      <c r="U370" s="4">
        <v>22.36</v>
      </c>
      <c r="V370" s="4">
        <v>14.1</v>
      </c>
      <c r="W370" s="4"/>
      <c r="X370" s="7">
        <v>40023</v>
      </c>
      <c r="Y370" s="68">
        <v>3061.9871404154842</v>
      </c>
      <c r="Z370" s="68">
        <v>4000.0520049752654</v>
      </c>
    </row>
    <row r="371" spans="1:26" x14ac:dyDescent="0.3">
      <c r="A371" s="7">
        <v>40030</v>
      </c>
      <c r="B371" s="56">
        <v>2.5499999999999998</v>
      </c>
      <c r="C371" s="2">
        <v>21.5</v>
      </c>
      <c r="D371" s="2">
        <v>8.5</v>
      </c>
      <c r="E371" s="2">
        <v>276</v>
      </c>
      <c r="F371" s="19">
        <v>62</v>
      </c>
      <c r="G371" s="19">
        <v>33</v>
      </c>
      <c r="I371" s="10">
        <v>40030</v>
      </c>
      <c r="J371" s="27">
        <f t="shared" si="64"/>
        <v>171.14093959731542</v>
      </c>
      <c r="K371" s="11">
        <f t="shared" si="54"/>
        <v>171.26370825117542</v>
      </c>
      <c r="L371" s="11">
        <f t="shared" si="55"/>
        <v>176.76512979385762</v>
      </c>
      <c r="M371" s="27">
        <f t="shared" si="65"/>
        <v>153.33333333333331</v>
      </c>
      <c r="N371" s="27">
        <f t="shared" si="66"/>
        <v>277.28085867620752</v>
      </c>
      <c r="O371" s="27">
        <f t="shared" si="67"/>
        <v>234.04255319148933</v>
      </c>
      <c r="Q371" s="4">
        <v>1.49</v>
      </c>
      <c r="R371" s="4">
        <v>1815.8525733157076</v>
      </c>
      <c r="S371" s="4">
        <v>2338.2847000963566</v>
      </c>
      <c r="T371" s="4">
        <v>180</v>
      </c>
      <c r="U371" s="4">
        <v>22.36</v>
      </c>
      <c r="V371" s="4">
        <v>14.1</v>
      </c>
      <c r="W371" s="4"/>
      <c r="X371" s="7">
        <v>40030</v>
      </c>
      <c r="Y371" s="68">
        <v>3088.3964534348743</v>
      </c>
      <c r="Z371" s="68">
        <v>4124.7719850752392</v>
      </c>
    </row>
    <row r="372" spans="1:26" x14ac:dyDescent="0.3">
      <c r="A372" s="7">
        <v>40037</v>
      </c>
      <c r="B372" s="19">
        <v>2.625</v>
      </c>
      <c r="C372" s="2">
        <v>-13.5</v>
      </c>
      <c r="D372" s="2">
        <v>-83.5</v>
      </c>
      <c r="E372" s="2">
        <v>280</v>
      </c>
      <c r="F372" s="19">
        <v>57</v>
      </c>
      <c r="G372" s="19">
        <v>30</v>
      </c>
      <c r="I372" s="10">
        <v>40037</v>
      </c>
      <c r="J372" s="27">
        <f t="shared" si="64"/>
        <v>176.17449664429529</v>
      </c>
      <c r="K372" s="11">
        <f t="shared" si="54"/>
        <v>169.33623899985338</v>
      </c>
      <c r="L372" s="11">
        <f t="shared" si="55"/>
        <v>172.83062173347435</v>
      </c>
      <c r="M372" s="27">
        <f t="shared" si="65"/>
        <v>155.55555555555557</v>
      </c>
      <c r="N372" s="27">
        <f t="shared" si="66"/>
        <v>254.91949910554564</v>
      </c>
      <c r="O372" s="27">
        <f t="shared" si="67"/>
        <v>212.7659574468085</v>
      </c>
      <c r="Q372" s="4">
        <v>1.49</v>
      </c>
      <c r="R372" s="4">
        <v>1815.8525733157076</v>
      </c>
      <c r="S372" s="4">
        <v>2338.2847000963566</v>
      </c>
      <c r="T372" s="4">
        <v>180</v>
      </c>
      <c r="U372" s="4">
        <v>22.36</v>
      </c>
      <c r="V372" s="4">
        <v>14.1</v>
      </c>
      <c r="W372" s="4"/>
      <c r="X372" s="7">
        <v>40037</v>
      </c>
      <c r="Y372" s="68">
        <v>3088.3964534348743</v>
      </c>
      <c r="Z372" s="68">
        <v>4124.7719850752392</v>
      </c>
    </row>
    <row r="373" spans="1:26" x14ac:dyDescent="0.3">
      <c r="A373" s="7">
        <v>40044</v>
      </c>
      <c r="B373" s="19">
        <v>2.6520000000000001</v>
      </c>
      <c r="C373" s="2">
        <v>10</v>
      </c>
      <c r="D373" s="2">
        <v>-31.5</v>
      </c>
      <c r="E373" s="2">
        <v>322</v>
      </c>
      <c r="F373" s="19">
        <v>56</v>
      </c>
      <c r="G373" s="19">
        <v>29</v>
      </c>
      <c r="I373" s="10">
        <v>40044</v>
      </c>
      <c r="J373" s="27">
        <f t="shared" si="64"/>
        <v>177.98657718120805</v>
      </c>
      <c r="K373" s="11">
        <f t="shared" si="54"/>
        <v>170.63039692574102</v>
      </c>
      <c r="L373" s="11">
        <f t="shared" si="55"/>
        <v>175.05447411543011</v>
      </c>
      <c r="M373" s="27">
        <f t="shared" si="65"/>
        <v>178.88888888888889</v>
      </c>
      <c r="N373" s="27">
        <f t="shared" si="66"/>
        <v>250.44722719141325</v>
      </c>
      <c r="O373" s="27">
        <f t="shared" si="67"/>
        <v>205.67375886524823</v>
      </c>
      <c r="Q373" s="4">
        <v>1.49</v>
      </c>
      <c r="R373" s="4">
        <v>1815.8525733157076</v>
      </c>
      <c r="S373" s="4">
        <v>2338.2847000963566</v>
      </c>
      <c r="T373" s="4">
        <v>180</v>
      </c>
      <c r="U373" s="4">
        <v>22.36</v>
      </c>
      <c r="V373" s="4">
        <v>14.1</v>
      </c>
      <c r="W373" s="4"/>
      <c r="X373" s="7">
        <v>40044</v>
      </c>
      <c r="Y373" s="68">
        <v>3088.3964534348743</v>
      </c>
      <c r="Z373" s="68">
        <v>4124.7719850752392</v>
      </c>
    </row>
    <row r="374" spans="1:26" x14ac:dyDescent="0.3">
      <c r="A374" s="7">
        <v>40051</v>
      </c>
      <c r="B374" s="19">
        <v>2.6680000000000001</v>
      </c>
      <c r="C374" s="2">
        <v>49</v>
      </c>
      <c r="D374" s="2">
        <v>-187.5</v>
      </c>
      <c r="E374" s="2">
        <v>340</v>
      </c>
      <c r="F374" s="19">
        <v>53</v>
      </c>
      <c r="G374" s="19">
        <v>28</v>
      </c>
      <c r="I374" s="10">
        <v>40051</v>
      </c>
      <c r="J374" s="27">
        <f t="shared" si="64"/>
        <v>179.06040268456377</v>
      </c>
      <c r="K374" s="11">
        <f t="shared" si="54"/>
        <v>172.77814837721414</v>
      </c>
      <c r="L374" s="11">
        <f t="shared" si="55"/>
        <v>168.38291696956281</v>
      </c>
      <c r="M374" s="27">
        <f t="shared" si="65"/>
        <v>188.88888888888889</v>
      </c>
      <c r="N374" s="27">
        <f t="shared" si="66"/>
        <v>237.03041144901613</v>
      </c>
      <c r="O374" s="27">
        <f t="shared" si="67"/>
        <v>198.58156028368796</v>
      </c>
      <c r="Q374" s="4">
        <v>1.49</v>
      </c>
      <c r="R374" s="4">
        <v>1815.8525733157076</v>
      </c>
      <c r="S374" s="4">
        <v>2338.2847000963566</v>
      </c>
      <c r="T374" s="4">
        <v>180</v>
      </c>
      <c r="U374" s="4">
        <v>22.36</v>
      </c>
      <c r="V374" s="4">
        <v>14.1</v>
      </c>
      <c r="W374" s="4"/>
      <c r="X374" s="7">
        <v>40051</v>
      </c>
      <c r="Y374" s="68">
        <v>3088.3964534348743</v>
      </c>
      <c r="Z374" s="68">
        <v>4124.7719850752392</v>
      </c>
    </row>
    <row r="375" spans="1:26" x14ac:dyDescent="0.3">
      <c r="A375" s="7">
        <v>40058</v>
      </c>
      <c r="B375" s="19">
        <v>2.6739999999999999</v>
      </c>
      <c r="C375" s="2">
        <v>17.5</v>
      </c>
      <c r="D375" s="2">
        <v>-162.5</v>
      </c>
      <c r="E375" s="2">
        <v>355</v>
      </c>
      <c r="F375" s="19">
        <v>52</v>
      </c>
      <c r="G375" s="19">
        <v>25</v>
      </c>
      <c r="I375" s="10">
        <v>40058</v>
      </c>
      <c r="J375" s="27">
        <f t="shared" si="64"/>
        <v>179.46308724832215</v>
      </c>
      <c r="K375" s="11">
        <f t="shared" si="54"/>
        <v>172.53891156643724</v>
      </c>
      <c r="L375" s="11">
        <f t="shared" si="55"/>
        <v>171.00977530804457</v>
      </c>
      <c r="M375" s="27">
        <f t="shared" si="65"/>
        <v>197.22222222222223</v>
      </c>
      <c r="N375" s="27">
        <f t="shared" si="66"/>
        <v>232.55813953488374</v>
      </c>
      <c r="O375" s="27">
        <f t="shared" si="67"/>
        <v>177.3049645390071</v>
      </c>
      <c r="Q375" s="4">
        <v>1.49</v>
      </c>
      <c r="R375" s="4">
        <v>1815.8525733157076</v>
      </c>
      <c r="S375" s="4">
        <v>2338.2847000963566</v>
      </c>
      <c r="T375" s="4">
        <v>180</v>
      </c>
      <c r="U375" s="4">
        <v>22.36</v>
      </c>
      <c r="V375" s="4">
        <v>14.1</v>
      </c>
      <c r="W375" s="4"/>
      <c r="X375" s="7">
        <v>40058</v>
      </c>
      <c r="Y375" s="68">
        <v>3115.5522656500634</v>
      </c>
      <c r="Z375" s="68">
        <v>4161.1954116971629</v>
      </c>
    </row>
    <row r="376" spans="1:26" x14ac:dyDescent="0.3">
      <c r="A376" s="7">
        <v>40065</v>
      </c>
      <c r="B376" s="19">
        <v>2.6469999999999998</v>
      </c>
      <c r="C376" s="2">
        <v>23.5</v>
      </c>
      <c r="D376" s="2">
        <v>-79</v>
      </c>
      <c r="E376" s="2">
        <v>336</v>
      </c>
      <c r="F376" s="19">
        <v>57</v>
      </c>
      <c r="G376" s="19">
        <v>29</v>
      </c>
      <c r="I376" s="10">
        <v>40065</v>
      </c>
      <c r="J376" s="27">
        <f t="shared" si="64"/>
        <v>177.65100671140939</v>
      </c>
      <c r="K376" s="11">
        <f t="shared" si="54"/>
        <v>172.86933486666388</v>
      </c>
      <c r="L376" s="11">
        <f t="shared" si="55"/>
        <v>174.58076903676198</v>
      </c>
      <c r="M376" s="27">
        <f t="shared" si="65"/>
        <v>186.66666666666666</v>
      </c>
      <c r="N376" s="27">
        <f t="shared" si="66"/>
        <v>254.91949910554564</v>
      </c>
      <c r="O376" s="27">
        <f t="shared" si="67"/>
        <v>205.67375886524823</v>
      </c>
      <c r="Q376" s="4">
        <v>1.49</v>
      </c>
      <c r="R376" s="4">
        <v>1815.8525733157076</v>
      </c>
      <c r="S376" s="4">
        <v>2338.2847000963566</v>
      </c>
      <c r="T376" s="4">
        <v>180</v>
      </c>
      <c r="U376" s="4">
        <v>22.36</v>
      </c>
      <c r="V376" s="4">
        <v>14.1</v>
      </c>
      <c r="W376" s="4"/>
      <c r="X376" s="7">
        <v>40065</v>
      </c>
      <c r="Y376" s="68">
        <v>3115.5522656500634</v>
      </c>
      <c r="Z376" s="68">
        <v>4161.1954116971629</v>
      </c>
    </row>
    <row r="377" spans="1:26" x14ac:dyDescent="0.3">
      <c r="A377" s="7">
        <v>40072</v>
      </c>
      <c r="B377" s="19">
        <v>2.6339999999999999</v>
      </c>
      <c r="C377" s="2">
        <v>12.5</v>
      </c>
      <c r="D377" s="2">
        <v>-119</v>
      </c>
      <c r="E377" s="2">
        <v>335</v>
      </c>
      <c r="F377" s="19">
        <v>57.5</v>
      </c>
      <c r="G377" s="19">
        <v>30</v>
      </c>
      <c r="I377" s="10">
        <v>40072</v>
      </c>
      <c r="J377" s="27">
        <f t="shared" si="64"/>
        <v>176.77852348993289</v>
      </c>
      <c r="K377" s="11">
        <f t="shared" si="54"/>
        <v>172.26355881624838</v>
      </c>
      <c r="L377" s="11">
        <f t="shared" si="55"/>
        <v>172.87011335833446</v>
      </c>
      <c r="M377" s="27">
        <f t="shared" si="65"/>
        <v>186.11111111111111</v>
      </c>
      <c r="N377" s="27">
        <f t="shared" si="66"/>
        <v>257.15563506261179</v>
      </c>
      <c r="O377" s="27">
        <f t="shared" si="67"/>
        <v>212.7659574468085</v>
      </c>
      <c r="Q377" s="4">
        <v>1.49</v>
      </c>
      <c r="R377" s="4">
        <v>1815.8525733157076</v>
      </c>
      <c r="S377" s="4">
        <v>2338.2847000963566</v>
      </c>
      <c r="T377" s="4">
        <v>180</v>
      </c>
      <c r="U377" s="4">
        <v>22.36</v>
      </c>
      <c r="V377" s="4">
        <v>14.1</v>
      </c>
      <c r="W377" s="4"/>
      <c r="X377" s="7">
        <v>40072</v>
      </c>
      <c r="Y377" s="68">
        <v>3115.5522656500634</v>
      </c>
      <c r="Z377" s="68">
        <v>4161.1954116971629</v>
      </c>
    </row>
    <row r="378" spans="1:26" x14ac:dyDescent="0.3">
      <c r="A378" s="7">
        <v>40079</v>
      </c>
      <c r="B378" s="19">
        <v>2.6219999999999999</v>
      </c>
      <c r="C378" s="2">
        <v>160.5</v>
      </c>
      <c r="D378" s="2">
        <v>-116</v>
      </c>
      <c r="E378" s="2">
        <v>389</v>
      </c>
      <c r="F378" s="19">
        <v>58</v>
      </c>
      <c r="G378" s="19">
        <v>31.5</v>
      </c>
      <c r="I378" s="10">
        <v>40079</v>
      </c>
      <c r="J378" s="27">
        <f t="shared" si="64"/>
        <v>175.9731543624161</v>
      </c>
      <c r="K378" s="11">
        <f t="shared" si="54"/>
        <v>180.41400022183865</v>
      </c>
      <c r="L378" s="11">
        <f t="shared" si="55"/>
        <v>172.99841253421653</v>
      </c>
      <c r="M378" s="27">
        <f t="shared" si="65"/>
        <v>216.11111111111114</v>
      </c>
      <c r="N378" s="27">
        <f t="shared" si="66"/>
        <v>259.391771019678</v>
      </c>
      <c r="O378" s="27">
        <f t="shared" si="67"/>
        <v>223.40425531914894</v>
      </c>
      <c r="Q378" s="4">
        <v>1.49</v>
      </c>
      <c r="R378" s="4">
        <v>1815.8525733157076</v>
      </c>
      <c r="S378" s="4">
        <v>2338.2847000963566</v>
      </c>
      <c r="T378" s="4">
        <v>180</v>
      </c>
      <c r="U378" s="4">
        <v>22.36</v>
      </c>
      <c r="V378" s="4">
        <v>14.1</v>
      </c>
      <c r="W378" s="4"/>
      <c r="X378" s="7">
        <v>40079</v>
      </c>
      <c r="Y378" s="68">
        <v>3115.5522656500634</v>
      </c>
      <c r="Z378" s="68">
        <v>4161.1954116971629</v>
      </c>
    </row>
    <row r="379" spans="1:26" x14ac:dyDescent="0.3">
      <c r="A379" s="7">
        <v>40086</v>
      </c>
      <c r="B379" s="19">
        <v>2.601</v>
      </c>
      <c r="C379" s="2">
        <v>139.5</v>
      </c>
      <c r="D379" s="2">
        <v>383</v>
      </c>
      <c r="E379" s="2">
        <v>448</v>
      </c>
      <c r="F379" s="19">
        <v>56</v>
      </c>
      <c r="G379" s="19">
        <v>29</v>
      </c>
      <c r="I379" s="10">
        <v>40086</v>
      </c>
      <c r="J379" s="27">
        <f t="shared" si="64"/>
        <v>174.56375838926175</v>
      </c>
      <c r="K379" s="11">
        <f t="shared" si="54"/>
        <v>179.25751867104543</v>
      </c>
      <c r="L379" s="11">
        <f t="shared" si="55"/>
        <v>194.33884212259974</v>
      </c>
      <c r="M379" s="27">
        <f t="shared" si="65"/>
        <v>248.88888888888889</v>
      </c>
      <c r="N379" s="27">
        <f t="shared" si="66"/>
        <v>250.44722719141325</v>
      </c>
      <c r="O379" s="27">
        <f t="shared" si="67"/>
        <v>205.67375886524823</v>
      </c>
      <c r="Q379" s="4">
        <v>1.49</v>
      </c>
      <c r="R379" s="4">
        <v>1815.8525733157076</v>
      </c>
      <c r="S379" s="4">
        <v>2338.2847000963566</v>
      </c>
      <c r="T379" s="4">
        <v>180</v>
      </c>
      <c r="U379" s="4">
        <v>22.36</v>
      </c>
      <c r="V379" s="4">
        <v>14.1</v>
      </c>
      <c r="W379" s="4"/>
      <c r="X379" s="7">
        <v>40086</v>
      </c>
      <c r="Y379" s="68">
        <v>3115.5522656500634</v>
      </c>
      <c r="Z379" s="68">
        <v>4161.1954116971629</v>
      </c>
    </row>
    <row r="380" spans="1:26" x14ac:dyDescent="0.3">
      <c r="A380" s="7">
        <v>40093</v>
      </c>
      <c r="B380" s="19">
        <v>2.5819999999999999</v>
      </c>
      <c r="C380" s="2">
        <v>100.5</v>
      </c>
      <c r="D380" s="2">
        <v>314.5</v>
      </c>
      <c r="E380" s="2">
        <v>467</v>
      </c>
      <c r="F380" s="19">
        <v>56</v>
      </c>
      <c r="G380" s="19">
        <v>29.5</v>
      </c>
      <c r="I380" s="10">
        <v>40093</v>
      </c>
      <c r="J380" s="27">
        <f t="shared" si="64"/>
        <v>173.28859060402684</v>
      </c>
      <c r="K380" s="11">
        <f t="shared" si="54"/>
        <v>180.15770247366675</v>
      </c>
      <c r="L380" s="11">
        <f t="shared" si="55"/>
        <v>194.54567395287003</v>
      </c>
      <c r="M380" s="27">
        <f t="shared" si="65"/>
        <v>259.44444444444446</v>
      </c>
      <c r="N380" s="27">
        <f t="shared" si="66"/>
        <v>250.44722719141325</v>
      </c>
      <c r="O380" s="27">
        <f t="shared" si="67"/>
        <v>209.21985815602838</v>
      </c>
      <c r="Q380" s="4">
        <v>1.49</v>
      </c>
      <c r="R380" s="4">
        <v>1815.8525733157076</v>
      </c>
      <c r="S380" s="4">
        <v>2338.2847000963566</v>
      </c>
      <c r="T380" s="4">
        <v>180</v>
      </c>
      <c r="U380" s="4">
        <v>22.36</v>
      </c>
      <c r="V380" s="4">
        <v>14.1</v>
      </c>
      <c r="W380" s="4"/>
      <c r="X380" s="7">
        <v>40093</v>
      </c>
      <c r="Y380" s="68">
        <v>3170.8982763945342</v>
      </c>
      <c r="Z380" s="68">
        <v>4234.5317287393027</v>
      </c>
    </row>
    <row r="381" spans="1:26" x14ac:dyDescent="0.3">
      <c r="A381" s="7">
        <v>40100</v>
      </c>
      <c r="B381" s="19">
        <v>2.6</v>
      </c>
      <c r="C381" s="2">
        <v>50</v>
      </c>
      <c r="D381" s="2">
        <v>379.5</v>
      </c>
      <c r="E381" s="2">
        <v>427</v>
      </c>
      <c r="F381" s="19">
        <v>58.5</v>
      </c>
      <c r="G381" s="19">
        <v>32</v>
      </c>
      <c r="I381" s="10">
        <v>40100</v>
      </c>
      <c r="J381" s="27">
        <f t="shared" si="64"/>
        <v>174.49664429530202</v>
      </c>
      <c r="K381" s="11">
        <f t="shared" si="54"/>
        <v>177.37663969675927</v>
      </c>
      <c r="L381" s="11">
        <f t="shared" si="55"/>
        <v>197.32548943031475</v>
      </c>
      <c r="M381" s="27">
        <f t="shared" si="65"/>
        <v>237.22222222222223</v>
      </c>
      <c r="N381" s="27">
        <f t="shared" si="66"/>
        <v>261.62790697674421</v>
      </c>
      <c r="O381" s="27">
        <f t="shared" si="67"/>
        <v>226.95035460992904</v>
      </c>
      <c r="Q381" s="4">
        <v>1.49</v>
      </c>
      <c r="R381" s="4">
        <v>1815.8525733157076</v>
      </c>
      <c r="S381" s="4">
        <v>2338.2847000963566</v>
      </c>
      <c r="T381" s="4">
        <v>180</v>
      </c>
      <c r="U381" s="4">
        <v>22.36</v>
      </c>
      <c r="V381" s="4">
        <v>14.1</v>
      </c>
      <c r="W381" s="4"/>
      <c r="X381" s="7">
        <v>40100</v>
      </c>
      <c r="Y381" s="68">
        <v>3170.8982763945342</v>
      </c>
      <c r="Z381" s="68">
        <v>4234.5317287393027</v>
      </c>
    </row>
    <row r="382" spans="1:26" x14ac:dyDescent="0.3">
      <c r="A382" s="7">
        <v>40107</v>
      </c>
      <c r="B382" s="19">
        <v>2.7050000000000001</v>
      </c>
      <c r="C382" s="2">
        <v>0</v>
      </c>
      <c r="D382" s="2">
        <v>562.5</v>
      </c>
      <c r="E382" s="2">
        <v>447</v>
      </c>
      <c r="F382" s="19">
        <v>59</v>
      </c>
      <c r="G382" s="19">
        <v>33.5</v>
      </c>
      <c r="I382" s="10">
        <v>40107</v>
      </c>
      <c r="J382" s="27">
        <f t="shared" si="64"/>
        <v>181.54362416107384</v>
      </c>
      <c r="K382" s="11">
        <f t="shared" si="54"/>
        <v>174.62311219487069</v>
      </c>
      <c r="L382" s="11">
        <f t="shared" si="55"/>
        <v>205.15173915912061</v>
      </c>
      <c r="M382" s="27">
        <f t="shared" si="65"/>
        <v>248.33333333333334</v>
      </c>
      <c r="N382" s="27">
        <f t="shared" si="66"/>
        <v>263.86404293381037</v>
      </c>
      <c r="O382" s="27">
        <f t="shared" si="67"/>
        <v>237.58865248226951</v>
      </c>
      <c r="Q382" s="4">
        <v>1.49</v>
      </c>
      <c r="R382" s="4">
        <v>1815.8525733157076</v>
      </c>
      <c r="S382" s="4">
        <v>2338.2847000963566</v>
      </c>
      <c r="T382" s="4">
        <v>180</v>
      </c>
      <c r="U382" s="4">
        <v>22.36</v>
      </c>
      <c r="V382" s="4">
        <v>14.1</v>
      </c>
      <c r="W382" s="4"/>
      <c r="X382" s="7">
        <v>40107</v>
      </c>
      <c r="Y382" s="68">
        <v>3170.8982763945342</v>
      </c>
      <c r="Z382" s="68">
        <v>4234.5317287393027</v>
      </c>
    </row>
    <row r="383" spans="1:26" x14ac:dyDescent="0.3">
      <c r="A383" s="7">
        <v>40114</v>
      </c>
      <c r="B383" s="19">
        <v>2.8010000000000002</v>
      </c>
      <c r="C383" s="2">
        <v>29</v>
      </c>
      <c r="D383" s="2">
        <v>425</v>
      </c>
      <c r="E383" s="2">
        <v>454</v>
      </c>
      <c r="F383" s="19">
        <v>64.75</v>
      </c>
      <c r="G383" s="19">
        <v>37</v>
      </c>
      <c r="I383" s="10">
        <v>40114</v>
      </c>
      <c r="J383" s="27">
        <f t="shared" si="64"/>
        <v>187.98657718120805</v>
      </c>
      <c r="K383" s="11">
        <f t="shared" si="54"/>
        <v>176.22015814596605</v>
      </c>
      <c r="L383" s="11">
        <f t="shared" si="55"/>
        <v>199.27136026452604</v>
      </c>
      <c r="M383" s="27">
        <f t="shared" si="65"/>
        <v>252.22222222222223</v>
      </c>
      <c r="N383" s="27">
        <f t="shared" si="66"/>
        <v>289.57960644007159</v>
      </c>
      <c r="O383" s="27">
        <f t="shared" si="67"/>
        <v>262.41134751773052</v>
      </c>
      <c r="Q383" s="4">
        <v>1.49</v>
      </c>
      <c r="R383" s="4">
        <v>1815.8525733157076</v>
      </c>
      <c r="S383" s="4">
        <v>2338.2847000963566</v>
      </c>
      <c r="T383" s="4">
        <v>180</v>
      </c>
      <c r="U383" s="4">
        <v>22.36</v>
      </c>
      <c r="V383" s="4">
        <v>14.1</v>
      </c>
      <c r="W383" s="4"/>
      <c r="X383" s="7">
        <v>40114</v>
      </c>
      <c r="Y383" s="68">
        <v>3170.8982763945342</v>
      </c>
      <c r="Z383" s="68">
        <v>4234.5317287393027</v>
      </c>
    </row>
    <row r="384" spans="1:26" x14ac:dyDescent="0.3">
      <c r="A384" s="7">
        <v>40121</v>
      </c>
      <c r="B384" s="19">
        <v>2.8079999999999998</v>
      </c>
      <c r="C384" s="2">
        <v>62.5</v>
      </c>
      <c r="D384" s="2">
        <v>293.5</v>
      </c>
      <c r="E384" s="2">
        <v>438</v>
      </c>
      <c r="F384" s="19">
        <v>66</v>
      </c>
      <c r="G384" s="19">
        <v>37</v>
      </c>
      <c r="I384" s="10">
        <v>40121</v>
      </c>
      <c r="J384" s="27">
        <f t="shared" si="64"/>
        <v>188.45637583892616</v>
      </c>
      <c r="K384" s="11">
        <f t="shared" si="54"/>
        <v>178.29509839185943</v>
      </c>
      <c r="L384" s="11">
        <f t="shared" si="55"/>
        <v>192.81896285612819</v>
      </c>
      <c r="M384" s="27">
        <f t="shared" si="65"/>
        <v>243.33333333333337</v>
      </c>
      <c r="N384" s="27">
        <f t="shared" si="66"/>
        <v>295.16994633273703</v>
      </c>
      <c r="O384" s="27">
        <f t="shared" si="67"/>
        <v>262.41134751773052</v>
      </c>
      <c r="Q384" s="4">
        <v>1.49</v>
      </c>
      <c r="R384" s="4">
        <v>1815.8525733157076</v>
      </c>
      <c r="S384" s="4">
        <v>2338.2847000963566</v>
      </c>
      <c r="T384" s="4">
        <v>180</v>
      </c>
      <c r="U384" s="4">
        <v>22.36</v>
      </c>
      <c r="V384" s="4">
        <v>14.1</v>
      </c>
      <c r="W384" s="4"/>
      <c r="X384" s="7">
        <v>40121</v>
      </c>
      <c r="Y384" s="68">
        <v>3175.0761322443518</v>
      </c>
      <c r="Z384" s="68">
        <v>4215.1563073493226</v>
      </c>
    </row>
    <row r="385" spans="1:26" x14ac:dyDescent="0.3">
      <c r="A385" s="7">
        <v>40128</v>
      </c>
      <c r="B385" s="19">
        <v>2.8010000000000002</v>
      </c>
      <c r="C385" s="2">
        <v>116.5</v>
      </c>
      <c r="D385" s="2">
        <v>275</v>
      </c>
      <c r="E385" s="2">
        <v>650</v>
      </c>
      <c r="F385" s="19">
        <v>70</v>
      </c>
      <c r="G385" s="19">
        <v>39.5</v>
      </c>
      <c r="I385" s="10">
        <v>40128</v>
      </c>
      <c r="J385" s="27">
        <f t="shared" si="64"/>
        <v>187.98657718120805</v>
      </c>
      <c r="K385" s="11">
        <f t="shared" si="54"/>
        <v>181.26890809389911</v>
      </c>
      <c r="L385" s="11">
        <f t="shared" si="55"/>
        <v>192.02778460485547</v>
      </c>
      <c r="M385" s="27">
        <f t="shared" si="65"/>
        <v>361.11111111111114</v>
      </c>
      <c r="N385" s="27">
        <f t="shared" si="66"/>
        <v>313.0590339892666</v>
      </c>
      <c r="O385" s="27">
        <f t="shared" si="67"/>
        <v>280.1418439716312</v>
      </c>
      <c r="Q385" s="4">
        <v>1.49</v>
      </c>
      <c r="R385" s="4">
        <v>1815.8525733157076</v>
      </c>
      <c r="S385" s="4">
        <v>2338.2847000963566</v>
      </c>
      <c r="T385" s="4">
        <v>180</v>
      </c>
      <c r="U385" s="4">
        <v>22.36</v>
      </c>
      <c r="V385" s="4">
        <v>14.1</v>
      </c>
      <c r="W385" s="4"/>
      <c r="X385" s="7">
        <v>40128</v>
      </c>
      <c r="Y385" s="68">
        <v>3175.0761322443518</v>
      </c>
      <c r="Z385" s="68">
        <v>4215.1563073493226</v>
      </c>
    </row>
    <row r="386" spans="1:26" x14ac:dyDescent="0.3">
      <c r="A386" s="7">
        <v>40135</v>
      </c>
      <c r="B386" s="19">
        <v>2.79</v>
      </c>
      <c r="C386" s="2">
        <v>325</v>
      </c>
      <c r="D386" s="2">
        <v>306.5</v>
      </c>
      <c r="E386" s="2">
        <v>426</v>
      </c>
      <c r="F386" s="19">
        <v>70</v>
      </c>
      <c r="G386" s="19">
        <v>43</v>
      </c>
      <c r="I386" s="10">
        <v>40135</v>
      </c>
      <c r="J386" s="27">
        <f t="shared" si="64"/>
        <v>187.24832214765101</v>
      </c>
      <c r="K386" s="11">
        <f t="shared" si="54"/>
        <v>192.75111777677461</v>
      </c>
      <c r="L386" s="11">
        <f t="shared" si="55"/>
        <v>193.37492595161714</v>
      </c>
      <c r="M386" s="27">
        <f t="shared" si="65"/>
        <v>236.66666666666666</v>
      </c>
      <c r="N386" s="27">
        <f t="shared" si="66"/>
        <v>313.0590339892666</v>
      </c>
      <c r="O386" s="27">
        <f t="shared" si="67"/>
        <v>304.96453900709218</v>
      </c>
      <c r="Q386" s="4">
        <v>1.49</v>
      </c>
      <c r="R386" s="4">
        <v>1815.8525733157076</v>
      </c>
      <c r="S386" s="4">
        <v>2338.2847000963566</v>
      </c>
      <c r="T386" s="4">
        <v>180</v>
      </c>
      <c r="U386" s="4">
        <v>22.36</v>
      </c>
      <c r="V386" s="4">
        <v>14.1</v>
      </c>
      <c r="W386" s="4"/>
      <c r="X386" s="7">
        <v>40135</v>
      </c>
      <c r="Y386" s="68">
        <v>3175.0761322443518</v>
      </c>
      <c r="Z386" s="68">
        <v>4215.1563073493226</v>
      </c>
    </row>
    <row r="387" spans="1:26" x14ac:dyDescent="0.3">
      <c r="A387" s="7">
        <v>40142</v>
      </c>
      <c r="B387" s="19">
        <v>2.7869999999999999</v>
      </c>
      <c r="C387" s="2">
        <v>129.5</v>
      </c>
      <c r="D387" s="2">
        <v>528.5</v>
      </c>
      <c r="E387" s="2">
        <v>404</v>
      </c>
      <c r="F387" s="19">
        <v>73.5</v>
      </c>
      <c r="G387" s="19">
        <v>46</v>
      </c>
      <c r="I387" s="10">
        <v>40142</v>
      </c>
      <c r="J387" s="27">
        <f t="shared" si="64"/>
        <v>187.04697986577182</v>
      </c>
      <c r="K387" s="11">
        <f t="shared" si="54"/>
        <v>181.98482524439015</v>
      </c>
      <c r="L387" s="11">
        <f t="shared" si="55"/>
        <v>202.86906496688982</v>
      </c>
      <c r="M387" s="27">
        <f t="shared" si="65"/>
        <v>224.44444444444446</v>
      </c>
      <c r="N387" s="27">
        <f t="shared" si="66"/>
        <v>328.7119856887299</v>
      </c>
      <c r="O387" s="27">
        <f t="shared" si="67"/>
        <v>326.24113475177302</v>
      </c>
      <c r="Q387" s="4">
        <v>1.49</v>
      </c>
      <c r="R387" s="4">
        <v>1815.8525733157076</v>
      </c>
      <c r="S387" s="4">
        <v>2338.2847000963566</v>
      </c>
      <c r="T387" s="4">
        <v>180</v>
      </c>
      <c r="U387" s="4">
        <v>22.36</v>
      </c>
      <c r="V387" s="4">
        <v>14.1</v>
      </c>
      <c r="W387" s="4"/>
      <c r="X387" s="7">
        <v>40142</v>
      </c>
      <c r="Y387" s="68">
        <v>3175.0761322443518</v>
      </c>
      <c r="Z387" s="68">
        <v>4215.1563073493226</v>
      </c>
    </row>
    <row r="388" spans="1:26" x14ac:dyDescent="0.3">
      <c r="A388" s="7">
        <v>40149</v>
      </c>
      <c r="B388" s="19">
        <v>2.7749999999999999</v>
      </c>
      <c r="C388" s="2">
        <v>185</v>
      </c>
      <c r="D388" s="2">
        <v>413</v>
      </c>
      <c r="E388" s="2">
        <v>400</v>
      </c>
      <c r="F388" s="19">
        <v>72</v>
      </c>
      <c r="G388" s="19">
        <v>44</v>
      </c>
      <c r="I388" s="10">
        <v>40149</v>
      </c>
      <c r="J388" s="27">
        <f t="shared" si="64"/>
        <v>186.24161073825502</v>
      </c>
      <c r="K388" s="11">
        <f t="shared" si="54"/>
        <v>186.6451210686327</v>
      </c>
      <c r="L388" s="11">
        <f t="shared" si="55"/>
        <v>200.83181555429627</v>
      </c>
      <c r="M388" s="27">
        <f t="shared" si="65"/>
        <v>222.22222222222223</v>
      </c>
      <c r="N388" s="27">
        <f t="shared" si="66"/>
        <v>322.00357781753132</v>
      </c>
      <c r="O388" s="27">
        <f t="shared" si="67"/>
        <v>312.05673758865248</v>
      </c>
      <c r="Q388" s="4">
        <v>1.49</v>
      </c>
      <c r="R388" s="4">
        <v>1815.8525733157076</v>
      </c>
      <c r="S388" s="4">
        <v>2338.2847000963566</v>
      </c>
      <c r="T388" s="4">
        <v>180</v>
      </c>
      <c r="U388" s="4">
        <v>22.36</v>
      </c>
      <c r="V388" s="4">
        <v>14.1</v>
      </c>
      <c r="W388" s="4"/>
      <c r="X388" s="7">
        <v>40149</v>
      </c>
      <c r="Y388" s="68">
        <v>3204.2002338929851</v>
      </c>
      <c r="Z388" s="68">
        <v>4283.0196160318437</v>
      </c>
    </row>
    <row r="389" spans="1:26" x14ac:dyDescent="0.3">
      <c r="A389" s="7">
        <v>40156</v>
      </c>
      <c r="B389" s="19">
        <v>2.77</v>
      </c>
      <c r="C389" s="2">
        <v>15.5</v>
      </c>
      <c r="D389" s="2">
        <v>198</v>
      </c>
      <c r="E389" s="2">
        <v>390</v>
      </c>
      <c r="F389" s="19">
        <v>70</v>
      </c>
      <c r="G389" s="19">
        <v>42</v>
      </c>
      <c r="I389" s="10">
        <v>40156</v>
      </c>
      <c r="J389" s="27">
        <f t="shared" ref="J389:J390" si="68">(1+(B389-Q389)/Q389)*100</f>
        <v>185.90604026845639</v>
      </c>
      <c r="K389" s="11">
        <f t="shared" si="54"/>
        <v>177.31066283723032</v>
      </c>
      <c r="L389" s="11">
        <f t="shared" si="55"/>
        <v>191.63704128274836</v>
      </c>
      <c r="M389" s="27">
        <f t="shared" ref="M389:M390" si="69">(1+(E389-T388)/T388)*100</f>
        <v>216.66666666666669</v>
      </c>
      <c r="N389" s="27">
        <f t="shared" ref="N389:N390" si="70">(1+(F389-U388)/U388)*100</f>
        <v>313.0590339892666</v>
      </c>
      <c r="O389" s="27">
        <f t="shared" ref="O389:O390" si="71">(1+(G389-V388)/V388)*100</f>
        <v>297.87234042553189</v>
      </c>
      <c r="Q389" s="4">
        <v>1.49</v>
      </c>
      <c r="R389" s="4">
        <v>1815.8525733157076</v>
      </c>
      <c r="S389" s="4">
        <v>2338.2847000963566</v>
      </c>
      <c r="T389" s="4">
        <v>180</v>
      </c>
      <c r="U389" s="4">
        <v>22.36</v>
      </c>
      <c r="V389" s="4">
        <v>14.1</v>
      </c>
      <c r="W389" s="4"/>
      <c r="X389" s="7">
        <v>40156</v>
      </c>
      <c r="Y389" s="68">
        <v>3204.2002338929851</v>
      </c>
      <c r="Z389" s="68">
        <v>4283.0196160318437</v>
      </c>
    </row>
    <row r="390" spans="1:26" x14ac:dyDescent="0.3">
      <c r="A390" s="7">
        <v>40163</v>
      </c>
      <c r="B390" s="19">
        <v>2.7480000000000002</v>
      </c>
      <c r="C390" s="2">
        <v>2</v>
      </c>
      <c r="D390" s="2">
        <v>-62.5</v>
      </c>
      <c r="E390" s="2">
        <v>362</v>
      </c>
      <c r="F390" s="19">
        <v>68</v>
      </c>
      <c r="G390" s="19">
        <v>39</v>
      </c>
      <c r="I390" s="10">
        <v>40163</v>
      </c>
      <c r="J390" s="27">
        <f t="shared" si="68"/>
        <v>184.42953020134229</v>
      </c>
      <c r="K390" s="11">
        <f t="shared" si="54"/>
        <v>176.5672104117204</v>
      </c>
      <c r="L390" s="11">
        <f t="shared" si="55"/>
        <v>180.49639617698921</v>
      </c>
      <c r="M390" s="27">
        <f t="shared" si="69"/>
        <v>201.11111111111111</v>
      </c>
      <c r="N390" s="27">
        <f t="shared" si="70"/>
        <v>304.11449016100175</v>
      </c>
      <c r="O390" s="27">
        <f t="shared" si="71"/>
        <v>276.59574468085106</v>
      </c>
      <c r="Q390" s="4">
        <v>1.49</v>
      </c>
      <c r="R390" s="4">
        <v>1815.8525733157076</v>
      </c>
      <c r="S390" s="4">
        <v>2338.2847000963566</v>
      </c>
      <c r="T390" s="4">
        <v>180</v>
      </c>
      <c r="U390" s="4">
        <v>22.36</v>
      </c>
      <c r="V390" s="4">
        <v>14.1</v>
      </c>
      <c r="W390" s="4"/>
      <c r="X390" s="7">
        <v>40163</v>
      </c>
      <c r="Y390" s="68">
        <v>3204.2002338929851</v>
      </c>
      <c r="Z390" s="68">
        <v>4283.0196160318437</v>
      </c>
    </row>
    <row r="391" spans="1:26" x14ac:dyDescent="0.3">
      <c r="A391" s="7">
        <v>40170</v>
      </c>
      <c r="B391" s="19">
        <v>2.726</v>
      </c>
      <c r="C391" s="2">
        <v>20</v>
      </c>
      <c r="D391" s="2">
        <v>50</v>
      </c>
      <c r="E391" s="2">
        <v>360</v>
      </c>
      <c r="F391" s="19">
        <v>68.5</v>
      </c>
      <c r="G391" s="19">
        <v>37.5</v>
      </c>
      <c r="I391" s="10">
        <v>40170</v>
      </c>
      <c r="J391" s="27">
        <f t="shared" ref="J391" si="72">(1+(B391-Q391)/Q391)*100</f>
        <v>182.95302013422818</v>
      </c>
      <c r="K391" s="11">
        <f t="shared" si="54"/>
        <v>177.55848031240032</v>
      </c>
      <c r="L391" s="11">
        <f t="shared" si="55"/>
        <v>185.30761527256658</v>
      </c>
      <c r="M391" s="27">
        <f t="shared" ref="M391" si="73">(1+(E391-T390)/T390)*100</f>
        <v>200</v>
      </c>
      <c r="N391" s="27">
        <f t="shared" ref="N391" si="74">(1+(F391-U390)/U390)*100</f>
        <v>306.35062611806802</v>
      </c>
      <c r="O391" s="27">
        <f t="shared" ref="O391" si="75">(1+(G391-V390)/V390)*100</f>
        <v>265.95744680851061</v>
      </c>
      <c r="Q391" s="4">
        <v>1.49</v>
      </c>
      <c r="R391" s="4">
        <v>1815.8525733157076</v>
      </c>
      <c r="S391" s="4">
        <v>2338.2847000963566</v>
      </c>
      <c r="T391" s="4">
        <v>180</v>
      </c>
      <c r="U391" s="4">
        <v>22.36</v>
      </c>
      <c r="V391" s="4">
        <v>14.1</v>
      </c>
      <c r="W391" s="4"/>
      <c r="X391" s="7">
        <v>40170</v>
      </c>
      <c r="Y391" s="68">
        <v>3204.2002338929851</v>
      </c>
      <c r="Z391" s="68">
        <v>4283.0196160318437</v>
      </c>
    </row>
    <row r="392" spans="1:26" x14ac:dyDescent="0.3">
      <c r="A392" s="7">
        <v>40177</v>
      </c>
      <c r="B392" s="19">
        <v>2.7320000000000002</v>
      </c>
      <c r="C392" s="2">
        <v>14.5</v>
      </c>
      <c r="D392" s="2">
        <v>82.5</v>
      </c>
      <c r="E392" s="2">
        <v>360</v>
      </c>
      <c r="F392" s="19">
        <v>68</v>
      </c>
      <c r="G392" s="19">
        <v>37</v>
      </c>
      <c r="I392" s="10">
        <v>40177</v>
      </c>
      <c r="J392" s="27">
        <f t="shared" ref="J392:J404" si="76">(1+(B392-Q392)/Q392)*100</f>
        <v>183.3557046979866</v>
      </c>
      <c r="K392" s="11">
        <f t="shared" si="54"/>
        <v>177.25559228719257</v>
      </c>
      <c r="L392" s="11">
        <f t="shared" si="55"/>
        <v>186.69752301128892</v>
      </c>
      <c r="M392" s="27">
        <f t="shared" ref="M392:M397" si="77">(1+(E392-T391)/T391)*100</f>
        <v>200</v>
      </c>
      <c r="N392" s="27">
        <f t="shared" ref="N392:N397" si="78">(1+(F392-U391)/U391)*100</f>
        <v>304.11449016100175</v>
      </c>
      <c r="O392" s="27">
        <f t="shared" ref="O392:O397" si="79">(1+(G392-V391)/V391)*100</f>
        <v>262.41134751773052</v>
      </c>
      <c r="Q392" s="4">
        <v>1.49</v>
      </c>
      <c r="R392" s="4">
        <v>1815.8525733157076</v>
      </c>
      <c r="S392" s="4">
        <v>2338.2847000963566</v>
      </c>
      <c r="T392" s="4">
        <v>180</v>
      </c>
      <c r="U392" s="4">
        <v>22.36</v>
      </c>
      <c r="V392" s="4">
        <v>14.1</v>
      </c>
      <c r="W392" s="4"/>
      <c r="X392" s="7">
        <v>40177</v>
      </c>
      <c r="Y392" s="68">
        <v>3204.2002338929851</v>
      </c>
      <c r="Z392" s="68">
        <v>4283.0196160318437</v>
      </c>
    </row>
    <row r="393" spans="1:26" x14ac:dyDescent="0.3">
      <c r="A393" s="7">
        <v>40184</v>
      </c>
      <c r="B393" s="19">
        <v>2.7970000000000002</v>
      </c>
      <c r="C393" s="2">
        <v>10.5</v>
      </c>
      <c r="D393" s="2">
        <v>242</v>
      </c>
      <c r="E393" s="2">
        <v>380</v>
      </c>
      <c r="F393" s="57" t="s">
        <v>19</v>
      </c>
      <c r="G393" s="57" t="s">
        <v>19</v>
      </c>
      <c r="I393" s="10">
        <v>40184</v>
      </c>
      <c r="J393" s="27">
        <f t="shared" si="76"/>
        <v>187.71812080536913</v>
      </c>
      <c r="K393" s="11">
        <f t="shared" ref="K393:K456" si="80">(C393+Y393)/R393*100</f>
        <v>179.06581027411369</v>
      </c>
      <c r="L393" s="11">
        <f t="shared" ref="L393:L456" si="81">(D393+Z393)/S393*100</f>
        <v>198.34714659927448</v>
      </c>
      <c r="M393" s="27">
        <f t="shared" si="77"/>
        <v>211.11111111111111</v>
      </c>
      <c r="N393" s="37" t="s">
        <v>19</v>
      </c>
      <c r="O393" s="37" t="s">
        <v>19</v>
      </c>
      <c r="Q393" s="4">
        <v>1.49</v>
      </c>
      <c r="R393" s="4">
        <v>1815.8525733157076</v>
      </c>
      <c r="S393" s="4">
        <v>2338.2847000963566</v>
      </c>
      <c r="T393" s="4">
        <v>180</v>
      </c>
      <c r="U393" s="4">
        <v>22.36</v>
      </c>
      <c r="V393" s="4">
        <v>14.1</v>
      </c>
      <c r="W393" s="4"/>
      <c r="X393" s="7">
        <v>40184</v>
      </c>
      <c r="Y393" s="68">
        <v>3241.0711237911164</v>
      </c>
      <c r="Z393" s="68">
        <v>4395.9209820085262</v>
      </c>
    </row>
    <row r="394" spans="1:26" x14ac:dyDescent="0.3">
      <c r="A394" s="7">
        <v>40191</v>
      </c>
      <c r="B394" s="19">
        <v>2.879</v>
      </c>
      <c r="C394" s="2">
        <v>0</v>
      </c>
      <c r="D394" s="2">
        <v>175</v>
      </c>
      <c r="E394" s="2">
        <v>386</v>
      </c>
      <c r="F394" s="19">
        <v>72</v>
      </c>
      <c r="G394" s="19">
        <v>42</v>
      </c>
      <c r="I394" s="10">
        <v>40191</v>
      </c>
      <c r="J394" s="27">
        <f t="shared" si="76"/>
        <v>193.22147651006711</v>
      </c>
      <c r="K394" s="11">
        <f t="shared" si="80"/>
        <v>178.48756949871708</v>
      </c>
      <c r="L394" s="11">
        <f t="shared" si="81"/>
        <v>195.4817983379084</v>
      </c>
      <c r="M394" s="27">
        <f t="shared" si="77"/>
        <v>214.44444444444443</v>
      </c>
      <c r="N394" s="27">
        <f t="shared" si="78"/>
        <v>322.00357781753132</v>
      </c>
      <c r="O394" s="27">
        <f t="shared" si="79"/>
        <v>297.87234042553189</v>
      </c>
      <c r="Q394" s="4">
        <v>1.49</v>
      </c>
      <c r="R394" s="4">
        <v>1815.8525733157076</v>
      </c>
      <c r="S394" s="4">
        <v>2338.2847000963566</v>
      </c>
      <c r="T394" s="4">
        <v>180</v>
      </c>
      <c r="U394" s="4">
        <v>22.36</v>
      </c>
      <c r="V394" s="4">
        <v>14.1</v>
      </c>
      <c r="W394" s="4"/>
      <c r="X394" s="7">
        <v>40191</v>
      </c>
      <c r="Y394" s="68">
        <v>3241.0711237911164</v>
      </c>
      <c r="Z394" s="68">
        <v>4395.9209820085262</v>
      </c>
    </row>
    <row r="395" spans="1:26" x14ac:dyDescent="0.3">
      <c r="A395" s="7">
        <v>40198</v>
      </c>
      <c r="B395" s="19">
        <v>2.87</v>
      </c>
      <c r="C395" s="2">
        <v>0</v>
      </c>
      <c r="D395" s="2">
        <v>125</v>
      </c>
      <c r="E395" s="2">
        <v>391</v>
      </c>
      <c r="F395" s="19">
        <v>70</v>
      </c>
      <c r="G395" s="19">
        <v>40</v>
      </c>
      <c r="I395" s="10">
        <v>40198</v>
      </c>
      <c r="J395" s="27">
        <f t="shared" si="76"/>
        <v>192.61744966442956</v>
      </c>
      <c r="K395" s="11">
        <f t="shared" si="80"/>
        <v>178.48756949871708</v>
      </c>
      <c r="L395" s="11">
        <f t="shared" si="81"/>
        <v>193.34347873987403</v>
      </c>
      <c r="M395" s="27">
        <f t="shared" si="77"/>
        <v>217.22222222222226</v>
      </c>
      <c r="N395" s="27">
        <f t="shared" si="78"/>
        <v>313.0590339892666</v>
      </c>
      <c r="O395" s="27">
        <f t="shared" si="79"/>
        <v>283.6879432624113</v>
      </c>
      <c r="Q395" s="4">
        <v>1.49</v>
      </c>
      <c r="R395" s="4">
        <v>1815.8525733157076</v>
      </c>
      <c r="S395" s="4">
        <v>2338.2847000963566</v>
      </c>
      <c r="T395" s="4">
        <v>180</v>
      </c>
      <c r="U395" s="4">
        <v>22.36</v>
      </c>
      <c r="V395" s="4">
        <v>14.1</v>
      </c>
      <c r="W395" s="4"/>
      <c r="X395" s="7">
        <v>40198</v>
      </c>
      <c r="Y395" s="68">
        <v>3241.0711237911164</v>
      </c>
      <c r="Z395" s="68">
        <v>4395.9209820085262</v>
      </c>
    </row>
    <row r="396" spans="1:26" x14ac:dyDescent="0.3">
      <c r="A396" s="7">
        <v>40205</v>
      </c>
      <c r="B396" s="19">
        <v>2.8330000000000002</v>
      </c>
      <c r="C396" s="2">
        <v>5.5</v>
      </c>
      <c r="D396" s="2">
        <v>169</v>
      </c>
      <c r="E396" s="2">
        <v>410</v>
      </c>
      <c r="F396" s="19">
        <v>68.5</v>
      </c>
      <c r="G396" s="19">
        <v>39</v>
      </c>
      <c r="I396" s="10">
        <v>40205</v>
      </c>
      <c r="J396" s="27">
        <f t="shared" si="76"/>
        <v>190.13422818791946</v>
      </c>
      <c r="K396" s="11">
        <f t="shared" si="80"/>
        <v>178.79045752392483</v>
      </c>
      <c r="L396" s="11">
        <f t="shared" si="81"/>
        <v>195.22519998614428</v>
      </c>
      <c r="M396" s="27">
        <f t="shared" si="77"/>
        <v>227.77777777777777</v>
      </c>
      <c r="N396" s="27">
        <f t="shared" si="78"/>
        <v>306.35062611806802</v>
      </c>
      <c r="O396" s="27">
        <f t="shared" si="79"/>
        <v>276.59574468085106</v>
      </c>
      <c r="Q396" s="4">
        <v>1.49</v>
      </c>
      <c r="R396" s="4">
        <v>1815.8525733157076</v>
      </c>
      <c r="S396" s="4">
        <v>2338.2847000963566</v>
      </c>
      <c r="T396" s="4">
        <v>180</v>
      </c>
      <c r="U396" s="4">
        <v>22.36</v>
      </c>
      <c r="V396" s="4">
        <v>14.1</v>
      </c>
      <c r="W396" s="4"/>
      <c r="X396" s="7">
        <v>40205</v>
      </c>
      <c r="Y396" s="68">
        <v>3241.0711237911164</v>
      </c>
      <c r="Z396" s="68">
        <v>4395.9209820085262</v>
      </c>
    </row>
    <row r="397" spans="1:26" x14ac:dyDescent="0.3">
      <c r="A397" s="7">
        <v>40212</v>
      </c>
      <c r="B397" s="19">
        <v>2.7810000000000001</v>
      </c>
      <c r="C397" s="2">
        <v>13</v>
      </c>
      <c r="D397" s="2">
        <v>181.5</v>
      </c>
      <c r="E397" s="2">
        <v>400</v>
      </c>
      <c r="F397" s="19">
        <v>67</v>
      </c>
      <c r="G397" s="19">
        <v>38</v>
      </c>
      <c r="I397" s="10">
        <v>40212</v>
      </c>
      <c r="J397" s="27">
        <f t="shared" si="76"/>
        <v>186.64429530201343</v>
      </c>
      <c r="K397" s="11">
        <f t="shared" si="80"/>
        <v>181.29970688765178</v>
      </c>
      <c r="L397" s="11">
        <f t="shared" si="81"/>
        <v>194.62707898208959</v>
      </c>
      <c r="M397" s="27">
        <f t="shared" si="77"/>
        <v>222.22222222222223</v>
      </c>
      <c r="N397" s="27">
        <f t="shared" si="78"/>
        <v>299.64221824686945</v>
      </c>
      <c r="O397" s="27">
        <f t="shared" si="79"/>
        <v>269.50354609929076</v>
      </c>
      <c r="Q397" s="4">
        <v>1.49</v>
      </c>
      <c r="R397" s="4">
        <v>1815.8525733157076</v>
      </c>
      <c r="S397" s="4">
        <v>2338.2847000963566</v>
      </c>
      <c r="T397" s="4">
        <v>180</v>
      </c>
      <c r="U397" s="4">
        <v>22.36</v>
      </c>
      <c r="V397" s="4">
        <v>14.1</v>
      </c>
      <c r="W397" s="4"/>
      <c r="X397" s="7">
        <v>40212</v>
      </c>
      <c r="Y397" s="68">
        <v>3279.1353929332599</v>
      </c>
      <c r="Z397" s="68">
        <v>4369.4352100826527</v>
      </c>
    </row>
    <row r="398" spans="1:26" x14ac:dyDescent="0.3">
      <c r="A398" s="7">
        <v>40219</v>
      </c>
      <c r="B398" s="58">
        <v>2.7690000000000001</v>
      </c>
      <c r="C398" s="2">
        <v>30.5</v>
      </c>
      <c r="D398" s="2">
        <v>369</v>
      </c>
      <c r="E398" s="2">
        <v>358</v>
      </c>
      <c r="F398" s="19">
        <v>63</v>
      </c>
      <c r="G398" s="19">
        <v>37</v>
      </c>
      <c r="I398" s="10">
        <v>40219</v>
      </c>
      <c r="J398" s="27">
        <f t="shared" si="76"/>
        <v>185.83892617449663</v>
      </c>
      <c r="K398" s="11">
        <f t="shared" si="80"/>
        <v>182.26344151331278</v>
      </c>
      <c r="L398" s="11">
        <f t="shared" si="81"/>
        <v>202.64577747471856</v>
      </c>
      <c r="M398" s="27">
        <f t="shared" ref="M398:M404" si="82">(1+(E398-T397)/T397)*100</f>
        <v>198.88888888888889</v>
      </c>
      <c r="N398" s="27">
        <f t="shared" ref="N398:N404" si="83">(1+(F398-U397)/U397)*100</f>
        <v>281.75313059033994</v>
      </c>
      <c r="O398" s="27">
        <f t="shared" ref="O398:O404" si="84">(1+(G398-V397)/V397)*100</f>
        <v>262.41134751773052</v>
      </c>
      <c r="Q398" s="4">
        <v>1.49</v>
      </c>
      <c r="R398" s="4">
        <v>1815.8525733157076</v>
      </c>
      <c r="S398" s="4">
        <v>2338.2847000963566</v>
      </c>
      <c r="T398" s="4">
        <v>180</v>
      </c>
      <c r="U398" s="4">
        <v>22.36</v>
      </c>
      <c r="V398" s="4">
        <v>14.1</v>
      </c>
      <c r="W398" s="4"/>
      <c r="X398" s="7">
        <v>40219</v>
      </c>
      <c r="Y398" s="68">
        <v>3279.1353929332599</v>
      </c>
      <c r="Z398" s="68">
        <v>4369.4352100826527</v>
      </c>
    </row>
    <row r="399" spans="1:26" x14ac:dyDescent="0.3">
      <c r="A399" s="7">
        <v>40226</v>
      </c>
      <c r="B399" s="19">
        <v>2.7559999999999998</v>
      </c>
      <c r="C399" s="2">
        <v>82</v>
      </c>
      <c r="D399" s="2">
        <v>400</v>
      </c>
      <c r="E399" s="2">
        <v>305</v>
      </c>
      <c r="F399" s="19">
        <v>61</v>
      </c>
      <c r="G399" s="19">
        <v>35</v>
      </c>
      <c r="I399" s="10">
        <v>40226</v>
      </c>
      <c r="J399" s="27">
        <f t="shared" si="76"/>
        <v>184.96644295302011</v>
      </c>
      <c r="K399" s="11">
        <f t="shared" si="80"/>
        <v>185.09957484025804</v>
      </c>
      <c r="L399" s="11">
        <f t="shared" si="81"/>
        <v>203.97153562549985</v>
      </c>
      <c r="M399" s="27">
        <f t="shared" si="82"/>
        <v>169.44444444444443</v>
      </c>
      <c r="N399" s="27">
        <f t="shared" si="83"/>
        <v>272.80858676207515</v>
      </c>
      <c r="O399" s="27">
        <f t="shared" si="84"/>
        <v>248.22695035460995</v>
      </c>
      <c r="Q399" s="4">
        <v>1.49</v>
      </c>
      <c r="R399" s="4">
        <v>1815.8525733157076</v>
      </c>
      <c r="S399" s="4">
        <v>2338.2847000963566</v>
      </c>
      <c r="T399" s="4">
        <v>180</v>
      </c>
      <c r="U399" s="4">
        <v>22.36</v>
      </c>
      <c r="V399" s="4">
        <v>14.1</v>
      </c>
      <c r="W399" s="4"/>
      <c r="X399" s="7">
        <v>40226</v>
      </c>
      <c r="Y399" s="68">
        <v>3279.1353929332599</v>
      </c>
      <c r="Z399" s="68">
        <v>4369.4352100826527</v>
      </c>
    </row>
    <row r="400" spans="1:26" x14ac:dyDescent="0.3">
      <c r="A400" s="7">
        <v>40233</v>
      </c>
      <c r="B400" s="19">
        <v>2.8319999999999999</v>
      </c>
      <c r="C400" s="2">
        <v>31.5</v>
      </c>
      <c r="D400" s="2">
        <v>244</v>
      </c>
      <c r="E400" s="2">
        <v>317</v>
      </c>
      <c r="F400" s="19">
        <v>63</v>
      </c>
      <c r="G400" s="19">
        <v>37</v>
      </c>
      <c r="I400" s="10">
        <v>40233</v>
      </c>
      <c r="J400" s="27">
        <f t="shared" si="76"/>
        <v>190.06711409395973</v>
      </c>
      <c r="K400" s="11">
        <f t="shared" si="80"/>
        <v>182.31851206335057</v>
      </c>
      <c r="L400" s="11">
        <f t="shared" si="81"/>
        <v>197.29997847963259</v>
      </c>
      <c r="M400" s="27">
        <f t="shared" si="82"/>
        <v>176.11111111111111</v>
      </c>
      <c r="N400" s="27">
        <f t="shared" si="83"/>
        <v>281.75313059033994</v>
      </c>
      <c r="O400" s="27">
        <f t="shared" si="84"/>
        <v>262.41134751773052</v>
      </c>
      <c r="Q400" s="4">
        <v>1.49</v>
      </c>
      <c r="R400" s="4">
        <v>1815.8525733157076</v>
      </c>
      <c r="S400" s="4">
        <v>2338.2847000963566</v>
      </c>
      <c r="T400" s="4">
        <v>180</v>
      </c>
      <c r="U400" s="4">
        <v>22.36</v>
      </c>
      <c r="V400" s="4">
        <v>14.1</v>
      </c>
      <c r="W400" s="4"/>
      <c r="X400" s="7">
        <v>40233</v>
      </c>
      <c r="Y400" s="68">
        <v>3279.1353929332599</v>
      </c>
      <c r="Z400" s="68">
        <v>4369.4352100826527</v>
      </c>
    </row>
    <row r="401" spans="1:26" x14ac:dyDescent="0.3">
      <c r="A401" s="7">
        <v>40240</v>
      </c>
      <c r="B401" s="19">
        <v>2.8610000000000002</v>
      </c>
      <c r="C401" s="2">
        <v>15</v>
      </c>
      <c r="D401" s="2">
        <v>139</v>
      </c>
      <c r="E401" s="2">
        <v>345</v>
      </c>
      <c r="F401" s="19">
        <v>65</v>
      </c>
      <c r="G401" s="19">
        <v>38</v>
      </c>
      <c r="I401" s="10">
        <v>40240</v>
      </c>
      <c r="J401" s="27">
        <f t="shared" si="76"/>
        <v>192.01342281879198</v>
      </c>
      <c r="K401" s="11">
        <f t="shared" si="80"/>
        <v>178.95131470807405</v>
      </c>
      <c r="L401" s="11">
        <f t="shared" si="81"/>
        <v>198.2218360589975</v>
      </c>
      <c r="M401" s="27">
        <f t="shared" si="82"/>
        <v>191.66666666666666</v>
      </c>
      <c r="N401" s="27">
        <f t="shared" si="83"/>
        <v>290.69767441860461</v>
      </c>
      <c r="O401" s="27">
        <f t="shared" si="84"/>
        <v>269.50354609929076</v>
      </c>
      <c r="Q401" s="4">
        <v>1.49</v>
      </c>
      <c r="R401" s="4">
        <v>1815.8525733157076</v>
      </c>
      <c r="S401" s="4">
        <v>2338.2847000963566</v>
      </c>
      <c r="T401" s="4">
        <v>180</v>
      </c>
      <c r="U401" s="4">
        <v>22.36</v>
      </c>
      <c r="V401" s="4">
        <v>14.1</v>
      </c>
      <c r="W401" s="4"/>
      <c r="X401" s="7">
        <v>40240</v>
      </c>
      <c r="Y401" s="68">
        <v>3234.4920531088528</v>
      </c>
      <c r="Z401" s="68">
        <v>4495.9908648176215</v>
      </c>
    </row>
    <row r="402" spans="1:26" x14ac:dyDescent="0.3">
      <c r="A402" s="7">
        <v>40247</v>
      </c>
      <c r="B402" s="19">
        <v>2.9039999999999999</v>
      </c>
      <c r="C402" s="2">
        <v>25.5</v>
      </c>
      <c r="D402" s="2">
        <v>243</v>
      </c>
      <c r="E402" s="2">
        <v>313</v>
      </c>
      <c r="F402" s="19">
        <v>68</v>
      </c>
      <c r="G402" s="19">
        <v>43</v>
      </c>
      <c r="I402" s="10">
        <v>40247</v>
      </c>
      <c r="J402" s="27">
        <f t="shared" si="76"/>
        <v>194.8993288590604</v>
      </c>
      <c r="K402" s="11">
        <f t="shared" si="80"/>
        <v>179.52955548347066</v>
      </c>
      <c r="L402" s="11">
        <f t="shared" si="81"/>
        <v>202.66954082290903</v>
      </c>
      <c r="M402" s="27">
        <f t="shared" si="82"/>
        <v>173.88888888888889</v>
      </c>
      <c r="N402" s="27">
        <f t="shared" si="83"/>
        <v>304.11449016100175</v>
      </c>
      <c r="O402" s="27">
        <f t="shared" si="84"/>
        <v>304.96453900709218</v>
      </c>
      <c r="Q402" s="4">
        <v>1.49</v>
      </c>
      <c r="R402" s="4">
        <v>1815.8525733157076</v>
      </c>
      <c r="S402" s="4">
        <v>2338.2847000963566</v>
      </c>
      <c r="T402" s="4">
        <v>180</v>
      </c>
      <c r="U402" s="4">
        <v>22.36</v>
      </c>
      <c r="V402" s="4">
        <v>14.1</v>
      </c>
      <c r="W402" s="4"/>
      <c r="X402" s="7">
        <v>40247</v>
      </c>
      <c r="Y402" s="68">
        <v>3234.4920531088528</v>
      </c>
      <c r="Z402" s="68">
        <v>4495.9908648176215</v>
      </c>
    </row>
    <row r="403" spans="1:26" x14ac:dyDescent="0.3">
      <c r="A403" s="7">
        <v>40254</v>
      </c>
      <c r="B403" s="19">
        <v>2.9239999999999999</v>
      </c>
      <c r="C403" s="2">
        <v>150</v>
      </c>
      <c r="D403" s="2">
        <v>256.5</v>
      </c>
      <c r="E403" s="2">
        <v>283</v>
      </c>
      <c r="F403" s="19">
        <v>70</v>
      </c>
      <c r="G403" s="19">
        <v>43</v>
      </c>
      <c r="I403" s="10">
        <v>40254</v>
      </c>
      <c r="J403" s="27">
        <f t="shared" si="76"/>
        <v>196.24161073825505</v>
      </c>
      <c r="K403" s="11">
        <f t="shared" si="80"/>
        <v>186.38583896317328</v>
      </c>
      <c r="L403" s="11">
        <f t="shared" si="81"/>
        <v>203.2468871143783</v>
      </c>
      <c r="M403" s="27">
        <f t="shared" si="82"/>
        <v>157.22222222222223</v>
      </c>
      <c r="N403" s="27">
        <f t="shared" si="83"/>
        <v>313.0590339892666</v>
      </c>
      <c r="O403" s="27">
        <f t="shared" si="84"/>
        <v>304.96453900709218</v>
      </c>
      <c r="Q403" s="4">
        <v>1.49</v>
      </c>
      <c r="R403" s="4">
        <v>1815.8525733157076</v>
      </c>
      <c r="S403" s="4">
        <v>2338.2847000963566</v>
      </c>
      <c r="T403" s="4">
        <v>180</v>
      </c>
      <c r="U403" s="4">
        <v>22.36</v>
      </c>
      <c r="V403" s="4">
        <v>14.1</v>
      </c>
      <c r="W403" s="4"/>
      <c r="X403" s="7">
        <v>40254</v>
      </c>
      <c r="Y403" s="68">
        <v>3234.4920531088528</v>
      </c>
      <c r="Z403" s="68">
        <v>4495.9908648176215</v>
      </c>
    </row>
    <row r="404" spans="1:26" x14ac:dyDescent="0.3">
      <c r="A404" s="7">
        <v>40261</v>
      </c>
      <c r="B404" s="19">
        <v>2.9460000000000002</v>
      </c>
      <c r="C404" s="2">
        <v>-6.5</v>
      </c>
      <c r="D404" s="2">
        <v>-137.5</v>
      </c>
      <c r="E404" s="2">
        <v>277</v>
      </c>
      <c r="F404" s="19">
        <v>71</v>
      </c>
      <c r="G404" s="19">
        <v>43</v>
      </c>
      <c r="I404" s="10">
        <v>40261</v>
      </c>
      <c r="J404" s="27">
        <f t="shared" si="76"/>
        <v>197.71812080536915</v>
      </c>
      <c r="K404" s="11">
        <f t="shared" si="80"/>
        <v>177.76729788226194</v>
      </c>
      <c r="L404" s="11">
        <f t="shared" si="81"/>
        <v>186.39692868186734</v>
      </c>
      <c r="M404" s="27">
        <f t="shared" si="82"/>
        <v>153.88888888888889</v>
      </c>
      <c r="N404" s="27">
        <f t="shared" si="83"/>
        <v>317.5313059033989</v>
      </c>
      <c r="O404" s="27">
        <f t="shared" si="84"/>
        <v>304.96453900709218</v>
      </c>
      <c r="Q404" s="4">
        <v>1.49</v>
      </c>
      <c r="R404" s="4">
        <v>1815.8525733157076</v>
      </c>
      <c r="S404" s="4">
        <v>2338.2847000963566</v>
      </c>
      <c r="T404" s="4">
        <v>180</v>
      </c>
      <c r="U404" s="4">
        <v>22.36</v>
      </c>
      <c r="V404" s="4">
        <v>14.1</v>
      </c>
      <c r="W404" s="4"/>
      <c r="X404" s="7">
        <v>40261</v>
      </c>
      <c r="Y404" s="68">
        <v>3234.4920531088528</v>
      </c>
      <c r="Z404" s="68">
        <v>4495.9908648176215</v>
      </c>
    </row>
    <row r="405" spans="1:26" x14ac:dyDescent="0.3">
      <c r="A405" s="7">
        <v>40268</v>
      </c>
      <c r="B405" s="19">
        <v>2.9390000000000001</v>
      </c>
      <c r="C405" s="2">
        <v>-21.5</v>
      </c>
      <c r="D405" s="2">
        <v>-189.5</v>
      </c>
      <c r="E405" s="2">
        <v>276</v>
      </c>
      <c r="F405" s="19">
        <v>69</v>
      </c>
      <c r="G405" s="19">
        <v>41</v>
      </c>
      <c r="I405" s="10">
        <v>40268</v>
      </c>
      <c r="J405" s="27">
        <f t="shared" ref="J405" si="85">(1+(B405-Q405)/Q405)*100</f>
        <v>197.24832214765101</v>
      </c>
      <c r="K405" s="11">
        <f t="shared" si="80"/>
        <v>176.94123963169537</v>
      </c>
      <c r="L405" s="11">
        <f t="shared" si="81"/>
        <v>184.17307629991157</v>
      </c>
      <c r="M405" s="27">
        <f t="shared" ref="M405" si="86">(1+(E405-T404)/T404)*100</f>
        <v>153.33333333333331</v>
      </c>
      <c r="N405" s="27">
        <f t="shared" ref="N405" si="87">(1+(F405-U404)/U404)*100</f>
        <v>308.58676207513417</v>
      </c>
      <c r="O405" s="27">
        <f t="shared" ref="O405" si="88">(1+(G405-V404)/V404)*100</f>
        <v>290.78014184397165</v>
      </c>
      <c r="Q405" s="4">
        <v>1.49</v>
      </c>
      <c r="R405" s="4">
        <v>1815.8525733157076</v>
      </c>
      <c r="S405" s="4">
        <v>2338.2847000963566</v>
      </c>
      <c r="T405" s="4">
        <v>180</v>
      </c>
      <c r="U405" s="4">
        <v>22.36</v>
      </c>
      <c r="V405" s="4">
        <v>14.1</v>
      </c>
      <c r="W405" s="4"/>
      <c r="X405" s="7">
        <v>40268</v>
      </c>
      <c r="Y405" s="68">
        <v>3234.4920531088528</v>
      </c>
      <c r="Z405" s="68">
        <v>4495.9908648176215</v>
      </c>
    </row>
    <row r="406" spans="1:26" x14ac:dyDescent="0.3">
      <c r="A406" s="7">
        <v>40275</v>
      </c>
      <c r="B406" s="19">
        <v>3.0150000000000001</v>
      </c>
      <c r="C406" s="2">
        <v>-21.5</v>
      </c>
      <c r="D406" s="2">
        <v>-217</v>
      </c>
      <c r="E406" s="2">
        <v>275</v>
      </c>
      <c r="F406" s="19">
        <v>67</v>
      </c>
      <c r="G406" s="19">
        <v>40</v>
      </c>
      <c r="I406" s="10">
        <v>40275</v>
      </c>
      <c r="J406" s="27">
        <f t="shared" ref="J406:J440" si="89">(1+(B406-Q406)/Q406)*100</f>
        <v>202.34899328859061</v>
      </c>
      <c r="K406" s="11">
        <f t="shared" si="80"/>
        <v>179.65415368794848</v>
      </c>
      <c r="L406" s="11">
        <f t="shared" si="81"/>
        <v>182.97601247694203</v>
      </c>
      <c r="M406" s="27">
        <f t="shared" ref="M406:M440" si="90">(1+(E406-T405)/T405)*100</f>
        <v>152.77777777777777</v>
      </c>
      <c r="N406" s="27">
        <f t="shared" ref="N406:N440" si="91">(1+(F406-U405)/U405)*100</f>
        <v>299.64221824686945</v>
      </c>
      <c r="O406" s="27">
        <f t="shared" ref="O406:O440" si="92">(1+(G406-V405)/V405)*100</f>
        <v>283.6879432624113</v>
      </c>
      <c r="Q406" s="4">
        <v>1.49</v>
      </c>
      <c r="R406" s="4">
        <v>1815.8525733157076</v>
      </c>
      <c r="S406" s="4">
        <v>2338.2847000963566</v>
      </c>
      <c r="T406" s="4">
        <v>180</v>
      </c>
      <c r="U406" s="4">
        <v>22.36</v>
      </c>
      <c r="V406" s="4">
        <v>14.1</v>
      </c>
      <c r="W406" s="4"/>
      <c r="X406" s="7">
        <v>40275</v>
      </c>
      <c r="Y406" s="68">
        <v>3283.7545728111686</v>
      </c>
      <c r="Z406" s="68">
        <v>4495.5001045947356</v>
      </c>
    </row>
    <row r="407" spans="1:26" x14ac:dyDescent="0.3">
      <c r="A407" s="7">
        <v>40282</v>
      </c>
      <c r="B407" s="19">
        <v>3.069</v>
      </c>
      <c r="C407" s="2">
        <v>-15.5</v>
      </c>
      <c r="D407" s="2">
        <v>-194</v>
      </c>
      <c r="E407" s="2">
        <v>275</v>
      </c>
      <c r="F407" s="19">
        <v>70</v>
      </c>
      <c r="G407" s="19">
        <v>42</v>
      </c>
      <c r="I407" s="10">
        <v>40282</v>
      </c>
      <c r="J407" s="27">
        <f t="shared" si="89"/>
        <v>205.9731543624161</v>
      </c>
      <c r="K407" s="11">
        <f t="shared" si="80"/>
        <v>179.98457698817512</v>
      </c>
      <c r="L407" s="11">
        <f t="shared" si="81"/>
        <v>183.95963949203784</v>
      </c>
      <c r="M407" s="27">
        <f t="shared" si="90"/>
        <v>152.77777777777777</v>
      </c>
      <c r="N407" s="27">
        <f t="shared" si="91"/>
        <v>313.0590339892666</v>
      </c>
      <c r="O407" s="27">
        <f t="shared" si="92"/>
        <v>297.87234042553189</v>
      </c>
      <c r="Q407" s="4">
        <v>1.49</v>
      </c>
      <c r="R407" s="4">
        <v>1815.8525733157076</v>
      </c>
      <c r="S407" s="4">
        <v>2338.2847000963566</v>
      </c>
      <c r="T407" s="4">
        <v>180</v>
      </c>
      <c r="U407" s="4">
        <v>22.36</v>
      </c>
      <c r="V407" s="4">
        <v>14.1</v>
      </c>
      <c r="W407" s="4"/>
      <c r="X407" s="7">
        <v>40282</v>
      </c>
      <c r="Y407" s="68">
        <v>3283.7545728111686</v>
      </c>
      <c r="Z407" s="68">
        <v>4495.5001045947356</v>
      </c>
    </row>
    <row r="408" spans="1:26" x14ac:dyDescent="0.3">
      <c r="A408" s="7">
        <v>40289</v>
      </c>
      <c r="B408" s="19">
        <v>3.0739999999999998</v>
      </c>
      <c r="C408" s="2">
        <v>-13</v>
      </c>
      <c r="D408" s="2">
        <v>-206.5</v>
      </c>
      <c r="E408" s="2">
        <v>275</v>
      </c>
      <c r="F408" s="19">
        <v>70</v>
      </c>
      <c r="G408" s="19">
        <v>41</v>
      </c>
      <c r="I408" s="10">
        <v>40289</v>
      </c>
      <c r="J408" s="27">
        <f t="shared" si="89"/>
        <v>206.30872483221475</v>
      </c>
      <c r="K408" s="11">
        <f t="shared" si="80"/>
        <v>180.12225336326955</v>
      </c>
      <c r="L408" s="11">
        <f t="shared" si="81"/>
        <v>183.42505959252924</v>
      </c>
      <c r="M408" s="27">
        <f t="shared" si="90"/>
        <v>152.77777777777777</v>
      </c>
      <c r="N408" s="27">
        <f t="shared" si="91"/>
        <v>313.0590339892666</v>
      </c>
      <c r="O408" s="27">
        <f t="shared" si="92"/>
        <v>290.78014184397165</v>
      </c>
      <c r="Q408" s="4">
        <v>1.49</v>
      </c>
      <c r="R408" s="4">
        <v>1815.8525733157076</v>
      </c>
      <c r="S408" s="4">
        <v>2338.2847000963566</v>
      </c>
      <c r="T408" s="4">
        <v>180</v>
      </c>
      <c r="U408" s="4">
        <v>22.36</v>
      </c>
      <c r="V408" s="4">
        <v>14.1</v>
      </c>
      <c r="W408" s="4"/>
      <c r="X408" s="7">
        <v>40289</v>
      </c>
      <c r="Y408" s="68">
        <v>3283.7545728111686</v>
      </c>
      <c r="Z408" s="68">
        <v>4495.5001045947356</v>
      </c>
    </row>
    <row r="409" spans="1:26" x14ac:dyDescent="0.3">
      <c r="A409" s="7">
        <v>40296</v>
      </c>
      <c r="B409" s="19">
        <v>3.0779999999999998</v>
      </c>
      <c r="C409" s="2">
        <v>-11</v>
      </c>
      <c r="D409" s="2">
        <v>-196</v>
      </c>
      <c r="E409" s="2">
        <v>308</v>
      </c>
      <c r="F409" s="19">
        <v>69</v>
      </c>
      <c r="G409" s="19">
        <v>39</v>
      </c>
      <c r="I409" s="10">
        <v>40296</v>
      </c>
      <c r="J409" s="27">
        <f t="shared" si="89"/>
        <v>206.57718120805367</v>
      </c>
      <c r="K409" s="11">
        <f t="shared" si="80"/>
        <v>180.23239446334509</v>
      </c>
      <c r="L409" s="11">
        <f t="shared" si="81"/>
        <v>183.87410670811647</v>
      </c>
      <c r="M409" s="27">
        <f t="shared" si="90"/>
        <v>171.11111111111111</v>
      </c>
      <c r="N409" s="27">
        <f t="shared" si="91"/>
        <v>308.58676207513417</v>
      </c>
      <c r="O409" s="27">
        <f t="shared" si="92"/>
        <v>276.59574468085106</v>
      </c>
      <c r="Q409" s="4">
        <v>1.49</v>
      </c>
      <c r="R409" s="4">
        <v>1815.8525733157076</v>
      </c>
      <c r="S409" s="4">
        <v>2338.2847000963566</v>
      </c>
      <c r="T409" s="4">
        <v>180</v>
      </c>
      <c r="U409" s="4">
        <v>22.36</v>
      </c>
      <c r="V409" s="4">
        <v>14.1</v>
      </c>
      <c r="W409" s="4"/>
      <c r="X409" s="7">
        <v>40296</v>
      </c>
      <c r="Y409" s="68">
        <v>3283.7545728111686</v>
      </c>
      <c r="Z409" s="68">
        <v>4495.5001045947356</v>
      </c>
    </row>
    <row r="410" spans="1:26" x14ac:dyDescent="0.3">
      <c r="A410" s="7">
        <v>40303</v>
      </c>
      <c r="B410" s="19">
        <v>3.1219999999999999</v>
      </c>
      <c r="C410" s="2">
        <v>-3.5</v>
      </c>
      <c r="D410" s="2">
        <v>-241</v>
      </c>
      <c r="E410" s="2">
        <v>340</v>
      </c>
      <c r="F410" s="19">
        <v>70</v>
      </c>
      <c r="G410" s="19">
        <v>40</v>
      </c>
      <c r="I410" s="10">
        <v>40303</v>
      </c>
      <c r="J410" s="27">
        <f t="shared" si="89"/>
        <v>209.53020134228186</v>
      </c>
      <c r="K410" s="11">
        <f t="shared" si="80"/>
        <v>178.68259493927164</v>
      </c>
      <c r="L410" s="11">
        <f t="shared" si="81"/>
        <v>180.37256105076668</v>
      </c>
      <c r="M410" s="27">
        <f t="shared" si="90"/>
        <v>188.88888888888889</v>
      </c>
      <c r="N410" s="27">
        <f t="shared" si="91"/>
        <v>313.0590339892666</v>
      </c>
      <c r="O410" s="27">
        <f t="shared" si="92"/>
        <v>283.6879432624113</v>
      </c>
      <c r="Q410" s="4">
        <v>1.49</v>
      </c>
      <c r="R410" s="4">
        <v>1815.8525733157076</v>
      </c>
      <c r="S410" s="4">
        <v>2338.2847000963566</v>
      </c>
      <c r="T410" s="4">
        <v>180</v>
      </c>
      <c r="U410" s="4">
        <v>22.36</v>
      </c>
      <c r="V410" s="4">
        <v>14.1</v>
      </c>
      <c r="W410" s="4"/>
      <c r="X410" s="7">
        <v>40303</v>
      </c>
      <c r="Y410" s="68">
        <v>3248.1124982720462</v>
      </c>
      <c r="Z410" s="68">
        <v>4458.6239982220368</v>
      </c>
    </row>
    <row r="411" spans="1:26" x14ac:dyDescent="0.3">
      <c r="A411" s="7">
        <v>40310</v>
      </c>
      <c r="B411" s="19">
        <v>3.1269999999999998</v>
      </c>
      <c r="C411" s="2">
        <v>-5</v>
      </c>
      <c r="D411" s="2">
        <v>-269</v>
      </c>
      <c r="E411" s="2">
        <v>383</v>
      </c>
      <c r="F411" s="19">
        <v>72</v>
      </c>
      <c r="G411" s="19">
        <v>42</v>
      </c>
      <c r="I411" s="10">
        <v>40310</v>
      </c>
      <c r="J411" s="27">
        <f t="shared" si="89"/>
        <v>209.86577181208054</v>
      </c>
      <c r="K411" s="11">
        <f t="shared" si="80"/>
        <v>178.59998911421496</v>
      </c>
      <c r="L411" s="11">
        <f t="shared" si="81"/>
        <v>179.17510207586739</v>
      </c>
      <c r="M411" s="27">
        <f t="shared" si="90"/>
        <v>212.77777777777777</v>
      </c>
      <c r="N411" s="27">
        <f t="shared" si="91"/>
        <v>322.00357781753132</v>
      </c>
      <c r="O411" s="27">
        <f t="shared" si="92"/>
        <v>297.87234042553189</v>
      </c>
      <c r="Q411" s="4">
        <v>1.49</v>
      </c>
      <c r="R411" s="4">
        <v>1815.8525733157076</v>
      </c>
      <c r="S411" s="4">
        <v>2338.2847000963566</v>
      </c>
      <c r="T411" s="4">
        <v>180</v>
      </c>
      <c r="U411" s="4">
        <v>22.36</v>
      </c>
      <c r="V411" s="4">
        <v>14.1</v>
      </c>
      <c r="W411" s="4"/>
      <c r="X411" s="7">
        <v>40310</v>
      </c>
      <c r="Y411" s="68">
        <v>3248.1124982720462</v>
      </c>
      <c r="Z411" s="68">
        <v>4458.6239982220368</v>
      </c>
    </row>
    <row r="412" spans="1:26" x14ac:dyDescent="0.3">
      <c r="A412" s="7">
        <v>40317</v>
      </c>
      <c r="B412" s="19">
        <v>3.0939999999999999</v>
      </c>
      <c r="C412" s="2">
        <v>0</v>
      </c>
      <c r="D412" s="2">
        <v>-262.5</v>
      </c>
      <c r="E412" s="2">
        <v>417</v>
      </c>
      <c r="F412" s="19">
        <v>72</v>
      </c>
      <c r="G412" s="19">
        <v>43</v>
      </c>
      <c r="I412" s="10">
        <v>40317</v>
      </c>
      <c r="J412" s="27">
        <f t="shared" si="89"/>
        <v>207.65100671140937</v>
      </c>
      <c r="K412" s="11">
        <f t="shared" si="80"/>
        <v>178.87534186440382</v>
      </c>
      <c r="L412" s="11">
        <f t="shared" si="81"/>
        <v>179.45308362361189</v>
      </c>
      <c r="M412" s="27">
        <f t="shared" si="90"/>
        <v>231.66666666666663</v>
      </c>
      <c r="N412" s="27">
        <f t="shared" si="91"/>
        <v>322.00357781753132</v>
      </c>
      <c r="O412" s="27">
        <f t="shared" si="92"/>
        <v>304.96453900709218</v>
      </c>
      <c r="Q412" s="4">
        <v>1.49</v>
      </c>
      <c r="R412" s="4">
        <v>1815.8525733157076</v>
      </c>
      <c r="S412" s="4">
        <v>2338.2847000963566</v>
      </c>
      <c r="T412" s="4">
        <v>180</v>
      </c>
      <c r="U412" s="4">
        <v>22.36</v>
      </c>
      <c r="V412" s="4">
        <v>14.1</v>
      </c>
      <c r="W412" s="4"/>
      <c r="X412" s="7">
        <v>40317</v>
      </c>
      <c r="Y412" s="68">
        <v>3248.1124982720462</v>
      </c>
      <c r="Z412" s="68">
        <v>4458.6239982220368</v>
      </c>
    </row>
    <row r="413" spans="1:26" x14ac:dyDescent="0.3">
      <c r="A413" s="7">
        <v>40324</v>
      </c>
      <c r="B413" s="19">
        <v>3.0209999999999999</v>
      </c>
      <c r="C413" s="2">
        <v>1</v>
      </c>
      <c r="D413" s="2">
        <v>-244</v>
      </c>
      <c r="E413" s="2">
        <v>338</v>
      </c>
      <c r="F413" s="19">
        <v>73</v>
      </c>
      <c r="G413" s="19">
        <v>43</v>
      </c>
      <c r="I413" s="10">
        <v>40324</v>
      </c>
      <c r="J413" s="27">
        <f t="shared" si="89"/>
        <v>202.75167785234899</v>
      </c>
      <c r="K413" s="11">
        <f t="shared" si="80"/>
        <v>178.93041241444161</v>
      </c>
      <c r="L413" s="11">
        <f t="shared" si="81"/>
        <v>180.24426187488461</v>
      </c>
      <c r="M413" s="27">
        <f t="shared" si="90"/>
        <v>187.77777777777777</v>
      </c>
      <c r="N413" s="27">
        <f t="shared" si="91"/>
        <v>326.47584973166369</v>
      </c>
      <c r="O413" s="27">
        <f t="shared" si="92"/>
        <v>304.96453900709218</v>
      </c>
      <c r="Q413" s="4">
        <v>1.49</v>
      </c>
      <c r="R413" s="4">
        <v>1815.8525733157076</v>
      </c>
      <c r="S413" s="4">
        <v>2338.2847000963566</v>
      </c>
      <c r="T413" s="4">
        <v>180</v>
      </c>
      <c r="U413" s="4">
        <v>22.36</v>
      </c>
      <c r="V413" s="4">
        <v>14.1</v>
      </c>
      <c r="W413" s="4"/>
      <c r="X413" s="7">
        <v>40324</v>
      </c>
      <c r="Y413" s="68">
        <v>3248.1124982720462</v>
      </c>
      <c r="Z413" s="68">
        <v>4458.6239982220368</v>
      </c>
    </row>
    <row r="414" spans="1:26" x14ac:dyDescent="0.3">
      <c r="A414" s="7">
        <v>40331</v>
      </c>
      <c r="B414" s="19">
        <v>2.98</v>
      </c>
      <c r="C414" s="2">
        <v>2</v>
      </c>
      <c r="D414" s="2">
        <v>-264.5</v>
      </c>
      <c r="E414" s="2">
        <v>314</v>
      </c>
      <c r="F414" s="19">
        <v>71.5</v>
      </c>
      <c r="G414" s="19">
        <v>41</v>
      </c>
      <c r="I414" s="10">
        <v>40331</v>
      </c>
      <c r="J414" s="27">
        <f t="shared" si="89"/>
        <v>200</v>
      </c>
      <c r="K414" s="11">
        <f t="shared" si="80"/>
        <v>184.37121974908138</v>
      </c>
      <c r="L414" s="11">
        <f t="shared" si="81"/>
        <v>175.00399002092152</v>
      </c>
      <c r="M414" s="27">
        <f t="shared" si="90"/>
        <v>174.44444444444446</v>
      </c>
      <c r="N414" s="27">
        <f t="shared" si="91"/>
        <v>319.76744186046511</v>
      </c>
      <c r="O414" s="27">
        <f t="shared" si="92"/>
        <v>290.78014184397165</v>
      </c>
      <c r="Q414" s="4">
        <v>1.49</v>
      </c>
      <c r="R414" s="4">
        <v>1815.8525733157076</v>
      </c>
      <c r="S414" s="4">
        <v>2338.2847000963566</v>
      </c>
      <c r="T414" s="4">
        <v>180</v>
      </c>
      <c r="U414" s="4">
        <v>22.36</v>
      </c>
      <c r="V414" s="4">
        <v>14.1</v>
      </c>
      <c r="W414" s="4"/>
      <c r="X414" s="7">
        <v>40331</v>
      </c>
      <c r="Y414" s="68">
        <v>3345.9095382672522</v>
      </c>
      <c r="Z414" s="68">
        <v>4356.591523217362</v>
      </c>
    </row>
    <row r="415" spans="1:26" x14ac:dyDescent="0.3">
      <c r="A415" s="7">
        <v>40338</v>
      </c>
      <c r="B415" s="19">
        <v>2.9460000000000002</v>
      </c>
      <c r="C415" s="2">
        <v>4</v>
      </c>
      <c r="D415" s="2">
        <v>-333.5</v>
      </c>
      <c r="E415" s="2">
        <v>294</v>
      </c>
      <c r="F415" s="19">
        <v>70</v>
      </c>
      <c r="G415" s="19">
        <v>38</v>
      </c>
      <c r="I415" s="10">
        <v>40338</v>
      </c>
      <c r="J415" s="27">
        <f t="shared" si="89"/>
        <v>197.71812080536915</v>
      </c>
      <c r="K415" s="11">
        <f t="shared" si="80"/>
        <v>184.48136084915691</v>
      </c>
      <c r="L415" s="11">
        <f t="shared" si="81"/>
        <v>172.05310897563405</v>
      </c>
      <c r="M415" s="27">
        <f t="shared" si="90"/>
        <v>163.33333333333334</v>
      </c>
      <c r="N415" s="27">
        <f t="shared" si="91"/>
        <v>313.0590339892666</v>
      </c>
      <c r="O415" s="27">
        <f t="shared" si="92"/>
        <v>269.50354609929076</v>
      </c>
      <c r="Q415" s="4">
        <v>1.49</v>
      </c>
      <c r="R415" s="4">
        <v>1815.8525733157076</v>
      </c>
      <c r="S415" s="4">
        <v>2338.2847000963566</v>
      </c>
      <c r="T415" s="4">
        <v>180</v>
      </c>
      <c r="U415" s="4">
        <v>22.36</v>
      </c>
      <c r="V415" s="4">
        <v>14.1</v>
      </c>
      <c r="W415" s="4"/>
      <c r="X415" s="7">
        <v>40338</v>
      </c>
      <c r="Y415" s="68">
        <v>3345.9095382672522</v>
      </c>
      <c r="Z415" s="68">
        <v>4356.591523217362</v>
      </c>
    </row>
    <row r="416" spans="1:26" x14ac:dyDescent="0.3">
      <c r="A416" s="7">
        <v>40345</v>
      </c>
      <c r="B416" s="19">
        <v>2.9279999999999999</v>
      </c>
      <c r="C416" s="2">
        <v>-63</v>
      </c>
      <c r="D416" s="2">
        <v>-425</v>
      </c>
      <c r="E416" s="2">
        <v>299</v>
      </c>
      <c r="F416" s="19">
        <v>68.5</v>
      </c>
      <c r="G416" s="19">
        <v>37</v>
      </c>
      <c r="I416" s="10">
        <v>40345</v>
      </c>
      <c r="J416" s="27">
        <f t="shared" si="89"/>
        <v>196.51006711409394</v>
      </c>
      <c r="K416" s="11">
        <f t="shared" si="80"/>
        <v>180.79163399662619</v>
      </c>
      <c r="L416" s="11">
        <f t="shared" si="81"/>
        <v>168.13998411123112</v>
      </c>
      <c r="M416" s="27">
        <f t="shared" si="90"/>
        <v>166.11111111111109</v>
      </c>
      <c r="N416" s="27">
        <f t="shared" si="91"/>
        <v>306.35062611806802</v>
      </c>
      <c r="O416" s="27">
        <f t="shared" si="92"/>
        <v>262.41134751773052</v>
      </c>
      <c r="Q416" s="4">
        <v>1.49</v>
      </c>
      <c r="R416" s="4">
        <v>1815.8525733157076</v>
      </c>
      <c r="S416" s="4">
        <v>2338.2847000963566</v>
      </c>
      <c r="T416" s="4">
        <v>180</v>
      </c>
      <c r="U416" s="4">
        <v>22.36</v>
      </c>
      <c r="V416" s="4">
        <v>14.1</v>
      </c>
      <c r="W416" s="4"/>
      <c r="X416" s="7">
        <v>40345</v>
      </c>
      <c r="Y416" s="68">
        <v>3345.9095382672522</v>
      </c>
      <c r="Z416" s="68">
        <v>4356.591523217362</v>
      </c>
    </row>
    <row r="417" spans="1:26" x14ac:dyDescent="0.3">
      <c r="A417" s="7">
        <v>40352</v>
      </c>
      <c r="B417" s="19">
        <v>2.9609999999999999</v>
      </c>
      <c r="C417" s="2">
        <v>-6</v>
      </c>
      <c r="D417" s="2">
        <v>-387.5</v>
      </c>
      <c r="E417" s="2">
        <v>298</v>
      </c>
      <c r="F417" s="19">
        <v>66.5</v>
      </c>
      <c r="G417" s="19">
        <v>34</v>
      </c>
      <c r="I417" s="10">
        <v>40352</v>
      </c>
      <c r="J417" s="27">
        <f t="shared" si="89"/>
        <v>198.72483221476509</v>
      </c>
      <c r="K417" s="11">
        <f t="shared" si="80"/>
        <v>183.9306553487792</v>
      </c>
      <c r="L417" s="11">
        <f t="shared" si="81"/>
        <v>169.74372380975691</v>
      </c>
      <c r="M417" s="27">
        <f t="shared" si="90"/>
        <v>165.55555555555554</v>
      </c>
      <c r="N417" s="27">
        <f t="shared" si="91"/>
        <v>297.40608228980318</v>
      </c>
      <c r="O417" s="27">
        <f t="shared" si="92"/>
        <v>241.13475177304963</v>
      </c>
      <c r="Q417" s="4">
        <v>1.49</v>
      </c>
      <c r="R417" s="4">
        <v>1815.8525733157076</v>
      </c>
      <c r="S417" s="4">
        <v>2338.2847000963566</v>
      </c>
      <c r="T417" s="4">
        <v>180</v>
      </c>
      <c r="U417" s="4">
        <v>22.36</v>
      </c>
      <c r="V417" s="4">
        <v>14.1</v>
      </c>
      <c r="W417" s="4"/>
      <c r="X417" s="7">
        <v>40352</v>
      </c>
      <c r="Y417" s="68">
        <v>3345.9095382672522</v>
      </c>
      <c r="Z417" s="68">
        <v>4356.591523217362</v>
      </c>
    </row>
    <row r="418" spans="1:26" x14ac:dyDescent="0.3">
      <c r="A418" s="7">
        <v>40359</v>
      </c>
      <c r="B418" s="19">
        <v>2.956</v>
      </c>
      <c r="C418" s="2">
        <v>4</v>
      </c>
      <c r="D418" s="2">
        <v>-225</v>
      </c>
      <c r="E418" s="2">
        <v>296</v>
      </c>
      <c r="F418" s="19">
        <v>62</v>
      </c>
      <c r="G418" s="19">
        <v>33</v>
      </c>
      <c r="I418" s="10">
        <v>40359</v>
      </c>
      <c r="J418" s="27">
        <f t="shared" si="89"/>
        <v>198.38926174496643</v>
      </c>
      <c r="K418" s="11">
        <f t="shared" si="80"/>
        <v>184.48136084915691</v>
      </c>
      <c r="L418" s="11">
        <f t="shared" si="81"/>
        <v>176.69326250336866</v>
      </c>
      <c r="M418" s="27">
        <f t="shared" si="90"/>
        <v>164.44444444444443</v>
      </c>
      <c r="N418" s="27">
        <f t="shared" si="91"/>
        <v>277.28085867620752</v>
      </c>
      <c r="O418" s="27">
        <f t="shared" si="92"/>
        <v>234.04255319148933</v>
      </c>
      <c r="Q418" s="4">
        <v>1.49</v>
      </c>
      <c r="R418" s="4">
        <v>1815.8525733157076</v>
      </c>
      <c r="S418" s="4">
        <v>2338.2847000963566</v>
      </c>
      <c r="T418" s="4">
        <v>180</v>
      </c>
      <c r="U418" s="4">
        <v>22.36</v>
      </c>
      <c r="V418" s="4">
        <v>14.1</v>
      </c>
      <c r="W418" s="4"/>
      <c r="X418" s="7">
        <v>40359</v>
      </c>
      <c r="Y418" s="68">
        <v>3345.9095382672522</v>
      </c>
      <c r="Z418" s="68">
        <v>4356.591523217362</v>
      </c>
    </row>
    <row r="419" spans="1:26" x14ac:dyDescent="0.3">
      <c r="A419" s="7">
        <v>40366</v>
      </c>
      <c r="B419" s="19">
        <v>2.9239999999999999</v>
      </c>
      <c r="C419" s="2">
        <v>1.5</v>
      </c>
      <c r="D419" s="2">
        <v>-206.5</v>
      </c>
      <c r="E419" s="2">
        <v>325</v>
      </c>
      <c r="F419" s="19">
        <v>56</v>
      </c>
      <c r="G419" s="19">
        <v>30.5</v>
      </c>
      <c r="I419" s="10">
        <v>40366</v>
      </c>
      <c r="J419" s="27">
        <f t="shared" si="89"/>
        <v>196.24161073825505</v>
      </c>
      <c r="K419" s="11">
        <f t="shared" si="80"/>
        <v>184.29811546838641</v>
      </c>
      <c r="L419" s="11">
        <f t="shared" si="81"/>
        <v>177.58991502780924</v>
      </c>
      <c r="M419" s="27">
        <f t="shared" si="90"/>
        <v>180.55555555555557</v>
      </c>
      <c r="N419" s="27">
        <f t="shared" si="91"/>
        <v>250.44722719141325</v>
      </c>
      <c r="O419" s="27">
        <f t="shared" si="92"/>
        <v>216.31205673758865</v>
      </c>
      <c r="Q419" s="4">
        <v>1.49</v>
      </c>
      <c r="R419" s="4">
        <v>1815.8525733157076</v>
      </c>
      <c r="S419" s="4">
        <v>2338.2847000963566</v>
      </c>
      <c r="T419" s="4">
        <v>180</v>
      </c>
      <c r="U419" s="4">
        <v>22.36</v>
      </c>
      <c r="V419" s="4">
        <v>14.1</v>
      </c>
      <c r="W419" s="4"/>
      <c r="X419" s="7">
        <v>40366</v>
      </c>
      <c r="Y419" s="68">
        <v>3345.0820723050488</v>
      </c>
      <c r="Z419" s="68">
        <v>4359.0578120093842</v>
      </c>
    </row>
    <row r="420" spans="1:26" x14ac:dyDescent="0.3">
      <c r="A420" s="7">
        <v>40373</v>
      </c>
      <c r="B420" s="19">
        <v>2.903</v>
      </c>
      <c r="C420" s="2">
        <v>63</v>
      </c>
      <c r="D420" s="2">
        <v>37.5</v>
      </c>
      <c r="E420" s="2">
        <v>388</v>
      </c>
      <c r="F420" s="19">
        <v>51</v>
      </c>
      <c r="G420" s="19">
        <v>27</v>
      </c>
      <c r="I420" s="10">
        <v>40373</v>
      </c>
      <c r="J420" s="27">
        <f t="shared" si="89"/>
        <v>194.83221476510067</v>
      </c>
      <c r="K420" s="11">
        <f t="shared" si="80"/>
        <v>187.68495429570939</v>
      </c>
      <c r="L420" s="11">
        <f t="shared" si="81"/>
        <v>188.02491466621706</v>
      </c>
      <c r="M420" s="27">
        <f t="shared" si="90"/>
        <v>215.55555555555554</v>
      </c>
      <c r="N420" s="27">
        <f t="shared" si="91"/>
        <v>228.08586762075134</v>
      </c>
      <c r="O420" s="27">
        <f t="shared" si="92"/>
        <v>191.48936170212767</v>
      </c>
      <c r="Q420" s="4">
        <v>1.49</v>
      </c>
      <c r="R420" s="4">
        <v>1815.8525733157076</v>
      </c>
      <c r="S420" s="4">
        <v>2338.2847000963566</v>
      </c>
      <c r="T420" s="4">
        <v>180</v>
      </c>
      <c r="U420" s="4">
        <v>22.36</v>
      </c>
      <c r="V420" s="4">
        <v>14.1</v>
      </c>
      <c r="W420" s="4"/>
      <c r="X420" s="7">
        <v>40373</v>
      </c>
      <c r="Y420" s="68">
        <v>3345.0820723050488</v>
      </c>
      <c r="Z420" s="68">
        <v>4359.0578120093842</v>
      </c>
    </row>
    <row r="421" spans="1:26" x14ac:dyDescent="0.3">
      <c r="A421" s="7">
        <v>40380</v>
      </c>
      <c r="B421" s="19">
        <v>2.899</v>
      </c>
      <c r="C421" s="2">
        <v>83.5</v>
      </c>
      <c r="D421" s="2">
        <v>150</v>
      </c>
      <c r="E421" s="2">
        <v>425</v>
      </c>
      <c r="F421" s="19">
        <v>56</v>
      </c>
      <c r="G421" s="19">
        <v>31</v>
      </c>
      <c r="I421" s="10">
        <v>40380</v>
      </c>
      <c r="J421" s="27">
        <f t="shared" si="89"/>
        <v>194.56375838926175</v>
      </c>
      <c r="K421" s="11">
        <f t="shared" si="80"/>
        <v>188.81390057148371</v>
      </c>
      <c r="L421" s="11">
        <f t="shared" si="81"/>
        <v>192.83613376179446</v>
      </c>
      <c r="M421" s="27">
        <f t="shared" si="90"/>
        <v>236.11111111111111</v>
      </c>
      <c r="N421" s="27">
        <f t="shared" si="91"/>
        <v>250.44722719141325</v>
      </c>
      <c r="O421" s="27">
        <f t="shared" si="92"/>
        <v>219.85815602836877</v>
      </c>
      <c r="Q421" s="4">
        <v>1.49</v>
      </c>
      <c r="R421" s="4">
        <v>1815.8525733157076</v>
      </c>
      <c r="S421" s="4">
        <v>2338.2847000963566</v>
      </c>
      <c r="T421" s="4">
        <v>180</v>
      </c>
      <c r="U421" s="4">
        <v>22.36</v>
      </c>
      <c r="V421" s="4">
        <v>14.1</v>
      </c>
      <c r="W421" s="4"/>
      <c r="X421" s="7">
        <v>40380</v>
      </c>
      <c r="Y421" s="68">
        <v>3345.0820723050488</v>
      </c>
      <c r="Z421" s="68">
        <v>4359.0578120093842</v>
      </c>
    </row>
    <row r="422" spans="1:26" x14ac:dyDescent="0.3">
      <c r="A422" s="7">
        <v>40387</v>
      </c>
      <c r="B422" s="19">
        <v>2.919</v>
      </c>
      <c r="C422" s="2">
        <v>199</v>
      </c>
      <c r="D422" s="2">
        <v>112.5</v>
      </c>
      <c r="E422" s="2">
        <v>388</v>
      </c>
      <c r="F422" s="19">
        <v>57.5</v>
      </c>
      <c r="G422" s="19">
        <v>32</v>
      </c>
      <c r="I422" s="10">
        <v>40387</v>
      </c>
      <c r="J422" s="27">
        <f t="shared" si="89"/>
        <v>195.90604026845639</v>
      </c>
      <c r="K422" s="11">
        <f t="shared" si="80"/>
        <v>195.17454910084641</v>
      </c>
      <c r="L422" s="11">
        <f t="shared" si="81"/>
        <v>191.23239406326866</v>
      </c>
      <c r="M422" s="27">
        <f t="shared" si="90"/>
        <v>215.55555555555554</v>
      </c>
      <c r="N422" s="27">
        <f t="shared" si="91"/>
        <v>257.15563506261179</v>
      </c>
      <c r="O422" s="27">
        <f t="shared" si="92"/>
        <v>226.95035460992904</v>
      </c>
      <c r="Q422" s="4">
        <v>1.49</v>
      </c>
      <c r="R422" s="4">
        <v>1815.8525733157076</v>
      </c>
      <c r="S422" s="4">
        <v>2338.2847000963566</v>
      </c>
      <c r="T422" s="4">
        <v>180</v>
      </c>
      <c r="U422" s="4">
        <v>22.36</v>
      </c>
      <c r="V422" s="4">
        <v>14.1</v>
      </c>
      <c r="W422" s="4"/>
      <c r="X422" s="7">
        <v>40387</v>
      </c>
      <c r="Y422" s="68">
        <v>3345.0820723050488</v>
      </c>
      <c r="Z422" s="68">
        <v>4359.0578120093842</v>
      </c>
    </row>
    <row r="423" spans="1:26" x14ac:dyDescent="0.3">
      <c r="A423" s="7">
        <v>40394</v>
      </c>
      <c r="B423" s="19">
        <v>2.9279999999999999</v>
      </c>
      <c r="C423" s="2">
        <v>213.5</v>
      </c>
      <c r="D423" s="2">
        <v>233.5</v>
      </c>
      <c r="E423" s="2">
        <v>371</v>
      </c>
      <c r="F423" s="19">
        <v>60</v>
      </c>
      <c r="G423" s="19">
        <v>33.5</v>
      </c>
      <c r="I423" s="10">
        <v>40394</v>
      </c>
      <c r="J423" s="27">
        <f t="shared" si="89"/>
        <v>196.51006711409394</v>
      </c>
      <c r="K423" s="11">
        <f t="shared" si="80"/>
        <v>196.11340497441378</v>
      </c>
      <c r="L423" s="11">
        <f t="shared" si="81"/>
        <v>194.86176544879294</v>
      </c>
      <c r="M423" s="27">
        <f t="shared" si="90"/>
        <v>206.11111111111109</v>
      </c>
      <c r="N423" s="27">
        <f t="shared" si="91"/>
        <v>268.33631484794279</v>
      </c>
      <c r="O423" s="27">
        <f t="shared" si="92"/>
        <v>237.58865248226951</v>
      </c>
      <c r="Q423" s="4">
        <v>1.49</v>
      </c>
      <c r="R423" s="4">
        <v>1815.8525733157076</v>
      </c>
      <c r="S423" s="4">
        <v>2338.2847000963566</v>
      </c>
      <c r="T423" s="4">
        <v>180</v>
      </c>
      <c r="U423" s="4">
        <v>22.36</v>
      </c>
      <c r="V423" s="4">
        <v>14.1</v>
      </c>
      <c r="W423" s="4"/>
      <c r="X423" s="7">
        <v>40394</v>
      </c>
      <c r="Y423" s="68">
        <v>3347.6303108449474</v>
      </c>
      <c r="Z423" s="68">
        <v>4322.9228478267732</v>
      </c>
    </row>
    <row r="424" spans="1:26" x14ac:dyDescent="0.3">
      <c r="A424" s="7">
        <v>40401</v>
      </c>
      <c r="B424" s="19">
        <v>2.9910000000000001</v>
      </c>
      <c r="C424" s="2">
        <v>275</v>
      </c>
      <c r="D424" s="2">
        <v>821</v>
      </c>
      <c r="E424" s="2">
        <v>433</v>
      </c>
      <c r="F424" s="19">
        <v>60</v>
      </c>
      <c r="G424" s="19">
        <v>33</v>
      </c>
      <c r="I424" s="10">
        <v>40401</v>
      </c>
      <c r="J424" s="27">
        <f t="shared" si="89"/>
        <v>200.73825503355707</v>
      </c>
      <c r="K424" s="11">
        <f t="shared" si="80"/>
        <v>199.50024380173676</v>
      </c>
      <c r="L424" s="11">
        <f t="shared" si="81"/>
        <v>219.98702072569696</v>
      </c>
      <c r="M424" s="27">
        <f t="shared" si="90"/>
        <v>240.55555555555554</v>
      </c>
      <c r="N424" s="27">
        <f t="shared" si="91"/>
        <v>268.33631484794279</v>
      </c>
      <c r="O424" s="27">
        <f t="shared" si="92"/>
        <v>234.04255319148933</v>
      </c>
      <c r="Q424" s="4">
        <v>1.49</v>
      </c>
      <c r="R424" s="4">
        <v>1815.8525733157076</v>
      </c>
      <c r="S424" s="4">
        <v>2338.2847000963566</v>
      </c>
      <c r="T424" s="4">
        <v>180</v>
      </c>
      <c r="U424" s="4">
        <v>22.36</v>
      </c>
      <c r="V424" s="4">
        <v>14.1</v>
      </c>
      <c r="W424" s="4"/>
      <c r="X424" s="7">
        <v>40401</v>
      </c>
      <c r="Y424" s="68">
        <v>3347.6303108449474</v>
      </c>
      <c r="Z424" s="68">
        <v>4322.9228478267732</v>
      </c>
    </row>
    <row r="425" spans="1:26" x14ac:dyDescent="0.3">
      <c r="A425" s="7">
        <v>40408</v>
      </c>
      <c r="B425" s="19">
        <v>2.9790000000000001</v>
      </c>
      <c r="C425" s="2">
        <v>581</v>
      </c>
      <c r="D425" s="2">
        <v>787.5</v>
      </c>
      <c r="E425" s="2">
        <v>437</v>
      </c>
      <c r="F425" s="19">
        <v>62</v>
      </c>
      <c r="G425" s="19">
        <v>34</v>
      </c>
      <c r="I425" s="10">
        <v>40408</v>
      </c>
      <c r="J425" s="27">
        <f t="shared" si="89"/>
        <v>199.93288590604027</v>
      </c>
      <c r="K425" s="11">
        <f t="shared" si="80"/>
        <v>216.35183211329502</v>
      </c>
      <c r="L425" s="11">
        <f t="shared" si="81"/>
        <v>218.55434659501393</v>
      </c>
      <c r="M425" s="27">
        <f t="shared" si="90"/>
        <v>242.7777777777778</v>
      </c>
      <c r="N425" s="27">
        <f t="shared" si="91"/>
        <v>277.28085867620752</v>
      </c>
      <c r="O425" s="27">
        <f t="shared" si="92"/>
        <v>241.13475177304963</v>
      </c>
      <c r="Q425" s="4">
        <v>1.49</v>
      </c>
      <c r="R425" s="4">
        <v>1815.8525733157076</v>
      </c>
      <c r="S425" s="4">
        <v>2338.2847000963566</v>
      </c>
      <c r="T425" s="4">
        <v>180</v>
      </c>
      <c r="U425" s="4">
        <v>22.36</v>
      </c>
      <c r="V425" s="4">
        <v>14.1</v>
      </c>
      <c r="W425" s="4"/>
      <c r="X425" s="7">
        <v>40408</v>
      </c>
      <c r="Y425" s="68">
        <v>3347.6303108449474</v>
      </c>
      <c r="Z425" s="68">
        <v>4322.9228478267732</v>
      </c>
    </row>
    <row r="426" spans="1:26" x14ac:dyDescent="0.3">
      <c r="A426" s="7">
        <v>40415</v>
      </c>
      <c r="B426" s="19">
        <v>2.9569999999999999</v>
      </c>
      <c r="C426" s="2">
        <v>708.5</v>
      </c>
      <c r="D426" s="2">
        <v>979</v>
      </c>
      <c r="E426" s="2">
        <v>456</v>
      </c>
      <c r="F426" s="19">
        <v>65</v>
      </c>
      <c r="G426" s="19">
        <v>36</v>
      </c>
      <c r="I426" s="10">
        <v>40415</v>
      </c>
      <c r="J426" s="27">
        <f t="shared" si="89"/>
        <v>198.45637583892616</v>
      </c>
      <c r="K426" s="11">
        <f t="shared" si="80"/>
        <v>223.37332724311102</v>
      </c>
      <c r="L426" s="11">
        <f t="shared" si="81"/>
        <v>226.74411065548563</v>
      </c>
      <c r="M426" s="27">
        <f t="shared" si="90"/>
        <v>253.33333333333331</v>
      </c>
      <c r="N426" s="27">
        <f t="shared" si="91"/>
        <v>290.69767441860461</v>
      </c>
      <c r="O426" s="27">
        <f t="shared" si="92"/>
        <v>255.31914893617022</v>
      </c>
      <c r="Q426" s="4">
        <v>1.49</v>
      </c>
      <c r="R426" s="4">
        <v>1815.8525733157076</v>
      </c>
      <c r="S426" s="4">
        <v>2338.2847000963566</v>
      </c>
      <c r="T426" s="4">
        <v>180</v>
      </c>
      <c r="U426" s="4">
        <v>22.36</v>
      </c>
      <c r="V426" s="4">
        <v>14.1</v>
      </c>
      <c r="W426" s="4"/>
      <c r="X426" s="7">
        <v>40415</v>
      </c>
      <c r="Y426" s="68">
        <v>3347.6303108449474</v>
      </c>
      <c r="Z426" s="68">
        <v>4322.9228478267732</v>
      </c>
    </row>
    <row r="427" spans="1:26" x14ac:dyDescent="0.3">
      <c r="A427" s="7">
        <v>40422</v>
      </c>
      <c r="B427" s="19">
        <v>2.9380000000000002</v>
      </c>
      <c r="C427" s="2">
        <v>829.5</v>
      </c>
      <c r="D427" s="2">
        <v>1087.5</v>
      </c>
      <c r="E427" s="2">
        <v>506</v>
      </c>
      <c r="F427" s="19">
        <v>64</v>
      </c>
      <c r="G427" s="19">
        <v>35</v>
      </c>
      <c r="I427" s="10">
        <v>40422</v>
      </c>
      <c r="J427" s="27">
        <f t="shared" si="89"/>
        <v>197.18120805369131</v>
      </c>
      <c r="K427" s="11">
        <f t="shared" si="80"/>
        <v>228.45433292587109</v>
      </c>
      <c r="L427" s="11">
        <f t="shared" si="81"/>
        <v>230.99666342302885</v>
      </c>
      <c r="M427" s="27">
        <f t="shared" si="90"/>
        <v>281.11111111111109</v>
      </c>
      <c r="N427" s="27">
        <f t="shared" si="91"/>
        <v>286.2254025044723</v>
      </c>
      <c r="O427" s="27">
        <f t="shared" si="92"/>
        <v>248.22695035460995</v>
      </c>
      <c r="Q427" s="4">
        <v>1.49</v>
      </c>
      <c r="R427" s="4">
        <v>1815.8525733157076</v>
      </c>
      <c r="S427" s="4">
        <v>2338.2847000963566</v>
      </c>
      <c r="T427" s="4">
        <v>180</v>
      </c>
      <c r="U427" s="4">
        <v>22.36</v>
      </c>
      <c r="V427" s="4">
        <v>14.1</v>
      </c>
      <c r="W427" s="4"/>
      <c r="X427" s="7">
        <v>40422</v>
      </c>
      <c r="Y427" s="68">
        <v>3318.8938832856643</v>
      </c>
      <c r="Z427" s="68">
        <v>4313.8596385537603</v>
      </c>
    </row>
    <row r="428" spans="1:26" x14ac:dyDescent="0.3">
      <c r="A428" s="7">
        <v>40429</v>
      </c>
      <c r="B428" s="19">
        <v>2.931</v>
      </c>
      <c r="C428" s="2">
        <v>750</v>
      </c>
      <c r="D428" s="2">
        <v>712.5</v>
      </c>
      <c r="E428" s="2">
        <v>495</v>
      </c>
      <c r="F428" s="19">
        <v>65</v>
      </c>
      <c r="G428" s="19">
        <v>35</v>
      </c>
      <c r="I428" s="10">
        <v>40429</v>
      </c>
      <c r="J428" s="27">
        <f t="shared" si="89"/>
        <v>196.71140939597316</v>
      </c>
      <c r="K428" s="11">
        <f t="shared" si="80"/>
        <v>224.07622419786821</v>
      </c>
      <c r="L428" s="11">
        <f t="shared" si="81"/>
        <v>214.95926643777094</v>
      </c>
      <c r="M428" s="27">
        <f t="shared" si="90"/>
        <v>275</v>
      </c>
      <c r="N428" s="27">
        <f t="shared" si="91"/>
        <v>290.69767441860461</v>
      </c>
      <c r="O428" s="27">
        <f t="shared" si="92"/>
        <v>248.22695035460995</v>
      </c>
      <c r="Q428" s="4">
        <v>1.49</v>
      </c>
      <c r="R428" s="4">
        <v>1815.8525733157076</v>
      </c>
      <c r="S428" s="4">
        <v>2338.2847000963566</v>
      </c>
      <c r="T428" s="4">
        <v>180</v>
      </c>
      <c r="U428" s="4">
        <v>22.36</v>
      </c>
      <c r="V428" s="4">
        <v>14.1</v>
      </c>
      <c r="W428" s="4"/>
      <c r="X428" s="7">
        <v>40429</v>
      </c>
      <c r="Y428" s="68">
        <v>3318.8938832856643</v>
      </c>
      <c r="Z428" s="68">
        <v>4313.8596385537603</v>
      </c>
    </row>
    <row r="429" spans="1:26" x14ac:dyDescent="0.3">
      <c r="A429" s="7">
        <v>40436</v>
      </c>
      <c r="B429" s="19">
        <v>2.9430000000000001</v>
      </c>
      <c r="C429" s="2">
        <v>600</v>
      </c>
      <c r="D429" s="2">
        <v>-100</v>
      </c>
      <c r="E429" s="2">
        <v>475</v>
      </c>
      <c r="F429" s="19">
        <v>68</v>
      </c>
      <c r="G429" s="19">
        <v>40</v>
      </c>
      <c r="I429" s="10">
        <v>40436</v>
      </c>
      <c r="J429" s="27">
        <f t="shared" si="89"/>
        <v>197.51677852348993</v>
      </c>
      <c r="K429" s="11">
        <f t="shared" si="80"/>
        <v>215.81564169220241</v>
      </c>
      <c r="L429" s="11">
        <f t="shared" si="81"/>
        <v>180.21157296971214</v>
      </c>
      <c r="M429" s="27">
        <f t="shared" si="90"/>
        <v>263.88888888888886</v>
      </c>
      <c r="N429" s="27">
        <f t="shared" si="91"/>
        <v>304.11449016100175</v>
      </c>
      <c r="O429" s="27">
        <f t="shared" si="92"/>
        <v>283.6879432624113</v>
      </c>
      <c r="Q429" s="4">
        <v>1.49</v>
      </c>
      <c r="R429" s="4">
        <v>1815.8525733157076</v>
      </c>
      <c r="S429" s="4">
        <v>2338.2847000963566</v>
      </c>
      <c r="T429" s="4">
        <v>180</v>
      </c>
      <c r="U429" s="4">
        <v>22.36</v>
      </c>
      <c r="V429" s="4">
        <v>14.1</v>
      </c>
      <c r="W429" s="4"/>
      <c r="X429" s="7">
        <v>40436</v>
      </c>
      <c r="Y429" s="68">
        <v>3318.8938832856643</v>
      </c>
      <c r="Z429" s="68">
        <v>4313.8596385537603</v>
      </c>
    </row>
    <row r="430" spans="1:26" x14ac:dyDescent="0.3">
      <c r="A430" s="7">
        <v>40443</v>
      </c>
      <c r="B430" s="19">
        <v>2.96</v>
      </c>
      <c r="C430" s="2">
        <v>570.5</v>
      </c>
      <c r="D430" s="2">
        <v>314.5</v>
      </c>
      <c r="E430" s="2">
        <v>545</v>
      </c>
      <c r="F430" s="19">
        <v>65</v>
      </c>
      <c r="G430" s="19">
        <v>35</v>
      </c>
      <c r="I430" s="10">
        <v>40443</v>
      </c>
      <c r="J430" s="27">
        <f t="shared" si="89"/>
        <v>198.65771812080538</v>
      </c>
      <c r="K430" s="11">
        <f t="shared" si="80"/>
        <v>214.19106046608812</v>
      </c>
      <c r="L430" s="11">
        <f t="shared" si="81"/>
        <v>197.93824243741722</v>
      </c>
      <c r="M430" s="27">
        <f t="shared" si="90"/>
        <v>302.77777777777777</v>
      </c>
      <c r="N430" s="27">
        <f t="shared" si="91"/>
        <v>290.69767441860461</v>
      </c>
      <c r="O430" s="27">
        <f t="shared" si="92"/>
        <v>248.22695035460995</v>
      </c>
      <c r="Q430" s="4">
        <v>1.49</v>
      </c>
      <c r="R430" s="4">
        <v>1815.8525733157076</v>
      </c>
      <c r="S430" s="4">
        <v>2338.2847000963566</v>
      </c>
      <c r="T430" s="4">
        <v>180</v>
      </c>
      <c r="U430" s="4">
        <v>22.36</v>
      </c>
      <c r="V430" s="4">
        <v>14.1</v>
      </c>
      <c r="W430" s="4"/>
      <c r="X430" s="7">
        <v>40443</v>
      </c>
      <c r="Y430" s="68">
        <v>3318.8938832856643</v>
      </c>
      <c r="Z430" s="68">
        <v>4313.8596385537603</v>
      </c>
    </row>
    <row r="431" spans="1:26" x14ac:dyDescent="0.3">
      <c r="A431" s="7">
        <v>40450</v>
      </c>
      <c r="B431" s="19">
        <v>2.9510000000000001</v>
      </c>
      <c r="C431" s="2">
        <v>338</v>
      </c>
      <c r="D431" s="2">
        <v>-75</v>
      </c>
      <c r="E431" s="2">
        <v>559</v>
      </c>
      <c r="F431" s="19">
        <v>64</v>
      </c>
      <c r="G431" s="19">
        <v>34</v>
      </c>
      <c r="I431" s="10">
        <v>40450</v>
      </c>
      <c r="J431" s="27">
        <f t="shared" si="89"/>
        <v>198.05369127516778</v>
      </c>
      <c r="K431" s="11">
        <f t="shared" si="80"/>
        <v>201.38715758230609</v>
      </c>
      <c r="L431" s="11">
        <f t="shared" si="81"/>
        <v>181.28073276872934</v>
      </c>
      <c r="M431" s="27">
        <f t="shared" si="90"/>
        <v>310.55555555555554</v>
      </c>
      <c r="N431" s="27">
        <f t="shared" si="91"/>
        <v>286.2254025044723</v>
      </c>
      <c r="O431" s="27">
        <f t="shared" si="92"/>
        <v>241.13475177304963</v>
      </c>
      <c r="Q431" s="4">
        <v>1.49</v>
      </c>
      <c r="R431" s="4">
        <v>1815.8525733157076</v>
      </c>
      <c r="S431" s="4">
        <v>2338.2847000963566</v>
      </c>
      <c r="T431" s="4">
        <v>180</v>
      </c>
      <c r="U431" s="4">
        <v>22.36</v>
      </c>
      <c r="V431" s="4">
        <v>14.1</v>
      </c>
      <c r="W431" s="4"/>
      <c r="X431" s="7">
        <v>40450</v>
      </c>
      <c r="Y431" s="68">
        <v>3318.8938832856643</v>
      </c>
      <c r="Z431" s="68">
        <v>4313.8596385537603</v>
      </c>
    </row>
    <row r="432" spans="1:26" x14ac:dyDescent="0.3">
      <c r="A432" s="7">
        <v>40457</v>
      </c>
      <c r="B432" s="19">
        <v>3</v>
      </c>
      <c r="C432" s="2">
        <v>444</v>
      </c>
      <c r="D432" s="2">
        <v>1237.5</v>
      </c>
      <c r="E432" s="2">
        <v>644</v>
      </c>
      <c r="F432" s="19">
        <v>61</v>
      </c>
      <c r="G432" s="19">
        <v>32</v>
      </c>
      <c r="I432" s="10">
        <v>40457</v>
      </c>
      <c r="J432" s="27">
        <f t="shared" si="89"/>
        <v>201.34228187919464</v>
      </c>
      <c r="K432" s="11">
        <f t="shared" si="80"/>
        <v>213.02799909342417</v>
      </c>
      <c r="L432" s="11">
        <f t="shared" si="81"/>
        <v>240.34200995654297</v>
      </c>
      <c r="M432" s="27">
        <f t="shared" si="90"/>
        <v>357.77777777777777</v>
      </c>
      <c r="N432" s="27">
        <f t="shared" si="91"/>
        <v>272.80858676207515</v>
      </c>
      <c r="O432" s="27">
        <f t="shared" si="92"/>
        <v>226.95035460992904</v>
      </c>
      <c r="Q432" s="4">
        <v>1.49</v>
      </c>
      <c r="R432" s="4">
        <v>1815.8525733157076</v>
      </c>
      <c r="S432" s="4">
        <v>2338.2847000963566</v>
      </c>
      <c r="T432" s="4">
        <v>180</v>
      </c>
      <c r="U432" s="4">
        <v>22.36</v>
      </c>
      <c r="V432" s="4">
        <v>14.1</v>
      </c>
      <c r="W432" s="4"/>
      <c r="X432" s="7">
        <v>40457</v>
      </c>
      <c r="Y432" s="68">
        <v>3424.2744034209045</v>
      </c>
      <c r="Z432" s="68">
        <v>4382.3804467179061</v>
      </c>
    </row>
    <row r="433" spans="1:26" x14ac:dyDescent="0.3">
      <c r="A433" s="7">
        <v>40464</v>
      </c>
      <c r="B433" s="19">
        <v>3.0659999999999998</v>
      </c>
      <c r="C433" s="2">
        <v>500</v>
      </c>
      <c r="D433" s="2">
        <v>1037.5</v>
      </c>
      <c r="E433" s="2">
        <v>594</v>
      </c>
      <c r="F433" s="19">
        <v>60</v>
      </c>
      <c r="G433" s="19">
        <v>33</v>
      </c>
      <c r="I433" s="10">
        <v>40464</v>
      </c>
      <c r="J433" s="27">
        <f t="shared" si="89"/>
        <v>205.77181208053688</v>
      </c>
      <c r="K433" s="11">
        <f t="shared" si="80"/>
        <v>216.11194989553937</v>
      </c>
      <c r="L433" s="11">
        <f t="shared" si="81"/>
        <v>231.78873156440542</v>
      </c>
      <c r="M433" s="27">
        <f t="shared" si="90"/>
        <v>330</v>
      </c>
      <c r="N433" s="27">
        <f t="shared" si="91"/>
        <v>268.33631484794279</v>
      </c>
      <c r="O433" s="27">
        <f t="shared" si="92"/>
        <v>234.04255319148933</v>
      </c>
      <c r="Q433" s="4">
        <v>1.49</v>
      </c>
      <c r="R433" s="4">
        <v>1815.8525733157076</v>
      </c>
      <c r="S433" s="4">
        <v>2338.2847000963566</v>
      </c>
      <c r="T433" s="4">
        <v>180</v>
      </c>
      <c r="U433" s="4">
        <v>22.36</v>
      </c>
      <c r="V433" s="4">
        <v>14.1</v>
      </c>
      <c r="W433" s="4"/>
      <c r="X433" s="7">
        <v>40464</v>
      </c>
      <c r="Y433" s="68">
        <v>3424.2744034209045</v>
      </c>
      <c r="Z433" s="68">
        <v>4382.3804467179061</v>
      </c>
    </row>
    <row r="434" spans="1:26" x14ac:dyDescent="0.3">
      <c r="A434" s="7">
        <v>40471</v>
      </c>
      <c r="B434" s="19">
        <v>3.073</v>
      </c>
      <c r="C434" s="2">
        <v>487.5</v>
      </c>
      <c r="D434" s="2">
        <v>850</v>
      </c>
      <c r="E434" s="2">
        <v>553</v>
      </c>
      <c r="F434" s="19">
        <v>59</v>
      </c>
      <c r="G434" s="19">
        <v>32</v>
      </c>
      <c r="I434" s="10">
        <v>40471</v>
      </c>
      <c r="J434" s="27">
        <f t="shared" si="89"/>
        <v>206.24161073825502</v>
      </c>
      <c r="K434" s="11">
        <f t="shared" si="80"/>
        <v>215.42356802006722</v>
      </c>
      <c r="L434" s="11">
        <f t="shared" si="81"/>
        <v>223.77003307177645</v>
      </c>
      <c r="M434" s="27">
        <f t="shared" si="90"/>
        <v>307.22222222222223</v>
      </c>
      <c r="N434" s="27">
        <f t="shared" si="91"/>
        <v>263.86404293381037</v>
      </c>
      <c r="O434" s="27">
        <f t="shared" si="92"/>
        <v>226.95035460992904</v>
      </c>
      <c r="Q434" s="4">
        <v>1.49</v>
      </c>
      <c r="R434" s="4">
        <v>1815.8525733157076</v>
      </c>
      <c r="S434" s="4">
        <v>2338.2847000963566</v>
      </c>
      <c r="T434" s="4">
        <v>180</v>
      </c>
      <c r="U434" s="4">
        <v>22.36</v>
      </c>
      <c r="V434" s="4">
        <v>14.1</v>
      </c>
      <c r="W434" s="4"/>
      <c r="X434" s="7">
        <v>40471</v>
      </c>
      <c r="Y434" s="68">
        <v>3424.2744034209045</v>
      </c>
      <c r="Z434" s="68">
        <v>4382.3804467179061</v>
      </c>
    </row>
    <row r="435" spans="1:26" x14ac:dyDescent="0.3">
      <c r="A435" s="7">
        <v>40478</v>
      </c>
      <c r="B435" s="19">
        <v>3.0670000000000002</v>
      </c>
      <c r="C435" s="2">
        <v>179</v>
      </c>
      <c r="D435" s="2">
        <v>-225</v>
      </c>
      <c r="E435" s="2">
        <v>491</v>
      </c>
      <c r="F435" s="19">
        <v>59</v>
      </c>
      <c r="G435" s="19">
        <v>32.5</v>
      </c>
      <c r="I435" s="10">
        <v>40478</v>
      </c>
      <c r="J435" s="27">
        <f t="shared" si="89"/>
        <v>205.83892617449666</v>
      </c>
      <c r="K435" s="11">
        <f t="shared" si="80"/>
        <v>198.4343033334145</v>
      </c>
      <c r="L435" s="11">
        <f t="shared" si="81"/>
        <v>177.79616171403711</v>
      </c>
      <c r="M435" s="27">
        <f t="shared" si="90"/>
        <v>272.77777777777777</v>
      </c>
      <c r="N435" s="27">
        <f t="shared" si="91"/>
        <v>263.86404293381037</v>
      </c>
      <c r="O435" s="27">
        <f t="shared" si="92"/>
        <v>230.49645390070924</v>
      </c>
      <c r="Q435" s="4">
        <v>1.49</v>
      </c>
      <c r="R435" s="4">
        <v>1815.8525733157076</v>
      </c>
      <c r="S435" s="4">
        <v>2338.2847000963566</v>
      </c>
      <c r="T435" s="4">
        <v>180</v>
      </c>
      <c r="U435" s="4">
        <v>22.36</v>
      </c>
      <c r="V435" s="4">
        <v>14.1</v>
      </c>
      <c r="W435" s="4"/>
      <c r="X435" s="7">
        <v>40478</v>
      </c>
      <c r="Y435" s="68">
        <v>3424.2744034209045</v>
      </c>
      <c r="Z435" s="68">
        <v>4382.3804467179061</v>
      </c>
    </row>
    <row r="436" spans="1:26" x14ac:dyDescent="0.3">
      <c r="A436" s="7">
        <v>40485</v>
      </c>
      <c r="B436" s="19">
        <v>3.0670000000000002</v>
      </c>
      <c r="C436" s="2">
        <v>4</v>
      </c>
      <c r="D436" s="2">
        <v>-335</v>
      </c>
      <c r="E436" s="2">
        <v>444</v>
      </c>
      <c r="F436" s="19">
        <v>61</v>
      </c>
      <c r="G436" s="19">
        <v>35</v>
      </c>
      <c r="I436" s="10">
        <v>40485</v>
      </c>
      <c r="J436" s="27">
        <f t="shared" si="89"/>
        <v>205.83892617449666</v>
      </c>
      <c r="K436" s="11">
        <f t="shared" si="80"/>
        <v>187.52205418955668</v>
      </c>
      <c r="L436" s="11">
        <f t="shared" si="81"/>
        <v>174.32023251580134</v>
      </c>
      <c r="M436" s="27">
        <f t="shared" si="90"/>
        <v>246.66666666666669</v>
      </c>
      <c r="N436" s="27">
        <f t="shared" si="91"/>
        <v>272.80858676207515</v>
      </c>
      <c r="O436" s="27">
        <f t="shared" si="92"/>
        <v>248.22695035460995</v>
      </c>
      <c r="Q436" s="4">
        <v>1.49</v>
      </c>
      <c r="R436" s="4">
        <v>1815.8525733157076</v>
      </c>
      <c r="S436" s="4">
        <v>2338.2847000963566</v>
      </c>
      <c r="T436" s="4">
        <v>180</v>
      </c>
      <c r="U436" s="4">
        <v>22.36</v>
      </c>
      <c r="V436" s="4">
        <v>14.1</v>
      </c>
      <c r="W436" s="4"/>
      <c r="X436" s="7">
        <v>40485</v>
      </c>
      <c r="Y436" s="68">
        <v>3401.1240465355404</v>
      </c>
      <c r="Z436" s="68">
        <v>4411.1033260893764</v>
      </c>
    </row>
    <row r="437" spans="1:26" x14ac:dyDescent="0.3">
      <c r="A437" s="7">
        <v>40492</v>
      </c>
      <c r="B437" s="19">
        <v>3.1160000000000001</v>
      </c>
      <c r="C437" s="2">
        <v>-12.5</v>
      </c>
      <c r="D437" s="2">
        <v>-408.5</v>
      </c>
      <c r="E437" s="2">
        <v>458</v>
      </c>
      <c r="F437" s="19">
        <v>58</v>
      </c>
      <c r="G437" s="19">
        <v>32.5</v>
      </c>
      <c r="I437" s="10">
        <v>40492</v>
      </c>
      <c r="J437" s="27">
        <f t="shared" si="89"/>
        <v>209.1275167785235</v>
      </c>
      <c r="K437" s="11">
        <f t="shared" si="80"/>
        <v>186.61339011393343</v>
      </c>
      <c r="L437" s="11">
        <f t="shared" si="81"/>
        <v>171.17690270669078</v>
      </c>
      <c r="M437" s="27">
        <f t="shared" si="90"/>
        <v>254.44444444444443</v>
      </c>
      <c r="N437" s="27">
        <f t="shared" si="91"/>
        <v>259.391771019678</v>
      </c>
      <c r="O437" s="27">
        <f t="shared" si="92"/>
        <v>230.49645390070924</v>
      </c>
      <c r="Q437" s="4">
        <v>1.49</v>
      </c>
      <c r="R437" s="4">
        <v>1815.8525733157076</v>
      </c>
      <c r="S437" s="4">
        <v>2338.2847000963566</v>
      </c>
      <c r="T437" s="4">
        <v>180</v>
      </c>
      <c r="U437" s="4">
        <v>22.36</v>
      </c>
      <c r="V437" s="4">
        <v>14.1</v>
      </c>
      <c r="W437" s="4"/>
      <c r="X437" s="7">
        <v>40492</v>
      </c>
      <c r="Y437" s="68">
        <v>3401.1240465355404</v>
      </c>
      <c r="Z437" s="68">
        <v>4411.1033260893764</v>
      </c>
    </row>
    <row r="438" spans="1:26" x14ac:dyDescent="0.3">
      <c r="A438" s="7">
        <v>40499</v>
      </c>
      <c r="B438" s="19">
        <v>3.1840000000000002</v>
      </c>
      <c r="C438" s="2">
        <v>-58.5</v>
      </c>
      <c r="D438" s="2">
        <v>-437.5</v>
      </c>
      <c r="E438" s="2">
        <v>410</v>
      </c>
      <c r="F438" s="19">
        <v>59</v>
      </c>
      <c r="G438" s="19">
        <v>34.5</v>
      </c>
      <c r="I438" s="10">
        <v>40499</v>
      </c>
      <c r="J438" s="27">
        <f t="shared" si="89"/>
        <v>213.69127516778525</v>
      </c>
      <c r="K438" s="11">
        <f t="shared" si="80"/>
        <v>184.0801448121959</v>
      </c>
      <c r="L438" s="11">
        <f t="shared" si="81"/>
        <v>169.93667733983082</v>
      </c>
      <c r="M438" s="27">
        <f t="shared" si="90"/>
        <v>227.77777777777777</v>
      </c>
      <c r="N438" s="27">
        <f t="shared" si="91"/>
        <v>263.86404293381037</v>
      </c>
      <c r="O438" s="27">
        <f t="shared" si="92"/>
        <v>244.68085106382978</v>
      </c>
      <c r="Q438" s="4">
        <v>1.49</v>
      </c>
      <c r="R438" s="4">
        <v>1815.8525733157076</v>
      </c>
      <c r="S438" s="4">
        <v>2338.2847000963566</v>
      </c>
      <c r="T438" s="4">
        <v>180</v>
      </c>
      <c r="U438" s="4">
        <v>22.36</v>
      </c>
      <c r="V438" s="4">
        <v>14.1</v>
      </c>
      <c r="W438" s="4"/>
      <c r="X438" s="7">
        <v>40499</v>
      </c>
      <c r="Y438" s="68">
        <v>3401.1240465355404</v>
      </c>
      <c r="Z438" s="68">
        <v>4411.1033260893764</v>
      </c>
    </row>
    <row r="439" spans="1:26" x14ac:dyDescent="0.3">
      <c r="A439" s="7">
        <v>40506</v>
      </c>
      <c r="B439" s="19">
        <v>3.1709999999999998</v>
      </c>
      <c r="C439" s="2">
        <v>-30.5</v>
      </c>
      <c r="D439" s="2">
        <v>-492</v>
      </c>
      <c r="E439" s="2">
        <v>460</v>
      </c>
      <c r="F439" s="19">
        <v>53.5</v>
      </c>
      <c r="G439" s="19">
        <v>31</v>
      </c>
      <c r="I439" s="10">
        <v>40506</v>
      </c>
      <c r="J439" s="27">
        <f t="shared" si="89"/>
        <v>212.81879194630869</v>
      </c>
      <c r="K439" s="11">
        <f t="shared" si="80"/>
        <v>185.62212021325354</v>
      </c>
      <c r="L439" s="11">
        <f t="shared" si="81"/>
        <v>167.60590897797334</v>
      </c>
      <c r="M439" s="27">
        <f t="shared" si="90"/>
        <v>255.55555555555554</v>
      </c>
      <c r="N439" s="27">
        <f t="shared" si="91"/>
        <v>239.26654740608225</v>
      </c>
      <c r="O439" s="27">
        <f t="shared" si="92"/>
        <v>219.85815602836877</v>
      </c>
      <c r="Q439" s="4">
        <v>1.49</v>
      </c>
      <c r="R439" s="4">
        <v>1815.8525733157076</v>
      </c>
      <c r="S439" s="4">
        <v>2338.2847000963566</v>
      </c>
      <c r="T439" s="4">
        <v>180</v>
      </c>
      <c r="U439" s="4">
        <v>22.36</v>
      </c>
      <c r="V439" s="4">
        <v>14.1</v>
      </c>
      <c r="W439" s="4"/>
      <c r="X439" s="7">
        <v>40506</v>
      </c>
      <c r="Y439" s="68">
        <v>3401.1240465355404</v>
      </c>
      <c r="Z439" s="68">
        <v>4411.1033260893764</v>
      </c>
    </row>
    <row r="440" spans="1:26" x14ac:dyDescent="0.3">
      <c r="A440" s="7">
        <v>40513</v>
      </c>
      <c r="B440" s="19">
        <v>3.1619999999999999</v>
      </c>
      <c r="C440" s="2">
        <v>-48</v>
      </c>
      <c r="D440" s="2">
        <v>-491.5</v>
      </c>
      <c r="E440" s="2">
        <v>466</v>
      </c>
      <c r="F440" s="19">
        <v>53</v>
      </c>
      <c r="G440" s="19">
        <v>30.5</v>
      </c>
      <c r="I440" s="10">
        <v>40513</v>
      </c>
      <c r="J440" s="27">
        <f t="shared" si="89"/>
        <v>212.21476510067117</v>
      </c>
      <c r="K440" s="11">
        <f t="shared" si="80"/>
        <v>187.127476770134</v>
      </c>
      <c r="L440" s="11">
        <f t="shared" si="81"/>
        <v>170.58041615416889</v>
      </c>
      <c r="M440" s="27">
        <f t="shared" si="90"/>
        <v>258.88888888888886</v>
      </c>
      <c r="N440" s="27">
        <f t="shared" si="91"/>
        <v>237.03041144901613</v>
      </c>
      <c r="O440" s="27">
        <f t="shared" si="92"/>
        <v>216.31205673758865</v>
      </c>
      <c r="Q440" s="4">
        <v>1.49</v>
      </c>
      <c r="R440" s="4">
        <v>1815.8525733157076</v>
      </c>
      <c r="S440" s="4">
        <v>2338.2847000963566</v>
      </c>
      <c r="T440" s="4">
        <v>180</v>
      </c>
      <c r="U440" s="4">
        <v>22.36</v>
      </c>
      <c r="V440" s="4">
        <v>14.1</v>
      </c>
      <c r="W440" s="4"/>
      <c r="X440" s="7">
        <v>40513</v>
      </c>
      <c r="Y440" s="68">
        <v>3445.9591023112312</v>
      </c>
      <c r="Z440" s="68">
        <v>4480.155772293625</v>
      </c>
    </row>
    <row r="441" spans="1:26" x14ac:dyDescent="0.3">
      <c r="A441" s="7">
        <v>40520</v>
      </c>
      <c r="B441" s="19">
        <v>3.1970000000000001</v>
      </c>
      <c r="C441" s="2">
        <v>-56.5</v>
      </c>
      <c r="D441" s="2">
        <v>-319</v>
      </c>
      <c r="E441" s="2">
        <v>559</v>
      </c>
      <c r="F441" s="19">
        <v>53</v>
      </c>
      <c r="G441" s="19">
        <v>29</v>
      </c>
      <c r="I441" s="10">
        <v>40520</v>
      </c>
      <c r="J441" s="27">
        <f t="shared" ref="J441" si="93">(1+(B441-Q441)/Q441)*100</f>
        <v>214.56375838926175</v>
      </c>
      <c r="K441" s="11">
        <f t="shared" si="80"/>
        <v>186.65937709481292</v>
      </c>
      <c r="L441" s="11">
        <f t="shared" si="81"/>
        <v>177.95761876738752</v>
      </c>
      <c r="M441" s="27">
        <f t="shared" ref="M441" si="94">(1+(E441-T440)/T440)*100</f>
        <v>310.55555555555554</v>
      </c>
      <c r="N441" s="27">
        <f t="shared" ref="N441" si="95">(1+(F441-U440)/U440)*100</f>
        <v>237.03041144901613</v>
      </c>
      <c r="O441" s="27">
        <f t="shared" ref="O441" si="96">(1+(G441-V440)/V440)*100</f>
        <v>205.67375886524823</v>
      </c>
      <c r="Q441" s="4">
        <v>1.49</v>
      </c>
      <c r="R441" s="4">
        <v>1815.8525733157076</v>
      </c>
      <c r="S441" s="4">
        <v>2338.2847000963566</v>
      </c>
      <c r="T441" s="4">
        <v>180</v>
      </c>
      <c r="U441" s="4">
        <v>22.36</v>
      </c>
      <c r="V441" s="4">
        <v>14.1</v>
      </c>
      <c r="W441" s="4"/>
      <c r="X441" s="7">
        <v>40520</v>
      </c>
      <c r="Y441" s="68">
        <v>3445.9591023112312</v>
      </c>
      <c r="Z441" s="68">
        <v>4480.155772293625</v>
      </c>
    </row>
    <row r="442" spans="1:26" x14ac:dyDescent="0.3">
      <c r="A442" s="7">
        <v>40527</v>
      </c>
      <c r="B442" s="60">
        <v>3.2309999999999999</v>
      </c>
      <c r="C442" s="2">
        <v>-49</v>
      </c>
      <c r="D442" s="2">
        <v>-50</v>
      </c>
      <c r="E442" s="2">
        <v>581</v>
      </c>
      <c r="F442" s="60">
        <v>54.5</v>
      </c>
      <c r="G442" s="60">
        <v>31</v>
      </c>
      <c r="I442" s="10">
        <v>40527</v>
      </c>
      <c r="J442" s="27">
        <f t="shared" ref="J442:J453" si="97">(1+(B442-Q442)/Q442)*100</f>
        <v>216.84563758389262</v>
      </c>
      <c r="K442" s="11">
        <f t="shared" si="80"/>
        <v>187.07240622009621</v>
      </c>
      <c r="L442" s="11">
        <f t="shared" si="81"/>
        <v>189.46177820481253</v>
      </c>
      <c r="M442" s="27">
        <f t="shared" ref="M442:M443" si="98">(1+(E442-T441)/T441)*100</f>
        <v>322.77777777777777</v>
      </c>
      <c r="N442" s="27">
        <f t="shared" ref="N442:N443" si="99">(1+(F442-U441)/U441)*100</f>
        <v>243.7388193202147</v>
      </c>
      <c r="O442" s="27">
        <f t="shared" ref="O442:O443" si="100">(1+(G442-V441)/V441)*100</f>
        <v>219.85815602836877</v>
      </c>
      <c r="Q442" s="4">
        <v>1.49</v>
      </c>
      <c r="R442" s="4">
        <v>1815.8525733157076</v>
      </c>
      <c r="S442" s="4">
        <v>2338.2847000963566</v>
      </c>
      <c r="T442" s="4">
        <v>180</v>
      </c>
      <c r="U442" s="4">
        <v>22.36</v>
      </c>
      <c r="V442" s="4">
        <v>14.1</v>
      </c>
      <c r="W442" s="4"/>
      <c r="X442" s="7">
        <v>40527</v>
      </c>
      <c r="Y442" s="68">
        <v>3445.9591023112312</v>
      </c>
      <c r="Z442" s="68">
        <v>4480.155772293625</v>
      </c>
    </row>
    <row r="443" spans="1:26" x14ac:dyDescent="0.3">
      <c r="A443" s="7">
        <v>40534</v>
      </c>
      <c r="B443" s="60">
        <v>3.25</v>
      </c>
      <c r="C443" s="2">
        <v>12.5</v>
      </c>
      <c r="D443" s="2">
        <v>-4.5</v>
      </c>
      <c r="E443" s="2">
        <v>518</v>
      </c>
      <c r="F443" s="60">
        <v>52</v>
      </c>
      <c r="G443" s="60">
        <v>29</v>
      </c>
      <c r="I443" s="10">
        <v>40534</v>
      </c>
      <c r="J443" s="27">
        <f t="shared" si="97"/>
        <v>218.12080536912754</v>
      </c>
      <c r="K443" s="11">
        <f t="shared" si="80"/>
        <v>190.45924504741922</v>
      </c>
      <c r="L443" s="11">
        <f t="shared" si="81"/>
        <v>191.40764903902382</v>
      </c>
      <c r="M443" s="27">
        <f t="shared" si="98"/>
        <v>287.77777777777777</v>
      </c>
      <c r="N443" s="27">
        <f t="shared" si="99"/>
        <v>232.55813953488374</v>
      </c>
      <c r="O443" s="27">
        <f t="shared" si="100"/>
        <v>205.67375886524823</v>
      </c>
      <c r="Q443" s="4">
        <v>1.49</v>
      </c>
      <c r="R443" s="4">
        <v>1815.8525733157076</v>
      </c>
      <c r="S443" s="4">
        <v>2338.2847000963566</v>
      </c>
      <c r="T443" s="4">
        <v>180</v>
      </c>
      <c r="U443" s="4">
        <v>22.36</v>
      </c>
      <c r="V443" s="4">
        <v>14.1</v>
      </c>
      <c r="W443" s="4"/>
      <c r="X443" s="7">
        <v>40534</v>
      </c>
      <c r="Y443" s="68">
        <v>3445.9591023112312</v>
      </c>
      <c r="Z443" s="68">
        <v>4480.155772293625</v>
      </c>
    </row>
    <row r="444" spans="1:26" x14ac:dyDescent="0.3">
      <c r="A444" s="7">
        <v>40541</v>
      </c>
      <c r="B444" s="60">
        <v>3.294</v>
      </c>
      <c r="C444" s="2">
        <v>-6</v>
      </c>
      <c r="D444" s="2">
        <v>-200</v>
      </c>
      <c r="E444" s="2">
        <v>483</v>
      </c>
      <c r="F444" s="60">
        <v>52</v>
      </c>
      <c r="G444" s="60">
        <v>27</v>
      </c>
      <c r="I444" s="10">
        <v>40541</v>
      </c>
      <c r="J444" s="27">
        <f t="shared" si="97"/>
        <v>221.07382550335569</v>
      </c>
      <c r="K444" s="11">
        <f t="shared" si="80"/>
        <v>189.44043987172043</v>
      </c>
      <c r="L444" s="11">
        <f t="shared" si="81"/>
        <v>183.04681941070936</v>
      </c>
      <c r="M444" s="27">
        <f t="shared" ref="M444" si="101">(1+(E444-T443)/T443)*100</f>
        <v>268.33333333333337</v>
      </c>
      <c r="N444" s="27">
        <f t="shared" ref="N444" si="102">(1+(F444-U443)/U443)*100</f>
        <v>232.55813953488374</v>
      </c>
      <c r="O444" s="27">
        <f t="shared" ref="O444" si="103">(1+(G444-V443)/V443)*100</f>
        <v>191.48936170212767</v>
      </c>
      <c r="Q444" s="4">
        <v>1.49</v>
      </c>
      <c r="R444" s="4">
        <v>1815.8525733157076</v>
      </c>
      <c r="S444" s="4">
        <v>2338.2847000963566</v>
      </c>
      <c r="T444" s="4">
        <v>180</v>
      </c>
      <c r="U444" s="4">
        <v>22.36</v>
      </c>
      <c r="V444" s="4">
        <v>14.1</v>
      </c>
      <c r="W444" s="4"/>
      <c r="X444" s="7">
        <v>40541</v>
      </c>
      <c r="Y444" s="68">
        <v>3445.9591023112312</v>
      </c>
      <c r="Z444" s="68">
        <v>4480.155772293625</v>
      </c>
    </row>
    <row r="445" spans="1:26" x14ac:dyDescent="0.3">
      <c r="A445" s="61">
        <v>40548</v>
      </c>
      <c r="B445" s="19">
        <v>3.33</v>
      </c>
      <c r="C445" s="2">
        <v>49.5</v>
      </c>
      <c r="D445" s="2">
        <v>-200</v>
      </c>
      <c r="E445" s="2">
        <v>413</v>
      </c>
      <c r="F445" s="19" t="s">
        <v>19</v>
      </c>
      <c r="G445" s="19" t="s">
        <v>19</v>
      </c>
      <c r="I445" s="10">
        <v>40548</v>
      </c>
      <c r="J445" s="27">
        <f t="shared" si="97"/>
        <v>223.48993288590603</v>
      </c>
      <c r="K445" s="11">
        <f t="shared" si="80"/>
        <v>200.05384802441424</v>
      </c>
      <c r="L445" s="11">
        <f t="shared" si="81"/>
        <v>174.71358609425243</v>
      </c>
      <c r="M445" s="27">
        <f t="shared" ref="M445" si="104">(1+(E445-T444)/T444)*100</f>
        <v>229.44444444444443</v>
      </c>
      <c r="N445" s="27">
        <f t="shared" ref="N445" si="105">(1+(F445-U444)/U444)*100</f>
        <v>0</v>
      </c>
      <c r="O445" s="27">
        <f t="shared" ref="O445" si="106">(1+(G445-V444)/V444)*100</f>
        <v>0</v>
      </c>
      <c r="Q445" s="4">
        <v>1.49</v>
      </c>
      <c r="R445" s="4">
        <v>1815.8525733157076</v>
      </c>
      <c r="S445" s="4">
        <v>2338.2847000963566</v>
      </c>
      <c r="T445" s="4">
        <v>180</v>
      </c>
      <c r="U445" s="4">
        <v>22.36</v>
      </c>
      <c r="V445" s="4">
        <v>14.1</v>
      </c>
      <c r="W445" s="4"/>
      <c r="X445" s="61">
        <v>40548</v>
      </c>
      <c r="Y445" s="68">
        <v>3583.1829473684206</v>
      </c>
      <c r="Z445" s="68">
        <v>4285.3010526315802</v>
      </c>
    </row>
    <row r="446" spans="1:26" x14ac:dyDescent="0.3">
      <c r="A446" s="61">
        <v>40555</v>
      </c>
      <c r="B446" s="19">
        <v>3.33</v>
      </c>
      <c r="C446" s="2">
        <v>66</v>
      </c>
      <c r="D446" s="2">
        <v>-248</v>
      </c>
      <c r="E446" s="2">
        <v>450</v>
      </c>
      <c r="F446" s="19">
        <v>53</v>
      </c>
      <c r="G446" s="19">
        <v>29</v>
      </c>
      <c r="I446" s="10">
        <v>40555</v>
      </c>
      <c r="J446" s="27">
        <f t="shared" si="97"/>
        <v>223.48993288590603</v>
      </c>
      <c r="K446" s="11">
        <f t="shared" si="80"/>
        <v>200.96251210003749</v>
      </c>
      <c r="L446" s="11">
        <f t="shared" si="81"/>
        <v>172.66079928013943</v>
      </c>
      <c r="M446" s="27">
        <f t="shared" ref="M446:M453" si="107">(1+(E446-T445)/T445)*100</f>
        <v>250</v>
      </c>
      <c r="N446" s="27">
        <f t="shared" ref="N446:N453" si="108">(1+(F446-U445)/U445)*100</f>
        <v>237.03041144901613</v>
      </c>
      <c r="O446" s="27">
        <f t="shared" ref="O446:O453" si="109">(1+(G446-V445)/V445)*100</f>
        <v>205.67375886524823</v>
      </c>
      <c r="Q446" s="4">
        <v>1.49</v>
      </c>
      <c r="R446" s="4">
        <v>1815.8525733157076</v>
      </c>
      <c r="S446" s="4">
        <v>2338.2847000963566</v>
      </c>
      <c r="T446" s="4">
        <v>180</v>
      </c>
      <c r="U446" s="4">
        <v>22.36</v>
      </c>
      <c r="V446" s="4">
        <v>14.1</v>
      </c>
      <c r="W446" s="4"/>
      <c r="X446" s="61">
        <v>40555</v>
      </c>
      <c r="Y446" s="68">
        <v>3583.1829473684206</v>
      </c>
      <c r="Z446" s="68">
        <v>4285.3010526315802</v>
      </c>
    </row>
    <row r="447" spans="1:26" x14ac:dyDescent="0.3">
      <c r="A447" s="61">
        <v>40562</v>
      </c>
      <c r="B447" s="19">
        <v>3.407</v>
      </c>
      <c r="C447" s="2">
        <v>112.5</v>
      </c>
      <c r="D447" s="2">
        <v>-25</v>
      </c>
      <c r="E447" s="2">
        <v>458</v>
      </c>
      <c r="F447" s="19">
        <v>54</v>
      </c>
      <c r="G447" s="19">
        <v>32</v>
      </c>
      <c r="I447" s="10">
        <v>40562</v>
      </c>
      <c r="J447" s="27">
        <f t="shared" si="97"/>
        <v>228.65771812080538</v>
      </c>
      <c r="K447" s="11">
        <f t="shared" si="80"/>
        <v>203.52329267679389</v>
      </c>
      <c r="L447" s="11">
        <f t="shared" si="81"/>
        <v>182.19770468737281</v>
      </c>
      <c r="M447" s="27">
        <f t="shared" si="107"/>
        <v>254.44444444444443</v>
      </c>
      <c r="N447" s="27">
        <f t="shared" si="108"/>
        <v>241.50268336314849</v>
      </c>
      <c r="O447" s="27">
        <f t="shared" si="109"/>
        <v>226.95035460992904</v>
      </c>
      <c r="Q447" s="4">
        <v>1.49</v>
      </c>
      <c r="R447" s="4">
        <v>1815.8525733157076</v>
      </c>
      <c r="S447" s="4">
        <v>2338.2847000963566</v>
      </c>
      <c r="T447" s="4">
        <v>180</v>
      </c>
      <c r="U447" s="4">
        <v>22.36</v>
      </c>
      <c r="V447" s="4">
        <v>14.1</v>
      </c>
      <c r="W447" s="4"/>
      <c r="X447" s="61">
        <v>40562</v>
      </c>
      <c r="Y447" s="68">
        <v>3583.1829473684206</v>
      </c>
      <c r="Z447" s="68">
        <v>4285.3010526315802</v>
      </c>
    </row>
    <row r="448" spans="1:26" x14ac:dyDescent="0.3">
      <c r="A448" s="61">
        <v>40569</v>
      </c>
      <c r="B448" s="62">
        <v>3.43</v>
      </c>
      <c r="C448" s="2">
        <v>57.5</v>
      </c>
      <c r="D448" s="2">
        <v>-209.5</v>
      </c>
      <c r="E448" s="2">
        <v>456</v>
      </c>
      <c r="F448" s="62">
        <v>50</v>
      </c>
      <c r="G448" s="62">
        <v>28</v>
      </c>
      <c r="I448" s="10">
        <v>40569</v>
      </c>
      <c r="J448" s="27">
        <f t="shared" si="97"/>
        <v>230.20134228187919</v>
      </c>
      <c r="K448" s="11">
        <f t="shared" si="80"/>
        <v>200.49441242471642</v>
      </c>
      <c r="L448" s="11">
        <f t="shared" si="81"/>
        <v>174.3073053706259</v>
      </c>
      <c r="M448" s="27">
        <f t="shared" si="107"/>
        <v>253.33333333333331</v>
      </c>
      <c r="N448" s="27">
        <f t="shared" si="108"/>
        <v>223.61359570661898</v>
      </c>
      <c r="O448" s="27">
        <f t="shared" si="109"/>
        <v>198.58156028368796</v>
      </c>
      <c r="Q448" s="4">
        <v>1.49</v>
      </c>
      <c r="R448" s="4">
        <v>1815.8525733157076</v>
      </c>
      <c r="S448" s="4">
        <v>2338.2847000963566</v>
      </c>
      <c r="T448" s="4">
        <v>180</v>
      </c>
      <c r="U448" s="4">
        <v>22.36</v>
      </c>
      <c r="V448" s="4">
        <v>14.1</v>
      </c>
      <c r="W448" s="4"/>
      <c r="X448" s="61">
        <v>40569</v>
      </c>
      <c r="Y448" s="68">
        <v>3583.1829473684206</v>
      </c>
      <c r="Z448" s="68">
        <v>4285.3010526315802</v>
      </c>
    </row>
    <row r="449" spans="1:26" x14ac:dyDescent="0.3">
      <c r="A449" s="61">
        <v>40576</v>
      </c>
      <c r="B449" s="62">
        <v>3.4380000000000002</v>
      </c>
      <c r="C449" s="2">
        <v>89.5</v>
      </c>
      <c r="D449" s="2">
        <v>-98</v>
      </c>
      <c r="E449" s="2">
        <v>550</v>
      </c>
      <c r="F449" s="62">
        <v>49</v>
      </c>
      <c r="G449" s="62">
        <v>27</v>
      </c>
      <c r="I449" s="10">
        <v>40576</v>
      </c>
      <c r="J449" s="27">
        <f t="shared" si="97"/>
        <v>230.73825503355704</v>
      </c>
      <c r="K449" s="11">
        <f t="shared" si="80"/>
        <v>206.15828516740126</v>
      </c>
      <c r="L449" s="11">
        <f t="shared" si="81"/>
        <v>181.43779091948602</v>
      </c>
      <c r="M449" s="27">
        <f t="shared" si="107"/>
        <v>305.55555555555554</v>
      </c>
      <c r="N449" s="27">
        <f t="shared" si="108"/>
        <v>219.14132379248659</v>
      </c>
      <c r="O449" s="27">
        <f t="shared" si="109"/>
        <v>191.48936170212767</v>
      </c>
      <c r="Q449" s="4">
        <v>1.49</v>
      </c>
      <c r="R449" s="4">
        <v>1815.8525733157076</v>
      </c>
      <c r="S449" s="4">
        <v>2338.2847000963566</v>
      </c>
      <c r="T449" s="4">
        <v>180</v>
      </c>
      <c r="U449" s="4">
        <v>22.36</v>
      </c>
      <c r="V449" s="4">
        <v>14.1</v>
      </c>
      <c r="W449" s="4"/>
      <c r="X449" s="61">
        <v>40576</v>
      </c>
      <c r="Y449" s="68">
        <v>3654.0305263157902</v>
      </c>
      <c r="Z449" s="68">
        <v>4340.532105263158</v>
      </c>
    </row>
    <row r="450" spans="1:26" x14ac:dyDescent="0.3">
      <c r="A450" s="61">
        <v>40583</v>
      </c>
      <c r="B450" s="62">
        <v>3.5129999999999999</v>
      </c>
      <c r="C450" s="2">
        <v>133.5</v>
      </c>
      <c r="D450" s="2">
        <v>185</v>
      </c>
      <c r="E450" s="2">
        <v>538</v>
      </c>
      <c r="F450" s="62">
        <v>49</v>
      </c>
      <c r="G450" s="62">
        <v>29</v>
      </c>
      <c r="I450" s="10">
        <v>40583</v>
      </c>
      <c r="J450" s="27">
        <f t="shared" si="97"/>
        <v>235.7718120805369</v>
      </c>
      <c r="K450" s="11">
        <f t="shared" si="80"/>
        <v>208.5813893690632</v>
      </c>
      <c r="L450" s="11">
        <f t="shared" si="81"/>
        <v>193.54067984436065</v>
      </c>
      <c r="M450" s="27">
        <f t="shared" si="107"/>
        <v>298.88888888888891</v>
      </c>
      <c r="N450" s="27">
        <f t="shared" si="108"/>
        <v>219.14132379248659</v>
      </c>
      <c r="O450" s="27">
        <f t="shared" si="109"/>
        <v>205.67375886524823</v>
      </c>
      <c r="Q450" s="4">
        <v>1.49</v>
      </c>
      <c r="R450" s="4">
        <v>1815.8525733157076</v>
      </c>
      <c r="S450" s="4">
        <v>2338.2847000963566</v>
      </c>
      <c r="T450" s="4">
        <v>180</v>
      </c>
      <c r="U450" s="4">
        <v>22.36</v>
      </c>
      <c r="V450" s="4">
        <v>14.1</v>
      </c>
      <c r="W450" s="4"/>
      <c r="X450" s="61">
        <v>40583</v>
      </c>
      <c r="Y450" s="68">
        <v>3654.0305263157902</v>
      </c>
      <c r="Z450" s="68">
        <v>4340.532105263158</v>
      </c>
    </row>
    <row r="451" spans="1:26" x14ac:dyDescent="0.3">
      <c r="A451" s="61">
        <v>40590</v>
      </c>
      <c r="B451" s="62">
        <v>3.5339999999999998</v>
      </c>
      <c r="C451" s="2">
        <v>118.5</v>
      </c>
      <c r="D451" s="2">
        <v>-25</v>
      </c>
      <c r="E451" s="2">
        <v>584</v>
      </c>
      <c r="F451" s="62">
        <v>53</v>
      </c>
      <c r="G451" s="62">
        <v>32</v>
      </c>
      <c r="I451" s="10">
        <v>40590</v>
      </c>
      <c r="J451" s="27">
        <f t="shared" si="97"/>
        <v>237.18120805369125</v>
      </c>
      <c r="K451" s="11">
        <f t="shared" si="80"/>
        <v>207.75533111849663</v>
      </c>
      <c r="L451" s="11">
        <f t="shared" si="81"/>
        <v>184.5597375326162</v>
      </c>
      <c r="M451" s="27">
        <f t="shared" si="107"/>
        <v>324.44444444444446</v>
      </c>
      <c r="N451" s="27">
        <f t="shared" si="108"/>
        <v>237.03041144901613</v>
      </c>
      <c r="O451" s="27">
        <f t="shared" si="109"/>
        <v>226.95035460992904</v>
      </c>
      <c r="Q451" s="4">
        <v>1.49</v>
      </c>
      <c r="R451" s="4">
        <v>1815.8525733157076</v>
      </c>
      <c r="S451" s="4">
        <v>2338.2847000963566</v>
      </c>
      <c r="T451" s="4">
        <v>180</v>
      </c>
      <c r="U451" s="4">
        <v>22.36</v>
      </c>
      <c r="V451" s="4">
        <v>14.1</v>
      </c>
      <c r="W451" s="4"/>
      <c r="X451" s="61">
        <v>40590</v>
      </c>
      <c r="Y451" s="68">
        <v>3654.0305263157902</v>
      </c>
      <c r="Z451" s="68">
        <v>4340.532105263158</v>
      </c>
    </row>
    <row r="452" spans="1:26" x14ac:dyDescent="0.3">
      <c r="A452" s="61">
        <v>40597</v>
      </c>
      <c r="B452" s="19">
        <v>3.573</v>
      </c>
      <c r="C452" s="2">
        <v>150.5</v>
      </c>
      <c r="D452" s="2">
        <v>-14.5</v>
      </c>
      <c r="E452" s="2">
        <v>538</v>
      </c>
      <c r="F452" s="63">
        <v>56.5</v>
      </c>
      <c r="G452" s="19">
        <v>33</v>
      </c>
      <c r="I452" s="10">
        <v>40597</v>
      </c>
      <c r="J452" s="27">
        <f t="shared" si="97"/>
        <v>239.79865771812081</v>
      </c>
      <c r="K452" s="11">
        <f t="shared" si="80"/>
        <v>209.51758871970534</v>
      </c>
      <c r="L452" s="11">
        <f t="shared" si="81"/>
        <v>185.00878464820346</v>
      </c>
      <c r="M452" s="27">
        <f t="shared" si="107"/>
        <v>298.88888888888891</v>
      </c>
      <c r="N452" s="27">
        <f t="shared" si="108"/>
        <v>252.6833631484794</v>
      </c>
      <c r="O452" s="27">
        <f t="shared" si="109"/>
        <v>234.04255319148933</v>
      </c>
      <c r="Q452" s="4">
        <v>1.49</v>
      </c>
      <c r="R452" s="4">
        <v>1815.8525733157076</v>
      </c>
      <c r="S452" s="4">
        <v>2338.2847000963566</v>
      </c>
      <c r="T452" s="4">
        <v>180</v>
      </c>
      <c r="U452" s="4">
        <v>22.36</v>
      </c>
      <c r="V452" s="4">
        <v>14.1</v>
      </c>
      <c r="W452" s="4"/>
      <c r="X452" s="61">
        <v>40597</v>
      </c>
      <c r="Y452" s="68">
        <v>3654.0305263157902</v>
      </c>
      <c r="Z452" s="68">
        <v>4340.532105263158</v>
      </c>
    </row>
    <row r="453" spans="1:26" x14ac:dyDescent="0.3">
      <c r="A453" s="61">
        <v>40604</v>
      </c>
      <c r="B453" s="19">
        <v>3.7160000000000002</v>
      </c>
      <c r="C453" s="2">
        <v>175</v>
      </c>
      <c r="D453" s="2">
        <v>141.5</v>
      </c>
      <c r="E453" s="2">
        <v>498</v>
      </c>
      <c r="F453" s="63">
        <v>56</v>
      </c>
      <c r="G453" s="19">
        <v>33</v>
      </c>
      <c r="I453" s="10">
        <v>40604</v>
      </c>
      <c r="J453" s="27">
        <f t="shared" si="97"/>
        <v>249.39597315436242</v>
      </c>
      <c r="K453" s="11">
        <f t="shared" si="80"/>
        <v>209.62566032647939</v>
      </c>
      <c r="L453" s="11">
        <f t="shared" si="81"/>
        <v>181.26150335009859</v>
      </c>
      <c r="M453" s="27">
        <f t="shared" si="107"/>
        <v>276.66666666666669</v>
      </c>
      <c r="N453" s="27">
        <f t="shared" si="108"/>
        <v>250.44722719141325</v>
      </c>
      <c r="O453" s="27">
        <f t="shared" si="109"/>
        <v>234.04255319148933</v>
      </c>
      <c r="Q453" s="4">
        <v>1.49</v>
      </c>
      <c r="R453" s="4">
        <v>1815.8525733157076</v>
      </c>
      <c r="S453" s="4">
        <v>2338.2847000963566</v>
      </c>
      <c r="T453" s="4">
        <v>180</v>
      </c>
      <c r="U453" s="4">
        <v>22.36</v>
      </c>
      <c r="V453" s="4">
        <v>14.1</v>
      </c>
      <c r="W453" s="4"/>
      <c r="X453" s="61">
        <v>40604</v>
      </c>
      <c r="Y453" s="68">
        <v>3631.4929473684206</v>
      </c>
      <c r="Z453" s="68">
        <v>4096.91</v>
      </c>
    </row>
    <row r="454" spans="1:26" x14ac:dyDescent="0.3">
      <c r="A454" s="61">
        <v>40611</v>
      </c>
      <c r="B454" s="64">
        <v>3.871</v>
      </c>
      <c r="C454" s="2">
        <v>169</v>
      </c>
      <c r="D454" s="2">
        <v>200</v>
      </c>
      <c r="E454" s="2">
        <v>633</v>
      </c>
      <c r="F454" s="19">
        <v>59</v>
      </c>
      <c r="G454" s="19">
        <v>34</v>
      </c>
      <c r="I454" s="10">
        <v>40611</v>
      </c>
      <c r="J454" s="27">
        <f t="shared" ref="J454:J496" si="110">(1+(B454-Q454)/Q454)*100</f>
        <v>259.79865771812081</v>
      </c>
      <c r="K454" s="11">
        <f t="shared" si="80"/>
        <v>209.29523702625278</v>
      </c>
      <c r="L454" s="11">
        <f t="shared" si="81"/>
        <v>183.7633372797988</v>
      </c>
      <c r="M454" s="27">
        <f t="shared" ref="M454:M494" si="111">(1+(E454-T453)/T453)*100</f>
        <v>351.66666666666669</v>
      </c>
      <c r="N454" s="27">
        <f t="shared" ref="N454:N494" si="112">(1+(F454-U453)/U453)*100</f>
        <v>263.86404293381037</v>
      </c>
      <c r="O454" s="27">
        <f t="shared" ref="O454:O494" si="113">(1+(G454-V453)/V453)*100</f>
        <v>241.13475177304963</v>
      </c>
      <c r="Q454" s="4">
        <v>1.49</v>
      </c>
      <c r="R454" s="4">
        <v>1815.8525733157076</v>
      </c>
      <c r="S454" s="4">
        <v>2338.2847000963566</v>
      </c>
      <c r="T454" s="4">
        <v>180</v>
      </c>
      <c r="U454" s="4">
        <v>22.36</v>
      </c>
      <c r="V454" s="4">
        <v>14.1</v>
      </c>
      <c r="W454" s="4"/>
      <c r="X454" s="61">
        <v>40611</v>
      </c>
      <c r="Y454" s="68">
        <v>3631.4929473684206</v>
      </c>
      <c r="Z454" s="68">
        <v>4096.91</v>
      </c>
    </row>
    <row r="455" spans="1:26" x14ac:dyDescent="0.3">
      <c r="A455" s="61">
        <v>40618</v>
      </c>
      <c r="B455" s="19">
        <v>3.9079999999999999</v>
      </c>
      <c r="C455" s="2">
        <v>162.5</v>
      </c>
      <c r="D455" s="2">
        <v>325</v>
      </c>
      <c r="E455" s="2">
        <v>556</v>
      </c>
      <c r="F455" s="19">
        <v>60</v>
      </c>
      <c r="G455" s="19">
        <v>35</v>
      </c>
      <c r="I455" s="10">
        <v>40618</v>
      </c>
      <c r="J455" s="27">
        <f t="shared" si="110"/>
        <v>262.2818791946309</v>
      </c>
      <c r="K455" s="11">
        <f t="shared" si="80"/>
        <v>208.93727845100724</v>
      </c>
      <c r="L455" s="11">
        <f t="shared" si="81"/>
        <v>189.10913627488478</v>
      </c>
      <c r="M455" s="27">
        <f t="shared" si="111"/>
        <v>308.88888888888891</v>
      </c>
      <c r="N455" s="27">
        <f t="shared" si="112"/>
        <v>268.33631484794279</v>
      </c>
      <c r="O455" s="27">
        <f t="shared" si="113"/>
        <v>248.22695035460995</v>
      </c>
      <c r="Q455" s="4">
        <v>1.49</v>
      </c>
      <c r="R455" s="4">
        <v>1815.8525733157076</v>
      </c>
      <c r="S455" s="4">
        <v>2338.2847000963566</v>
      </c>
      <c r="T455" s="4">
        <v>180</v>
      </c>
      <c r="U455" s="4">
        <v>22.36</v>
      </c>
      <c r="V455" s="4">
        <v>14.1</v>
      </c>
      <c r="W455" s="4"/>
      <c r="X455" s="61">
        <v>40618</v>
      </c>
      <c r="Y455" s="68">
        <v>3631.4929473684206</v>
      </c>
      <c r="Z455" s="68">
        <v>4096.91</v>
      </c>
    </row>
    <row r="456" spans="1:26" x14ac:dyDescent="0.3">
      <c r="A456" s="61">
        <v>40625</v>
      </c>
      <c r="B456" s="19">
        <v>3.907</v>
      </c>
      <c r="C456" s="2">
        <v>300</v>
      </c>
      <c r="D456" s="2">
        <v>-162.5</v>
      </c>
      <c r="E456" s="2">
        <v>491</v>
      </c>
      <c r="F456" s="19">
        <v>59</v>
      </c>
      <c r="G456" s="19">
        <v>36</v>
      </c>
      <c r="I456" s="10">
        <v>40625</v>
      </c>
      <c r="J456" s="27">
        <f t="shared" si="110"/>
        <v>262.21476510067112</v>
      </c>
      <c r="K456" s="11">
        <f t="shared" si="80"/>
        <v>216.50947908120091</v>
      </c>
      <c r="L456" s="11">
        <f t="shared" si="81"/>
        <v>168.26052019404949</v>
      </c>
      <c r="M456" s="27">
        <f t="shared" si="111"/>
        <v>272.77777777777777</v>
      </c>
      <c r="N456" s="27">
        <f t="shared" si="112"/>
        <v>263.86404293381037</v>
      </c>
      <c r="O456" s="27">
        <f t="shared" si="113"/>
        <v>255.31914893617022</v>
      </c>
      <c r="Q456" s="4">
        <v>1.49</v>
      </c>
      <c r="R456" s="4">
        <v>1815.8525733157076</v>
      </c>
      <c r="S456" s="4">
        <v>2338.2847000963566</v>
      </c>
      <c r="T456" s="4">
        <v>180</v>
      </c>
      <c r="U456" s="4">
        <v>22.36</v>
      </c>
      <c r="V456" s="4">
        <v>14.1</v>
      </c>
      <c r="W456" s="4"/>
      <c r="X456" s="61">
        <v>40625</v>
      </c>
      <c r="Y456" s="68">
        <v>3631.4929473684206</v>
      </c>
      <c r="Z456" s="68">
        <v>4096.91</v>
      </c>
    </row>
    <row r="457" spans="1:26" x14ac:dyDescent="0.3">
      <c r="A457" s="61">
        <v>40632</v>
      </c>
      <c r="B457" s="19">
        <v>3.9319999999999999</v>
      </c>
      <c r="C457" s="2">
        <v>150.5</v>
      </c>
      <c r="D457" s="2">
        <v>19</v>
      </c>
      <c r="E457" s="2">
        <v>507</v>
      </c>
      <c r="F457" s="19">
        <v>59</v>
      </c>
      <c r="G457" s="19">
        <v>35</v>
      </c>
      <c r="I457" s="10">
        <v>40632</v>
      </c>
      <c r="J457" s="27">
        <f t="shared" si="110"/>
        <v>263.89261744966444</v>
      </c>
      <c r="K457" s="11">
        <f t="shared" ref="K457:K488" si="114">(C457+Y457)/R457*100</f>
        <v>208.27643185055399</v>
      </c>
      <c r="L457" s="11">
        <f t="shared" ref="L457:L488" si="115">(D457+Z457)/S457*100</f>
        <v>176.02262033491434</v>
      </c>
      <c r="M457" s="27">
        <f t="shared" si="111"/>
        <v>281.66666666666663</v>
      </c>
      <c r="N457" s="27">
        <f t="shared" si="112"/>
        <v>263.86404293381037</v>
      </c>
      <c r="O457" s="27">
        <f t="shared" si="113"/>
        <v>248.22695035460995</v>
      </c>
      <c r="Q457" s="4">
        <v>1.49</v>
      </c>
      <c r="R457" s="4">
        <v>1815.8525733157076</v>
      </c>
      <c r="S457" s="4">
        <v>2338.2847000963566</v>
      </c>
      <c r="T457" s="4">
        <v>180</v>
      </c>
      <c r="U457" s="4">
        <v>22.36</v>
      </c>
      <c r="V457" s="4">
        <v>14.1</v>
      </c>
      <c r="W457" s="4"/>
      <c r="X457" s="61">
        <v>40632</v>
      </c>
      <c r="Y457" s="68">
        <v>3631.4929473684206</v>
      </c>
      <c r="Z457" s="68">
        <v>4096.91</v>
      </c>
    </row>
    <row r="458" spans="1:26" x14ac:dyDescent="0.3">
      <c r="A458" s="61">
        <v>40639</v>
      </c>
      <c r="B458" s="19">
        <v>3.976</v>
      </c>
      <c r="C458" s="2">
        <v>119</v>
      </c>
      <c r="D458" s="2">
        <v>-302.5</v>
      </c>
      <c r="E458" s="2">
        <v>472</v>
      </c>
      <c r="F458" s="19">
        <v>58</v>
      </c>
      <c r="G458" s="19">
        <v>34</v>
      </c>
      <c r="I458" s="10">
        <v>40639</v>
      </c>
      <c r="J458" s="27">
        <f t="shared" si="110"/>
        <v>266.8456375838926</v>
      </c>
      <c r="K458" s="11">
        <f t="shared" si="114"/>
        <v>210.78158392564731</v>
      </c>
      <c r="L458" s="11">
        <f t="shared" si="115"/>
        <v>177.38869143727544</v>
      </c>
      <c r="M458" s="27">
        <f t="shared" si="111"/>
        <v>262.22222222222223</v>
      </c>
      <c r="N458" s="27">
        <f t="shared" si="112"/>
        <v>259.391771019678</v>
      </c>
      <c r="O458" s="27">
        <f t="shared" si="113"/>
        <v>241.13475177304963</v>
      </c>
      <c r="Q458" s="4">
        <v>1.49</v>
      </c>
      <c r="R458" s="4">
        <v>1815.8525733157076</v>
      </c>
      <c r="S458" s="4">
        <v>2338.2847000963566</v>
      </c>
      <c r="T458" s="4">
        <v>180</v>
      </c>
      <c r="U458" s="4">
        <v>22.36</v>
      </c>
      <c r="V458" s="4">
        <v>14.1</v>
      </c>
      <c r="W458" s="4"/>
      <c r="X458" s="61">
        <v>40639</v>
      </c>
      <c r="Y458" s="68">
        <v>3708.4828157894749</v>
      </c>
      <c r="Z458" s="68">
        <v>4450.3526315789477</v>
      </c>
    </row>
    <row r="459" spans="1:26" x14ac:dyDescent="0.3">
      <c r="A459" s="61">
        <v>40646</v>
      </c>
      <c r="B459" s="19">
        <v>4.0780000000000003</v>
      </c>
      <c r="C459" s="2">
        <v>175.5</v>
      </c>
      <c r="D459" s="2">
        <v>-397</v>
      </c>
      <c r="E459" s="2">
        <v>429</v>
      </c>
      <c r="F459" s="19">
        <v>53</v>
      </c>
      <c r="G459" s="19">
        <v>31</v>
      </c>
      <c r="I459" s="10">
        <v>40646</v>
      </c>
      <c r="J459" s="27">
        <f t="shared" si="110"/>
        <v>273.69127516778525</v>
      </c>
      <c r="K459" s="11">
        <f t="shared" si="114"/>
        <v>213.89307000278146</v>
      </c>
      <c r="L459" s="11">
        <f t="shared" si="115"/>
        <v>173.34726739699047</v>
      </c>
      <c r="M459" s="27">
        <f t="shared" si="111"/>
        <v>238.33333333333334</v>
      </c>
      <c r="N459" s="27">
        <f t="shared" si="112"/>
        <v>237.03041144901613</v>
      </c>
      <c r="O459" s="27">
        <f t="shared" si="113"/>
        <v>219.85815602836877</v>
      </c>
      <c r="Q459" s="4">
        <v>1.49</v>
      </c>
      <c r="R459" s="4">
        <v>1815.8525733157076</v>
      </c>
      <c r="S459" s="4">
        <v>2338.2847000963566</v>
      </c>
      <c r="T459" s="4">
        <v>180</v>
      </c>
      <c r="U459" s="4">
        <v>22.36</v>
      </c>
      <c r="V459" s="4">
        <v>14.1</v>
      </c>
      <c r="W459" s="4"/>
      <c r="X459" s="61">
        <v>40646</v>
      </c>
      <c r="Y459" s="68">
        <v>3708.4828157894749</v>
      </c>
      <c r="Z459" s="68">
        <v>4450.3526315789477</v>
      </c>
    </row>
    <row r="460" spans="1:26" x14ac:dyDescent="0.3">
      <c r="A460" s="61">
        <v>40653</v>
      </c>
      <c r="B460" s="19">
        <v>4.1050000000000004</v>
      </c>
      <c r="C460" s="2">
        <v>137.5</v>
      </c>
      <c r="D460" s="2">
        <v>-165.5</v>
      </c>
      <c r="E460" s="2">
        <v>413</v>
      </c>
      <c r="F460" s="19">
        <v>52</v>
      </c>
      <c r="G460" s="19">
        <v>30</v>
      </c>
      <c r="I460" s="10">
        <v>40653</v>
      </c>
      <c r="J460" s="27">
        <f t="shared" si="110"/>
        <v>275.50335570469804</v>
      </c>
      <c r="K460" s="11">
        <f t="shared" si="114"/>
        <v>211.8003891013461</v>
      </c>
      <c r="L460" s="11">
        <f t="shared" si="115"/>
        <v>183.24768713588969</v>
      </c>
      <c r="M460" s="27">
        <f t="shared" si="111"/>
        <v>229.44444444444443</v>
      </c>
      <c r="N460" s="27">
        <f t="shared" si="112"/>
        <v>232.55813953488374</v>
      </c>
      <c r="O460" s="27">
        <f t="shared" si="113"/>
        <v>212.7659574468085</v>
      </c>
      <c r="Q460" s="4">
        <v>1.49</v>
      </c>
      <c r="R460" s="4">
        <v>1815.8525733157076</v>
      </c>
      <c r="S460" s="4">
        <v>2338.2847000963566</v>
      </c>
      <c r="T460" s="4">
        <v>180</v>
      </c>
      <c r="U460" s="4">
        <v>22.36</v>
      </c>
      <c r="V460" s="4">
        <v>14.1</v>
      </c>
      <c r="W460" s="4"/>
      <c r="X460" s="61">
        <v>40653</v>
      </c>
      <c r="Y460" s="68">
        <v>3708.4828157894749</v>
      </c>
      <c r="Z460" s="68">
        <v>4450.3526315789477</v>
      </c>
    </row>
    <row r="461" spans="1:26" x14ac:dyDescent="0.3">
      <c r="A461" s="61">
        <v>40660</v>
      </c>
      <c r="B461" s="19">
        <v>4.0979999999999999</v>
      </c>
      <c r="C461" s="2">
        <v>22.5</v>
      </c>
      <c r="D461" s="2">
        <v>-391.5</v>
      </c>
      <c r="E461" s="2">
        <v>402</v>
      </c>
      <c r="F461" s="19">
        <v>50.5</v>
      </c>
      <c r="G461" s="19">
        <v>28</v>
      </c>
      <c r="I461" s="10">
        <v>40660</v>
      </c>
      <c r="J461" s="27">
        <f t="shared" si="110"/>
        <v>275.03355704697981</v>
      </c>
      <c r="K461" s="11">
        <f t="shared" si="114"/>
        <v>205.46727584700233</v>
      </c>
      <c r="L461" s="11">
        <f t="shared" si="115"/>
        <v>173.58248255277425</v>
      </c>
      <c r="M461" s="27">
        <f t="shared" si="111"/>
        <v>223.33333333333334</v>
      </c>
      <c r="N461" s="27">
        <f t="shared" si="112"/>
        <v>225.84973166368516</v>
      </c>
      <c r="O461" s="27">
        <f t="shared" si="113"/>
        <v>198.58156028368796</v>
      </c>
      <c r="Q461" s="4">
        <v>1.49</v>
      </c>
      <c r="R461" s="4">
        <v>1815.8525733157076</v>
      </c>
      <c r="S461" s="4">
        <v>2338.2847000963566</v>
      </c>
      <c r="T461" s="4">
        <v>180</v>
      </c>
      <c r="U461" s="4">
        <v>22.36</v>
      </c>
      <c r="V461" s="4">
        <v>14.1</v>
      </c>
      <c r="W461" s="4"/>
      <c r="X461" s="61">
        <v>40660</v>
      </c>
      <c r="Y461" s="68">
        <v>3708.4828157894749</v>
      </c>
      <c r="Z461" s="68">
        <v>4450.3526315789477</v>
      </c>
    </row>
    <row r="462" spans="1:26" x14ac:dyDescent="0.3">
      <c r="A462" s="61">
        <v>40667</v>
      </c>
      <c r="B462" s="19">
        <v>4.1239999999999997</v>
      </c>
      <c r="C462" s="2">
        <v>9</v>
      </c>
      <c r="D462" s="2">
        <v>-462.5</v>
      </c>
      <c r="E462" s="2">
        <v>460</v>
      </c>
      <c r="F462" s="19">
        <v>51</v>
      </c>
      <c r="G462" s="19">
        <v>30</v>
      </c>
      <c r="I462" s="10">
        <v>40667</v>
      </c>
      <c r="J462" s="27">
        <f t="shared" si="110"/>
        <v>276.77852348993281</v>
      </c>
      <c r="K462" s="11">
        <f t="shared" si="114"/>
        <v>207.96621509451629</v>
      </c>
      <c r="L462" s="11">
        <f t="shared" si="115"/>
        <v>175.01761012383815</v>
      </c>
      <c r="M462" s="27">
        <f t="shared" si="111"/>
        <v>255.55555555555554</v>
      </c>
      <c r="N462" s="27">
        <f t="shared" si="112"/>
        <v>228.08586762075134</v>
      </c>
      <c r="O462" s="27">
        <f t="shared" si="113"/>
        <v>212.7659574468085</v>
      </c>
      <c r="Q462" s="4">
        <v>1.49</v>
      </c>
      <c r="R462" s="4">
        <v>1815.8525733157076</v>
      </c>
      <c r="S462" s="4">
        <v>2338.2847000963566</v>
      </c>
      <c r="T462" s="4">
        <v>180</v>
      </c>
      <c r="U462" s="4">
        <v>22.36</v>
      </c>
      <c r="V462" s="4">
        <v>14.1</v>
      </c>
      <c r="W462" s="4"/>
      <c r="X462" s="61">
        <v>40667</v>
      </c>
      <c r="Y462" s="68">
        <v>3767.3598684210533</v>
      </c>
      <c r="Z462" s="68">
        <v>4554.91</v>
      </c>
    </row>
    <row r="463" spans="1:26" x14ac:dyDescent="0.3">
      <c r="A463" s="61">
        <v>40674</v>
      </c>
      <c r="B463" s="19">
        <v>4.1040000000000001</v>
      </c>
      <c r="C463" s="2">
        <v>8.5</v>
      </c>
      <c r="D463" s="2">
        <v>-322</v>
      </c>
      <c r="E463" s="2">
        <v>425</v>
      </c>
      <c r="F463" s="19">
        <v>53</v>
      </c>
      <c r="G463" s="19">
        <v>30</v>
      </c>
      <c r="I463" s="10">
        <v>40674</v>
      </c>
      <c r="J463" s="27">
        <f t="shared" si="110"/>
        <v>275.43624161073825</v>
      </c>
      <c r="K463" s="11">
        <f t="shared" si="114"/>
        <v>207.93867981949739</v>
      </c>
      <c r="L463" s="11">
        <f t="shared" si="115"/>
        <v>181.02628819431479</v>
      </c>
      <c r="M463" s="27">
        <f t="shared" si="111"/>
        <v>236.11111111111111</v>
      </c>
      <c r="N463" s="27">
        <f t="shared" si="112"/>
        <v>237.03041144901613</v>
      </c>
      <c r="O463" s="27">
        <f t="shared" si="113"/>
        <v>212.7659574468085</v>
      </c>
      <c r="Q463" s="4">
        <v>1.49</v>
      </c>
      <c r="R463" s="4">
        <v>1815.8525733157076</v>
      </c>
      <c r="S463" s="4">
        <v>2338.2847000963566</v>
      </c>
      <c r="T463" s="4">
        <v>180</v>
      </c>
      <c r="U463" s="4">
        <v>22.36</v>
      </c>
      <c r="V463" s="4">
        <v>14.1</v>
      </c>
      <c r="W463" s="4"/>
      <c r="X463" s="61">
        <v>40674</v>
      </c>
      <c r="Y463" s="68">
        <v>3767.3598684210533</v>
      </c>
      <c r="Z463" s="68">
        <v>4554.91</v>
      </c>
    </row>
    <row r="464" spans="1:26" x14ac:dyDescent="0.3">
      <c r="A464" s="61">
        <v>40681</v>
      </c>
      <c r="B464" s="19">
        <v>4.0609999999999999</v>
      </c>
      <c r="C464" s="2">
        <v>6</v>
      </c>
      <c r="D464" s="2">
        <v>-139.5</v>
      </c>
      <c r="E464" s="2">
        <v>422</v>
      </c>
      <c r="F464" s="19">
        <v>53</v>
      </c>
      <c r="G464" s="19">
        <v>30</v>
      </c>
      <c r="I464" s="10">
        <v>40681</v>
      </c>
      <c r="J464" s="27">
        <f t="shared" si="110"/>
        <v>272.55033557046977</v>
      </c>
      <c r="K464" s="11">
        <f t="shared" si="114"/>
        <v>207.80100344440297</v>
      </c>
      <c r="L464" s="11">
        <f t="shared" si="115"/>
        <v>188.8311547271403</v>
      </c>
      <c r="M464" s="27">
        <f t="shared" si="111"/>
        <v>234.44444444444446</v>
      </c>
      <c r="N464" s="27">
        <f t="shared" si="112"/>
        <v>237.03041144901613</v>
      </c>
      <c r="O464" s="27">
        <f t="shared" si="113"/>
        <v>212.7659574468085</v>
      </c>
      <c r="Q464" s="4">
        <v>1.49</v>
      </c>
      <c r="R464" s="4">
        <v>1815.8525733157076</v>
      </c>
      <c r="S464" s="4">
        <v>2338.2847000963566</v>
      </c>
      <c r="T464" s="4">
        <v>180</v>
      </c>
      <c r="U464" s="4">
        <v>22.36</v>
      </c>
      <c r="V464" s="4">
        <v>14.1</v>
      </c>
      <c r="W464" s="4"/>
      <c r="X464" s="61">
        <v>40681</v>
      </c>
      <c r="Y464" s="68">
        <v>3767.3598684210533</v>
      </c>
      <c r="Z464" s="68">
        <v>4554.91</v>
      </c>
    </row>
    <row r="465" spans="1:26" x14ac:dyDescent="0.3">
      <c r="A465" s="61">
        <v>40688</v>
      </c>
      <c r="B465" s="19">
        <v>3.9969999999999999</v>
      </c>
      <c r="C465" s="2">
        <v>19.5</v>
      </c>
      <c r="D465" s="2">
        <v>-275.5</v>
      </c>
      <c r="E465" s="2">
        <v>449</v>
      </c>
      <c r="F465" s="19">
        <v>51.5</v>
      </c>
      <c r="G465" s="19">
        <v>29</v>
      </c>
      <c r="I465" s="10">
        <v>40688</v>
      </c>
      <c r="J465" s="27">
        <f t="shared" si="110"/>
        <v>268.25503355704694</v>
      </c>
      <c r="K465" s="11">
        <f t="shared" si="114"/>
        <v>208.54445586991289</v>
      </c>
      <c r="L465" s="11">
        <f t="shared" si="115"/>
        <v>183.01492542048678</v>
      </c>
      <c r="M465" s="27">
        <f t="shared" si="111"/>
        <v>249.44444444444446</v>
      </c>
      <c r="N465" s="27">
        <f t="shared" si="112"/>
        <v>230.32200357781755</v>
      </c>
      <c r="O465" s="27">
        <f t="shared" si="113"/>
        <v>205.67375886524823</v>
      </c>
      <c r="Q465" s="4">
        <v>1.49</v>
      </c>
      <c r="R465" s="4">
        <v>1815.8525733157076</v>
      </c>
      <c r="S465" s="4">
        <v>2338.2847000963566</v>
      </c>
      <c r="T465" s="4">
        <v>180</v>
      </c>
      <c r="U465" s="4">
        <v>22.36</v>
      </c>
      <c r="V465" s="4">
        <v>14.1</v>
      </c>
      <c r="W465" s="4"/>
      <c r="X465" s="61">
        <v>40688</v>
      </c>
      <c r="Y465" s="68">
        <v>3767.3598684210533</v>
      </c>
      <c r="Z465" s="68">
        <v>4554.91</v>
      </c>
    </row>
    <row r="466" spans="1:26" x14ac:dyDescent="0.3">
      <c r="A466" s="61">
        <v>40695</v>
      </c>
      <c r="B466" s="19">
        <v>3.948</v>
      </c>
      <c r="C466" s="19">
        <v>31.5</v>
      </c>
      <c r="D466" s="67">
        <v>-282.5</v>
      </c>
      <c r="E466" s="2">
        <v>463</v>
      </c>
      <c r="F466" s="19">
        <v>53.5</v>
      </c>
      <c r="G466" s="19">
        <v>31</v>
      </c>
      <c r="H466" s="19"/>
      <c r="I466" s="10">
        <v>40695</v>
      </c>
      <c r="J466" s="27">
        <f t="shared" si="110"/>
        <v>264.96644295302013</v>
      </c>
      <c r="K466" s="11">
        <f t="shared" si="114"/>
        <v>213.11008271924433</v>
      </c>
      <c r="L466" s="11">
        <f t="shared" si="115"/>
        <v>185.12477160492631</v>
      </c>
      <c r="M466" s="27">
        <f t="shared" si="111"/>
        <v>257.22222222222217</v>
      </c>
      <c r="N466" s="27">
        <f t="shared" si="112"/>
        <v>239.26654740608225</v>
      </c>
      <c r="O466" s="27">
        <f t="shared" si="113"/>
        <v>219.85815602836877</v>
      </c>
      <c r="Q466" s="4">
        <v>1.49</v>
      </c>
      <c r="R466" s="4">
        <v>1815.8525733157076</v>
      </c>
      <c r="S466" s="4">
        <v>2338.2847000963566</v>
      </c>
      <c r="T466" s="4">
        <v>180</v>
      </c>
      <c r="U466" s="4">
        <v>22.36</v>
      </c>
      <c r="V466" s="4">
        <v>14.1</v>
      </c>
      <c r="W466" s="4"/>
      <c r="X466" s="61">
        <v>40695</v>
      </c>
      <c r="Y466" s="68">
        <v>3838.2649210526311</v>
      </c>
      <c r="Z466" s="68">
        <v>4611.2442105263162</v>
      </c>
    </row>
    <row r="467" spans="1:26" x14ac:dyDescent="0.3">
      <c r="A467" s="61">
        <v>40702</v>
      </c>
      <c r="B467" s="19">
        <v>3.94</v>
      </c>
      <c r="C467" s="19">
        <v>23</v>
      </c>
      <c r="D467" s="67">
        <v>-129</v>
      </c>
      <c r="E467" s="2">
        <v>447</v>
      </c>
      <c r="F467" s="19">
        <v>53</v>
      </c>
      <c r="G467" s="19">
        <v>30</v>
      </c>
      <c r="H467" s="19"/>
      <c r="I467" s="10">
        <v>40702</v>
      </c>
      <c r="J467" s="27">
        <f t="shared" si="110"/>
        <v>264.42953020134229</v>
      </c>
      <c r="K467" s="11">
        <f t="shared" si="114"/>
        <v>212.64198304392329</v>
      </c>
      <c r="L467" s="11">
        <f t="shared" si="115"/>
        <v>191.68941277089189</v>
      </c>
      <c r="M467" s="27">
        <f t="shared" si="111"/>
        <v>248.33333333333334</v>
      </c>
      <c r="N467" s="27">
        <f t="shared" si="112"/>
        <v>237.03041144901613</v>
      </c>
      <c r="O467" s="27">
        <f t="shared" si="113"/>
        <v>212.7659574468085</v>
      </c>
      <c r="Q467" s="4">
        <v>1.49</v>
      </c>
      <c r="R467" s="4">
        <v>1815.8525733157076</v>
      </c>
      <c r="S467" s="4">
        <v>2338.2847000963566</v>
      </c>
      <c r="T467" s="4">
        <v>180</v>
      </c>
      <c r="U467" s="4">
        <v>22.36</v>
      </c>
      <c r="V467" s="4">
        <v>14.1</v>
      </c>
      <c r="W467" s="4"/>
      <c r="X467" s="61">
        <v>40702</v>
      </c>
      <c r="Y467" s="68">
        <v>3838.2649210526311</v>
      </c>
      <c r="Z467" s="68">
        <v>4611.2442105263162</v>
      </c>
    </row>
    <row r="468" spans="1:26" x14ac:dyDescent="0.3">
      <c r="A468" s="61">
        <v>40709</v>
      </c>
      <c r="B468" s="19">
        <v>3.9540000000000002</v>
      </c>
      <c r="C468" s="65">
        <v>14</v>
      </c>
      <c r="D468" s="67">
        <v>-212.5</v>
      </c>
      <c r="E468" s="2">
        <v>446</v>
      </c>
      <c r="F468" s="19">
        <v>54</v>
      </c>
      <c r="G468" s="19">
        <v>31</v>
      </c>
      <c r="H468" s="19"/>
      <c r="I468" s="10">
        <v>40709</v>
      </c>
      <c r="J468" s="27">
        <f t="shared" si="110"/>
        <v>265.36912751677858</v>
      </c>
      <c r="K468" s="11">
        <f t="shared" si="114"/>
        <v>212.14634809358333</v>
      </c>
      <c r="L468" s="11">
        <f t="shared" si="115"/>
        <v>188.11841904217445</v>
      </c>
      <c r="M468" s="27">
        <f t="shared" si="111"/>
        <v>247.77777777777777</v>
      </c>
      <c r="N468" s="27">
        <f t="shared" si="112"/>
        <v>241.50268336314849</v>
      </c>
      <c r="O468" s="27">
        <f t="shared" si="113"/>
        <v>219.85815602836877</v>
      </c>
      <c r="Q468" s="4">
        <v>1.49</v>
      </c>
      <c r="R468" s="4">
        <v>1815.8525733157076</v>
      </c>
      <c r="S468" s="4">
        <v>2338.2847000963566</v>
      </c>
      <c r="T468" s="4">
        <v>180</v>
      </c>
      <c r="U468" s="4">
        <v>22.36</v>
      </c>
      <c r="V468" s="4">
        <v>14.1</v>
      </c>
      <c r="W468" s="4"/>
      <c r="X468" s="61">
        <v>40709</v>
      </c>
      <c r="Y468" s="68">
        <v>3838.2649210526311</v>
      </c>
      <c r="Z468" s="68">
        <v>4611.2442105263162</v>
      </c>
    </row>
    <row r="469" spans="1:26" x14ac:dyDescent="0.3">
      <c r="A469" s="61">
        <v>40716</v>
      </c>
      <c r="B469" s="19">
        <v>3.95</v>
      </c>
      <c r="C469" s="19">
        <v>37.5</v>
      </c>
      <c r="D469" s="67">
        <v>-387.5</v>
      </c>
      <c r="E469" s="2">
        <v>450</v>
      </c>
      <c r="F469" s="19">
        <v>54</v>
      </c>
      <c r="G469" s="19">
        <v>30.5</v>
      </c>
      <c r="H469" s="19"/>
      <c r="I469" s="10">
        <v>40716</v>
      </c>
      <c r="J469" s="27">
        <f t="shared" si="110"/>
        <v>265.1006711409396</v>
      </c>
      <c r="K469" s="11">
        <f t="shared" si="114"/>
        <v>213.44050601947097</v>
      </c>
      <c r="L469" s="11">
        <f t="shared" si="115"/>
        <v>180.63430044905408</v>
      </c>
      <c r="M469" s="27">
        <f t="shared" si="111"/>
        <v>250</v>
      </c>
      <c r="N469" s="27">
        <f t="shared" si="112"/>
        <v>241.50268336314849</v>
      </c>
      <c r="O469" s="27">
        <f t="shared" si="113"/>
        <v>216.31205673758865</v>
      </c>
      <c r="Q469" s="4">
        <v>1.49</v>
      </c>
      <c r="R469" s="4">
        <v>1815.8525733157076</v>
      </c>
      <c r="S469" s="4">
        <v>2338.2847000963566</v>
      </c>
      <c r="T469" s="4">
        <v>180</v>
      </c>
      <c r="U469" s="4">
        <v>22.36</v>
      </c>
      <c r="V469" s="4">
        <v>14.1</v>
      </c>
      <c r="W469" s="4"/>
      <c r="X469" s="61">
        <v>40716</v>
      </c>
      <c r="Y469" s="68">
        <v>3838.2649210526311</v>
      </c>
      <c r="Z469" s="68">
        <v>4611.2442105263162</v>
      </c>
    </row>
    <row r="470" spans="1:26" x14ac:dyDescent="0.3">
      <c r="A470" s="61">
        <v>40723</v>
      </c>
      <c r="B470" s="19">
        <v>3.8879999999999999</v>
      </c>
      <c r="C470" s="19">
        <v>6.5</v>
      </c>
      <c r="D470" s="67">
        <v>-356.5</v>
      </c>
      <c r="E470" s="2">
        <v>445</v>
      </c>
      <c r="F470" s="19">
        <v>52</v>
      </c>
      <c r="G470" s="19">
        <v>29</v>
      </c>
      <c r="H470" s="19"/>
      <c r="I470" s="10">
        <v>40723</v>
      </c>
      <c r="J470" s="27">
        <f t="shared" si="110"/>
        <v>260.93959731543623</v>
      </c>
      <c r="K470" s="11">
        <f t="shared" si="114"/>
        <v>211.73331896830004</v>
      </c>
      <c r="L470" s="11">
        <f t="shared" si="115"/>
        <v>181.96005859983541</v>
      </c>
      <c r="M470" s="27">
        <f t="shared" si="111"/>
        <v>247.22222222222223</v>
      </c>
      <c r="N470" s="27">
        <f t="shared" si="112"/>
        <v>232.55813953488374</v>
      </c>
      <c r="O470" s="27">
        <f t="shared" si="113"/>
        <v>205.67375886524823</v>
      </c>
      <c r="Q470" s="4">
        <v>1.49</v>
      </c>
      <c r="R470" s="4">
        <v>1815.8525733157076</v>
      </c>
      <c r="S470" s="4">
        <v>2338.2847000963566</v>
      </c>
      <c r="T470" s="4">
        <v>180</v>
      </c>
      <c r="U470" s="4">
        <v>22.36</v>
      </c>
      <c r="V470" s="4">
        <v>14.1</v>
      </c>
      <c r="W470" s="4"/>
      <c r="X470" s="61">
        <v>40723</v>
      </c>
      <c r="Y470" s="68">
        <v>3838.2649210526311</v>
      </c>
      <c r="Z470" s="68">
        <v>4611.2442105263162</v>
      </c>
    </row>
    <row r="471" spans="1:26" x14ac:dyDescent="0.3">
      <c r="A471" s="61">
        <v>40730</v>
      </c>
      <c r="B471" s="19">
        <v>3.85</v>
      </c>
      <c r="C471" s="19">
        <v>-6.5</v>
      </c>
      <c r="D471" s="67">
        <v>-354</v>
      </c>
      <c r="E471" s="2">
        <v>460</v>
      </c>
      <c r="F471" s="19">
        <v>52</v>
      </c>
      <c r="G471" s="19">
        <v>28</v>
      </c>
      <c r="H471" s="19"/>
      <c r="I471" s="10">
        <v>40730</v>
      </c>
      <c r="J471" s="27">
        <f t="shared" si="110"/>
        <v>258.38926174496646</v>
      </c>
      <c r="K471" s="11">
        <f t="shared" si="114"/>
        <v>210.74245485062039</v>
      </c>
      <c r="L471" s="11">
        <f t="shared" si="115"/>
        <v>181.52273847909638</v>
      </c>
      <c r="M471" s="27">
        <f t="shared" si="111"/>
        <v>255.55555555555554</v>
      </c>
      <c r="N471" s="27">
        <f t="shared" si="112"/>
        <v>232.55813953488374</v>
      </c>
      <c r="O471" s="27">
        <f t="shared" si="113"/>
        <v>198.58156028368796</v>
      </c>
      <c r="Q471" s="4">
        <v>1.49</v>
      </c>
      <c r="R471" s="4">
        <v>1815.8525733157076</v>
      </c>
      <c r="S471" s="4">
        <v>2338.2847000963566</v>
      </c>
      <c r="T471" s="4">
        <v>180</v>
      </c>
      <c r="U471" s="4">
        <v>22.36</v>
      </c>
      <c r="V471" s="4">
        <v>14.1</v>
      </c>
      <c r="W471" s="4"/>
      <c r="X471" s="61">
        <v>40730</v>
      </c>
      <c r="Y471" s="68">
        <v>3833.2722894736835</v>
      </c>
      <c r="Z471" s="68">
        <v>4598.5184210526322</v>
      </c>
    </row>
    <row r="472" spans="1:26" x14ac:dyDescent="0.3">
      <c r="A472" s="61">
        <v>40737</v>
      </c>
      <c r="B472" s="19">
        <v>3.899</v>
      </c>
      <c r="C472" s="19">
        <v>-6.5</v>
      </c>
      <c r="D472" s="67">
        <v>-381.5</v>
      </c>
      <c r="E472" s="2">
        <v>449</v>
      </c>
      <c r="F472" s="19">
        <v>53</v>
      </c>
      <c r="G472" s="19">
        <v>29</v>
      </c>
      <c r="H472" s="19"/>
      <c r="I472" s="10">
        <v>40737</v>
      </c>
      <c r="J472" s="27">
        <f t="shared" si="110"/>
        <v>261.67785234899327</v>
      </c>
      <c r="K472" s="11">
        <f t="shared" si="114"/>
        <v>210.74245485062039</v>
      </c>
      <c r="L472" s="11">
        <f t="shared" si="115"/>
        <v>180.34666270017746</v>
      </c>
      <c r="M472" s="27">
        <f t="shared" si="111"/>
        <v>249.44444444444446</v>
      </c>
      <c r="N472" s="27">
        <f t="shared" si="112"/>
        <v>237.03041144901613</v>
      </c>
      <c r="O472" s="27">
        <f t="shared" si="113"/>
        <v>205.67375886524823</v>
      </c>
      <c r="Q472" s="4">
        <v>1.49</v>
      </c>
      <c r="R472" s="4">
        <v>1815.8525733157076</v>
      </c>
      <c r="S472" s="4">
        <v>2338.2847000963566</v>
      </c>
      <c r="T472" s="4">
        <v>180</v>
      </c>
      <c r="U472" s="4">
        <v>22.36</v>
      </c>
      <c r="V472" s="4">
        <v>14.1</v>
      </c>
      <c r="W472" s="4"/>
      <c r="X472" s="61">
        <v>40737</v>
      </c>
      <c r="Y472" s="68">
        <v>3833.2722894736835</v>
      </c>
      <c r="Z472" s="68">
        <v>4598.5184210526322</v>
      </c>
    </row>
    <row r="473" spans="1:26" x14ac:dyDescent="0.3">
      <c r="A473" s="61">
        <v>40744</v>
      </c>
      <c r="B473" s="19">
        <v>3.923</v>
      </c>
      <c r="C473" s="19">
        <v>25</v>
      </c>
      <c r="D473" s="67">
        <v>-362.5</v>
      </c>
      <c r="E473" s="2">
        <v>431</v>
      </c>
      <c r="F473" s="2">
        <v>51.5</v>
      </c>
      <c r="G473" s="19">
        <v>27.5</v>
      </c>
      <c r="H473" s="19"/>
      <c r="I473" s="10">
        <v>40744</v>
      </c>
      <c r="J473" s="27">
        <f t="shared" si="110"/>
        <v>263.28859060402687</v>
      </c>
      <c r="K473" s="11">
        <f t="shared" si="114"/>
        <v>212.47717717681022</v>
      </c>
      <c r="L473" s="11">
        <f t="shared" si="115"/>
        <v>181.15922414743054</v>
      </c>
      <c r="M473" s="27">
        <f t="shared" si="111"/>
        <v>239.44444444444443</v>
      </c>
      <c r="N473" s="27">
        <f t="shared" si="112"/>
        <v>230.32200357781755</v>
      </c>
      <c r="O473" s="27">
        <f t="shared" si="113"/>
        <v>195.03546099290782</v>
      </c>
      <c r="Q473" s="4">
        <v>1.49</v>
      </c>
      <c r="R473" s="4">
        <v>1815.8525733157076</v>
      </c>
      <c r="S473" s="4">
        <v>2338.2847000963566</v>
      </c>
      <c r="T473" s="4">
        <v>180</v>
      </c>
      <c r="U473" s="4">
        <v>22.36</v>
      </c>
      <c r="V473" s="4">
        <v>14.1</v>
      </c>
      <c r="W473" s="4"/>
      <c r="X473" s="61">
        <v>40744</v>
      </c>
      <c r="Y473" s="68">
        <v>3833.2722894736835</v>
      </c>
      <c r="Z473" s="68">
        <v>4598.5184210526322</v>
      </c>
    </row>
    <row r="474" spans="1:26" x14ac:dyDescent="0.3">
      <c r="A474" s="61">
        <v>40751</v>
      </c>
      <c r="B474" s="19">
        <v>3.9489999999999998</v>
      </c>
      <c r="C474" s="2">
        <v>26</v>
      </c>
      <c r="D474" s="2">
        <v>-575</v>
      </c>
      <c r="E474" s="2">
        <v>390</v>
      </c>
      <c r="F474" s="19">
        <v>51</v>
      </c>
      <c r="G474" s="19">
        <v>27</v>
      </c>
      <c r="I474" s="10">
        <v>40751</v>
      </c>
      <c r="J474" s="27">
        <f t="shared" si="110"/>
        <v>265.03355704697987</v>
      </c>
      <c r="K474" s="11">
        <f t="shared" si="114"/>
        <v>212.532247726848</v>
      </c>
      <c r="L474" s="11">
        <f t="shared" si="115"/>
        <v>172.07136585578436</v>
      </c>
      <c r="M474" s="27">
        <f t="shared" si="111"/>
        <v>216.66666666666669</v>
      </c>
      <c r="N474" s="27">
        <f t="shared" si="112"/>
        <v>228.08586762075134</v>
      </c>
      <c r="O474" s="27">
        <f t="shared" si="113"/>
        <v>191.48936170212767</v>
      </c>
      <c r="Q474" s="4">
        <v>1.49</v>
      </c>
      <c r="R474" s="4">
        <v>1815.8525733157076</v>
      </c>
      <c r="S474" s="4">
        <v>2338.2847000963566</v>
      </c>
      <c r="T474" s="4">
        <v>180</v>
      </c>
      <c r="U474" s="4">
        <v>22.36</v>
      </c>
      <c r="V474" s="4">
        <v>14.1</v>
      </c>
      <c r="W474" s="4"/>
      <c r="X474" s="61">
        <v>40751</v>
      </c>
      <c r="Y474" s="68">
        <v>3833.2722894736835</v>
      </c>
      <c r="Z474" s="68">
        <v>4598.5184210526322</v>
      </c>
    </row>
    <row r="475" spans="1:26" x14ac:dyDescent="0.3">
      <c r="A475" s="61">
        <v>40758</v>
      </c>
      <c r="B475" s="19">
        <v>3.9369999999999998</v>
      </c>
      <c r="C475" s="2">
        <v>19.5</v>
      </c>
      <c r="D475" s="2">
        <v>-696</v>
      </c>
      <c r="E475" s="2">
        <v>362</v>
      </c>
      <c r="F475" s="19">
        <v>52</v>
      </c>
      <c r="G475" s="19">
        <v>27.5</v>
      </c>
      <c r="I475" s="10">
        <v>40758</v>
      </c>
      <c r="J475" s="27">
        <f t="shared" si="110"/>
        <v>264.2281879194631</v>
      </c>
      <c r="K475" s="11">
        <f t="shared" si="114"/>
        <v>211.52081910640433</v>
      </c>
      <c r="L475" s="11">
        <f t="shared" si="115"/>
        <v>165.30687058759827</v>
      </c>
      <c r="M475" s="27">
        <f t="shared" si="111"/>
        <v>201.11111111111111</v>
      </c>
      <c r="N475" s="27">
        <f t="shared" si="112"/>
        <v>232.55813953488374</v>
      </c>
      <c r="O475" s="27">
        <f t="shared" si="113"/>
        <v>195.03546099290782</v>
      </c>
      <c r="Q475" s="4">
        <v>1.49</v>
      </c>
      <c r="R475" s="4">
        <v>1815.8525733157076</v>
      </c>
      <c r="S475" s="4">
        <v>2338.2847000963566</v>
      </c>
      <c r="T475" s="4">
        <v>180</v>
      </c>
      <c r="U475" s="4">
        <v>22.36</v>
      </c>
      <c r="V475" s="4">
        <v>14.1</v>
      </c>
      <c r="W475" s="4"/>
      <c r="X475" s="61">
        <v>40758</v>
      </c>
      <c r="Y475" s="68">
        <v>3821.406236842106</v>
      </c>
      <c r="Z475" s="68">
        <v>4561.3452631578948</v>
      </c>
    </row>
    <row r="476" spans="1:26" x14ac:dyDescent="0.3">
      <c r="A476" s="61">
        <v>40765</v>
      </c>
      <c r="B476" s="19">
        <v>3.8969999999999998</v>
      </c>
      <c r="C476" s="2">
        <v>23</v>
      </c>
      <c r="D476" s="2">
        <v>-664.5</v>
      </c>
      <c r="E476" s="2">
        <v>377</v>
      </c>
      <c r="F476" s="19">
        <v>50.5</v>
      </c>
      <c r="G476" s="19">
        <v>27</v>
      </c>
      <c r="I476" s="10">
        <v>40765</v>
      </c>
      <c r="J476" s="27">
        <f t="shared" si="110"/>
        <v>261.54362416107386</v>
      </c>
      <c r="K476" s="11">
        <f t="shared" si="114"/>
        <v>211.71356603153652</v>
      </c>
      <c r="L476" s="11">
        <f t="shared" si="115"/>
        <v>166.65401193435997</v>
      </c>
      <c r="M476" s="27">
        <f t="shared" si="111"/>
        <v>209.44444444444446</v>
      </c>
      <c r="N476" s="27">
        <f t="shared" si="112"/>
        <v>225.84973166368516</v>
      </c>
      <c r="O476" s="27">
        <f t="shared" si="113"/>
        <v>191.48936170212767</v>
      </c>
      <c r="Q476" s="4">
        <v>1.49</v>
      </c>
      <c r="R476" s="4">
        <v>1815.8525733157076</v>
      </c>
      <c r="S476" s="4">
        <v>2338.2847000963566</v>
      </c>
      <c r="T476" s="4">
        <v>180</v>
      </c>
      <c r="U476" s="4">
        <v>22.36</v>
      </c>
      <c r="V476" s="4">
        <v>14.1</v>
      </c>
      <c r="W476" s="4"/>
      <c r="X476" s="61">
        <v>40765</v>
      </c>
      <c r="Y476" s="68">
        <v>3821.406236842106</v>
      </c>
      <c r="Z476" s="68">
        <v>4561.3452631578948</v>
      </c>
    </row>
    <row r="477" spans="1:26" x14ac:dyDescent="0.3">
      <c r="A477" s="61">
        <v>40772</v>
      </c>
      <c r="B477" s="19">
        <v>3.835</v>
      </c>
      <c r="C477" s="2">
        <v>16</v>
      </c>
      <c r="D477" s="2">
        <v>-481.5</v>
      </c>
      <c r="E477" s="2">
        <v>423</v>
      </c>
      <c r="F477" s="19">
        <v>51</v>
      </c>
      <c r="G477" s="19">
        <v>28</v>
      </c>
      <c r="I477" s="10">
        <v>40772</v>
      </c>
      <c r="J477" s="27">
        <f t="shared" si="110"/>
        <v>257.38255033557044</v>
      </c>
      <c r="K477" s="11">
        <f t="shared" si="114"/>
        <v>211.32807218127212</v>
      </c>
      <c r="L477" s="11">
        <f t="shared" si="115"/>
        <v>174.48026166316581</v>
      </c>
      <c r="M477" s="27">
        <f t="shared" si="111"/>
        <v>235</v>
      </c>
      <c r="N477" s="27">
        <f t="shared" si="112"/>
        <v>228.08586762075134</v>
      </c>
      <c r="O477" s="27">
        <f t="shared" si="113"/>
        <v>198.58156028368796</v>
      </c>
      <c r="Q477" s="4">
        <v>1.49</v>
      </c>
      <c r="R477" s="4">
        <v>1815.8525733157076</v>
      </c>
      <c r="S477" s="4">
        <v>2338.2847000963566</v>
      </c>
      <c r="T477" s="4">
        <v>180</v>
      </c>
      <c r="U477" s="4">
        <v>22.36</v>
      </c>
      <c r="V477" s="4">
        <v>14.1</v>
      </c>
      <c r="W477" s="4"/>
      <c r="X477" s="61">
        <v>40772</v>
      </c>
      <c r="Y477" s="68">
        <v>3821.406236842106</v>
      </c>
      <c r="Z477" s="68">
        <v>4561.3452631578948</v>
      </c>
    </row>
    <row r="478" spans="1:26" x14ac:dyDescent="0.3">
      <c r="A478" s="61">
        <v>40779</v>
      </c>
      <c r="B478" s="19">
        <v>3.81</v>
      </c>
      <c r="C478" s="2">
        <v>52.5</v>
      </c>
      <c r="D478" s="2">
        <v>-494</v>
      </c>
      <c r="E478" s="2">
        <v>435</v>
      </c>
      <c r="F478" s="19">
        <v>53</v>
      </c>
      <c r="G478" s="19">
        <v>32</v>
      </c>
      <c r="I478" s="10">
        <v>40779</v>
      </c>
      <c r="J478" s="27">
        <f t="shared" si="110"/>
        <v>255.70469798657723</v>
      </c>
      <c r="K478" s="11">
        <f t="shared" si="114"/>
        <v>213.3381472576508</v>
      </c>
      <c r="L478" s="11">
        <f t="shared" si="115"/>
        <v>173.94568176365721</v>
      </c>
      <c r="M478" s="27">
        <f t="shared" si="111"/>
        <v>241.66666666666669</v>
      </c>
      <c r="N478" s="27">
        <f t="shared" si="112"/>
        <v>237.03041144901613</v>
      </c>
      <c r="O478" s="27">
        <f t="shared" si="113"/>
        <v>226.95035460992904</v>
      </c>
      <c r="Q478" s="4">
        <v>1.49</v>
      </c>
      <c r="R478" s="4">
        <v>1815.8525733157076</v>
      </c>
      <c r="S478" s="4">
        <v>2338.2847000963566</v>
      </c>
      <c r="T478" s="4">
        <v>180</v>
      </c>
      <c r="U478" s="4">
        <v>22.36</v>
      </c>
      <c r="V478" s="4">
        <v>14.1</v>
      </c>
      <c r="W478" s="4"/>
      <c r="X478" s="61">
        <v>40779</v>
      </c>
      <c r="Y478" s="68">
        <v>3821.406236842106</v>
      </c>
      <c r="Z478" s="68">
        <v>4561.3452631578948</v>
      </c>
    </row>
    <row r="479" spans="1:26" x14ac:dyDescent="0.3">
      <c r="A479" s="61">
        <v>40786</v>
      </c>
      <c r="B479" s="19">
        <v>3.82</v>
      </c>
      <c r="C479" s="2">
        <v>27.5</v>
      </c>
      <c r="D479" s="2">
        <v>-419</v>
      </c>
      <c r="E479" s="2">
        <v>458</v>
      </c>
      <c r="F479" s="19">
        <v>54.5</v>
      </c>
      <c r="G479" s="19">
        <v>34</v>
      </c>
      <c r="I479" s="10">
        <v>40786</v>
      </c>
      <c r="J479" s="27">
        <f t="shared" si="110"/>
        <v>256.37583892617448</v>
      </c>
      <c r="K479" s="11">
        <f t="shared" si="114"/>
        <v>211.96138350670651</v>
      </c>
      <c r="L479" s="11">
        <f t="shared" si="115"/>
        <v>177.15316116070878</v>
      </c>
      <c r="M479" s="27">
        <f t="shared" si="111"/>
        <v>254.44444444444443</v>
      </c>
      <c r="N479" s="27">
        <f t="shared" si="112"/>
        <v>243.7388193202147</v>
      </c>
      <c r="O479" s="27">
        <f t="shared" si="113"/>
        <v>241.13475177304963</v>
      </c>
      <c r="Q479" s="4">
        <v>1.49</v>
      </c>
      <c r="R479" s="4">
        <v>1815.8525733157076</v>
      </c>
      <c r="S479" s="4">
        <v>2338.2847000963566</v>
      </c>
      <c r="T479" s="4">
        <v>180</v>
      </c>
      <c r="U479" s="4">
        <v>22.36</v>
      </c>
      <c r="V479" s="4">
        <v>14.1</v>
      </c>
      <c r="W479" s="4"/>
      <c r="X479" s="61">
        <v>40786</v>
      </c>
      <c r="Y479" s="68">
        <v>3821.406236842106</v>
      </c>
      <c r="Z479" s="68">
        <v>4561.3452631578948</v>
      </c>
    </row>
    <row r="480" spans="1:26" x14ac:dyDescent="0.3">
      <c r="A480" s="61">
        <v>40793</v>
      </c>
      <c r="B480" s="19">
        <v>3.8679999999999999</v>
      </c>
      <c r="C480" s="2">
        <v>8.5</v>
      </c>
      <c r="D480" s="2">
        <v>-475</v>
      </c>
      <c r="E480" s="2">
        <v>460</v>
      </c>
      <c r="F480" s="19">
        <v>54</v>
      </c>
      <c r="G480" s="19">
        <v>34.5</v>
      </c>
      <c r="I480" s="10">
        <v>40793</v>
      </c>
      <c r="J480" s="27">
        <f t="shared" si="110"/>
        <v>259.59731543624162</v>
      </c>
      <c r="K480" s="11">
        <f t="shared" si="114"/>
        <v>212.30374552249134</v>
      </c>
      <c r="L480" s="11">
        <f t="shared" si="115"/>
        <v>175.39462963191266</v>
      </c>
      <c r="M480" s="27">
        <f t="shared" si="111"/>
        <v>255.55555555555554</v>
      </c>
      <c r="N480" s="27">
        <f t="shared" si="112"/>
        <v>241.50268336314849</v>
      </c>
      <c r="O480" s="27">
        <f t="shared" si="113"/>
        <v>244.68085106382978</v>
      </c>
      <c r="Q480" s="4">
        <v>1.49</v>
      </c>
      <c r="R480" s="4">
        <v>1815.8525733157076</v>
      </c>
      <c r="S480" s="4">
        <v>2338.2847000963566</v>
      </c>
      <c r="T480" s="4">
        <v>180</v>
      </c>
      <c r="U480" s="4">
        <v>22.36</v>
      </c>
      <c r="V480" s="4">
        <v>14.1</v>
      </c>
      <c r="W480" s="4"/>
      <c r="X480" s="61">
        <v>40793</v>
      </c>
      <c r="Y480" s="68">
        <v>3846.62302631579</v>
      </c>
      <c r="Z480" s="68">
        <v>4576.225789473684</v>
      </c>
    </row>
    <row r="481" spans="1:32" x14ac:dyDescent="0.3">
      <c r="A481" s="61">
        <v>40800</v>
      </c>
      <c r="B481" s="19">
        <v>3.8620000000000001</v>
      </c>
      <c r="C481" s="2">
        <v>0</v>
      </c>
      <c r="D481" s="2">
        <v>-325</v>
      </c>
      <c r="E481" s="2">
        <v>475</v>
      </c>
      <c r="F481" s="19">
        <v>54</v>
      </c>
      <c r="G481" s="19">
        <v>35</v>
      </c>
      <c r="I481" s="10">
        <v>40800</v>
      </c>
      <c r="J481" s="27">
        <f t="shared" si="110"/>
        <v>259.19463087248323</v>
      </c>
      <c r="K481" s="11">
        <f t="shared" si="114"/>
        <v>211.83564584717027</v>
      </c>
      <c r="L481" s="11">
        <f t="shared" si="115"/>
        <v>181.80958842601581</v>
      </c>
      <c r="M481" s="27">
        <f t="shared" si="111"/>
        <v>263.88888888888886</v>
      </c>
      <c r="N481" s="27">
        <f t="shared" si="112"/>
        <v>241.50268336314849</v>
      </c>
      <c r="O481" s="27">
        <f t="shared" si="113"/>
        <v>248.22695035460995</v>
      </c>
      <c r="Q481" s="4">
        <v>1.49</v>
      </c>
      <c r="R481" s="4">
        <v>1815.8525733157076</v>
      </c>
      <c r="S481" s="4">
        <v>2338.2847000963566</v>
      </c>
      <c r="T481" s="4">
        <v>180</v>
      </c>
      <c r="U481" s="4">
        <v>22.36</v>
      </c>
      <c r="V481" s="4">
        <v>14.1</v>
      </c>
      <c r="W481" s="4"/>
      <c r="X481" s="61">
        <v>40800</v>
      </c>
      <c r="Y481" s="68">
        <v>3846.62302631579</v>
      </c>
      <c r="Z481" s="68">
        <v>4576.225789473684</v>
      </c>
    </row>
    <row r="482" spans="1:32" x14ac:dyDescent="0.3">
      <c r="A482" s="61">
        <v>40807</v>
      </c>
      <c r="B482" s="19">
        <v>3.8330000000000002</v>
      </c>
      <c r="C482" s="2">
        <v>125</v>
      </c>
      <c r="D482" s="2">
        <v>175</v>
      </c>
      <c r="E482" s="2">
        <v>518</v>
      </c>
      <c r="F482" s="19">
        <v>55</v>
      </c>
      <c r="G482" s="19">
        <v>34.5</v>
      </c>
      <c r="I482" s="10">
        <v>40807</v>
      </c>
      <c r="J482" s="27">
        <f t="shared" si="110"/>
        <v>257.24832214765104</v>
      </c>
      <c r="K482" s="11">
        <f t="shared" si="114"/>
        <v>218.71946460189179</v>
      </c>
      <c r="L482" s="11">
        <f t="shared" si="115"/>
        <v>203.19278440635969</v>
      </c>
      <c r="M482" s="27">
        <f t="shared" si="111"/>
        <v>287.77777777777777</v>
      </c>
      <c r="N482" s="27">
        <f t="shared" si="112"/>
        <v>245.97495527728083</v>
      </c>
      <c r="O482" s="27">
        <f t="shared" si="113"/>
        <v>244.68085106382978</v>
      </c>
      <c r="Q482" s="4">
        <v>1.49</v>
      </c>
      <c r="R482" s="4">
        <v>1815.8525733157076</v>
      </c>
      <c r="S482" s="4">
        <v>2338.2847000963566</v>
      </c>
      <c r="T482" s="4">
        <v>180</v>
      </c>
      <c r="U482" s="4">
        <v>22.36</v>
      </c>
      <c r="V482" s="4">
        <v>14.1</v>
      </c>
      <c r="W482" s="4"/>
      <c r="X482" s="61">
        <v>40807</v>
      </c>
      <c r="Y482" s="68">
        <v>3846.62302631579</v>
      </c>
      <c r="Z482" s="68">
        <v>4576.225789473684</v>
      </c>
    </row>
    <row r="483" spans="1:32" x14ac:dyDescent="0.3">
      <c r="A483" s="61">
        <v>40814</v>
      </c>
      <c r="B483" s="19">
        <v>3.786</v>
      </c>
      <c r="C483" s="2">
        <v>117.5</v>
      </c>
      <c r="D483" s="2">
        <v>-175</v>
      </c>
      <c r="E483" s="2">
        <v>563</v>
      </c>
      <c r="F483" s="19">
        <v>55</v>
      </c>
      <c r="G483" s="19">
        <v>32</v>
      </c>
      <c r="I483" s="10">
        <v>40814</v>
      </c>
      <c r="J483" s="27">
        <f t="shared" si="110"/>
        <v>254.09395973154366</v>
      </c>
      <c r="K483" s="11">
        <f t="shared" si="114"/>
        <v>218.3064354766085</v>
      </c>
      <c r="L483" s="11">
        <f t="shared" si="115"/>
        <v>188.22454722011898</v>
      </c>
      <c r="M483" s="27">
        <f t="shared" si="111"/>
        <v>312.77777777777777</v>
      </c>
      <c r="N483" s="27">
        <f t="shared" si="112"/>
        <v>245.97495527728083</v>
      </c>
      <c r="O483" s="27">
        <f t="shared" si="113"/>
        <v>226.95035460992904</v>
      </c>
      <c r="Q483" s="4">
        <v>1.49</v>
      </c>
      <c r="R483" s="4">
        <v>1815.8525733157076</v>
      </c>
      <c r="S483" s="4">
        <v>2338.2847000963566</v>
      </c>
      <c r="T483" s="4">
        <v>180</v>
      </c>
      <c r="U483" s="4">
        <v>22.36</v>
      </c>
      <c r="V483" s="4">
        <v>14.1</v>
      </c>
      <c r="W483" s="4"/>
      <c r="X483" s="61">
        <v>40814</v>
      </c>
      <c r="Y483" s="68">
        <v>3846.62302631579</v>
      </c>
      <c r="Z483" s="68">
        <v>4576.225789473684</v>
      </c>
    </row>
    <row r="484" spans="1:32" x14ac:dyDescent="0.3">
      <c r="A484" s="61">
        <v>40821</v>
      </c>
      <c r="B484" s="66">
        <v>3.7490000000000001</v>
      </c>
      <c r="C484" s="2">
        <v>-11</v>
      </c>
      <c r="D484" s="2">
        <v>183.5</v>
      </c>
      <c r="E484" s="2">
        <v>562</v>
      </c>
      <c r="F484" s="66">
        <v>55</v>
      </c>
      <c r="G484" s="66">
        <v>32</v>
      </c>
      <c r="I484" s="10">
        <v>40821</v>
      </c>
      <c r="J484" s="27">
        <f t="shared" si="110"/>
        <v>251.61073825503357</v>
      </c>
      <c r="K484" s="11">
        <f t="shared" si="114"/>
        <v>219.39303105017876</v>
      </c>
      <c r="L484" s="11">
        <f t="shared" si="115"/>
        <v>206.99548194499465</v>
      </c>
      <c r="M484" s="27">
        <f t="shared" si="111"/>
        <v>312.22222222222223</v>
      </c>
      <c r="N484" s="27">
        <f t="shared" si="112"/>
        <v>245.97495527728083</v>
      </c>
      <c r="O484" s="27">
        <f t="shared" si="113"/>
        <v>226.95035460992904</v>
      </c>
      <c r="Q484" s="4">
        <v>1.49</v>
      </c>
      <c r="R484" s="4">
        <v>1815.8525733157076</v>
      </c>
      <c r="S484" s="4">
        <v>2338.2847000963566</v>
      </c>
      <c r="T484" s="4">
        <v>180</v>
      </c>
      <c r="U484" s="4">
        <v>22.36</v>
      </c>
      <c r="V484" s="4">
        <v>14.1</v>
      </c>
      <c r="W484" s="4"/>
      <c r="X484" s="61">
        <v>40821</v>
      </c>
      <c r="Y484" s="68">
        <v>3994.8540000000007</v>
      </c>
      <c r="Z484" s="68">
        <v>4656.6436842105268</v>
      </c>
    </row>
    <row r="485" spans="1:32" x14ac:dyDescent="0.3">
      <c r="A485" s="61">
        <v>40828</v>
      </c>
      <c r="B485" s="66">
        <v>3.7210000000000001</v>
      </c>
      <c r="C485" s="2">
        <v>-28</v>
      </c>
      <c r="D485" s="2">
        <v>325</v>
      </c>
      <c r="E485" s="2">
        <v>525</v>
      </c>
      <c r="F485" s="66">
        <v>56</v>
      </c>
      <c r="G485" s="66">
        <v>34</v>
      </c>
      <c r="I485" s="10">
        <v>40828</v>
      </c>
      <c r="J485" s="27">
        <f t="shared" si="110"/>
        <v>249.73154362416102</v>
      </c>
      <c r="K485" s="11">
        <f t="shared" si="114"/>
        <v>218.45683169953665</v>
      </c>
      <c r="L485" s="11">
        <f t="shared" si="115"/>
        <v>213.04692640743198</v>
      </c>
      <c r="M485" s="27">
        <f t="shared" si="111"/>
        <v>291.66666666666669</v>
      </c>
      <c r="N485" s="27">
        <f t="shared" si="112"/>
        <v>250.44722719141325</v>
      </c>
      <c r="O485" s="27">
        <f t="shared" si="113"/>
        <v>241.13475177304963</v>
      </c>
      <c r="Q485" s="4">
        <v>1.49</v>
      </c>
      <c r="R485" s="4">
        <v>1815.8525733157076</v>
      </c>
      <c r="S485" s="4">
        <v>2338.2847000963566</v>
      </c>
      <c r="T485" s="4">
        <v>180</v>
      </c>
      <c r="U485" s="4">
        <v>22.36</v>
      </c>
      <c r="V485" s="4">
        <v>14.1</v>
      </c>
      <c r="W485" s="4"/>
      <c r="X485" s="61">
        <v>40828</v>
      </c>
      <c r="Y485" s="68">
        <v>3994.8540000000007</v>
      </c>
      <c r="Z485" s="68">
        <v>4656.6436842105268</v>
      </c>
    </row>
    <row r="486" spans="1:32" x14ac:dyDescent="0.3">
      <c r="A486" s="61">
        <v>40835</v>
      </c>
      <c r="B486" s="66">
        <v>3.8010000000000002</v>
      </c>
      <c r="C486" s="2">
        <v>-25</v>
      </c>
      <c r="D486" s="2">
        <v>-300</v>
      </c>
      <c r="E486" s="2">
        <v>496</v>
      </c>
      <c r="F486" s="66">
        <v>59</v>
      </c>
      <c r="G486" s="66">
        <v>36</v>
      </c>
      <c r="I486" s="10">
        <v>40835</v>
      </c>
      <c r="J486" s="27">
        <f t="shared" si="110"/>
        <v>255.1006711409396</v>
      </c>
      <c r="K486" s="11">
        <f t="shared" si="114"/>
        <v>218.62204334964997</v>
      </c>
      <c r="L486" s="11">
        <f t="shared" si="115"/>
        <v>186.31793143200215</v>
      </c>
      <c r="M486" s="27">
        <f t="shared" si="111"/>
        <v>275.55555555555554</v>
      </c>
      <c r="N486" s="27">
        <f t="shared" si="112"/>
        <v>263.86404293381037</v>
      </c>
      <c r="O486" s="27">
        <f t="shared" si="113"/>
        <v>255.31914893617022</v>
      </c>
      <c r="Q486" s="4">
        <v>1.49</v>
      </c>
      <c r="R486" s="4">
        <v>1815.8525733157076</v>
      </c>
      <c r="S486" s="4">
        <v>2338.2847000963566</v>
      </c>
      <c r="T486" s="4">
        <v>180</v>
      </c>
      <c r="U486" s="4">
        <v>22.36</v>
      </c>
      <c r="V486" s="4">
        <v>14.1</v>
      </c>
      <c r="W486" s="4"/>
      <c r="X486" s="61">
        <v>40835</v>
      </c>
      <c r="Y486" s="68">
        <v>3994.8540000000007</v>
      </c>
      <c r="Z486" s="68">
        <v>4656.6436842105268</v>
      </c>
    </row>
    <row r="487" spans="1:32" x14ac:dyDescent="0.3">
      <c r="A487" s="61">
        <v>40842</v>
      </c>
      <c r="B487" s="66">
        <v>3.8250000000000002</v>
      </c>
      <c r="C487" s="2">
        <v>-33</v>
      </c>
      <c r="D487" s="2">
        <v>-250</v>
      </c>
      <c r="E487" s="2">
        <v>493</v>
      </c>
      <c r="F487" s="66">
        <v>59</v>
      </c>
      <c r="G487" s="66">
        <v>35</v>
      </c>
      <c r="I487" s="10">
        <v>40842</v>
      </c>
      <c r="J487" s="27">
        <f t="shared" si="110"/>
        <v>256.71140939597319</v>
      </c>
      <c r="K487" s="11">
        <f t="shared" si="114"/>
        <v>218.18147894934779</v>
      </c>
      <c r="L487" s="11">
        <f t="shared" si="115"/>
        <v>188.45625103003653</v>
      </c>
      <c r="M487" s="27">
        <f t="shared" si="111"/>
        <v>273.88888888888891</v>
      </c>
      <c r="N487" s="27">
        <f t="shared" si="112"/>
        <v>263.86404293381037</v>
      </c>
      <c r="O487" s="27">
        <f t="shared" si="113"/>
        <v>248.22695035460995</v>
      </c>
      <c r="Q487" s="4">
        <v>1.49</v>
      </c>
      <c r="R487" s="4">
        <v>1815.8525733157076</v>
      </c>
      <c r="S487" s="4">
        <v>2338.2847000963566</v>
      </c>
      <c r="T487" s="4">
        <v>180</v>
      </c>
      <c r="U487" s="4">
        <v>22.36</v>
      </c>
      <c r="V487" s="4">
        <v>14.1</v>
      </c>
      <c r="W487" s="4"/>
      <c r="X487" s="61">
        <v>40842</v>
      </c>
      <c r="Y487" s="68">
        <v>3994.8540000000007</v>
      </c>
      <c r="Z487" s="68">
        <v>4656.6436842105268</v>
      </c>
    </row>
    <row r="488" spans="1:32" x14ac:dyDescent="0.3">
      <c r="A488" s="61">
        <v>40849</v>
      </c>
      <c r="B488" s="66">
        <v>3.8919999999999999</v>
      </c>
      <c r="C488" s="2">
        <v>-28</v>
      </c>
      <c r="D488" s="2">
        <v>-406.5</v>
      </c>
      <c r="E488" s="2">
        <v>485</v>
      </c>
      <c r="F488" s="66">
        <v>58</v>
      </c>
      <c r="G488" s="66">
        <v>34</v>
      </c>
      <c r="I488" s="10">
        <v>40849</v>
      </c>
      <c r="J488" s="27">
        <f t="shared" si="110"/>
        <v>261.20805369127515</v>
      </c>
      <c r="K488" s="11">
        <f t="shared" si="114"/>
        <v>217.773548197618</v>
      </c>
      <c r="L488" s="11">
        <f t="shared" si="115"/>
        <v>181.18695477632286</v>
      </c>
      <c r="M488" s="27">
        <f t="shared" si="111"/>
        <v>269.44444444444446</v>
      </c>
      <c r="N488" s="27">
        <f t="shared" si="112"/>
        <v>259.391771019678</v>
      </c>
      <c r="O488" s="27">
        <f t="shared" si="113"/>
        <v>241.13475177304963</v>
      </c>
      <c r="Q488" s="4">
        <v>1.49</v>
      </c>
      <c r="R488" s="4">
        <v>1815.8525733157076</v>
      </c>
      <c r="S488" s="4">
        <v>2338.2847000963566</v>
      </c>
      <c r="T488" s="4">
        <v>180</v>
      </c>
      <c r="U488" s="4">
        <v>22.36</v>
      </c>
      <c r="V488" s="4">
        <v>14.1</v>
      </c>
      <c r="W488" s="4"/>
      <c r="X488" s="61">
        <v>40849</v>
      </c>
      <c r="Y488" s="68">
        <v>3982.4465789473693</v>
      </c>
      <c r="Z488" s="68">
        <v>4643.1668421052627</v>
      </c>
    </row>
    <row r="489" spans="1:32" x14ac:dyDescent="0.3">
      <c r="A489" s="61">
        <v>40856</v>
      </c>
      <c r="B489" s="66">
        <v>3.887</v>
      </c>
      <c r="C489" s="2">
        <v>-47</v>
      </c>
      <c r="D489" s="2">
        <v>-398</v>
      </c>
      <c r="E489" s="2">
        <v>443</v>
      </c>
      <c r="F489" s="66">
        <v>57</v>
      </c>
      <c r="G489" s="66">
        <v>32</v>
      </c>
      <c r="I489" s="10">
        <v>40856</v>
      </c>
      <c r="J489" s="27">
        <f t="shared" si="110"/>
        <v>260.8724832214765</v>
      </c>
      <c r="K489" s="11">
        <f t="shared" ref="K489:K505" si="116">(C489+Y489)/R489*100</f>
        <v>216.72720774690032</v>
      </c>
      <c r="L489" s="11">
        <f t="shared" ref="L489:L505" si="117">(D489+Z489)/S489*100</f>
        <v>181.55046910798873</v>
      </c>
      <c r="M489" s="27">
        <f t="shared" si="111"/>
        <v>246.11111111111111</v>
      </c>
      <c r="N489" s="27">
        <f t="shared" si="112"/>
        <v>254.91949910554564</v>
      </c>
      <c r="O489" s="27">
        <f t="shared" si="113"/>
        <v>226.95035460992904</v>
      </c>
      <c r="Q489" s="4">
        <v>1.49</v>
      </c>
      <c r="R489" s="4">
        <v>1815.8525733157076</v>
      </c>
      <c r="S489" s="4">
        <v>2338.2847000963566</v>
      </c>
      <c r="T489" s="4">
        <v>180</v>
      </c>
      <c r="U489" s="4">
        <v>22.36</v>
      </c>
      <c r="V489" s="4">
        <v>14.1</v>
      </c>
      <c r="W489" s="4"/>
      <c r="X489" s="61">
        <v>40856</v>
      </c>
      <c r="Y489" s="68">
        <v>3982.4465789473693</v>
      </c>
      <c r="Z489" s="68">
        <v>4643.1668421052627</v>
      </c>
    </row>
    <row r="490" spans="1:32" x14ac:dyDescent="0.3">
      <c r="A490" s="61">
        <v>40863</v>
      </c>
      <c r="B490" s="19">
        <v>3.9870000000000001</v>
      </c>
      <c r="C490" s="2">
        <v>-44</v>
      </c>
      <c r="D490" s="2">
        <v>-422</v>
      </c>
      <c r="E490" s="2">
        <v>443</v>
      </c>
      <c r="F490" s="19">
        <v>56.5</v>
      </c>
      <c r="G490" s="19">
        <v>31</v>
      </c>
      <c r="I490" s="10">
        <v>40863</v>
      </c>
      <c r="J490" s="27">
        <f t="shared" si="110"/>
        <v>267.58389261744969</v>
      </c>
      <c r="K490" s="11">
        <f t="shared" si="116"/>
        <v>216.89241939701364</v>
      </c>
      <c r="L490" s="11">
        <f t="shared" si="117"/>
        <v>180.52407570093223</v>
      </c>
      <c r="M490" s="27">
        <f t="shared" si="111"/>
        <v>246.11111111111111</v>
      </c>
      <c r="N490" s="27">
        <f t="shared" si="112"/>
        <v>252.6833631484794</v>
      </c>
      <c r="O490" s="27">
        <f t="shared" si="113"/>
        <v>219.85815602836877</v>
      </c>
      <c r="Q490" s="4">
        <v>1.49</v>
      </c>
      <c r="R490" s="4">
        <v>1815.8525733157076</v>
      </c>
      <c r="S490" s="4">
        <v>2338.2847000963566</v>
      </c>
      <c r="T490" s="4">
        <v>180</v>
      </c>
      <c r="U490" s="4">
        <v>22.36</v>
      </c>
      <c r="V490" s="4">
        <v>14.1</v>
      </c>
      <c r="W490" s="4"/>
      <c r="X490" s="61">
        <v>40863</v>
      </c>
      <c r="Y490" s="68">
        <v>3982.4465789473693</v>
      </c>
      <c r="Z490" s="68">
        <v>4643.1668421052627</v>
      </c>
    </row>
    <row r="491" spans="1:32" x14ac:dyDescent="0.3">
      <c r="A491" s="61">
        <v>40870</v>
      </c>
      <c r="B491" s="19">
        <v>4.01</v>
      </c>
      <c r="C491" s="2">
        <v>-14.5</v>
      </c>
      <c r="D491" s="2">
        <v>-377</v>
      </c>
      <c r="E491" s="2">
        <v>423</v>
      </c>
      <c r="F491" s="19">
        <v>57.5</v>
      </c>
      <c r="G491" s="19">
        <v>32</v>
      </c>
      <c r="I491" s="10">
        <v>40870</v>
      </c>
      <c r="J491" s="27">
        <f t="shared" si="110"/>
        <v>269.12751677852344</v>
      </c>
      <c r="K491" s="11">
        <f t="shared" si="116"/>
        <v>218.51700062312793</v>
      </c>
      <c r="L491" s="11">
        <f t="shared" si="117"/>
        <v>182.44856333916317</v>
      </c>
      <c r="M491" s="27">
        <f t="shared" si="111"/>
        <v>235</v>
      </c>
      <c r="N491" s="27">
        <f t="shared" si="112"/>
        <v>257.15563506261179</v>
      </c>
      <c r="O491" s="27">
        <f t="shared" si="113"/>
        <v>226.95035460992904</v>
      </c>
      <c r="Q491" s="4">
        <v>1.49</v>
      </c>
      <c r="R491" s="4">
        <v>1815.8525733157076</v>
      </c>
      <c r="S491" s="4">
        <v>2338.2847000963566</v>
      </c>
      <c r="T491" s="4">
        <v>180</v>
      </c>
      <c r="U491" s="4">
        <v>22.36</v>
      </c>
      <c r="V491" s="4">
        <v>14.1</v>
      </c>
      <c r="W491" s="4"/>
      <c r="X491" s="61">
        <v>40870</v>
      </c>
      <c r="Y491" s="68">
        <v>3982.4465789473693</v>
      </c>
      <c r="Z491" s="68">
        <v>4643.1668421052627</v>
      </c>
      <c r="AF491" s="27"/>
    </row>
    <row r="492" spans="1:32" x14ac:dyDescent="0.3">
      <c r="A492" s="61">
        <v>40877</v>
      </c>
      <c r="B492" s="19">
        <v>3.964</v>
      </c>
      <c r="C492" s="2">
        <v>-16.5</v>
      </c>
      <c r="D492" s="2">
        <v>-306.5</v>
      </c>
      <c r="E492" s="2">
        <v>405</v>
      </c>
      <c r="F492" s="19">
        <v>57</v>
      </c>
      <c r="G492" s="19">
        <v>31</v>
      </c>
      <c r="I492" s="10">
        <v>40877</v>
      </c>
      <c r="J492" s="27">
        <f t="shared" si="110"/>
        <v>266.04026845637583</v>
      </c>
      <c r="K492" s="11">
        <f t="shared" si="116"/>
        <v>218.40685952305239</v>
      </c>
      <c r="L492" s="11">
        <f t="shared" si="117"/>
        <v>185.46359397239166</v>
      </c>
      <c r="M492" s="27">
        <f t="shared" si="111"/>
        <v>225</v>
      </c>
      <c r="N492" s="27">
        <f t="shared" si="112"/>
        <v>254.91949910554564</v>
      </c>
      <c r="O492" s="27">
        <f t="shared" si="113"/>
        <v>219.85815602836877</v>
      </c>
      <c r="Q492" s="4">
        <v>1.49</v>
      </c>
      <c r="R492" s="4">
        <v>1815.8525733157076</v>
      </c>
      <c r="S492" s="4">
        <v>2338.2847000963566</v>
      </c>
      <c r="T492" s="4">
        <v>180</v>
      </c>
      <c r="U492" s="4">
        <v>22.36</v>
      </c>
      <c r="V492" s="4">
        <v>14.1</v>
      </c>
      <c r="W492" s="4"/>
      <c r="X492" s="61">
        <v>40877</v>
      </c>
      <c r="Y492" s="68">
        <v>3982.4465789473693</v>
      </c>
      <c r="Z492" s="68">
        <v>4643.1668421052627</v>
      </c>
      <c r="AF492" s="27"/>
    </row>
    <row r="493" spans="1:32" x14ac:dyDescent="0.3">
      <c r="A493" s="61">
        <v>40884</v>
      </c>
      <c r="B493" s="19">
        <v>3.931</v>
      </c>
      <c r="C493" s="2">
        <v>-15.5</v>
      </c>
      <c r="D493" s="2">
        <v>-191.5</v>
      </c>
      <c r="E493" s="2">
        <v>420</v>
      </c>
      <c r="F493" s="19">
        <v>56</v>
      </c>
      <c r="G493" s="19">
        <v>29.5</v>
      </c>
      <c r="I493" s="10">
        <v>40884</v>
      </c>
      <c r="J493" s="27">
        <f t="shared" si="110"/>
        <v>263.82550335570471</v>
      </c>
      <c r="K493" s="11">
        <f t="shared" si="116"/>
        <v>218.38041841290919</v>
      </c>
      <c r="L493" s="11">
        <f t="shared" si="117"/>
        <v>189.80537313600476</v>
      </c>
      <c r="M493" s="27">
        <f t="shared" si="111"/>
        <v>233.33333333333331</v>
      </c>
      <c r="N493" s="27">
        <f t="shared" si="112"/>
        <v>250.44722719141325</v>
      </c>
      <c r="O493" s="27">
        <f t="shared" si="113"/>
        <v>209.21985815602838</v>
      </c>
      <c r="Q493" s="4">
        <v>1.49</v>
      </c>
      <c r="R493" s="4">
        <v>1815.8525733157076</v>
      </c>
      <c r="S493" s="4">
        <v>2338.2847000963566</v>
      </c>
      <c r="T493" s="4">
        <v>180</v>
      </c>
      <c r="U493" s="4">
        <v>22.36</v>
      </c>
      <c r="V493" s="4">
        <v>14.1</v>
      </c>
      <c r="W493" s="4"/>
      <c r="X493" s="61">
        <v>40884</v>
      </c>
      <c r="Y493" s="68">
        <v>3980.9664473684206</v>
      </c>
      <c r="Z493" s="68">
        <v>4629.6899999999996</v>
      </c>
      <c r="AF493" s="27"/>
    </row>
    <row r="494" spans="1:32" x14ac:dyDescent="0.3">
      <c r="A494" s="61">
        <v>40891</v>
      </c>
      <c r="B494" s="19">
        <v>3.8940000000000001</v>
      </c>
      <c r="C494" s="2">
        <v>2.5</v>
      </c>
      <c r="D494" s="2">
        <v>16.5</v>
      </c>
      <c r="E494" s="2">
        <v>380</v>
      </c>
      <c r="F494" s="19">
        <v>56</v>
      </c>
      <c r="G494" s="19">
        <v>29.5</v>
      </c>
      <c r="I494" s="10">
        <v>40891</v>
      </c>
      <c r="J494" s="27">
        <f t="shared" si="110"/>
        <v>261.34228187919462</v>
      </c>
      <c r="K494" s="11">
        <f t="shared" si="116"/>
        <v>219.37168831358909</v>
      </c>
      <c r="L494" s="11">
        <f t="shared" si="117"/>
        <v>198.70078266382782</v>
      </c>
      <c r="M494" s="27">
        <f t="shared" si="111"/>
        <v>211.11111111111111</v>
      </c>
      <c r="N494" s="27">
        <f t="shared" si="112"/>
        <v>250.44722719141325</v>
      </c>
      <c r="O494" s="27">
        <f t="shared" si="113"/>
        <v>209.21985815602838</v>
      </c>
      <c r="Q494" s="4">
        <v>1.49</v>
      </c>
      <c r="R494" s="4">
        <v>1815.8525733157076</v>
      </c>
      <c r="S494" s="4">
        <v>2338.2847000963566</v>
      </c>
      <c r="T494" s="4">
        <v>180</v>
      </c>
      <c r="U494" s="4">
        <v>22.36</v>
      </c>
      <c r="V494" s="4">
        <v>14.1</v>
      </c>
      <c r="W494" s="4"/>
      <c r="X494" s="61">
        <v>40891</v>
      </c>
      <c r="Y494" s="68">
        <v>3980.9664473684206</v>
      </c>
      <c r="Z494" s="68">
        <v>4629.6899999999996</v>
      </c>
      <c r="AF494" s="27"/>
    </row>
    <row r="495" spans="1:32" x14ac:dyDescent="0.3">
      <c r="A495" s="61">
        <v>40898</v>
      </c>
      <c r="B495" s="19">
        <v>3.82</v>
      </c>
      <c r="C495" s="2">
        <v>-20.5</v>
      </c>
      <c r="D495" s="2">
        <v>-113</v>
      </c>
      <c r="E495" s="2">
        <v>353</v>
      </c>
      <c r="F495" s="19">
        <v>57.5</v>
      </c>
      <c r="G495" s="19">
        <v>30</v>
      </c>
      <c r="I495" s="10">
        <v>40898</v>
      </c>
      <c r="J495" s="27">
        <f t="shared" si="110"/>
        <v>256.37583892617448</v>
      </c>
      <c r="K495" s="11">
        <f t="shared" si="116"/>
        <v>218.10506566272034</v>
      </c>
      <c r="L495" s="11">
        <f t="shared" si="117"/>
        <v>193.16253490491874</v>
      </c>
      <c r="M495" s="27">
        <f t="shared" ref="M495" si="118">(1+(E495-T494)/T494)*100</f>
        <v>196.11111111111111</v>
      </c>
      <c r="N495" s="27">
        <f t="shared" ref="N495" si="119">(1+(F495-U494)/U494)*100</f>
        <v>257.15563506261179</v>
      </c>
      <c r="O495" s="27">
        <f t="shared" ref="O495" si="120">(1+(G495-V494)/V494)*100</f>
        <v>212.7659574468085</v>
      </c>
      <c r="Q495" s="4">
        <v>1.49</v>
      </c>
      <c r="R495" s="4">
        <v>1815.8525733157076</v>
      </c>
      <c r="S495" s="4">
        <v>2338.2847000963566</v>
      </c>
      <c r="T495" s="4">
        <v>180</v>
      </c>
      <c r="U495" s="4">
        <v>22.36</v>
      </c>
      <c r="V495" s="4">
        <v>14.1</v>
      </c>
      <c r="W495" s="4"/>
      <c r="X495" s="61">
        <v>40898</v>
      </c>
      <c r="Y495" s="68">
        <v>3980.9664473684206</v>
      </c>
      <c r="Z495" s="68">
        <v>4629.6899999999996</v>
      </c>
      <c r="AF495" s="27"/>
    </row>
    <row r="496" spans="1:32" x14ac:dyDescent="0.3">
      <c r="A496" s="61">
        <v>40905</v>
      </c>
      <c r="B496" s="19">
        <v>3.79</v>
      </c>
      <c r="C496" s="2">
        <v>12.5</v>
      </c>
      <c r="D496" s="2">
        <v>-225</v>
      </c>
      <c r="E496" s="2">
        <v>342</v>
      </c>
      <c r="F496" s="19">
        <v>57</v>
      </c>
      <c r="G496" s="19">
        <v>29</v>
      </c>
      <c r="I496" s="10">
        <v>40905</v>
      </c>
      <c r="J496" s="27">
        <f t="shared" si="110"/>
        <v>254.36241610738256</v>
      </c>
      <c r="K496" s="11">
        <f t="shared" si="116"/>
        <v>219.92239381396681</v>
      </c>
      <c r="L496" s="11">
        <f t="shared" si="117"/>
        <v>188.37269900532172</v>
      </c>
      <c r="M496" s="27">
        <f t="shared" ref="M496" si="121">(1+(E496-T495)/T495)*100</f>
        <v>190</v>
      </c>
      <c r="N496" s="27">
        <f t="shared" ref="N496" si="122">(1+(F496-U495)/U495)*100</f>
        <v>254.91949910554564</v>
      </c>
      <c r="O496" s="27">
        <f t="shared" ref="O496" si="123">(1+(G496-V495)/V495)*100</f>
        <v>205.67375886524823</v>
      </c>
      <c r="Q496" s="4">
        <v>1.49</v>
      </c>
      <c r="R496" s="4">
        <v>1815.8525733157076</v>
      </c>
      <c r="S496" s="4">
        <v>2338.2847000963566</v>
      </c>
      <c r="T496" s="4">
        <v>180</v>
      </c>
      <c r="U496" s="4">
        <v>22.36</v>
      </c>
      <c r="V496" s="4">
        <v>14.1</v>
      </c>
      <c r="W496" s="4"/>
      <c r="X496" s="61">
        <v>40905</v>
      </c>
      <c r="Y496" s="68">
        <v>3980.9664473684206</v>
      </c>
      <c r="Z496" s="68">
        <v>4629.6899999999996</v>
      </c>
    </row>
    <row r="497" spans="1:26" x14ac:dyDescent="0.3">
      <c r="A497" s="61">
        <v>40912</v>
      </c>
      <c r="B497" s="19">
        <v>3.78</v>
      </c>
      <c r="C497" s="2">
        <v>6.5</v>
      </c>
      <c r="D497" s="2">
        <v>-200</v>
      </c>
      <c r="E497" s="2">
        <v>343</v>
      </c>
      <c r="F497" s="19">
        <v>56</v>
      </c>
      <c r="G497" s="19">
        <v>29.5</v>
      </c>
      <c r="I497" s="10">
        <v>40912</v>
      </c>
      <c r="J497" s="27">
        <f t="shared" ref="J497:J505" si="124">(1+(B497-Q497)/Q497)*100</f>
        <v>253.69127516778525</v>
      </c>
      <c r="K497" s="11">
        <f t="shared" si="116"/>
        <v>221.60919751549875</v>
      </c>
      <c r="L497" s="11">
        <f t="shared" si="117"/>
        <v>191.7645015517239</v>
      </c>
      <c r="M497" s="27">
        <f t="shared" ref="M497" si="125">(1+(E497-T496)/T496)*100</f>
        <v>190.55555555555554</v>
      </c>
      <c r="N497" s="27">
        <f t="shared" ref="N497" si="126">(1+(F497-U496)/U496)*100</f>
        <v>250.44722719141325</v>
      </c>
      <c r="O497" s="27">
        <f t="shared" ref="O497" si="127">(1+(G497-V496)/V496)*100</f>
        <v>209.21985815602838</v>
      </c>
      <c r="Q497" s="4">
        <v>1.49</v>
      </c>
      <c r="R497" s="4">
        <v>1815.8525733157076</v>
      </c>
      <c r="S497" s="4">
        <v>2338.2847000963566</v>
      </c>
      <c r="T497" s="4">
        <v>180</v>
      </c>
      <c r="U497" s="4">
        <v>22.36</v>
      </c>
      <c r="V497" s="4">
        <v>14.1</v>
      </c>
      <c r="W497" s="4"/>
      <c r="X497" s="61">
        <v>40912</v>
      </c>
      <c r="Y497" s="68">
        <v>4017.596315789473</v>
      </c>
      <c r="Z497" s="68">
        <v>4684</v>
      </c>
    </row>
    <row r="498" spans="1:26" x14ac:dyDescent="0.3">
      <c r="A498" s="61">
        <v>40919</v>
      </c>
      <c r="B498" s="19">
        <v>3.8279999999999998</v>
      </c>
      <c r="C498" s="2">
        <v>6</v>
      </c>
      <c r="D498" s="2">
        <v>-269</v>
      </c>
      <c r="E498" s="2">
        <v>363</v>
      </c>
      <c r="F498" s="19">
        <v>56</v>
      </c>
      <c r="G498" s="19">
        <v>29</v>
      </c>
      <c r="I498" s="10">
        <v>40919</v>
      </c>
      <c r="J498" s="27">
        <f t="shared" si="124"/>
        <v>256.91275167785233</v>
      </c>
      <c r="K498" s="11">
        <f t="shared" si="116"/>
        <v>221.58166224047986</v>
      </c>
      <c r="L498" s="11">
        <f t="shared" si="117"/>
        <v>188.81362050643645</v>
      </c>
      <c r="M498" s="27">
        <f t="shared" ref="M498:M505" si="128">(1+(E498-T497)/T497)*100</f>
        <v>201.66666666666666</v>
      </c>
      <c r="N498" s="27">
        <f t="shared" ref="N498:N503" si="129">(1+(F498-U497)/U497)*100</f>
        <v>250.44722719141325</v>
      </c>
      <c r="O498" s="27">
        <f t="shared" ref="O498:O501" si="130">(1+(G498-V497)/V497)*100</f>
        <v>205.67375886524823</v>
      </c>
      <c r="Q498" s="4">
        <v>1.49</v>
      </c>
      <c r="R498" s="4">
        <v>1815.8525733157076</v>
      </c>
      <c r="S498" s="4">
        <v>2338.2847000963566</v>
      </c>
      <c r="T498" s="4">
        <v>180</v>
      </c>
      <c r="U498" s="4">
        <v>22.36</v>
      </c>
      <c r="V498" s="4">
        <v>14.1</v>
      </c>
      <c r="W498" s="4"/>
      <c r="X498" s="61">
        <v>40919</v>
      </c>
      <c r="Y498" s="68">
        <v>4017.596315789473</v>
      </c>
      <c r="Z498" s="68">
        <v>4684</v>
      </c>
    </row>
    <row r="499" spans="1:26" x14ac:dyDescent="0.3">
      <c r="A499" s="61">
        <v>40926</v>
      </c>
      <c r="B499" s="19">
        <v>3.8540000000000001</v>
      </c>
      <c r="C499" s="2">
        <v>-31.5</v>
      </c>
      <c r="D499" s="2">
        <v>-319</v>
      </c>
      <c r="E499" s="2">
        <v>362</v>
      </c>
      <c r="F499" s="19">
        <v>51</v>
      </c>
      <c r="G499" s="19">
        <v>27</v>
      </c>
      <c r="I499" s="10">
        <v>40926</v>
      </c>
      <c r="J499" s="27">
        <f t="shared" si="124"/>
        <v>258.65771812080538</v>
      </c>
      <c r="K499" s="11">
        <f t="shared" si="116"/>
        <v>219.51651661406339</v>
      </c>
      <c r="L499" s="11">
        <f t="shared" si="117"/>
        <v>186.67530090840205</v>
      </c>
      <c r="M499" s="27">
        <f t="shared" si="128"/>
        <v>201.11111111111111</v>
      </c>
      <c r="N499" s="27">
        <f t="shared" si="129"/>
        <v>228.08586762075134</v>
      </c>
      <c r="O499" s="27">
        <f t="shared" si="130"/>
        <v>191.48936170212767</v>
      </c>
      <c r="Q499" s="4">
        <v>1.49</v>
      </c>
      <c r="R499" s="4">
        <v>1815.8525733157076</v>
      </c>
      <c r="S499" s="4">
        <v>2338.2847000963566</v>
      </c>
      <c r="T499" s="4">
        <v>180</v>
      </c>
      <c r="U499" s="4">
        <v>22.36</v>
      </c>
      <c r="V499" s="4">
        <v>14.1</v>
      </c>
      <c r="W499" s="4"/>
      <c r="X499" s="61">
        <v>40926</v>
      </c>
      <c r="Y499" s="68">
        <v>4017.596315789473</v>
      </c>
      <c r="Z499" s="68">
        <v>4684</v>
      </c>
    </row>
    <row r="500" spans="1:26" x14ac:dyDescent="0.3">
      <c r="A500" s="61">
        <v>40933</v>
      </c>
      <c r="B500" s="19">
        <v>3.8479999999999999</v>
      </c>
      <c r="C500" s="2">
        <v>-3.5</v>
      </c>
      <c r="D500" s="2">
        <v>-244</v>
      </c>
      <c r="E500" s="2">
        <v>385</v>
      </c>
      <c r="F500" s="19">
        <v>51</v>
      </c>
      <c r="G500" s="19">
        <v>27</v>
      </c>
      <c r="I500" s="10">
        <v>40933</v>
      </c>
      <c r="J500" s="27">
        <f t="shared" si="124"/>
        <v>258.25503355704694</v>
      </c>
      <c r="K500" s="11">
        <f t="shared" si="116"/>
        <v>221.05849201512103</v>
      </c>
      <c r="L500" s="11">
        <f t="shared" si="117"/>
        <v>189.88278030545362</v>
      </c>
      <c r="M500" s="27">
        <f t="shared" si="128"/>
        <v>213.88888888888889</v>
      </c>
      <c r="N500" s="27">
        <f t="shared" si="129"/>
        <v>228.08586762075134</v>
      </c>
      <c r="O500" s="27">
        <f t="shared" si="130"/>
        <v>191.48936170212767</v>
      </c>
      <c r="Q500" s="4">
        <v>1.49</v>
      </c>
      <c r="R500" s="4">
        <v>1815.8525733157076</v>
      </c>
      <c r="S500" s="4">
        <v>2338.2847000963566</v>
      </c>
      <c r="T500" s="4">
        <v>180</v>
      </c>
      <c r="U500" s="4">
        <v>22.36</v>
      </c>
      <c r="V500" s="4">
        <v>14.1</v>
      </c>
      <c r="W500" s="4"/>
      <c r="X500" s="61">
        <v>40933</v>
      </c>
      <c r="Y500" s="68">
        <v>4017.596315789473</v>
      </c>
      <c r="Z500" s="68">
        <v>4684</v>
      </c>
    </row>
    <row r="501" spans="1:26" x14ac:dyDescent="0.3">
      <c r="A501" s="61">
        <v>40940</v>
      </c>
      <c r="B501" s="19">
        <v>3.85</v>
      </c>
      <c r="C501" s="2">
        <v>-10</v>
      </c>
      <c r="D501" s="2">
        <v>-244</v>
      </c>
      <c r="E501" s="2">
        <v>462</v>
      </c>
      <c r="F501" s="19">
        <v>49</v>
      </c>
      <c r="G501" s="19">
        <v>26</v>
      </c>
      <c r="I501" s="10">
        <v>40940</v>
      </c>
      <c r="J501" s="27">
        <f t="shared" si="124"/>
        <v>258.38926174496646</v>
      </c>
      <c r="K501" s="11">
        <f t="shared" si="116"/>
        <v>227.26811970558018</v>
      </c>
      <c r="L501" s="11">
        <f t="shared" si="117"/>
        <v>191.03747288839219</v>
      </c>
      <c r="M501" s="27">
        <f t="shared" si="128"/>
        <v>256.66666666666663</v>
      </c>
      <c r="N501" s="27">
        <f t="shared" si="129"/>
        <v>219.14132379248659</v>
      </c>
      <c r="O501" s="27">
        <f t="shared" si="130"/>
        <v>184.39716312056737</v>
      </c>
      <c r="Q501" s="4">
        <v>1.49</v>
      </c>
      <c r="R501" s="4">
        <v>1815.8525733157076</v>
      </c>
      <c r="S501" s="4">
        <v>2338.2847000963566</v>
      </c>
      <c r="T501" s="4">
        <v>180</v>
      </c>
      <c r="U501" s="4">
        <v>22.36</v>
      </c>
      <c r="V501" s="4">
        <v>14.1</v>
      </c>
      <c r="W501" s="4"/>
      <c r="X501" s="61">
        <v>40940</v>
      </c>
      <c r="Y501" s="68">
        <v>4136.8540000000003</v>
      </c>
      <c r="Z501" s="68">
        <v>4711</v>
      </c>
    </row>
    <row r="502" spans="1:26" x14ac:dyDescent="0.3">
      <c r="A502" s="61">
        <v>40947</v>
      </c>
      <c r="B502" s="19">
        <v>3.8559999999999999</v>
      </c>
      <c r="C502" s="2">
        <v>-13</v>
      </c>
      <c r="D502" s="2">
        <v>-137</v>
      </c>
      <c r="E502" s="2">
        <v>395</v>
      </c>
      <c r="F502" s="19">
        <v>47</v>
      </c>
      <c r="G502" s="19">
        <v>25</v>
      </c>
      <c r="I502" s="10">
        <v>40947</v>
      </c>
      <c r="J502" s="27">
        <f t="shared" si="124"/>
        <v>258.79194630872479</v>
      </c>
      <c r="K502" s="11">
        <f t="shared" si="116"/>
        <v>227.10290805546686</v>
      </c>
      <c r="L502" s="11">
        <f t="shared" si="117"/>
        <v>195.61347682818578</v>
      </c>
      <c r="M502" s="27">
        <f t="shared" si="128"/>
        <v>219.44444444444446</v>
      </c>
      <c r="N502" s="27">
        <f t="shared" si="129"/>
        <v>210.19677996422183</v>
      </c>
      <c r="O502" s="27">
        <f t="shared" ref="O502:O503" si="131">(1+(G502-V501)/V501)*100</f>
        <v>177.3049645390071</v>
      </c>
      <c r="Q502" s="4">
        <v>1.49</v>
      </c>
      <c r="R502" s="4">
        <v>1815.8525733157076</v>
      </c>
      <c r="S502" s="4">
        <v>2338.2847000963566</v>
      </c>
      <c r="T502" s="4">
        <v>180</v>
      </c>
      <c r="U502" s="4">
        <v>22.36</v>
      </c>
      <c r="V502" s="4">
        <v>14.1</v>
      </c>
      <c r="W502" s="4"/>
      <c r="X502" s="61">
        <v>40947</v>
      </c>
      <c r="Y502" s="68">
        <v>4136.8540000000003</v>
      </c>
      <c r="Z502" s="68">
        <v>4711</v>
      </c>
    </row>
    <row r="503" spans="1:26" x14ac:dyDescent="0.3">
      <c r="A503" s="61">
        <v>40954</v>
      </c>
      <c r="B503" s="70">
        <v>3.9430000000000001</v>
      </c>
      <c r="C503" s="2">
        <v>6</v>
      </c>
      <c r="D503" s="2">
        <v>-200</v>
      </c>
      <c r="E503" s="2">
        <v>423</v>
      </c>
      <c r="F503" s="19">
        <v>50</v>
      </c>
      <c r="G503" s="19">
        <v>29</v>
      </c>
      <c r="I503" s="10">
        <v>40954</v>
      </c>
      <c r="J503" s="27">
        <f t="shared" si="124"/>
        <v>264.63087248322148</v>
      </c>
      <c r="K503" s="11">
        <f t="shared" si="116"/>
        <v>228.14924850618453</v>
      </c>
      <c r="L503" s="11">
        <f t="shared" si="117"/>
        <v>192.91919413466246</v>
      </c>
      <c r="M503" s="27">
        <f t="shared" si="128"/>
        <v>235</v>
      </c>
      <c r="N503" s="27">
        <f t="shared" si="129"/>
        <v>223.61359570661898</v>
      </c>
      <c r="O503" s="27">
        <f t="shared" si="131"/>
        <v>205.67375886524823</v>
      </c>
      <c r="Q503" s="4">
        <v>1.49</v>
      </c>
      <c r="R503" s="4">
        <v>1815.8525733157076</v>
      </c>
      <c r="S503" s="4">
        <v>2338.2847000963566</v>
      </c>
      <c r="T503" s="4">
        <v>180</v>
      </c>
      <c r="U503" s="4">
        <v>22.36</v>
      </c>
      <c r="V503" s="4">
        <v>14.1</v>
      </c>
      <c r="W503" s="4"/>
      <c r="X503" s="61">
        <v>40954</v>
      </c>
      <c r="Y503" s="68">
        <v>4136.8540000000003</v>
      </c>
      <c r="Z503" s="68">
        <v>4711</v>
      </c>
    </row>
    <row r="504" spans="1:26" x14ac:dyDescent="0.3">
      <c r="A504" s="61">
        <v>40961</v>
      </c>
      <c r="B504" s="70">
        <v>3.96</v>
      </c>
      <c r="C504" s="2">
        <v>6.5</v>
      </c>
      <c r="D504" s="2">
        <v>-235.5</v>
      </c>
      <c r="E504" s="2">
        <v>405</v>
      </c>
      <c r="F504" s="19">
        <v>50</v>
      </c>
      <c r="G504" s="19">
        <v>29</v>
      </c>
      <c r="I504" s="10">
        <v>40961</v>
      </c>
      <c r="J504" s="27">
        <f t="shared" si="124"/>
        <v>265.7718120805369</v>
      </c>
      <c r="K504" s="11">
        <f t="shared" si="116"/>
        <v>228.17678378120343</v>
      </c>
      <c r="L504" s="11">
        <f t="shared" si="117"/>
        <v>191.40098722005806</v>
      </c>
      <c r="M504" s="27">
        <f t="shared" si="128"/>
        <v>225</v>
      </c>
      <c r="N504" s="27">
        <f t="shared" ref="N504:N556" si="132">(1+(F504-U503)/U503)*100</f>
        <v>223.61359570661898</v>
      </c>
      <c r="O504" s="27">
        <f t="shared" ref="O504:O567" si="133">(1+(G504-V503)/V503)*100</f>
        <v>205.67375886524823</v>
      </c>
      <c r="Q504" s="4">
        <v>1.49</v>
      </c>
      <c r="R504" s="4">
        <v>1815.8525733157076</v>
      </c>
      <c r="S504" s="4">
        <v>2338.2847000963566</v>
      </c>
      <c r="T504" s="4">
        <v>180</v>
      </c>
      <c r="U504" s="4">
        <v>22.36</v>
      </c>
      <c r="V504" s="4">
        <v>14.1</v>
      </c>
      <c r="W504" s="4"/>
      <c r="X504" s="61">
        <v>40961</v>
      </c>
      <c r="Y504" s="68">
        <v>4136.8540000000003</v>
      </c>
      <c r="Z504" s="68">
        <v>4711</v>
      </c>
    </row>
    <row r="505" spans="1:26" x14ac:dyDescent="0.3">
      <c r="A505" s="61">
        <v>40968</v>
      </c>
      <c r="B505" s="70">
        <v>4.0510000000000002</v>
      </c>
      <c r="C505" s="2">
        <v>0</v>
      </c>
      <c r="D505" s="2">
        <v>-161.5</v>
      </c>
      <c r="E505" s="2">
        <v>383</v>
      </c>
      <c r="F505" s="19">
        <v>49</v>
      </c>
      <c r="G505" s="19">
        <v>29</v>
      </c>
      <c r="I505" s="10">
        <v>40968</v>
      </c>
      <c r="J505" s="27">
        <f t="shared" si="124"/>
        <v>271.87919463087252</v>
      </c>
      <c r="K505" s="11">
        <f t="shared" si="116"/>
        <v>227.81882520595792</v>
      </c>
      <c r="L505" s="11">
        <f t="shared" si="117"/>
        <v>194.56570022514893</v>
      </c>
      <c r="M505" s="27">
        <f t="shared" si="128"/>
        <v>212.77777777777777</v>
      </c>
      <c r="N505" s="27">
        <f t="shared" si="132"/>
        <v>219.14132379248659</v>
      </c>
      <c r="O505" s="27">
        <f t="shared" si="133"/>
        <v>205.67375886524823</v>
      </c>
      <c r="Q505" s="4">
        <v>1.49</v>
      </c>
      <c r="R505" s="4">
        <v>1815.8525733157076</v>
      </c>
      <c r="S505" s="4">
        <v>2338.2847000963566</v>
      </c>
      <c r="T505" s="4">
        <v>180</v>
      </c>
      <c r="U505" s="4">
        <v>22.36</v>
      </c>
      <c r="V505" s="4">
        <v>14.1</v>
      </c>
      <c r="W505" s="4"/>
      <c r="X505" s="61">
        <v>40968</v>
      </c>
      <c r="Y505" s="68">
        <v>4136.8540000000003</v>
      </c>
      <c r="Z505" s="68">
        <v>4711</v>
      </c>
    </row>
    <row r="506" spans="1:26" x14ac:dyDescent="0.3">
      <c r="A506" s="61">
        <v>40975</v>
      </c>
      <c r="B506" s="71">
        <v>4.0940000000000003</v>
      </c>
      <c r="C506" s="2">
        <v>-6.5</v>
      </c>
      <c r="D506" s="2">
        <v>-133.5</v>
      </c>
      <c r="E506" s="2">
        <v>347</v>
      </c>
      <c r="F506" s="71">
        <v>49</v>
      </c>
      <c r="G506" s="71">
        <v>30</v>
      </c>
      <c r="I506" s="10">
        <v>40975</v>
      </c>
      <c r="J506" s="27">
        <f t="shared" ref="J506:J569" si="134">(1+(B506-Q506)/Q506)*100</f>
        <v>274.76510067114094</v>
      </c>
      <c r="K506" s="11">
        <f t="shared" ref="K506:K531" si="135">(C506+Y506)/R506*100</f>
        <v>226.99496687894288</v>
      </c>
      <c r="L506" s="11">
        <f t="shared" ref="L506:L556" si="136">(D506+Z506)/S506*100</f>
        <v>195.16442971259858</v>
      </c>
      <c r="M506" s="27">
        <f t="shared" ref="M506:N557" si="137">(1+(E506-T505)/T505)*100</f>
        <v>192.77777777777777</v>
      </c>
      <c r="N506" s="27">
        <f t="shared" si="132"/>
        <v>219.14132379248659</v>
      </c>
      <c r="O506" s="27">
        <f t="shared" si="133"/>
        <v>212.7659574468085</v>
      </c>
      <c r="Q506" s="4">
        <v>1.49</v>
      </c>
      <c r="R506" s="4">
        <v>1815.8525733157076</v>
      </c>
      <c r="S506" s="4">
        <v>2338.2847000963566</v>
      </c>
      <c r="T506" s="4">
        <v>180</v>
      </c>
      <c r="U506" s="4">
        <v>22.36</v>
      </c>
      <c r="V506" s="4">
        <v>14.1</v>
      </c>
      <c r="W506" s="4"/>
      <c r="X506" s="61">
        <v>40975</v>
      </c>
      <c r="Y506" s="68">
        <v>4128.3939473684222</v>
      </c>
      <c r="Z506" s="68">
        <v>4697</v>
      </c>
    </row>
    <row r="507" spans="1:26" x14ac:dyDescent="0.3">
      <c r="A507" s="61">
        <v>40982</v>
      </c>
      <c r="B507" s="72">
        <v>4.1230000000000002</v>
      </c>
      <c r="C507" s="2">
        <v>-4</v>
      </c>
      <c r="D507" s="2">
        <v>-116</v>
      </c>
      <c r="E507" s="2">
        <v>345</v>
      </c>
      <c r="F507" s="72">
        <v>49</v>
      </c>
      <c r="G507" s="72">
        <v>30</v>
      </c>
      <c r="I507" s="10">
        <v>40982</v>
      </c>
      <c r="J507" s="27">
        <f t="shared" si="134"/>
        <v>276.71140939597319</v>
      </c>
      <c r="K507" s="11">
        <f t="shared" si="135"/>
        <v>227.1326432540373</v>
      </c>
      <c r="L507" s="11">
        <f t="shared" si="136"/>
        <v>195.9128415719106</v>
      </c>
      <c r="M507" s="27">
        <f t="shared" si="137"/>
        <v>191.66666666666666</v>
      </c>
      <c r="N507" s="27">
        <f t="shared" si="132"/>
        <v>219.14132379248659</v>
      </c>
      <c r="O507" s="27">
        <f t="shared" si="133"/>
        <v>212.7659574468085</v>
      </c>
      <c r="Q507" s="4">
        <v>1.49</v>
      </c>
      <c r="R507" s="4">
        <v>1815.8525733157076</v>
      </c>
      <c r="S507" s="4">
        <v>2338.2847000963566</v>
      </c>
      <c r="T507" s="4">
        <v>180</v>
      </c>
      <c r="U507" s="4">
        <v>22.36</v>
      </c>
      <c r="V507" s="4">
        <v>14.1</v>
      </c>
      <c r="W507" s="4"/>
      <c r="X507" s="61">
        <v>40982</v>
      </c>
      <c r="Y507" s="68">
        <v>4128.3939473684222</v>
      </c>
      <c r="Z507" s="68">
        <v>4697</v>
      </c>
    </row>
    <row r="508" spans="1:26" ht="13.95" customHeight="1" x14ac:dyDescent="0.3">
      <c r="A508" s="61">
        <v>40989</v>
      </c>
      <c r="B508" s="73">
        <v>4.1840000000000002</v>
      </c>
      <c r="C508" s="2" t="s">
        <v>19</v>
      </c>
      <c r="D508" s="2">
        <v>-203</v>
      </c>
      <c r="E508" s="2">
        <v>362</v>
      </c>
      <c r="F508" s="73">
        <v>49</v>
      </c>
      <c r="G508" s="73">
        <v>29</v>
      </c>
      <c r="I508" s="10">
        <v>40989</v>
      </c>
      <c r="J508" s="27">
        <f t="shared" si="134"/>
        <v>280.80536912751677</v>
      </c>
      <c r="K508" s="11">
        <f t="shared" si="135"/>
        <v>227.35292545418838</v>
      </c>
      <c r="L508" s="11">
        <f t="shared" si="136"/>
        <v>192.19216547133078</v>
      </c>
      <c r="M508" s="27">
        <f t="shared" si="137"/>
        <v>201.11111111111111</v>
      </c>
      <c r="N508" s="27">
        <f t="shared" si="132"/>
        <v>219.14132379248659</v>
      </c>
      <c r="O508" s="27">
        <f t="shared" si="133"/>
        <v>205.67375886524823</v>
      </c>
      <c r="Q508" s="4">
        <v>1.49</v>
      </c>
      <c r="R508" s="4">
        <v>1815.8525733157076</v>
      </c>
      <c r="S508" s="4">
        <v>2338.2847000963566</v>
      </c>
      <c r="T508" s="4">
        <v>180</v>
      </c>
      <c r="U508" s="4">
        <v>22.36</v>
      </c>
      <c r="V508" s="4">
        <v>14.1</v>
      </c>
      <c r="W508" s="4"/>
      <c r="X508" s="61">
        <v>40989</v>
      </c>
      <c r="Y508" s="68">
        <v>4128.3939473684222</v>
      </c>
      <c r="Z508" s="68">
        <v>4697</v>
      </c>
    </row>
    <row r="509" spans="1:26" x14ac:dyDescent="0.3">
      <c r="A509" s="61">
        <v>40996</v>
      </c>
      <c r="B509" s="74">
        <v>4.1900000000000004</v>
      </c>
      <c r="C509" s="2">
        <v>17.5</v>
      </c>
      <c r="D509" s="2">
        <v>-212.5</v>
      </c>
      <c r="E509" s="2">
        <v>353</v>
      </c>
      <c r="F509" s="74">
        <v>51</v>
      </c>
      <c r="G509" s="74">
        <v>29.5</v>
      </c>
      <c r="I509" s="10">
        <v>40996</v>
      </c>
      <c r="J509" s="27">
        <f t="shared" si="134"/>
        <v>281.20805369127515</v>
      </c>
      <c r="K509" s="11">
        <f t="shared" si="135"/>
        <v>228.31666007984941</v>
      </c>
      <c r="L509" s="11">
        <f t="shared" si="136"/>
        <v>191.78588474770424</v>
      </c>
      <c r="M509" s="27">
        <f t="shared" si="137"/>
        <v>196.11111111111111</v>
      </c>
      <c r="N509" s="27">
        <f t="shared" si="132"/>
        <v>228.08586762075134</v>
      </c>
      <c r="O509" s="27">
        <f t="shared" si="133"/>
        <v>209.21985815602838</v>
      </c>
      <c r="Q509" s="4">
        <v>1.49</v>
      </c>
      <c r="R509" s="4">
        <v>1815.8525733157076</v>
      </c>
      <c r="S509" s="4">
        <v>2338.2847000963566</v>
      </c>
      <c r="T509" s="4">
        <v>180</v>
      </c>
      <c r="U509" s="4">
        <v>22.36</v>
      </c>
      <c r="V509" s="4">
        <v>14.1</v>
      </c>
      <c r="W509" s="4"/>
      <c r="X509" s="61">
        <v>40996</v>
      </c>
      <c r="Y509" s="68">
        <v>4128.3939473684222</v>
      </c>
      <c r="Z509" s="68">
        <v>4697</v>
      </c>
    </row>
    <row r="510" spans="1:26" x14ac:dyDescent="0.3">
      <c r="A510" s="61">
        <v>41003</v>
      </c>
      <c r="B510" s="75">
        <v>4.1420000000000003</v>
      </c>
      <c r="C510" s="2">
        <v>12.5</v>
      </c>
      <c r="D510" s="2">
        <v>-241</v>
      </c>
      <c r="E510" s="2">
        <v>325</v>
      </c>
      <c r="F510" s="75">
        <v>51</v>
      </c>
      <c r="G510" s="75">
        <v>29.5</v>
      </c>
      <c r="I510" s="10">
        <v>41003</v>
      </c>
      <c r="J510" s="27">
        <f t="shared" si="134"/>
        <v>277.98657718120808</v>
      </c>
      <c r="K510" s="11">
        <f t="shared" si="135"/>
        <v>225.74573492808599</v>
      </c>
      <c r="L510" s="11">
        <f t="shared" si="136"/>
        <v>190.58093039989819</v>
      </c>
      <c r="M510" s="27">
        <f t="shared" si="137"/>
        <v>180.55555555555557</v>
      </c>
      <c r="N510" s="27">
        <f t="shared" si="132"/>
        <v>228.08586762075134</v>
      </c>
      <c r="O510" s="27">
        <f t="shared" si="133"/>
        <v>209.21985815602838</v>
      </c>
      <c r="Q510" s="4">
        <v>1.49</v>
      </c>
      <c r="R510" s="4">
        <v>1815.8525733157076</v>
      </c>
      <c r="S510" s="4">
        <v>2338.2847000963566</v>
      </c>
      <c r="T510" s="4">
        <v>180</v>
      </c>
      <c r="U510" s="4">
        <v>22.36</v>
      </c>
      <c r="V510" s="4">
        <v>14.1</v>
      </c>
      <c r="W510" s="4"/>
      <c r="X510" s="61">
        <v>41003</v>
      </c>
      <c r="Y510" s="68">
        <v>4086.7097368421059</v>
      </c>
      <c r="Z510" s="68">
        <v>4697.3247368421053</v>
      </c>
    </row>
    <row r="511" spans="1:26" x14ac:dyDescent="0.3">
      <c r="A511" s="61">
        <v>41010</v>
      </c>
      <c r="B511" s="77">
        <v>4.1479999999999997</v>
      </c>
      <c r="C511" s="2">
        <v>14</v>
      </c>
      <c r="D511" s="2">
        <v>-204</v>
      </c>
      <c r="E511" s="2">
        <v>320</v>
      </c>
      <c r="F511" s="76">
        <v>51</v>
      </c>
      <c r="G511" s="76">
        <v>29</v>
      </c>
      <c r="I511" s="10">
        <v>41010</v>
      </c>
      <c r="J511" s="27">
        <f t="shared" si="134"/>
        <v>278.3892617449664</v>
      </c>
      <c r="K511" s="11">
        <f t="shared" si="135"/>
        <v>225.82834075314264</v>
      </c>
      <c r="L511" s="11">
        <f t="shared" si="136"/>
        <v>192.16328690244362</v>
      </c>
      <c r="M511" s="27">
        <f t="shared" si="137"/>
        <v>177.77777777777777</v>
      </c>
      <c r="N511" s="27">
        <f t="shared" si="132"/>
        <v>228.08586762075134</v>
      </c>
      <c r="O511" s="27">
        <f t="shared" si="133"/>
        <v>205.67375886524823</v>
      </c>
      <c r="Q511" s="4">
        <v>1.49</v>
      </c>
      <c r="R511" s="4">
        <v>1815.8525733157076</v>
      </c>
      <c r="S511" s="4">
        <v>2338.2847000963566</v>
      </c>
      <c r="T511" s="4">
        <v>180</v>
      </c>
      <c r="U511" s="4">
        <v>22.36</v>
      </c>
      <c r="V511" s="4">
        <v>14.1</v>
      </c>
      <c r="W511" s="4"/>
      <c r="X511" s="61">
        <v>41010</v>
      </c>
      <c r="Y511" s="68">
        <v>4086.7097368421059</v>
      </c>
      <c r="Z511" s="68">
        <v>4697.3247368421053</v>
      </c>
    </row>
    <row r="512" spans="1:26" x14ac:dyDescent="0.3">
      <c r="A512" s="61">
        <v>41017</v>
      </c>
      <c r="B512" s="78">
        <v>4.1269999999999998</v>
      </c>
      <c r="C512" s="2">
        <v>-10</v>
      </c>
      <c r="D512" s="2">
        <v>-362.5</v>
      </c>
      <c r="E512" s="2">
        <v>328</v>
      </c>
      <c r="F512" s="78">
        <v>52.5</v>
      </c>
      <c r="G512" s="78">
        <v>29.5</v>
      </c>
      <c r="I512" s="10">
        <v>41017</v>
      </c>
      <c r="J512" s="27">
        <f t="shared" si="134"/>
        <v>276.97986577181206</v>
      </c>
      <c r="K512" s="11">
        <f t="shared" si="135"/>
        <v>224.50664755223616</v>
      </c>
      <c r="L512" s="11">
        <f t="shared" si="136"/>
        <v>185.3848137766746</v>
      </c>
      <c r="M512" s="27">
        <f t="shared" si="137"/>
        <v>182.22222222222223</v>
      </c>
      <c r="N512" s="27">
        <f t="shared" si="132"/>
        <v>234.79427549194992</v>
      </c>
      <c r="O512" s="27">
        <f t="shared" si="133"/>
        <v>209.21985815602838</v>
      </c>
      <c r="Q512" s="4">
        <v>1.49</v>
      </c>
      <c r="R512" s="4">
        <v>1815.8525733157076</v>
      </c>
      <c r="S512" s="4">
        <v>2338.2847000963566</v>
      </c>
      <c r="T512" s="4">
        <v>180</v>
      </c>
      <c r="U512" s="4">
        <v>22.36</v>
      </c>
      <c r="V512" s="4">
        <v>14.1</v>
      </c>
      <c r="W512" s="4"/>
      <c r="X512" s="61">
        <v>41017</v>
      </c>
      <c r="Y512" s="68">
        <v>4086.7097368421059</v>
      </c>
      <c r="Z512" s="68">
        <v>4697.3247368421053</v>
      </c>
    </row>
    <row r="513" spans="1:26" x14ac:dyDescent="0.3">
      <c r="A513" s="61">
        <v>41024</v>
      </c>
      <c r="B513" s="79">
        <v>4.085</v>
      </c>
      <c r="C513" s="2">
        <v>0</v>
      </c>
      <c r="D513" s="2">
        <v>-247</v>
      </c>
      <c r="E513" s="2">
        <v>323</v>
      </c>
      <c r="F513" s="79">
        <v>53.5</v>
      </c>
      <c r="G513" s="79">
        <v>30</v>
      </c>
      <c r="I513" s="10">
        <v>41024</v>
      </c>
      <c r="J513" s="27">
        <f t="shared" si="134"/>
        <v>274.16107382550337</v>
      </c>
      <c r="K513" s="11">
        <f t="shared" si="135"/>
        <v>226.47607186733688</v>
      </c>
      <c r="L513" s="11">
        <f t="shared" si="136"/>
        <v>192.053399783732</v>
      </c>
      <c r="M513" s="27">
        <f t="shared" si="137"/>
        <v>179.44444444444443</v>
      </c>
      <c r="N513" s="27">
        <f t="shared" si="132"/>
        <v>239.26654740608225</v>
      </c>
      <c r="O513" s="27">
        <f t="shared" si="133"/>
        <v>212.7659574468085</v>
      </c>
      <c r="Q513" s="4">
        <v>1.49</v>
      </c>
      <c r="R513" s="4">
        <v>1815.8525733157076</v>
      </c>
      <c r="S513" s="4">
        <v>2338.2847000963566</v>
      </c>
      <c r="T513" s="4">
        <v>180</v>
      </c>
      <c r="U513" s="4">
        <v>22.36</v>
      </c>
      <c r="V513" s="4">
        <v>14.1</v>
      </c>
      <c r="X513" s="61">
        <v>41024</v>
      </c>
      <c r="Y513" s="68">
        <v>4112.4715789473676</v>
      </c>
      <c r="Z513" s="68">
        <v>4737.7552631578947</v>
      </c>
    </row>
    <row r="514" spans="1:26" x14ac:dyDescent="0.3">
      <c r="A514" s="61">
        <v>41031</v>
      </c>
      <c r="B514" s="79">
        <v>4.0730000000000004</v>
      </c>
      <c r="C514" s="2">
        <v>-5</v>
      </c>
      <c r="D514" s="2">
        <v>-329</v>
      </c>
      <c r="E514" s="2">
        <v>337</v>
      </c>
      <c r="F514" s="79">
        <v>54</v>
      </c>
      <c r="G514" s="79">
        <v>30.5</v>
      </c>
      <c r="I514" s="10">
        <v>41031</v>
      </c>
      <c r="J514" s="27">
        <f t="shared" si="134"/>
        <v>273.3557046979866</v>
      </c>
      <c r="K514" s="11">
        <f t="shared" si="135"/>
        <v>227.27768459058674</v>
      </c>
      <c r="L514" s="11">
        <f t="shared" si="136"/>
        <v>190.74479320698964</v>
      </c>
      <c r="M514" s="27">
        <f t="shared" si="137"/>
        <v>187.22222222222223</v>
      </c>
      <c r="N514" s="27">
        <f t="shared" si="132"/>
        <v>241.50268336314849</v>
      </c>
      <c r="O514" s="27">
        <f t="shared" si="133"/>
        <v>216.31205673758865</v>
      </c>
      <c r="Q514" s="4">
        <v>1.49</v>
      </c>
      <c r="R514" s="4">
        <v>1815.8525733157076</v>
      </c>
      <c r="S514" s="4">
        <v>2338.2847000963566</v>
      </c>
      <c r="T514" s="4">
        <v>180</v>
      </c>
      <c r="U514" s="4">
        <v>22.36</v>
      </c>
      <c r="V514" s="4">
        <v>14.1</v>
      </c>
      <c r="X514" s="61">
        <v>41031</v>
      </c>
      <c r="Y514" s="68">
        <v>4132.0276842105268</v>
      </c>
      <c r="Z514" s="68">
        <v>4789.1563157894734</v>
      </c>
    </row>
    <row r="515" spans="1:26" x14ac:dyDescent="0.3">
      <c r="A515" s="61">
        <v>41038</v>
      </c>
      <c r="B515" s="80">
        <v>4.0570000000000004</v>
      </c>
      <c r="C515" s="2">
        <v>19</v>
      </c>
      <c r="D515" s="2">
        <v>-272</v>
      </c>
      <c r="E515" s="2">
        <v>350</v>
      </c>
      <c r="F515" s="80">
        <v>52</v>
      </c>
      <c r="G515" s="80">
        <v>29</v>
      </c>
      <c r="I515" s="10">
        <v>41038</v>
      </c>
      <c r="J515" s="27">
        <f t="shared" si="134"/>
        <v>272.28187919463085</v>
      </c>
      <c r="K515" s="11">
        <f t="shared" si="135"/>
        <v>228.59937779149328</v>
      </c>
      <c r="L515" s="11">
        <f t="shared" si="136"/>
        <v>193.18247754874884</v>
      </c>
      <c r="M515" s="27">
        <f t="shared" si="137"/>
        <v>194.44444444444443</v>
      </c>
      <c r="N515" s="27">
        <f t="shared" si="132"/>
        <v>232.55813953488374</v>
      </c>
      <c r="O515" s="27">
        <f t="shared" si="133"/>
        <v>205.67375886524823</v>
      </c>
      <c r="Q515" s="4">
        <v>1.49</v>
      </c>
      <c r="R515" s="4">
        <v>1815.8525733157076</v>
      </c>
      <c r="S515" s="4">
        <v>2338.2847000963566</v>
      </c>
      <c r="T515" s="4">
        <v>180</v>
      </c>
      <c r="U515" s="4">
        <v>22.36</v>
      </c>
      <c r="V515" s="4">
        <v>14.1</v>
      </c>
      <c r="X515" s="61">
        <v>41038</v>
      </c>
      <c r="Y515" s="68">
        <v>4132.0276842105268</v>
      </c>
      <c r="Z515" s="68">
        <v>4789.1563157894734</v>
      </c>
    </row>
    <row r="516" spans="1:26" x14ac:dyDescent="0.3">
      <c r="A516" s="61">
        <v>41045</v>
      </c>
      <c r="B516" s="81">
        <v>4.0039999999999996</v>
      </c>
      <c r="C516" s="2">
        <v>22</v>
      </c>
      <c r="D516" s="2">
        <v>-302.5</v>
      </c>
      <c r="E516" s="2">
        <v>343</v>
      </c>
      <c r="F516" s="81">
        <v>50</v>
      </c>
      <c r="G516" s="81">
        <v>26.5</v>
      </c>
      <c r="I516" s="10">
        <v>41045</v>
      </c>
      <c r="J516" s="27">
        <f t="shared" si="134"/>
        <v>268.72483221476506</v>
      </c>
      <c r="K516" s="11">
        <f t="shared" si="135"/>
        <v>228.7645894416066</v>
      </c>
      <c r="L516" s="11">
        <f t="shared" si="136"/>
        <v>191.87810259394786</v>
      </c>
      <c r="M516" s="27">
        <f t="shared" si="137"/>
        <v>190.55555555555554</v>
      </c>
      <c r="N516" s="27">
        <f t="shared" si="132"/>
        <v>223.61359570661898</v>
      </c>
      <c r="O516" s="27">
        <f t="shared" si="133"/>
        <v>187.94326241134752</v>
      </c>
      <c r="Q516" s="4">
        <v>1.49</v>
      </c>
      <c r="R516" s="4">
        <v>1815.8525733157076</v>
      </c>
      <c r="S516" s="4">
        <v>2338.2847000963566</v>
      </c>
      <c r="T516" s="4">
        <v>180</v>
      </c>
      <c r="U516" s="4">
        <v>22.36</v>
      </c>
      <c r="V516" s="4">
        <v>14.1</v>
      </c>
      <c r="X516" s="61">
        <v>41045</v>
      </c>
      <c r="Y516" s="68">
        <v>4132.0276842105268</v>
      </c>
      <c r="Z516" s="68">
        <v>4789.1563157894734</v>
      </c>
    </row>
    <row r="517" spans="1:26" x14ac:dyDescent="0.3">
      <c r="A517" s="61">
        <v>41052</v>
      </c>
      <c r="B517" s="82">
        <v>3.956</v>
      </c>
      <c r="C517" s="2">
        <v>8.5</v>
      </c>
      <c r="D517" s="2">
        <v>-254</v>
      </c>
      <c r="F517" s="82">
        <v>51</v>
      </c>
      <c r="G517" s="82">
        <v>26.5</v>
      </c>
      <c r="I517" s="10">
        <v>41052</v>
      </c>
      <c r="J517" s="27">
        <f t="shared" si="134"/>
        <v>265.50335570469798</v>
      </c>
      <c r="K517" s="11">
        <f t="shared" si="135"/>
        <v>228.02113701609667</v>
      </c>
      <c r="L517" s="11">
        <f t="shared" si="136"/>
        <v>193.95227260404121</v>
      </c>
      <c r="M517" s="27">
        <f t="shared" si="137"/>
        <v>0</v>
      </c>
      <c r="N517" s="27">
        <f t="shared" si="132"/>
        <v>228.08586762075134</v>
      </c>
      <c r="O517" s="27">
        <f t="shared" si="133"/>
        <v>187.94326241134752</v>
      </c>
      <c r="Q517" s="4">
        <v>1.49</v>
      </c>
      <c r="R517" s="4">
        <v>1815.8525733157076</v>
      </c>
      <c r="S517" s="4">
        <v>2338.2847000963566</v>
      </c>
      <c r="T517" s="4">
        <v>180</v>
      </c>
      <c r="U517" s="4">
        <v>22.36</v>
      </c>
      <c r="V517" s="4">
        <v>14.1</v>
      </c>
      <c r="X517" s="61">
        <v>41052</v>
      </c>
      <c r="Y517" s="68">
        <v>4132.0276842105268</v>
      </c>
      <c r="Z517" s="68">
        <v>4789.1563157894734</v>
      </c>
    </row>
    <row r="518" spans="1:26" x14ac:dyDescent="0.3">
      <c r="A518" s="61">
        <v>41059</v>
      </c>
      <c r="B518" s="83">
        <v>3.9</v>
      </c>
      <c r="C518" s="2">
        <v>9</v>
      </c>
      <c r="D518" s="2">
        <v>-269</v>
      </c>
      <c r="E518" s="2">
        <v>330</v>
      </c>
      <c r="F518" s="83">
        <v>50</v>
      </c>
      <c r="G518" s="83">
        <v>25.5</v>
      </c>
      <c r="I518" s="10">
        <v>41059</v>
      </c>
      <c r="J518" s="27">
        <f t="shared" si="134"/>
        <v>261.744966442953</v>
      </c>
      <c r="K518" s="11">
        <f t="shared" si="135"/>
        <v>228.04867229111557</v>
      </c>
      <c r="L518" s="11">
        <f t="shared" si="136"/>
        <v>193.3107767246309</v>
      </c>
      <c r="M518" s="27">
        <f t="shared" si="137"/>
        <v>183.33333333333334</v>
      </c>
      <c r="N518" s="27">
        <f t="shared" si="132"/>
        <v>223.61359570661898</v>
      </c>
      <c r="O518" s="27">
        <f t="shared" si="133"/>
        <v>180.85106382978725</v>
      </c>
      <c r="Q518" s="4">
        <v>1.49</v>
      </c>
      <c r="R518" s="4">
        <v>1815.8525733157076</v>
      </c>
      <c r="S518" s="4">
        <v>2338.2847000963566</v>
      </c>
      <c r="T518" s="4">
        <v>180</v>
      </c>
      <c r="U518" s="4">
        <v>22.36</v>
      </c>
      <c r="V518" s="4">
        <v>14.1</v>
      </c>
      <c r="X518" s="61">
        <v>41059</v>
      </c>
      <c r="Y518" s="68">
        <v>4132.0276842105268</v>
      </c>
      <c r="Z518" s="68">
        <v>4789.1563157894734</v>
      </c>
    </row>
    <row r="519" spans="1:26" x14ac:dyDescent="0.3">
      <c r="A519" s="61">
        <v>41066</v>
      </c>
      <c r="B519" s="83">
        <v>3.85</v>
      </c>
      <c r="C519" s="2">
        <v>16.5</v>
      </c>
      <c r="D519" s="2">
        <v>-302</v>
      </c>
      <c r="E519" s="2">
        <v>285</v>
      </c>
      <c r="F519" s="83">
        <v>48.5</v>
      </c>
      <c r="G519" s="83">
        <v>24</v>
      </c>
      <c r="I519" s="10">
        <v>41066</v>
      </c>
      <c r="J519" s="27">
        <f t="shared" si="134"/>
        <v>258.38926174496646</v>
      </c>
      <c r="K519" s="11">
        <f t="shared" si="135"/>
        <v>229.89201117264932</v>
      </c>
      <c r="L519" s="11">
        <f t="shared" si="136"/>
        <v>192.87642775064987</v>
      </c>
      <c r="M519" s="27">
        <f t="shared" si="137"/>
        <v>158.33333333333334</v>
      </c>
      <c r="N519" s="27">
        <f t="shared" si="132"/>
        <v>216.90518783542041</v>
      </c>
      <c r="O519" s="27">
        <f t="shared" si="133"/>
        <v>170.21276595744681</v>
      </c>
      <c r="Q519" s="4">
        <v>1.49</v>
      </c>
      <c r="R519" s="4">
        <v>1815.8525729999999</v>
      </c>
      <c r="S519" s="4">
        <v>2338.2847000000002</v>
      </c>
      <c r="T519" s="4">
        <v>180</v>
      </c>
      <c r="U519" s="4">
        <v>22.36</v>
      </c>
      <c r="V519" s="84">
        <v>14.1</v>
      </c>
      <c r="X519" s="61">
        <v>41066</v>
      </c>
      <c r="Y519" s="68">
        <v>4158</v>
      </c>
      <c r="Z519" s="68">
        <v>4812</v>
      </c>
    </row>
    <row r="520" spans="1:26" x14ac:dyDescent="0.3">
      <c r="A520" s="61">
        <v>41073</v>
      </c>
      <c r="B520" s="83">
        <v>3.7810000000000001</v>
      </c>
      <c r="C520" s="2">
        <v>5</v>
      </c>
      <c r="D520" s="2">
        <v>-487.5</v>
      </c>
      <c r="E520" s="2">
        <v>284</v>
      </c>
      <c r="F520" s="83">
        <v>49</v>
      </c>
      <c r="G520" s="83">
        <v>24.5</v>
      </c>
      <c r="I520" s="10">
        <v>41073</v>
      </c>
      <c r="J520" s="27">
        <f t="shared" si="134"/>
        <v>253.75838926174498</v>
      </c>
      <c r="K520" s="11">
        <f t="shared" si="135"/>
        <v>229.23596436542991</v>
      </c>
      <c r="L520" s="11">
        <f t="shared" si="136"/>
        <v>184.95384108884764</v>
      </c>
      <c r="M520" s="27">
        <f t="shared" si="137"/>
        <v>157.77777777777777</v>
      </c>
      <c r="N520" s="27">
        <f t="shared" si="132"/>
        <v>219.14132379248659</v>
      </c>
      <c r="O520" s="27">
        <f t="shared" si="133"/>
        <v>173.75886524822698</v>
      </c>
      <c r="Q520" s="4">
        <v>1.49</v>
      </c>
      <c r="R520" s="4">
        <v>1815.8525733157076</v>
      </c>
      <c r="S520" s="4">
        <v>2338.2847000963566</v>
      </c>
      <c r="T520" s="4">
        <v>180</v>
      </c>
      <c r="U520" s="4">
        <v>22.36</v>
      </c>
      <c r="V520" s="4">
        <v>14.1</v>
      </c>
      <c r="X520" s="61">
        <v>41073</v>
      </c>
      <c r="Y520" s="68">
        <v>4157.5871578947372</v>
      </c>
      <c r="Z520" s="68">
        <v>4812.2473684210527</v>
      </c>
    </row>
    <row r="521" spans="1:26" x14ac:dyDescent="0.3">
      <c r="A521" s="61">
        <v>41080</v>
      </c>
      <c r="B521" s="85">
        <v>3.766</v>
      </c>
      <c r="C521" s="2">
        <v>12.5</v>
      </c>
      <c r="D521" s="2">
        <v>-556.5</v>
      </c>
      <c r="E521" s="2">
        <v>277</v>
      </c>
      <c r="F521" s="85">
        <v>50.5</v>
      </c>
      <c r="G521" s="85">
        <v>27</v>
      </c>
      <c r="I521" s="10">
        <v>41080</v>
      </c>
      <c r="J521" s="27">
        <f t="shared" si="134"/>
        <v>252.75167785234896</v>
      </c>
      <c r="K521" s="11">
        <f t="shared" si="135"/>
        <v>229.6489934907132</v>
      </c>
      <c r="L521" s="11">
        <f t="shared" si="136"/>
        <v>182.00296004356019</v>
      </c>
      <c r="M521" s="27">
        <f t="shared" si="137"/>
        <v>153.88888888888889</v>
      </c>
      <c r="N521" s="27">
        <f t="shared" si="132"/>
        <v>225.84973166368516</v>
      </c>
      <c r="O521" s="27">
        <f t="shared" si="133"/>
        <v>191.48936170212767</v>
      </c>
      <c r="Q521" s="4">
        <v>1.49</v>
      </c>
      <c r="R521" s="4">
        <v>1815.8525733157076</v>
      </c>
      <c r="S521" s="4">
        <v>2338.2847000963566</v>
      </c>
      <c r="T521" s="4">
        <v>180</v>
      </c>
      <c r="U521" s="4">
        <v>22.36</v>
      </c>
      <c r="V521" s="4">
        <v>14.1</v>
      </c>
      <c r="X521" s="61">
        <v>41080</v>
      </c>
      <c r="Y521" s="68">
        <v>4157.5871578947372</v>
      </c>
      <c r="Z521" s="68">
        <v>4812.2473684210527</v>
      </c>
    </row>
    <row r="522" spans="1:26" x14ac:dyDescent="0.3">
      <c r="A522" s="61">
        <v>41087</v>
      </c>
      <c r="B522" s="86">
        <v>3.6779999999999999</v>
      </c>
      <c r="C522" s="2">
        <v>8</v>
      </c>
      <c r="D522" s="2">
        <v>-525</v>
      </c>
      <c r="E522" s="2">
        <v>270</v>
      </c>
      <c r="F522" s="86">
        <v>48.5</v>
      </c>
      <c r="G522" s="86">
        <v>25.5</v>
      </c>
      <c r="I522" s="10">
        <v>41087</v>
      </c>
      <c r="J522" s="27">
        <f t="shared" si="134"/>
        <v>246.8456375838926</v>
      </c>
      <c r="K522" s="11">
        <f t="shared" si="135"/>
        <v>229.40117601554323</v>
      </c>
      <c r="L522" s="11">
        <f t="shared" si="136"/>
        <v>183.35010139032184</v>
      </c>
      <c r="M522" s="27">
        <f t="shared" si="137"/>
        <v>150</v>
      </c>
      <c r="N522" s="27">
        <f t="shared" si="132"/>
        <v>216.90518783542041</v>
      </c>
      <c r="O522" s="27">
        <f t="shared" si="133"/>
        <v>180.85106382978725</v>
      </c>
      <c r="Q522" s="4">
        <v>1.49</v>
      </c>
      <c r="R522" s="4">
        <v>1815.8525733157076</v>
      </c>
      <c r="S522" s="4">
        <v>2338.2847000963566</v>
      </c>
      <c r="T522" s="4">
        <v>180</v>
      </c>
      <c r="U522" s="4">
        <v>22.36</v>
      </c>
      <c r="V522" s="4">
        <v>14.1</v>
      </c>
      <c r="X522" s="61">
        <v>41087</v>
      </c>
      <c r="Y522" s="68">
        <v>4157.5871578947372</v>
      </c>
      <c r="Z522" s="68">
        <v>4812.2473684210527</v>
      </c>
    </row>
    <row r="523" spans="1:26" x14ac:dyDescent="0.3">
      <c r="A523" s="61">
        <v>41094</v>
      </c>
      <c r="B523" s="87">
        <v>3.6480000000000001</v>
      </c>
      <c r="C523" s="2">
        <v>2.5</v>
      </c>
      <c r="D523" s="2">
        <v>-356.5</v>
      </c>
      <c r="E523" s="2">
        <v>320</v>
      </c>
      <c r="F523" s="87">
        <v>48</v>
      </c>
      <c r="G523" s="87">
        <v>25</v>
      </c>
      <c r="I523" s="10">
        <v>41094</v>
      </c>
      <c r="J523" s="27">
        <f t="shared" si="134"/>
        <v>244.8322147651007</v>
      </c>
      <c r="K523" s="11">
        <f t="shared" si="135"/>
        <v>225.16849411794001</v>
      </c>
      <c r="L523" s="11">
        <f t="shared" si="136"/>
        <v>187.72897477180396</v>
      </c>
      <c r="M523" s="27">
        <f t="shared" si="137"/>
        <v>177.77777777777777</v>
      </c>
      <c r="N523" s="27">
        <f t="shared" si="132"/>
        <v>214.6690518783542</v>
      </c>
      <c r="O523" s="27">
        <f t="shared" si="133"/>
        <v>177.3049645390071</v>
      </c>
      <c r="Q523" s="4">
        <v>1.49</v>
      </c>
      <c r="R523" s="4">
        <v>1815.8525733157076</v>
      </c>
      <c r="S523" s="4">
        <v>2338.2847000963566</v>
      </c>
      <c r="T523" s="4">
        <v>180</v>
      </c>
      <c r="U523" s="4">
        <v>22.36</v>
      </c>
      <c r="V523" s="4">
        <v>14.1</v>
      </c>
      <c r="X523" s="61">
        <v>41094</v>
      </c>
      <c r="Y523" s="68">
        <v>4086.2278947368413</v>
      </c>
      <c r="Z523" s="68">
        <v>4746.1378947368412</v>
      </c>
    </row>
    <row r="524" spans="1:26" x14ac:dyDescent="0.3">
      <c r="A524" s="61">
        <v>41101</v>
      </c>
      <c r="B524" s="88">
        <v>3.6829999999999998</v>
      </c>
      <c r="C524" s="2">
        <v>-6.3</v>
      </c>
      <c r="D524" s="2">
        <v>-327</v>
      </c>
      <c r="E524" s="2">
        <v>353</v>
      </c>
      <c r="F524" s="88">
        <v>49</v>
      </c>
      <c r="G524" s="88">
        <v>27</v>
      </c>
      <c r="I524" s="10">
        <v>41101</v>
      </c>
      <c r="J524" s="27">
        <f t="shared" si="134"/>
        <v>247.18120805369125</v>
      </c>
      <c r="K524" s="11">
        <f t="shared" si="135"/>
        <v>224.68387331667157</v>
      </c>
      <c r="L524" s="11">
        <f t="shared" si="136"/>
        <v>188.99058334243222</v>
      </c>
      <c r="M524" s="27">
        <f t="shared" si="137"/>
        <v>196.11111111111111</v>
      </c>
      <c r="N524" s="27">
        <f t="shared" si="132"/>
        <v>219.14132379248659</v>
      </c>
      <c r="O524" s="27">
        <f t="shared" si="133"/>
        <v>191.48936170212767</v>
      </c>
      <c r="Q524" s="4">
        <v>1.49</v>
      </c>
      <c r="R524" s="4">
        <v>1815.8525729999999</v>
      </c>
      <c r="S524" s="4">
        <v>2338.2847000000002</v>
      </c>
      <c r="T524" s="4">
        <v>180</v>
      </c>
      <c r="U524" s="4">
        <v>22.36</v>
      </c>
      <c r="V524" s="84">
        <v>14.1</v>
      </c>
      <c r="X524" s="61">
        <v>41101</v>
      </c>
      <c r="Y524" s="68">
        <v>4086.2278947368413</v>
      </c>
      <c r="Z524" s="68">
        <v>4746.1378947368412</v>
      </c>
    </row>
    <row r="525" spans="1:26" x14ac:dyDescent="0.3">
      <c r="A525" s="61">
        <v>41108</v>
      </c>
      <c r="B525" s="89">
        <v>3.6949999999999998</v>
      </c>
      <c r="C525" s="2">
        <v>12.5</v>
      </c>
      <c r="D525" s="2">
        <v>-231.5</v>
      </c>
      <c r="E525" s="2">
        <v>409</v>
      </c>
      <c r="F525" s="89">
        <v>50.5</v>
      </c>
      <c r="G525" s="89">
        <v>28.5</v>
      </c>
      <c r="I525" s="10">
        <v>41108</v>
      </c>
      <c r="J525" s="27">
        <f t="shared" si="134"/>
        <v>247.98657718120808</v>
      </c>
      <c r="K525" s="11">
        <f t="shared" si="135"/>
        <v>225.71919961831776</v>
      </c>
      <c r="L525" s="11">
        <f t="shared" si="136"/>
        <v>193.07477376688993</v>
      </c>
      <c r="M525" s="27">
        <f t="shared" si="137"/>
        <v>227.22222222222223</v>
      </c>
      <c r="N525" s="27">
        <f t="shared" si="132"/>
        <v>225.84973166368516</v>
      </c>
      <c r="O525" s="27">
        <f t="shared" si="133"/>
        <v>202.12765957446811</v>
      </c>
      <c r="Q525" s="4">
        <v>1.49</v>
      </c>
      <c r="R525" s="4">
        <v>1815.8525733157076</v>
      </c>
      <c r="S525" s="4">
        <v>2338.2847000963566</v>
      </c>
      <c r="T525" s="4">
        <v>180</v>
      </c>
      <c r="U525" s="4">
        <v>22.36</v>
      </c>
      <c r="V525" s="4">
        <v>14.1</v>
      </c>
      <c r="X525" s="61">
        <v>41108</v>
      </c>
      <c r="Y525" s="68">
        <v>4086.2278947368413</v>
      </c>
      <c r="Z525" s="68">
        <v>4746.1378947368412</v>
      </c>
    </row>
    <row r="526" spans="1:26" x14ac:dyDescent="0.3">
      <c r="A526" s="61">
        <v>41115</v>
      </c>
      <c r="B526" s="90">
        <v>3.7829999999999999</v>
      </c>
      <c r="C526" s="2">
        <v>20</v>
      </c>
      <c r="D526" s="2">
        <v>-371</v>
      </c>
      <c r="E526" s="2">
        <v>350</v>
      </c>
      <c r="F526" s="90">
        <v>51</v>
      </c>
      <c r="G526" s="90">
        <v>29</v>
      </c>
      <c r="I526" s="10">
        <v>41115</v>
      </c>
      <c r="J526" s="27">
        <f t="shared" si="134"/>
        <v>253.89261744966447</v>
      </c>
      <c r="K526" s="11">
        <f t="shared" si="135"/>
        <v>226.13222878291683</v>
      </c>
      <c r="L526" s="11">
        <f t="shared" si="136"/>
        <v>187.10886209608441</v>
      </c>
      <c r="M526" s="27">
        <f t="shared" si="137"/>
        <v>194.44444444444443</v>
      </c>
      <c r="N526" s="27">
        <f t="shared" si="132"/>
        <v>228.08586762075134</v>
      </c>
      <c r="O526" s="27">
        <f t="shared" si="133"/>
        <v>205.67375886524823</v>
      </c>
      <c r="Q526" s="4">
        <v>1.49</v>
      </c>
      <c r="R526" s="4">
        <v>1815.8525729999999</v>
      </c>
      <c r="S526" s="4">
        <v>2338.2847000000002</v>
      </c>
      <c r="T526" s="4">
        <v>180</v>
      </c>
      <c r="U526" s="4">
        <v>22.36</v>
      </c>
      <c r="V526" s="84">
        <v>14.1</v>
      </c>
      <c r="X526" s="61">
        <v>41115</v>
      </c>
      <c r="Y526" s="68">
        <v>4086.2278947368413</v>
      </c>
      <c r="Z526" s="68">
        <v>4746.1378947368412</v>
      </c>
    </row>
    <row r="527" spans="1:26" x14ac:dyDescent="0.3">
      <c r="A527" s="61">
        <v>41122</v>
      </c>
      <c r="B527" s="91">
        <v>3.7959999999999998</v>
      </c>
      <c r="C527" s="2">
        <v>-121.5</v>
      </c>
      <c r="D527" s="2">
        <v>-281.5</v>
      </c>
      <c r="E527" s="2">
        <v>355</v>
      </c>
      <c r="F527" s="91">
        <v>50.5</v>
      </c>
      <c r="G527" s="91">
        <v>28</v>
      </c>
      <c r="I527" s="10">
        <v>41122</v>
      </c>
      <c r="J527" s="27">
        <f t="shared" si="134"/>
        <v>254.76510067114094</v>
      </c>
      <c r="K527" s="11">
        <f t="shared" si="135"/>
        <v>219.1438947802578</v>
      </c>
      <c r="L527" s="11">
        <f t="shared" si="136"/>
        <v>189.93103880248719</v>
      </c>
      <c r="M527" s="27">
        <f t="shared" si="137"/>
        <v>197.22222222222223</v>
      </c>
      <c r="N527" s="27">
        <f t="shared" si="132"/>
        <v>225.84973166368516</v>
      </c>
      <c r="O527" s="27">
        <f t="shared" si="133"/>
        <v>198.58156028368796</v>
      </c>
      <c r="Q527" s="4">
        <v>1.49</v>
      </c>
      <c r="R527" s="4">
        <v>1815.8525733157076</v>
      </c>
      <c r="S527" s="4">
        <v>2338.2847000963566</v>
      </c>
      <c r="T527" s="4">
        <v>180</v>
      </c>
      <c r="U527" s="4">
        <v>22.36</v>
      </c>
      <c r="V527" s="4">
        <v>14.1</v>
      </c>
      <c r="X527" s="61">
        <v>41122</v>
      </c>
      <c r="Y527" s="68">
        <v>4100.8300526315779</v>
      </c>
      <c r="Z527" s="68">
        <v>4722.6284210526328</v>
      </c>
    </row>
    <row r="528" spans="1:26" x14ac:dyDescent="0.3">
      <c r="A528" s="61">
        <v>41129</v>
      </c>
      <c r="B528" s="92">
        <v>3.85</v>
      </c>
      <c r="C528" s="2">
        <v>-121.5</v>
      </c>
      <c r="D528" s="2">
        <v>-175</v>
      </c>
      <c r="E528" s="2">
        <v>305</v>
      </c>
      <c r="F528" s="92">
        <v>50</v>
      </c>
      <c r="G528" s="92">
        <v>28</v>
      </c>
      <c r="I528" s="10">
        <v>41129</v>
      </c>
      <c r="J528" s="27">
        <f t="shared" si="134"/>
        <v>258.38926174496646</v>
      </c>
      <c r="K528" s="11">
        <f t="shared" si="135"/>
        <v>219.1438947802578</v>
      </c>
      <c r="L528" s="11">
        <f t="shared" si="136"/>
        <v>194.48565954630047</v>
      </c>
      <c r="M528" s="27">
        <f t="shared" si="137"/>
        <v>169.44444444444443</v>
      </c>
      <c r="N528" s="27">
        <f t="shared" si="132"/>
        <v>223.61359570661898</v>
      </c>
      <c r="O528" s="27">
        <f t="shared" si="133"/>
        <v>198.58156028368796</v>
      </c>
      <c r="Q528" s="4">
        <v>1.49</v>
      </c>
      <c r="R528" s="4">
        <v>1815.8525733157076</v>
      </c>
      <c r="S528" s="4">
        <v>2338.2847000963566</v>
      </c>
      <c r="T528" s="4">
        <v>180</v>
      </c>
      <c r="U528" s="4">
        <v>22.36</v>
      </c>
      <c r="V528" s="4">
        <v>14.1</v>
      </c>
      <c r="X528" s="61">
        <v>41129</v>
      </c>
      <c r="Y528" s="68">
        <v>4100.8300526315779</v>
      </c>
      <c r="Z528" s="68">
        <v>4722.6284210526328</v>
      </c>
    </row>
    <row r="529" spans="1:26" x14ac:dyDescent="0.3">
      <c r="A529" s="61">
        <v>41136</v>
      </c>
      <c r="B529" s="93">
        <v>3.952</v>
      </c>
      <c r="C529" s="2">
        <v>-29.5</v>
      </c>
      <c r="D529" s="2">
        <v>-350</v>
      </c>
      <c r="E529" s="2">
        <v>365</v>
      </c>
      <c r="F529" s="93">
        <v>50</v>
      </c>
      <c r="G529" s="93">
        <v>27</v>
      </c>
      <c r="I529" s="10">
        <v>41136</v>
      </c>
      <c r="J529" s="27">
        <f t="shared" si="134"/>
        <v>265.23489932885906</v>
      </c>
      <c r="K529" s="11">
        <f t="shared" si="135"/>
        <v>224.21038538373287</v>
      </c>
      <c r="L529" s="11">
        <f t="shared" si="136"/>
        <v>187.00154095318013</v>
      </c>
      <c r="M529" s="27">
        <f t="shared" si="137"/>
        <v>202.77777777777777</v>
      </c>
      <c r="N529" s="27">
        <f t="shared" si="132"/>
        <v>223.61359570661898</v>
      </c>
      <c r="O529" s="27">
        <f t="shared" si="133"/>
        <v>191.48936170212767</v>
      </c>
      <c r="Q529" s="4">
        <v>1.49</v>
      </c>
      <c r="R529" s="4">
        <v>1815.8525733157076</v>
      </c>
      <c r="S529" s="4">
        <v>2338.2847000963566</v>
      </c>
      <c r="T529" s="4">
        <v>180</v>
      </c>
      <c r="U529" s="4">
        <v>22.36</v>
      </c>
      <c r="V529" s="4">
        <v>14.1</v>
      </c>
      <c r="X529" s="61">
        <v>41136</v>
      </c>
      <c r="Y529" s="68">
        <v>4100.8300526315779</v>
      </c>
      <c r="Z529" s="68">
        <v>4722.6284210526328</v>
      </c>
    </row>
    <row r="530" spans="1:26" x14ac:dyDescent="0.3">
      <c r="A530" s="61">
        <v>41143</v>
      </c>
      <c r="B530" s="94">
        <v>4.0259999999999998</v>
      </c>
      <c r="C530" s="2">
        <v>15</v>
      </c>
      <c r="D530" s="2">
        <v>-369</v>
      </c>
      <c r="E530" s="2">
        <v>330</v>
      </c>
      <c r="F530" s="94">
        <v>50</v>
      </c>
      <c r="G530" s="94">
        <v>27</v>
      </c>
      <c r="I530" s="10">
        <v>41143</v>
      </c>
      <c r="J530" s="27">
        <f t="shared" si="134"/>
        <v>270.20134228187914</v>
      </c>
      <c r="K530" s="11">
        <f t="shared" si="135"/>
        <v>226.66102486041368</v>
      </c>
      <c r="L530" s="11">
        <f t="shared" si="136"/>
        <v>186.18897950592702</v>
      </c>
      <c r="M530" s="27">
        <f t="shared" si="137"/>
        <v>183.33333333333334</v>
      </c>
      <c r="N530" s="27">
        <f t="shared" si="132"/>
        <v>223.61359570661898</v>
      </c>
      <c r="O530" s="27">
        <f t="shared" si="133"/>
        <v>191.48936170212767</v>
      </c>
      <c r="Q530" s="4">
        <v>1.49</v>
      </c>
      <c r="R530" s="4">
        <v>1815.8525733157076</v>
      </c>
      <c r="S530" s="4">
        <v>2338.2847000963566</v>
      </c>
      <c r="T530" s="4">
        <v>180</v>
      </c>
      <c r="U530" s="4">
        <v>22.36</v>
      </c>
      <c r="V530" s="4">
        <v>14.1</v>
      </c>
      <c r="X530" s="61">
        <v>41143</v>
      </c>
      <c r="Y530" s="68">
        <v>4100.8300526315779</v>
      </c>
      <c r="Z530" s="68">
        <v>4722.6284210526328</v>
      </c>
    </row>
    <row r="531" spans="1:26" x14ac:dyDescent="0.3">
      <c r="A531" s="61">
        <v>41150</v>
      </c>
      <c r="B531" s="95">
        <v>4.0890000000000004</v>
      </c>
      <c r="C531" s="2">
        <v>16</v>
      </c>
      <c r="D531" s="2">
        <v>-367</v>
      </c>
      <c r="E531" s="2">
        <v>438</v>
      </c>
      <c r="F531" s="95">
        <v>50</v>
      </c>
      <c r="G531" s="95">
        <v>26.5</v>
      </c>
      <c r="I531" s="10">
        <v>41150</v>
      </c>
      <c r="J531" s="27">
        <f t="shared" si="134"/>
        <v>274.42953020134229</v>
      </c>
      <c r="K531" s="11">
        <f t="shared" si="135"/>
        <v>226.71609541045146</v>
      </c>
      <c r="L531" s="11">
        <f t="shared" si="136"/>
        <v>186.27451228984842</v>
      </c>
      <c r="M531" s="27">
        <f t="shared" si="137"/>
        <v>243.33333333333337</v>
      </c>
      <c r="N531" s="27">
        <f t="shared" si="132"/>
        <v>223.61359570661898</v>
      </c>
      <c r="O531" s="27">
        <f t="shared" si="133"/>
        <v>187.94326241134752</v>
      </c>
      <c r="Q531" s="4">
        <v>1.49</v>
      </c>
      <c r="R531" s="4">
        <v>1815.8525733157076</v>
      </c>
      <c r="S531" s="4">
        <v>2338.2847000963566</v>
      </c>
      <c r="T531" s="4">
        <v>180</v>
      </c>
      <c r="U531" s="4">
        <v>22.36</v>
      </c>
      <c r="V531" s="4">
        <v>14.1</v>
      </c>
      <c r="X531" s="61">
        <v>41150</v>
      </c>
      <c r="Y531" s="68">
        <v>4100.8300526315779</v>
      </c>
      <c r="Z531" s="68">
        <v>4722.6284210526328</v>
      </c>
    </row>
    <row r="532" spans="1:26" x14ac:dyDescent="0.3">
      <c r="A532" s="61">
        <v>41157</v>
      </c>
      <c r="B532" s="96">
        <v>4.1269999999999998</v>
      </c>
      <c r="C532" s="2">
        <v>18.5</v>
      </c>
      <c r="D532" s="2">
        <v>-397</v>
      </c>
      <c r="E532" s="2">
        <v>500</v>
      </c>
      <c r="F532" s="96">
        <v>49</v>
      </c>
      <c r="G532" s="96">
        <v>25.5</v>
      </c>
      <c r="I532" s="10">
        <v>41157</v>
      </c>
      <c r="J532" s="27">
        <f t="shared" si="134"/>
        <v>276.97986577181206</v>
      </c>
      <c r="K532" s="11">
        <f>(C532+Y532)/R532*100</f>
        <v>226.89617321062502</v>
      </c>
      <c r="L532" s="11">
        <f t="shared" si="136"/>
        <v>182.90544345706743</v>
      </c>
      <c r="M532" s="27">
        <f t="shared" si="137"/>
        <v>277.77777777777777</v>
      </c>
      <c r="N532" s="27">
        <f t="shared" si="132"/>
        <v>219.14132379248659</v>
      </c>
      <c r="O532" s="27">
        <f t="shared" si="133"/>
        <v>180.85106382978725</v>
      </c>
      <c r="Q532" s="4">
        <v>1.49</v>
      </c>
      <c r="R532" s="4">
        <v>1815.8525733157076</v>
      </c>
      <c r="S532" s="4">
        <v>2338.2847000963566</v>
      </c>
      <c r="T532" s="4">
        <v>180</v>
      </c>
      <c r="U532" s="4">
        <v>22.36</v>
      </c>
      <c r="V532" s="4">
        <v>14.1</v>
      </c>
      <c r="X532" s="61">
        <v>41157</v>
      </c>
      <c r="Y532" s="68">
        <v>4101.5999999999995</v>
      </c>
      <c r="Z532" s="68">
        <v>4673.8500000000004</v>
      </c>
    </row>
    <row r="533" spans="1:26" x14ac:dyDescent="0.3">
      <c r="A533" s="61">
        <v>41164</v>
      </c>
      <c r="B533" s="97">
        <v>4.1319999999999997</v>
      </c>
      <c r="C533" s="2">
        <v>25</v>
      </c>
      <c r="D533" s="2">
        <v>-187.5</v>
      </c>
      <c r="E533" s="2">
        <v>550</v>
      </c>
      <c r="F533" s="97">
        <v>48</v>
      </c>
      <c r="G533" s="97">
        <v>24</v>
      </c>
      <c r="I533" s="10">
        <v>41164</v>
      </c>
      <c r="J533" s="27">
        <f t="shared" si="134"/>
        <v>277.31543624161066</v>
      </c>
      <c r="K533" s="11">
        <f t="shared" ref="K533:L557" si="138">(C533+Y533)/R533*100</f>
        <v>227.25413182538139</v>
      </c>
      <c r="L533" s="11">
        <f t="shared" si="136"/>
        <v>191.86500258073792</v>
      </c>
      <c r="M533" s="27">
        <f t="shared" si="137"/>
        <v>305.55555555555554</v>
      </c>
      <c r="N533" s="27">
        <f t="shared" si="132"/>
        <v>214.6690518783542</v>
      </c>
      <c r="O533" s="27">
        <f t="shared" si="133"/>
        <v>170.21276595744681</v>
      </c>
      <c r="Q533" s="4">
        <v>1.49</v>
      </c>
      <c r="R533" s="4">
        <v>1815.8525729999999</v>
      </c>
      <c r="S533" s="4">
        <v>2338.2847000000002</v>
      </c>
      <c r="T533" s="4">
        <v>180</v>
      </c>
      <c r="U533" s="4">
        <v>22.36</v>
      </c>
      <c r="V533" s="84">
        <v>14.1</v>
      </c>
      <c r="X533" s="61">
        <v>41164</v>
      </c>
      <c r="Y533" s="68">
        <v>4101.5999999999995</v>
      </c>
      <c r="Z533" s="68">
        <v>4673.8500000000004</v>
      </c>
    </row>
    <row r="534" spans="1:26" x14ac:dyDescent="0.3">
      <c r="A534" s="61">
        <v>41171</v>
      </c>
      <c r="B534" s="98">
        <v>4.1349999999999998</v>
      </c>
      <c r="C534" s="2">
        <v>-9</v>
      </c>
      <c r="D534" s="2">
        <v>500</v>
      </c>
      <c r="E534" s="2">
        <v>625</v>
      </c>
      <c r="F534" s="98">
        <v>48</v>
      </c>
      <c r="G534" s="98">
        <v>24</v>
      </c>
      <c r="I534" s="10">
        <v>41171</v>
      </c>
      <c r="J534" s="27">
        <f t="shared" si="134"/>
        <v>277.5167785234899</v>
      </c>
      <c r="K534" s="11">
        <f t="shared" si="138"/>
        <v>225.3817330845863</v>
      </c>
      <c r="L534" s="11">
        <f t="shared" si="136"/>
        <v>221.26689704580434</v>
      </c>
      <c r="M534" s="27">
        <f t="shared" si="137"/>
        <v>347.22222222222223</v>
      </c>
      <c r="N534" s="27">
        <f t="shared" si="132"/>
        <v>214.6690518783542</v>
      </c>
      <c r="O534" s="27">
        <f t="shared" si="133"/>
        <v>170.21276595744681</v>
      </c>
      <c r="Q534" s="4">
        <v>1.49</v>
      </c>
      <c r="R534" s="4">
        <v>1815.8525733157076</v>
      </c>
      <c r="S534" s="4">
        <v>2338.2847000963566</v>
      </c>
      <c r="T534" s="4">
        <v>180</v>
      </c>
      <c r="U534" s="4">
        <v>22.36</v>
      </c>
      <c r="V534" s="4">
        <v>14.1</v>
      </c>
      <c r="X534" s="61">
        <v>41171</v>
      </c>
      <c r="Y534" s="68">
        <v>4101.5999999999995</v>
      </c>
      <c r="Z534" s="68">
        <v>4673.8500000000004</v>
      </c>
    </row>
    <row r="535" spans="1:26" x14ac:dyDescent="0.3">
      <c r="A535" s="61">
        <v>41178</v>
      </c>
      <c r="B535" s="99">
        <v>4.0860000000000003</v>
      </c>
      <c r="C535" s="2">
        <v>17</v>
      </c>
      <c r="D535" s="2">
        <v>385</v>
      </c>
      <c r="E535" s="2">
        <v>608</v>
      </c>
      <c r="F535" s="99">
        <v>47</v>
      </c>
      <c r="G535" s="99">
        <v>24</v>
      </c>
      <c r="I535" s="10">
        <v>41178</v>
      </c>
      <c r="J535" s="27">
        <f t="shared" si="134"/>
        <v>274.2281879194631</v>
      </c>
      <c r="K535" s="11">
        <f t="shared" si="138"/>
        <v>226.81356742500262</v>
      </c>
      <c r="L535" s="11">
        <f t="shared" si="136"/>
        <v>216.34876197924058</v>
      </c>
      <c r="M535" s="27">
        <f t="shared" si="137"/>
        <v>337.77777777777777</v>
      </c>
      <c r="N535" s="27">
        <f t="shared" si="132"/>
        <v>210.19677996422183</v>
      </c>
      <c r="O535" s="27">
        <f t="shared" si="133"/>
        <v>170.21276595744681</v>
      </c>
      <c r="Q535" s="4">
        <v>1.49</v>
      </c>
      <c r="R535" s="4">
        <v>1815.8525729999999</v>
      </c>
      <c r="S535" s="4">
        <v>2338.2847000000002</v>
      </c>
      <c r="T535" s="4">
        <v>180</v>
      </c>
      <c r="U535" s="4">
        <v>22.36</v>
      </c>
      <c r="V535" s="84">
        <v>14.1</v>
      </c>
      <c r="X535" s="61">
        <v>41178</v>
      </c>
      <c r="Y535" s="68">
        <v>4101.5999999999995</v>
      </c>
      <c r="Z535" s="68">
        <v>4673.8500000000004</v>
      </c>
    </row>
    <row r="536" spans="1:26" x14ac:dyDescent="0.3">
      <c r="A536" s="61">
        <v>41185</v>
      </c>
      <c r="B536" s="100">
        <v>4.0789999999999997</v>
      </c>
      <c r="C536" s="2">
        <v>17</v>
      </c>
      <c r="D536" s="2">
        <v>289.5</v>
      </c>
      <c r="E536" s="2">
        <v>633</v>
      </c>
      <c r="F536" s="100">
        <v>47</v>
      </c>
      <c r="G536" s="100">
        <v>24</v>
      </c>
      <c r="H536" s="5"/>
      <c r="I536" s="10">
        <v>41185</v>
      </c>
      <c r="J536" s="27">
        <f t="shared" si="134"/>
        <v>273.75838926174492</v>
      </c>
      <c r="K536" s="11">
        <f t="shared" si="138"/>
        <v>232.7243214040725</v>
      </c>
      <c r="L536" s="11">
        <f t="shared" si="136"/>
        <v>220.35950675153532</v>
      </c>
      <c r="M536" s="27">
        <f t="shared" si="137"/>
        <v>351.66666666666669</v>
      </c>
      <c r="N536" s="27">
        <f t="shared" si="132"/>
        <v>210.19677996422183</v>
      </c>
      <c r="O536" s="27">
        <f t="shared" si="133"/>
        <v>170.21276595744681</v>
      </c>
      <c r="Q536" s="4">
        <v>1.49</v>
      </c>
      <c r="R536" s="4">
        <v>1815.8525733157076</v>
      </c>
      <c r="S536" s="4">
        <v>2338.2847000963566</v>
      </c>
      <c r="T536" s="4">
        <v>180</v>
      </c>
      <c r="U536" s="4">
        <v>22.36</v>
      </c>
      <c r="V536" s="4">
        <v>14.1</v>
      </c>
      <c r="X536" s="61">
        <v>41185</v>
      </c>
      <c r="Y536" s="68">
        <v>4208.9305789473683</v>
      </c>
      <c r="Z536" s="68">
        <v>4863.1326315789483</v>
      </c>
    </row>
    <row r="537" spans="1:26" x14ac:dyDescent="0.3">
      <c r="A537" s="61">
        <v>41192</v>
      </c>
      <c r="B537" s="101">
        <v>4.0940000000000003</v>
      </c>
      <c r="C537" s="2">
        <v>19</v>
      </c>
      <c r="D537" s="2">
        <v>196</v>
      </c>
      <c r="E537" s="2">
        <v>513</v>
      </c>
      <c r="F537" s="101">
        <v>49</v>
      </c>
      <c r="G537" s="101">
        <v>27</v>
      </c>
      <c r="I537" s="10">
        <v>41192</v>
      </c>
      <c r="J537" s="27">
        <f t="shared" si="134"/>
        <v>274.76510067114094</v>
      </c>
      <c r="K537" s="11">
        <f t="shared" si="138"/>
        <v>232.83446254462908</v>
      </c>
      <c r="L537" s="11">
        <f t="shared" si="136"/>
        <v>216.36084911212686</v>
      </c>
      <c r="M537" s="27">
        <f t="shared" si="137"/>
        <v>285</v>
      </c>
      <c r="N537" s="27">
        <f t="shared" si="132"/>
        <v>219.14132379248659</v>
      </c>
      <c r="O537" s="27">
        <f t="shared" si="133"/>
        <v>191.48936170212767</v>
      </c>
      <c r="Q537" s="4">
        <v>1.49</v>
      </c>
      <c r="R537" s="4">
        <v>1815.8525729999999</v>
      </c>
      <c r="S537" s="4">
        <v>2338.2847000000002</v>
      </c>
      <c r="T537" s="4">
        <v>180</v>
      </c>
      <c r="U537" s="4">
        <v>22.36</v>
      </c>
      <c r="V537" s="84">
        <v>14.1</v>
      </c>
      <c r="X537" s="61">
        <v>41192</v>
      </c>
      <c r="Y537" s="68">
        <v>4208.9305789473683</v>
      </c>
      <c r="Z537" s="68">
        <v>4863.1326315789483</v>
      </c>
    </row>
    <row r="538" spans="1:26" x14ac:dyDescent="0.3">
      <c r="A538" s="61">
        <v>41199</v>
      </c>
      <c r="B538" s="102">
        <v>4.1500000000000004</v>
      </c>
      <c r="C538" s="2">
        <v>0</v>
      </c>
      <c r="D538" s="2">
        <v>-100</v>
      </c>
      <c r="E538" s="2">
        <v>500</v>
      </c>
      <c r="F538" s="102">
        <v>49</v>
      </c>
      <c r="G538" s="102">
        <v>27</v>
      </c>
      <c r="H538" s="5"/>
      <c r="I538" s="10">
        <v>41199</v>
      </c>
      <c r="J538" s="27">
        <f t="shared" si="134"/>
        <v>278.52348993288592</v>
      </c>
      <c r="K538" s="11">
        <f t="shared" si="138"/>
        <v>231.78812205343036</v>
      </c>
      <c r="L538" s="11">
        <f t="shared" si="136"/>
        <v>203.70199708284744</v>
      </c>
      <c r="M538" s="27">
        <f t="shared" si="137"/>
        <v>277.77777777777777</v>
      </c>
      <c r="N538" s="27">
        <f t="shared" si="132"/>
        <v>219.14132379248659</v>
      </c>
      <c r="O538" s="27">
        <f t="shared" si="133"/>
        <v>191.48936170212767</v>
      </c>
      <c r="Q538" s="4">
        <v>1.49</v>
      </c>
      <c r="R538" s="4">
        <v>1815.8525733157076</v>
      </c>
      <c r="S538" s="4">
        <v>2338.2847000963566</v>
      </c>
      <c r="T538" s="4">
        <v>180</v>
      </c>
      <c r="U538" s="4">
        <v>22.36</v>
      </c>
      <c r="V538" s="4">
        <v>14.1</v>
      </c>
      <c r="X538" s="61">
        <v>41199</v>
      </c>
      <c r="Y538" s="68">
        <v>4208.9305789473683</v>
      </c>
      <c r="Z538" s="68">
        <v>4863.1326315789483</v>
      </c>
    </row>
    <row r="539" spans="1:26" x14ac:dyDescent="0.3">
      <c r="A539" s="61">
        <v>41206</v>
      </c>
      <c r="B539" s="103">
        <v>4.1159999999999997</v>
      </c>
      <c r="C539" s="2">
        <v>0</v>
      </c>
      <c r="D539" s="2">
        <v>-219</v>
      </c>
      <c r="E539" s="2">
        <v>588</v>
      </c>
      <c r="F539" s="103">
        <v>49</v>
      </c>
      <c r="G539" s="103">
        <v>28</v>
      </c>
      <c r="H539" s="5"/>
      <c r="I539" s="10">
        <v>41206</v>
      </c>
      <c r="J539" s="27">
        <f t="shared" si="134"/>
        <v>276.24161073825502</v>
      </c>
      <c r="K539" s="11">
        <f t="shared" si="138"/>
        <v>231.7881220937295</v>
      </c>
      <c r="L539" s="11">
        <f t="shared" si="136"/>
        <v>198.61279644771005</v>
      </c>
      <c r="M539" s="27">
        <f t="shared" si="137"/>
        <v>326.66666666666669</v>
      </c>
      <c r="N539" s="27">
        <f t="shared" si="132"/>
        <v>219.14132379248659</v>
      </c>
      <c r="O539" s="27">
        <f t="shared" si="133"/>
        <v>198.58156028368796</v>
      </c>
      <c r="Q539" s="4">
        <v>1.49</v>
      </c>
      <c r="R539" s="4">
        <v>1815.8525729999999</v>
      </c>
      <c r="S539" s="4">
        <v>2338.2847000000002</v>
      </c>
      <c r="T539" s="4">
        <v>180</v>
      </c>
      <c r="U539" s="4">
        <v>22.36</v>
      </c>
      <c r="V539" s="84">
        <v>14.1</v>
      </c>
      <c r="X539" s="61">
        <v>41206</v>
      </c>
      <c r="Y539" s="68">
        <v>4208.9305789473683</v>
      </c>
      <c r="Z539" s="68">
        <v>4863.1326315789483</v>
      </c>
    </row>
    <row r="540" spans="1:26" x14ac:dyDescent="0.3">
      <c r="A540" s="61">
        <v>41213</v>
      </c>
      <c r="B540" s="104">
        <v>4.0359999999999996</v>
      </c>
      <c r="C540" s="2">
        <v>-12</v>
      </c>
      <c r="D540" s="2">
        <v>-212.5</v>
      </c>
      <c r="E540" s="2">
        <v>547</v>
      </c>
      <c r="F540" s="104">
        <v>47.5</v>
      </c>
      <c r="G540" s="104">
        <v>27</v>
      </c>
      <c r="H540" s="5"/>
      <c r="I540" s="10">
        <v>41213</v>
      </c>
      <c r="J540" s="27">
        <f t="shared" si="134"/>
        <v>270.8724832214765</v>
      </c>
      <c r="K540" s="11">
        <f t="shared" si="138"/>
        <v>231.12727545297707</v>
      </c>
      <c r="L540" s="11">
        <f t="shared" si="136"/>
        <v>198.89077798727007</v>
      </c>
      <c r="M540" s="27">
        <f t="shared" si="137"/>
        <v>303.88888888888886</v>
      </c>
      <c r="N540" s="27">
        <f t="shared" si="132"/>
        <v>212.43291592128801</v>
      </c>
      <c r="O540" s="27">
        <f t="shared" si="133"/>
        <v>191.48936170212767</v>
      </c>
      <c r="Q540" s="4">
        <v>1.49</v>
      </c>
      <c r="R540" s="4">
        <v>1815.8525733157076</v>
      </c>
      <c r="S540" s="4">
        <v>2338.2847000963566</v>
      </c>
      <c r="T540" s="4">
        <v>180</v>
      </c>
      <c r="U540" s="4">
        <v>22.36</v>
      </c>
      <c r="V540" s="4">
        <v>14.1</v>
      </c>
      <c r="X540" s="61">
        <v>41213</v>
      </c>
      <c r="Y540" s="68">
        <v>4208.9305789473683</v>
      </c>
      <c r="Z540" s="68">
        <v>4863.1326315789483</v>
      </c>
    </row>
    <row r="541" spans="1:26" x14ac:dyDescent="0.3">
      <c r="A541" s="61">
        <v>41220</v>
      </c>
      <c r="B541" s="105">
        <v>4.01</v>
      </c>
      <c r="C541" s="2">
        <v>0</v>
      </c>
      <c r="D541" s="2">
        <v>-241.5</v>
      </c>
      <c r="E541" s="2">
        <v>595</v>
      </c>
      <c r="F541" s="105">
        <v>47</v>
      </c>
      <c r="G541" s="105">
        <v>26.5</v>
      </c>
      <c r="H541" s="5"/>
      <c r="I541" s="10">
        <v>41220</v>
      </c>
      <c r="J541" s="27">
        <f t="shared" si="134"/>
        <v>269.12751677852344</v>
      </c>
      <c r="K541" s="11">
        <f t="shared" si="138"/>
        <v>233.60789943554408</v>
      </c>
      <c r="L541" s="11">
        <f t="shared" si="136"/>
        <v>198.88278743275717</v>
      </c>
      <c r="M541" s="27">
        <f t="shared" si="137"/>
        <v>330.55555555555554</v>
      </c>
      <c r="N541" s="27">
        <f t="shared" si="132"/>
        <v>210.19677996422183</v>
      </c>
      <c r="O541" s="27">
        <f t="shared" si="133"/>
        <v>187.94326241134752</v>
      </c>
      <c r="Q541" s="4">
        <v>1.49</v>
      </c>
      <c r="R541" s="4">
        <v>1815.8525729999999</v>
      </c>
      <c r="S541" s="4">
        <v>2338.2847000000002</v>
      </c>
      <c r="T541" s="4">
        <v>180</v>
      </c>
      <c r="U541" s="4">
        <v>22.36</v>
      </c>
      <c r="V541" s="84">
        <v>14.1</v>
      </c>
      <c r="X541" s="61">
        <v>41220</v>
      </c>
      <c r="Y541" s="68">
        <v>4241.9750526315793</v>
      </c>
      <c r="Z541" s="68">
        <v>4891.9457894736843</v>
      </c>
    </row>
    <row r="542" spans="1:26" x14ac:dyDescent="0.3">
      <c r="A542" s="61">
        <v>41227</v>
      </c>
      <c r="B542" s="106">
        <v>3.98</v>
      </c>
      <c r="C542" s="2">
        <v>-5.5</v>
      </c>
      <c r="D542" s="2">
        <v>-244</v>
      </c>
      <c r="E542" s="2">
        <v>533</v>
      </c>
      <c r="F542" s="106">
        <v>46</v>
      </c>
      <c r="G542" s="106">
        <v>26</v>
      </c>
      <c r="I542" s="10">
        <v>41227</v>
      </c>
      <c r="J542" s="27">
        <f t="shared" si="134"/>
        <v>267.11409395973158</v>
      </c>
      <c r="K542" s="11">
        <f t="shared" si="138"/>
        <v>233.30501136972083</v>
      </c>
      <c r="L542" s="11">
        <f t="shared" si="136"/>
        <v>198.77587144465986</v>
      </c>
      <c r="M542" s="27">
        <f t="shared" si="137"/>
        <v>296.11111111111114</v>
      </c>
      <c r="N542" s="27">
        <f t="shared" si="132"/>
        <v>205.72450805008947</v>
      </c>
      <c r="O542" s="27">
        <f t="shared" si="133"/>
        <v>184.39716312056737</v>
      </c>
      <c r="Q542" s="4">
        <v>1.49</v>
      </c>
      <c r="R542" s="4">
        <v>1815.8525733157076</v>
      </c>
      <c r="S542" s="4">
        <v>2338.2847000963566</v>
      </c>
      <c r="T542" s="4">
        <v>180</v>
      </c>
      <c r="U542" s="4">
        <v>22.36</v>
      </c>
      <c r="V542" s="4">
        <v>14.1</v>
      </c>
      <c r="X542" s="61">
        <v>41227</v>
      </c>
      <c r="Y542" s="68">
        <v>4241.9750526315793</v>
      </c>
      <c r="Z542" s="68">
        <v>4891.9457894736843</v>
      </c>
    </row>
    <row r="543" spans="1:26" x14ac:dyDescent="0.3">
      <c r="A543" s="61">
        <v>41234</v>
      </c>
      <c r="B543" s="107">
        <v>3.976</v>
      </c>
      <c r="C543" s="2">
        <v>12.5</v>
      </c>
      <c r="D543" s="2">
        <v>-134.5</v>
      </c>
      <c r="E543" s="2">
        <v>600</v>
      </c>
      <c r="F543" s="107">
        <v>46</v>
      </c>
      <c r="G543" s="107">
        <v>26</v>
      </c>
      <c r="I543" s="10">
        <v>41234</v>
      </c>
      <c r="J543" s="27">
        <f t="shared" si="134"/>
        <v>266.8456375838926</v>
      </c>
      <c r="K543" s="11">
        <f t="shared" si="138"/>
        <v>234.29628131113591</v>
      </c>
      <c r="L543" s="11">
        <f t="shared" si="136"/>
        <v>203.45879137273934</v>
      </c>
      <c r="M543" s="27">
        <f t="shared" si="137"/>
        <v>333.33333333333337</v>
      </c>
      <c r="N543" s="27">
        <f t="shared" si="132"/>
        <v>205.72450805008947</v>
      </c>
      <c r="O543" s="27">
        <f t="shared" si="133"/>
        <v>184.39716312056737</v>
      </c>
      <c r="Q543" s="4">
        <v>1.49</v>
      </c>
      <c r="R543" s="4">
        <v>1815.8525729999999</v>
      </c>
      <c r="S543" s="4">
        <v>2338.2847000000002</v>
      </c>
      <c r="T543" s="4">
        <v>180</v>
      </c>
      <c r="U543" s="4">
        <v>22.36</v>
      </c>
      <c r="V543" s="84">
        <v>14.1</v>
      </c>
      <c r="X543" s="61">
        <v>41234</v>
      </c>
      <c r="Y543" s="68">
        <v>4241.9750526315793</v>
      </c>
      <c r="Z543" s="68">
        <v>4891.9457894736843</v>
      </c>
    </row>
    <row r="544" spans="1:26" x14ac:dyDescent="0.3">
      <c r="A544" s="61">
        <v>41241</v>
      </c>
      <c r="B544" s="108">
        <v>4.0339999999999998</v>
      </c>
      <c r="C544" s="2">
        <v>-12.5</v>
      </c>
      <c r="D544" s="2">
        <v>-142</v>
      </c>
      <c r="E544" s="2">
        <v>613</v>
      </c>
      <c r="F544" s="108">
        <v>46.5</v>
      </c>
      <c r="G544" s="108">
        <v>26.5</v>
      </c>
      <c r="I544" s="10">
        <v>41241</v>
      </c>
      <c r="J544" s="27">
        <f t="shared" si="134"/>
        <v>270.73825503355698</v>
      </c>
      <c r="K544" s="11">
        <f t="shared" si="138"/>
        <v>232.85940080845049</v>
      </c>
      <c r="L544" s="11">
        <f t="shared" si="136"/>
        <v>204.89583217718703</v>
      </c>
      <c r="M544" s="27">
        <f t="shared" si="137"/>
        <v>340.55555555555554</v>
      </c>
      <c r="N544" s="27">
        <f t="shared" si="132"/>
        <v>207.96064400715562</v>
      </c>
      <c r="O544" s="27">
        <f t="shared" si="133"/>
        <v>187.94326241134752</v>
      </c>
      <c r="Q544" s="4">
        <v>1.49</v>
      </c>
      <c r="R544" s="4">
        <v>1815.8525729999999</v>
      </c>
      <c r="S544" s="4">
        <v>2338.2847000000002</v>
      </c>
      <c r="T544" s="4">
        <v>180</v>
      </c>
      <c r="U544" s="4">
        <v>22.36</v>
      </c>
      <c r="V544" s="84">
        <v>14.1</v>
      </c>
      <c r="X544" s="61">
        <v>41255</v>
      </c>
      <c r="Y544" s="68">
        <v>4240.8834210526311</v>
      </c>
      <c r="Z544" s="68">
        <v>4933.047894736842</v>
      </c>
    </row>
    <row r="545" spans="1:26" x14ac:dyDescent="0.3">
      <c r="A545" s="61">
        <v>41248</v>
      </c>
      <c r="B545" s="109">
        <v>4.0270000000000001</v>
      </c>
      <c r="C545" s="2">
        <v>-12.5</v>
      </c>
      <c r="D545" s="2">
        <v>-173</v>
      </c>
      <c r="E545" s="2">
        <v>575</v>
      </c>
      <c r="F545" s="109">
        <v>46.5</v>
      </c>
      <c r="G545" s="109">
        <v>26</v>
      </c>
      <c r="I545" s="10">
        <v>41248</v>
      </c>
      <c r="J545" s="27">
        <f t="shared" si="134"/>
        <v>270.26845637583892</v>
      </c>
      <c r="K545" s="11">
        <f t="shared" si="138"/>
        <v>232.85940080845049</v>
      </c>
      <c r="L545" s="11">
        <f t="shared" si="136"/>
        <v>203.57007402635108</v>
      </c>
      <c r="M545" s="27">
        <f t="shared" si="137"/>
        <v>319.44444444444446</v>
      </c>
      <c r="N545" s="27">
        <f t="shared" si="132"/>
        <v>207.96064400715562</v>
      </c>
      <c r="O545" s="27">
        <f t="shared" si="133"/>
        <v>184.39716312056737</v>
      </c>
      <c r="Q545" s="4">
        <v>1.49</v>
      </c>
      <c r="R545" s="4">
        <v>1815.8525729999999</v>
      </c>
      <c r="S545" s="4">
        <v>2338.2847000000002</v>
      </c>
      <c r="T545" s="4">
        <v>180</v>
      </c>
      <c r="U545" s="4">
        <v>22.36</v>
      </c>
      <c r="V545" s="84">
        <v>14.1</v>
      </c>
      <c r="X545" s="61">
        <v>41248</v>
      </c>
      <c r="Y545" s="68">
        <v>4240.8834210526311</v>
      </c>
      <c r="Z545" s="68">
        <v>4933.047894736842</v>
      </c>
    </row>
    <row r="546" spans="1:26" x14ac:dyDescent="0.3">
      <c r="A546" s="61">
        <v>41255</v>
      </c>
      <c r="B546" s="110">
        <v>3.9910000000000001</v>
      </c>
      <c r="C546" s="2">
        <v>0</v>
      </c>
      <c r="D546" s="2">
        <v>-169</v>
      </c>
      <c r="E546" s="2">
        <v>600</v>
      </c>
      <c r="F546" s="110">
        <v>45.5</v>
      </c>
      <c r="G546" s="110">
        <v>25</v>
      </c>
      <c r="I546" s="10">
        <v>41255</v>
      </c>
      <c r="J546" s="27">
        <f t="shared" si="134"/>
        <v>267.85234899328867</v>
      </c>
      <c r="K546" s="11">
        <f t="shared" si="138"/>
        <v>233.54778268404232</v>
      </c>
      <c r="L546" s="11">
        <f t="shared" si="136"/>
        <v>203.74113959420092</v>
      </c>
      <c r="M546" s="27">
        <f t="shared" si="137"/>
        <v>333.33333333333337</v>
      </c>
      <c r="N546" s="27">
        <f t="shared" si="132"/>
        <v>203.48837209302326</v>
      </c>
      <c r="O546" s="27">
        <f t="shared" si="133"/>
        <v>177.3049645390071</v>
      </c>
      <c r="Q546" s="4">
        <v>1.49</v>
      </c>
      <c r="R546" s="4">
        <v>1815.8525729999999</v>
      </c>
      <c r="S546" s="4">
        <v>2338.2847000000002</v>
      </c>
      <c r="T546" s="4">
        <v>180</v>
      </c>
      <c r="U546" s="4">
        <v>22.36</v>
      </c>
      <c r="V546" s="84">
        <v>14.1</v>
      </c>
      <c r="X546" s="61">
        <v>41255</v>
      </c>
      <c r="Y546" s="68">
        <v>4240.8834210526311</v>
      </c>
      <c r="Z546" s="68">
        <v>4933.047894736842</v>
      </c>
    </row>
    <row r="547" spans="1:26" x14ac:dyDescent="0.3">
      <c r="A547" s="61">
        <v>41262</v>
      </c>
      <c r="B547" s="110">
        <v>3.95</v>
      </c>
      <c r="C547" s="2">
        <v>0</v>
      </c>
      <c r="D547" s="2">
        <v>25</v>
      </c>
      <c r="E547" s="2">
        <v>575</v>
      </c>
      <c r="F547" s="110">
        <v>45</v>
      </c>
      <c r="G547" s="110">
        <v>24</v>
      </c>
      <c r="I547" s="10">
        <v>41262</v>
      </c>
      <c r="J547" s="27">
        <f t="shared" si="134"/>
        <v>265.1006711409396</v>
      </c>
      <c r="K547" s="11">
        <f t="shared" si="138"/>
        <v>233.54778268404232</v>
      </c>
      <c r="L547" s="11">
        <f t="shared" si="136"/>
        <v>212.03781963491619</v>
      </c>
      <c r="M547" s="27">
        <f t="shared" si="137"/>
        <v>319.44444444444446</v>
      </c>
      <c r="N547" s="27">
        <f t="shared" si="132"/>
        <v>201.25223613595705</v>
      </c>
      <c r="O547" s="27">
        <f t="shared" si="133"/>
        <v>170.21276595744681</v>
      </c>
      <c r="Q547" s="4">
        <v>1.49</v>
      </c>
      <c r="R547" s="4">
        <v>1815.8525729999999</v>
      </c>
      <c r="S547" s="4">
        <v>2338.2847000000002</v>
      </c>
      <c r="T547" s="4">
        <v>180</v>
      </c>
      <c r="U547" s="4">
        <v>22.36</v>
      </c>
      <c r="V547" s="84">
        <v>14.1</v>
      </c>
      <c r="X547" s="61">
        <v>41255</v>
      </c>
      <c r="Y547" s="68">
        <v>4240.8834210526311</v>
      </c>
      <c r="Z547" s="68">
        <v>4933.047894736842</v>
      </c>
    </row>
    <row r="548" spans="1:26" x14ac:dyDescent="0.3">
      <c r="A548" s="61">
        <v>41269</v>
      </c>
      <c r="B548" s="111">
        <v>3.92</v>
      </c>
      <c r="C548" s="2">
        <v>12.5</v>
      </c>
      <c r="D548" s="2">
        <v>38</v>
      </c>
      <c r="E548" s="2">
        <v>563</v>
      </c>
      <c r="F548" s="111">
        <v>44.5</v>
      </c>
      <c r="G548" s="111">
        <v>24</v>
      </c>
      <c r="I548" s="10">
        <v>41269</v>
      </c>
      <c r="J548" s="27">
        <f t="shared" si="134"/>
        <v>263.08724832214762</v>
      </c>
      <c r="K548" s="11">
        <f t="shared" si="138"/>
        <v>234.23616455963418</v>
      </c>
      <c r="L548" s="11">
        <f t="shared" si="136"/>
        <v>212.59378273042807</v>
      </c>
      <c r="M548" s="27">
        <f t="shared" si="137"/>
        <v>312.77777777777777</v>
      </c>
      <c r="N548" s="27">
        <f t="shared" si="132"/>
        <v>199.01610017889089</v>
      </c>
      <c r="O548" s="27">
        <f t="shared" si="133"/>
        <v>170.21276595744681</v>
      </c>
      <c r="Q548" s="4">
        <v>1.49</v>
      </c>
      <c r="R548" s="4">
        <v>1815.8525729999999</v>
      </c>
      <c r="S548" s="4">
        <v>2338.2847000000002</v>
      </c>
      <c r="T548" s="4">
        <v>180</v>
      </c>
      <c r="U548" s="4">
        <v>22.36</v>
      </c>
      <c r="V548" s="84">
        <v>14.1</v>
      </c>
      <c r="X548" s="61">
        <v>41262</v>
      </c>
      <c r="Y548" s="68">
        <v>4240.8834210526311</v>
      </c>
      <c r="Z548" s="68">
        <v>4933.047894736842</v>
      </c>
    </row>
    <row r="549" spans="1:26" x14ac:dyDescent="0.3">
      <c r="A549" s="61">
        <v>41276</v>
      </c>
      <c r="B549" s="112">
        <v>3.92</v>
      </c>
      <c r="C549" s="2">
        <v>12.5</v>
      </c>
      <c r="D549" s="2">
        <v>60.5</v>
      </c>
      <c r="E549" s="2">
        <v>500</v>
      </c>
      <c r="F549" s="112">
        <v>44.5</v>
      </c>
      <c r="G549" s="112">
        <v>24</v>
      </c>
      <c r="I549" s="10">
        <v>41276</v>
      </c>
      <c r="J549" s="27">
        <f t="shared" si="134"/>
        <v>263.08724832214762</v>
      </c>
      <c r="K549" s="11">
        <f t="shared" si="138"/>
        <v>234.28916561637971</v>
      </c>
      <c r="L549" s="11">
        <f t="shared" si="136"/>
        <v>213.92915206514189</v>
      </c>
      <c r="M549" s="27">
        <f t="shared" si="137"/>
        <v>277.77777777777777</v>
      </c>
      <c r="N549" s="27">
        <f t="shared" si="132"/>
        <v>199.01610017889089</v>
      </c>
      <c r="O549" s="27">
        <f t="shared" si="133"/>
        <v>170.21276595744681</v>
      </c>
      <c r="Q549" s="4">
        <v>1.49</v>
      </c>
      <c r="R549" s="4">
        <v>1815.8525729999999</v>
      </c>
      <c r="S549" s="4">
        <v>2338.2847000000002</v>
      </c>
      <c r="T549" s="4">
        <v>180</v>
      </c>
      <c r="U549" s="4">
        <v>22.36</v>
      </c>
      <c r="V549" s="84">
        <v>14.1</v>
      </c>
      <c r="X549" s="61">
        <v>41276</v>
      </c>
      <c r="Y549" s="68">
        <v>4241.8458421052619</v>
      </c>
      <c r="Z549" s="68">
        <v>4941.7726315789469</v>
      </c>
    </row>
    <row r="550" spans="1:26" x14ac:dyDescent="0.3">
      <c r="A550" s="61">
        <v>41283</v>
      </c>
      <c r="B550" s="112">
        <v>3.91</v>
      </c>
      <c r="C550" s="2">
        <v>-12.5</v>
      </c>
      <c r="D550" s="2">
        <v>2</v>
      </c>
      <c r="E550" s="2">
        <v>373</v>
      </c>
      <c r="F550" s="112">
        <v>44.5</v>
      </c>
      <c r="G550" s="112">
        <v>24</v>
      </c>
      <c r="I550" s="10">
        <v>41283</v>
      </c>
      <c r="J550" s="27">
        <f t="shared" si="134"/>
        <v>262.41610738255031</v>
      </c>
      <c r="K550" s="11">
        <f t="shared" si="138"/>
        <v>232.91240186519602</v>
      </c>
      <c r="L550" s="11">
        <f t="shared" si="136"/>
        <v>211.42731813533854</v>
      </c>
      <c r="M550" s="27">
        <f t="shared" si="137"/>
        <v>207.2222222222222</v>
      </c>
      <c r="N550" s="27">
        <f t="shared" si="132"/>
        <v>199.01610017889089</v>
      </c>
      <c r="O550" s="27">
        <f t="shared" si="133"/>
        <v>170.21276595744681</v>
      </c>
      <c r="Q550" s="4">
        <v>1.49</v>
      </c>
      <c r="R550" s="4">
        <v>1815.8525729999999</v>
      </c>
      <c r="S550" s="4">
        <v>2338.2847000000002</v>
      </c>
      <c r="T550" s="4">
        <v>180</v>
      </c>
      <c r="U550" s="4">
        <v>22.36</v>
      </c>
      <c r="V550" s="84">
        <v>14.1</v>
      </c>
      <c r="X550" s="61">
        <v>41283</v>
      </c>
      <c r="Y550" s="68">
        <v>4241.8458421052619</v>
      </c>
      <c r="Z550" s="68">
        <v>4941.7726315789469</v>
      </c>
    </row>
    <row r="551" spans="1:26" x14ac:dyDescent="0.3">
      <c r="A551" s="61">
        <v>41290</v>
      </c>
      <c r="B551" s="112">
        <v>3.8940000000000001</v>
      </c>
      <c r="C551" s="2">
        <v>12.5</v>
      </c>
      <c r="D551" s="2">
        <v>-62.5</v>
      </c>
      <c r="E551" s="2">
        <v>348</v>
      </c>
      <c r="F551" s="112">
        <v>46.5</v>
      </c>
      <c r="G551" s="112">
        <v>27</v>
      </c>
      <c r="I551" s="10">
        <v>41290</v>
      </c>
      <c r="J551" s="27">
        <f t="shared" si="134"/>
        <v>261.34228187919462</v>
      </c>
      <c r="K551" s="11">
        <f t="shared" si="138"/>
        <v>234.28916561637971</v>
      </c>
      <c r="L551" s="11">
        <f t="shared" si="136"/>
        <v>208.66888585376051</v>
      </c>
      <c r="M551" s="27">
        <f t="shared" si="137"/>
        <v>193.33333333333334</v>
      </c>
      <c r="N551" s="27">
        <f t="shared" si="132"/>
        <v>207.96064400715562</v>
      </c>
      <c r="O551" s="27">
        <f t="shared" si="133"/>
        <v>191.48936170212767</v>
      </c>
      <c r="Q551" s="4">
        <v>1.49</v>
      </c>
      <c r="R551" s="4">
        <v>1815.8525729999999</v>
      </c>
      <c r="S551" s="4">
        <v>2338.2847000000002</v>
      </c>
      <c r="T551" s="4">
        <v>180</v>
      </c>
      <c r="U551" s="4">
        <v>22.36</v>
      </c>
      <c r="V551" s="84">
        <v>14.1</v>
      </c>
      <c r="X551" s="61">
        <v>41290</v>
      </c>
      <c r="Y551" s="68">
        <v>4241.8458421052619</v>
      </c>
      <c r="Z551" s="68">
        <v>4941.7726315789469</v>
      </c>
    </row>
    <row r="552" spans="1:26" x14ac:dyDescent="0.3">
      <c r="A552" s="61">
        <v>41297</v>
      </c>
      <c r="B552" s="113">
        <v>3.9020000000000001</v>
      </c>
      <c r="C552" s="2" t="s">
        <v>19</v>
      </c>
      <c r="D552" s="2">
        <v>-82</v>
      </c>
      <c r="E552" s="2">
        <v>333</v>
      </c>
      <c r="F552" s="113">
        <v>46</v>
      </c>
      <c r="G552" s="113">
        <v>24</v>
      </c>
      <c r="I552" s="10">
        <v>41297</v>
      </c>
      <c r="J552" s="27">
        <f t="shared" si="134"/>
        <v>261.87919463087246</v>
      </c>
      <c r="K552" s="11">
        <f t="shared" si="138"/>
        <v>233.60078370017359</v>
      </c>
      <c r="L552" s="11">
        <f t="shared" si="136"/>
        <v>207.83494120192825</v>
      </c>
      <c r="M552" s="27">
        <f t="shared" si="137"/>
        <v>185</v>
      </c>
      <c r="N552" s="27">
        <f t="shared" si="132"/>
        <v>205.72450805008947</v>
      </c>
      <c r="O552" s="27">
        <f t="shared" si="133"/>
        <v>170.21276595744681</v>
      </c>
      <c r="Q552" s="4">
        <v>1.49</v>
      </c>
      <c r="R552" s="4">
        <v>1815.8525733157076</v>
      </c>
      <c r="S552" s="4">
        <v>2338.2847000963566</v>
      </c>
      <c r="T552" s="4">
        <v>180</v>
      </c>
      <c r="U552" s="4">
        <v>22.36</v>
      </c>
      <c r="V552" s="4">
        <v>14.1</v>
      </c>
      <c r="X552" s="61">
        <v>41297</v>
      </c>
      <c r="Y552" s="68">
        <v>4241.8458421052619</v>
      </c>
      <c r="Z552" s="68">
        <v>4941.7726315789469</v>
      </c>
    </row>
    <row r="553" spans="1:26" x14ac:dyDescent="0.3">
      <c r="A553" s="61">
        <v>41304</v>
      </c>
      <c r="B553" s="114">
        <v>3.927</v>
      </c>
      <c r="C553" s="2">
        <v>10</v>
      </c>
      <c r="D553" s="2">
        <v>-115</v>
      </c>
      <c r="E553" s="2">
        <v>330</v>
      </c>
      <c r="F553" s="114">
        <v>46</v>
      </c>
      <c r="G553" s="114">
        <v>24</v>
      </c>
      <c r="I553" s="10">
        <v>41304</v>
      </c>
      <c r="J553" s="27">
        <f t="shared" si="134"/>
        <v>263.55704697986585</v>
      </c>
      <c r="K553" s="11">
        <f t="shared" si="138"/>
        <v>234.15148924126132</v>
      </c>
      <c r="L553" s="11">
        <f t="shared" si="136"/>
        <v>206.42365027573192</v>
      </c>
      <c r="M553" s="27">
        <f t="shared" si="137"/>
        <v>183.33333333333334</v>
      </c>
      <c r="N553" s="27">
        <f t="shared" si="132"/>
        <v>205.72450805008947</v>
      </c>
      <c r="O553" s="27">
        <f t="shared" si="133"/>
        <v>170.21276595744681</v>
      </c>
      <c r="Q553" s="4">
        <v>1.49</v>
      </c>
      <c r="R553" s="4">
        <v>1815.8525729999999</v>
      </c>
      <c r="S553" s="4">
        <v>2338.2847000000002</v>
      </c>
      <c r="T553" s="4">
        <v>180</v>
      </c>
      <c r="U553" s="4">
        <v>22.36</v>
      </c>
      <c r="V553" s="84">
        <v>14.1</v>
      </c>
      <c r="X553" s="61">
        <v>41304</v>
      </c>
      <c r="Y553" s="68">
        <v>4241.8458421052619</v>
      </c>
      <c r="Z553" s="68">
        <v>4941.7726315789469</v>
      </c>
    </row>
    <row r="554" spans="1:26" x14ac:dyDescent="0.3">
      <c r="A554" s="61">
        <v>41311</v>
      </c>
      <c r="B554" s="115">
        <v>4.0220000000000002</v>
      </c>
      <c r="C554" s="2">
        <v>-6</v>
      </c>
      <c r="D554" s="2">
        <v>-77</v>
      </c>
      <c r="E554" s="2">
        <v>323</v>
      </c>
      <c r="F554" s="115">
        <v>46</v>
      </c>
      <c r="G554" s="115">
        <v>24</v>
      </c>
      <c r="I554" s="10">
        <v>41311</v>
      </c>
      <c r="J554" s="27">
        <f t="shared" si="134"/>
        <v>269.93288590604027</v>
      </c>
      <c r="K554" s="11">
        <f t="shared" si="138"/>
        <v>232.76098393861585</v>
      </c>
      <c r="L554" s="11">
        <f t="shared" si="136"/>
        <v>208.00137000110871</v>
      </c>
      <c r="M554" s="27">
        <f t="shared" si="137"/>
        <v>179.44444444444443</v>
      </c>
      <c r="N554" s="27">
        <f t="shared" si="132"/>
        <v>205.72450805008947</v>
      </c>
      <c r="O554" s="27">
        <f t="shared" si="133"/>
        <v>170.21276595744681</v>
      </c>
      <c r="Q554" s="4">
        <v>1.49</v>
      </c>
      <c r="R554" s="4">
        <v>1815.8525729999999</v>
      </c>
      <c r="S554" s="4">
        <v>2338.2847000000002</v>
      </c>
      <c r="T554" s="4">
        <v>180</v>
      </c>
      <c r="U554" s="4">
        <v>22.36</v>
      </c>
      <c r="V554" s="84">
        <v>14.1</v>
      </c>
      <c r="X554" s="61">
        <v>41311</v>
      </c>
      <c r="Y554" s="68">
        <v>4232.596315789473</v>
      </c>
      <c r="Z554" s="68">
        <v>4940.6642105263145</v>
      </c>
    </row>
    <row r="555" spans="1:26" x14ac:dyDescent="0.3">
      <c r="A555" s="61">
        <v>41318</v>
      </c>
      <c r="B555" s="116">
        <v>4.1040000000000001</v>
      </c>
      <c r="C555" s="2">
        <v>0</v>
      </c>
      <c r="D555" s="2">
        <v>35</v>
      </c>
      <c r="E555" s="2">
        <v>325</v>
      </c>
      <c r="F555" s="116">
        <v>46</v>
      </c>
      <c r="G555" s="116">
        <v>24</v>
      </c>
      <c r="I555" s="10">
        <v>41318</v>
      </c>
      <c r="J555" s="27">
        <f t="shared" si="134"/>
        <v>275.43624161073825</v>
      </c>
      <c r="K555" s="11">
        <f t="shared" si="138"/>
        <v>233.09140723889996</v>
      </c>
      <c r="L555" s="11">
        <f t="shared" si="136"/>
        <v>212.79120590090309</v>
      </c>
      <c r="M555" s="27">
        <f t="shared" si="137"/>
        <v>180.55555555555557</v>
      </c>
      <c r="N555" s="27">
        <f t="shared" si="132"/>
        <v>205.72450805008947</v>
      </c>
      <c r="O555" s="27">
        <f t="shared" si="133"/>
        <v>170.21276595744681</v>
      </c>
      <c r="Q555" s="4">
        <v>1.49</v>
      </c>
      <c r="R555" s="4">
        <v>1815.8525729999999</v>
      </c>
      <c r="S555" s="4">
        <v>2338.2847000000002</v>
      </c>
      <c r="T555" s="4">
        <v>180</v>
      </c>
      <c r="U555" s="4">
        <v>22.36</v>
      </c>
      <c r="V555" s="84">
        <v>14.1</v>
      </c>
      <c r="X555" s="61">
        <v>41318</v>
      </c>
      <c r="Y555" s="68">
        <v>4232.596315789473</v>
      </c>
      <c r="Z555" s="68">
        <v>4940.6642105263145</v>
      </c>
    </row>
    <row r="556" spans="1:26" x14ac:dyDescent="0.3">
      <c r="A556" s="61">
        <v>41325</v>
      </c>
      <c r="B556" s="117">
        <v>4.157</v>
      </c>
      <c r="C556" s="2">
        <v>0</v>
      </c>
      <c r="D556" s="2">
        <v>171</v>
      </c>
      <c r="E556" s="2">
        <v>325</v>
      </c>
      <c r="F556" s="117">
        <v>46.5</v>
      </c>
      <c r="G556" s="117">
        <v>24.5</v>
      </c>
      <c r="I556" s="10">
        <v>41325</v>
      </c>
      <c r="J556" s="27">
        <f t="shared" si="134"/>
        <v>278.99328859060404</v>
      </c>
      <c r="K556" s="11">
        <f t="shared" si="138"/>
        <v>233.09140723889996</v>
      </c>
      <c r="L556" s="11">
        <f t="shared" si="136"/>
        <v>218.6074352077963</v>
      </c>
      <c r="M556" s="27">
        <f t="shared" si="137"/>
        <v>180.55555555555557</v>
      </c>
      <c r="N556" s="27">
        <f t="shared" si="132"/>
        <v>207.96064400715562</v>
      </c>
      <c r="O556" s="27">
        <f t="shared" si="133"/>
        <v>173.75886524822698</v>
      </c>
      <c r="Q556" s="4">
        <v>1.49</v>
      </c>
      <c r="R556" s="4">
        <v>1815.8525729999999</v>
      </c>
      <c r="S556" s="4">
        <v>2338.2847000000002</v>
      </c>
      <c r="T556" s="4">
        <v>180</v>
      </c>
      <c r="U556" s="4">
        <v>22.36</v>
      </c>
      <c r="V556" s="84">
        <v>14.1</v>
      </c>
      <c r="X556" s="61">
        <v>41325</v>
      </c>
      <c r="Y556" s="68">
        <v>4232.596315789473</v>
      </c>
      <c r="Z556" s="68">
        <v>4940.6642105263145</v>
      </c>
    </row>
    <row r="557" spans="1:26" x14ac:dyDescent="0.3">
      <c r="A557" s="61">
        <v>41332</v>
      </c>
      <c r="B557" s="118">
        <v>4.1589999999999998</v>
      </c>
      <c r="C557" s="2">
        <v>-27.5</v>
      </c>
      <c r="D557" s="2">
        <v>-64.58</v>
      </c>
      <c r="E557" s="2">
        <v>327</v>
      </c>
      <c r="F557" s="118">
        <v>46.5</v>
      </c>
      <c r="G557" s="118">
        <v>25</v>
      </c>
      <c r="I557" s="10">
        <v>41332</v>
      </c>
      <c r="J557" s="27">
        <f t="shared" si="134"/>
        <v>279.12751677852344</v>
      </c>
      <c r="K557" s="11">
        <f t="shared" si="138"/>
        <v>231.57696711259791</v>
      </c>
      <c r="L557" s="11">
        <f t="shared" si="138"/>
        <v>208.53252858928232</v>
      </c>
      <c r="M557" s="27">
        <f t="shared" si="137"/>
        <v>181.66666666666666</v>
      </c>
      <c r="N557" s="27">
        <f t="shared" si="137"/>
        <v>207.96064400715562</v>
      </c>
      <c r="O557" s="27">
        <f t="shared" si="133"/>
        <v>177.3049645390071</v>
      </c>
      <c r="Q557" s="4">
        <v>1.49</v>
      </c>
      <c r="R557" s="4">
        <v>1815.8525729999999</v>
      </c>
      <c r="S557" s="4">
        <v>2338.2847000000002</v>
      </c>
      <c r="T557" s="4">
        <v>180</v>
      </c>
      <c r="U557" s="4">
        <v>22.36</v>
      </c>
      <c r="V557" s="84">
        <v>14.1</v>
      </c>
      <c r="X557" s="61">
        <v>41332</v>
      </c>
      <c r="Y557" s="68">
        <v>4232.596315789473</v>
      </c>
      <c r="Z557" s="68">
        <v>4940.6642105263145</v>
      </c>
    </row>
    <row r="558" spans="1:26" x14ac:dyDescent="0.3">
      <c r="A558" s="61">
        <v>41339</v>
      </c>
      <c r="B558" s="119">
        <v>4.13</v>
      </c>
      <c r="C558" s="2">
        <v>-15</v>
      </c>
      <c r="D558" s="2">
        <v>-55.5</v>
      </c>
      <c r="E558" s="2">
        <v>325</v>
      </c>
      <c r="F558" s="119">
        <v>47</v>
      </c>
      <c r="G558" s="119">
        <v>25</v>
      </c>
      <c r="I558" s="10">
        <v>41339</v>
      </c>
      <c r="J558" s="27">
        <f t="shared" si="134"/>
        <v>277.18120805369131</v>
      </c>
      <c r="K558" s="11">
        <f t="shared" ref="K558:L573" si="139">(C558+Y558)/R558*100</f>
        <v>231.43496480085091</v>
      </c>
      <c r="L558" s="11">
        <f t="shared" si="139"/>
        <v>208.31237170518517</v>
      </c>
      <c r="M558" s="27">
        <f t="shared" ref="M558:N565" si="140">(1+(E558-T557)/T557)*100</f>
        <v>180.55555555555557</v>
      </c>
      <c r="N558" s="27">
        <f t="shared" si="140"/>
        <v>210.19677996422183</v>
      </c>
      <c r="O558" s="27">
        <f t="shared" si="133"/>
        <v>177.3049645390071</v>
      </c>
      <c r="Q558" s="4">
        <v>1.49</v>
      </c>
      <c r="R558" s="4">
        <v>1815.8525729999999</v>
      </c>
      <c r="S558" s="4">
        <v>2338.2847000000002</v>
      </c>
      <c r="T558" s="4">
        <v>180</v>
      </c>
      <c r="U558" s="4">
        <v>22.36</v>
      </c>
      <c r="V558" s="84">
        <v>14.1</v>
      </c>
      <c r="X558" s="61">
        <v>41339</v>
      </c>
      <c r="Y558" s="68">
        <v>4217.5177631578954</v>
      </c>
      <c r="Z558" s="68">
        <v>4926.4363157894741</v>
      </c>
    </row>
    <row r="559" spans="1:26" x14ac:dyDescent="0.3">
      <c r="A559" s="61">
        <v>41346</v>
      </c>
      <c r="B559" s="120">
        <v>4.0880000000000001</v>
      </c>
      <c r="C559" s="2">
        <v>-6.5</v>
      </c>
      <c r="D559" s="2">
        <v>-31.5</v>
      </c>
      <c r="E559" s="2">
        <v>325</v>
      </c>
      <c r="F559" s="120">
        <v>48</v>
      </c>
      <c r="G559" s="120">
        <v>25</v>
      </c>
      <c r="I559" s="10">
        <v>41346</v>
      </c>
      <c r="J559" s="27">
        <f t="shared" si="134"/>
        <v>274.36241610738256</v>
      </c>
      <c r="K559" s="11">
        <f t="shared" si="139"/>
        <v>231.90306443593425</v>
      </c>
      <c r="L559" s="11">
        <f t="shared" si="139"/>
        <v>206.95510146753281</v>
      </c>
      <c r="M559" s="27">
        <f t="shared" si="140"/>
        <v>180.55555555555557</v>
      </c>
      <c r="N559" s="27">
        <f t="shared" si="140"/>
        <v>214.6690518783542</v>
      </c>
      <c r="O559" s="27">
        <f t="shared" si="133"/>
        <v>177.3049645390071</v>
      </c>
      <c r="Q559" s="4">
        <v>1.49</v>
      </c>
      <c r="R559" s="4">
        <v>1815.8525733157076</v>
      </c>
      <c r="S559" s="4">
        <v>2338.2847000963566</v>
      </c>
      <c r="T559" s="4">
        <v>180</v>
      </c>
      <c r="U559" s="4">
        <v>22.36</v>
      </c>
      <c r="V559" s="4">
        <v>14.1</v>
      </c>
      <c r="X559" s="61">
        <v>41346</v>
      </c>
      <c r="Y559" s="68">
        <v>4217.5177631578954</v>
      </c>
      <c r="Z559" s="68">
        <v>4870.6994736842107</v>
      </c>
    </row>
    <row r="560" spans="1:26" x14ac:dyDescent="0.3">
      <c r="A560" s="61">
        <v>41353</v>
      </c>
      <c r="B560" s="121">
        <v>4.0819999999999999</v>
      </c>
      <c r="C560" s="2">
        <v>-12.5</v>
      </c>
      <c r="D560" s="2">
        <v>3</v>
      </c>
      <c r="E560" s="2">
        <v>307</v>
      </c>
      <c r="F560" s="121">
        <v>48</v>
      </c>
      <c r="G560" s="121">
        <v>25</v>
      </c>
      <c r="I560" s="10">
        <v>41353</v>
      </c>
      <c r="J560" s="27">
        <f t="shared" si="134"/>
        <v>273.95973154362412</v>
      </c>
      <c r="K560" s="11">
        <f t="shared" si="139"/>
        <v>231.57264117596927</v>
      </c>
      <c r="L560" s="11">
        <f t="shared" si="139"/>
        <v>208.43054199876562</v>
      </c>
      <c r="M560" s="27">
        <f t="shared" si="140"/>
        <v>170.55555555555557</v>
      </c>
      <c r="N560" s="27">
        <f t="shared" si="140"/>
        <v>214.6690518783542</v>
      </c>
      <c r="O560" s="27">
        <f t="shared" si="133"/>
        <v>177.3049645390071</v>
      </c>
      <c r="Q560" s="4">
        <v>1.49</v>
      </c>
      <c r="R560" s="4">
        <v>1815.8525729999999</v>
      </c>
      <c r="S560" s="4">
        <v>2338.2847000000002</v>
      </c>
      <c r="T560" s="4">
        <v>180</v>
      </c>
      <c r="U560" s="4">
        <v>22.36</v>
      </c>
      <c r="V560" s="84">
        <v>14.1</v>
      </c>
      <c r="X560" s="61">
        <v>41353</v>
      </c>
      <c r="Y560" s="68">
        <v>4217.5177631578954</v>
      </c>
      <c r="Z560" s="68">
        <v>4870.6994736842107</v>
      </c>
    </row>
    <row r="561" spans="1:26" x14ac:dyDescent="0.3">
      <c r="A561" s="61">
        <v>41360</v>
      </c>
      <c r="B561" s="122">
        <v>4.0060000000000002</v>
      </c>
      <c r="C561" s="2">
        <v>0</v>
      </c>
      <c r="D561" s="2">
        <v>-121</v>
      </c>
      <c r="E561" s="2">
        <v>293</v>
      </c>
      <c r="F561" s="122">
        <v>49</v>
      </c>
      <c r="G561" s="122">
        <v>26</v>
      </c>
      <c r="I561" s="10">
        <v>41360</v>
      </c>
      <c r="J561" s="27">
        <f t="shared" si="134"/>
        <v>268.85906040268458</v>
      </c>
      <c r="K561" s="11">
        <f t="shared" si="139"/>
        <v>232.2610230515611</v>
      </c>
      <c r="L561" s="11">
        <f t="shared" si="139"/>
        <v>203.12750939542181</v>
      </c>
      <c r="M561" s="27">
        <f t="shared" si="140"/>
        <v>162.77777777777777</v>
      </c>
      <c r="N561" s="27">
        <f t="shared" si="140"/>
        <v>219.14132379248659</v>
      </c>
      <c r="O561" s="27">
        <f t="shared" si="133"/>
        <v>184.39716312056737</v>
      </c>
      <c r="Q561" s="4">
        <v>1.49</v>
      </c>
      <c r="R561" s="4">
        <v>1815.8525729999999</v>
      </c>
      <c r="S561" s="4">
        <v>2338.2847000000002</v>
      </c>
      <c r="T561" s="4">
        <v>180</v>
      </c>
      <c r="U561" s="4">
        <v>22.36</v>
      </c>
      <c r="V561" s="84">
        <v>14.1</v>
      </c>
      <c r="X561" s="61">
        <v>41360</v>
      </c>
      <c r="Y561" s="68">
        <v>4217.5177631578954</v>
      </c>
      <c r="Z561" s="68">
        <v>4870.6994736842107</v>
      </c>
    </row>
    <row r="562" spans="1:26" x14ac:dyDescent="0.3">
      <c r="A562" s="61">
        <v>41367</v>
      </c>
      <c r="B562" s="19">
        <v>3.9929999999999999</v>
      </c>
      <c r="C562" s="2">
        <v>-5</v>
      </c>
      <c r="D562" s="2">
        <v>-150</v>
      </c>
      <c r="E562" s="2">
        <v>263</v>
      </c>
      <c r="F562" s="19">
        <v>49</v>
      </c>
      <c r="G562" s="19">
        <v>26</v>
      </c>
      <c r="I562" s="10">
        <v>41367</v>
      </c>
      <c r="J562" s="27">
        <f t="shared" si="134"/>
        <v>267.98657718120802</v>
      </c>
      <c r="K562" s="11">
        <f t="shared" si="139"/>
        <v>233.80971850921762</v>
      </c>
      <c r="L562" s="11">
        <f t="shared" si="139"/>
        <v>204.62975769329853</v>
      </c>
      <c r="M562" s="27">
        <f t="shared" si="140"/>
        <v>146.11111111111111</v>
      </c>
      <c r="N562" s="27">
        <f t="shared" si="140"/>
        <v>219.14132379248659</v>
      </c>
      <c r="O562" s="27">
        <f t="shared" si="133"/>
        <v>184.39716312056737</v>
      </c>
      <c r="Q562" s="4">
        <v>1.49</v>
      </c>
      <c r="R562" s="4">
        <v>1815.8525729999999</v>
      </c>
      <c r="S562" s="4">
        <v>2338.2847000000002</v>
      </c>
      <c r="T562" s="4">
        <v>180</v>
      </c>
      <c r="U562" s="4">
        <v>22.36</v>
      </c>
      <c r="V562" s="84">
        <v>14.1</v>
      </c>
      <c r="X562" s="61">
        <v>41367</v>
      </c>
      <c r="Y562" s="68">
        <v>4250.6397894736847</v>
      </c>
      <c r="Z562" s="68">
        <v>4934.8263157894735</v>
      </c>
    </row>
    <row r="563" spans="1:26" x14ac:dyDescent="0.3">
      <c r="A563" s="61">
        <v>41374</v>
      </c>
      <c r="B563" s="123">
        <v>3.9769999999999999</v>
      </c>
      <c r="C563" s="2">
        <v>-3</v>
      </c>
      <c r="D563" s="2">
        <v>-211</v>
      </c>
      <c r="E563" s="2">
        <v>285</v>
      </c>
      <c r="F563" s="123">
        <v>47.5</v>
      </c>
      <c r="G563" s="123">
        <v>25</v>
      </c>
      <c r="I563" s="10">
        <v>41374</v>
      </c>
      <c r="J563" s="27">
        <f t="shared" si="134"/>
        <v>266.91275167785238</v>
      </c>
      <c r="K563" s="11">
        <f t="shared" si="139"/>
        <v>233.91985960931231</v>
      </c>
      <c r="L563" s="11">
        <f t="shared" si="139"/>
        <v>202.02100778358911</v>
      </c>
      <c r="M563" s="27">
        <f t="shared" si="140"/>
        <v>158.33333333333334</v>
      </c>
      <c r="N563" s="27">
        <f t="shared" si="140"/>
        <v>212.43291592128801</v>
      </c>
      <c r="O563" s="27">
        <f t="shared" si="133"/>
        <v>177.3049645390071</v>
      </c>
      <c r="Q563" s="4">
        <v>1.49</v>
      </c>
      <c r="R563" s="4">
        <v>1815.8525729999999</v>
      </c>
      <c r="S563" s="4">
        <v>2338.2847000000002</v>
      </c>
      <c r="T563" s="4">
        <v>180</v>
      </c>
      <c r="U563" s="4">
        <v>22.36</v>
      </c>
      <c r="V563" s="84">
        <v>14.1</v>
      </c>
      <c r="X563" s="61">
        <v>41374</v>
      </c>
      <c r="Y563" s="68">
        <v>4250.6397894736847</v>
      </c>
      <c r="Z563" s="68">
        <v>4934.8263157894735</v>
      </c>
    </row>
    <row r="564" spans="1:26" x14ac:dyDescent="0.3">
      <c r="A564" s="61">
        <v>41381</v>
      </c>
      <c r="B564" s="124">
        <v>3.9420000000000002</v>
      </c>
      <c r="C564" s="2">
        <v>-3</v>
      </c>
      <c r="D564" s="2">
        <v>-220.5</v>
      </c>
      <c r="E564" s="2">
        <v>273</v>
      </c>
      <c r="F564" s="124">
        <v>47.5</v>
      </c>
      <c r="G564" s="124">
        <v>25</v>
      </c>
      <c r="I564" s="10">
        <v>41381</v>
      </c>
      <c r="J564" s="27">
        <f t="shared" si="134"/>
        <v>264.56375838926175</v>
      </c>
      <c r="K564" s="11">
        <f t="shared" si="139"/>
        <v>233.91985960931231</v>
      </c>
      <c r="L564" s="11">
        <f t="shared" si="139"/>
        <v>201.61472705994581</v>
      </c>
      <c r="M564" s="27">
        <f t="shared" si="140"/>
        <v>151.66666666666666</v>
      </c>
      <c r="N564" s="27">
        <f t="shared" si="140"/>
        <v>212.43291592128801</v>
      </c>
      <c r="O564" s="27">
        <f t="shared" si="133"/>
        <v>177.3049645390071</v>
      </c>
      <c r="Q564" s="4">
        <v>1.49</v>
      </c>
      <c r="R564" s="4">
        <v>1815.8525729999999</v>
      </c>
      <c r="S564" s="4">
        <v>2338.2847000000002</v>
      </c>
      <c r="T564" s="4">
        <v>180</v>
      </c>
      <c r="U564" s="4">
        <v>22.36</v>
      </c>
      <c r="V564" s="84">
        <v>14.1</v>
      </c>
      <c r="X564" s="61">
        <v>41381</v>
      </c>
      <c r="Y564" s="68">
        <v>4250.6397894736847</v>
      </c>
      <c r="Z564" s="68">
        <v>4934.8263157894735</v>
      </c>
    </row>
    <row r="565" spans="1:26" x14ac:dyDescent="0.3">
      <c r="A565" s="61">
        <v>41388</v>
      </c>
      <c r="B565" s="125">
        <v>3.887</v>
      </c>
      <c r="C565" s="2">
        <v>0</v>
      </c>
      <c r="D565" s="2">
        <v>-212.5</v>
      </c>
      <c r="E565" s="2" t="s">
        <v>19</v>
      </c>
      <c r="F565" s="125">
        <v>47.5</v>
      </c>
      <c r="G565" s="125">
        <v>25</v>
      </c>
      <c r="I565" s="10">
        <v>41388</v>
      </c>
      <c r="J565" s="27">
        <f t="shared" si="134"/>
        <v>260.8724832214765</v>
      </c>
      <c r="K565" s="11">
        <f t="shared" si="139"/>
        <v>234.08507125945434</v>
      </c>
      <c r="L565" s="11">
        <f t="shared" si="139"/>
        <v>201.95685819564542</v>
      </c>
      <c r="M565" s="37" t="s">
        <v>19</v>
      </c>
      <c r="N565" s="27">
        <f t="shared" si="140"/>
        <v>212.43291592128801</v>
      </c>
      <c r="O565" s="27">
        <f t="shared" si="133"/>
        <v>177.3049645390071</v>
      </c>
      <c r="Q565" s="4">
        <v>1.49</v>
      </c>
      <c r="R565" s="4">
        <v>1815.8525729999999</v>
      </c>
      <c r="S565" s="4">
        <v>2338.2847000000002</v>
      </c>
      <c r="T565" s="4">
        <v>180</v>
      </c>
      <c r="U565" s="4">
        <v>22.36</v>
      </c>
      <c r="V565" s="84">
        <v>14.1</v>
      </c>
      <c r="X565" s="61">
        <v>41388</v>
      </c>
      <c r="Y565" s="68">
        <v>4250.6397894736847</v>
      </c>
      <c r="Z565" s="68">
        <v>4934.8263157894735</v>
      </c>
    </row>
    <row r="566" spans="1:26" x14ac:dyDescent="0.3">
      <c r="A566" s="61">
        <v>41395</v>
      </c>
      <c r="B566" s="126">
        <v>3.851</v>
      </c>
      <c r="C566" s="2">
        <v>0</v>
      </c>
      <c r="D566" s="2">
        <v>-104.5</v>
      </c>
      <c r="E566" s="2" t="s">
        <v>19</v>
      </c>
      <c r="F566" s="126">
        <v>46.5</v>
      </c>
      <c r="G566" s="126">
        <v>24.5</v>
      </c>
      <c r="I566" s="10">
        <v>41395</v>
      </c>
      <c r="J566" s="27">
        <f t="shared" si="134"/>
        <v>258.45637583892619</v>
      </c>
      <c r="K566" s="11">
        <f t="shared" si="139"/>
        <v>233.09054784847424</v>
      </c>
      <c r="L566" s="11">
        <f t="shared" si="139"/>
        <v>204.09729360473872</v>
      </c>
      <c r="M566" s="37" t="s">
        <v>19</v>
      </c>
      <c r="N566" s="27">
        <f t="shared" ref="N566" si="141">(1+(F566-U565)/U565)*100</f>
        <v>207.96064400715562</v>
      </c>
      <c r="O566" s="27">
        <f t="shared" si="133"/>
        <v>173.75886524822698</v>
      </c>
      <c r="Q566" s="4">
        <v>1.49</v>
      </c>
      <c r="R566" s="4">
        <v>1815.8525729999999</v>
      </c>
      <c r="S566" s="4">
        <v>2338.2847000000002</v>
      </c>
      <c r="T566" s="4">
        <v>180</v>
      </c>
      <c r="U566" s="4">
        <v>22.36</v>
      </c>
      <c r="V566" s="84">
        <v>14.1</v>
      </c>
      <c r="X566" s="61">
        <v>41395</v>
      </c>
      <c r="Y566" s="68">
        <v>4232.5807105263157</v>
      </c>
      <c r="Z566" s="68">
        <v>4876.8757894736846</v>
      </c>
    </row>
    <row r="567" spans="1:26" x14ac:dyDescent="0.3">
      <c r="A567" s="61">
        <v>41402</v>
      </c>
      <c r="B567" s="127">
        <v>3.8450000000000002</v>
      </c>
      <c r="C567" s="2">
        <v>0</v>
      </c>
      <c r="D567" s="2">
        <v>-117.5</v>
      </c>
      <c r="E567" s="2">
        <v>288</v>
      </c>
      <c r="F567" s="127">
        <v>45</v>
      </c>
      <c r="G567" s="127">
        <v>24</v>
      </c>
      <c r="I567" s="10">
        <v>41402</v>
      </c>
      <c r="J567" s="27">
        <f t="shared" si="134"/>
        <v>258.05369127516781</v>
      </c>
      <c r="K567" s="11">
        <f t="shared" si="139"/>
        <v>233.09054784847424</v>
      </c>
      <c r="L567" s="11">
        <f t="shared" si="139"/>
        <v>203.5413305092269</v>
      </c>
      <c r="M567" s="27">
        <f t="shared" ref="M567:O582" si="142">(1+(E567-T566)/T566)*100</f>
        <v>160</v>
      </c>
      <c r="N567" s="27">
        <f t="shared" si="142"/>
        <v>201.25223613595705</v>
      </c>
      <c r="O567" s="27">
        <f t="shared" si="133"/>
        <v>170.21276595744681</v>
      </c>
      <c r="Q567" s="4">
        <v>1.49</v>
      </c>
      <c r="R567" s="4">
        <v>1815.8525729999999</v>
      </c>
      <c r="S567" s="4">
        <v>2338.2847000000002</v>
      </c>
      <c r="T567" s="4">
        <v>180</v>
      </c>
      <c r="U567" s="4">
        <v>22.36</v>
      </c>
      <c r="V567" s="84">
        <v>14.1</v>
      </c>
      <c r="X567" s="61">
        <v>41402</v>
      </c>
      <c r="Y567" s="68">
        <v>4232.5807105263157</v>
      </c>
      <c r="Z567" s="68">
        <v>4876.8757894736846</v>
      </c>
    </row>
    <row r="568" spans="1:26" x14ac:dyDescent="0.3">
      <c r="A568" s="61">
        <v>41409</v>
      </c>
      <c r="B568" s="128">
        <v>3.8660000000000001</v>
      </c>
      <c r="C568" s="2">
        <v>0</v>
      </c>
      <c r="D568" s="2">
        <v>-90.5</v>
      </c>
      <c r="E568" s="2">
        <v>278</v>
      </c>
      <c r="F568" s="128">
        <v>45</v>
      </c>
      <c r="G568" s="128">
        <v>24</v>
      </c>
      <c r="I568" s="10">
        <v>41409</v>
      </c>
      <c r="J568" s="27">
        <f t="shared" si="134"/>
        <v>259.46308724832215</v>
      </c>
      <c r="K568" s="11">
        <f t="shared" si="139"/>
        <v>233.09054784847424</v>
      </c>
      <c r="L568" s="11">
        <f t="shared" si="139"/>
        <v>204.69602309221301</v>
      </c>
      <c r="M568" s="27">
        <f t="shared" si="142"/>
        <v>154.44444444444443</v>
      </c>
      <c r="N568" s="27">
        <f t="shared" si="142"/>
        <v>201.25223613595705</v>
      </c>
      <c r="O568" s="27">
        <f t="shared" si="142"/>
        <v>170.21276595744681</v>
      </c>
      <c r="Q568" s="4">
        <v>1.49</v>
      </c>
      <c r="R568" s="4">
        <v>1815.8525729999999</v>
      </c>
      <c r="S568" s="4">
        <v>2338.2847000000002</v>
      </c>
      <c r="T568" s="4">
        <v>180</v>
      </c>
      <c r="U568" s="4">
        <v>22.36</v>
      </c>
      <c r="V568" s="84">
        <v>14.1</v>
      </c>
      <c r="X568" s="61">
        <v>41409</v>
      </c>
      <c r="Y568" s="68">
        <v>4232.5807105263157</v>
      </c>
      <c r="Z568" s="68">
        <v>4876.8757894736846</v>
      </c>
    </row>
    <row r="569" spans="1:26" x14ac:dyDescent="0.3">
      <c r="A569" s="61">
        <v>41416</v>
      </c>
      <c r="B569" s="129">
        <v>3.89</v>
      </c>
      <c r="C569" s="2">
        <v>8.5</v>
      </c>
      <c r="D569" s="2">
        <v>-90</v>
      </c>
      <c r="E569" s="2">
        <v>273</v>
      </c>
      <c r="F569" s="129">
        <v>44.5</v>
      </c>
      <c r="G569" s="129">
        <v>23.5</v>
      </c>
      <c r="I569" s="10">
        <v>41416</v>
      </c>
      <c r="J569" s="27">
        <f t="shared" si="134"/>
        <v>261.07382550335575</v>
      </c>
      <c r="K569" s="11">
        <f t="shared" si="139"/>
        <v>233.55864752387672</v>
      </c>
      <c r="L569" s="11">
        <f t="shared" si="139"/>
        <v>204.71740628819424</v>
      </c>
      <c r="M569" s="27">
        <f t="shared" si="142"/>
        <v>151.66666666666666</v>
      </c>
      <c r="N569" s="27">
        <f t="shared" si="142"/>
        <v>199.01610017889089</v>
      </c>
      <c r="O569" s="27">
        <f t="shared" si="142"/>
        <v>166.66666666666669</v>
      </c>
      <c r="Q569" s="4">
        <v>1.49</v>
      </c>
      <c r="R569" s="4">
        <v>1815.8525729999999</v>
      </c>
      <c r="S569" s="4">
        <v>2338.2847000000002</v>
      </c>
      <c r="T569" s="4">
        <v>180</v>
      </c>
      <c r="U569" s="4">
        <v>22.36</v>
      </c>
      <c r="V569" s="84">
        <v>14.1</v>
      </c>
      <c r="X569" s="61">
        <v>41416</v>
      </c>
      <c r="Y569" s="68">
        <v>4232.5807105263157</v>
      </c>
      <c r="Z569" s="68">
        <v>4876.8757894736846</v>
      </c>
    </row>
    <row r="570" spans="1:26" x14ac:dyDescent="0.3">
      <c r="A570" s="61">
        <v>41423</v>
      </c>
      <c r="B570" s="130">
        <v>3.88</v>
      </c>
      <c r="C570" s="2">
        <v>8.5</v>
      </c>
      <c r="D570" s="2">
        <v>-75</v>
      </c>
      <c r="E570" s="2">
        <v>310</v>
      </c>
      <c r="F570" s="130">
        <v>45</v>
      </c>
      <c r="G570" s="130">
        <v>23.5</v>
      </c>
      <c r="I570" s="10">
        <v>41423</v>
      </c>
      <c r="J570" s="27">
        <f t="shared" ref="J570:J610" si="143">(1+(B570-Q570)/Q570)*100</f>
        <v>260.40268456375838</v>
      </c>
      <c r="K570" s="11">
        <f t="shared" si="139"/>
        <v>233.55864752387672</v>
      </c>
      <c r="L570" s="11">
        <f t="shared" si="139"/>
        <v>205.35890216763102</v>
      </c>
      <c r="M570" s="27">
        <f t="shared" si="142"/>
        <v>172.22222222222223</v>
      </c>
      <c r="N570" s="27">
        <f t="shared" si="142"/>
        <v>201.25223613595705</v>
      </c>
      <c r="O570" s="27">
        <f t="shared" si="142"/>
        <v>166.66666666666669</v>
      </c>
      <c r="Q570" s="4">
        <v>1.49</v>
      </c>
      <c r="R570" s="4">
        <v>1815.8525729999999</v>
      </c>
      <c r="S570" s="4">
        <v>2338.2847000000002</v>
      </c>
      <c r="T570" s="4">
        <v>180</v>
      </c>
      <c r="U570" s="4">
        <v>22.36</v>
      </c>
      <c r="V570" s="84">
        <v>14.1</v>
      </c>
      <c r="X570" s="61">
        <v>41423</v>
      </c>
      <c r="Y570" s="68">
        <v>4232.5807105263157</v>
      </c>
      <c r="Z570" s="68">
        <v>4876.8757894736846</v>
      </c>
    </row>
    <row r="571" spans="1:26" x14ac:dyDescent="0.3">
      <c r="A571" s="61">
        <v>41430</v>
      </c>
      <c r="B571" s="131">
        <v>3.8690000000000002</v>
      </c>
      <c r="C571" s="2">
        <v>6.5</v>
      </c>
      <c r="D571" s="2">
        <v>-25</v>
      </c>
      <c r="E571" s="2">
        <v>315</v>
      </c>
      <c r="F571" s="131">
        <v>44</v>
      </c>
      <c r="G571" s="131">
        <v>22.5</v>
      </c>
      <c r="I571" s="10">
        <v>41430</v>
      </c>
      <c r="J571" s="27">
        <f t="shared" si="143"/>
        <v>259.66442953020135</v>
      </c>
      <c r="K571" s="11">
        <f t="shared" si="139"/>
        <v>236.34115952626894</v>
      </c>
      <c r="L571" s="11">
        <f t="shared" si="139"/>
        <v>209.60628014832275</v>
      </c>
      <c r="M571" s="27">
        <f t="shared" si="142"/>
        <v>175</v>
      </c>
      <c r="N571" s="27">
        <f t="shared" si="142"/>
        <v>196.77996422182468</v>
      </c>
      <c r="O571" s="27">
        <f t="shared" si="142"/>
        <v>159.57446808510639</v>
      </c>
      <c r="Q571" s="4">
        <v>1.49</v>
      </c>
      <c r="R571" s="4">
        <v>1815.8525729999999</v>
      </c>
      <c r="S571" s="4">
        <v>2338.2847000000002</v>
      </c>
      <c r="T571" s="4">
        <v>180</v>
      </c>
      <c r="U571" s="4">
        <v>22.36</v>
      </c>
      <c r="V571" s="84">
        <v>14.1</v>
      </c>
      <c r="X571" s="61">
        <v>41430</v>
      </c>
      <c r="Y571" s="68">
        <v>4285.107026315789</v>
      </c>
      <c r="Z571" s="68">
        <v>4926.1915789473687</v>
      </c>
    </row>
    <row r="572" spans="1:26" x14ac:dyDescent="0.3">
      <c r="A572" s="61">
        <v>41437</v>
      </c>
      <c r="B572" s="132">
        <v>3.8490000000000002</v>
      </c>
      <c r="C572" s="2">
        <v>0</v>
      </c>
      <c r="D572" s="2">
        <v>-37.5</v>
      </c>
      <c r="E572" s="2">
        <v>293</v>
      </c>
      <c r="F572" s="132">
        <v>44</v>
      </c>
      <c r="G572" s="132">
        <v>22.5</v>
      </c>
      <c r="I572" s="10">
        <v>41437</v>
      </c>
      <c r="J572" s="27">
        <f t="shared" si="143"/>
        <v>258.32214765100667</v>
      </c>
      <c r="K572" s="11">
        <f t="shared" si="139"/>
        <v>235.98320095096116</v>
      </c>
      <c r="L572" s="11">
        <f t="shared" si="139"/>
        <v>209.07170024879213</v>
      </c>
      <c r="M572" s="27">
        <f t="shared" si="142"/>
        <v>162.77777777777777</v>
      </c>
      <c r="N572" s="27">
        <f t="shared" si="142"/>
        <v>196.77996422182468</v>
      </c>
      <c r="O572" s="27">
        <f t="shared" si="142"/>
        <v>159.57446808510639</v>
      </c>
      <c r="Q572" s="4">
        <v>1.49</v>
      </c>
      <c r="R572" s="4">
        <v>1815.8525729999999</v>
      </c>
      <c r="S572" s="4">
        <v>2338.2847000000002</v>
      </c>
      <c r="T572" s="4">
        <v>180</v>
      </c>
      <c r="U572" s="4">
        <v>22.36</v>
      </c>
      <c r="V572" s="84">
        <v>14.1</v>
      </c>
      <c r="X572" s="61">
        <v>41437</v>
      </c>
      <c r="Y572" s="68">
        <v>4285.107026315789</v>
      </c>
      <c r="Z572" s="68">
        <v>4926.1915789473687</v>
      </c>
    </row>
    <row r="573" spans="1:26" x14ac:dyDescent="0.3">
      <c r="A573" s="61">
        <v>41444</v>
      </c>
      <c r="B573" s="133">
        <v>3.8410000000000002</v>
      </c>
      <c r="C573" s="2">
        <v>0</v>
      </c>
      <c r="D573" s="2">
        <v>100</v>
      </c>
      <c r="E573" s="2">
        <v>295</v>
      </c>
      <c r="F573" s="133">
        <v>45.5</v>
      </c>
      <c r="G573" s="133">
        <v>24</v>
      </c>
      <c r="I573" s="10">
        <v>41444</v>
      </c>
      <c r="J573" s="27">
        <f t="shared" si="143"/>
        <v>257.78523489932883</v>
      </c>
      <c r="K573" s="11">
        <f t="shared" si="139"/>
        <v>235.98320095096116</v>
      </c>
      <c r="L573" s="11">
        <f t="shared" si="139"/>
        <v>214.95207914362902</v>
      </c>
      <c r="M573" s="27">
        <f t="shared" si="142"/>
        <v>163.88888888888889</v>
      </c>
      <c r="N573" s="27">
        <f t="shared" si="142"/>
        <v>203.48837209302326</v>
      </c>
      <c r="O573" s="27">
        <f t="shared" si="142"/>
        <v>170.21276595744681</v>
      </c>
      <c r="Q573" s="4">
        <v>1.49</v>
      </c>
      <c r="R573" s="4">
        <v>1815.8525729999999</v>
      </c>
      <c r="S573" s="4">
        <v>2338.2847000000002</v>
      </c>
      <c r="T573" s="4">
        <v>180</v>
      </c>
      <c r="U573" s="4">
        <v>22.36</v>
      </c>
      <c r="V573" s="84">
        <v>14.1</v>
      </c>
      <c r="W573" s="5"/>
      <c r="X573" s="61">
        <v>41444</v>
      </c>
      <c r="Y573" s="68">
        <v>4285.107026315789</v>
      </c>
      <c r="Z573" s="68">
        <v>4926.1915789473687</v>
      </c>
    </row>
    <row r="574" spans="1:26" x14ac:dyDescent="0.3">
      <c r="A574" s="61">
        <v>41451</v>
      </c>
      <c r="B574" s="134">
        <v>3.8380000000000001</v>
      </c>
      <c r="C574" s="2">
        <v>4</v>
      </c>
      <c r="D574" s="2">
        <v>-69</v>
      </c>
      <c r="E574" s="2">
        <v>323</v>
      </c>
      <c r="F574" s="134">
        <v>46</v>
      </c>
      <c r="G574" s="134">
        <v>24</v>
      </c>
      <c r="I574" s="10">
        <v>41451</v>
      </c>
      <c r="J574" s="27">
        <f t="shared" si="143"/>
        <v>257.58389261744964</v>
      </c>
      <c r="K574" s="11">
        <f t="shared" ref="K574:L589" si="144">(C574+Y574)/R574*100</f>
        <v>236.20348315115058</v>
      </c>
      <c r="L574" s="11">
        <f t="shared" si="144"/>
        <v>207.72455890197494</v>
      </c>
      <c r="M574" s="27">
        <f t="shared" si="142"/>
        <v>179.44444444444443</v>
      </c>
      <c r="N574" s="27">
        <f t="shared" si="142"/>
        <v>205.72450805008947</v>
      </c>
      <c r="O574" s="27">
        <f t="shared" si="142"/>
        <v>170.21276595744681</v>
      </c>
      <c r="Q574" s="4">
        <v>1.49</v>
      </c>
      <c r="R574" s="4">
        <v>1815.8525729999999</v>
      </c>
      <c r="S574" s="4">
        <v>2338.2847000000002</v>
      </c>
      <c r="T574" s="4">
        <v>180</v>
      </c>
      <c r="U574" s="4">
        <v>22.36</v>
      </c>
      <c r="V574" s="84">
        <v>14.1</v>
      </c>
      <c r="W574" s="5"/>
      <c r="X574" s="61">
        <v>41451</v>
      </c>
      <c r="Y574" s="68">
        <v>4285.107026315789</v>
      </c>
      <c r="Z574" s="68">
        <v>4926.1915789473687</v>
      </c>
    </row>
    <row r="575" spans="1:26" x14ac:dyDescent="0.3">
      <c r="A575" s="61">
        <v>41458</v>
      </c>
      <c r="B575" s="135">
        <v>3.8170000000000002</v>
      </c>
      <c r="C575" s="2">
        <v>4</v>
      </c>
      <c r="D575" s="2">
        <v>-75</v>
      </c>
      <c r="E575" s="2">
        <v>307</v>
      </c>
      <c r="F575" s="135">
        <v>46</v>
      </c>
      <c r="G575" s="135">
        <v>24</v>
      </c>
      <c r="I575" s="10">
        <v>41458</v>
      </c>
      <c r="J575" s="27">
        <f t="shared" si="143"/>
        <v>256.17449664429535</v>
      </c>
      <c r="K575" s="11">
        <f t="shared" si="144"/>
        <v>234.15483695101429</v>
      </c>
      <c r="L575" s="11">
        <f t="shared" si="144"/>
        <v>204.72548688541244</v>
      </c>
      <c r="M575" s="27">
        <f t="shared" si="142"/>
        <v>170.55555555555557</v>
      </c>
      <c r="N575" s="27">
        <f t="shared" si="142"/>
        <v>205.72450805008947</v>
      </c>
      <c r="O575" s="27">
        <f t="shared" si="142"/>
        <v>170.21276595744681</v>
      </c>
      <c r="Q575" s="4">
        <v>1.49</v>
      </c>
      <c r="R575" s="4">
        <v>1815.8525729999999</v>
      </c>
      <c r="S575" s="4">
        <v>2338.2847000000002</v>
      </c>
      <c r="T575" s="4">
        <v>180</v>
      </c>
      <c r="U575" s="4">
        <v>22.36</v>
      </c>
      <c r="V575" s="84">
        <v>14.1</v>
      </c>
      <c r="W575" s="5"/>
      <c r="X575" s="61">
        <v>41458</v>
      </c>
      <c r="Y575" s="68">
        <v>4247.9066315789478</v>
      </c>
      <c r="Z575" s="68">
        <v>4862.064736842106</v>
      </c>
    </row>
    <row r="576" spans="1:26" x14ac:dyDescent="0.3">
      <c r="A576" s="61">
        <v>41465</v>
      </c>
      <c r="B576" s="136">
        <v>3.8279999999999998</v>
      </c>
      <c r="C576" s="2">
        <v>0.5</v>
      </c>
      <c r="D576" s="2">
        <v>-151</v>
      </c>
      <c r="E576" s="2">
        <v>288</v>
      </c>
      <c r="F576" s="136">
        <v>45.5</v>
      </c>
      <c r="G576" s="136">
        <v>24</v>
      </c>
      <c r="I576" s="10">
        <v>41465</v>
      </c>
      <c r="J576" s="27">
        <f t="shared" si="143"/>
        <v>256.91275167785233</v>
      </c>
      <c r="K576" s="11">
        <f t="shared" si="144"/>
        <v>233.9620900258486</v>
      </c>
      <c r="L576" s="11">
        <f t="shared" si="144"/>
        <v>201.47524109626622</v>
      </c>
      <c r="M576" s="27">
        <f t="shared" si="142"/>
        <v>160</v>
      </c>
      <c r="N576" s="27">
        <f t="shared" si="142"/>
        <v>203.48837209302326</v>
      </c>
      <c r="O576" s="27">
        <f t="shared" si="142"/>
        <v>170.21276595744681</v>
      </c>
      <c r="Q576" s="4">
        <v>1.49</v>
      </c>
      <c r="R576" s="4">
        <v>1815.8525729999999</v>
      </c>
      <c r="S576" s="4">
        <v>2338.2847000000002</v>
      </c>
      <c r="T576" s="4">
        <v>180</v>
      </c>
      <c r="U576" s="4">
        <v>22.36</v>
      </c>
      <c r="V576" s="84">
        <v>14.1</v>
      </c>
      <c r="W576" s="5"/>
      <c r="X576" s="61">
        <v>41465</v>
      </c>
      <c r="Y576" s="68">
        <v>4247.9066315789478</v>
      </c>
      <c r="Z576" s="68">
        <v>4862.064736842106</v>
      </c>
    </row>
    <row r="577" spans="1:33" x14ac:dyDescent="0.3">
      <c r="A577" s="61">
        <v>41472</v>
      </c>
      <c r="B577" s="137">
        <v>3.867</v>
      </c>
      <c r="C577" s="2">
        <v>0.5</v>
      </c>
      <c r="D577" s="2">
        <v>-100</v>
      </c>
      <c r="E577" s="2">
        <v>282</v>
      </c>
      <c r="F577" s="137">
        <v>45.5</v>
      </c>
      <c r="G577" s="137">
        <v>24</v>
      </c>
      <c r="I577" s="10">
        <v>41472</v>
      </c>
      <c r="J577" s="27">
        <f t="shared" si="143"/>
        <v>259.53020134228188</v>
      </c>
      <c r="K577" s="11">
        <f t="shared" si="144"/>
        <v>233.9620900258486</v>
      </c>
      <c r="L577" s="11">
        <f t="shared" si="144"/>
        <v>203.65632708635118</v>
      </c>
      <c r="M577" s="27">
        <f t="shared" si="142"/>
        <v>156.66666666666666</v>
      </c>
      <c r="N577" s="27">
        <f t="shared" si="142"/>
        <v>203.48837209302326</v>
      </c>
      <c r="O577" s="27">
        <f t="shared" si="142"/>
        <v>170.21276595744681</v>
      </c>
      <c r="Q577" s="4">
        <v>1.49</v>
      </c>
      <c r="R577" s="4">
        <v>1815.8525729999999</v>
      </c>
      <c r="S577" s="4">
        <v>2338.2847000000002</v>
      </c>
      <c r="T577" s="4">
        <v>180</v>
      </c>
      <c r="U577" s="4">
        <v>22.36</v>
      </c>
      <c r="V577" s="84">
        <v>14.1</v>
      </c>
      <c r="W577" s="5"/>
      <c r="X577" s="61">
        <v>41472</v>
      </c>
      <c r="Y577" s="68">
        <v>4247.9066315789478</v>
      </c>
      <c r="Z577" s="68">
        <v>4862.064736842106</v>
      </c>
    </row>
    <row r="578" spans="1:33" x14ac:dyDescent="0.3">
      <c r="A578" s="61">
        <v>41479</v>
      </c>
      <c r="B578" s="138">
        <v>3.903</v>
      </c>
      <c r="C578" s="2">
        <v>0</v>
      </c>
      <c r="D578" s="2">
        <v>-146</v>
      </c>
      <c r="E578" s="2">
        <v>265</v>
      </c>
      <c r="F578" s="138">
        <v>46.5</v>
      </c>
      <c r="G578" s="138">
        <v>24.75</v>
      </c>
      <c r="I578" s="10">
        <v>41479</v>
      </c>
      <c r="J578" s="27">
        <f t="shared" si="143"/>
        <v>261.94630872483219</v>
      </c>
      <c r="K578" s="11">
        <f t="shared" si="144"/>
        <v>233.93455475082493</v>
      </c>
      <c r="L578" s="11">
        <f t="shared" si="144"/>
        <v>201.68907305607848</v>
      </c>
      <c r="M578" s="27">
        <f t="shared" si="142"/>
        <v>147.22222222222223</v>
      </c>
      <c r="N578" s="27">
        <f t="shared" si="142"/>
        <v>207.96064400715562</v>
      </c>
      <c r="O578" s="27">
        <f t="shared" si="142"/>
        <v>175.531914893617</v>
      </c>
      <c r="Q578" s="4">
        <v>1.49</v>
      </c>
      <c r="R578" s="4">
        <v>1815.8525729999999</v>
      </c>
      <c r="S578" s="4">
        <v>2338.2847000000002</v>
      </c>
      <c r="T578" s="4">
        <v>180</v>
      </c>
      <c r="U578" s="4">
        <v>22.36</v>
      </c>
      <c r="V578" s="84">
        <v>14.1</v>
      </c>
      <c r="W578" s="5"/>
      <c r="X578" s="61">
        <v>41479</v>
      </c>
      <c r="Y578" s="68">
        <v>4247.9066315789478</v>
      </c>
      <c r="Z578" s="68">
        <v>4862.064736842106</v>
      </c>
      <c r="AC578" s="10"/>
      <c r="AD578" s="11"/>
      <c r="AE578" s="11"/>
      <c r="AF578" s="11"/>
      <c r="AG578" s="11"/>
    </row>
    <row r="579" spans="1:33" x14ac:dyDescent="0.3">
      <c r="A579" s="61">
        <v>41486</v>
      </c>
      <c r="B579" s="139">
        <v>3.915</v>
      </c>
      <c r="C579" s="2">
        <v>4</v>
      </c>
      <c r="D579" s="2">
        <v>-138</v>
      </c>
      <c r="E579" s="2">
        <v>258</v>
      </c>
      <c r="F579" s="139">
        <v>46</v>
      </c>
      <c r="G579" s="139">
        <v>24</v>
      </c>
      <c r="I579" s="10">
        <v>41486</v>
      </c>
      <c r="J579" s="27">
        <f t="shared" si="143"/>
        <v>262.75167785234902</v>
      </c>
      <c r="K579" s="11">
        <f t="shared" si="144"/>
        <v>234.15483695101429</v>
      </c>
      <c r="L579" s="11">
        <f t="shared" si="144"/>
        <v>202.0312041917781</v>
      </c>
      <c r="M579" s="27">
        <f t="shared" si="142"/>
        <v>143.33333333333334</v>
      </c>
      <c r="N579" s="27">
        <f t="shared" si="142"/>
        <v>205.72450805008947</v>
      </c>
      <c r="O579" s="27">
        <f t="shared" si="142"/>
        <v>170.21276595744681</v>
      </c>
      <c r="Q579" s="4">
        <v>1.49</v>
      </c>
      <c r="R579" s="4">
        <v>1815.8525729999999</v>
      </c>
      <c r="S579" s="4">
        <v>2338.2847000000002</v>
      </c>
      <c r="T579" s="4">
        <v>180</v>
      </c>
      <c r="U579" s="4">
        <v>22.36</v>
      </c>
      <c r="V579" s="84">
        <v>14.1</v>
      </c>
      <c r="W579" s="5"/>
      <c r="X579" s="61">
        <v>41486</v>
      </c>
      <c r="Y579" s="68">
        <v>4247.9066315789478</v>
      </c>
      <c r="Z579" s="68">
        <v>4862.064736842106</v>
      </c>
    </row>
    <row r="580" spans="1:33" x14ac:dyDescent="0.3">
      <c r="A580" s="61">
        <v>41493</v>
      </c>
      <c r="B580" s="140">
        <v>3.9089999999999998</v>
      </c>
      <c r="C580" s="2">
        <v>0</v>
      </c>
      <c r="D580" s="2">
        <v>-62</v>
      </c>
      <c r="E580" s="2">
        <v>285</v>
      </c>
      <c r="F580" s="140">
        <v>46.5</v>
      </c>
      <c r="G580" s="140">
        <v>24.75</v>
      </c>
      <c r="I580" s="10">
        <v>41493</v>
      </c>
      <c r="J580" s="27">
        <f t="shared" si="143"/>
        <v>262.34899328859058</v>
      </c>
      <c r="K580" s="11">
        <f t="shared" si="144"/>
        <v>234.28709032617806</v>
      </c>
      <c r="L580" s="11">
        <f t="shared" si="144"/>
        <v>205.40121838704647</v>
      </c>
      <c r="M580" s="27">
        <f t="shared" si="142"/>
        <v>158.33333333333334</v>
      </c>
      <c r="N580" s="27">
        <f t="shared" si="142"/>
        <v>207.96064400715562</v>
      </c>
      <c r="O580" s="27">
        <f t="shared" si="142"/>
        <v>175.531914893617</v>
      </c>
      <c r="Q580" s="4">
        <v>1.49</v>
      </c>
      <c r="R580" s="4">
        <v>1815.8525729999999</v>
      </c>
      <c r="S580" s="4">
        <v>2338.2847000000002</v>
      </c>
      <c r="T580" s="4">
        <v>180</v>
      </c>
      <c r="U580" s="4">
        <v>22.36</v>
      </c>
      <c r="V580" s="84">
        <v>14.1</v>
      </c>
      <c r="X580" s="61">
        <v>41493</v>
      </c>
      <c r="Y580" s="68">
        <v>4254.3081578947376</v>
      </c>
      <c r="Z580" s="68">
        <v>4864.8652631578952</v>
      </c>
    </row>
    <row r="581" spans="1:33" x14ac:dyDescent="0.3">
      <c r="A581" s="61">
        <v>41500</v>
      </c>
      <c r="B581" s="141">
        <v>3.8959999999999999</v>
      </c>
      <c r="C581" s="2">
        <v>0</v>
      </c>
      <c r="D581" s="2">
        <v>-60.5</v>
      </c>
      <c r="E581" s="2">
        <v>352</v>
      </c>
      <c r="F581" s="141">
        <v>45.5</v>
      </c>
      <c r="G581" s="141">
        <v>24</v>
      </c>
      <c r="I581" s="10">
        <v>41500</v>
      </c>
      <c r="J581" s="27">
        <f t="shared" si="143"/>
        <v>261.47651006711408</v>
      </c>
      <c r="K581" s="11">
        <f t="shared" si="144"/>
        <v>234.28709032617806</v>
      </c>
      <c r="L581" s="11">
        <f t="shared" si="144"/>
        <v>205.46536797499019</v>
      </c>
      <c r="M581" s="27">
        <f t="shared" si="142"/>
        <v>195.55555555555557</v>
      </c>
      <c r="N581" s="27">
        <f t="shared" si="142"/>
        <v>203.48837209302326</v>
      </c>
      <c r="O581" s="27">
        <f t="shared" si="142"/>
        <v>170.21276595744681</v>
      </c>
      <c r="Q581" s="4">
        <v>1.49</v>
      </c>
      <c r="R581" s="4">
        <v>1815.8525729999999</v>
      </c>
      <c r="S581" s="4">
        <v>2338.2847000000002</v>
      </c>
      <c r="T581" s="4">
        <v>180</v>
      </c>
      <c r="U581" s="4">
        <v>22.36</v>
      </c>
      <c r="V581" s="84">
        <v>14.1</v>
      </c>
      <c r="X581" s="61">
        <v>41500</v>
      </c>
      <c r="Y581" s="68">
        <v>4254.3081578947376</v>
      </c>
      <c r="Z581" s="68">
        <v>4864.8652631578952</v>
      </c>
    </row>
    <row r="582" spans="1:33" x14ac:dyDescent="0.3">
      <c r="A582" s="61">
        <v>41507</v>
      </c>
      <c r="B582" s="142">
        <v>3.9</v>
      </c>
      <c r="C582" s="2">
        <v>0</v>
      </c>
      <c r="D582" s="2">
        <v>-51</v>
      </c>
      <c r="E582" s="2">
        <v>355</v>
      </c>
      <c r="F582" s="142">
        <v>45</v>
      </c>
      <c r="G582" s="142">
        <v>24</v>
      </c>
      <c r="I582" s="10">
        <v>41507</v>
      </c>
      <c r="J582" s="27">
        <f t="shared" si="143"/>
        <v>261.744966442953</v>
      </c>
      <c r="K582" s="11">
        <f t="shared" si="144"/>
        <v>234.28709032617806</v>
      </c>
      <c r="L582" s="11">
        <f t="shared" si="144"/>
        <v>205.87164869863344</v>
      </c>
      <c r="M582" s="27">
        <f t="shared" si="142"/>
        <v>197.22222222222223</v>
      </c>
      <c r="N582" s="27">
        <f t="shared" si="142"/>
        <v>201.25223613595705</v>
      </c>
      <c r="O582" s="27">
        <f t="shared" si="142"/>
        <v>170.21276595744681</v>
      </c>
      <c r="Q582" s="4">
        <v>1.49</v>
      </c>
      <c r="R582" s="4">
        <v>1815.8525729999999</v>
      </c>
      <c r="S582" s="4">
        <v>2338.2847000000002</v>
      </c>
      <c r="T582" s="4">
        <v>180</v>
      </c>
      <c r="U582" s="4">
        <v>22.36</v>
      </c>
      <c r="V582" s="84">
        <v>14.1</v>
      </c>
      <c r="X582" s="61">
        <v>41507</v>
      </c>
      <c r="Y582" s="68">
        <v>4254.3081578947376</v>
      </c>
      <c r="Z582" s="68">
        <v>4864.8652631578952</v>
      </c>
    </row>
    <row r="583" spans="1:33" x14ac:dyDescent="0.3">
      <c r="A583" s="61">
        <v>41514</v>
      </c>
      <c r="B583" s="143">
        <v>3.9129999999999998</v>
      </c>
      <c r="C583" s="2">
        <v>56</v>
      </c>
      <c r="D583" s="2">
        <v>44</v>
      </c>
      <c r="E583" s="2">
        <v>392</v>
      </c>
      <c r="F583" s="143">
        <v>45</v>
      </c>
      <c r="G583" s="143">
        <v>24.5</v>
      </c>
      <c r="I583" s="10">
        <v>41514</v>
      </c>
      <c r="J583" s="27">
        <f t="shared" si="143"/>
        <v>262.6174496644295</v>
      </c>
      <c r="K583" s="11">
        <f t="shared" si="144"/>
        <v>237.37104112882946</v>
      </c>
      <c r="L583" s="11">
        <f t="shared" si="144"/>
        <v>209.93445593506621</v>
      </c>
      <c r="M583" s="27">
        <f t="shared" ref="M583:O598" si="145">(1+(E583-T582)/T582)*100</f>
        <v>217.7777777777778</v>
      </c>
      <c r="N583" s="27">
        <f t="shared" si="145"/>
        <v>201.25223613595705</v>
      </c>
      <c r="O583" s="27">
        <f t="shared" si="145"/>
        <v>173.75886524822698</v>
      </c>
      <c r="Q583" s="4">
        <v>1.49</v>
      </c>
      <c r="R583" s="4">
        <v>1815.8525729999999</v>
      </c>
      <c r="S583" s="4">
        <v>2338.2847000000002</v>
      </c>
      <c r="T583" s="4">
        <v>180</v>
      </c>
      <c r="U583" s="4">
        <v>22.36</v>
      </c>
      <c r="V583" s="84">
        <v>14.1</v>
      </c>
      <c r="X583" s="61">
        <v>41514</v>
      </c>
      <c r="Y583" s="68">
        <v>4254.3081578947376</v>
      </c>
      <c r="Z583" s="68">
        <v>4864.8652631578952</v>
      </c>
      <c r="AC583" s="10"/>
      <c r="AD583" s="11"/>
      <c r="AE583" s="11"/>
      <c r="AF583" s="11"/>
      <c r="AG583" s="11"/>
    </row>
    <row r="584" spans="1:33" x14ac:dyDescent="0.3">
      <c r="A584" s="61">
        <v>41521</v>
      </c>
      <c r="B584" s="144">
        <v>3.9809999999999999</v>
      </c>
      <c r="C584" s="2">
        <v>171</v>
      </c>
      <c r="D584" s="2">
        <v>191.5</v>
      </c>
      <c r="E584" s="2">
        <v>425</v>
      </c>
      <c r="F584" s="144">
        <v>45.5</v>
      </c>
      <c r="G584" s="144">
        <v>25</v>
      </c>
      <c r="I584" s="10">
        <v>41521</v>
      </c>
      <c r="J584" s="27">
        <f t="shared" si="143"/>
        <v>267.18120805369125</v>
      </c>
      <c r="K584" s="11">
        <f t="shared" si="144"/>
        <v>244.17188015962643</v>
      </c>
      <c r="L584" s="11">
        <f t="shared" si="144"/>
        <v>216.56840116490881</v>
      </c>
      <c r="M584" s="27">
        <f t="shared" si="145"/>
        <v>236.11111111111111</v>
      </c>
      <c r="N584" s="27">
        <f t="shared" si="145"/>
        <v>203.48837209302326</v>
      </c>
      <c r="O584" s="27">
        <f t="shared" si="145"/>
        <v>177.3049645390071</v>
      </c>
      <c r="Q584" s="4">
        <v>1.49</v>
      </c>
      <c r="R584" s="4">
        <v>1815.8525729999999</v>
      </c>
      <c r="S584" s="4">
        <v>2338.2847000000002</v>
      </c>
      <c r="T584" s="4">
        <v>180</v>
      </c>
      <c r="U584" s="4">
        <v>22.36</v>
      </c>
      <c r="V584" s="84">
        <v>14.1</v>
      </c>
      <c r="X584" s="61">
        <v>41521</v>
      </c>
      <c r="Y584" s="68">
        <v>4262.8013684210528</v>
      </c>
      <c r="Z584" s="68">
        <v>4872.4857894736851</v>
      </c>
    </row>
    <row r="585" spans="1:33" x14ac:dyDescent="0.3">
      <c r="A585" s="61">
        <v>41528</v>
      </c>
      <c r="B585" s="145">
        <v>3.9809999999999999</v>
      </c>
      <c r="C585" s="2">
        <v>37.5</v>
      </c>
      <c r="D585" s="2">
        <v>200</v>
      </c>
      <c r="E585" s="2">
        <v>453</v>
      </c>
      <c r="F585" s="145">
        <v>47.5</v>
      </c>
      <c r="G585" s="145">
        <v>27</v>
      </c>
      <c r="I585" s="10">
        <v>41528</v>
      </c>
      <c r="J585" s="27">
        <f t="shared" si="143"/>
        <v>267.18120805369125</v>
      </c>
      <c r="K585" s="11">
        <f t="shared" si="144"/>
        <v>236.81996172830563</v>
      </c>
      <c r="L585" s="11">
        <f t="shared" si="144"/>
        <v>216.93191549658962</v>
      </c>
      <c r="M585" s="27">
        <f t="shared" si="145"/>
        <v>251.66666666666666</v>
      </c>
      <c r="N585" s="27">
        <f t="shared" si="145"/>
        <v>212.43291592128801</v>
      </c>
      <c r="O585" s="27">
        <f t="shared" si="145"/>
        <v>191.48936170212767</v>
      </c>
      <c r="Q585" s="4">
        <v>1.49</v>
      </c>
      <c r="R585" s="4">
        <v>1815.8525729999999</v>
      </c>
      <c r="S585" s="4">
        <v>2338.2847000000002</v>
      </c>
      <c r="T585" s="4">
        <v>180</v>
      </c>
      <c r="U585" s="4">
        <v>22.36</v>
      </c>
      <c r="V585" s="84">
        <v>14.1</v>
      </c>
      <c r="X585" s="61">
        <v>41528</v>
      </c>
      <c r="Y585" s="68">
        <v>4262.8013684210528</v>
      </c>
      <c r="Z585" s="68">
        <v>4872.4857894736851</v>
      </c>
    </row>
    <row r="586" spans="1:33" x14ac:dyDescent="0.3">
      <c r="A586" s="61">
        <v>41535</v>
      </c>
      <c r="B586" s="146">
        <v>3.9740000000000002</v>
      </c>
      <c r="C586" s="2">
        <v>306.5</v>
      </c>
      <c r="D586" s="2">
        <v>150</v>
      </c>
      <c r="E586" s="2">
        <v>550</v>
      </c>
      <c r="F586" s="146">
        <v>50.5</v>
      </c>
      <c r="G586" s="146">
        <v>31</v>
      </c>
      <c r="I586" s="10">
        <v>41535</v>
      </c>
      <c r="J586" s="27">
        <f t="shared" si="143"/>
        <v>266.71140939597313</v>
      </c>
      <c r="K586" s="11">
        <f t="shared" si="144"/>
        <v>251.63393969104192</v>
      </c>
      <c r="L586" s="11">
        <f t="shared" si="144"/>
        <v>214.79359589846717</v>
      </c>
      <c r="M586" s="27">
        <f t="shared" si="145"/>
        <v>305.55555555555554</v>
      </c>
      <c r="N586" s="27">
        <f t="shared" si="145"/>
        <v>225.84973166368516</v>
      </c>
      <c r="O586" s="27">
        <f t="shared" si="145"/>
        <v>219.85815602836877</v>
      </c>
      <c r="Q586" s="4">
        <v>1.49</v>
      </c>
      <c r="R586" s="4">
        <v>1815.8525729999999</v>
      </c>
      <c r="S586" s="4">
        <v>2338.2847000000002</v>
      </c>
      <c r="T586" s="4">
        <v>180</v>
      </c>
      <c r="U586" s="4">
        <v>22.36</v>
      </c>
      <c r="V586" s="84">
        <v>14.1</v>
      </c>
      <c r="X586" s="61">
        <v>41535</v>
      </c>
      <c r="Y586" s="68">
        <v>4262.8013684210528</v>
      </c>
      <c r="Z586" s="68">
        <v>4872.4857894736851</v>
      </c>
    </row>
    <row r="587" spans="1:33" x14ac:dyDescent="0.3">
      <c r="A587" s="61">
        <v>41542</v>
      </c>
      <c r="B587" s="147">
        <v>3.956</v>
      </c>
      <c r="C587" s="2">
        <v>100</v>
      </c>
      <c r="D587" s="2">
        <v>612.5</v>
      </c>
      <c r="E587" s="2">
        <v>558</v>
      </c>
      <c r="F587" s="147">
        <v>52</v>
      </c>
      <c r="G587" s="147">
        <v>32</v>
      </c>
      <c r="I587" s="10">
        <v>41542</v>
      </c>
      <c r="J587" s="27">
        <f t="shared" si="143"/>
        <v>265.50335570469798</v>
      </c>
      <c r="K587" s="11">
        <f t="shared" si="144"/>
        <v>240.26187110626483</v>
      </c>
      <c r="L587" s="11">
        <f t="shared" si="144"/>
        <v>234.57305218110031</v>
      </c>
      <c r="M587" s="27">
        <f t="shared" si="145"/>
        <v>310</v>
      </c>
      <c r="N587" s="27">
        <f t="shared" si="145"/>
        <v>232.55813953488374</v>
      </c>
      <c r="O587" s="27">
        <f t="shared" si="145"/>
        <v>226.95035460992904</v>
      </c>
      <c r="Q587" s="4">
        <v>1.49</v>
      </c>
      <c r="R587" s="4">
        <v>1815.8525729999999</v>
      </c>
      <c r="S587" s="4">
        <v>2338.2847000000002</v>
      </c>
      <c r="T587" s="4">
        <v>180</v>
      </c>
      <c r="U587" s="4">
        <v>22.36</v>
      </c>
      <c r="V587" s="84">
        <v>14.1</v>
      </c>
      <c r="X587" s="61">
        <v>41542</v>
      </c>
      <c r="Y587" s="68">
        <v>4262.8013684210528</v>
      </c>
      <c r="Z587" s="68">
        <v>4872.4857894736851</v>
      </c>
    </row>
    <row r="588" spans="1:33" x14ac:dyDescent="0.3">
      <c r="A588" s="61">
        <v>41549</v>
      </c>
      <c r="B588" s="148">
        <v>3.919</v>
      </c>
      <c r="C588" s="2" t="s">
        <v>19</v>
      </c>
      <c r="D588" s="2">
        <v>1012.5</v>
      </c>
      <c r="E588" s="2">
        <v>595</v>
      </c>
      <c r="F588" s="148">
        <v>58</v>
      </c>
      <c r="G588" s="148">
        <v>35</v>
      </c>
      <c r="I588" s="10">
        <v>41549</v>
      </c>
      <c r="J588" s="27">
        <f t="shared" si="143"/>
        <v>263.02013422818794</v>
      </c>
      <c r="K588" s="11">
        <f t="shared" si="144"/>
        <v>239.1216542074595</v>
      </c>
      <c r="L588" s="11">
        <f t="shared" si="144"/>
        <v>257.7210595982242</v>
      </c>
      <c r="M588" s="27">
        <f t="shared" si="145"/>
        <v>330.55555555555554</v>
      </c>
      <c r="N588" s="27">
        <f t="shared" si="145"/>
        <v>259.391771019678</v>
      </c>
      <c r="O588" s="27">
        <f t="shared" si="145"/>
        <v>248.22695035460995</v>
      </c>
      <c r="Q588" s="4">
        <v>1.49</v>
      </c>
      <c r="R588" s="4">
        <v>1815.8525729999999</v>
      </c>
      <c r="S588" s="4">
        <v>2338.2847000000002</v>
      </c>
      <c r="T588" s="4">
        <v>180</v>
      </c>
      <c r="U588" s="4">
        <v>22.36</v>
      </c>
      <c r="V588" s="84">
        <v>14.1</v>
      </c>
      <c r="X588" s="61">
        <v>41549</v>
      </c>
      <c r="Y588" s="68">
        <v>4342.0967105263162</v>
      </c>
      <c r="Z588" s="68">
        <v>5013.7521052631582</v>
      </c>
    </row>
    <row r="589" spans="1:33" x14ac:dyDescent="0.3">
      <c r="A589" s="61">
        <v>41556</v>
      </c>
      <c r="B589" s="148">
        <v>3.8969999999999998</v>
      </c>
      <c r="C589" s="2">
        <v>425</v>
      </c>
      <c r="D589" s="2">
        <v>1012.5</v>
      </c>
      <c r="E589" s="2">
        <v>550</v>
      </c>
      <c r="F589" s="148">
        <v>56.5</v>
      </c>
      <c r="G589" s="148">
        <v>34</v>
      </c>
      <c r="I589" s="10">
        <v>41556</v>
      </c>
      <c r="J589" s="27">
        <f t="shared" si="143"/>
        <v>261.54362416107386</v>
      </c>
      <c r="K589" s="11">
        <f>(C589+Y589)/R589*100</f>
        <v>262.52663797758191</v>
      </c>
      <c r="L589" s="11">
        <f t="shared" si="144"/>
        <v>257.7210595982242</v>
      </c>
      <c r="M589" s="27">
        <f t="shared" si="145"/>
        <v>305.55555555555554</v>
      </c>
      <c r="N589" s="27">
        <f t="shared" si="145"/>
        <v>252.6833631484794</v>
      </c>
      <c r="O589" s="27">
        <f t="shared" si="145"/>
        <v>241.13475177304963</v>
      </c>
      <c r="Q589" s="4">
        <v>1.49</v>
      </c>
      <c r="R589" s="4">
        <v>1815.8525729999999</v>
      </c>
      <c r="S589" s="4">
        <v>2338.2847000000002</v>
      </c>
      <c r="T589" s="4">
        <v>180</v>
      </c>
      <c r="U589" s="4">
        <v>22.36</v>
      </c>
      <c r="V589" s="84">
        <v>14.1</v>
      </c>
      <c r="X589" s="61">
        <v>41556</v>
      </c>
      <c r="Y589" s="68">
        <v>4342.0967105263162</v>
      </c>
      <c r="Z589" s="68">
        <v>5013.7521052631582</v>
      </c>
    </row>
    <row r="590" spans="1:33" x14ac:dyDescent="0.3">
      <c r="A590" s="61">
        <v>41563</v>
      </c>
      <c r="B590" s="148">
        <v>3.8860000000000001</v>
      </c>
      <c r="C590" s="2">
        <v>308.5</v>
      </c>
      <c r="D590" s="2">
        <v>1033.5</v>
      </c>
      <c r="E590" s="2">
        <v>625</v>
      </c>
      <c r="F590" s="148">
        <v>57.5</v>
      </c>
      <c r="G590" s="148">
        <v>33</v>
      </c>
      <c r="I590" s="10">
        <v>41563</v>
      </c>
      <c r="J590" s="27">
        <f t="shared" si="143"/>
        <v>260.80536912751677</v>
      </c>
      <c r="K590" s="11">
        <f t="shared" ref="K590:L605" si="146">(C590+Y590)/R590*100</f>
        <v>256.11091889706603</v>
      </c>
      <c r="L590" s="11">
        <f t="shared" si="146"/>
        <v>258.61915382943567</v>
      </c>
      <c r="M590" s="27">
        <f t="shared" si="145"/>
        <v>347.22222222222223</v>
      </c>
      <c r="N590" s="27">
        <f t="shared" si="145"/>
        <v>257.15563506261179</v>
      </c>
      <c r="O590" s="27">
        <f t="shared" si="145"/>
        <v>234.04255319148933</v>
      </c>
      <c r="Q590" s="4">
        <v>1.49</v>
      </c>
      <c r="R590" s="4">
        <v>1815.8525729999999</v>
      </c>
      <c r="S590" s="4">
        <v>2338.2847000000002</v>
      </c>
      <c r="T590" s="4">
        <v>180</v>
      </c>
      <c r="U590" s="4">
        <v>22.36</v>
      </c>
      <c r="V590" s="84">
        <v>14.1</v>
      </c>
      <c r="X590" s="61">
        <v>41563</v>
      </c>
      <c r="Y590" s="68">
        <v>4342.0967105263162</v>
      </c>
      <c r="Z590" s="68">
        <v>5013.7521052631582</v>
      </c>
    </row>
    <row r="591" spans="1:33" x14ac:dyDescent="0.3">
      <c r="A591" s="61">
        <v>41570</v>
      </c>
      <c r="B591" s="148">
        <v>3.8860000000000001</v>
      </c>
      <c r="C591" s="2">
        <v>250</v>
      </c>
      <c r="D591" s="2">
        <v>875</v>
      </c>
      <c r="E591" s="2">
        <v>641</v>
      </c>
      <c r="F591" s="148">
        <v>55.5</v>
      </c>
      <c r="G591" s="148">
        <v>32</v>
      </c>
      <c r="I591" s="10">
        <v>41570</v>
      </c>
      <c r="J591" s="27">
        <f t="shared" si="143"/>
        <v>260.80536912751677</v>
      </c>
      <c r="K591" s="11">
        <f t="shared" si="146"/>
        <v>252.88929171929624</v>
      </c>
      <c r="L591" s="11">
        <f t="shared" si="146"/>
        <v>251.84068070338731</v>
      </c>
      <c r="M591" s="27">
        <f t="shared" si="145"/>
        <v>356.11111111111109</v>
      </c>
      <c r="N591" s="27">
        <f t="shared" si="145"/>
        <v>248.21109123434707</v>
      </c>
      <c r="O591" s="27">
        <f t="shared" si="145"/>
        <v>226.95035460992904</v>
      </c>
      <c r="Q591" s="4">
        <v>1.49</v>
      </c>
      <c r="R591" s="4">
        <v>1815.8525729999999</v>
      </c>
      <c r="S591" s="4">
        <v>2338.2847000000002</v>
      </c>
      <c r="T591" s="4">
        <v>180</v>
      </c>
      <c r="U591" s="4">
        <v>22.36</v>
      </c>
      <c r="V591" s="84">
        <v>14.1</v>
      </c>
      <c r="X591" s="61">
        <v>41570</v>
      </c>
      <c r="Y591" s="68">
        <v>4342.0967105263162</v>
      </c>
      <c r="Z591" s="68">
        <v>5013.7521052631582</v>
      </c>
    </row>
    <row r="592" spans="1:33" x14ac:dyDescent="0.3">
      <c r="A592" s="61">
        <v>41577</v>
      </c>
      <c r="B592" s="149">
        <v>3.87</v>
      </c>
      <c r="C592" s="2">
        <v>416.5</v>
      </c>
      <c r="D592" s="2">
        <v>1100</v>
      </c>
      <c r="E592" s="2">
        <v>618</v>
      </c>
      <c r="F592" s="149">
        <v>55</v>
      </c>
      <c r="G592" s="149">
        <v>31</v>
      </c>
      <c r="I592" s="10">
        <v>41577</v>
      </c>
      <c r="J592" s="27">
        <f t="shared" si="143"/>
        <v>259.73154362416108</v>
      </c>
      <c r="K592" s="11">
        <f t="shared" si="146"/>
        <v>262.0585383021795</v>
      </c>
      <c r="L592" s="11">
        <f t="shared" si="146"/>
        <v>261.46311889493859</v>
      </c>
      <c r="M592" s="27">
        <f t="shared" si="145"/>
        <v>343.33333333333331</v>
      </c>
      <c r="N592" s="27">
        <f t="shared" si="145"/>
        <v>245.97495527728083</v>
      </c>
      <c r="O592" s="27">
        <f t="shared" si="145"/>
        <v>219.85815602836877</v>
      </c>
      <c r="Q592" s="4">
        <v>1.49</v>
      </c>
      <c r="R592" s="4">
        <v>1815.8525729999999</v>
      </c>
      <c r="S592" s="4">
        <v>2338.2847000000002</v>
      </c>
      <c r="T592" s="4">
        <v>180</v>
      </c>
      <c r="U592" s="4">
        <v>22.36</v>
      </c>
      <c r="V592" s="84">
        <v>14.1</v>
      </c>
      <c r="X592" s="61">
        <v>41577</v>
      </c>
      <c r="Y592" s="68">
        <v>4342.0967105263162</v>
      </c>
      <c r="Z592" s="68">
        <v>5013.7521052631582</v>
      </c>
    </row>
    <row r="593" spans="1:26" x14ac:dyDescent="0.3">
      <c r="A593" s="61">
        <v>41584</v>
      </c>
      <c r="B593" s="150">
        <v>3.8570000000000002</v>
      </c>
      <c r="C593" s="2">
        <v>908.5</v>
      </c>
      <c r="D593" s="2">
        <v>1696</v>
      </c>
      <c r="E593" s="2">
        <v>583</v>
      </c>
      <c r="F593" s="150">
        <v>54.5</v>
      </c>
      <c r="G593" s="150">
        <v>30.5</v>
      </c>
      <c r="H593" s="5"/>
      <c r="I593" s="10">
        <v>41584</v>
      </c>
      <c r="J593" s="27">
        <f t="shared" si="143"/>
        <v>258.85906040268452</v>
      </c>
      <c r="K593" s="11">
        <f t="shared" si="146"/>
        <v>289.53437336242678</v>
      </c>
      <c r="L593" s="11">
        <f t="shared" si="146"/>
        <v>287.56036422767505</v>
      </c>
      <c r="M593" s="27">
        <f t="shared" si="145"/>
        <v>323.88888888888891</v>
      </c>
      <c r="N593" s="27">
        <f t="shared" si="145"/>
        <v>243.7388193202147</v>
      </c>
      <c r="O593" s="27">
        <f t="shared" si="145"/>
        <v>216.31205673758865</v>
      </c>
      <c r="Q593" s="4">
        <v>1.49</v>
      </c>
      <c r="R593" s="4">
        <v>1815.8525729999999</v>
      </c>
      <c r="S593" s="4">
        <v>2338.2847000000002</v>
      </c>
      <c r="T593" s="4">
        <v>180</v>
      </c>
      <c r="U593" s="4">
        <v>22.36</v>
      </c>
      <c r="V593" s="84">
        <v>14.1</v>
      </c>
      <c r="X593" s="61">
        <v>41584</v>
      </c>
      <c r="Y593" s="68">
        <v>4349.0173684210531</v>
      </c>
      <c r="Z593" s="68">
        <v>5027.9799999999987</v>
      </c>
    </row>
    <row r="594" spans="1:26" x14ac:dyDescent="0.3">
      <c r="A594" s="61">
        <v>41591</v>
      </c>
      <c r="B594" s="151">
        <v>3.8319999999999999</v>
      </c>
      <c r="C594" s="2">
        <v>525</v>
      </c>
      <c r="D594" s="2">
        <v>1125</v>
      </c>
      <c r="E594" s="2">
        <v>692</v>
      </c>
      <c r="F594" s="151">
        <v>54.5</v>
      </c>
      <c r="G594" s="151">
        <v>30</v>
      </c>
      <c r="H594" s="5"/>
      <c r="I594" s="10">
        <v>41591</v>
      </c>
      <c r="J594" s="27">
        <f t="shared" si="143"/>
        <v>257.18120805369125</v>
      </c>
      <c r="K594" s="11">
        <f t="shared" si="146"/>
        <v>268.4148174192693</v>
      </c>
      <c r="L594" s="11">
        <f t="shared" si="146"/>
        <v>263.14075441711606</v>
      </c>
      <c r="M594" s="27">
        <f t="shared" si="145"/>
        <v>384.44444444444446</v>
      </c>
      <c r="N594" s="27">
        <f t="shared" si="145"/>
        <v>243.7388193202147</v>
      </c>
      <c r="O594" s="27">
        <f t="shared" si="145"/>
        <v>212.7659574468085</v>
      </c>
      <c r="Q594" s="4">
        <v>1.49</v>
      </c>
      <c r="R594" s="4">
        <v>1815.8525729999999</v>
      </c>
      <c r="S594" s="4">
        <v>2338.2847000000002</v>
      </c>
      <c r="T594" s="4">
        <v>180</v>
      </c>
      <c r="U594" s="4">
        <v>22.36</v>
      </c>
      <c r="V594" s="84">
        <v>14.1</v>
      </c>
      <c r="X594" s="61">
        <v>41591</v>
      </c>
      <c r="Y594" s="68">
        <v>4349.0173684210531</v>
      </c>
      <c r="Z594" s="68">
        <v>5027.9799999999987</v>
      </c>
    </row>
    <row r="595" spans="1:26" x14ac:dyDescent="0.3">
      <c r="A595" s="61">
        <v>41598</v>
      </c>
      <c r="B595" s="152">
        <v>3.8220000000000001</v>
      </c>
      <c r="C595" s="2">
        <v>425</v>
      </c>
      <c r="D595" s="2">
        <v>500</v>
      </c>
      <c r="E595" s="2">
        <v>650</v>
      </c>
      <c r="F595" s="152">
        <v>53</v>
      </c>
      <c r="G595" s="152">
        <v>28</v>
      </c>
      <c r="H595" s="5"/>
      <c r="I595" s="10">
        <v>41598</v>
      </c>
      <c r="J595" s="27">
        <f t="shared" si="143"/>
        <v>256.51006711409394</v>
      </c>
      <c r="K595" s="11">
        <f t="shared" si="146"/>
        <v>262.9077624145346</v>
      </c>
      <c r="L595" s="11">
        <f t="shared" si="146"/>
        <v>236.41175944058475</v>
      </c>
      <c r="M595" s="27">
        <f t="shared" si="145"/>
        <v>361.11111111111114</v>
      </c>
      <c r="N595" s="27">
        <f t="shared" si="145"/>
        <v>237.03041144901613</v>
      </c>
      <c r="O595" s="27">
        <f t="shared" si="145"/>
        <v>198.58156028368796</v>
      </c>
      <c r="Q595" s="4">
        <v>1.49</v>
      </c>
      <c r="R595" s="4">
        <v>1815.8525729999999</v>
      </c>
      <c r="S595" s="4">
        <v>2338.2847000000002</v>
      </c>
      <c r="T595" s="4">
        <v>180</v>
      </c>
      <c r="U595" s="4">
        <v>22.36</v>
      </c>
      <c r="V595" s="84">
        <v>14.1</v>
      </c>
      <c r="X595" s="61">
        <v>41598</v>
      </c>
      <c r="Y595" s="68">
        <v>4349.0173684210531</v>
      </c>
      <c r="Z595" s="68">
        <v>5027.9799999999987</v>
      </c>
    </row>
    <row r="596" spans="1:26" x14ac:dyDescent="0.3">
      <c r="A596" s="61">
        <v>41605</v>
      </c>
      <c r="B596" s="153">
        <v>3.8439999999999999</v>
      </c>
      <c r="C596" s="2">
        <v>175</v>
      </c>
      <c r="D596" s="2">
        <v>535.5</v>
      </c>
      <c r="E596" s="2">
        <v>530</v>
      </c>
      <c r="F596" s="153">
        <v>53</v>
      </c>
      <c r="G596" s="153">
        <v>28</v>
      </c>
      <c r="I596" s="10">
        <v>41605</v>
      </c>
      <c r="J596" s="27">
        <f t="shared" si="143"/>
        <v>257.98657718120808</v>
      </c>
      <c r="K596" s="11">
        <f t="shared" si="146"/>
        <v>249.14012490269789</v>
      </c>
      <c r="L596" s="11">
        <f t="shared" si="146"/>
        <v>237.92996635525171</v>
      </c>
      <c r="M596" s="27">
        <f t="shared" si="145"/>
        <v>294.44444444444446</v>
      </c>
      <c r="N596" s="27">
        <f t="shared" si="145"/>
        <v>237.03041144901613</v>
      </c>
      <c r="O596" s="27">
        <f t="shared" si="145"/>
        <v>198.58156028368796</v>
      </c>
      <c r="Q596" s="4">
        <v>1.49</v>
      </c>
      <c r="R596" s="4">
        <v>1815.8525729999999</v>
      </c>
      <c r="S596" s="4">
        <v>2338.2847000000002</v>
      </c>
      <c r="T596" s="4">
        <v>180</v>
      </c>
      <c r="U596" s="4">
        <v>22.36</v>
      </c>
      <c r="V596" s="84">
        <v>14.1</v>
      </c>
      <c r="X596" s="61">
        <v>41605</v>
      </c>
      <c r="Y596" s="68">
        <v>4349.0173684210531</v>
      </c>
      <c r="Z596" s="68">
        <v>5027.9799999999987</v>
      </c>
    </row>
    <row r="597" spans="1:26" x14ac:dyDescent="0.3">
      <c r="A597" s="61">
        <v>41612</v>
      </c>
      <c r="B597" s="154">
        <v>3.883</v>
      </c>
      <c r="C597" s="2">
        <v>175</v>
      </c>
      <c r="D597" s="2">
        <v>662.5</v>
      </c>
      <c r="E597" s="2">
        <v>542</v>
      </c>
      <c r="F597" s="154">
        <v>54.5</v>
      </c>
      <c r="G597" s="154">
        <v>29</v>
      </c>
      <c r="I597" s="10">
        <v>41612</v>
      </c>
      <c r="J597" s="27">
        <f t="shared" si="143"/>
        <v>260.60402684563758</v>
      </c>
      <c r="K597" s="11">
        <f t="shared" si="146"/>
        <v>248.59308883992753</v>
      </c>
      <c r="L597" s="11">
        <f t="shared" si="146"/>
        <v>242.20858631070351</v>
      </c>
      <c r="M597" s="27">
        <f t="shared" si="145"/>
        <v>301.11111111111109</v>
      </c>
      <c r="N597" s="27">
        <f t="shared" si="145"/>
        <v>243.7388193202147</v>
      </c>
      <c r="O597" s="27">
        <f t="shared" si="145"/>
        <v>205.67375886524823</v>
      </c>
      <c r="Q597" s="4">
        <v>1.49</v>
      </c>
      <c r="R597" s="4">
        <v>1815.8525729999999</v>
      </c>
      <c r="S597" s="4">
        <v>2338.2847000000002</v>
      </c>
      <c r="T597" s="4">
        <v>180</v>
      </c>
      <c r="U597" s="4">
        <v>22.36</v>
      </c>
      <c r="V597" s="84">
        <v>14.1</v>
      </c>
      <c r="X597" s="61">
        <v>41612</v>
      </c>
      <c r="Y597" s="68">
        <v>4339.0839999999998</v>
      </c>
      <c r="Z597" s="68">
        <v>5001.0263157894751</v>
      </c>
    </row>
    <row r="598" spans="1:26" x14ac:dyDescent="0.3">
      <c r="A598" s="61">
        <v>41619</v>
      </c>
      <c r="B598" s="155">
        <v>3.879</v>
      </c>
      <c r="C598" s="2">
        <v>487.5</v>
      </c>
      <c r="D598" s="2">
        <v>1562.5</v>
      </c>
      <c r="E598" s="2">
        <v>538</v>
      </c>
      <c r="F598" s="155">
        <v>57</v>
      </c>
      <c r="G598" s="155">
        <v>30.5</v>
      </c>
      <c r="I598" s="10">
        <v>41619</v>
      </c>
      <c r="J598" s="27">
        <f t="shared" si="143"/>
        <v>260.33557046979865</v>
      </c>
      <c r="K598" s="11">
        <f t="shared" si="146"/>
        <v>265.80263572972342</v>
      </c>
      <c r="L598" s="11">
        <f t="shared" si="146"/>
        <v>280.69833907690855</v>
      </c>
      <c r="M598" s="27">
        <f t="shared" si="145"/>
        <v>298.88888888888891</v>
      </c>
      <c r="N598" s="27">
        <f t="shared" si="145"/>
        <v>254.91949910554564</v>
      </c>
      <c r="O598" s="27">
        <f t="shared" si="145"/>
        <v>216.31205673758865</v>
      </c>
      <c r="Q598" s="4">
        <v>1.49</v>
      </c>
      <c r="R598" s="4">
        <v>1815.8525729999999</v>
      </c>
      <c r="S598" s="4">
        <v>2338.2847000000002</v>
      </c>
      <c r="T598" s="4">
        <v>180</v>
      </c>
      <c r="U598" s="4">
        <v>22.36</v>
      </c>
      <c r="V598" s="84">
        <v>14.1</v>
      </c>
      <c r="X598" s="61">
        <v>41619</v>
      </c>
      <c r="Y598" s="68">
        <v>4339.0839999999998</v>
      </c>
      <c r="Z598" s="68">
        <v>5001.0263157894751</v>
      </c>
    </row>
    <row r="599" spans="1:26" x14ac:dyDescent="0.3">
      <c r="A599" s="61">
        <v>41626</v>
      </c>
      <c r="B599" s="156">
        <v>3.87</v>
      </c>
      <c r="C599" s="2">
        <v>594</v>
      </c>
      <c r="D599" s="2">
        <v>1950</v>
      </c>
      <c r="E599" s="2">
        <v>577</v>
      </c>
      <c r="F599" s="156">
        <v>59.5</v>
      </c>
      <c r="G599" s="156">
        <v>31.5</v>
      </c>
      <c r="I599" s="10">
        <v>41626</v>
      </c>
      <c r="J599" s="27">
        <f t="shared" si="143"/>
        <v>259.73154362416108</v>
      </c>
      <c r="K599" s="11">
        <f t="shared" si="146"/>
        <v>271.66764930976586</v>
      </c>
      <c r="L599" s="11">
        <f t="shared" si="146"/>
        <v>297.27031596235798</v>
      </c>
      <c r="M599" s="27">
        <f t="shared" ref="M599:O610" si="147">(1+(E599-T598)/T598)*100</f>
        <v>320.55555555555554</v>
      </c>
      <c r="N599" s="27">
        <f t="shared" si="147"/>
        <v>266.10017889087658</v>
      </c>
      <c r="O599" s="27">
        <f t="shared" si="147"/>
        <v>223.40425531914894</v>
      </c>
      <c r="Q599" s="4">
        <v>1.49</v>
      </c>
      <c r="R599" s="4">
        <v>1815.8525729999999</v>
      </c>
      <c r="S599" s="4">
        <v>2338.2847000000002</v>
      </c>
      <c r="T599" s="4">
        <v>180</v>
      </c>
      <c r="U599" s="4">
        <v>22.36</v>
      </c>
      <c r="V599" s="84">
        <v>14.1</v>
      </c>
      <c r="X599" s="61">
        <v>41626</v>
      </c>
      <c r="Y599" s="68">
        <v>4339.0839999999998</v>
      </c>
      <c r="Z599" s="68">
        <v>5001.0263157894751</v>
      </c>
    </row>
    <row r="600" spans="1:26" x14ac:dyDescent="0.3">
      <c r="A600" s="61">
        <v>41633</v>
      </c>
      <c r="B600" s="156">
        <v>3.87</v>
      </c>
      <c r="C600" s="2">
        <v>650</v>
      </c>
      <c r="D600" s="2">
        <v>1700</v>
      </c>
      <c r="E600" s="2">
        <v>590</v>
      </c>
      <c r="F600" s="156">
        <v>58</v>
      </c>
      <c r="G600" s="156">
        <v>29.5</v>
      </c>
      <c r="I600" s="10">
        <v>41633</v>
      </c>
      <c r="J600" s="27">
        <f t="shared" si="143"/>
        <v>259.73154362416108</v>
      </c>
      <c r="K600" s="11">
        <f t="shared" si="146"/>
        <v>274.75160011241729</v>
      </c>
      <c r="L600" s="11">
        <f t="shared" si="146"/>
        <v>286.5787179717455</v>
      </c>
      <c r="M600" s="27">
        <f t="shared" si="147"/>
        <v>327.77777777777777</v>
      </c>
      <c r="N600" s="27">
        <f t="shared" si="147"/>
        <v>259.391771019678</v>
      </c>
      <c r="O600" s="27">
        <f t="shared" si="147"/>
        <v>209.21985815602838</v>
      </c>
      <c r="Q600" s="4">
        <v>1.49</v>
      </c>
      <c r="R600" s="4">
        <v>1815.8525729999999</v>
      </c>
      <c r="S600" s="4">
        <v>2338.2847000000002</v>
      </c>
      <c r="T600" s="4">
        <v>180</v>
      </c>
      <c r="U600" s="4">
        <v>22.36</v>
      </c>
      <c r="V600" s="84">
        <v>14.1</v>
      </c>
      <c r="X600" s="61">
        <v>41633</v>
      </c>
      <c r="Y600" s="68">
        <v>4339.0839999999998</v>
      </c>
      <c r="Z600" s="68">
        <v>5001.0263157894751</v>
      </c>
    </row>
    <row r="601" spans="1:26" x14ac:dyDescent="0.3">
      <c r="A601" s="61">
        <v>41640</v>
      </c>
      <c r="B601" s="156">
        <v>3.9</v>
      </c>
      <c r="C601" s="2">
        <v>650</v>
      </c>
      <c r="D601" s="2">
        <v>1731</v>
      </c>
      <c r="E601" s="2">
        <v>587</v>
      </c>
      <c r="F601" s="156">
        <v>58</v>
      </c>
      <c r="G601" s="156">
        <v>29.5</v>
      </c>
      <c r="I601" s="10">
        <v>41640</v>
      </c>
      <c r="J601" s="27">
        <f t="shared" si="143"/>
        <v>261.744966442953</v>
      </c>
      <c r="K601" s="11">
        <f t="shared" si="146"/>
        <v>274.24694808403342</v>
      </c>
      <c r="L601" s="11">
        <f t="shared" si="146"/>
        <v>287.29600039946507</v>
      </c>
      <c r="M601" s="27">
        <f t="shared" si="147"/>
        <v>326.11111111111109</v>
      </c>
      <c r="N601" s="27">
        <f t="shared" si="147"/>
        <v>259.391771019678</v>
      </c>
      <c r="O601" s="27">
        <f t="shared" si="147"/>
        <v>209.21985815602838</v>
      </c>
      <c r="Q601" s="4">
        <v>1.49</v>
      </c>
      <c r="R601" s="4">
        <v>1815.8525729999999</v>
      </c>
      <c r="S601" s="4">
        <v>2338.2847000000002</v>
      </c>
      <c r="T601" s="4">
        <v>180</v>
      </c>
      <c r="U601" s="4">
        <v>22.36</v>
      </c>
      <c r="V601" s="84">
        <v>14.1</v>
      </c>
      <c r="X601" s="61">
        <v>41640</v>
      </c>
      <c r="Y601" s="68">
        <v>4329.9202631578955</v>
      </c>
      <c r="Z601" s="68">
        <v>4986.7984210526311</v>
      </c>
    </row>
    <row r="602" spans="1:26" x14ac:dyDescent="0.3">
      <c r="A602" s="61">
        <v>41647</v>
      </c>
      <c r="B602" s="156">
        <v>3.91</v>
      </c>
      <c r="C602" s="2">
        <v>400</v>
      </c>
      <c r="D602" s="2">
        <v>1679</v>
      </c>
      <c r="E602" s="2">
        <v>568</v>
      </c>
      <c r="F602" s="156">
        <v>58</v>
      </c>
      <c r="G602" s="156">
        <v>29.5</v>
      </c>
      <c r="I602" s="10">
        <v>41647</v>
      </c>
      <c r="J602" s="27">
        <f t="shared" si="143"/>
        <v>262.41610738255031</v>
      </c>
      <c r="K602" s="27">
        <f t="shared" si="146"/>
        <v>260.47931057219677</v>
      </c>
      <c r="L602" s="27">
        <f t="shared" si="146"/>
        <v>285.07214801741765</v>
      </c>
      <c r="M602" s="27">
        <f t="shared" si="147"/>
        <v>315.55555555555554</v>
      </c>
      <c r="N602" s="27">
        <f t="shared" si="147"/>
        <v>259.391771019678</v>
      </c>
      <c r="O602" s="27">
        <f t="shared" si="147"/>
        <v>209.21985815602838</v>
      </c>
      <c r="Q602" s="4">
        <v>1.49</v>
      </c>
      <c r="R602" s="4">
        <v>1815.8525729999999</v>
      </c>
      <c r="S602" s="4">
        <v>2338.2847000000002</v>
      </c>
      <c r="T602" s="4">
        <v>180</v>
      </c>
      <c r="U602" s="4">
        <v>22.36</v>
      </c>
      <c r="V602" s="84">
        <v>14.1</v>
      </c>
      <c r="X602" s="61">
        <v>41647</v>
      </c>
      <c r="Y602" s="68">
        <v>4329.9202631578955</v>
      </c>
      <c r="Z602" s="68">
        <v>4986.7984210526311</v>
      </c>
    </row>
    <row r="603" spans="1:26" x14ac:dyDescent="0.3">
      <c r="A603" s="61">
        <v>41654</v>
      </c>
      <c r="B603" s="156">
        <v>3.8860000000000001</v>
      </c>
      <c r="C603" s="2" t="s">
        <v>19</v>
      </c>
      <c r="D603" s="2">
        <v>2000</v>
      </c>
      <c r="E603" s="2">
        <v>560</v>
      </c>
      <c r="F603" s="156">
        <v>57</v>
      </c>
      <c r="G603" s="156">
        <v>28.5</v>
      </c>
      <c r="I603" s="10">
        <v>41654</v>
      </c>
      <c r="J603" s="27">
        <f t="shared" si="143"/>
        <v>260.80536912751677</v>
      </c>
      <c r="K603" s="27">
        <f t="shared" si="146"/>
        <v>238.45109055325801</v>
      </c>
      <c r="L603" s="27">
        <f t="shared" si="146"/>
        <v>298.80015983736416</v>
      </c>
      <c r="M603" s="27">
        <f t="shared" si="147"/>
        <v>311.11111111111114</v>
      </c>
      <c r="N603" s="27">
        <f t="shared" si="147"/>
        <v>254.91949910554564</v>
      </c>
      <c r="O603" s="27">
        <f t="shared" si="147"/>
        <v>202.12765957446811</v>
      </c>
      <c r="Q603" s="4">
        <v>1.49</v>
      </c>
      <c r="R603" s="4">
        <v>1815.8525729999999</v>
      </c>
      <c r="S603" s="4">
        <v>2338.2847000000002</v>
      </c>
      <c r="T603" s="4">
        <v>180</v>
      </c>
      <c r="U603" s="4">
        <v>22.36</v>
      </c>
      <c r="V603" s="84">
        <v>14.1</v>
      </c>
      <c r="X603" s="61">
        <v>41654</v>
      </c>
      <c r="Y603" s="68">
        <v>4329.9202631578955</v>
      </c>
      <c r="Z603" s="68">
        <v>4986.7984210526311</v>
      </c>
    </row>
    <row r="604" spans="1:26" x14ac:dyDescent="0.3">
      <c r="A604" s="61">
        <v>41661</v>
      </c>
      <c r="B604" s="157">
        <v>3.8730000000000002</v>
      </c>
      <c r="C604" s="2">
        <v>975</v>
      </c>
      <c r="D604" s="2">
        <v>1737.5</v>
      </c>
      <c r="E604" s="2">
        <v>555</v>
      </c>
      <c r="F604" s="157">
        <v>56.5</v>
      </c>
      <c r="G604" s="157">
        <v>28</v>
      </c>
      <c r="I604" s="10">
        <v>41661</v>
      </c>
      <c r="J604" s="27">
        <f t="shared" si="143"/>
        <v>259.93288590604027</v>
      </c>
      <c r="K604" s="27">
        <f t="shared" si="146"/>
        <v>292.14487684942117</v>
      </c>
      <c r="L604" s="27">
        <f t="shared" si="146"/>
        <v>287.573981947221</v>
      </c>
      <c r="M604" s="27">
        <f t="shared" si="147"/>
        <v>308.33333333333337</v>
      </c>
      <c r="N604" s="27">
        <f t="shared" si="147"/>
        <v>252.6833631484794</v>
      </c>
      <c r="O604" s="27">
        <f t="shared" si="147"/>
        <v>198.58156028368796</v>
      </c>
      <c r="Q604" s="4">
        <v>1.49</v>
      </c>
      <c r="R604" s="4">
        <v>1815.8525729999999</v>
      </c>
      <c r="S604" s="4">
        <v>2338.2847000000002</v>
      </c>
      <c r="T604" s="4">
        <v>180</v>
      </c>
      <c r="U604" s="4">
        <v>22.36</v>
      </c>
      <c r="V604" s="84">
        <v>14.1</v>
      </c>
      <c r="X604" s="61">
        <v>41661</v>
      </c>
      <c r="Y604" s="68">
        <v>4329.9202631578955</v>
      </c>
      <c r="Z604" s="68">
        <v>4986.7984210526311</v>
      </c>
    </row>
    <row r="605" spans="1:26" x14ac:dyDescent="0.3">
      <c r="A605" s="61">
        <v>41668</v>
      </c>
      <c r="B605" s="158">
        <v>3.9039999999999999</v>
      </c>
      <c r="C605" s="2">
        <v>1000</v>
      </c>
      <c r="D605" s="2">
        <v>1194</v>
      </c>
      <c r="E605" s="2">
        <v>590</v>
      </c>
      <c r="F605" s="158">
        <v>56.5</v>
      </c>
      <c r="G605" s="158">
        <v>28</v>
      </c>
      <c r="I605" s="10">
        <v>41668</v>
      </c>
      <c r="J605" s="27">
        <f t="shared" si="143"/>
        <v>262.01342281879192</v>
      </c>
      <c r="K605" s="27">
        <f t="shared" si="146"/>
        <v>293.52164060060483</v>
      </c>
      <c r="L605" s="27">
        <f t="shared" si="146"/>
        <v>264.33044791562941</v>
      </c>
      <c r="M605" s="27">
        <f t="shared" si="147"/>
        <v>327.77777777777777</v>
      </c>
      <c r="N605" s="27">
        <f t="shared" si="147"/>
        <v>252.6833631484794</v>
      </c>
      <c r="O605" s="27">
        <f t="shared" si="147"/>
        <v>198.58156028368796</v>
      </c>
      <c r="Q605" s="4">
        <v>1.49</v>
      </c>
      <c r="R605" s="4">
        <v>1815.8525729999999</v>
      </c>
      <c r="S605" s="4">
        <v>2338.2847000000002</v>
      </c>
      <c r="T605" s="4">
        <v>180</v>
      </c>
      <c r="U605" s="4">
        <v>22.36</v>
      </c>
      <c r="V605" s="84">
        <v>14.1</v>
      </c>
      <c r="X605" s="61">
        <v>41668</v>
      </c>
      <c r="Y605" s="68">
        <v>4329.9202631578955</v>
      </c>
      <c r="Z605" s="68">
        <v>4986.7984210526311</v>
      </c>
    </row>
    <row r="606" spans="1:26" x14ac:dyDescent="0.3">
      <c r="A606" s="61">
        <v>41675</v>
      </c>
      <c r="B606" s="159">
        <v>3.9510000000000001</v>
      </c>
      <c r="C606" s="2">
        <v>800</v>
      </c>
      <c r="D606" s="2">
        <v>1146</v>
      </c>
      <c r="E606" s="2" t="s">
        <v>19</v>
      </c>
      <c r="F606" s="159">
        <v>56.5</v>
      </c>
      <c r="G606" s="159">
        <v>28</v>
      </c>
      <c r="I606" s="10">
        <v>41675</v>
      </c>
      <c r="J606" s="27">
        <f t="shared" si="143"/>
        <v>265.16778523489933</v>
      </c>
      <c r="K606" s="27">
        <f t="shared" ref="K606:L610" si="148">(C606+Y606)/R606*100</f>
        <v>283.08464386958161</v>
      </c>
      <c r="L606" s="27">
        <f t="shared" si="148"/>
        <v>262.88613682454815</v>
      </c>
      <c r="M606" s="37" t="s">
        <v>19</v>
      </c>
      <c r="N606" s="27">
        <f t="shared" si="147"/>
        <v>252.6833631484794</v>
      </c>
      <c r="O606" s="27">
        <f t="shared" si="147"/>
        <v>198.58156028368796</v>
      </c>
      <c r="Q606" s="4">
        <v>1.49</v>
      </c>
      <c r="R606" s="4">
        <v>1815.8525729999999</v>
      </c>
      <c r="S606" s="4">
        <v>2338.2847000000002</v>
      </c>
      <c r="T606" s="4">
        <v>180</v>
      </c>
      <c r="U606" s="4">
        <v>22.36</v>
      </c>
      <c r="V606" s="84">
        <v>14.1</v>
      </c>
      <c r="X606" s="61">
        <v>41675</v>
      </c>
      <c r="Y606" s="68">
        <v>4340.3997894736849</v>
      </c>
      <c r="Z606" s="68">
        <v>5001.0263157894751</v>
      </c>
    </row>
    <row r="607" spans="1:26" x14ac:dyDescent="0.3">
      <c r="A607" s="61">
        <v>41682</v>
      </c>
      <c r="B607" s="160">
        <v>3.9769999999999999</v>
      </c>
      <c r="C607" s="2">
        <v>900</v>
      </c>
      <c r="D607" s="2">
        <v>1850</v>
      </c>
      <c r="E607" s="2">
        <v>587</v>
      </c>
      <c r="F607" s="160">
        <v>55.5</v>
      </c>
      <c r="G607" s="160">
        <v>28</v>
      </c>
      <c r="I607" s="10">
        <v>41682</v>
      </c>
      <c r="J607" s="27">
        <f t="shared" si="143"/>
        <v>266.91275167785238</v>
      </c>
      <c r="K607" s="27">
        <f t="shared" si="148"/>
        <v>288.59169887431631</v>
      </c>
      <c r="L607" s="27">
        <f t="shared" si="148"/>
        <v>292.99367676611297</v>
      </c>
      <c r="M607" s="27">
        <f t="shared" ref="M607:M610" si="149">(1+(E607-T606)/T606)*100</f>
        <v>326.11111111111109</v>
      </c>
      <c r="N607" s="27">
        <f t="shared" si="147"/>
        <v>248.21109123434707</v>
      </c>
      <c r="O607" s="27">
        <f t="shared" si="147"/>
        <v>198.58156028368796</v>
      </c>
      <c r="Q607" s="4">
        <v>1.49</v>
      </c>
      <c r="R607" s="4">
        <v>1815.8525729999999</v>
      </c>
      <c r="S607" s="4">
        <v>2338.2847000000002</v>
      </c>
      <c r="T607" s="4">
        <v>180</v>
      </c>
      <c r="U607" s="4">
        <v>22.36</v>
      </c>
      <c r="V607" s="84">
        <v>14.1</v>
      </c>
      <c r="X607" s="61">
        <v>41682</v>
      </c>
      <c r="Y607" s="68">
        <v>4340.3997894736849</v>
      </c>
      <c r="Z607" s="68">
        <v>5001.0263157894751</v>
      </c>
    </row>
    <row r="608" spans="1:26" x14ac:dyDescent="0.3">
      <c r="A608" s="61">
        <v>41689</v>
      </c>
      <c r="B608" s="161">
        <v>3.9889999999999999</v>
      </c>
      <c r="C608" s="2" t="s">
        <v>19</v>
      </c>
      <c r="D608" s="2">
        <v>1350</v>
      </c>
      <c r="E608" s="2">
        <v>600</v>
      </c>
      <c r="F608" s="161">
        <v>52</v>
      </c>
      <c r="G608" s="161">
        <v>27</v>
      </c>
      <c r="I608" s="10">
        <v>41689</v>
      </c>
      <c r="J608" s="27">
        <f t="shared" si="143"/>
        <v>267.7181208053691</v>
      </c>
      <c r="K608" s="27">
        <f t="shared" si="148"/>
        <v>239.02820383170419</v>
      </c>
      <c r="L608" s="27">
        <f t="shared" si="148"/>
        <v>271.61048078488795</v>
      </c>
      <c r="M608" s="27">
        <f t="shared" si="149"/>
        <v>333.33333333333337</v>
      </c>
      <c r="N608" s="27">
        <f t="shared" si="147"/>
        <v>232.55813953488374</v>
      </c>
      <c r="O608" s="27">
        <f t="shared" si="147"/>
        <v>191.48936170212767</v>
      </c>
      <c r="Q608" s="4">
        <v>1.49</v>
      </c>
      <c r="R608" s="4">
        <v>1815.8525729999999</v>
      </c>
      <c r="S608" s="4">
        <v>2338.2847000000002</v>
      </c>
      <c r="T608" s="4">
        <v>180</v>
      </c>
      <c r="U608" s="4">
        <v>22.36</v>
      </c>
      <c r="V608" s="84">
        <v>14.1</v>
      </c>
      <c r="X608" s="61">
        <v>41689</v>
      </c>
      <c r="Y608" s="68">
        <v>4340.3997894736849</v>
      </c>
      <c r="Z608" s="68">
        <v>5001.0263157894751</v>
      </c>
    </row>
    <row r="609" spans="1:26" x14ac:dyDescent="0.3">
      <c r="A609" s="61">
        <v>41696</v>
      </c>
      <c r="B609" s="162">
        <v>4.0170000000000003</v>
      </c>
      <c r="C609" s="2" t="s">
        <v>19</v>
      </c>
      <c r="D609" s="2">
        <v>1712.5</v>
      </c>
      <c r="E609" s="2">
        <v>592</v>
      </c>
      <c r="F609" s="162">
        <v>53</v>
      </c>
      <c r="G609" s="162">
        <v>28</v>
      </c>
      <c r="I609" s="10">
        <v>41696</v>
      </c>
      <c r="J609" s="27">
        <f t="shared" si="143"/>
        <v>269.59731543624162</v>
      </c>
      <c r="K609" s="27">
        <f t="shared" si="148"/>
        <v>239.02820383170419</v>
      </c>
      <c r="L609" s="27">
        <f t="shared" si="148"/>
        <v>287.11329787127607</v>
      </c>
      <c r="M609" s="27">
        <f t="shared" si="149"/>
        <v>328.88888888888886</v>
      </c>
      <c r="N609" s="27">
        <f t="shared" si="147"/>
        <v>237.03041144901613</v>
      </c>
      <c r="O609" s="27">
        <f t="shared" si="147"/>
        <v>198.58156028368796</v>
      </c>
      <c r="Q609" s="4">
        <v>1.49</v>
      </c>
      <c r="R609" s="4">
        <v>1815.8525729999999</v>
      </c>
      <c r="S609" s="4">
        <v>2338.2847000000002</v>
      </c>
      <c r="T609" s="4">
        <v>180</v>
      </c>
      <c r="U609" s="4">
        <v>22.36</v>
      </c>
      <c r="V609" s="84">
        <v>14.1</v>
      </c>
      <c r="X609" s="61">
        <v>41696</v>
      </c>
      <c r="Y609" s="68">
        <v>4340.3997894736849</v>
      </c>
      <c r="Z609" s="68">
        <v>5001.0263157894751</v>
      </c>
    </row>
    <row r="610" spans="1:26" x14ac:dyDescent="0.3">
      <c r="A610" s="61">
        <v>41703</v>
      </c>
      <c r="B610" s="163">
        <v>4.016</v>
      </c>
      <c r="C610" s="2">
        <v>1125</v>
      </c>
      <c r="D610" s="2">
        <v>1733.5</v>
      </c>
      <c r="E610" s="2">
        <v>620</v>
      </c>
      <c r="F610" s="163">
        <v>53</v>
      </c>
      <c r="G610" s="163">
        <v>28</v>
      </c>
      <c r="I610" s="10">
        <v>41703</v>
      </c>
      <c r="J610" s="27">
        <f t="shared" si="143"/>
        <v>269.53020134228188</v>
      </c>
      <c r="K610" s="27">
        <f t="shared" si="148"/>
        <v>300.72861479342606</v>
      </c>
      <c r="L610" s="27">
        <f t="shared" si="148"/>
        <v>288.01139210248755</v>
      </c>
      <c r="M610" s="27">
        <f t="shared" si="149"/>
        <v>344.44444444444446</v>
      </c>
      <c r="N610" s="27">
        <f t="shared" si="147"/>
        <v>237.03041144901613</v>
      </c>
      <c r="O610" s="27">
        <f t="shared" si="147"/>
        <v>198.58156028368796</v>
      </c>
      <c r="Q610" s="4">
        <v>1.49</v>
      </c>
      <c r="R610" s="4">
        <v>1815.8525729999999</v>
      </c>
      <c r="S610" s="4">
        <v>2338.2847000000002</v>
      </c>
      <c r="T610" s="4">
        <v>180</v>
      </c>
      <c r="U610" s="4">
        <v>22.36</v>
      </c>
      <c r="V610" s="84">
        <v>14.1</v>
      </c>
      <c r="X610" s="61">
        <v>41703</v>
      </c>
      <c r="Y610" s="68">
        <v>4335.7882894736849</v>
      </c>
      <c r="Z610" s="68">
        <v>5001.0263157894751</v>
      </c>
    </row>
  </sheetData>
  <mergeCells count="2">
    <mergeCell ref="F236:G236"/>
    <mergeCell ref="Y5:Z6"/>
  </mergeCells>
  <phoneticPr fontId="9" type="noConversion"/>
  <printOptions headings="1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Normal="100" workbookViewId="0">
      <selection activeCell="B1" sqref="B1:H11"/>
    </sheetView>
  </sheetViews>
  <sheetFormatPr defaultRowHeight="15" x14ac:dyDescent="0.25"/>
  <cols>
    <col min="1" max="1" width="2.90625" customWidth="1"/>
    <col min="2" max="2" width="20.81640625" customWidth="1"/>
    <col min="3" max="8" width="10.81640625" customWidth="1"/>
    <col min="9" max="9" width="12.1796875" customWidth="1"/>
    <col min="10" max="10" width="2.54296875" customWidth="1"/>
  </cols>
  <sheetData>
    <row r="1" spans="1:10" ht="12.75" customHeight="1" x14ac:dyDescent="0.25">
      <c r="A1" s="47"/>
      <c r="B1" s="48" t="s">
        <v>24</v>
      </c>
      <c r="C1" s="38"/>
      <c r="D1" s="38"/>
      <c r="E1" s="38"/>
      <c r="F1" s="38"/>
      <c r="G1" s="38"/>
      <c r="H1" s="38"/>
      <c r="I1" s="69"/>
      <c r="J1" s="47"/>
    </row>
    <row r="2" spans="1:10" ht="14.25" customHeight="1" x14ac:dyDescent="0.25">
      <c r="A2" s="47"/>
      <c r="B2" s="39" t="s">
        <v>23</v>
      </c>
      <c r="C2" s="17"/>
      <c r="D2" s="17"/>
      <c r="E2" s="17"/>
      <c r="F2" s="17"/>
      <c r="G2" s="17"/>
      <c r="H2" s="17"/>
      <c r="I2" s="48"/>
      <c r="J2" s="47"/>
    </row>
    <row r="3" spans="1:10" x14ac:dyDescent="0.25">
      <c r="A3" s="47"/>
      <c r="B3" s="40"/>
      <c r="C3" s="41" t="s">
        <v>16</v>
      </c>
      <c r="D3" s="168" t="s">
        <v>11</v>
      </c>
      <c r="E3" s="168"/>
      <c r="F3" s="41" t="s">
        <v>17</v>
      </c>
      <c r="G3" s="42" t="s">
        <v>6</v>
      </c>
      <c r="H3" s="42"/>
      <c r="I3" s="22"/>
      <c r="J3" s="47"/>
    </row>
    <row r="4" spans="1:10" x14ac:dyDescent="0.25">
      <c r="A4" s="47"/>
      <c r="B4" s="43" t="s">
        <v>21</v>
      </c>
      <c r="C4" s="52"/>
      <c r="D4" s="41" t="s">
        <v>29</v>
      </c>
      <c r="E4" s="41" t="s">
        <v>27</v>
      </c>
      <c r="F4" s="44"/>
      <c r="G4" s="45" t="s">
        <v>13</v>
      </c>
      <c r="H4" s="45" t="s">
        <v>18</v>
      </c>
      <c r="I4" s="22"/>
      <c r="J4" s="47"/>
    </row>
    <row r="5" spans="1:10" x14ac:dyDescent="0.25">
      <c r="A5" s="47"/>
      <c r="B5" s="36">
        <f>Data!A4</f>
        <v>41703</v>
      </c>
      <c r="C5" s="51">
        <f>Data!B4</f>
        <v>269.53020134228188</v>
      </c>
      <c r="D5" s="51">
        <f>Data!C4</f>
        <v>300.72861479342606</v>
      </c>
      <c r="E5" s="51">
        <f>Data!D4</f>
        <v>288.01139210248755</v>
      </c>
      <c r="F5" s="51">
        <f>Data!E4</f>
        <v>344.44444444444446</v>
      </c>
      <c r="G5" s="51">
        <f>Data!F4</f>
        <v>237.03041144901613</v>
      </c>
      <c r="H5" s="51">
        <f>Data!G4</f>
        <v>198.58156028368796</v>
      </c>
      <c r="I5" s="22"/>
      <c r="J5" s="47"/>
    </row>
    <row r="6" spans="1:10" ht="9" customHeight="1" x14ac:dyDescent="0.25">
      <c r="A6" s="47"/>
      <c r="B6" s="25"/>
      <c r="C6" s="26">
        <f>Data!B5</f>
        <v>-2.4894199651489515E-4</v>
      </c>
      <c r="D6" s="26" t="e">
        <f>Data!C5</f>
        <v>#DIV/0!</v>
      </c>
      <c r="E6" s="26"/>
      <c r="F6" s="26">
        <f>Data!E5</f>
        <v>4.72972972972973E-2</v>
      </c>
      <c r="G6" s="26">
        <f>Data!F5</f>
        <v>0</v>
      </c>
      <c r="H6" s="26">
        <f>Data!G5</f>
        <v>0</v>
      </c>
      <c r="I6" s="22"/>
      <c r="J6" s="47"/>
    </row>
    <row r="7" spans="1:10" ht="12" customHeight="1" x14ac:dyDescent="0.25">
      <c r="A7" s="47"/>
      <c r="B7" s="49">
        <f>Data!A609</f>
        <v>41696</v>
      </c>
      <c r="C7" s="50">
        <f>Data!J609</f>
        <v>269.59731543624162</v>
      </c>
      <c r="D7" s="50">
        <f>Data!K609</f>
        <v>239.02820383170419</v>
      </c>
      <c r="E7" s="50">
        <f>Data!L609</f>
        <v>287.11329787127607</v>
      </c>
      <c r="F7" s="50">
        <f>Data!M609</f>
        <v>328.88888888888886</v>
      </c>
      <c r="G7" s="50">
        <f>Data!N609</f>
        <v>237.03041144901613</v>
      </c>
      <c r="H7" s="50">
        <f>Data!O609</f>
        <v>198.58156028368796</v>
      </c>
      <c r="I7" s="22"/>
      <c r="J7" s="47"/>
    </row>
    <row r="8" spans="1:10" x14ac:dyDescent="0.25">
      <c r="A8" s="47"/>
      <c r="B8" s="46" t="s">
        <v>32</v>
      </c>
      <c r="C8" s="22"/>
      <c r="D8" s="22"/>
      <c r="E8" s="22"/>
      <c r="F8" s="22"/>
      <c r="G8" s="22"/>
      <c r="H8" s="22"/>
      <c r="I8" s="22"/>
      <c r="J8" s="47"/>
    </row>
    <row r="9" spans="1:10" ht="9" customHeight="1" x14ac:dyDescent="0.25">
      <c r="A9" s="47"/>
      <c r="B9" s="21" t="s">
        <v>31</v>
      </c>
      <c r="C9" s="22"/>
      <c r="D9" s="22"/>
      <c r="E9" s="22"/>
      <c r="F9" s="22"/>
      <c r="G9" s="22"/>
      <c r="H9" s="22"/>
      <c r="I9" s="22"/>
      <c r="J9" s="47"/>
    </row>
    <row r="10" spans="1:10" ht="8.25" customHeight="1" x14ac:dyDescent="0.25">
      <c r="A10" s="47"/>
      <c r="B10" s="167"/>
      <c r="C10" s="167"/>
      <c r="D10" s="167"/>
      <c r="E10" s="167"/>
      <c r="F10" s="167"/>
      <c r="G10" s="167"/>
      <c r="H10" s="167"/>
      <c r="I10" s="22"/>
      <c r="J10" s="47"/>
    </row>
    <row r="11" spans="1:10" ht="9.75" customHeight="1" x14ac:dyDescent="0.25">
      <c r="A11" s="47"/>
      <c r="B11" s="22" t="s">
        <v>20</v>
      </c>
      <c r="C11" s="22"/>
      <c r="D11" s="22"/>
      <c r="E11" s="22"/>
      <c r="F11" s="22"/>
      <c r="G11" s="22"/>
      <c r="H11" s="22"/>
      <c r="I11" s="22"/>
      <c r="J11" s="47"/>
    </row>
    <row r="12" spans="1:10" x14ac:dyDescent="0.25">
      <c r="A12" s="47"/>
      <c r="B12" s="59"/>
      <c r="C12" s="47"/>
      <c r="D12" s="47"/>
      <c r="E12" s="47"/>
      <c r="F12" s="47"/>
      <c r="G12" s="47"/>
      <c r="H12" s="47"/>
      <c r="I12" s="47"/>
      <c r="J12" s="47"/>
    </row>
    <row r="13" spans="1:10" x14ac:dyDescent="0.25">
      <c r="A13" s="47"/>
      <c r="B13" s="47"/>
      <c r="C13" s="47"/>
      <c r="D13" s="47"/>
      <c r="E13" s="47"/>
      <c r="F13" s="47"/>
      <c r="G13" s="47"/>
      <c r="H13" s="47"/>
      <c r="I13" s="47"/>
    </row>
  </sheetData>
  <mergeCells count="2">
    <mergeCell ref="B10:H10"/>
    <mergeCell ref="D3:E3"/>
  </mergeCells>
  <phoneticPr fontId="9" type="noConversion"/>
  <pageMargins left="0.75" right="0.75" top="1" bottom="1" header="0.5" footer="0.5"/>
  <pageSetup orientation="landscape" r:id="rId1"/>
  <headerFooter alignWithMargins="0"/>
  <ignoredErrors>
    <ignoredError sqref="C6:D6 F6:H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New Table 1_Inde</vt:lpstr>
      <vt:lpstr>Data!Print_Area</vt:lpstr>
      <vt:lpstr>TSBINDEX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Surajudeen  Olowolayemo</cp:lastModifiedBy>
  <cp:lastPrinted>2010-12-15T17:27:58Z</cp:lastPrinted>
  <dcterms:created xsi:type="dcterms:W3CDTF">2003-11-24T15:34:41Z</dcterms:created>
  <dcterms:modified xsi:type="dcterms:W3CDTF">2014-03-05T13:25:41Z</dcterms:modified>
</cp:coreProperties>
</file>