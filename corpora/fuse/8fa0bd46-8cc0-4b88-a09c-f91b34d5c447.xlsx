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5405" windowHeight="5685"/>
  </bookViews>
  <sheets>
    <sheet name="Definitions" sheetId="9" r:id="rId1"/>
    <sheet name="Risks" sheetId="5" r:id="rId2"/>
    <sheet name="Action Items" sheetId="1" r:id="rId3"/>
    <sheet name="Issues" sheetId="8" r:id="rId4"/>
    <sheet name="Decisions" sheetId="3" r:id="rId5"/>
    <sheet name="Changes" sheetId="6" r:id="rId6"/>
    <sheet name="Quality" sheetId="7" r:id="rId7"/>
  </sheets>
  <definedNames>
    <definedName name="_xlnm._FilterDatabase" localSheetId="2" hidden="1">'Action Items'!$A$7:$H$33</definedName>
    <definedName name="_xlnm.Print_Area" localSheetId="5">Changes!$A$1:$I$33</definedName>
    <definedName name="_xlnm.Print_Area" localSheetId="3">Issues!$A$1:$H$33</definedName>
    <definedName name="_xlnm.Print_Area" localSheetId="1">Risks!$A$1:$J$33</definedName>
  </definedNames>
  <calcPr calcId="145621"/>
</workbook>
</file>

<file path=xl/calcChain.xml><?xml version="1.0" encoding="utf-8"?>
<calcChain xmlns="http://schemas.openxmlformats.org/spreadsheetml/2006/main">
  <c r="D5" i="8" l="1"/>
  <c r="D4" i="8"/>
  <c r="D3" i="8"/>
  <c r="M41" i="7"/>
  <c r="L41" i="7"/>
  <c r="K41" i="7"/>
  <c r="J41" i="7"/>
  <c r="I41" i="7"/>
  <c r="H41" i="7"/>
  <c r="G41" i="7"/>
  <c r="F41" i="7"/>
  <c r="E41" i="7"/>
  <c r="D41" i="7"/>
  <c r="C41" i="7"/>
  <c r="B41" i="7"/>
  <c r="M40" i="7"/>
  <c r="L40" i="7"/>
  <c r="K40" i="7"/>
  <c r="J40" i="7"/>
  <c r="I40" i="7"/>
  <c r="H40" i="7"/>
  <c r="G40" i="7"/>
  <c r="F40" i="7"/>
  <c r="E40" i="7"/>
  <c r="D40" i="7"/>
  <c r="C40" i="7"/>
  <c r="B40" i="7"/>
  <c r="M39" i="7"/>
  <c r="L39" i="7"/>
  <c r="K39" i="7"/>
  <c r="J39" i="7"/>
  <c r="I39" i="7"/>
  <c r="H39" i="7"/>
  <c r="G39" i="7"/>
  <c r="F39" i="7"/>
  <c r="E39" i="7"/>
  <c r="D39" i="7"/>
  <c r="C39" i="7"/>
  <c r="B39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B19" i="7"/>
  <c r="M19" i="7"/>
  <c r="L19" i="7"/>
  <c r="K19" i="7"/>
  <c r="J19" i="7"/>
  <c r="I19" i="7"/>
  <c r="H19" i="7"/>
  <c r="G19" i="7"/>
  <c r="F19" i="7"/>
  <c r="E19" i="7"/>
  <c r="D19" i="7"/>
  <c r="C19" i="7"/>
  <c r="D3" i="6"/>
  <c r="D5" i="6"/>
  <c r="D4" i="6"/>
  <c r="F3" i="6"/>
  <c r="F5" i="6"/>
  <c r="F4" i="6"/>
  <c r="D5" i="1"/>
  <c r="D4" i="1"/>
  <c r="D3" i="1"/>
</calcChain>
</file>

<file path=xl/sharedStrings.xml><?xml version="1.0" encoding="utf-8"?>
<sst xmlns="http://schemas.openxmlformats.org/spreadsheetml/2006/main" count="109" uniqueCount="63">
  <si>
    <t>ID</t>
  </si>
  <si>
    <t>Date Opened</t>
  </si>
  <si>
    <t>Date Closed</t>
  </si>
  <si>
    <t>Notes</t>
  </si>
  <si>
    <t>Status</t>
  </si>
  <si>
    <t>Closed</t>
  </si>
  <si>
    <t>In-Progress</t>
  </si>
  <si>
    <t>Description</t>
  </si>
  <si>
    <t>Assigned To</t>
  </si>
  <si>
    <t>On-Hold</t>
  </si>
  <si>
    <t>Count</t>
  </si>
  <si>
    <t>Priority (L/M/H)</t>
  </si>
  <si>
    <t>Date Reported</t>
  </si>
  <si>
    <t>Requested By</t>
  </si>
  <si>
    <t>Resolution/Comments</t>
  </si>
  <si>
    <t>Low</t>
  </si>
  <si>
    <t>Medium</t>
  </si>
  <si>
    <t>High</t>
  </si>
  <si>
    <t>Made by</t>
  </si>
  <si>
    <t>Date Documented</t>
  </si>
  <si>
    <t>Risk Factor</t>
  </si>
  <si>
    <t>Impact   1-5</t>
  </si>
  <si>
    <t>System Test</t>
  </si>
  <si>
    <t>Severity High</t>
  </si>
  <si>
    <t>High - Open</t>
  </si>
  <si>
    <t>High - Closed</t>
  </si>
  <si>
    <t>High - Total</t>
  </si>
  <si>
    <t>Severity Medium</t>
  </si>
  <si>
    <t>Medium - Open</t>
  </si>
  <si>
    <t>Severity Low</t>
  </si>
  <si>
    <t>Total Open</t>
  </si>
  <si>
    <t>Total Closed</t>
  </si>
  <si>
    <t>Total Defects</t>
  </si>
  <si>
    <t>Acceptance Test</t>
  </si>
  <si>
    <t>Software Defects</t>
  </si>
  <si>
    <t>Medium - Closed</t>
  </si>
  <si>
    <t>Medium - Total</t>
  </si>
  <si>
    <t>Low - Open</t>
  </si>
  <si>
    <t>Low - Closed</t>
  </si>
  <si>
    <t>Low - Total</t>
  </si>
  <si>
    <t>Response Strategy</t>
  </si>
  <si>
    <t>Response Plan</t>
  </si>
  <si>
    <t>Due Date</t>
  </si>
  <si>
    <t>Date Made</t>
  </si>
  <si>
    <t>Decision Made</t>
  </si>
  <si>
    <t>Months</t>
  </si>
  <si>
    <t>The project workbook allows project managers, team members, sponsors, and stakeholders to easily track and monitor project activities. Any of these worksheets can easily be broken out into separate documents.</t>
  </si>
  <si>
    <t>Suggested Sheets for All Projects</t>
  </si>
  <si>
    <t>Risks</t>
  </si>
  <si>
    <t>Action Items</t>
  </si>
  <si>
    <t>The Action Items sheet allows you to track and monitor action items assigned to team members. Action items are tasks that must be done but are too insignificant from a time perspective to track in your project schedule.</t>
  </si>
  <si>
    <t>Issues</t>
  </si>
  <si>
    <t>The Issues Log sheet allows you to identify and monitor project issues (unplanned events that have happened).</t>
  </si>
  <si>
    <t>Decisions</t>
  </si>
  <si>
    <t>The Decision Log sheet allows you to track all major decisions made during the course of the project.</t>
  </si>
  <si>
    <t>Changes</t>
  </si>
  <si>
    <t>The Changes Log sheet allows you to track the changes that have been approved for the project.</t>
  </si>
  <si>
    <t>Quality</t>
  </si>
  <si>
    <t>The Quality Log sheet allows you to track quality metrics for your project.  This is an optional tab and can be used at the project manager's discretion.</t>
  </si>
  <si>
    <t>Project Log - [Project Name]</t>
  </si>
  <si>
    <t>The Risk Log sheet allows you to identify, qualify, quantify, and prioritize risks (events that might happen; the uncertainty of a project), create mitigation and contingency plans, and assign risks owners.</t>
  </si>
  <si>
    <t>Risk Owner</t>
  </si>
  <si>
    <t>Probability  1, .5, 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</si>
</sst>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1" fillId="0" borderId="2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vertical="top"/>
    </xf>
    <xf numFmtId="17" fontId="5" fillId="0" borderId="5" xfId="0" applyNumberFormat="1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17" fontId="5" fillId="3" borderId="2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5" fillId="0" borderId="2" xfId="0" applyFont="1" applyFill="1" applyBorder="1" applyAlignment="1">
      <alignment vertical="top" wrapText="1"/>
    </xf>
    <xf numFmtId="17" fontId="5" fillId="0" borderId="2" xfId="0" applyNumberFormat="1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6" fillId="3" borderId="2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5" fillId="2" borderId="2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center"/>
    </xf>
    <xf numFmtId="14" fontId="1" fillId="0" borderId="0" xfId="0" applyNumberFormat="1" applyFont="1" applyBorder="1"/>
    <xf numFmtId="0" fontId="1" fillId="0" borderId="2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2" borderId="6" xfId="0" applyFont="1" applyFill="1" applyBorder="1" applyAlignment="1"/>
    <xf numFmtId="0" fontId="1" fillId="0" borderId="7" xfId="0" applyNumberFormat="1" applyFont="1" applyBorder="1" applyAlignment="1">
      <alignment wrapText="1"/>
    </xf>
    <xf numFmtId="0" fontId="2" fillId="2" borderId="8" xfId="0" applyFont="1" applyFill="1" applyBorder="1" applyAlignment="1"/>
    <xf numFmtId="0" fontId="2" fillId="2" borderId="2" xfId="0" applyFont="1" applyFill="1" applyBorder="1" applyAlignment="1"/>
    <xf numFmtId="0" fontId="1" fillId="0" borderId="2" xfId="0" applyFont="1" applyBorder="1" applyAlignment="1">
      <alignment wrapText="1"/>
    </xf>
    <xf numFmtId="0" fontId="0" fillId="2" borderId="5" xfId="0" applyFill="1" applyBorder="1"/>
    <xf numFmtId="0" fontId="0" fillId="2" borderId="12" xfId="0" applyFill="1" applyBorder="1"/>
    <xf numFmtId="0" fontId="1" fillId="2" borderId="13" xfId="0" applyFont="1" applyFill="1" applyBorder="1"/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top"/>
    </xf>
    <xf numFmtId="17" fontId="2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Normal="100" workbookViewId="0">
      <selection activeCell="A3" sqref="A3:B3"/>
    </sheetView>
  </sheetViews>
  <sheetFormatPr defaultRowHeight="15" x14ac:dyDescent="0.25"/>
  <cols>
    <col min="1" max="1" width="32.42578125" customWidth="1"/>
    <col min="2" max="2" width="86.85546875" customWidth="1"/>
  </cols>
  <sheetData>
    <row r="1" spans="1:2" ht="36.75" customHeight="1" x14ac:dyDescent="0.25">
      <c r="A1" s="55" t="s">
        <v>59</v>
      </c>
      <c r="B1" s="56"/>
    </row>
    <row r="2" spans="1:2" x14ac:dyDescent="0.25">
      <c r="A2" s="48"/>
      <c r="B2" s="49"/>
    </row>
    <row r="3" spans="1:2" ht="30" customHeight="1" x14ac:dyDescent="0.25">
      <c r="A3" s="57" t="s">
        <v>46</v>
      </c>
      <c r="B3" s="58"/>
    </row>
    <row r="4" spans="1:2" ht="30" customHeight="1" x14ac:dyDescent="0.25">
      <c r="A4" s="51"/>
      <c r="B4" s="52"/>
    </row>
    <row r="5" spans="1:2" x14ac:dyDescent="0.25">
      <c r="A5" s="50"/>
      <c r="B5" s="53" t="s">
        <v>47</v>
      </c>
    </row>
    <row r="6" spans="1:2" ht="39" x14ac:dyDescent="0.25">
      <c r="A6" s="46" t="s">
        <v>48</v>
      </c>
      <c r="B6" s="47" t="s">
        <v>60</v>
      </c>
    </row>
    <row r="7" spans="1:2" ht="39" x14ac:dyDescent="0.25">
      <c r="A7" s="43" t="s">
        <v>49</v>
      </c>
      <c r="B7" s="44" t="s">
        <v>50</v>
      </c>
    </row>
    <row r="8" spans="1:2" ht="26.25" x14ac:dyDescent="0.25">
      <c r="A8" s="43" t="s">
        <v>51</v>
      </c>
      <c r="B8" s="41" t="s">
        <v>52</v>
      </c>
    </row>
    <row r="9" spans="1:2" ht="26.25" x14ac:dyDescent="0.25">
      <c r="A9" s="43" t="s">
        <v>53</v>
      </c>
      <c r="B9" s="41" t="s">
        <v>54</v>
      </c>
    </row>
    <row r="10" spans="1:2" ht="26.25" x14ac:dyDescent="0.25">
      <c r="A10" s="43" t="s">
        <v>55</v>
      </c>
      <c r="B10" s="41" t="s">
        <v>56</v>
      </c>
    </row>
    <row r="11" spans="1:2" ht="27" thickBot="1" x14ac:dyDescent="0.3">
      <c r="A11" s="45" t="s">
        <v>57</v>
      </c>
      <c r="B11" s="42" t="s">
        <v>58</v>
      </c>
    </row>
  </sheetData>
  <mergeCells count="2">
    <mergeCell ref="A1:B1"/>
    <mergeCell ref="A3:B3"/>
  </mergeCells>
  <pageMargins left="0.7" right="0.7" top="1.25" bottom="0.75" header="0.3" footer="0.3"/>
  <pageSetup scale="75" orientation="portrait" r:id="rId1"/>
  <headerFooter>
    <oddHeader>&amp;L&amp;G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"/>
  <sheetViews>
    <sheetView zoomScaleNormal="100" workbookViewId="0">
      <selection activeCell="A2" sqref="A2"/>
    </sheetView>
  </sheetViews>
  <sheetFormatPr defaultRowHeight="15" x14ac:dyDescent="0.25"/>
  <cols>
    <col min="1" max="1" width="5.85546875" style="1" customWidth="1"/>
    <col min="2" max="2" width="16.5703125" customWidth="1"/>
    <col min="3" max="3" width="13.42578125" customWidth="1"/>
    <col min="4" max="4" width="8.7109375" bestFit="1" customWidth="1"/>
    <col min="5" max="5" width="8.7109375" customWidth="1"/>
    <col min="6" max="6" width="15" style="1" customWidth="1"/>
    <col min="7" max="7" width="24" customWidth="1"/>
    <col min="8" max="9" width="16.7109375" customWidth="1"/>
    <col min="10" max="10" width="23.42578125" customWidth="1"/>
  </cols>
  <sheetData>
    <row r="1" spans="1:10" ht="26.25" x14ac:dyDescent="0.25">
      <c r="A1" s="6" t="s">
        <v>0</v>
      </c>
      <c r="B1" s="6" t="s">
        <v>7</v>
      </c>
      <c r="C1" s="7" t="s">
        <v>62</v>
      </c>
      <c r="D1" s="7" t="s">
        <v>21</v>
      </c>
      <c r="E1" s="7" t="s">
        <v>20</v>
      </c>
      <c r="F1" s="7" t="s">
        <v>19</v>
      </c>
      <c r="G1" s="7" t="s">
        <v>40</v>
      </c>
      <c r="H1" s="35" t="s">
        <v>41</v>
      </c>
      <c r="I1" s="35" t="s">
        <v>61</v>
      </c>
      <c r="J1" s="35" t="s">
        <v>14</v>
      </c>
    </row>
    <row r="2" spans="1:10" x14ac:dyDescent="0.25">
      <c r="A2" s="8"/>
      <c r="B2" s="9"/>
      <c r="C2" s="9"/>
      <c r="D2" s="9"/>
      <c r="E2" s="9"/>
      <c r="F2" s="12"/>
      <c r="G2" s="9"/>
      <c r="H2" s="9"/>
      <c r="I2" s="9"/>
      <c r="J2" s="9"/>
    </row>
    <row r="3" spans="1:10" x14ac:dyDescent="0.25">
      <c r="A3" s="8"/>
      <c r="B3" s="9"/>
      <c r="C3" s="9"/>
      <c r="D3" s="9"/>
      <c r="E3" s="9"/>
      <c r="F3" s="12"/>
      <c r="G3" s="9"/>
      <c r="H3" s="9"/>
      <c r="I3" s="9"/>
      <c r="J3" s="9"/>
    </row>
    <row r="4" spans="1:10" x14ac:dyDescent="0.25">
      <c r="A4" s="8"/>
      <c r="B4" s="9"/>
      <c r="C4" s="9"/>
      <c r="D4" s="9"/>
      <c r="E4" s="9"/>
      <c r="F4" s="12"/>
      <c r="G4" s="9"/>
      <c r="H4" s="9"/>
      <c r="I4" s="9"/>
      <c r="J4" s="10"/>
    </row>
    <row r="5" spans="1:10" x14ac:dyDescent="0.25">
      <c r="A5" s="8"/>
      <c r="B5" s="9"/>
      <c r="C5" s="9"/>
      <c r="D5" s="9"/>
      <c r="E5" s="9"/>
      <c r="F5" s="12"/>
      <c r="G5" s="9"/>
      <c r="H5" s="9"/>
      <c r="I5" s="9"/>
      <c r="J5" s="9"/>
    </row>
    <row r="6" spans="1:10" x14ac:dyDescent="0.25">
      <c r="A6" s="8"/>
      <c r="B6" s="9"/>
      <c r="C6" s="9"/>
      <c r="D6" s="9"/>
      <c r="E6" s="9"/>
      <c r="F6" s="12"/>
      <c r="G6" s="9"/>
      <c r="H6" s="9"/>
      <c r="I6" s="9"/>
      <c r="J6" s="9"/>
    </row>
    <row r="7" spans="1:10" x14ac:dyDescent="0.25">
      <c r="A7" s="8"/>
      <c r="B7" s="9"/>
      <c r="C7" s="9"/>
      <c r="D7" s="9"/>
      <c r="E7" s="9"/>
      <c r="F7" s="12"/>
      <c r="G7" s="9"/>
      <c r="H7" s="9"/>
      <c r="I7" s="9"/>
      <c r="J7" s="9"/>
    </row>
    <row r="8" spans="1:10" x14ac:dyDescent="0.25">
      <c r="A8" s="8"/>
      <c r="B8" s="9"/>
      <c r="C8" s="9"/>
      <c r="D8" s="9"/>
      <c r="E8" s="9"/>
      <c r="F8" s="12"/>
      <c r="G8" s="9"/>
      <c r="H8" s="9"/>
      <c r="I8" s="9"/>
      <c r="J8" s="9"/>
    </row>
    <row r="9" spans="1:10" x14ac:dyDescent="0.25">
      <c r="A9" s="8"/>
      <c r="B9" s="9"/>
      <c r="C9" s="9"/>
      <c r="D9" s="9"/>
      <c r="E9" s="9"/>
      <c r="F9" s="12"/>
      <c r="G9" s="9"/>
      <c r="H9" s="9"/>
      <c r="I9" s="9"/>
      <c r="J9" s="9"/>
    </row>
    <row r="10" spans="1:10" x14ac:dyDescent="0.25">
      <c r="A10" s="8"/>
      <c r="B10" s="9"/>
      <c r="C10" s="9"/>
      <c r="D10" s="9"/>
      <c r="E10" s="9"/>
      <c r="F10" s="12"/>
      <c r="G10" s="9"/>
      <c r="H10" s="9"/>
      <c r="I10" s="9"/>
      <c r="J10" s="9"/>
    </row>
    <row r="11" spans="1:10" x14ac:dyDescent="0.25">
      <c r="A11" s="8"/>
      <c r="B11" s="9"/>
      <c r="C11" s="9"/>
      <c r="D11" s="9"/>
      <c r="E11" s="9"/>
      <c r="F11" s="12"/>
      <c r="G11" s="9"/>
      <c r="H11" s="9"/>
      <c r="I11" s="9"/>
      <c r="J11" s="9"/>
    </row>
    <row r="12" spans="1:10" x14ac:dyDescent="0.25">
      <c r="A12" s="8"/>
      <c r="B12" s="9"/>
      <c r="C12" s="9"/>
      <c r="D12" s="9"/>
      <c r="E12" s="9"/>
      <c r="F12" s="12"/>
      <c r="G12" s="9"/>
      <c r="H12" s="9"/>
      <c r="I12" s="9"/>
      <c r="J12" s="9"/>
    </row>
    <row r="13" spans="1:10" x14ac:dyDescent="0.25">
      <c r="A13" s="8"/>
      <c r="B13" s="9"/>
      <c r="C13" s="9"/>
      <c r="D13" s="9"/>
      <c r="E13" s="9"/>
      <c r="F13" s="12"/>
      <c r="G13" s="9"/>
      <c r="H13" s="9"/>
      <c r="I13" s="9"/>
      <c r="J13" s="9"/>
    </row>
    <row r="14" spans="1:10" x14ac:dyDescent="0.25">
      <c r="A14" s="8"/>
      <c r="B14" s="9"/>
      <c r="C14" s="9"/>
      <c r="D14" s="9"/>
      <c r="E14" s="9"/>
      <c r="F14" s="12"/>
      <c r="G14" s="9"/>
      <c r="H14" s="9"/>
      <c r="I14" s="9"/>
      <c r="J14" s="9"/>
    </row>
    <row r="15" spans="1:10" x14ac:dyDescent="0.25">
      <c r="A15" s="8"/>
      <c r="B15" s="9"/>
      <c r="C15" s="9"/>
      <c r="D15" s="9"/>
      <c r="E15" s="9"/>
      <c r="F15" s="12"/>
      <c r="G15" s="9"/>
      <c r="H15" s="9"/>
      <c r="I15" s="9"/>
      <c r="J15" s="9"/>
    </row>
    <row r="16" spans="1:10" x14ac:dyDescent="0.25">
      <c r="A16" s="8"/>
      <c r="B16" s="9"/>
      <c r="C16" s="9"/>
      <c r="D16" s="9"/>
      <c r="E16" s="9"/>
      <c r="F16" s="12"/>
      <c r="G16" s="9"/>
      <c r="H16" s="9"/>
      <c r="I16" s="9"/>
      <c r="J16" s="9"/>
    </row>
    <row r="17" spans="1:10" x14ac:dyDescent="0.25">
      <c r="A17" s="8"/>
      <c r="B17" s="9"/>
      <c r="C17" s="9"/>
      <c r="D17" s="9"/>
      <c r="E17" s="9"/>
      <c r="F17" s="12"/>
      <c r="G17" s="9"/>
      <c r="H17" s="9"/>
      <c r="I17" s="9"/>
      <c r="J17" s="9"/>
    </row>
    <row r="18" spans="1:10" x14ac:dyDescent="0.25">
      <c r="A18" s="8"/>
      <c r="B18" s="9"/>
      <c r="C18" s="9"/>
      <c r="D18" s="9"/>
      <c r="E18" s="9"/>
      <c r="F18" s="12"/>
      <c r="G18" s="9"/>
      <c r="H18" s="9"/>
      <c r="I18" s="9"/>
      <c r="J18" s="9"/>
    </row>
    <row r="19" spans="1:10" x14ac:dyDescent="0.25">
      <c r="A19" s="8"/>
      <c r="B19" s="9"/>
      <c r="C19" s="9"/>
      <c r="D19" s="9"/>
      <c r="E19" s="9"/>
      <c r="F19" s="12"/>
      <c r="G19" s="9"/>
      <c r="H19" s="9"/>
      <c r="I19" s="9"/>
      <c r="J19" s="9"/>
    </row>
    <row r="20" spans="1:10" x14ac:dyDescent="0.25">
      <c r="A20" s="8"/>
      <c r="B20" s="9"/>
      <c r="C20" s="9"/>
      <c r="D20" s="9"/>
      <c r="E20" s="9"/>
      <c r="F20" s="12"/>
      <c r="G20" s="9"/>
      <c r="H20" s="9"/>
      <c r="I20" s="9"/>
      <c r="J20" s="9"/>
    </row>
    <row r="21" spans="1:10" x14ac:dyDescent="0.25">
      <c r="A21" s="8"/>
      <c r="B21" s="9"/>
      <c r="C21" s="9"/>
      <c r="D21" s="9"/>
      <c r="E21" s="9"/>
      <c r="F21" s="12"/>
      <c r="G21" s="9"/>
      <c r="H21" s="9"/>
      <c r="I21" s="9"/>
      <c r="J21" s="9"/>
    </row>
    <row r="22" spans="1:10" x14ac:dyDescent="0.25">
      <c r="A22" s="8"/>
      <c r="B22" s="9"/>
      <c r="C22" s="9"/>
      <c r="D22" s="9"/>
      <c r="E22" s="9"/>
      <c r="F22" s="12"/>
      <c r="G22" s="9"/>
      <c r="H22" s="9"/>
      <c r="I22" s="9"/>
      <c r="J22" s="9"/>
    </row>
    <row r="23" spans="1:10" x14ac:dyDescent="0.25">
      <c r="A23" s="8"/>
      <c r="B23" s="9"/>
      <c r="C23" s="9"/>
      <c r="D23" s="9"/>
      <c r="E23" s="9"/>
      <c r="F23" s="12"/>
      <c r="G23" s="9"/>
      <c r="H23" s="9"/>
      <c r="I23" s="9"/>
      <c r="J23" s="9"/>
    </row>
    <row r="24" spans="1:10" x14ac:dyDescent="0.25">
      <c r="A24" s="8"/>
      <c r="B24" s="9"/>
      <c r="C24" s="9"/>
      <c r="D24" s="9"/>
      <c r="E24" s="9"/>
      <c r="F24" s="12"/>
      <c r="G24" s="9"/>
      <c r="H24" s="9"/>
      <c r="I24" s="9"/>
      <c r="J24" s="9"/>
    </row>
    <row r="25" spans="1:10" x14ac:dyDescent="0.25">
      <c r="A25" s="8"/>
      <c r="B25" s="9"/>
      <c r="C25" s="9"/>
      <c r="D25" s="9"/>
      <c r="E25" s="9"/>
      <c r="F25" s="12"/>
      <c r="G25" s="9"/>
      <c r="H25" s="9"/>
      <c r="I25" s="9"/>
      <c r="J25" s="9"/>
    </row>
    <row r="26" spans="1:10" x14ac:dyDescent="0.25">
      <c r="A26" s="8"/>
      <c r="B26" s="9"/>
      <c r="C26" s="9"/>
      <c r="D26" s="9"/>
      <c r="E26" s="9"/>
      <c r="F26" s="12"/>
      <c r="G26" s="9"/>
      <c r="H26" s="9"/>
      <c r="I26" s="9"/>
      <c r="J26" s="9"/>
    </row>
    <row r="27" spans="1:10" x14ac:dyDescent="0.25">
      <c r="A27" s="8"/>
      <c r="B27" s="9"/>
      <c r="C27" s="9"/>
      <c r="D27" s="9"/>
      <c r="E27" s="9"/>
      <c r="F27" s="12"/>
      <c r="G27" s="9"/>
      <c r="H27" s="9"/>
      <c r="I27" s="9"/>
      <c r="J27" s="9"/>
    </row>
    <row r="28" spans="1:10" x14ac:dyDescent="0.25">
      <c r="A28" s="8"/>
      <c r="B28" s="9"/>
      <c r="C28" s="9"/>
      <c r="D28" s="9"/>
      <c r="E28" s="9"/>
      <c r="F28" s="12"/>
      <c r="G28" s="9"/>
      <c r="H28" s="9"/>
      <c r="I28" s="9"/>
      <c r="J28" s="9"/>
    </row>
    <row r="29" spans="1:10" x14ac:dyDescent="0.25">
      <c r="A29" s="8"/>
      <c r="B29" s="9"/>
      <c r="C29" s="9"/>
      <c r="D29" s="9"/>
      <c r="E29" s="9"/>
      <c r="F29" s="12"/>
      <c r="G29" s="9"/>
      <c r="H29" s="9"/>
      <c r="I29" s="9"/>
      <c r="J29" s="9"/>
    </row>
    <row r="30" spans="1:10" x14ac:dyDescent="0.25">
      <c r="A30" s="8"/>
      <c r="B30" s="9"/>
      <c r="C30" s="9"/>
      <c r="D30" s="9"/>
      <c r="E30" s="9"/>
      <c r="F30" s="12"/>
      <c r="G30" s="9"/>
      <c r="H30" s="9"/>
      <c r="I30" s="9"/>
      <c r="J30" s="9"/>
    </row>
    <row r="31" spans="1:10" x14ac:dyDescent="0.25">
      <c r="A31" s="8"/>
      <c r="B31" s="9"/>
      <c r="C31" s="9"/>
      <c r="D31" s="9"/>
      <c r="E31" s="9"/>
      <c r="F31" s="12"/>
      <c r="G31" s="9"/>
      <c r="H31" s="9"/>
      <c r="I31" s="9"/>
      <c r="J31" s="9"/>
    </row>
    <row r="32" spans="1:10" x14ac:dyDescent="0.25">
      <c r="A32" s="8"/>
      <c r="B32" s="9"/>
      <c r="C32" s="9"/>
      <c r="D32" s="9"/>
      <c r="E32" s="9"/>
      <c r="F32" s="12"/>
      <c r="G32" s="9"/>
      <c r="H32" s="9"/>
      <c r="I32" s="9"/>
      <c r="J32" s="9"/>
    </row>
    <row r="33" spans="1:10" x14ac:dyDescent="0.25">
      <c r="A33" s="8"/>
      <c r="B33" s="9"/>
      <c r="C33" s="9"/>
      <c r="D33" s="9"/>
      <c r="E33" s="9"/>
      <c r="F33" s="12"/>
      <c r="G33" s="9"/>
      <c r="H33" s="9"/>
      <c r="I33" s="9"/>
      <c r="J33" s="9"/>
    </row>
    <row r="34" spans="1:10" x14ac:dyDescent="0.25">
      <c r="A34" s="36"/>
      <c r="B34" s="37"/>
      <c r="C34" s="37"/>
      <c r="D34" s="37"/>
      <c r="E34" s="37"/>
      <c r="F34" s="38"/>
      <c r="G34" s="39"/>
      <c r="H34" s="37"/>
      <c r="I34" s="37"/>
      <c r="J34" s="37"/>
    </row>
    <row r="35" spans="1:10" x14ac:dyDescent="0.25">
      <c r="A35" s="36"/>
      <c r="B35" s="37"/>
      <c r="C35" s="37"/>
      <c r="D35" s="37"/>
      <c r="E35" s="37"/>
      <c r="F35" s="38"/>
      <c r="G35" s="39"/>
      <c r="H35" s="37"/>
      <c r="I35" s="37"/>
      <c r="J35" s="37"/>
    </row>
    <row r="36" spans="1:10" x14ac:dyDescent="0.25">
      <c r="A36" s="36"/>
      <c r="B36" s="37"/>
      <c r="C36" s="37"/>
      <c r="D36" s="37"/>
      <c r="E36" s="37"/>
      <c r="F36" s="38"/>
      <c r="G36" s="39"/>
      <c r="H36" s="37"/>
      <c r="I36" s="37"/>
      <c r="J36" s="37"/>
    </row>
    <row r="37" spans="1:10" x14ac:dyDescent="0.25">
      <c r="A37" s="36"/>
      <c r="B37" s="37"/>
      <c r="C37" s="37"/>
      <c r="D37" s="37"/>
      <c r="E37" s="37"/>
      <c r="F37" s="38"/>
      <c r="G37" s="39"/>
      <c r="H37" s="37"/>
      <c r="I37" s="37"/>
      <c r="J37" s="37"/>
    </row>
    <row r="38" spans="1:10" x14ac:dyDescent="0.25">
      <c r="A38" s="36"/>
      <c r="B38" s="37"/>
      <c r="C38" s="37"/>
      <c r="D38" s="37"/>
      <c r="E38" s="37"/>
      <c r="F38" s="38"/>
      <c r="G38" s="39"/>
      <c r="H38" s="37"/>
      <c r="I38" s="37"/>
      <c r="J38" s="37"/>
    </row>
    <row r="39" spans="1:10" x14ac:dyDescent="0.25">
      <c r="A39" s="36"/>
      <c r="B39" s="37"/>
      <c r="C39" s="37"/>
      <c r="D39" s="37"/>
      <c r="E39" s="37"/>
      <c r="F39" s="38"/>
      <c r="G39" s="39"/>
      <c r="H39" s="37"/>
      <c r="I39" s="37"/>
      <c r="J39" s="37"/>
    </row>
    <row r="40" spans="1:10" x14ac:dyDescent="0.25">
      <c r="A40" s="36"/>
      <c r="B40" s="37"/>
      <c r="C40" s="37"/>
      <c r="D40" s="37"/>
      <c r="E40" s="37"/>
      <c r="F40" s="38"/>
      <c r="G40" s="39"/>
      <c r="H40" s="37"/>
      <c r="I40" s="37"/>
      <c r="J40" s="37"/>
    </row>
    <row r="41" spans="1:10" x14ac:dyDescent="0.25">
      <c r="A41" s="36"/>
      <c r="B41" s="37"/>
      <c r="C41" s="37"/>
      <c r="D41" s="37"/>
      <c r="E41" s="37"/>
      <c r="F41" s="38"/>
      <c r="G41" s="39"/>
      <c r="H41" s="37"/>
      <c r="I41" s="37"/>
      <c r="J41" s="37"/>
    </row>
    <row r="42" spans="1:10" x14ac:dyDescent="0.25">
      <c r="A42" s="36"/>
      <c r="B42" s="37"/>
      <c r="C42" s="37"/>
      <c r="D42" s="37"/>
      <c r="E42" s="37"/>
      <c r="F42" s="38"/>
      <c r="G42" s="39"/>
      <c r="H42" s="37"/>
      <c r="I42" s="37"/>
      <c r="J42" s="37"/>
    </row>
    <row r="43" spans="1:10" x14ac:dyDescent="0.25">
      <c r="A43" s="36"/>
      <c r="B43" s="37"/>
      <c r="C43" s="37"/>
      <c r="D43" s="37"/>
      <c r="E43" s="37"/>
      <c r="F43" s="38"/>
      <c r="G43" s="39"/>
      <c r="H43" s="37"/>
      <c r="I43" s="37"/>
      <c r="J43" s="37"/>
    </row>
    <row r="44" spans="1:10" x14ac:dyDescent="0.25">
      <c r="A44" s="36"/>
      <c r="B44" s="37"/>
      <c r="C44" s="37"/>
      <c r="D44" s="37"/>
      <c r="E44" s="37"/>
      <c r="F44" s="38"/>
      <c r="G44" s="39"/>
      <c r="H44" s="37"/>
      <c r="I44" s="37"/>
      <c r="J44" s="37"/>
    </row>
    <row r="45" spans="1:10" x14ac:dyDescent="0.25">
      <c r="A45" s="36"/>
      <c r="B45" s="37"/>
      <c r="C45" s="37"/>
      <c r="D45" s="37"/>
      <c r="E45" s="37"/>
      <c r="F45" s="38"/>
      <c r="G45" s="39"/>
      <c r="H45" s="37"/>
      <c r="I45" s="37"/>
      <c r="J45" s="37"/>
    </row>
    <row r="46" spans="1:10" x14ac:dyDescent="0.25">
      <c r="A46" s="36"/>
      <c r="B46" s="37"/>
      <c r="C46" s="37"/>
      <c r="D46" s="37"/>
      <c r="E46" s="37"/>
      <c r="F46" s="38"/>
      <c r="G46" s="39"/>
      <c r="H46" s="37"/>
      <c r="I46" s="37"/>
      <c r="J46" s="37"/>
    </row>
    <row r="47" spans="1:10" x14ac:dyDescent="0.25">
      <c r="A47" s="36"/>
      <c r="B47" s="37"/>
      <c r="C47" s="37"/>
      <c r="D47" s="37"/>
      <c r="E47" s="37"/>
      <c r="F47" s="38"/>
      <c r="G47" s="39"/>
      <c r="H47" s="37"/>
      <c r="I47" s="37"/>
      <c r="J47" s="37"/>
    </row>
    <row r="48" spans="1:10" x14ac:dyDescent="0.25">
      <c r="A48" s="36"/>
      <c r="B48" s="37"/>
      <c r="C48" s="37"/>
      <c r="D48" s="37"/>
      <c r="E48" s="37"/>
      <c r="F48" s="38"/>
      <c r="G48" s="39"/>
      <c r="H48" s="37"/>
      <c r="I48" s="37"/>
      <c r="J48" s="37"/>
    </row>
    <row r="49" spans="1:10" x14ac:dyDescent="0.25">
      <c r="A49" s="36"/>
      <c r="B49" s="37"/>
      <c r="C49" s="37"/>
      <c r="D49" s="37"/>
      <c r="E49" s="37"/>
      <c r="F49" s="38"/>
      <c r="G49" s="39"/>
      <c r="H49" s="37"/>
      <c r="I49" s="37"/>
      <c r="J49" s="37"/>
    </row>
    <row r="50" spans="1:10" x14ac:dyDescent="0.25">
      <c r="A50" s="36"/>
      <c r="B50" s="37"/>
      <c r="C50" s="37"/>
      <c r="D50" s="37"/>
      <c r="E50" s="37"/>
      <c r="F50" s="38"/>
      <c r="G50" s="39"/>
      <c r="H50" s="37"/>
      <c r="I50" s="37"/>
      <c r="J50" s="37"/>
    </row>
    <row r="51" spans="1:10" x14ac:dyDescent="0.25">
      <c r="A51" s="36"/>
      <c r="B51" s="37"/>
      <c r="C51" s="37"/>
      <c r="D51" s="37"/>
      <c r="E51" s="37"/>
      <c r="F51" s="38"/>
      <c r="G51" s="39"/>
      <c r="H51" s="37"/>
      <c r="I51" s="37"/>
      <c r="J51" s="37"/>
    </row>
    <row r="52" spans="1:10" x14ac:dyDescent="0.25">
      <c r="A52" s="36"/>
      <c r="B52" s="37"/>
      <c r="C52" s="37"/>
      <c r="D52" s="37"/>
      <c r="E52" s="37"/>
      <c r="F52" s="38"/>
      <c r="G52" s="39"/>
      <c r="H52" s="37"/>
      <c r="I52" s="37"/>
      <c r="J52" s="37"/>
    </row>
    <row r="53" spans="1:10" x14ac:dyDescent="0.25">
      <c r="A53" s="36"/>
      <c r="B53" s="37"/>
      <c r="C53" s="37"/>
      <c r="D53" s="37"/>
      <c r="E53" s="37"/>
      <c r="F53" s="38"/>
      <c r="G53" s="39"/>
      <c r="H53" s="37"/>
      <c r="I53" s="37"/>
      <c r="J53" s="37"/>
    </row>
    <row r="54" spans="1:10" x14ac:dyDescent="0.25">
      <c r="A54" s="36"/>
      <c r="B54" s="37"/>
      <c r="C54" s="37"/>
      <c r="D54" s="37"/>
      <c r="E54" s="37"/>
      <c r="F54" s="38"/>
      <c r="G54" s="39"/>
      <c r="H54" s="37"/>
      <c r="I54" s="37"/>
      <c r="J54" s="37"/>
    </row>
    <row r="55" spans="1:10" x14ac:dyDescent="0.25">
      <c r="A55" s="36"/>
      <c r="B55" s="37"/>
      <c r="C55" s="37"/>
      <c r="D55" s="37"/>
      <c r="E55" s="37"/>
      <c r="F55" s="38"/>
      <c r="G55" s="39"/>
      <c r="H55" s="37"/>
      <c r="I55" s="37"/>
      <c r="J55" s="37"/>
    </row>
    <row r="56" spans="1:10" x14ac:dyDescent="0.25">
      <c r="A56" s="36"/>
      <c r="B56" s="37"/>
      <c r="C56" s="37"/>
      <c r="D56" s="37"/>
      <c r="E56" s="37"/>
      <c r="F56" s="38"/>
      <c r="G56" s="39"/>
      <c r="H56" s="37"/>
      <c r="I56" s="37"/>
      <c r="J56" s="37"/>
    </row>
    <row r="57" spans="1:10" x14ac:dyDescent="0.25">
      <c r="A57" s="36"/>
      <c r="B57" s="37"/>
      <c r="C57" s="37"/>
      <c r="D57" s="37"/>
      <c r="E57" s="37"/>
      <c r="F57" s="38"/>
      <c r="G57" s="39"/>
      <c r="H57" s="37"/>
      <c r="I57" s="37"/>
      <c r="J57" s="37"/>
    </row>
    <row r="58" spans="1:10" x14ac:dyDescent="0.25">
      <c r="A58" s="36"/>
      <c r="B58" s="37"/>
      <c r="C58" s="37"/>
      <c r="D58" s="37"/>
      <c r="E58" s="37"/>
      <c r="F58" s="38"/>
      <c r="G58" s="39"/>
      <c r="H58" s="37"/>
      <c r="I58" s="37"/>
      <c r="J58" s="37"/>
    </row>
    <row r="59" spans="1:10" x14ac:dyDescent="0.25">
      <c r="A59" s="36"/>
      <c r="B59" s="37"/>
      <c r="C59" s="37"/>
      <c r="D59" s="37"/>
      <c r="E59" s="37"/>
      <c r="F59" s="38"/>
      <c r="G59" s="39"/>
      <c r="H59" s="37"/>
      <c r="I59" s="37"/>
      <c r="J59" s="37"/>
    </row>
    <row r="60" spans="1:10" x14ac:dyDescent="0.25">
      <c r="A60" s="36"/>
      <c r="B60" s="37"/>
      <c r="C60" s="37"/>
      <c r="D60" s="37"/>
      <c r="E60" s="37"/>
      <c r="F60" s="38"/>
      <c r="G60" s="39"/>
      <c r="H60" s="37"/>
      <c r="I60" s="37"/>
      <c r="J60" s="37"/>
    </row>
    <row r="61" spans="1:10" x14ac:dyDescent="0.25">
      <c r="A61" s="36"/>
      <c r="B61" s="37"/>
      <c r="C61" s="37"/>
      <c r="D61" s="37"/>
      <c r="E61" s="37"/>
      <c r="F61" s="38"/>
      <c r="G61" s="39"/>
      <c r="H61" s="37"/>
      <c r="I61" s="37"/>
      <c r="J61" s="37"/>
    </row>
    <row r="62" spans="1:10" x14ac:dyDescent="0.25">
      <c r="A62" s="36"/>
      <c r="B62" s="37"/>
      <c r="C62" s="37"/>
      <c r="D62" s="37"/>
      <c r="E62" s="37"/>
      <c r="F62" s="38"/>
      <c r="G62" s="39"/>
      <c r="H62" s="37"/>
      <c r="I62" s="37"/>
      <c r="J62" s="37"/>
    </row>
    <row r="63" spans="1:10" x14ac:dyDescent="0.25">
      <c r="A63" s="36"/>
      <c r="B63" s="37"/>
      <c r="C63" s="37"/>
      <c r="D63" s="37"/>
      <c r="E63" s="37"/>
      <c r="F63" s="38"/>
      <c r="G63" s="39"/>
      <c r="H63" s="37"/>
      <c r="I63" s="37"/>
      <c r="J63" s="37"/>
    </row>
    <row r="64" spans="1:10" x14ac:dyDescent="0.25">
      <c r="A64" s="36"/>
      <c r="B64" s="37"/>
      <c r="C64" s="37"/>
      <c r="D64" s="37"/>
      <c r="E64" s="37"/>
      <c r="F64" s="38"/>
      <c r="G64" s="39"/>
      <c r="H64" s="37"/>
      <c r="I64" s="37"/>
      <c r="J64" s="37"/>
    </row>
    <row r="65" spans="1:10" x14ac:dyDescent="0.25">
      <c r="A65" s="36"/>
      <c r="B65" s="37"/>
      <c r="C65" s="37"/>
      <c r="D65" s="37"/>
      <c r="E65" s="37"/>
      <c r="F65" s="38"/>
      <c r="G65" s="39"/>
      <c r="H65" s="37"/>
      <c r="I65" s="37"/>
      <c r="J65" s="37"/>
    </row>
    <row r="66" spans="1:10" x14ac:dyDescent="0.25">
      <c r="A66" s="36"/>
      <c r="B66" s="37"/>
      <c r="C66" s="37"/>
      <c r="D66" s="37"/>
      <c r="E66" s="37"/>
      <c r="F66" s="38"/>
      <c r="G66" s="39"/>
      <c r="H66" s="37"/>
      <c r="I66" s="37"/>
      <c r="J66" s="37"/>
    </row>
    <row r="67" spans="1:10" x14ac:dyDescent="0.25">
      <c r="A67" s="36"/>
      <c r="B67" s="37"/>
      <c r="C67" s="37"/>
      <c r="D67" s="37"/>
      <c r="E67" s="37"/>
      <c r="F67" s="38"/>
      <c r="G67" s="39"/>
      <c r="H67" s="37"/>
      <c r="I67" s="37"/>
      <c r="J67" s="37"/>
    </row>
    <row r="68" spans="1:10" x14ac:dyDescent="0.25">
      <c r="A68" s="36"/>
      <c r="B68" s="37"/>
      <c r="C68" s="37"/>
      <c r="D68" s="37"/>
      <c r="E68" s="37"/>
      <c r="F68" s="38"/>
      <c r="G68" s="39"/>
      <c r="H68" s="37"/>
      <c r="I68" s="37"/>
      <c r="J68" s="37"/>
    </row>
    <row r="69" spans="1:10" x14ac:dyDescent="0.25">
      <c r="A69" s="36"/>
      <c r="B69" s="37"/>
      <c r="C69" s="37"/>
      <c r="D69" s="37"/>
      <c r="E69" s="37"/>
      <c r="F69" s="38"/>
      <c r="G69" s="39"/>
      <c r="H69" s="37"/>
      <c r="I69" s="37"/>
      <c r="J69" s="37"/>
    </row>
    <row r="70" spans="1:10" x14ac:dyDescent="0.25">
      <c r="A70" s="36"/>
      <c r="B70" s="37"/>
      <c r="C70" s="37"/>
      <c r="D70" s="37"/>
      <c r="E70" s="37"/>
      <c r="F70" s="38"/>
      <c r="G70" s="39"/>
      <c r="H70" s="37"/>
      <c r="I70" s="37"/>
      <c r="J70" s="37"/>
    </row>
    <row r="71" spans="1:10" x14ac:dyDescent="0.25">
      <c r="A71" s="36"/>
      <c r="B71" s="37"/>
      <c r="C71" s="37"/>
      <c r="D71" s="37"/>
      <c r="E71" s="37"/>
      <c r="F71" s="38"/>
      <c r="G71" s="39"/>
      <c r="H71" s="37"/>
      <c r="I71" s="37"/>
      <c r="J71" s="37"/>
    </row>
    <row r="72" spans="1:10" x14ac:dyDescent="0.25">
      <c r="A72" s="36"/>
      <c r="B72" s="37"/>
      <c r="C72" s="37"/>
      <c r="D72" s="37"/>
      <c r="E72" s="37"/>
      <c r="F72" s="38"/>
      <c r="G72" s="39"/>
      <c r="H72" s="37"/>
      <c r="I72" s="37"/>
      <c r="J72" s="37"/>
    </row>
    <row r="73" spans="1:10" x14ac:dyDescent="0.25">
      <c r="A73" s="36"/>
      <c r="B73" s="37"/>
      <c r="C73" s="37"/>
      <c r="D73" s="37"/>
      <c r="E73" s="37"/>
      <c r="F73" s="38"/>
      <c r="G73" s="39"/>
      <c r="H73" s="37"/>
      <c r="I73" s="37"/>
      <c r="J73" s="37"/>
    </row>
    <row r="74" spans="1:10" x14ac:dyDescent="0.25">
      <c r="A74" s="36"/>
      <c r="B74" s="37"/>
      <c r="C74" s="37"/>
      <c r="D74" s="37"/>
      <c r="E74" s="37"/>
      <c r="F74" s="38"/>
      <c r="G74" s="39"/>
      <c r="H74" s="37"/>
      <c r="I74" s="37"/>
      <c r="J74" s="37"/>
    </row>
    <row r="75" spans="1:10" x14ac:dyDescent="0.25">
      <c r="A75" s="36"/>
      <c r="B75" s="37"/>
      <c r="C75" s="37"/>
      <c r="D75" s="37"/>
      <c r="E75" s="37"/>
      <c r="F75" s="38"/>
      <c r="G75" s="39"/>
      <c r="H75" s="37"/>
      <c r="I75" s="37"/>
      <c r="J75" s="37"/>
    </row>
    <row r="76" spans="1:10" x14ac:dyDescent="0.25">
      <c r="A76" s="36"/>
      <c r="B76" s="37"/>
      <c r="C76" s="37"/>
      <c r="D76" s="37"/>
      <c r="E76" s="37"/>
      <c r="F76" s="38"/>
      <c r="G76" s="39"/>
      <c r="H76" s="37"/>
      <c r="I76" s="37"/>
      <c r="J76" s="37"/>
    </row>
    <row r="77" spans="1:10" x14ac:dyDescent="0.25">
      <c r="A77" s="36"/>
      <c r="B77" s="37"/>
      <c r="C77" s="37"/>
      <c r="D77" s="37"/>
      <c r="E77" s="37"/>
      <c r="F77" s="38"/>
      <c r="G77" s="39"/>
      <c r="H77" s="37"/>
      <c r="I77" s="37"/>
      <c r="J77" s="37"/>
    </row>
    <row r="78" spans="1:10" x14ac:dyDescent="0.25">
      <c r="A78" s="36"/>
      <c r="B78" s="37"/>
      <c r="C78" s="37"/>
      <c r="D78" s="37"/>
      <c r="E78" s="37"/>
      <c r="F78" s="38"/>
      <c r="G78" s="39"/>
      <c r="H78" s="37"/>
      <c r="I78" s="37"/>
      <c r="J78" s="37"/>
    </row>
    <row r="79" spans="1:10" x14ac:dyDescent="0.25">
      <c r="A79" s="36"/>
      <c r="B79" s="37"/>
      <c r="C79" s="37"/>
      <c r="D79" s="37"/>
      <c r="E79" s="37"/>
      <c r="F79" s="38"/>
      <c r="G79" s="39"/>
      <c r="H79" s="37"/>
      <c r="I79" s="37"/>
      <c r="J79" s="37"/>
    </row>
    <row r="80" spans="1:10" x14ac:dyDescent="0.25">
      <c r="A80" s="36"/>
      <c r="B80" s="37"/>
      <c r="C80" s="37"/>
      <c r="D80" s="37"/>
      <c r="E80" s="37"/>
      <c r="F80" s="38"/>
      <c r="G80" s="39"/>
      <c r="H80" s="37"/>
      <c r="I80" s="37"/>
      <c r="J80" s="37"/>
    </row>
    <row r="81" spans="1:10" x14ac:dyDescent="0.25">
      <c r="A81" s="36"/>
      <c r="B81" s="37"/>
      <c r="C81" s="37"/>
      <c r="D81" s="37"/>
      <c r="E81" s="37"/>
      <c r="F81" s="38"/>
      <c r="G81" s="39"/>
      <c r="H81" s="37"/>
      <c r="I81" s="37"/>
      <c r="J81" s="37"/>
    </row>
    <row r="82" spans="1:10" x14ac:dyDescent="0.25">
      <c r="A82" s="36"/>
      <c r="B82" s="37"/>
      <c r="C82" s="37"/>
      <c r="D82" s="37"/>
      <c r="E82" s="37"/>
      <c r="F82" s="38"/>
      <c r="G82" s="39"/>
      <c r="H82" s="37"/>
      <c r="I82" s="37"/>
      <c r="J82" s="37"/>
    </row>
    <row r="83" spans="1:10" x14ac:dyDescent="0.25">
      <c r="A83" s="36"/>
      <c r="B83" s="37"/>
      <c r="C83" s="37"/>
      <c r="D83" s="37"/>
      <c r="E83" s="37"/>
      <c r="F83" s="38"/>
      <c r="G83" s="39"/>
      <c r="H83" s="37"/>
      <c r="I83" s="37"/>
      <c r="J83" s="37"/>
    </row>
    <row r="84" spans="1:10" x14ac:dyDescent="0.25">
      <c r="A84" s="36"/>
      <c r="B84" s="37"/>
      <c r="C84" s="37"/>
      <c r="D84" s="37"/>
      <c r="E84" s="37"/>
      <c r="F84" s="38"/>
      <c r="G84" s="39"/>
      <c r="H84" s="37"/>
      <c r="I84" s="37"/>
      <c r="J84" s="37"/>
    </row>
    <row r="85" spans="1:10" x14ac:dyDescent="0.25">
      <c r="A85" s="36"/>
      <c r="B85" s="37"/>
      <c r="C85" s="37"/>
      <c r="D85" s="37"/>
      <c r="E85" s="37"/>
      <c r="F85" s="38"/>
      <c r="G85" s="39"/>
      <c r="H85" s="37"/>
      <c r="I85" s="37"/>
      <c r="J85" s="37"/>
    </row>
    <row r="86" spans="1:10" x14ac:dyDescent="0.25">
      <c r="A86" s="36"/>
      <c r="B86" s="37"/>
      <c r="C86" s="37"/>
      <c r="D86" s="37"/>
      <c r="E86" s="37"/>
      <c r="F86" s="38"/>
      <c r="G86" s="39"/>
      <c r="H86" s="37"/>
      <c r="I86" s="37"/>
      <c r="J86" s="37"/>
    </row>
    <row r="87" spans="1:10" x14ac:dyDescent="0.25">
      <c r="A87" s="36"/>
      <c r="B87" s="37"/>
      <c r="C87" s="37"/>
      <c r="D87" s="37"/>
      <c r="E87" s="37"/>
      <c r="F87" s="38"/>
      <c r="G87" s="39"/>
      <c r="H87" s="37"/>
      <c r="I87" s="37"/>
      <c r="J87" s="37"/>
    </row>
    <row r="88" spans="1:10" x14ac:dyDescent="0.25">
      <c r="A88" s="36"/>
      <c r="B88" s="37"/>
      <c r="C88" s="37"/>
      <c r="D88" s="37"/>
      <c r="E88" s="37"/>
      <c r="F88" s="38"/>
      <c r="G88" s="39"/>
      <c r="H88" s="37"/>
      <c r="I88" s="37"/>
      <c r="J88" s="37"/>
    </row>
    <row r="89" spans="1:10" x14ac:dyDescent="0.25">
      <c r="A89" s="36"/>
      <c r="B89" s="37"/>
      <c r="C89" s="37"/>
      <c r="D89" s="37"/>
      <c r="E89" s="37"/>
      <c r="F89" s="38"/>
      <c r="G89" s="39"/>
      <c r="H89" s="37"/>
      <c r="I89" s="37"/>
      <c r="J89" s="37"/>
    </row>
    <row r="90" spans="1:10" x14ac:dyDescent="0.25">
      <c r="A90" s="36"/>
      <c r="B90" s="37"/>
      <c r="C90" s="37"/>
      <c r="D90" s="37"/>
      <c r="E90" s="37"/>
      <c r="F90" s="38"/>
      <c r="G90" s="39"/>
      <c r="H90" s="37"/>
      <c r="I90" s="37"/>
      <c r="J90" s="37"/>
    </row>
    <row r="91" spans="1:10" x14ac:dyDescent="0.25">
      <c r="A91" s="36"/>
      <c r="B91" s="37"/>
      <c r="C91" s="37"/>
      <c r="D91" s="37"/>
      <c r="E91" s="37"/>
      <c r="F91" s="38"/>
      <c r="G91" s="39"/>
      <c r="H91" s="37"/>
      <c r="I91" s="37"/>
      <c r="J91" s="37"/>
    </row>
    <row r="92" spans="1:10" x14ac:dyDescent="0.25">
      <c r="A92" s="36"/>
      <c r="B92" s="37"/>
      <c r="C92" s="37"/>
      <c r="D92" s="37"/>
      <c r="E92" s="37"/>
      <c r="F92" s="38"/>
      <c r="G92" s="39"/>
      <c r="H92" s="37"/>
      <c r="I92" s="37"/>
      <c r="J92" s="37"/>
    </row>
    <row r="93" spans="1:10" x14ac:dyDescent="0.25">
      <c r="A93" s="36"/>
      <c r="B93" s="37"/>
      <c r="C93" s="37"/>
      <c r="D93" s="37"/>
      <c r="E93" s="37"/>
      <c r="F93" s="38"/>
      <c r="G93" s="39"/>
      <c r="H93" s="37"/>
      <c r="I93" s="37"/>
      <c r="J93" s="37"/>
    </row>
    <row r="94" spans="1:10" x14ac:dyDescent="0.25">
      <c r="A94" s="36"/>
      <c r="B94" s="37"/>
      <c r="C94" s="37"/>
      <c r="D94" s="37"/>
      <c r="E94" s="37"/>
      <c r="F94" s="38"/>
      <c r="G94" s="39"/>
      <c r="H94" s="37"/>
      <c r="I94" s="37"/>
      <c r="J94" s="37"/>
    </row>
    <row r="95" spans="1:10" x14ac:dyDescent="0.25">
      <c r="A95" s="36"/>
      <c r="B95" s="37"/>
      <c r="C95" s="37"/>
      <c r="D95" s="37"/>
      <c r="E95" s="37"/>
      <c r="F95" s="38"/>
      <c r="G95" s="39"/>
      <c r="H95" s="37"/>
      <c r="I95" s="37"/>
      <c r="J95" s="37"/>
    </row>
    <row r="96" spans="1:10" x14ac:dyDescent="0.25">
      <c r="A96" s="36"/>
      <c r="B96" s="37"/>
      <c r="C96" s="37"/>
      <c r="D96" s="37"/>
      <c r="E96" s="37"/>
      <c r="F96" s="38"/>
      <c r="G96" s="39"/>
      <c r="H96" s="37"/>
      <c r="I96" s="37"/>
      <c r="J96" s="37"/>
    </row>
    <row r="97" spans="1:10" x14ac:dyDescent="0.25">
      <c r="A97" s="36"/>
      <c r="B97" s="37"/>
      <c r="C97" s="37"/>
      <c r="D97" s="37"/>
      <c r="E97" s="37"/>
      <c r="F97" s="38"/>
      <c r="G97" s="39"/>
      <c r="H97" s="37"/>
      <c r="I97" s="37"/>
      <c r="J97" s="37"/>
    </row>
    <row r="98" spans="1:10" x14ac:dyDescent="0.25">
      <c r="A98" s="36"/>
      <c r="B98" s="37"/>
      <c r="C98" s="37"/>
      <c r="D98" s="37"/>
      <c r="E98" s="37"/>
      <c r="F98" s="38"/>
      <c r="G98" s="39"/>
      <c r="H98" s="37"/>
      <c r="I98" s="37"/>
      <c r="J98" s="37"/>
    </row>
    <row r="99" spans="1:10" x14ac:dyDescent="0.25">
      <c r="A99" s="36"/>
      <c r="B99" s="37"/>
      <c r="C99" s="37"/>
      <c r="D99" s="37"/>
      <c r="E99" s="37"/>
      <c r="F99" s="38"/>
      <c r="G99" s="39"/>
      <c r="H99" s="37"/>
      <c r="I99" s="37"/>
      <c r="J99" s="37"/>
    </row>
    <row r="100" spans="1:10" x14ac:dyDescent="0.25">
      <c r="A100" s="36"/>
      <c r="B100" s="37"/>
      <c r="C100" s="37"/>
      <c r="D100" s="37"/>
      <c r="E100" s="37"/>
      <c r="F100" s="38"/>
      <c r="G100" s="39"/>
      <c r="H100" s="37"/>
      <c r="I100" s="37"/>
      <c r="J100" s="37"/>
    </row>
    <row r="101" spans="1:10" x14ac:dyDescent="0.25">
      <c r="A101" s="36"/>
      <c r="B101" s="37"/>
      <c r="C101" s="37"/>
      <c r="D101" s="37"/>
      <c r="E101" s="37"/>
      <c r="F101" s="38"/>
      <c r="G101" s="39"/>
      <c r="H101" s="37"/>
      <c r="I101" s="37"/>
      <c r="J101" s="37"/>
    </row>
    <row r="102" spans="1:10" x14ac:dyDescent="0.25">
      <c r="A102" s="36"/>
      <c r="B102" s="37"/>
      <c r="C102" s="37"/>
      <c r="D102" s="37"/>
      <c r="E102" s="37"/>
      <c r="F102" s="38"/>
      <c r="G102" s="39"/>
      <c r="H102" s="37"/>
      <c r="I102" s="37"/>
      <c r="J102" s="37"/>
    </row>
    <row r="103" spans="1:10" x14ac:dyDescent="0.25">
      <c r="A103" s="36"/>
      <c r="B103" s="37"/>
      <c r="C103" s="37"/>
      <c r="D103" s="37"/>
      <c r="E103" s="37"/>
      <c r="F103" s="38"/>
      <c r="G103" s="39"/>
      <c r="H103" s="37"/>
      <c r="I103" s="37"/>
      <c r="J103" s="37"/>
    </row>
    <row r="104" spans="1:10" x14ac:dyDescent="0.25">
      <c r="A104" s="36"/>
      <c r="B104" s="37"/>
      <c r="C104" s="37"/>
      <c r="D104" s="37"/>
      <c r="E104" s="37"/>
      <c r="F104" s="38"/>
      <c r="G104" s="39"/>
      <c r="H104" s="37"/>
      <c r="I104" s="37"/>
      <c r="J104" s="37"/>
    </row>
    <row r="105" spans="1:10" x14ac:dyDescent="0.25">
      <c r="A105" s="36"/>
      <c r="B105" s="37"/>
      <c r="C105" s="37"/>
      <c r="D105" s="37"/>
      <c r="E105" s="37"/>
      <c r="F105" s="38"/>
      <c r="G105" s="39"/>
      <c r="H105" s="37"/>
      <c r="I105" s="37"/>
      <c r="J105" s="37"/>
    </row>
    <row r="106" spans="1:10" x14ac:dyDescent="0.25">
      <c r="A106" s="36"/>
      <c r="B106" s="37"/>
      <c r="C106" s="37"/>
      <c r="D106" s="37"/>
      <c r="E106" s="37"/>
      <c r="F106" s="38"/>
      <c r="G106" s="39"/>
      <c r="H106" s="37"/>
      <c r="I106" s="37"/>
      <c r="J106" s="37"/>
    </row>
    <row r="107" spans="1:10" x14ac:dyDescent="0.25">
      <c r="A107" s="36"/>
      <c r="B107" s="37"/>
      <c r="C107" s="37"/>
      <c r="D107" s="37"/>
      <c r="E107" s="37"/>
      <c r="F107" s="38"/>
      <c r="G107" s="39"/>
      <c r="H107" s="37"/>
      <c r="I107" s="37"/>
      <c r="J107" s="37"/>
    </row>
    <row r="108" spans="1:10" x14ac:dyDescent="0.25">
      <c r="A108" s="36"/>
      <c r="B108" s="37"/>
      <c r="C108" s="37"/>
      <c r="D108" s="37"/>
      <c r="E108" s="37"/>
      <c r="F108" s="38"/>
      <c r="G108" s="39"/>
      <c r="H108" s="37"/>
      <c r="I108" s="37"/>
      <c r="J108" s="37"/>
    </row>
    <row r="109" spans="1:10" x14ac:dyDescent="0.25">
      <c r="A109" s="36"/>
      <c r="B109" s="37"/>
      <c r="C109" s="37"/>
      <c r="D109" s="37"/>
      <c r="E109" s="37"/>
      <c r="F109" s="38"/>
      <c r="G109" s="39"/>
      <c r="H109" s="37"/>
      <c r="I109" s="37"/>
      <c r="J109" s="37"/>
    </row>
    <row r="110" spans="1:10" x14ac:dyDescent="0.25">
      <c r="A110" s="36"/>
      <c r="B110" s="37"/>
      <c r="C110" s="37"/>
      <c r="D110" s="37"/>
      <c r="E110" s="37"/>
      <c r="F110" s="38"/>
      <c r="G110" s="39"/>
      <c r="H110" s="37"/>
      <c r="I110" s="37"/>
      <c r="J110" s="37"/>
    </row>
    <row r="111" spans="1:10" x14ac:dyDescent="0.25">
      <c r="A111" s="36"/>
      <c r="B111" s="37"/>
      <c r="C111" s="37"/>
      <c r="D111" s="37"/>
      <c r="E111" s="37"/>
      <c r="F111" s="38"/>
      <c r="G111" s="39"/>
      <c r="H111" s="37"/>
      <c r="I111" s="37"/>
      <c r="J111" s="37"/>
    </row>
    <row r="112" spans="1:10" x14ac:dyDescent="0.25">
      <c r="A112" s="36"/>
      <c r="B112" s="37"/>
      <c r="C112" s="37"/>
      <c r="D112" s="37"/>
      <c r="E112" s="37"/>
      <c r="F112" s="38"/>
      <c r="G112" s="39"/>
      <c r="H112" s="37"/>
      <c r="I112" s="37"/>
      <c r="J112" s="37"/>
    </row>
    <row r="113" spans="1:10" x14ac:dyDescent="0.25">
      <c r="A113" s="36"/>
      <c r="B113" s="37"/>
      <c r="C113" s="37"/>
      <c r="D113" s="37"/>
      <c r="E113" s="37"/>
      <c r="F113" s="38"/>
      <c r="G113" s="39"/>
      <c r="H113" s="37"/>
      <c r="I113" s="37"/>
      <c r="J113" s="37"/>
    </row>
    <row r="114" spans="1:10" x14ac:dyDescent="0.25">
      <c r="A114" s="36"/>
      <c r="B114" s="37"/>
      <c r="C114" s="37"/>
      <c r="D114" s="37"/>
      <c r="E114" s="37"/>
      <c r="F114" s="38"/>
      <c r="G114" s="39"/>
      <c r="H114" s="37"/>
      <c r="I114" s="37"/>
      <c r="J114" s="37"/>
    </row>
    <row r="115" spans="1:10" x14ac:dyDescent="0.25">
      <c r="A115" s="36"/>
      <c r="B115" s="37"/>
      <c r="C115" s="37"/>
      <c r="D115" s="37"/>
      <c r="E115" s="37"/>
      <c r="F115" s="38"/>
      <c r="G115" s="39"/>
      <c r="H115" s="37"/>
      <c r="I115" s="37"/>
      <c r="J115" s="37"/>
    </row>
    <row r="116" spans="1:10" x14ac:dyDescent="0.25">
      <c r="A116" s="36"/>
      <c r="B116" s="37"/>
      <c r="C116" s="37"/>
      <c r="D116" s="37"/>
      <c r="E116" s="37"/>
      <c r="F116" s="38"/>
      <c r="G116" s="39"/>
      <c r="H116" s="37"/>
      <c r="I116" s="37"/>
      <c r="J116" s="37"/>
    </row>
    <row r="117" spans="1:10" x14ac:dyDescent="0.25">
      <c r="A117" s="36"/>
      <c r="B117" s="37"/>
      <c r="C117" s="37"/>
      <c r="D117" s="37"/>
      <c r="E117" s="37"/>
      <c r="F117" s="38"/>
      <c r="G117" s="39"/>
      <c r="H117" s="37"/>
      <c r="I117" s="37"/>
      <c r="J117" s="37"/>
    </row>
    <row r="118" spans="1:10" x14ac:dyDescent="0.25">
      <c r="A118" s="36"/>
      <c r="B118" s="37"/>
      <c r="C118" s="37"/>
      <c r="D118" s="37"/>
      <c r="E118" s="37"/>
      <c r="F118" s="38"/>
      <c r="G118" s="39"/>
      <c r="H118" s="37"/>
      <c r="I118" s="37"/>
      <c r="J118" s="37"/>
    </row>
    <row r="119" spans="1:10" x14ac:dyDescent="0.25">
      <c r="A119" s="36"/>
      <c r="B119" s="37"/>
      <c r="C119" s="37"/>
      <c r="D119" s="37"/>
      <c r="E119" s="37"/>
      <c r="F119" s="38"/>
      <c r="G119" s="39"/>
      <c r="H119" s="37"/>
      <c r="I119" s="37"/>
      <c r="J119" s="37"/>
    </row>
    <row r="120" spans="1:10" x14ac:dyDescent="0.25">
      <c r="A120" s="36"/>
      <c r="B120" s="37"/>
      <c r="C120" s="37"/>
      <c r="D120" s="37"/>
      <c r="E120" s="37"/>
      <c r="F120" s="38"/>
      <c r="G120" s="39"/>
      <c r="H120" s="37"/>
      <c r="I120" s="37"/>
      <c r="J120" s="37"/>
    </row>
    <row r="121" spans="1:10" x14ac:dyDescent="0.25">
      <c r="A121" s="36"/>
      <c r="B121" s="37"/>
      <c r="C121" s="37"/>
      <c r="D121" s="37"/>
      <c r="E121" s="37"/>
      <c r="F121" s="38"/>
      <c r="G121" s="39"/>
      <c r="H121" s="37"/>
      <c r="I121" s="37"/>
      <c r="J121" s="37"/>
    </row>
    <row r="122" spans="1:10" x14ac:dyDescent="0.25">
      <c r="A122" s="36"/>
      <c r="B122" s="37"/>
      <c r="C122" s="37"/>
      <c r="D122" s="37"/>
      <c r="E122" s="37"/>
      <c r="F122" s="38"/>
      <c r="G122" s="39"/>
      <c r="H122" s="37"/>
      <c r="I122" s="37"/>
      <c r="J122" s="37"/>
    </row>
    <row r="123" spans="1:10" x14ac:dyDescent="0.25">
      <c r="A123" s="36"/>
      <c r="B123" s="37"/>
      <c r="C123" s="37"/>
      <c r="D123" s="37"/>
      <c r="E123" s="37"/>
      <c r="F123" s="38"/>
      <c r="G123" s="39"/>
      <c r="H123" s="37"/>
      <c r="I123" s="37"/>
      <c r="J123" s="37"/>
    </row>
    <row r="124" spans="1:10" x14ac:dyDescent="0.25">
      <c r="A124" s="36"/>
      <c r="B124" s="37"/>
      <c r="C124" s="37"/>
      <c r="D124" s="37"/>
      <c r="E124" s="37"/>
      <c r="F124" s="38"/>
      <c r="G124" s="39"/>
      <c r="H124" s="37"/>
      <c r="I124" s="37"/>
      <c r="J124" s="37"/>
    </row>
    <row r="125" spans="1:10" x14ac:dyDescent="0.25">
      <c r="A125" s="36"/>
      <c r="B125" s="37"/>
      <c r="C125" s="37"/>
      <c r="D125" s="37"/>
      <c r="E125" s="37"/>
      <c r="F125" s="38"/>
      <c r="G125" s="39"/>
      <c r="H125" s="37"/>
      <c r="I125" s="37"/>
      <c r="J125" s="37"/>
    </row>
    <row r="126" spans="1:10" x14ac:dyDescent="0.25">
      <c r="A126" s="36"/>
      <c r="B126" s="37"/>
      <c r="C126" s="37"/>
      <c r="D126" s="37"/>
      <c r="E126" s="37"/>
      <c r="F126" s="38"/>
      <c r="G126" s="39"/>
      <c r="H126" s="37"/>
      <c r="I126" s="37"/>
      <c r="J126" s="37"/>
    </row>
    <row r="127" spans="1:10" x14ac:dyDescent="0.25">
      <c r="A127" s="36"/>
      <c r="B127" s="37"/>
      <c r="C127" s="37"/>
      <c r="D127" s="37"/>
      <c r="E127" s="37"/>
      <c r="F127" s="38"/>
      <c r="G127" s="39"/>
      <c r="H127" s="37"/>
      <c r="I127" s="37"/>
      <c r="J127" s="37"/>
    </row>
    <row r="128" spans="1:10" x14ac:dyDescent="0.25">
      <c r="A128" s="36"/>
      <c r="B128" s="37"/>
      <c r="C128" s="37"/>
      <c r="D128" s="37"/>
      <c r="E128" s="37"/>
      <c r="F128" s="38"/>
      <c r="G128" s="39"/>
      <c r="H128" s="37"/>
      <c r="I128" s="37"/>
      <c r="J128" s="37"/>
    </row>
    <row r="129" spans="1:10" x14ac:dyDescent="0.25">
      <c r="A129" s="36"/>
      <c r="B129" s="37"/>
      <c r="C129" s="37"/>
      <c r="D129" s="37"/>
      <c r="E129" s="37"/>
      <c r="F129" s="38"/>
      <c r="G129" s="39"/>
      <c r="H129" s="37"/>
      <c r="I129" s="37"/>
      <c r="J129" s="37"/>
    </row>
    <row r="130" spans="1:10" x14ac:dyDescent="0.25">
      <c r="A130" s="36"/>
      <c r="B130" s="37"/>
      <c r="C130" s="37"/>
      <c r="D130" s="37"/>
      <c r="E130" s="37"/>
      <c r="F130" s="38"/>
      <c r="G130" s="39"/>
      <c r="H130" s="37"/>
      <c r="I130" s="37"/>
      <c r="J130" s="37"/>
    </row>
    <row r="131" spans="1:10" x14ac:dyDescent="0.25">
      <c r="A131" s="36"/>
      <c r="B131" s="37"/>
      <c r="C131" s="37"/>
      <c r="D131" s="37"/>
      <c r="E131" s="37"/>
      <c r="F131" s="38"/>
      <c r="G131" s="39"/>
      <c r="H131" s="37"/>
      <c r="I131" s="37"/>
      <c r="J131" s="37"/>
    </row>
    <row r="132" spans="1:10" x14ac:dyDescent="0.25">
      <c r="A132" s="36"/>
      <c r="B132" s="37"/>
      <c r="C132" s="37"/>
      <c r="D132" s="37"/>
      <c r="E132" s="37"/>
      <c r="F132" s="38"/>
      <c r="G132" s="39"/>
      <c r="H132" s="37"/>
      <c r="I132" s="37"/>
      <c r="J132" s="37"/>
    </row>
    <row r="133" spans="1:10" x14ac:dyDescent="0.25">
      <c r="A133" s="36"/>
      <c r="B133" s="37"/>
      <c r="C133" s="37"/>
      <c r="D133" s="37"/>
      <c r="E133" s="37"/>
      <c r="F133" s="38"/>
      <c r="G133" s="39"/>
      <c r="H133" s="37"/>
      <c r="I133" s="37"/>
      <c r="J133" s="37"/>
    </row>
    <row r="134" spans="1:10" x14ac:dyDescent="0.25">
      <c r="A134" s="36"/>
      <c r="B134" s="37"/>
      <c r="C134" s="37"/>
      <c r="D134" s="37"/>
      <c r="E134" s="37"/>
      <c r="F134" s="38"/>
      <c r="G134" s="39"/>
      <c r="H134" s="37"/>
      <c r="I134" s="37"/>
      <c r="J134" s="37"/>
    </row>
    <row r="135" spans="1:10" x14ac:dyDescent="0.25">
      <c r="A135" s="36"/>
      <c r="B135" s="37"/>
      <c r="C135" s="37"/>
      <c r="D135" s="37"/>
      <c r="E135" s="37"/>
      <c r="F135" s="38"/>
      <c r="G135" s="39"/>
      <c r="H135" s="37"/>
      <c r="I135" s="37"/>
      <c r="J135" s="37"/>
    </row>
    <row r="136" spans="1:10" x14ac:dyDescent="0.25">
      <c r="A136" s="36"/>
      <c r="B136" s="37"/>
      <c r="C136" s="37"/>
      <c r="D136" s="37"/>
      <c r="E136" s="37"/>
      <c r="F136" s="38"/>
      <c r="G136" s="39"/>
      <c r="H136" s="37"/>
      <c r="I136" s="37"/>
      <c r="J136" s="37"/>
    </row>
    <row r="137" spans="1:10" x14ac:dyDescent="0.25">
      <c r="A137" s="36"/>
      <c r="B137" s="37"/>
      <c r="C137" s="37"/>
      <c r="D137" s="37"/>
      <c r="E137" s="37"/>
      <c r="F137" s="38"/>
      <c r="G137" s="39"/>
      <c r="H137" s="37"/>
      <c r="I137" s="37"/>
      <c r="J137" s="37"/>
    </row>
    <row r="138" spans="1:10" x14ac:dyDescent="0.25">
      <c r="A138" s="36"/>
      <c r="B138" s="37"/>
      <c r="C138" s="37"/>
      <c r="D138" s="37"/>
      <c r="E138" s="37"/>
      <c r="F138" s="38"/>
      <c r="G138" s="39"/>
      <c r="H138" s="37"/>
      <c r="I138" s="37"/>
      <c r="J138" s="37"/>
    </row>
    <row r="139" spans="1:10" x14ac:dyDescent="0.25">
      <c r="A139" s="36"/>
      <c r="B139" s="37"/>
      <c r="C139" s="37"/>
      <c r="D139" s="37"/>
      <c r="E139" s="37"/>
      <c r="F139" s="38"/>
      <c r="G139" s="39"/>
      <c r="H139" s="37"/>
      <c r="I139" s="37"/>
      <c r="J139" s="37"/>
    </row>
    <row r="140" spans="1:10" x14ac:dyDescent="0.25">
      <c r="A140" s="36"/>
      <c r="B140" s="37"/>
      <c r="C140" s="37"/>
      <c r="D140" s="37"/>
      <c r="E140" s="37"/>
      <c r="F140" s="38"/>
      <c r="G140" s="39"/>
      <c r="H140" s="37"/>
      <c r="I140" s="37"/>
      <c r="J140" s="37"/>
    </row>
    <row r="141" spans="1:10" x14ac:dyDescent="0.25">
      <c r="A141" s="36"/>
      <c r="B141" s="37"/>
      <c r="C141" s="37"/>
      <c r="D141" s="37"/>
      <c r="E141" s="37"/>
      <c r="F141" s="38"/>
      <c r="G141" s="39"/>
      <c r="H141" s="37"/>
      <c r="I141" s="37"/>
      <c r="J141" s="37"/>
    </row>
    <row r="142" spans="1:10" x14ac:dyDescent="0.25">
      <c r="A142" s="36"/>
      <c r="B142" s="37"/>
      <c r="C142" s="37"/>
      <c r="D142" s="37"/>
      <c r="E142" s="37"/>
      <c r="F142" s="38"/>
      <c r="G142" s="39"/>
      <c r="H142" s="37"/>
      <c r="I142" s="37"/>
      <c r="J142" s="37"/>
    </row>
    <row r="143" spans="1:10" x14ac:dyDescent="0.25">
      <c r="A143" s="36"/>
      <c r="B143" s="37"/>
      <c r="C143" s="37"/>
      <c r="D143" s="37"/>
      <c r="E143" s="37"/>
      <c r="F143" s="38"/>
      <c r="G143" s="39"/>
      <c r="H143" s="37"/>
      <c r="I143" s="37"/>
      <c r="J143" s="37"/>
    </row>
    <row r="144" spans="1:10" x14ac:dyDescent="0.25">
      <c r="A144" s="36"/>
      <c r="B144" s="37"/>
      <c r="C144" s="37"/>
      <c r="D144" s="37"/>
      <c r="E144" s="37"/>
      <c r="F144" s="38"/>
      <c r="G144" s="39"/>
      <c r="H144" s="37"/>
      <c r="I144" s="37"/>
      <c r="J144" s="37"/>
    </row>
    <row r="145" spans="1:10" x14ac:dyDescent="0.25">
      <c r="A145" s="36"/>
      <c r="B145" s="37"/>
      <c r="C145" s="37"/>
      <c r="D145" s="37"/>
      <c r="E145" s="37"/>
      <c r="F145" s="38"/>
      <c r="G145" s="39"/>
      <c r="H145" s="37"/>
      <c r="I145" s="37"/>
      <c r="J145" s="37"/>
    </row>
    <row r="146" spans="1:10" x14ac:dyDescent="0.25">
      <c r="A146" s="36"/>
      <c r="B146" s="37"/>
      <c r="C146" s="37"/>
      <c r="D146" s="37"/>
      <c r="E146" s="37"/>
      <c r="F146" s="38"/>
      <c r="G146" s="39"/>
      <c r="H146" s="37"/>
      <c r="I146" s="37"/>
      <c r="J146" s="37"/>
    </row>
    <row r="147" spans="1:10" x14ac:dyDescent="0.25">
      <c r="A147" s="36"/>
      <c r="B147" s="37"/>
      <c r="C147" s="37"/>
      <c r="D147" s="37"/>
      <c r="E147" s="37"/>
      <c r="F147" s="38"/>
      <c r="G147" s="39"/>
      <c r="H147" s="37"/>
      <c r="I147" s="37"/>
      <c r="J147" s="37"/>
    </row>
    <row r="148" spans="1:10" x14ac:dyDescent="0.25">
      <c r="A148" s="36"/>
      <c r="B148" s="37"/>
      <c r="C148" s="37"/>
      <c r="D148" s="37"/>
      <c r="E148" s="37"/>
      <c r="F148" s="38"/>
      <c r="G148" s="39"/>
      <c r="H148" s="37"/>
      <c r="I148" s="37"/>
      <c r="J148" s="37"/>
    </row>
    <row r="149" spans="1:10" x14ac:dyDescent="0.25">
      <c r="A149" s="36"/>
      <c r="B149" s="37"/>
      <c r="C149" s="37"/>
      <c r="D149" s="37"/>
      <c r="E149" s="37"/>
      <c r="F149" s="38"/>
      <c r="G149" s="39"/>
      <c r="H149" s="37"/>
      <c r="I149" s="37"/>
      <c r="J149" s="37"/>
    </row>
    <row r="150" spans="1:10" x14ac:dyDescent="0.25">
      <c r="A150" s="36"/>
      <c r="B150" s="37"/>
      <c r="C150" s="37"/>
      <c r="D150" s="37"/>
      <c r="E150" s="37"/>
      <c r="F150" s="38"/>
      <c r="G150" s="39"/>
      <c r="H150" s="37"/>
      <c r="I150" s="37"/>
      <c r="J150" s="37"/>
    </row>
    <row r="151" spans="1:10" x14ac:dyDescent="0.25">
      <c r="A151" s="36"/>
      <c r="B151" s="37"/>
      <c r="C151" s="37"/>
      <c r="D151" s="37"/>
      <c r="E151" s="37"/>
      <c r="F151" s="38"/>
      <c r="G151" s="39"/>
      <c r="H151" s="37"/>
      <c r="I151" s="37"/>
      <c r="J151" s="37"/>
    </row>
    <row r="152" spans="1:10" x14ac:dyDescent="0.25">
      <c r="A152" s="36"/>
      <c r="B152" s="37"/>
      <c r="C152" s="37"/>
      <c r="D152" s="37"/>
      <c r="E152" s="37"/>
      <c r="F152" s="38"/>
      <c r="G152" s="39"/>
      <c r="H152" s="37"/>
      <c r="I152" s="37"/>
      <c r="J152" s="37"/>
    </row>
    <row r="153" spans="1:10" x14ac:dyDescent="0.25">
      <c r="A153" s="36"/>
      <c r="B153" s="37"/>
      <c r="C153" s="37"/>
      <c r="D153" s="37"/>
      <c r="E153" s="37"/>
      <c r="F153" s="38"/>
      <c r="G153" s="39"/>
      <c r="H153" s="37"/>
      <c r="I153" s="37"/>
      <c r="J153" s="37"/>
    </row>
    <row r="154" spans="1:10" x14ac:dyDescent="0.25">
      <c r="A154" s="36"/>
      <c r="B154" s="37"/>
      <c r="C154" s="37"/>
      <c r="D154" s="37"/>
      <c r="E154" s="37"/>
      <c r="F154" s="38"/>
      <c r="G154" s="39"/>
      <c r="H154" s="37"/>
      <c r="I154" s="37"/>
      <c r="J154" s="37"/>
    </row>
    <row r="155" spans="1:10" x14ac:dyDescent="0.25">
      <c r="A155" s="36"/>
      <c r="B155" s="37"/>
      <c r="C155" s="37"/>
      <c r="D155" s="37"/>
      <c r="E155" s="37"/>
      <c r="F155" s="38"/>
      <c r="G155" s="39"/>
      <c r="H155" s="37"/>
      <c r="I155" s="37"/>
      <c r="J155" s="37"/>
    </row>
    <row r="156" spans="1:10" x14ac:dyDescent="0.25">
      <c r="A156" s="36"/>
      <c r="B156" s="37"/>
      <c r="C156" s="37"/>
      <c r="D156" s="37"/>
      <c r="E156" s="37"/>
      <c r="F156" s="38"/>
      <c r="G156" s="39"/>
      <c r="H156" s="37"/>
      <c r="I156" s="37"/>
      <c r="J156" s="37"/>
    </row>
    <row r="157" spans="1:10" x14ac:dyDescent="0.25">
      <c r="A157" s="36"/>
      <c r="B157" s="37"/>
      <c r="C157" s="37"/>
      <c r="D157" s="37"/>
      <c r="E157" s="37"/>
      <c r="F157" s="38"/>
      <c r="G157" s="39"/>
      <c r="H157" s="37"/>
      <c r="I157" s="37"/>
      <c r="J157" s="37"/>
    </row>
    <row r="158" spans="1:10" x14ac:dyDescent="0.25">
      <c r="A158" s="36"/>
      <c r="B158" s="37"/>
      <c r="C158" s="37"/>
      <c r="D158" s="37"/>
      <c r="E158" s="37"/>
      <c r="F158" s="38"/>
      <c r="G158" s="39"/>
      <c r="H158" s="37"/>
      <c r="I158" s="37"/>
      <c r="J158" s="37"/>
    </row>
    <row r="159" spans="1:10" x14ac:dyDescent="0.25">
      <c r="A159" s="36"/>
      <c r="B159" s="37"/>
      <c r="C159" s="37"/>
      <c r="D159" s="37"/>
      <c r="E159" s="37"/>
      <c r="F159" s="38"/>
      <c r="G159" s="39"/>
      <c r="H159" s="37"/>
      <c r="I159" s="37"/>
      <c r="J159" s="37"/>
    </row>
    <row r="160" spans="1:10" x14ac:dyDescent="0.25">
      <c r="A160" s="36"/>
      <c r="B160" s="37"/>
      <c r="C160" s="37"/>
      <c r="D160" s="37"/>
      <c r="E160" s="37"/>
      <c r="F160" s="38"/>
      <c r="G160" s="39"/>
      <c r="H160" s="37"/>
      <c r="I160" s="37"/>
      <c r="J160" s="37"/>
    </row>
    <row r="161" spans="1:10" x14ac:dyDescent="0.25">
      <c r="A161" s="36"/>
      <c r="B161" s="37"/>
      <c r="C161" s="37"/>
      <c r="D161" s="37"/>
      <c r="E161" s="37"/>
      <c r="F161" s="38"/>
      <c r="G161" s="39"/>
      <c r="H161" s="37"/>
      <c r="I161" s="37"/>
      <c r="J161" s="37"/>
    </row>
    <row r="162" spans="1:10" x14ac:dyDescent="0.25">
      <c r="A162" s="36"/>
      <c r="B162" s="37"/>
      <c r="C162" s="37"/>
      <c r="D162" s="37"/>
      <c r="E162" s="37"/>
      <c r="F162" s="38"/>
      <c r="G162" s="39"/>
      <c r="H162" s="37"/>
      <c r="I162" s="37"/>
      <c r="J162" s="37"/>
    </row>
    <row r="163" spans="1:10" x14ac:dyDescent="0.25">
      <c r="A163" s="36"/>
      <c r="B163" s="37"/>
      <c r="C163" s="37"/>
      <c r="D163" s="37"/>
      <c r="E163" s="37"/>
      <c r="F163" s="38"/>
      <c r="G163" s="39"/>
      <c r="H163" s="37"/>
      <c r="I163" s="37"/>
      <c r="J163" s="37"/>
    </row>
    <row r="164" spans="1:10" x14ac:dyDescent="0.25">
      <c r="A164" s="36"/>
      <c r="B164" s="37"/>
      <c r="C164" s="37"/>
      <c r="D164" s="37"/>
      <c r="E164" s="37"/>
      <c r="F164" s="38"/>
      <c r="G164" s="39"/>
      <c r="H164" s="37"/>
      <c r="I164" s="37"/>
      <c r="J164" s="37"/>
    </row>
    <row r="165" spans="1:10" x14ac:dyDescent="0.25">
      <c r="A165" s="36"/>
      <c r="B165" s="37"/>
      <c r="C165" s="37"/>
      <c r="D165" s="37"/>
      <c r="E165" s="37"/>
      <c r="F165" s="38"/>
      <c r="G165" s="39"/>
      <c r="H165" s="37"/>
      <c r="I165" s="37"/>
      <c r="J165" s="37"/>
    </row>
    <row r="166" spans="1:10" x14ac:dyDescent="0.25">
      <c r="A166" s="36"/>
      <c r="B166" s="37"/>
      <c r="C166" s="37"/>
      <c r="D166" s="37"/>
      <c r="E166" s="37"/>
      <c r="F166" s="38"/>
      <c r="G166" s="39"/>
      <c r="H166" s="37"/>
      <c r="I166" s="37"/>
      <c r="J166" s="37"/>
    </row>
    <row r="167" spans="1:10" x14ac:dyDescent="0.25">
      <c r="A167" s="36"/>
      <c r="B167" s="37"/>
      <c r="C167" s="37"/>
      <c r="D167" s="37"/>
      <c r="E167" s="37"/>
      <c r="F167" s="38"/>
      <c r="G167" s="39"/>
      <c r="H167" s="37"/>
      <c r="I167" s="37"/>
      <c r="J167" s="37"/>
    </row>
    <row r="168" spans="1:10" x14ac:dyDescent="0.25">
      <c r="A168" s="36"/>
      <c r="B168" s="37"/>
      <c r="C168" s="37"/>
      <c r="D168" s="37"/>
      <c r="E168" s="37"/>
      <c r="F168" s="38"/>
      <c r="G168" s="39"/>
      <c r="H168" s="37"/>
      <c r="I168" s="37"/>
      <c r="J168" s="37"/>
    </row>
    <row r="169" spans="1:10" x14ac:dyDescent="0.25">
      <c r="A169" s="36"/>
      <c r="B169" s="37"/>
      <c r="C169" s="37"/>
      <c r="D169" s="37"/>
      <c r="E169" s="37"/>
      <c r="F169" s="38"/>
      <c r="G169" s="39"/>
      <c r="H169" s="37"/>
      <c r="I169" s="37"/>
      <c r="J169" s="37"/>
    </row>
    <row r="170" spans="1:10" x14ac:dyDescent="0.25">
      <c r="A170" s="36"/>
      <c r="B170" s="37"/>
      <c r="C170" s="37"/>
      <c r="D170" s="37"/>
      <c r="E170" s="37"/>
      <c r="F170" s="38"/>
      <c r="G170" s="39"/>
      <c r="H170" s="37"/>
      <c r="I170" s="37"/>
      <c r="J170" s="37"/>
    </row>
    <row r="171" spans="1:10" x14ac:dyDescent="0.25">
      <c r="A171" s="36"/>
      <c r="B171" s="37"/>
      <c r="C171" s="37"/>
      <c r="D171" s="37"/>
      <c r="E171" s="37"/>
      <c r="F171" s="38"/>
      <c r="G171" s="39"/>
      <c r="H171" s="37"/>
      <c r="I171" s="37"/>
      <c r="J171" s="37"/>
    </row>
    <row r="172" spans="1:10" x14ac:dyDescent="0.25">
      <c r="A172" s="36"/>
      <c r="B172" s="37"/>
      <c r="C172" s="37"/>
      <c r="D172" s="37"/>
      <c r="E172" s="37"/>
      <c r="F172" s="38"/>
      <c r="G172" s="39"/>
      <c r="H172" s="37"/>
      <c r="I172" s="37"/>
      <c r="J172" s="37"/>
    </row>
    <row r="173" spans="1:10" x14ac:dyDescent="0.25">
      <c r="A173" s="36"/>
      <c r="B173" s="37"/>
      <c r="C173" s="37"/>
      <c r="D173" s="37"/>
      <c r="E173" s="37"/>
      <c r="F173" s="38"/>
      <c r="G173" s="39"/>
      <c r="H173" s="37"/>
      <c r="I173" s="37"/>
      <c r="J173" s="37"/>
    </row>
    <row r="174" spans="1:10" x14ac:dyDescent="0.25">
      <c r="A174" s="36"/>
      <c r="B174" s="37"/>
      <c r="C174" s="37"/>
      <c r="D174" s="37"/>
      <c r="E174" s="37"/>
      <c r="F174" s="38"/>
      <c r="G174" s="39"/>
      <c r="H174" s="37"/>
      <c r="I174" s="37"/>
      <c r="J174" s="37"/>
    </row>
    <row r="175" spans="1:10" x14ac:dyDescent="0.25">
      <c r="A175" s="36"/>
      <c r="B175" s="37"/>
      <c r="C175" s="37"/>
      <c r="D175" s="37"/>
      <c r="E175" s="37"/>
      <c r="F175" s="38"/>
      <c r="G175" s="39"/>
      <c r="H175" s="37"/>
      <c r="I175" s="37"/>
      <c r="J175" s="37"/>
    </row>
    <row r="176" spans="1:10" x14ac:dyDescent="0.25">
      <c r="A176" s="36"/>
      <c r="B176" s="37"/>
      <c r="C176" s="37"/>
      <c r="D176" s="37"/>
      <c r="E176" s="37"/>
      <c r="F176" s="38"/>
      <c r="G176" s="39"/>
      <c r="H176" s="37"/>
      <c r="I176" s="37"/>
      <c r="J176" s="37"/>
    </row>
    <row r="177" spans="1:10" x14ac:dyDescent="0.25">
      <c r="A177" s="36"/>
      <c r="B177" s="37"/>
      <c r="C177" s="37"/>
      <c r="D177" s="37"/>
      <c r="E177" s="37"/>
      <c r="F177" s="38"/>
      <c r="G177" s="39"/>
      <c r="H177" s="37"/>
      <c r="I177" s="37"/>
      <c r="J177" s="37"/>
    </row>
    <row r="178" spans="1:10" x14ac:dyDescent="0.25">
      <c r="A178" s="36"/>
      <c r="B178" s="37"/>
      <c r="C178" s="37"/>
      <c r="D178" s="37"/>
      <c r="E178" s="37"/>
      <c r="F178" s="38"/>
      <c r="G178" s="39"/>
      <c r="H178" s="37"/>
      <c r="I178" s="37"/>
      <c r="J178" s="37"/>
    </row>
    <row r="179" spans="1:10" x14ac:dyDescent="0.25">
      <c r="A179" s="36"/>
      <c r="B179" s="37"/>
      <c r="C179" s="37"/>
      <c r="D179" s="37"/>
      <c r="E179" s="37"/>
      <c r="F179" s="38"/>
      <c r="G179" s="39"/>
      <c r="H179" s="37"/>
      <c r="I179" s="37"/>
      <c r="J179" s="37"/>
    </row>
    <row r="180" spans="1:10" x14ac:dyDescent="0.25">
      <c r="A180" s="36"/>
      <c r="B180" s="37"/>
      <c r="C180" s="37"/>
      <c r="D180" s="37"/>
      <c r="E180" s="37"/>
      <c r="F180" s="38"/>
      <c r="G180" s="39"/>
      <c r="H180" s="37"/>
      <c r="I180" s="37"/>
      <c r="J180" s="37"/>
    </row>
    <row r="181" spans="1:10" x14ac:dyDescent="0.25">
      <c r="A181" s="36"/>
      <c r="B181" s="37"/>
      <c r="C181" s="37"/>
      <c r="D181" s="37"/>
      <c r="E181" s="37"/>
      <c r="F181" s="38"/>
      <c r="G181" s="39"/>
      <c r="H181" s="37"/>
      <c r="I181" s="37"/>
      <c r="J181" s="37"/>
    </row>
    <row r="182" spans="1:10" x14ac:dyDescent="0.25">
      <c r="A182" s="36"/>
      <c r="B182" s="37"/>
      <c r="C182" s="37"/>
      <c r="D182" s="37"/>
      <c r="E182" s="37"/>
      <c r="F182" s="38"/>
      <c r="G182" s="39"/>
      <c r="H182" s="37"/>
      <c r="I182" s="37"/>
      <c r="J182" s="37"/>
    </row>
    <row r="183" spans="1:10" x14ac:dyDescent="0.25">
      <c r="A183" s="36"/>
      <c r="B183" s="37"/>
      <c r="C183" s="37"/>
      <c r="D183" s="37"/>
      <c r="E183" s="37"/>
      <c r="F183" s="38"/>
      <c r="G183" s="39"/>
      <c r="H183" s="37"/>
      <c r="I183" s="37"/>
      <c r="J183" s="37"/>
    </row>
    <row r="184" spans="1:10" x14ac:dyDescent="0.25">
      <c r="A184" s="36"/>
      <c r="B184" s="37"/>
      <c r="C184" s="37"/>
      <c r="D184" s="37"/>
      <c r="E184" s="37"/>
      <c r="F184" s="38"/>
      <c r="G184" s="39"/>
      <c r="H184" s="37"/>
      <c r="I184" s="37"/>
      <c r="J184" s="37"/>
    </row>
    <row r="185" spans="1:10" x14ac:dyDescent="0.25">
      <c r="A185" s="36"/>
      <c r="B185" s="37"/>
      <c r="C185" s="37"/>
      <c r="D185" s="37"/>
      <c r="E185" s="37"/>
      <c r="F185" s="38"/>
      <c r="G185" s="39"/>
      <c r="H185" s="37"/>
      <c r="I185" s="37"/>
      <c r="J185" s="37"/>
    </row>
    <row r="186" spans="1:10" x14ac:dyDescent="0.25">
      <c r="A186" s="36"/>
      <c r="B186" s="37"/>
      <c r="C186" s="37"/>
      <c r="D186" s="37"/>
      <c r="E186" s="37"/>
      <c r="F186" s="38"/>
      <c r="G186" s="39"/>
      <c r="H186" s="37"/>
      <c r="I186" s="37"/>
      <c r="J186" s="37"/>
    </row>
    <row r="187" spans="1:10" x14ac:dyDescent="0.25">
      <c r="A187" s="36"/>
      <c r="B187" s="37"/>
      <c r="C187" s="37"/>
      <c r="D187" s="37"/>
      <c r="E187" s="37"/>
      <c r="F187" s="38"/>
      <c r="G187" s="39"/>
      <c r="H187" s="37"/>
      <c r="I187" s="37"/>
      <c r="J187" s="37"/>
    </row>
    <row r="188" spans="1:10" x14ac:dyDescent="0.25">
      <c r="A188" s="36"/>
      <c r="B188" s="37"/>
      <c r="C188" s="37"/>
      <c r="D188" s="37"/>
      <c r="E188" s="37"/>
      <c r="F188" s="38"/>
      <c r="G188" s="39"/>
      <c r="H188" s="37"/>
      <c r="I188" s="37"/>
      <c r="J188" s="37"/>
    </row>
    <row r="189" spans="1:10" x14ac:dyDescent="0.25">
      <c r="A189" s="36"/>
      <c r="B189" s="37"/>
      <c r="C189" s="37"/>
      <c r="D189" s="37"/>
      <c r="E189" s="37"/>
      <c r="F189" s="38"/>
      <c r="G189" s="39"/>
      <c r="H189" s="37"/>
      <c r="I189" s="37"/>
      <c r="J189" s="37"/>
    </row>
    <row r="190" spans="1:10" x14ac:dyDescent="0.25">
      <c r="A190" s="36"/>
      <c r="B190" s="37"/>
      <c r="C190" s="37"/>
      <c r="D190" s="37"/>
      <c r="E190" s="37"/>
      <c r="F190" s="38"/>
      <c r="G190" s="39"/>
      <c r="H190" s="37"/>
      <c r="I190" s="37"/>
      <c r="J190" s="37"/>
    </row>
    <row r="191" spans="1:10" x14ac:dyDescent="0.25">
      <c r="A191" s="36"/>
      <c r="B191" s="37"/>
      <c r="C191" s="37"/>
      <c r="D191" s="37"/>
      <c r="E191" s="37"/>
      <c r="F191" s="38"/>
      <c r="G191" s="39"/>
      <c r="H191" s="37"/>
      <c r="I191" s="37"/>
      <c r="J191" s="37"/>
    </row>
    <row r="192" spans="1:10" x14ac:dyDescent="0.25">
      <c r="A192" s="36"/>
      <c r="B192" s="37"/>
      <c r="C192" s="37"/>
      <c r="D192" s="37"/>
      <c r="E192" s="37"/>
      <c r="F192" s="38"/>
      <c r="G192" s="39"/>
      <c r="H192" s="37"/>
      <c r="I192" s="37"/>
      <c r="J192" s="37"/>
    </row>
    <row r="193" spans="1:10" x14ac:dyDescent="0.25">
      <c r="A193" s="36"/>
      <c r="B193" s="37"/>
      <c r="C193" s="37"/>
      <c r="D193" s="37"/>
      <c r="E193" s="37"/>
      <c r="F193" s="38"/>
      <c r="G193" s="39"/>
      <c r="H193" s="37"/>
      <c r="I193" s="37"/>
      <c r="J193" s="37"/>
    </row>
    <row r="194" spans="1:10" x14ac:dyDescent="0.25">
      <c r="A194" s="36"/>
      <c r="B194" s="37"/>
      <c r="C194" s="37"/>
      <c r="D194" s="37"/>
      <c r="E194" s="37"/>
      <c r="F194" s="38"/>
      <c r="G194" s="39"/>
      <c r="H194" s="37"/>
      <c r="I194" s="37"/>
      <c r="J194" s="37"/>
    </row>
    <row r="195" spans="1:10" x14ac:dyDescent="0.25">
      <c r="A195" s="36"/>
      <c r="B195" s="37"/>
      <c r="C195" s="37"/>
      <c r="D195" s="37"/>
      <c r="E195" s="37"/>
      <c r="F195" s="38"/>
      <c r="G195" s="39"/>
      <c r="H195" s="37"/>
      <c r="I195" s="37"/>
      <c r="J195" s="37"/>
    </row>
    <row r="196" spans="1:10" x14ac:dyDescent="0.25">
      <c r="A196" s="36"/>
      <c r="B196" s="37"/>
      <c r="C196" s="37"/>
      <c r="D196" s="37"/>
      <c r="E196" s="37"/>
      <c r="F196" s="38"/>
      <c r="G196" s="39"/>
      <c r="H196" s="37"/>
      <c r="I196" s="37"/>
      <c r="J196" s="37"/>
    </row>
    <row r="197" spans="1:10" x14ac:dyDescent="0.25">
      <c r="A197" s="36"/>
      <c r="B197" s="37"/>
      <c r="C197" s="37"/>
      <c r="D197" s="37"/>
      <c r="E197" s="37"/>
      <c r="F197" s="38"/>
      <c r="G197" s="39"/>
      <c r="H197" s="37"/>
      <c r="I197" s="37"/>
      <c r="J197" s="37"/>
    </row>
    <row r="198" spans="1:10" x14ac:dyDescent="0.25">
      <c r="A198" s="36"/>
      <c r="B198" s="37"/>
      <c r="C198" s="37"/>
      <c r="D198" s="37"/>
      <c r="E198" s="37"/>
      <c r="F198" s="38"/>
      <c r="G198" s="39"/>
      <c r="H198" s="37"/>
      <c r="I198" s="37"/>
      <c r="J198" s="37"/>
    </row>
    <row r="199" spans="1:10" x14ac:dyDescent="0.25">
      <c r="A199" s="36"/>
      <c r="B199" s="37"/>
      <c r="C199" s="37"/>
      <c r="D199" s="37"/>
      <c r="E199" s="37"/>
      <c r="F199" s="38"/>
      <c r="G199" s="39"/>
      <c r="H199" s="37"/>
      <c r="I199" s="37"/>
      <c r="J199" s="37"/>
    </row>
    <row r="200" spans="1:10" x14ac:dyDescent="0.25">
      <c r="A200" s="36"/>
      <c r="B200" s="37"/>
      <c r="C200" s="37"/>
      <c r="D200" s="37"/>
      <c r="E200" s="37"/>
      <c r="F200" s="38"/>
      <c r="G200" s="39"/>
      <c r="H200" s="37"/>
      <c r="I200" s="37"/>
      <c r="J200" s="37"/>
    </row>
    <row r="201" spans="1:10" x14ac:dyDescent="0.25">
      <c r="A201" s="36"/>
      <c r="B201" s="37"/>
      <c r="C201" s="37"/>
      <c r="D201" s="37"/>
      <c r="E201" s="37"/>
      <c r="F201" s="38"/>
      <c r="G201" s="39"/>
      <c r="H201" s="37"/>
      <c r="I201" s="37"/>
      <c r="J201" s="37"/>
    </row>
    <row r="202" spans="1:10" x14ac:dyDescent="0.25">
      <c r="A202" s="36"/>
      <c r="B202" s="37"/>
      <c r="C202" s="37"/>
      <c r="D202" s="37"/>
      <c r="E202" s="37"/>
      <c r="F202" s="38"/>
      <c r="G202" s="39"/>
      <c r="H202" s="37"/>
      <c r="I202" s="37"/>
      <c r="J202" s="37"/>
    </row>
    <row r="203" spans="1:10" x14ac:dyDescent="0.25">
      <c r="A203" s="36"/>
      <c r="B203" s="37"/>
      <c r="C203" s="37"/>
      <c r="D203" s="37"/>
      <c r="E203" s="37"/>
      <c r="F203" s="38"/>
      <c r="G203" s="39"/>
      <c r="H203" s="37"/>
      <c r="I203" s="37"/>
      <c r="J203" s="37"/>
    </row>
    <row r="204" spans="1:10" x14ac:dyDescent="0.25">
      <c r="A204" s="36"/>
      <c r="B204" s="37"/>
      <c r="C204" s="37"/>
      <c r="D204" s="37"/>
      <c r="E204" s="37"/>
      <c r="F204" s="38"/>
      <c r="G204" s="39"/>
      <c r="H204" s="37"/>
      <c r="I204" s="37"/>
      <c r="J204" s="37"/>
    </row>
    <row r="205" spans="1:10" x14ac:dyDescent="0.25">
      <c r="A205" s="36"/>
      <c r="B205" s="37"/>
      <c r="C205" s="37"/>
      <c r="D205" s="37"/>
      <c r="E205" s="37"/>
      <c r="F205" s="38"/>
      <c r="G205" s="39"/>
      <c r="H205" s="37"/>
      <c r="I205" s="37"/>
      <c r="J205" s="37"/>
    </row>
    <row r="206" spans="1:10" x14ac:dyDescent="0.25">
      <c r="A206" s="36"/>
      <c r="B206" s="37"/>
      <c r="C206" s="37"/>
      <c r="D206" s="37"/>
      <c r="E206" s="37"/>
      <c r="F206" s="38"/>
      <c r="G206" s="39"/>
      <c r="H206" s="37"/>
      <c r="I206" s="37"/>
      <c r="J206" s="37"/>
    </row>
    <row r="207" spans="1:10" x14ac:dyDescent="0.25">
      <c r="A207" s="36"/>
      <c r="B207" s="37"/>
      <c r="C207" s="37"/>
      <c r="D207" s="37"/>
      <c r="E207" s="37"/>
      <c r="F207" s="38"/>
      <c r="G207" s="39"/>
      <c r="H207" s="37"/>
      <c r="I207" s="37"/>
      <c r="J207" s="37"/>
    </row>
    <row r="208" spans="1:10" x14ac:dyDescent="0.25">
      <c r="A208" s="36"/>
      <c r="B208" s="37"/>
      <c r="C208" s="37"/>
      <c r="D208" s="37"/>
      <c r="E208" s="37"/>
      <c r="F208" s="38"/>
      <c r="G208" s="39"/>
      <c r="H208" s="37"/>
      <c r="I208" s="37"/>
      <c r="J208" s="37"/>
    </row>
    <row r="209" spans="1:10" x14ac:dyDescent="0.25">
      <c r="A209" s="36"/>
      <c r="B209" s="37"/>
      <c r="C209" s="37"/>
      <c r="D209" s="37"/>
      <c r="E209" s="37"/>
      <c r="F209" s="38"/>
      <c r="G209" s="39"/>
      <c r="H209" s="37"/>
      <c r="I209" s="37"/>
      <c r="J209" s="37"/>
    </row>
    <row r="210" spans="1:10" x14ac:dyDescent="0.25">
      <c r="A210" s="36"/>
      <c r="B210" s="37"/>
      <c r="C210" s="37"/>
      <c r="D210" s="37"/>
      <c r="E210" s="37"/>
      <c r="F210" s="38"/>
      <c r="G210" s="39"/>
      <c r="H210" s="37"/>
      <c r="I210" s="37"/>
      <c r="J210" s="37"/>
    </row>
    <row r="211" spans="1:10" x14ac:dyDescent="0.25">
      <c r="A211" s="36"/>
      <c r="B211" s="37"/>
      <c r="C211" s="37"/>
      <c r="D211" s="37"/>
      <c r="E211" s="37"/>
      <c r="F211" s="38"/>
      <c r="G211" s="39"/>
      <c r="H211" s="37"/>
      <c r="I211" s="37"/>
      <c r="J211" s="37"/>
    </row>
    <row r="212" spans="1:10" x14ac:dyDescent="0.25">
      <c r="A212" s="36"/>
      <c r="B212" s="37"/>
      <c r="C212" s="37"/>
      <c r="D212" s="37"/>
      <c r="E212" s="37"/>
      <c r="F212" s="38"/>
      <c r="G212" s="39"/>
      <c r="H212" s="37"/>
      <c r="I212" s="37"/>
      <c r="J212" s="37"/>
    </row>
    <row r="213" spans="1:10" x14ac:dyDescent="0.25">
      <c r="A213" s="36"/>
      <c r="B213" s="37"/>
      <c r="C213" s="37"/>
      <c r="D213" s="37"/>
      <c r="E213" s="37"/>
      <c r="F213" s="38"/>
      <c r="G213" s="39"/>
      <c r="H213" s="37"/>
      <c r="I213" s="37"/>
      <c r="J213" s="37"/>
    </row>
    <row r="214" spans="1:10" x14ac:dyDescent="0.25">
      <c r="A214" s="36"/>
      <c r="B214" s="37"/>
      <c r="C214" s="37"/>
      <c r="D214" s="37"/>
      <c r="E214" s="37"/>
      <c r="F214" s="38"/>
      <c r="G214" s="39"/>
      <c r="H214" s="37"/>
      <c r="I214" s="37"/>
      <c r="J214" s="37"/>
    </row>
    <row r="215" spans="1:10" x14ac:dyDescent="0.25">
      <c r="A215" s="36"/>
      <c r="B215" s="37"/>
      <c r="C215" s="37"/>
      <c r="D215" s="37"/>
      <c r="E215" s="37"/>
      <c r="F215" s="38"/>
      <c r="G215" s="39"/>
      <c r="H215" s="37"/>
      <c r="I215" s="37"/>
      <c r="J215" s="37"/>
    </row>
    <row r="216" spans="1:10" x14ac:dyDescent="0.25">
      <c r="A216" s="36"/>
      <c r="B216" s="37"/>
      <c r="C216" s="37"/>
      <c r="D216" s="37"/>
      <c r="E216" s="37"/>
      <c r="F216" s="38"/>
      <c r="G216" s="39"/>
      <c r="H216" s="37"/>
      <c r="I216" s="37"/>
      <c r="J216" s="37"/>
    </row>
    <row r="217" spans="1:10" x14ac:dyDescent="0.25">
      <c r="A217" s="36"/>
      <c r="B217" s="37"/>
      <c r="C217" s="37"/>
      <c r="D217" s="37"/>
      <c r="E217" s="37"/>
      <c r="F217" s="38"/>
      <c r="G217" s="39"/>
      <c r="H217" s="37"/>
      <c r="I217" s="37"/>
      <c r="J217" s="37"/>
    </row>
    <row r="218" spans="1:10" x14ac:dyDescent="0.25">
      <c r="A218" s="36"/>
      <c r="B218" s="37"/>
      <c r="C218" s="37"/>
      <c r="D218" s="37"/>
      <c r="E218" s="37"/>
      <c r="F218" s="38"/>
      <c r="G218" s="39"/>
      <c r="H218" s="37"/>
      <c r="I218" s="37"/>
      <c r="J218" s="37"/>
    </row>
    <row r="219" spans="1:10" x14ac:dyDescent="0.25">
      <c r="A219" s="36"/>
      <c r="B219" s="37"/>
      <c r="C219" s="37"/>
      <c r="D219" s="37"/>
      <c r="E219" s="37"/>
      <c r="F219" s="38"/>
      <c r="G219" s="39"/>
      <c r="H219" s="37"/>
      <c r="I219" s="37"/>
      <c r="J219" s="37"/>
    </row>
    <row r="220" spans="1:10" x14ac:dyDescent="0.25">
      <c r="A220" s="36"/>
      <c r="B220" s="37"/>
      <c r="C220" s="37"/>
      <c r="D220" s="37"/>
      <c r="E220" s="37"/>
      <c r="F220" s="38"/>
      <c r="G220" s="39"/>
      <c r="H220" s="37"/>
      <c r="I220" s="37"/>
      <c r="J220" s="37"/>
    </row>
    <row r="221" spans="1:10" x14ac:dyDescent="0.25">
      <c r="A221" s="36"/>
      <c r="B221" s="37"/>
      <c r="C221" s="37"/>
      <c r="D221" s="37"/>
      <c r="E221" s="37"/>
      <c r="F221" s="38"/>
      <c r="G221" s="39"/>
      <c r="H221" s="37"/>
      <c r="I221" s="37"/>
      <c r="J221" s="37"/>
    </row>
    <row r="222" spans="1:10" x14ac:dyDescent="0.25">
      <c r="A222" s="36"/>
      <c r="B222" s="37"/>
      <c r="C222" s="37"/>
      <c r="D222" s="37"/>
      <c r="E222" s="37"/>
      <c r="F222" s="38"/>
      <c r="G222" s="39"/>
      <c r="H222" s="37"/>
      <c r="I222" s="37"/>
      <c r="J222" s="37"/>
    </row>
    <row r="223" spans="1:10" x14ac:dyDescent="0.25">
      <c r="A223" s="36"/>
      <c r="B223" s="37"/>
      <c r="C223" s="37"/>
      <c r="D223" s="37"/>
      <c r="E223" s="37"/>
      <c r="F223" s="38"/>
      <c r="G223" s="39"/>
      <c r="H223" s="37"/>
      <c r="I223" s="37"/>
      <c r="J223" s="37"/>
    </row>
    <row r="224" spans="1:10" x14ac:dyDescent="0.25">
      <c r="A224" s="36"/>
      <c r="B224" s="37"/>
      <c r="C224" s="37"/>
      <c r="D224" s="37"/>
      <c r="E224" s="37"/>
      <c r="F224" s="38"/>
      <c r="G224" s="39"/>
      <c r="H224" s="37"/>
      <c r="I224" s="37"/>
      <c r="J224" s="37"/>
    </row>
    <row r="225" spans="1:10" x14ac:dyDescent="0.25">
      <c r="A225" s="36"/>
      <c r="B225" s="37"/>
      <c r="C225" s="37"/>
      <c r="D225" s="37"/>
      <c r="E225" s="37"/>
      <c r="F225" s="38"/>
      <c r="G225" s="39"/>
      <c r="H225" s="37"/>
      <c r="I225" s="37"/>
      <c r="J225" s="37"/>
    </row>
    <row r="230" spans="1:10" x14ac:dyDescent="0.25">
      <c r="B230" s="2"/>
      <c r="C230" s="3"/>
      <c r="D230" s="3"/>
    </row>
    <row r="231" spans="1:10" x14ac:dyDescent="0.25">
      <c r="B231" s="14"/>
      <c r="C231" s="3"/>
      <c r="D231" s="3"/>
    </row>
    <row r="232" spans="1:10" x14ac:dyDescent="0.25">
      <c r="B232" s="14"/>
      <c r="C232" s="3"/>
      <c r="D232" s="3"/>
    </row>
    <row r="233" spans="1:10" x14ac:dyDescent="0.25">
      <c r="B233" s="14"/>
      <c r="C233" s="3"/>
      <c r="D233" s="3"/>
    </row>
    <row r="234" spans="1:10" x14ac:dyDescent="0.25">
      <c r="B234" s="2"/>
      <c r="C234" s="3"/>
      <c r="D234" s="3"/>
    </row>
    <row r="236" spans="1:10" x14ac:dyDescent="0.25">
      <c r="C236" s="3"/>
    </row>
    <row r="237" spans="1:10" x14ac:dyDescent="0.25">
      <c r="C237" s="3"/>
    </row>
    <row r="238" spans="1:10" x14ac:dyDescent="0.25">
      <c r="C238" s="3"/>
    </row>
    <row r="239" spans="1:10" x14ac:dyDescent="0.25">
      <c r="C239" s="3"/>
    </row>
  </sheetData>
  <dataConsolidate/>
  <dataValidations count="3">
    <dataValidation type="list" allowBlank="1" showInputMessage="1" showErrorMessage="1" sqref="C2:C33">
      <formula1>"1.0,0.5,0.25"</formula1>
    </dataValidation>
    <dataValidation type="list" allowBlank="1" showInputMessage="1" showErrorMessage="1" sqref="D2:D33">
      <formula1>"1,2,3,4,5"</formula1>
    </dataValidation>
    <dataValidation type="list" allowBlank="1" showInputMessage="1" showErrorMessage="1" sqref="G2:G33">
      <formula1>"Accept,Avoid,Transfer,Mitigate"</formula1>
    </dataValidation>
  </dataValidations>
  <pageMargins left="0.7" right="0.7" top="1.25" bottom="0.75" header="0.3" footer="0.3"/>
  <pageSetup scale="68" orientation="portrait" r:id="rId1"/>
  <headerFooter>
    <oddHeader>&amp;L&amp;G</oddHeader>
    <oddFooter>&amp;C&amp;N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Normal="100" workbookViewId="0">
      <selection activeCell="B8" sqref="B8"/>
    </sheetView>
  </sheetViews>
  <sheetFormatPr defaultRowHeight="15" x14ac:dyDescent="0.25"/>
  <cols>
    <col min="1" max="1" width="4.85546875" style="1" customWidth="1"/>
    <col min="2" max="2" width="31.85546875" customWidth="1"/>
    <col min="3" max="3" width="16" customWidth="1"/>
    <col min="4" max="4" width="12.7109375" bestFit="1" customWidth="1"/>
    <col min="5" max="5" width="12.7109375" customWidth="1"/>
    <col min="6" max="6" width="9.85546875" customWidth="1"/>
    <col min="7" max="7" width="11" customWidth="1"/>
    <col min="8" max="8" width="34.140625" customWidth="1"/>
    <col min="9" max="9" width="18.28515625" customWidth="1"/>
  </cols>
  <sheetData>
    <row r="1" spans="1:8" x14ac:dyDescent="0.25">
      <c r="A1" s="2"/>
      <c r="B1" s="3"/>
      <c r="C1" s="3"/>
      <c r="D1" s="3"/>
      <c r="E1" s="3"/>
      <c r="F1" s="3"/>
      <c r="G1" s="3"/>
      <c r="H1" s="3"/>
    </row>
    <row r="2" spans="1:8" x14ac:dyDescent="0.25">
      <c r="A2" s="2"/>
      <c r="B2" s="3"/>
      <c r="C2" s="4" t="s">
        <v>4</v>
      </c>
      <c r="D2" s="4" t="s">
        <v>10</v>
      </c>
      <c r="E2" s="3"/>
      <c r="H2" s="3"/>
    </row>
    <row r="3" spans="1:8" x14ac:dyDescent="0.25">
      <c r="A3" s="2"/>
      <c r="B3" s="3"/>
      <c r="C3" s="5" t="s">
        <v>6</v>
      </c>
      <c r="D3" s="40">
        <f>COUNTIF(G8:G960,"In-Progress")</f>
        <v>0</v>
      </c>
      <c r="E3" s="3"/>
      <c r="H3" s="3"/>
    </row>
    <row r="4" spans="1:8" x14ac:dyDescent="0.25">
      <c r="A4" s="2"/>
      <c r="B4" s="3"/>
      <c r="C4" s="5" t="s">
        <v>5</v>
      </c>
      <c r="D4" s="40">
        <f>COUNTIF(G8:G869, "Closed")</f>
        <v>0</v>
      </c>
      <c r="E4" s="3"/>
      <c r="H4" s="3"/>
    </row>
    <row r="5" spans="1:8" x14ac:dyDescent="0.25">
      <c r="A5" s="2"/>
      <c r="B5" s="3"/>
      <c r="C5" s="5" t="s">
        <v>9</v>
      </c>
      <c r="D5" s="40">
        <f>COUNTIF(G8:G869,"On-Hold")</f>
        <v>0</v>
      </c>
      <c r="E5" s="3"/>
      <c r="H5" s="3"/>
    </row>
    <row r="6" spans="1:8" x14ac:dyDescent="0.25">
      <c r="A6" s="2"/>
      <c r="B6" s="3"/>
      <c r="C6" s="3"/>
      <c r="D6" s="3"/>
      <c r="E6" s="3"/>
      <c r="F6" s="3"/>
      <c r="G6" s="3"/>
      <c r="H6" s="3"/>
    </row>
    <row r="7" spans="1:8" ht="26.25" x14ac:dyDescent="0.25">
      <c r="A7" s="6" t="s">
        <v>0</v>
      </c>
      <c r="B7" s="6" t="s">
        <v>7</v>
      </c>
      <c r="C7" s="6" t="s">
        <v>8</v>
      </c>
      <c r="D7" s="7" t="s">
        <v>1</v>
      </c>
      <c r="E7" s="7" t="s">
        <v>42</v>
      </c>
      <c r="F7" s="7" t="s">
        <v>2</v>
      </c>
      <c r="G7" s="6" t="s">
        <v>4</v>
      </c>
      <c r="H7" s="6" t="s">
        <v>3</v>
      </c>
    </row>
    <row r="8" spans="1:8" x14ac:dyDescent="0.25">
      <c r="A8" s="8">
        <v>1</v>
      </c>
      <c r="B8" s="9"/>
      <c r="C8" s="10"/>
      <c r="D8" s="11"/>
      <c r="E8" s="11"/>
      <c r="F8" s="11"/>
      <c r="G8" s="54"/>
      <c r="H8" s="9"/>
    </row>
    <row r="9" spans="1:8" x14ac:dyDescent="0.25">
      <c r="A9" s="8">
        <v>2</v>
      </c>
      <c r="B9" s="9"/>
      <c r="C9" s="10"/>
      <c r="D9" s="11"/>
      <c r="E9" s="11"/>
      <c r="F9" s="10"/>
      <c r="G9" s="54"/>
      <c r="H9" s="9"/>
    </row>
    <row r="10" spans="1:8" x14ac:dyDescent="0.25">
      <c r="A10" s="8">
        <v>3</v>
      </c>
      <c r="B10" s="9"/>
      <c r="C10" s="10"/>
      <c r="D10" s="11"/>
      <c r="E10" s="11"/>
      <c r="F10" s="10"/>
      <c r="G10" s="54"/>
      <c r="H10" s="9"/>
    </row>
    <row r="11" spans="1:8" x14ac:dyDescent="0.25">
      <c r="A11" s="8">
        <v>4</v>
      </c>
      <c r="B11" s="9"/>
      <c r="C11" s="10"/>
      <c r="D11" s="11"/>
      <c r="E11" s="11"/>
      <c r="F11" s="10"/>
      <c r="G11" s="54"/>
      <c r="H11" s="9"/>
    </row>
    <row r="12" spans="1:8" x14ac:dyDescent="0.25">
      <c r="A12" s="8">
        <v>5</v>
      </c>
      <c r="B12" s="9"/>
      <c r="C12" s="10"/>
      <c r="D12" s="11"/>
      <c r="E12" s="11"/>
      <c r="F12" s="10"/>
      <c r="G12" s="54"/>
      <c r="H12" s="9"/>
    </row>
    <row r="13" spans="1:8" x14ac:dyDescent="0.25">
      <c r="A13" s="8">
        <v>6</v>
      </c>
      <c r="B13" s="9"/>
      <c r="C13" s="10"/>
      <c r="D13" s="11"/>
      <c r="E13" s="11"/>
      <c r="F13" s="10"/>
      <c r="G13" s="54"/>
      <c r="H13" s="9"/>
    </row>
    <row r="14" spans="1:8" x14ac:dyDescent="0.25">
      <c r="A14" s="8">
        <v>7</v>
      </c>
      <c r="B14" s="9"/>
      <c r="C14" s="10"/>
      <c r="D14" s="11"/>
      <c r="E14" s="11"/>
      <c r="F14" s="10"/>
      <c r="G14" s="54"/>
      <c r="H14" s="9"/>
    </row>
    <row r="15" spans="1:8" x14ac:dyDescent="0.25">
      <c r="A15" s="8">
        <v>8</v>
      </c>
      <c r="B15" s="9"/>
      <c r="C15" s="10"/>
      <c r="D15" s="11"/>
      <c r="E15" s="11"/>
      <c r="F15" s="10"/>
      <c r="G15" s="54"/>
      <c r="H15" s="9"/>
    </row>
    <row r="16" spans="1:8" x14ac:dyDescent="0.25">
      <c r="A16" s="8">
        <v>9</v>
      </c>
      <c r="B16" s="9"/>
      <c r="C16" s="10"/>
      <c r="D16" s="11"/>
      <c r="E16" s="11"/>
      <c r="F16" s="10"/>
      <c r="G16" s="54"/>
      <c r="H16" s="9"/>
    </row>
    <row r="17" spans="1:8" x14ac:dyDescent="0.25">
      <c r="A17" s="8"/>
      <c r="B17" s="9"/>
      <c r="C17" s="10"/>
      <c r="D17" s="11"/>
      <c r="E17" s="11"/>
      <c r="F17" s="10"/>
      <c r="G17" s="54"/>
      <c r="H17" s="9"/>
    </row>
    <row r="18" spans="1:8" x14ac:dyDescent="0.25">
      <c r="A18" s="8"/>
      <c r="B18" s="9"/>
      <c r="C18" s="10"/>
      <c r="D18" s="11"/>
      <c r="E18" s="11"/>
      <c r="F18" s="11"/>
      <c r="G18" s="54"/>
      <c r="H18" s="9"/>
    </row>
    <row r="19" spans="1:8" x14ac:dyDescent="0.25">
      <c r="A19" s="8"/>
      <c r="B19" s="9"/>
      <c r="C19" s="10"/>
      <c r="D19" s="11"/>
      <c r="E19" s="11"/>
      <c r="F19" s="11"/>
      <c r="G19" s="54"/>
      <c r="H19" s="9"/>
    </row>
    <row r="20" spans="1:8" x14ac:dyDescent="0.25">
      <c r="A20" s="8"/>
      <c r="B20" s="9"/>
      <c r="C20" s="10"/>
      <c r="D20" s="11"/>
      <c r="E20" s="11"/>
      <c r="F20" s="11"/>
      <c r="G20" s="54"/>
      <c r="H20" s="9"/>
    </row>
    <row r="21" spans="1:8" x14ac:dyDescent="0.25">
      <c r="A21" s="8"/>
      <c r="B21" s="9"/>
      <c r="C21" s="10"/>
      <c r="D21" s="11"/>
      <c r="E21" s="11"/>
      <c r="F21" s="10"/>
      <c r="G21" s="54"/>
      <c r="H21" s="9"/>
    </row>
    <row r="22" spans="1:8" x14ac:dyDescent="0.25">
      <c r="A22" s="8"/>
      <c r="B22" s="9"/>
      <c r="C22" s="10"/>
      <c r="D22" s="11"/>
      <c r="E22" s="11"/>
      <c r="F22" s="10"/>
      <c r="G22" s="54"/>
      <c r="H22" s="9"/>
    </row>
    <row r="23" spans="1:8" x14ac:dyDescent="0.25">
      <c r="A23" s="8"/>
      <c r="B23" s="9"/>
      <c r="C23" s="10"/>
      <c r="D23" s="11"/>
      <c r="E23" s="11"/>
      <c r="F23" s="10"/>
      <c r="G23" s="54"/>
      <c r="H23" s="9"/>
    </row>
    <row r="24" spans="1:8" x14ac:dyDescent="0.25">
      <c r="A24" s="8"/>
      <c r="B24" s="9"/>
      <c r="C24" s="10"/>
      <c r="D24" s="11"/>
      <c r="E24" s="11"/>
      <c r="F24" s="11"/>
      <c r="G24" s="54"/>
      <c r="H24" s="9"/>
    </row>
    <row r="25" spans="1:8" x14ac:dyDescent="0.25">
      <c r="A25" s="8"/>
      <c r="B25" s="9"/>
      <c r="C25" s="10"/>
      <c r="D25" s="11"/>
      <c r="E25" s="11"/>
      <c r="F25" s="11"/>
      <c r="G25" s="54"/>
      <c r="H25" s="9"/>
    </row>
    <row r="26" spans="1:8" x14ac:dyDescent="0.25">
      <c r="A26" s="8"/>
      <c r="B26" s="9"/>
      <c r="C26" s="10"/>
      <c r="D26" s="11"/>
      <c r="E26" s="11"/>
      <c r="F26" s="11"/>
      <c r="G26" s="54"/>
      <c r="H26" s="9"/>
    </row>
    <row r="27" spans="1:8" x14ac:dyDescent="0.25">
      <c r="A27" s="8"/>
      <c r="B27" s="9"/>
      <c r="C27" s="10"/>
      <c r="D27" s="11"/>
      <c r="E27" s="11"/>
      <c r="F27" s="11"/>
      <c r="G27" s="54"/>
      <c r="H27" s="9"/>
    </row>
    <row r="28" spans="1:8" x14ac:dyDescent="0.25">
      <c r="A28" s="8"/>
      <c r="B28" s="9"/>
      <c r="C28" s="10"/>
      <c r="D28" s="11"/>
      <c r="E28" s="11"/>
      <c r="F28" s="11"/>
      <c r="G28" s="54"/>
      <c r="H28" s="9"/>
    </row>
    <row r="29" spans="1:8" x14ac:dyDescent="0.25">
      <c r="A29" s="8"/>
      <c r="B29" s="9"/>
      <c r="C29" s="10"/>
      <c r="D29" s="11"/>
      <c r="E29" s="11"/>
      <c r="F29" s="11"/>
      <c r="G29" s="54"/>
      <c r="H29" s="9"/>
    </row>
    <row r="30" spans="1:8" x14ac:dyDescent="0.25">
      <c r="A30" s="8"/>
      <c r="B30" s="9"/>
      <c r="C30" s="10"/>
      <c r="D30" s="11"/>
      <c r="E30" s="11"/>
      <c r="F30" s="11"/>
      <c r="G30" s="54"/>
      <c r="H30" s="9"/>
    </row>
    <row r="31" spans="1:8" x14ac:dyDescent="0.25">
      <c r="A31" s="8"/>
      <c r="B31" s="9"/>
      <c r="C31" s="9"/>
      <c r="D31" s="11"/>
      <c r="E31" s="11"/>
      <c r="F31" s="11"/>
      <c r="G31" s="54"/>
      <c r="H31" s="9"/>
    </row>
    <row r="32" spans="1:8" x14ac:dyDescent="0.25">
      <c r="A32" s="8"/>
      <c r="B32" s="9"/>
      <c r="C32" s="9"/>
      <c r="D32" s="11"/>
      <c r="E32" s="11"/>
      <c r="F32" s="11"/>
      <c r="G32" s="54"/>
      <c r="H32" s="9"/>
    </row>
    <row r="33" spans="1:8" x14ac:dyDescent="0.25">
      <c r="A33" s="8"/>
      <c r="B33" s="9"/>
      <c r="C33" s="9"/>
      <c r="D33" s="11"/>
      <c r="E33" s="11"/>
      <c r="F33" s="10"/>
      <c r="G33" s="54"/>
      <c r="H33" s="9"/>
    </row>
  </sheetData>
  <autoFilter ref="A7:H33"/>
  <conditionalFormatting sqref="G8:G33">
    <cfRule type="containsText" dxfId="15" priority="114" operator="containsText" text="In-Progress">
      <formula>NOT(ISERROR(SEARCH("In-Progress",G8)))</formula>
    </cfRule>
  </conditionalFormatting>
  <conditionalFormatting sqref="G8:G33">
    <cfRule type="containsText" dxfId="14" priority="112" operator="containsText" text="Closed">
      <formula>NOT(ISERROR(SEARCH("Closed",G8)))</formula>
    </cfRule>
  </conditionalFormatting>
  <conditionalFormatting sqref="G8:G33">
    <cfRule type="containsText" dxfId="13" priority="111" operator="containsText" text="On-Hold">
      <formula>NOT(ISERROR(SEARCH("On-Hold",G8)))</formula>
    </cfRule>
  </conditionalFormatting>
  <conditionalFormatting sqref="G8:G33">
    <cfRule type="cellIs" dxfId="12" priority="104" operator="equal">
      <formula>"Closed"</formula>
    </cfRule>
  </conditionalFormatting>
  <dataValidations count="2">
    <dataValidation type="list" allowBlank="1" showInputMessage="1" showErrorMessage="1" sqref="K8">
      <formula1>$C$3:$C$5</formula1>
    </dataValidation>
    <dataValidation type="list" allowBlank="1" showInputMessage="1" showErrorMessage="1" sqref="G8:G33">
      <formula1>"In-Progress,Closed,On-Hold"</formula1>
    </dataValidation>
  </dataValidations>
  <pageMargins left="0.7" right="0.7" top="1.25" bottom="0.75" header="0.3" footer="0.3"/>
  <pageSetup scale="67" orientation="portrait" r:id="rId1"/>
  <headerFooter>
    <oddHeader>&amp;L&amp;G</oddHeader>
    <oddFooter>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Normal="100" workbookViewId="0">
      <selection activeCell="B8" sqref="B8"/>
    </sheetView>
  </sheetViews>
  <sheetFormatPr defaultRowHeight="15" x14ac:dyDescent="0.25"/>
  <cols>
    <col min="1" max="1" width="4.85546875" style="1" customWidth="1"/>
    <col min="2" max="2" width="31.85546875" customWidth="1"/>
    <col min="3" max="3" width="16" customWidth="1"/>
    <col min="4" max="4" width="12.7109375" bestFit="1" customWidth="1"/>
    <col min="5" max="5" width="12.7109375" customWidth="1"/>
    <col min="6" max="6" width="9.85546875" customWidth="1"/>
    <col min="7" max="7" width="11" customWidth="1"/>
    <col min="8" max="8" width="34.140625" customWidth="1"/>
  </cols>
  <sheetData>
    <row r="1" spans="1:8" x14ac:dyDescent="0.25">
      <c r="A1" s="2"/>
      <c r="B1" s="3"/>
      <c r="C1" s="3"/>
      <c r="D1" s="3"/>
      <c r="E1" s="3"/>
      <c r="F1" s="3"/>
      <c r="G1" s="3"/>
      <c r="H1" s="3"/>
    </row>
    <row r="2" spans="1:8" x14ac:dyDescent="0.25">
      <c r="A2" s="2"/>
      <c r="B2" s="3"/>
      <c r="C2" s="4" t="s">
        <v>4</v>
      </c>
      <c r="D2" s="4" t="s">
        <v>10</v>
      </c>
      <c r="E2" s="3"/>
      <c r="H2" s="3"/>
    </row>
    <row r="3" spans="1:8" x14ac:dyDescent="0.25">
      <c r="A3" s="2"/>
      <c r="B3" s="3"/>
      <c r="C3" s="5" t="s">
        <v>6</v>
      </c>
      <c r="D3" s="40">
        <f>COUNTIF(G8:G960,"In-Progress")</f>
        <v>0</v>
      </c>
      <c r="E3" s="3"/>
      <c r="H3" s="3"/>
    </row>
    <row r="4" spans="1:8" x14ac:dyDescent="0.25">
      <c r="A4" s="2"/>
      <c r="B4" s="3"/>
      <c r="C4" s="5" t="s">
        <v>5</v>
      </c>
      <c r="D4" s="40">
        <f>COUNTIF(G8:G869, "Closed")</f>
        <v>0</v>
      </c>
      <c r="E4" s="3"/>
      <c r="H4" s="3"/>
    </row>
    <row r="5" spans="1:8" x14ac:dyDescent="0.25">
      <c r="A5" s="2"/>
      <c r="B5" s="3"/>
      <c r="C5" s="5" t="s">
        <v>9</v>
      </c>
      <c r="D5" s="40">
        <f>COUNTIF(G8:G869,"On-Hold")</f>
        <v>0</v>
      </c>
      <c r="E5" s="3"/>
      <c r="H5" s="3"/>
    </row>
    <row r="6" spans="1:8" x14ac:dyDescent="0.25">
      <c r="A6" s="2"/>
      <c r="B6" s="3"/>
      <c r="C6" s="3"/>
      <c r="D6" s="3"/>
      <c r="E6" s="3"/>
      <c r="F6" s="3"/>
      <c r="G6" s="3"/>
      <c r="H6" s="3"/>
    </row>
    <row r="7" spans="1:8" ht="26.25" x14ac:dyDescent="0.25">
      <c r="A7" s="6" t="s">
        <v>0</v>
      </c>
      <c r="B7" s="6" t="s">
        <v>7</v>
      </c>
      <c r="C7" s="6" t="s">
        <v>8</v>
      </c>
      <c r="D7" s="7" t="s">
        <v>1</v>
      </c>
      <c r="E7" s="7" t="s">
        <v>42</v>
      </c>
      <c r="F7" s="7" t="s">
        <v>2</v>
      </c>
      <c r="G7" s="6" t="s">
        <v>4</v>
      </c>
      <c r="H7" s="6" t="s">
        <v>3</v>
      </c>
    </row>
    <row r="8" spans="1:8" x14ac:dyDescent="0.25">
      <c r="A8" s="8">
        <v>1</v>
      </c>
      <c r="B8" s="9"/>
      <c r="C8" s="10"/>
      <c r="D8" s="11"/>
      <c r="E8" s="11"/>
      <c r="F8" s="11"/>
      <c r="G8" s="54"/>
      <c r="H8" s="9"/>
    </row>
    <row r="9" spans="1:8" x14ac:dyDescent="0.25">
      <c r="A9" s="8">
        <v>2</v>
      </c>
      <c r="B9" s="9"/>
      <c r="C9" s="10"/>
      <c r="D9" s="11"/>
      <c r="E9" s="11"/>
      <c r="F9" s="10"/>
      <c r="G9" s="54"/>
      <c r="H9" s="9"/>
    </row>
    <row r="10" spans="1:8" x14ac:dyDescent="0.25">
      <c r="A10" s="8">
        <v>3</v>
      </c>
      <c r="B10" s="9"/>
      <c r="C10" s="10"/>
      <c r="D10" s="11"/>
      <c r="E10" s="11"/>
      <c r="F10" s="10"/>
      <c r="G10" s="54"/>
      <c r="H10" s="9"/>
    </row>
    <row r="11" spans="1:8" x14ac:dyDescent="0.25">
      <c r="A11" s="8">
        <v>4</v>
      </c>
      <c r="B11" s="9"/>
      <c r="C11" s="10"/>
      <c r="D11" s="11"/>
      <c r="E11" s="11"/>
      <c r="F11" s="10"/>
      <c r="G11" s="54"/>
      <c r="H11" s="9"/>
    </row>
    <row r="12" spans="1:8" x14ac:dyDescent="0.25">
      <c r="A12" s="8">
        <v>5</v>
      </c>
      <c r="B12" s="9"/>
      <c r="C12" s="10"/>
      <c r="D12" s="11"/>
      <c r="E12" s="11"/>
      <c r="F12" s="10"/>
      <c r="G12" s="54"/>
      <c r="H12" s="9"/>
    </row>
    <row r="13" spans="1:8" x14ac:dyDescent="0.25">
      <c r="A13" s="8">
        <v>6</v>
      </c>
      <c r="B13" s="9"/>
      <c r="C13" s="10"/>
      <c r="D13" s="11"/>
      <c r="E13" s="11"/>
      <c r="F13" s="10"/>
      <c r="G13" s="54"/>
      <c r="H13" s="9"/>
    </row>
    <row r="14" spans="1:8" x14ac:dyDescent="0.25">
      <c r="A14" s="8">
        <v>7</v>
      </c>
      <c r="B14" s="9"/>
      <c r="C14" s="10"/>
      <c r="D14" s="11"/>
      <c r="E14" s="11"/>
      <c r="F14" s="10"/>
      <c r="G14" s="54"/>
      <c r="H14" s="9"/>
    </row>
    <row r="15" spans="1:8" x14ac:dyDescent="0.25">
      <c r="A15" s="8">
        <v>8</v>
      </c>
      <c r="B15" s="9"/>
      <c r="C15" s="10"/>
      <c r="D15" s="11"/>
      <c r="E15" s="11"/>
      <c r="F15" s="10"/>
      <c r="G15" s="54"/>
      <c r="H15" s="9"/>
    </row>
    <row r="16" spans="1:8" x14ac:dyDescent="0.25">
      <c r="A16" s="8">
        <v>9</v>
      </c>
      <c r="B16" s="9"/>
      <c r="C16" s="10"/>
      <c r="D16" s="11"/>
      <c r="E16" s="11"/>
      <c r="F16" s="10"/>
      <c r="G16" s="54"/>
      <c r="H16" s="9"/>
    </row>
    <row r="17" spans="1:8" x14ac:dyDescent="0.25">
      <c r="A17" s="8">
        <v>10</v>
      </c>
      <c r="B17" s="9"/>
      <c r="C17" s="10"/>
      <c r="D17" s="11"/>
      <c r="E17" s="11"/>
      <c r="F17" s="10"/>
      <c r="G17" s="54"/>
      <c r="H17" s="9"/>
    </row>
    <row r="18" spans="1:8" x14ac:dyDescent="0.25">
      <c r="A18" s="8">
        <v>11</v>
      </c>
      <c r="B18" s="9"/>
      <c r="C18" s="10"/>
      <c r="D18" s="11"/>
      <c r="E18" s="11"/>
      <c r="F18" s="11"/>
      <c r="G18" s="54"/>
      <c r="H18" s="9"/>
    </row>
    <row r="19" spans="1:8" x14ac:dyDescent="0.25">
      <c r="A19" s="8"/>
      <c r="B19" s="9"/>
      <c r="C19" s="10"/>
      <c r="D19" s="11"/>
      <c r="E19" s="11"/>
      <c r="F19" s="11"/>
      <c r="G19" s="54"/>
      <c r="H19" s="9"/>
    </row>
    <row r="20" spans="1:8" x14ac:dyDescent="0.25">
      <c r="A20" s="8"/>
      <c r="B20" s="9"/>
      <c r="C20" s="10"/>
      <c r="D20" s="11"/>
      <c r="E20" s="11"/>
      <c r="F20" s="11"/>
      <c r="G20" s="54"/>
      <c r="H20" s="9"/>
    </row>
    <row r="21" spans="1:8" x14ac:dyDescent="0.25">
      <c r="A21" s="8"/>
      <c r="B21" s="9"/>
      <c r="C21" s="10"/>
      <c r="D21" s="11"/>
      <c r="E21" s="11"/>
      <c r="F21" s="10"/>
      <c r="G21" s="54"/>
      <c r="H21" s="9"/>
    </row>
    <row r="22" spans="1:8" x14ac:dyDescent="0.25">
      <c r="A22" s="8"/>
      <c r="B22" s="9"/>
      <c r="C22" s="10"/>
      <c r="D22" s="11"/>
      <c r="E22" s="11"/>
      <c r="F22" s="10"/>
      <c r="G22" s="54"/>
      <c r="H22" s="9"/>
    </row>
    <row r="23" spans="1:8" x14ac:dyDescent="0.25">
      <c r="A23" s="8"/>
      <c r="B23" s="9"/>
      <c r="C23" s="10"/>
      <c r="D23" s="11"/>
      <c r="E23" s="11"/>
      <c r="F23" s="10"/>
      <c r="G23" s="54"/>
      <c r="H23" s="9"/>
    </row>
    <row r="24" spans="1:8" x14ac:dyDescent="0.25">
      <c r="A24" s="8"/>
      <c r="B24" s="9"/>
      <c r="C24" s="10"/>
      <c r="D24" s="11"/>
      <c r="E24" s="11"/>
      <c r="F24" s="11"/>
      <c r="G24" s="54"/>
      <c r="H24" s="9"/>
    </row>
    <row r="25" spans="1:8" x14ac:dyDescent="0.25">
      <c r="A25" s="8"/>
      <c r="B25" s="9"/>
      <c r="C25" s="10"/>
      <c r="D25" s="11"/>
      <c r="E25" s="11"/>
      <c r="F25" s="11"/>
      <c r="G25" s="54"/>
      <c r="H25" s="9"/>
    </row>
    <row r="26" spans="1:8" x14ac:dyDescent="0.25">
      <c r="A26" s="8"/>
      <c r="B26" s="9"/>
      <c r="C26" s="10"/>
      <c r="D26" s="11"/>
      <c r="E26" s="11"/>
      <c r="F26" s="11"/>
      <c r="G26" s="54"/>
      <c r="H26" s="9"/>
    </row>
    <row r="27" spans="1:8" x14ac:dyDescent="0.25">
      <c r="A27" s="8"/>
      <c r="B27" s="9"/>
      <c r="C27" s="10"/>
      <c r="D27" s="11"/>
      <c r="E27" s="11"/>
      <c r="F27" s="11"/>
      <c r="G27" s="54"/>
      <c r="H27" s="9"/>
    </row>
    <row r="28" spans="1:8" x14ac:dyDescent="0.25">
      <c r="A28" s="8"/>
      <c r="B28" s="9"/>
      <c r="C28" s="10"/>
      <c r="D28" s="11"/>
      <c r="E28" s="11"/>
      <c r="F28" s="11"/>
      <c r="G28" s="54"/>
      <c r="H28" s="9"/>
    </row>
    <row r="29" spans="1:8" x14ac:dyDescent="0.25">
      <c r="A29" s="8"/>
      <c r="B29" s="9"/>
      <c r="C29" s="10"/>
      <c r="D29" s="11"/>
      <c r="E29" s="11"/>
      <c r="F29" s="11"/>
      <c r="G29" s="54"/>
      <c r="H29" s="9"/>
    </row>
    <row r="30" spans="1:8" x14ac:dyDescent="0.25">
      <c r="A30" s="8"/>
      <c r="B30" s="9"/>
      <c r="C30" s="10"/>
      <c r="D30" s="11"/>
      <c r="E30" s="11"/>
      <c r="F30" s="11"/>
      <c r="G30" s="54"/>
      <c r="H30" s="9"/>
    </row>
    <row r="31" spans="1:8" x14ac:dyDescent="0.25">
      <c r="A31" s="8"/>
      <c r="B31" s="9"/>
      <c r="C31" s="9"/>
      <c r="D31" s="11"/>
      <c r="E31" s="11"/>
      <c r="F31" s="11"/>
      <c r="G31" s="54"/>
      <c r="H31" s="9"/>
    </row>
    <row r="32" spans="1:8" x14ac:dyDescent="0.25">
      <c r="A32" s="8"/>
      <c r="B32" s="9"/>
      <c r="C32" s="9"/>
      <c r="D32" s="11"/>
      <c r="E32" s="11"/>
      <c r="F32" s="11"/>
      <c r="G32" s="54"/>
      <c r="H32" s="9"/>
    </row>
    <row r="33" spans="1:8" x14ac:dyDescent="0.25">
      <c r="A33" s="8"/>
      <c r="B33" s="9"/>
      <c r="C33" s="9"/>
      <c r="D33" s="11"/>
      <c r="E33" s="11"/>
      <c r="F33" s="10"/>
      <c r="G33" s="54"/>
      <c r="H33" s="9"/>
    </row>
  </sheetData>
  <conditionalFormatting sqref="G8:G33">
    <cfRule type="containsText" dxfId="11" priority="4" operator="containsText" text="In-Progress">
      <formula>NOT(ISERROR(SEARCH("In-Progress",G8)))</formula>
    </cfRule>
  </conditionalFormatting>
  <conditionalFormatting sqref="G8:G33">
    <cfRule type="containsText" dxfId="10" priority="3" operator="containsText" text="Closed">
      <formula>NOT(ISERROR(SEARCH("Closed",G8)))</formula>
    </cfRule>
  </conditionalFormatting>
  <conditionalFormatting sqref="G8:G33">
    <cfRule type="containsText" dxfId="9" priority="2" operator="containsText" text="On-Hold">
      <formula>NOT(ISERROR(SEARCH("On-Hold",G8)))</formula>
    </cfRule>
  </conditionalFormatting>
  <conditionalFormatting sqref="G8:G33">
    <cfRule type="cellIs" dxfId="8" priority="1" operator="equal">
      <formula>"Closed"</formula>
    </cfRule>
  </conditionalFormatting>
  <dataValidations count="1">
    <dataValidation type="list" allowBlank="1" showInputMessage="1" showErrorMessage="1" sqref="G8:G33">
      <formula1>"In-Progress,Closed,On-Hold"</formula1>
    </dataValidation>
  </dataValidations>
  <pageMargins left="0.7" right="0.7" top="1.25" bottom="0.75" header="0.3" footer="0.3"/>
  <pageSetup scale="67" orientation="portrait" r:id="rId1"/>
  <headerFooter>
    <oddHeader>&amp;L&amp;G</oddHeader>
    <oddFooter>&amp;C&amp;P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zoomScaleNormal="100" workbookViewId="0">
      <selection activeCell="B3" sqref="B3"/>
    </sheetView>
  </sheetViews>
  <sheetFormatPr defaultRowHeight="15" x14ac:dyDescent="0.25"/>
  <cols>
    <col min="1" max="1" width="4.85546875" style="1" customWidth="1"/>
    <col min="2" max="2" width="49.140625" customWidth="1"/>
    <col min="3" max="3" width="21.85546875" customWidth="1"/>
    <col min="4" max="4" width="12.7109375" customWidth="1"/>
    <col min="5" max="5" width="41.5703125" customWidth="1"/>
    <col min="6" max="6" width="18.28515625" customWidth="1"/>
  </cols>
  <sheetData>
    <row r="1" spans="1:5" x14ac:dyDescent="0.25">
      <c r="A1" s="2"/>
      <c r="B1" s="3"/>
      <c r="C1" s="3"/>
      <c r="D1" s="3"/>
      <c r="E1" s="3"/>
    </row>
    <row r="2" spans="1:5" x14ac:dyDescent="0.25">
      <c r="A2" s="6" t="s">
        <v>0</v>
      </c>
      <c r="B2" s="6" t="s">
        <v>44</v>
      </c>
      <c r="C2" s="6" t="s">
        <v>18</v>
      </c>
      <c r="D2" s="7" t="s">
        <v>43</v>
      </c>
      <c r="E2" s="6" t="s">
        <v>3</v>
      </c>
    </row>
    <row r="3" spans="1:5" x14ac:dyDescent="0.25">
      <c r="A3" s="9">
        <v>1</v>
      </c>
      <c r="B3" s="9"/>
      <c r="C3" s="10"/>
      <c r="D3" s="11"/>
      <c r="E3" s="9"/>
    </row>
    <row r="4" spans="1:5" x14ac:dyDescent="0.25">
      <c r="A4" s="9">
        <v>2</v>
      </c>
      <c r="B4" s="9"/>
      <c r="C4" s="10"/>
      <c r="D4" s="11"/>
      <c r="E4" s="9"/>
    </row>
    <row r="5" spans="1:5" x14ac:dyDescent="0.25">
      <c r="A5" s="9">
        <v>3</v>
      </c>
      <c r="B5" s="9"/>
      <c r="C5" s="10"/>
      <c r="D5" s="11"/>
      <c r="E5" s="9"/>
    </row>
    <row r="6" spans="1:5" x14ac:dyDescent="0.25">
      <c r="A6" s="9">
        <v>4</v>
      </c>
      <c r="B6" s="9"/>
      <c r="C6" s="10"/>
      <c r="D6" s="11"/>
      <c r="E6" s="9"/>
    </row>
    <row r="7" spans="1:5" x14ac:dyDescent="0.25">
      <c r="A7" s="9">
        <v>5</v>
      </c>
      <c r="B7" s="9"/>
      <c r="C7" s="10"/>
      <c r="D7" s="11"/>
      <c r="E7" s="9"/>
    </row>
    <row r="8" spans="1:5" x14ac:dyDescent="0.25">
      <c r="A8" s="9">
        <v>6</v>
      </c>
      <c r="B8" s="9"/>
      <c r="C8" s="10"/>
      <c r="D8" s="11"/>
      <c r="E8" s="9"/>
    </row>
    <row r="9" spans="1:5" x14ac:dyDescent="0.25">
      <c r="A9" s="8">
        <v>7</v>
      </c>
      <c r="B9" s="9"/>
      <c r="C9" s="10"/>
      <c r="D9" s="11"/>
      <c r="E9" s="9"/>
    </row>
    <row r="10" spans="1:5" x14ac:dyDescent="0.25">
      <c r="A10" s="8">
        <v>8</v>
      </c>
      <c r="B10" s="9"/>
      <c r="C10" s="10"/>
      <c r="D10" s="11"/>
      <c r="E10" s="9"/>
    </row>
    <row r="11" spans="1:5" x14ac:dyDescent="0.25">
      <c r="A11" s="8">
        <v>9</v>
      </c>
      <c r="B11" s="9"/>
      <c r="C11" s="10"/>
      <c r="D11" s="11"/>
      <c r="E11" s="9"/>
    </row>
    <row r="12" spans="1:5" x14ac:dyDescent="0.25">
      <c r="A12" s="8"/>
      <c r="B12" s="9"/>
      <c r="C12" s="10"/>
      <c r="D12" s="11"/>
      <c r="E12" s="9"/>
    </row>
    <row r="13" spans="1:5" x14ac:dyDescent="0.25">
      <c r="A13" s="8"/>
      <c r="B13" s="9"/>
      <c r="C13" s="10"/>
      <c r="D13" s="11"/>
      <c r="E13" s="9"/>
    </row>
    <row r="14" spans="1:5" x14ac:dyDescent="0.25">
      <c r="A14" s="8"/>
      <c r="B14" s="9"/>
      <c r="C14" s="10"/>
      <c r="D14" s="11"/>
      <c r="E14" s="9"/>
    </row>
    <row r="15" spans="1:5" x14ac:dyDescent="0.25">
      <c r="A15" s="8"/>
      <c r="B15" s="9"/>
      <c r="C15" s="10"/>
      <c r="D15" s="11"/>
      <c r="E15" s="9"/>
    </row>
    <row r="16" spans="1:5" x14ac:dyDescent="0.25">
      <c r="A16" s="8"/>
      <c r="B16" s="9"/>
      <c r="C16" s="10"/>
      <c r="D16" s="11"/>
      <c r="E16" s="9"/>
    </row>
    <row r="17" spans="1:5" x14ac:dyDescent="0.25">
      <c r="A17" s="8"/>
      <c r="B17" s="9"/>
      <c r="C17" s="10"/>
      <c r="D17" s="11"/>
      <c r="E17" s="9"/>
    </row>
    <row r="18" spans="1:5" x14ac:dyDescent="0.25">
      <c r="A18" s="8"/>
      <c r="B18" s="9"/>
      <c r="C18" s="10"/>
      <c r="D18" s="11"/>
      <c r="E18" s="9"/>
    </row>
    <row r="19" spans="1:5" x14ac:dyDescent="0.25">
      <c r="A19" s="8"/>
      <c r="B19" s="9"/>
      <c r="C19" s="10"/>
      <c r="D19" s="11"/>
      <c r="E19" s="9"/>
    </row>
    <row r="20" spans="1:5" x14ac:dyDescent="0.25">
      <c r="A20" s="8"/>
      <c r="B20" s="9"/>
      <c r="C20" s="10"/>
      <c r="D20" s="11"/>
      <c r="E20" s="9"/>
    </row>
    <row r="21" spans="1:5" x14ac:dyDescent="0.25">
      <c r="A21" s="8"/>
      <c r="B21" s="9"/>
      <c r="C21" s="10"/>
      <c r="D21" s="11"/>
      <c r="E21" s="9"/>
    </row>
    <row r="22" spans="1:5" x14ac:dyDescent="0.25">
      <c r="A22" s="8"/>
      <c r="B22" s="9"/>
      <c r="C22" s="10"/>
      <c r="D22" s="11"/>
      <c r="E22" s="9"/>
    </row>
    <row r="23" spans="1:5" x14ac:dyDescent="0.25">
      <c r="A23" s="8"/>
      <c r="B23" s="9"/>
      <c r="C23" s="10"/>
      <c r="D23" s="11"/>
      <c r="E23" s="9"/>
    </row>
    <row r="24" spans="1:5" x14ac:dyDescent="0.25">
      <c r="A24" s="8"/>
      <c r="B24" s="9"/>
      <c r="C24" s="10"/>
      <c r="D24" s="11"/>
      <c r="E24" s="9"/>
    </row>
    <row r="25" spans="1:5" x14ac:dyDescent="0.25">
      <c r="A25" s="8"/>
      <c r="B25" s="9"/>
      <c r="C25" s="10"/>
      <c r="D25" s="11"/>
      <c r="E25" s="9"/>
    </row>
    <row r="26" spans="1:5" x14ac:dyDescent="0.25">
      <c r="A26" s="8"/>
      <c r="B26" s="9"/>
      <c r="C26" s="10"/>
      <c r="D26" s="11"/>
      <c r="E26" s="9"/>
    </row>
    <row r="27" spans="1:5" x14ac:dyDescent="0.25">
      <c r="A27" s="8"/>
      <c r="B27" s="9"/>
      <c r="C27" s="10"/>
      <c r="D27" s="11"/>
      <c r="E27" s="9"/>
    </row>
    <row r="28" spans="1:5" x14ac:dyDescent="0.25">
      <c r="A28" s="8"/>
      <c r="B28" s="9"/>
      <c r="C28" s="10"/>
      <c r="D28" s="11"/>
      <c r="E28" s="9"/>
    </row>
    <row r="29" spans="1:5" x14ac:dyDescent="0.25">
      <c r="A29" s="8"/>
      <c r="B29" s="9"/>
      <c r="C29" s="10"/>
      <c r="D29" s="11"/>
      <c r="E29" s="9"/>
    </row>
    <row r="30" spans="1:5" x14ac:dyDescent="0.25">
      <c r="A30" s="8"/>
      <c r="B30" s="9"/>
      <c r="C30" s="10"/>
      <c r="D30" s="11"/>
      <c r="E30" s="9"/>
    </row>
    <row r="31" spans="1:5" x14ac:dyDescent="0.25">
      <c r="A31" s="8"/>
      <c r="B31" s="9"/>
      <c r="C31" s="10"/>
      <c r="D31" s="11"/>
      <c r="E31" s="9"/>
    </row>
    <row r="32" spans="1:5" x14ac:dyDescent="0.25">
      <c r="A32" s="8"/>
      <c r="B32" s="9"/>
      <c r="C32" s="9"/>
      <c r="D32" s="11"/>
      <c r="E32" s="9"/>
    </row>
    <row r="33" spans="1:5" x14ac:dyDescent="0.25">
      <c r="A33" s="8"/>
      <c r="B33" s="9"/>
      <c r="C33" s="9"/>
      <c r="D33" s="11"/>
      <c r="E33" s="9"/>
    </row>
    <row r="34" spans="1:5" x14ac:dyDescent="0.25">
      <c r="A34" s="8"/>
      <c r="B34" s="9"/>
      <c r="C34" s="9"/>
      <c r="D34" s="11"/>
      <c r="E34" s="9"/>
    </row>
  </sheetData>
  <pageMargins left="0.7" right="0.7" top="1.25" bottom="0.75" header="0.3" footer="0.3"/>
  <pageSetup scale="69" orientation="portrait" r:id="rId1"/>
  <headerFooter>
    <oddHeader>&amp;L&amp;G</oddHeader>
    <oddFooter>&amp;C&amp;P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Normal="100" workbookViewId="0">
      <selection activeCell="B8" sqref="B8"/>
    </sheetView>
  </sheetViews>
  <sheetFormatPr defaultRowHeight="15" x14ac:dyDescent="0.25"/>
  <cols>
    <col min="1" max="1" width="5.85546875" customWidth="1"/>
    <col min="2" max="2" width="27.85546875" customWidth="1"/>
    <col min="3" max="3" width="10.7109375" customWidth="1"/>
    <col min="4" max="4" width="11.140625" customWidth="1"/>
    <col min="5" max="5" width="14.28515625" customWidth="1"/>
    <col min="6" max="6" width="11.7109375" customWidth="1"/>
    <col min="7" max="7" width="12.28515625" customWidth="1"/>
    <col min="8" max="8" width="10.28515625" customWidth="1"/>
    <col min="9" max="9" width="25.140625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x14ac:dyDescent="0.25">
      <c r="A2" s="2"/>
      <c r="B2" s="3"/>
      <c r="C2" s="16" t="s">
        <v>4</v>
      </c>
      <c r="D2" s="6" t="s">
        <v>10</v>
      </c>
      <c r="E2" s="6" t="s">
        <v>4</v>
      </c>
      <c r="F2" s="6" t="s">
        <v>10</v>
      </c>
      <c r="H2" s="3"/>
      <c r="I2" s="3"/>
    </row>
    <row r="3" spans="1:9" x14ac:dyDescent="0.25">
      <c r="A3" s="2"/>
      <c r="B3" s="3"/>
      <c r="C3" s="8" t="s">
        <v>15</v>
      </c>
      <c r="D3" s="15">
        <f>COUNTIF(C8:C150,"Low")</f>
        <v>0</v>
      </c>
      <c r="E3" s="8" t="s">
        <v>6</v>
      </c>
      <c r="F3" s="10">
        <f>COUNTIF(F7:F150,"In-Progress")</f>
        <v>0</v>
      </c>
      <c r="H3" s="3"/>
      <c r="I3" s="3"/>
    </row>
    <row r="4" spans="1:9" x14ac:dyDescent="0.25">
      <c r="A4" s="2"/>
      <c r="B4" s="3"/>
      <c r="C4" s="8" t="s">
        <v>16</v>
      </c>
      <c r="D4" s="15">
        <f>COUNTIF(C8:C151,"Medium")</f>
        <v>0</v>
      </c>
      <c r="E4" s="8" t="s">
        <v>5</v>
      </c>
      <c r="F4" s="10">
        <f>COUNTIF(F7:F826,"Closed")</f>
        <v>0</v>
      </c>
      <c r="H4" s="3"/>
      <c r="I4" s="3"/>
    </row>
    <row r="5" spans="1:9" x14ac:dyDescent="0.25">
      <c r="A5" s="2"/>
      <c r="B5" s="3"/>
      <c r="C5" s="8" t="s">
        <v>17</v>
      </c>
      <c r="D5" s="15">
        <f>COUNTIF(C8:C151,"High")</f>
        <v>0</v>
      </c>
      <c r="E5" s="8" t="s">
        <v>9</v>
      </c>
      <c r="F5" s="10">
        <f>COUNTIF(F7:F798,"On-Hold")</f>
        <v>0</v>
      </c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3" t="s">
        <v>0</v>
      </c>
      <c r="B7" s="13" t="s">
        <v>7</v>
      </c>
      <c r="C7" s="13" t="s">
        <v>11</v>
      </c>
      <c r="D7" s="13" t="s">
        <v>12</v>
      </c>
      <c r="E7" s="13" t="s">
        <v>13</v>
      </c>
      <c r="F7" s="13" t="s">
        <v>4</v>
      </c>
      <c r="G7" s="13" t="s">
        <v>8</v>
      </c>
      <c r="H7" s="13" t="s">
        <v>2</v>
      </c>
      <c r="I7" s="13" t="s">
        <v>14</v>
      </c>
    </row>
    <row r="8" spans="1:9" x14ac:dyDescent="0.25">
      <c r="A8" s="9">
        <v>1</v>
      </c>
      <c r="B8" s="9"/>
      <c r="C8" s="9"/>
      <c r="D8" s="9"/>
      <c r="E8" s="9"/>
      <c r="F8" s="54"/>
      <c r="G8" s="9"/>
      <c r="H8" s="9"/>
      <c r="I8" s="9"/>
    </row>
    <row r="9" spans="1:9" x14ac:dyDescent="0.25">
      <c r="A9" s="9">
        <v>2</v>
      </c>
      <c r="B9" s="9"/>
      <c r="C9" s="9"/>
      <c r="D9" s="9"/>
      <c r="E9" s="9"/>
      <c r="F9" s="54"/>
      <c r="G9" s="9"/>
      <c r="H9" s="9"/>
      <c r="I9" s="9"/>
    </row>
    <row r="10" spans="1:9" x14ac:dyDescent="0.25">
      <c r="A10" s="9">
        <v>3</v>
      </c>
      <c r="B10" s="9"/>
      <c r="C10" s="9"/>
      <c r="D10" s="9"/>
      <c r="E10" s="9"/>
      <c r="F10" s="54"/>
      <c r="G10" s="9"/>
      <c r="H10" s="9"/>
      <c r="I10" s="9"/>
    </row>
    <row r="11" spans="1:9" x14ac:dyDescent="0.25">
      <c r="A11" s="9">
        <v>4</v>
      </c>
      <c r="B11" s="9"/>
      <c r="C11" s="9"/>
      <c r="D11" s="9"/>
      <c r="E11" s="9"/>
      <c r="F11" s="54"/>
      <c r="G11" s="9"/>
      <c r="H11" s="9"/>
      <c r="I11" s="9"/>
    </row>
    <row r="12" spans="1:9" x14ac:dyDescent="0.25">
      <c r="A12" s="9">
        <v>5</v>
      </c>
      <c r="B12" s="9"/>
      <c r="C12" s="9"/>
      <c r="D12" s="9"/>
      <c r="E12" s="9"/>
      <c r="F12" s="54"/>
      <c r="G12" s="9"/>
      <c r="H12" s="9"/>
      <c r="I12" s="9"/>
    </row>
    <row r="13" spans="1:9" x14ac:dyDescent="0.25">
      <c r="A13" s="9">
        <v>6</v>
      </c>
      <c r="B13" s="9"/>
      <c r="C13" s="9"/>
      <c r="D13" s="9"/>
      <c r="E13" s="9"/>
      <c r="F13" s="54"/>
      <c r="G13" s="9"/>
      <c r="H13" s="9"/>
      <c r="I13" s="9"/>
    </row>
    <row r="14" spans="1:9" x14ac:dyDescent="0.25">
      <c r="A14" s="9">
        <v>7</v>
      </c>
      <c r="B14" s="9"/>
      <c r="C14" s="9"/>
      <c r="D14" s="9"/>
      <c r="E14" s="9"/>
      <c r="F14" s="54"/>
      <c r="G14" s="9"/>
      <c r="H14" s="9"/>
      <c r="I14" s="9"/>
    </row>
    <row r="15" spans="1:9" x14ac:dyDescent="0.25">
      <c r="A15" s="9">
        <v>8</v>
      </c>
      <c r="B15" s="9"/>
      <c r="C15" s="9"/>
      <c r="D15" s="9"/>
      <c r="E15" s="9"/>
      <c r="F15" s="54"/>
      <c r="G15" s="9"/>
      <c r="H15" s="9"/>
      <c r="I15" s="9"/>
    </row>
    <row r="16" spans="1:9" x14ac:dyDescent="0.25">
      <c r="A16" s="9">
        <v>9</v>
      </c>
      <c r="B16" s="9"/>
      <c r="C16" s="9"/>
      <c r="D16" s="9"/>
      <c r="E16" s="9"/>
      <c r="F16" s="54"/>
      <c r="G16" s="9"/>
      <c r="H16" s="9"/>
      <c r="I16" s="9"/>
    </row>
    <row r="17" spans="1:9" x14ac:dyDescent="0.25">
      <c r="A17" s="9"/>
      <c r="B17" s="9"/>
      <c r="C17" s="9"/>
      <c r="D17" s="9"/>
      <c r="E17" s="9"/>
      <c r="F17" s="54"/>
      <c r="G17" s="9"/>
      <c r="H17" s="9"/>
      <c r="I17" s="9"/>
    </row>
    <row r="18" spans="1:9" x14ac:dyDescent="0.25">
      <c r="A18" s="9"/>
      <c r="B18" s="9"/>
      <c r="C18" s="9"/>
      <c r="D18" s="9"/>
      <c r="E18" s="9"/>
      <c r="F18" s="54"/>
      <c r="G18" s="9"/>
      <c r="H18" s="9"/>
      <c r="I18" s="9"/>
    </row>
    <row r="19" spans="1:9" x14ac:dyDescent="0.25">
      <c r="A19" s="9"/>
      <c r="B19" s="9"/>
      <c r="C19" s="9"/>
      <c r="D19" s="9"/>
      <c r="E19" s="9"/>
      <c r="F19" s="54"/>
      <c r="G19" s="9"/>
      <c r="H19" s="9"/>
      <c r="I19" s="9"/>
    </row>
    <row r="20" spans="1:9" x14ac:dyDescent="0.25">
      <c r="A20" s="9"/>
      <c r="B20" s="9"/>
      <c r="C20" s="9"/>
      <c r="D20" s="9"/>
      <c r="E20" s="9"/>
      <c r="F20" s="54"/>
      <c r="G20" s="9"/>
      <c r="H20" s="9"/>
      <c r="I20" s="9"/>
    </row>
    <row r="21" spans="1:9" x14ac:dyDescent="0.25">
      <c r="A21" s="9"/>
      <c r="B21" s="9"/>
      <c r="C21" s="9"/>
      <c r="D21" s="9"/>
      <c r="E21" s="9"/>
      <c r="F21" s="54"/>
      <c r="G21" s="9"/>
      <c r="H21" s="9"/>
      <c r="I21" s="9"/>
    </row>
    <row r="22" spans="1:9" x14ac:dyDescent="0.25">
      <c r="A22" s="9"/>
      <c r="B22" s="9"/>
      <c r="C22" s="9"/>
      <c r="D22" s="9"/>
      <c r="E22" s="9"/>
      <c r="F22" s="54"/>
      <c r="G22" s="9"/>
      <c r="H22" s="9"/>
      <c r="I22" s="9"/>
    </row>
    <row r="23" spans="1:9" x14ac:dyDescent="0.25">
      <c r="A23" s="9"/>
      <c r="B23" s="9"/>
      <c r="C23" s="9"/>
      <c r="D23" s="9"/>
      <c r="E23" s="9"/>
      <c r="F23" s="54"/>
      <c r="G23" s="9"/>
      <c r="H23" s="9"/>
      <c r="I23" s="9"/>
    </row>
    <row r="24" spans="1:9" x14ac:dyDescent="0.25">
      <c r="A24" s="9"/>
      <c r="B24" s="9"/>
      <c r="C24" s="9"/>
      <c r="D24" s="9"/>
      <c r="E24" s="9"/>
      <c r="F24" s="54"/>
      <c r="G24" s="9"/>
      <c r="H24" s="9"/>
      <c r="I24" s="9"/>
    </row>
    <row r="25" spans="1:9" x14ac:dyDescent="0.25">
      <c r="A25" s="9"/>
      <c r="B25" s="9"/>
      <c r="C25" s="9"/>
      <c r="D25" s="9"/>
      <c r="E25" s="9"/>
      <c r="F25" s="54"/>
      <c r="G25" s="9"/>
      <c r="H25" s="9"/>
      <c r="I25" s="9"/>
    </row>
    <row r="26" spans="1:9" x14ac:dyDescent="0.25">
      <c r="A26" s="9"/>
      <c r="B26" s="9"/>
      <c r="C26" s="9"/>
      <c r="D26" s="9"/>
      <c r="E26" s="9"/>
      <c r="F26" s="54"/>
      <c r="G26" s="9"/>
      <c r="H26" s="9"/>
      <c r="I26" s="9"/>
    </row>
    <row r="27" spans="1:9" x14ac:dyDescent="0.25">
      <c r="A27" s="9"/>
      <c r="B27" s="9"/>
      <c r="C27" s="9"/>
      <c r="D27" s="9"/>
      <c r="E27" s="9"/>
      <c r="F27" s="54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54"/>
      <c r="G28" s="9"/>
      <c r="H28" s="9"/>
      <c r="I28" s="9"/>
    </row>
    <row r="29" spans="1:9" x14ac:dyDescent="0.25">
      <c r="A29" s="9"/>
      <c r="B29" s="9"/>
      <c r="C29" s="9"/>
      <c r="D29" s="9"/>
      <c r="E29" s="9"/>
      <c r="F29" s="54"/>
      <c r="G29" s="9"/>
      <c r="H29" s="9"/>
      <c r="I29" s="9"/>
    </row>
    <row r="30" spans="1:9" x14ac:dyDescent="0.25">
      <c r="A30" s="9"/>
      <c r="B30" s="9"/>
      <c r="C30" s="9"/>
      <c r="D30" s="9"/>
      <c r="E30" s="9"/>
      <c r="F30" s="54"/>
      <c r="G30" s="9"/>
      <c r="H30" s="9"/>
      <c r="I30" s="9"/>
    </row>
    <row r="31" spans="1:9" x14ac:dyDescent="0.25">
      <c r="A31" s="9"/>
      <c r="B31" s="9"/>
      <c r="C31" s="9"/>
      <c r="D31" s="9"/>
      <c r="E31" s="9"/>
      <c r="F31" s="54"/>
      <c r="G31" s="9"/>
      <c r="H31" s="9"/>
      <c r="I31" s="9"/>
    </row>
    <row r="32" spans="1:9" x14ac:dyDescent="0.25">
      <c r="A32" s="9"/>
      <c r="B32" s="9"/>
      <c r="C32" s="9"/>
      <c r="D32" s="9"/>
      <c r="E32" s="9"/>
      <c r="F32" s="54"/>
      <c r="G32" s="9"/>
      <c r="H32" s="9"/>
      <c r="I32" s="9"/>
    </row>
    <row r="33" spans="1:9" x14ac:dyDescent="0.25">
      <c r="A33" s="9"/>
      <c r="B33" s="9"/>
      <c r="C33" s="9"/>
      <c r="D33" s="9"/>
      <c r="E33" s="9"/>
      <c r="F33" s="54"/>
      <c r="G33" s="9"/>
      <c r="H33" s="9"/>
      <c r="I33" s="9"/>
    </row>
  </sheetData>
  <conditionalFormatting sqref="F8:F33">
    <cfRule type="containsText" dxfId="7" priority="4" operator="containsText" text="In-Progress">
      <formula>NOT(ISERROR(SEARCH("In-Progress",F8)))</formula>
    </cfRule>
  </conditionalFormatting>
  <conditionalFormatting sqref="F8:F33">
    <cfRule type="containsText" dxfId="6" priority="3" operator="containsText" text="Closed">
      <formula>NOT(ISERROR(SEARCH("Closed",F8)))</formula>
    </cfRule>
  </conditionalFormatting>
  <conditionalFormatting sqref="F8:F33">
    <cfRule type="containsText" dxfId="5" priority="2" operator="containsText" text="On-Hold">
      <formula>NOT(ISERROR(SEARCH("On-Hold",F8)))</formula>
    </cfRule>
  </conditionalFormatting>
  <conditionalFormatting sqref="F8:F33">
    <cfRule type="cellIs" dxfId="4" priority="1" operator="equal">
      <formula>"Closed"</formula>
    </cfRule>
  </conditionalFormatting>
  <dataValidations count="2">
    <dataValidation type="list" allowBlank="1" showInputMessage="1" showErrorMessage="1" sqref="C8:C33">
      <formula1>$C$3:$C$5</formula1>
    </dataValidation>
    <dataValidation type="list" allowBlank="1" showInputMessage="1" showErrorMessage="1" sqref="F8:F33">
      <formula1>"In-Progress,Closed,On-Hold"</formula1>
    </dataValidation>
  </dataValidations>
  <pageMargins left="0.7" right="0.7" top="1.25" bottom="0.75" header="0.3" footer="0.3"/>
  <pageSetup scale="69" orientation="portrait" r:id="rId1"/>
  <headerFooter>
    <oddHeader>&amp;L&amp;G</oddHeader>
    <oddFooter>&amp;C&amp;P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selection activeCell="B4" sqref="B4"/>
    </sheetView>
  </sheetViews>
  <sheetFormatPr defaultColWidth="7.5703125" defaultRowHeight="15" x14ac:dyDescent="0.25"/>
  <cols>
    <col min="1" max="1" width="31.85546875" style="17" bestFit="1" customWidth="1"/>
    <col min="2" max="3" width="7.5703125" style="33" customWidth="1"/>
    <col min="4" max="13" width="7.5703125" style="33"/>
    <col min="14" max="16384" width="7.5703125" style="17"/>
  </cols>
  <sheetData>
    <row r="1" spans="1:14" x14ac:dyDescent="0.25">
      <c r="A1" s="60" t="s">
        <v>34</v>
      </c>
      <c r="B1" s="59" t="s">
        <v>45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4" x14ac:dyDescent="0.25">
      <c r="A2" s="60"/>
      <c r="B2" s="34">
        <v>1</v>
      </c>
      <c r="C2" s="34">
        <v>2</v>
      </c>
      <c r="D2" s="34">
        <v>3</v>
      </c>
      <c r="E2" s="34">
        <v>4</v>
      </c>
      <c r="F2" s="34">
        <v>5</v>
      </c>
      <c r="G2" s="34">
        <v>6</v>
      </c>
      <c r="H2" s="34">
        <v>7</v>
      </c>
      <c r="I2" s="34">
        <v>8</v>
      </c>
      <c r="J2" s="34">
        <v>9</v>
      </c>
      <c r="K2" s="34">
        <v>10</v>
      </c>
      <c r="L2" s="34">
        <v>11</v>
      </c>
      <c r="M2" s="34">
        <v>12</v>
      </c>
      <c r="N2" s="18"/>
    </row>
    <row r="3" spans="1:14" ht="15.75" x14ac:dyDescent="0.25">
      <c r="A3" s="19" t="s">
        <v>22</v>
      </c>
      <c r="B3" s="20"/>
      <c r="C3" s="21"/>
      <c r="D3" s="21"/>
      <c r="E3" s="21"/>
      <c r="F3" s="22"/>
      <c r="G3" s="21"/>
      <c r="H3" s="22"/>
      <c r="I3" s="22"/>
      <c r="J3" s="23"/>
      <c r="K3" s="23"/>
      <c r="L3" s="23"/>
      <c r="M3" s="23"/>
    </row>
    <row r="4" spans="1:14" x14ac:dyDescent="0.25">
      <c r="A4" s="24" t="s">
        <v>23</v>
      </c>
      <c r="B4" s="25"/>
      <c r="C4" s="26"/>
      <c r="D4" s="26"/>
      <c r="E4" s="26"/>
      <c r="F4" s="27"/>
      <c r="G4" s="26"/>
      <c r="H4" s="27"/>
      <c r="I4" s="27"/>
      <c r="J4" s="28"/>
      <c r="K4" s="28"/>
      <c r="L4" s="28"/>
      <c r="M4" s="28"/>
    </row>
    <row r="5" spans="1:14" x14ac:dyDescent="0.25">
      <c r="A5" s="29" t="s">
        <v>24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4" x14ac:dyDescent="0.25">
      <c r="A6" s="29" t="s">
        <v>25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4" x14ac:dyDescent="0.25">
      <c r="A7" s="29" t="s">
        <v>26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4" x14ac:dyDescent="0.25">
      <c r="A8" s="29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4" x14ac:dyDescent="0.25">
      <c r="A9" s="24" t="s">
        <v>27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4" x14ac:dyDescent="0.25">
      <c r="A10" s="30" t="s">
        <v>28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4" x14ac:dyDescent="0.25">
      <c r="A11" s="30" t="s">
        <v>35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4" x14ac:dyDescent="0.25">
      <c r="A12" s="30" t="s">
        <v>36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4" x14ac:dyDescent="0.25">
      <c r="A13" s="29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4" x14ac:dyDescent="0.25">
      <c r="A14" s="24" t="s">
        <v>29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4" x14ac:dyDescent="0.25">
      <c r="A15" s="30" t="s">
        <v>37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4" x14ac:dyDescent="0.25">
      <c r="A16" s="30" t="s">
        <v>38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 x14ac:dyDescent="0.25">
      <c r="A17" s="30" t="s">
        <v>39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x14ac:dyDescent="0.25">
      <c r="A18" s="29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 x14ac:dyDescent="0.25">
      <c r="A19" s="31" t="s">
        <v>30</v>
      </c>
      <c r="B19" s="28">
        <f>B5+B10+B15</f>
        <v>0</v>
      </c>
      <c r="C19" s="28">
        <f>C5+C10+C15</f>
        <v>0</v>
      </c>
      <c r="D19" s="28">
        <f t="shared" ref="D19:F19" si="0">D5+D10+D15</f>
        <v>0</v>
      </c>
      <c r="E19" s="28">
        <f t="shared" si="0"/>
        <v>0</v>
      </c>
      <c r="F19" s="28">
        <f t="shared" si="0"/>
        <v>0</v>
      </c>
      <c r="G19" s="28">
        <f t="shared" ref="G19:M19" si="1">G5+G10+G15</f>
        <v>0</v>
      </c>
      <c r="H19" s="28">
        <f t="shared" si="1"/>
        <v>0</v>
      </c>
      <c r="I19" s="28">
        <f t="shared" si="1"/>
        <v>0</v>
      </c>
      <c r="J19" s="28">
        <f t="shared" si="1"/>
        <v>0</v>
      </c>
      <c r="K19" s="28">
        <f t="shared" si="1"/>
        <v>0</v>
      </c>
      <c r="L19" s="28">
        <f t="shared" si="1"/>
        <v>0</v>
      </c>
      <c r="M19" s="28">
        <f t="shared" si="1"/>
        <v>0</v>
      </c>
    </row>
    <row r="20" spans="1:13" x14ac:dyDescent="0.25">
      <c r="A20" s="31" t="s">
        <v>31</v>
      </c>
      <c r="B20" s="28">
        <f t="shared" ref="B20:M20" si="2">B6+B11+B16</f>
        <v>0</v>
      </c>
      <c r="C20" s="28">
        <f t="shared" si="2"/>
        <v>0</v>
      </c>
      <c r="D20" s="28">
        <f t="shared" si="2"/>
        <v>0</v>
      </c>
      <c r="E20" s="28">
        <f t="shared" si="2"/>
        <v>0</v>
      </c>
      <c r="F20" s="28">
        <f t="shared" si="2"/>
        <v>0</v>
      </c>
      <c r="G20" s="28">
        <f t="shared" si="2"/>
        <v>0</v>
      </c>
      <c r="H20" s="28">
        <f t="shared" si="2"/>
        <v>0</v>
      </c>
      <c r="I20" s="28">
        <f t="shared" si="2"/>
        <v>0</v>
      </c>
      <c r="J20" s="28">
        <f t="shared" si="2"/>
        <v>0</v>
      </c>
      <c r="K20" s="28">
        <f t="shared" si="2"/>
        <v>0</v>
      </c>
      <c r="L20" s="28">
        <f t="shared" si="2"/>
        <v>0</v>
      </c>
      <c r="M20" s="28">
        <f t="shared" si="2"/>
        <v>0</v>
      </c>
    </row>
    <row r="21" spans="1:13" x14ac:dyDescent="0.25">
      <c r="A21" s="31" t="s">
        <v>32</v>
      </c>
      <c r="B21" s="28">
        <f t="shared" ref="B21:M21" si="3">B7+B12+B17</f>
        <v>0</v>
      </c>
      <c r="C21" s="28">
        <f t="shared" si="3"/>
        <v>0</v>
      </c>
      <c r="D21" s="28">
        <f t="shared" si="3"/>
        <v>0</v>
      </c>
      <c r="E21" s="28">
        <f t="shared" si="3"/>
        <v>0</v>
      </c>
      <c r="F21" s="28">
        <f t="shared" si="3"/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</row>
    <row r="22" spans="1:13" x14ac:dyDescent="0.25">
      <c r="A22" s="30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 ht="15.75" x14ac:dyDescent="0.25">
      <c r="A23" s="32" t="s">
        <v>33</v>
      </c>
      <c r="B23" s="21"/>
      <c r="C23" s="21"/>
      <c r="D23" s="21"/>
      <c r="E23" s="21"/>
      <c r="F23" s="22"/>
      <c r="G23" s="21"/>
      <c r="H23" s="22"/>
      <c r="I23" s="22"/>
      <c r="J23" s="23"/>
      <c r="K23" s="23"/>
      <c r="L23" s="23"/>
      <c r="M23" s="23"/>
    </row>
    <row r="24" spans="1:13" x14ac:dyDescent="0.25">
      <c r="A24" s="24" t="s">
        <v>23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x14ac:dyDescent="0.25">
      <c r="A25" s="29" t="s">
        <v>24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x14ac:dyDescent="0.25">
      <c r="A26" s="29" t="s">
        <v>25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x14ac:dyDescent="0.25">
      <c r="A27" s="29" t="s">
        <v>26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1:13" x14ac:dyDescent="0.25">
      <c r="A28" s="29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x14ac:dyDescent="0.25">
      <c r="A29" s="24" t="s">
        <v>27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x14ac:dyDescent="0.25">
      <c r="A30" s="30" t="s">
        <v>28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x14ac:dyDescent="0.25">
      <c r="A31" s="30" t="s">
        <v>35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x14ac:dyDescent="0.25">
      <c r="A32" s="30" t="s">
        <v>36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 x14ac:dyDescent="0.25">
      <c r="A33" s="29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 x14ac:dyDescent="0.25">
      <c r="A34" s="24" t="s">
        <v>29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1:13" x14ac:dyDescent="0.25">
      <c r="A35" s="30" t="s">
        <v>37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1:13" x14ac:dyDescent="0.25">
      <c r="A36" s="30" t="s">
        <v>38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spans="1:13" x14ac:dyDescent="0.25">
      <c r="A37" s="30" t="s">
        <v>39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1:13" x14ac:dyDescent="0.25">
      <c r="A38" s="29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spans="1:13" x14ac:dyDescent="0.25">
      <c r="A39" s="31" t="s">
        <v>30</v>
      </c>
      <c r="B39" s="28">
        <f>B25+B30+B35</f>
        <v>0</v>
      </c>
      <c r="C39" s="28">
        <f>C25+C30+C35</f>
        <v>0</v>
      </c>
      <c r="D39" s="28">
        <f t="shared" ref="D39:M39" si="4">D25+D30+D35</f>
        <v>0</v>
      </c>
      <c r="E39" s="28">
        <f t="shared" si="4"/>
        <v>0</v>
      </c>
      <c r="F39" s="28">
        <f t="shared" si="4"/>
        <v>0</v>
      </c>
      <c r="G39" s="28">
        <f t="shared" si="4"/>
        <v>0</v>
      </c>
      <c r="H39" s="28">
        <f t="shared" si="4"/>
        <v>0</v>
      </c>
      <c r="I39" s="28">
        <f t="shared" si="4"/>
        <v>0</v>
      </c>
      <c r="J39" s="28">
        <f t="shared" si="4"/>
        <v>0</v>
      </c>
      <c r="K39" s="28">
        <f t="shared" si="4"/>
        <v>0</v>
      </c>
      <c r="L39" s="28">
        <f t="shared" si="4"/>
        <v>0</v>
      </c>
      <c r="M39" s="28">
        <f t="shared" si="4"/>
        <v>0</v>
      </c>
    </row>
    <row r="40" spans="1:13" x14ac:dyDescent="0.25">
      <c r="A40" s="31" t="s">
        <v>31</v>
      </c>
      <c r="B40" s="28">
        <f t="shared" ref="B40:M40" si="5">B26+B31+B36</f>
        <v>0</v>
      </c>
      <c r="C40" s="28">
        <f t="shared" si="5"/>
        <v>0</v>
      </c>
      <c r="D40" s="28">
        <f t="shared" si="5"/>
        <v>0</v>
      </c>
      <c r="E40" s="28">
        <f t="shared" si="5"/>
        <v>0</v>
      </c>
      <c r="F40" s="28">
        <f t="shared" si="5"/>
        <v>0</v>
      </c>
      <c r="G40" s="28">
        <f t="shared" si="5"/>
        <v>0</v>
      </c>
      <c r="H40" s="28">
        <f t="shared" si="5"/>
        <v>0</v>
      </c>
      <c r="I40" s="28">
        <f t="shared" si="5"/>
        <v>0</v>
      </c>
      <c r="J40" s="28">
        <f t="shared" si="5"/>
        <v>0</v>
      </c>
      <c r="K40" s="28">
        <f t="shared" si="5"/>
        <v>0</v>
      </c>
      <c r="L40" s="28">
        <f t="shared" si="5"/>
        <v>0</v>
      </c>
      <c r="M40" s="28">
        <f t="shared" si="5"/>
        <v>0</v>
      </c>
    </row>
    <row r="41" spans="1:13" x14ac:dyDescent="0.25">
      <c r="A41" s="31" t="s">
        <v>32</v>
      </c>
      <c r="B41" s="28">
        <f t="shared" ref="B41:M41" si="6">B27+B32+B37</f>
        <v>0</v>
      </c>
      <c r="C41" s="28">
        <f t="shared" si="6"/>
        <v>0</v>
      </c>
      <c r="D41" s="28">
        <f t="shared" si="6"/>
        <v>0</v>
      </c>
      <c r="E41" s="28">
        <f t="shared" si="6"/>
        <v>0</v>
      </c>
      <c r="F41" s="28">
        <f t="shared" si="6"/>
        <v>0</v>
      </c>
      <c r="G41" s="28">
        <f t="shared" si="6"/>
        <v>0</v>
      </c>
      <c r="H41" s="28">
        <f t="shared" si="6"/>
        <v>0</v>
      </c>
      <c r="I41" s="28">
        <f t="shared" si="6"/>
        <v>0</v>
      </c>
      <c r="J41" s="28">
        <f t="shared" si="6"/>
        <v>0</v>
      </c>
      <c r="K41" s="28">
        <f t="shared" si="6"/>
        <v>0</v>
      </c>
      <c r="L41" s="28">
        <f t="shared" si="6"/>
        <v>0</v>
      </c>
      <c r="M41" s="28">
        <f t="shared" si="6"/>
        <v>0</v>
      </c>
    </row>
  </sheetData>
  <mergeCells count="2">
    <mergeCell ref="B1:M1"/>
    <mergeCell ref="A1:A2"/>
  </mergeCells>
  <conditionalFormatting sqref="F8:F32 G19:M21 F39:M41">
    <cfRule type="containsText" dxfId="3" priority="16" operator="containsText" text="In-Progress">
      <formula>NOT(ISERROR(SEARCH("In-Progress",F8)))</formula>
    </cfRule>
  </conditionalFormatting>
  <conditionalFormatting sqref="F8:F32 G19:M21 F39:M41">
    <cfRule type="containsText" dxfId="2" priority="15" operator="containsText" text="Closed">
      <formula>NOT(ISERROR(SEARCH("Closed",F8)))</formula>
    </cfRule>
  </conditionalFormatting>
  <conditionalFormatting sqref="F8:F32 G19:M21 F39:M41">
    <cfRule type="containsText" dxfId="1" priority="14" operator="containsText" text="On-Hold">
      <formula>NOT(ISERROR(SEARCH("On-Hold",F8)))</formula>
    </cfRule>
  </conditionalFormatting>
  <conditionalFormatting sqref="F8:F32 G19:M21 F39:M41">
    <cfRule type="cellIs" dxfId="0" priority="13" operator="equal">
      <formula>"Closed"</formula>
    </cfRule>
  </conditionalFormatting>
  <dataValidations count="1">
    <dataValidation type="list" allowBlank="1" showInputMessage="1" showErrorMessage="1" sqref="G19:M21 F29:F32 F8:F27 F39:M41">
      <formula1>$E$3:$E$5</formula1>
    </dataValidation>
  </dataValidations>
  <pageMargins left="0.7" right="0.7" top="1.25" bottom="0.75" header="0.3" footer="0.3"/>
  <pageSetup scale="69" orientation="portrait" r:id="rId1"/>
  <headerFooter>
    <oddHeader>&amp;L&amp;G</oddHeader>
    <oddFooter>&amp;C&amp;P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C7B56A43EB04E9C936EB39FF43E0F" ma:contentTypeVersion="0" ma:contentTypeDescription="Create a new document." ma:contentTypeScope="" ma:versionID="7550cc251b88f01741de72a5858834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644E7F-2206-44EF-BF4A-89C6CEE7D6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FD61C3-8923-484B-8D09-A8DB42483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161A012-5A68-4EAB-AB4C-656DFD9595EA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Definitions</vt:lpstr>
      <vt:lpstr>Risks</vt:lpstr>
      <vt:lpstr>Action Items</vt:lpstr>
      <vt:lpstr>Issues</vt:lpstr>
      <vt:lpstr>Decisions</vt:lpstr>
      <vt:lpstr>Changes</vt:lpstr>
      <vt:lpstr>Quality</vt:lpstr>
      <vt:lpstr>Changes!Print_Area</vt:lpstr>
      <vt:lpstr>Issues!Print_Area</vt:lpstr>
      <vt:lpstr>Risks!Print_Area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</dc:title>
  <dc:creator>mhoke</dc:creator>
  <cp:lastModifiedBy>Allen, Eric</cp:lastModifiedBy>
  <cp:lastPrinted>2013-06-05T19:29:43Z</cp:lastPrinted>
  <dcterms:created xsi:type="dcterms:W3CDTF">2011-05-18T02:56:46Z</dcterms:created>
  <dcterms:modified xsi:type="dcterms:W3CDTF">2013-11-05T17:26:06Z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0x010100893C7B56A43EB04E9C936EB39FF43E0F</vt:lpwstr>
  </property>
</Properties>
</file>