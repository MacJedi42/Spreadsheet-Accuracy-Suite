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15" windowWidth="9405" windowHeight="112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Sheet1!$C$4:$L$48</definedName>
  </definedNames>
  <calcPr calcId="125725"/>
</workbook>
</file>

<file path=xl/calcChain.xml><?xml version="1.0" encoding="utf-8"?>
<calcChain xmlns="http://schemas.openxmlformats.org/spreadsheetml/2006/main">
  <c r="C18" i="1"/>
  <c r="C19"/>
  <c r="C14"/>
  <c r="C15" l="1"/>
  <c r="C28"/>
  <c r="C20"/>
  <c r="C21" l="1"/>
  <c r="C22" s="1"/>
  <c r="C27" l="1"/>
  <c r="C29" s="1"/>
  <c r="C30" s="1"/>
  <c r="C31" s="1"/>
  <c r="C32" s="1"/>
</calcChain>
</file>

<file path=xl/sharedStrings.xml><?xml version="1.0" encoding="utf-8"?>
<sst xmlns="http://schemas.openxmlformats.org/spreadsheetml/2006/main" count="37" uniqueCount="37">
  <si>
    <t xml:space="preserve">Sign Shop Value of “Designing-In” &amp; “Up-Selling” to reflective </t>
  </si>
  <si>
    <t xml:space="preserve">films (focus on small business company names, logos, websites, phone </t>
  </si>
  <si>
    <t>numbers, and accents on vehicles):</t>
  </si>
  <si>
    <t>Sign Shop Vinyl Film Graphics Revenue (Base)</t>
  </si>
  <si>
    <t>% of Graphic Revenue from opaque vinyl letters or designs</t>
  </si>
  <si>
    <t>Opaque Vinyl Letters and Designs Revenue</t>
  </si>
  <si>
    <t>New Value of Opaque Vinyl to Reflective</t>
  </si>
  <si>
    <t>New Annual Sign Shop Vinyl Film Revenue</t>
  </si>
  <si>
    <t>Incremental Reflective Revenue</t>
  </si>
  <si>
    <t>Remind end-user customers that reflective graphics offer:</t>
  </si>
  <si>
    <t>*American Trucking Association</t>
  </si>
  <si>
    <t>% of weekly opaque sqft "Up-Sold" to Reflective</t>
  </si>
  <si>
    <t>Est. Sqft of Opaque Film per week</t>
  </si>
  <si>
    <t>Est. Value of Opaque Film Job per sqft</t>
  </si>
  <si>
    <t>Est. Opaque Revenue per week</t>
  </si>
  <si>
    <t>Est. Annual Revenue from Opaque Jobs (Assume 50 weeks)</t>
  </si>
  <si>
    <t>Est. # of sqft up-sold to reflective per week</t>
  </si>
  <si>
    <t>Est. Value of Reflective Film Job per sqft</t>
  </si>
  <si>
    <t>Est. Incremental Revenue per sqft</t>
  </si>
  <si>
    <t>Est. Incremental Annual Reflective Revenue</t>
  </si>
  <si>
    <t>Opaque vs. Reflective Sales Multiple Effect ($13.50/sqft vs. $6.00/sqft)</t>
  </si>
  <si>
    <t>Annual % Revenue Growth on historical opaque business</t>
  </si>
  <si>
    <t>Revenue Example 1 (Sqft foot based opaque vs. reflective):</t>
  </si>
  <si>
    <t>Revenue Example 2 (Annual Shop Revenue opaque vs. reflective):</t>
  </si>
  <si>
    <t>Why 3M Reflective?</t>
  </si>
  <si>
    <t>Annual % Revenue Growth on total shop vinyl business</t>
  </si>
  <si>
    <r>
      <rPr>
        <b/>
        <sz val="14"/>
        <color rgb="FF00B050"/>
        <rFont val="Calibri"/>
        <family val="2"/>
        <scheme val="minor"/>
      </rPr>
      <t>Helpful tip</t>
    </r>
    <r>
      <rPr>
        <b/>
        <sz val="12"/>
        <color theme="1"/>
        <rFont val="Calibri"/>
        <family val="2"/>
        <scheme val="minor"/>
      </rPr>
      <t>:  Use shop vehicles to promote reflective too!</t>
    </r>
  </si>
  <si>
    <r>
      <rPr>
        <b/>
        <sz val="12"/>
        <color rgb="FF00B050"/>
        <rFont val="Calibri"/>
        <family val="2"/>
        <scheme val="minor"/>
      </rPr>
      <t xml:space="preserve">Target Audience for Tool: </t>
    </r>
    <r>
      <rPr>
        <b/>
        <sz val="12"/>
        <color theme="1"/>
        <rFont val="Calibri"/>
        <family val="2"/>
        <scheme val="minor"/>
      </rPr>
      <t xml:space="preserve"> Distributor Sales Rep to Small Sign Shop</t>
    </r>
  </si>
  <si>
    <r>
      <rPr>
        <b/>
        <sz val="12"/>
        <color rgb="FF000000"/>
        <rFont val="Calibri"/>
        <family val="2"/>
      </rPr>
      <t>▪</t>
    </r>
    <r>
      <rPr>
        <b/>
        <sz val="12"/>
        <color rgb="FF000000"/>
        <rFont val="Calibri"/>
        <family val="2"/>
        <scheme val="minor"/>
      </rPr>
      <t>Excellent Cutting &amp; Weeding - Less Rework</t>
    </r>
  </si>
  <si>
    <t>▪Removability with heat and/or chemical - No damage to customer's substrates</t>
  </si>
  <si>
    <t>▪Desirable initial tack - Ease of installation</t>
  </si>
  <si>
    <t>▪Robust product performance</t>
  </si>
  <si>
    <t>▪Published warranty backed with best in class weathering technology</t>
  </si>
  <si>
    <t>▪Cost-effective advertising with 24/7 visibility.</t>
  </si>
  <si>
    <t>▪Improved safety through better vehicle visibility - night &amp; low visibility situations</t>
  </si>
  <si>
    <t>▪Increased brand awareness (with 40 percent more impressions, annually)*</t>
  </si>
  <si>
    <r>
      <rPr>
        <b/>
        <sz val="16"/>
        <color rgb="FFC00000"/>
        <rFont val="Calibri"/>
        <family val="2"/>
        <scheme val="minor"/>
      </rPr>
      <t xml:space="preserve">Reflective Sales Tool: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Growth with 3M</t>
    </r>
    <r>
      <rPr>
        <b/>
        <sz val="14"/>
        <color theme="1"/>
        <rFont val="Calibri"/>
        <family val="2"/>
      </rPr>
      <t>™ Scotchlite™ Reflective Films</t>
    </r>
  </si>
</sst>
</file>

<file path=xl/styles.xml><?xml version="1.0" encoding="utf-8"?>
<styleSheet xmlns="http://schemas.openxmlformats.org/spreadsheetml/2006/main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#,##0.0_);[Red]\(#,##0.0\)"/>
    <numFmt numFmtId="166" formatCode="_(&quot;$&quot;* #,##0_);_(&quot;$&quot;* \(#,##0\);_(&quot;$&quot;* &quot;-&quot;??_);_(@_)"/>
    <numFmt numFmtId="167" formatCode="_(&quot;$&quot;* #,##0.0000_);_(&quot;$&quot;* \(#,##0.0000\);_(&quot;$&quot;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sz val="11"/>
      <color rgb="FF1F497D"/>
      <name val="Symbol"/>
      <family val="1"/>
      <charset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u/>
      <sz val="8.8000000000000007"/>
      <color theme="10"/>
      <name val="Calibri"/>
      <family val="2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theme="1"/>
      <name val="Calibri"/>
      <family val="2"/>
    </font>
    <font>
      <i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 applyAlignment="1">
      <alignment horizontal="left" indent="5"/>
    </xf>
    <xf numFmtId="0" fontId="11" fillId="0" borderId="0" xfId="0" applyFont="1"/>
    <xf numFmtId="0" fontId="12" fillId="0" borderId="0" xfId="0" applyFont="1"/>
    <xf numFmtId="0" fontId="13" fillId="0" borderId="0" xfId="3" applyAlignment="1" applyProtection="1"/>
    <xf numFmtId="44" fontId="0" fillId="0" borderId="0" xfId="0" applyNumberFormat="1"/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44" fontId="0" fillId="0" borderId="0" xfId="1" applyFont="1"/>
    <xf numFmtId="167" fontId="0" fillId="0" borderId="0" xfId="1" applyNumberFormat="1" applyFont="1"/>
    <xf numFmtId="164" fontId="0" fillId="0" borderId="0" xfId="2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1" xfId="0" applyBorder="1"/>
    <xf numFmtId="0" fontId="3" fillId="0" borderId="2" xfId="0" applyFont="1" applyBorder="1"/>
    <xf numFmtId="0" fontId="0" fillId="0" borderId="4" xfId="0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0" fillId="0" borderId="5" xfId="0" applyBorder="1"/>
    <xf numFmtId="0" fontId="5" fillId="0" borderId="0" xfId="0" applyFont="1" applyBorder="1"/>
    <xf numFmtId="166" fontId="5" fillId="0" borderId="0" xfId="1" applyNumberFormat="1" applyFont="1" applyBorder="1"/>
    <xf numFmtId="6" fontId="0" fillId="0" borderId="0" xfId="0" applyNumberFormat="1" applyBorder="1"/>
    <xf numFmtId="6" fontId="5" fillId="0" borderId="0" xfId="0" applyNumberFormat="1" applyFont="1" applyBorder="1"/>
    <xf numFmtId="38" fontId="5" fillId="0" borderId="0" xfId="0" applyNumberFormat="1" applyFont="1" applyBorder="1"/>
    <xf numFmtId="44" fontId="3" fillId="0" borderId="0" xfId="0" applyNumberFormat="1" applyFont="1" applyBorder="1"/>
    <xf numFmtId="6" fontId="14" fillId="0" borderId="0" xfId="0" applyNumberFormat="1" applyFont="1" applyBorder="1"/>
    <xf numFmtId="0" fontId="14" fillId="0" borderId="0" xfId="0" applyFont="1" applyBorder="1"/>
    <xf numFmtId="0" fontId="15" fillId="0" borderId="0" xfId="0" applyFont="1" applyBorder="1"/>
    <xf numFmtId="164" fontId="14" fillId="0" borderId="0" xfId="0" applyNumberFormat="1" applyFont="1" applyBorder="1"/>
    <xf numFmtId="0" fontId="3" fillId="0" borderId="5" xfId="0" applyFont="1" applyBorder="1"/>
    <xf numFmtId="6" fontId="3" fillId="0" borderId="0" xfId="0" applyNumberFormat="1" applyFont="1" applyBorder="1"/>
    <xf numFmtId="0" fontId="0" fillId="0" borderId="6" xfId="0" applyBorder="1"/>
    <xf numFmtId="164" fontId="5" fillId="0" borderId="7" xfId="0" applyNumberFormat="1" applyFont="1" applyBorder="1"/>
    <xf numFmtId="0" fontId="3" fillId="0" borderId="7" xfId="0" applyFont="1" applyBorder="1"/>
    <xf numFmtId="0" fontId="0" fillId="0" borderId="7" xfId="0" applyBorder="1"/>
    <xf numFmtId="0" fontId="0" fillId="0" borderId="8" xfId="0" applyBorder="1"/>
    <xf numFmtId="164" fontId="5" fillId="0" borderId="0" xfId="0" applyNumberFormat="1" applyFont="1" applyBorder="1"/>
    <xf numFmtId="0" fontId="18" fillId="0" borderId="0" xfId="0" applyFont="1"/>
    <xf numFmtId="0" fontId="3" fillId="0" borderId="3" xfId="0" applyFont="1" applyBorder="1"/>
    <xf numFmtId="0" fontId="23" fillId="0" borderId="0" xfId="0" applyFont="1"/>
    <xf numFmtId="0" fontId="20" fillId="3" borderId="0" xfId="0" applyFont="1" applyFill="1"/>
    <xf numFmtId="0" fontId="0" fillId="3" borderId="0" xfId="0" applyFill="1"/>
    <xf numFmtId="165" fontId="7" fillId="2" borderId="9" xfId="0" applyNumberFormat="1" applyFont="1" applyFill="1" applyBorder="1"/>
    <xf numFmtId="44" fontId="7" fillId="2" borderId="9" xfId="1" applyFont="1" applyFill="1" applyBorder="1"/>
    <xf numFmtId="164" fontId="7" fillId="2" borderId="9" xfId="2" applyNumberFormat="1" applyFont="1" applyFill="1" applyBorder="1"/>
    <xf numFmtId="6" fontId="7" fillId="2" borderId="9" xfId="0" applyNumberFormat="1" applyFont="1" applyFill="1" applyBorder="1"/>
    <xf numFmtId="2" fontId="7" fillId="2" borderId="9" xfId="0" applyNumberFormat="1" applyFont="1" applyFill="1" applyBorder="1"/>
    <xf numFmtId="0" fontId="6" fillId="0" borderId="0" xfId="0" applyFont="1" applyBorder="1" applyAlignment="1">
      <alignment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0"/>
  <sheetViews>
    <sheetView showGridLines="0" tabSelected="1" zoomScale="80" zoomScaleNormal="80" workbookViewId="0">
      <selection activeCell="T33" sqref="T33"/>
    </sheetView>
  </sheetViews>
  <sheetFormatPr defaultRowHeight="15"/>
  <cols>
    <col min="1" max="1" width="4" customWidth="1"/>
    <col min="2" max="2" width="4.140625" customWidth="1"/>
    <col min="3" max="3" width="12.5703125" customWidth="1"/>
    <col min="10" max="11" width="15.28515625" customWidth="1"/>
  </cols>
  <sheetData>
    <row r="1" spans="1:12" ht="21">
      <c r="A1" s="48"/>
      <c r="B1" s="47" t="s">
        <v>36</v>
      </c>
      <c r="C1" s="48"/>
      <c r="D1" s="48"/>
      <c r="E1" s="48"/>
      <c r="F1" s="48"/>
      <c r="G1" s="48"/>
      <c r="H1" s="48"/>
      <c r="I1" s="48"/>
      <c r="J1" s="48"/>
    </row>
    <row r="2" spans="1:12" ht="15.75">
      <c r="C2" s="3" t="s">
        <v>27</v>
      </c>
    </row>
    <row r="4" spans="1:12" ht="15.75">
      <c r="C4" s="4" t="s">
        <v>0</v>
      </c>
      <c r="D4" s="2"/>
      <c r="E4" s="2"/>
      <c r="F4" s="2"/>
      <c r="G4" s="2"/>
      <c r="H4" s="2"/>
      <c r="I4" s="2"/>
      <c r="J4" s="2"/>
      <c r="K4" s="2"/>
      <c r="L4" s="2"/>
    </row>
    <row r="5" spans="1:12" ht="15.75">
      <c r="C5" s="2" t="s">
        <v>1</v>
      </c>
      <c r="D5" s="2"/>
      <c r="E5" s="2"/>
      <c r="F5" s="2"/>
      <c r="G5" s="2"/>
      <c r="H5" s="2"/>
      <c r="I5" s="2"/>
      <c r="J5" s="2"/>
      <c r="K5" s="2"/>
      <c r="L5" s="2"/>
    </row>
    <row r="6" spans="1:12" ht="15.75">
      <c r="C6" s="2" t="s">
        <v>2</v>
      </c>
      <c r="D6" s="2"/>
      <c r="E6" s="2"/>
      <c r="F6" s="2"/>
      <c r="G6" s="2"/>
      <c r="H6" s="2"/>
      <c r="I6" s="2"/>
      <c r="J6" s="2"/>
      <c r="K6" s="2"/>
      <c r="L6" s="2"/>
    </row>
    <row r="7" spans="1:12" ht="15.75">
      <c r="C7" s="3"/>
      <c r="D7" s="2"/>
      <c r="E7" s="2"/>
      <c r="F7" s="2"/>
      <c r="G7" s="2"/>
      <c r="H7" s="2"/>
      <c r="I7" s="2"/>
      <c r="J7" s="2"/>
      <c r="K7" s="2"/>
      <c r="L7" s="2"/>
    </row>
    <row r="8" spans="1:12" ht="18.75">
      <c r="C8" s="3" t="s">
        <v>26</v>
      </c>
      <c r="D8" s="2"/>
      <c r="E8" s="2"/>
      <c r="F8" s="2"/>
      <c r="G8" s="2"/>
      <c r="H8" s="2"/>
      <c r="I8" s="2"/>
      <c r="J8" s="2"/>
      <c r="K8" s="2"/>
      <c r="L8" s="2"/>
    </row>
    <row r="9" spans="1:12" ht="15.75">
      <c r="C9" s="3"/>
      <c r="D9" s="2"/>
      <c r="E9" s="2"/>
      <c r="F9" s="2"/>
      <c r="G9" s="2"/>
      <c r="H9" s="2"/>
      <c r="I9" s="2"/>
      <c r="J9" s="2"/>
      <c r="K9" s="2"/>
      <c r="L9" s="2"/>
    </row>
    <row r="10" spans="1:12" ht="15.75">
      <c r="B10" s="19"/>
      <c r="C10" s="20"/>
      <c r="D10" s="20"/>
      <c r="E10" s="20"/>
      <c r="F10" s="20"/>
      <c r="G10" s="20"/>
      <c r="H10" s="20"/>
      <c r="I10" s="20"/>
      <c r="J10" s="45"/>
      <c r="K10" s="2"/>
      <c r="L10" s="2"/>
    </row>
    <row r="11" spans="1:12" ht="25.5" customHeight="1">
      <c r="B11" s="21"/>
      <c r="C11" s="54" t="s">
        <v>22</v>
      </c>
      <c r="D11" s="23"/>
      <c r="E11" s="23"/>
      <c r="F11" s="24"/>
      <c r="G11" s="24"/>
      <c r="H11" s="24"/>
      <c r="I11" s="24"/>
      <c r="J11" s="25"/>
    </row>
    <row r="12" spans="1:12" ht="15.75">
      <c r="B12" s="21"/>
      <c r="C12" s="49">
        <v>85</v>
      </c>
      <c r="D12" s="26" t="s">
        <v>12</v>
      </c>
      <c r="E12" s="23"/>
      <c r="F12" s="24"/>
      <c r="G12" s="24"/>
      <c r="H12" s="24"/>
      <c r="I12" s="24"/>
      <c r="J12" s="25"/>
    </row>
    <row r="13" spans="1:12" ht="15.75">
      <c r="B13" s="21"/>
      <c r="C13" s="50">
        <v>6</v>
      </c>
      <c r="D13" s="26" t="s">
        <v>13</v>
      </c>
      <c r="E13" s="23"/>
      <c r="F13" s="24"/>
      <c r="G13" s="24"/>
      <c r="H13" s="24"/>
      <c r="I13" s="24"/>
      <c r="J13" s="25"/>
    </row>
    <row r="14" spans="1:12" ht="15.75">
      <c r="B14" s="21"/>
      <c r="C14" s="27">
        <f>C12*C13</f>
        <v>510</v>
      </c>
      <c r="D14" s="26" t="s">
        <v>14</v>
      </c>
      <c r="E14" s="23"/>
      <c r="F14" s="24"/>
      <c r="G14" s="24"/>
      <c r="H14" s="24"/>
      <c r="I14" s="28"/>
      <c r="J14" s="25"/>
    </row>
    <row r="15" spans="1:12" ht="15.75">
      <c r="B15" s="21"/>
      <c r="C15" s="29">
        <f>C14*50</f>
        <v>25500</v>
      </c>
      <c r="D15" s="26" t="s">
        <v>15</v>
      </c>
      <c r="E15" s="23"/>
      <c r="F15" s="24"/>
      <c r="G15" s="24"/>
      <c r="H15" s="24"/>
      <c r="I15" s="28"/>
      <c r="J15" s="25"/>
    </row>
    <row r="16" spans="1:12" ht="15.75">
      <c r="B16" s="21"/>
      <c r="C16" s="29"/>
      <c r="D16" s="26"/>
      <c r="E16" s="23"/>
      <c r="F16" s="24"/>
      <c r="G16" s="24"/>
      <c r="H16" s="24"/>
      <c r="I16" s="28"/>
      <c r="J16" s="25"/>
    </row>
    <row r="17" spans="2:12" ht="15.75">
      <c r="B17" s="21"/>
      <c r="C17" s="51">
        <v>0.33</v>
      </c>
      <c r="D17" s="26" t="s">
        <v>11</v>
      </c>
      <c r="E17" s="23"/>
      <c r="F17" s="24"/>
      <c r="G17" s="24"/>
      <c r="H17" s="24"/>
      <c r="I17" s="28"/>
      <c r="J17" s="25"/>
    </row>
    <row r="18" spans="2:12" ht="15.75">
      <c r="B18" s="21"/>
      <c r="C18" s="30">
        <f>C12*C17</f>
        <v>28.05</v>
      </c>
      <c r="D18" s="26" t="s">
        <v>16</v>
      </c>
      <c r="E18" s="23"/>
      <c r="F18" s="24"/>
      <c r="G18" s="24"/>
      <c r="H18" s="24"/>
      <c r="I18" s="28"/>
      <c r="J18" s="25"/>
    </row>
    <row r="19" spans="2:12" ht="15.75">
      <c r="B19" s="21"/>
      <c r="C19" s="50">
        <f>13.5</f>
        <v>13.5</v>
      </c>
      <c r="D19" s="26" t="s">
        <v>17</v>
      </c>
      <c r="E19" s="23"/>
      <c r="F19" s="24"/>
      <c r="G19" s="24"/>
      <c r="H19" s="24"/>
      <c r="I19" s="24"/>
      <c r="J19" s="25"/>
    </row>
    <row r="20" spans="2:12" ht="15.75">
      <c r="B20" s="21"/>
      <c r="C20" s="31">
        <f>C19-C13</f>
        <v>7.5</v>
      </c>
      <c r="D20" s="23" t="s">
        <v>18</v>
      </c>
      <c r="E20" s="23"/>
      <c r="F20" s="24"/>
      <c r="G20" s="24"/>
      <c r="H20" s="24"/>
      <c r="I20" s="24"/>
      <c r="J20" s="25"/>
    </row>
    <row r="21" spans="2:12" ht="15.75">
      <c r="B21" s="21"/>
      <c r="C21" s="32">
        <f>C18*C20*50</f>
        <v>10518.75</v>
      </c>
      <c r="D21" s="33" t="s">
        <v>19</v>
      </c>
      <c r="E21" s="33"/>
      <c r="F21" s="34"/>
      <c r="G21" s="34"/>
      <c r="H21" s="34"/>
      <c r="I21" s="34"/>
      <c r="J21" s="25"/>
    </row>
    <row r="22" spans="2:12" ht="15.75">
      <c r="B22" s="21"/>
      <c r="C22" s="35">
        <f>C21/C15</f>
        <v>0.41249999999999998</v>
      </c>
      <c r="D22" s="33" t="s">
        <v>21</v>
      </c>
      <c r="E22" s="34"/>
      <c r="F22" s="34"/>
      <c r="G22" s="34"/>
      <c r="H22" s="34"/>
      <c r="I22" s="34"/>
      <c r="J22" s="25"/>
    </row>
    <row r="23" spans="2:12">
      <c r="B23" s="21"/>
      <c r="C23" s="24"/>
      <c r="D23" s="24"/>
      <c r="E23" s="24"/>
      <c r="F23" s="24"/>
      <c r="G23" s="24"/>
      <c r="H23" s="24"/>
      <c r="I23" s="24"/>
      <c r="J23" s="25"/>
    </row>
    <row r="24" spans="2:12" ht="15.75">
      <c r="B24" s="21"/>
      <c r="C24" s="22" t="s">
        <v>23</v>
      </c>
      <c r="D24" s="23"/>
      <c r="E24" s="23"/>
      <c r="F24" s="23"/>
      <c r="G24" s="23"/>
      <c r="H24" s="23"/>
      <c r="I24" s="23"/>
      <c r="J24" s="36"/>
      <c r="K24" s="2"/>
      <c r="L24" s="2"/>
    </row>
    <row r="25" spans="2:12" ht="15.75">
      <c r="B25" s="21"/>
      <c r="C25" s="52">
        <v>250000</v>
      </c>
      <c r="D25" s="26" t="s">
        <v>3</v>
      </c>
      <c r="E25" s="23"/>
      <c r="F25" s="23"/>
      <c r="G25" s="23"/>
      <c r="H25" s="23"/>
      <c r="I25" s="23"/>
      <c r="J25" s="36"/>
      <c r="K25" s="2"/>
      <c r="L25" s="2"/>
    </row>
    <row r="26" spans="2:12" ht="15.75">
      <c r="B26" s="21"/>
      <c r="C26" s="51">
        <v>0.1</v>
      </c>
      <c r="D26" s="26" t="s">
        <v>4</v>
      </c>
      <c r="E26" s="23"/>
      <c r="F26" s="23"/>
      <c r="G26" s="23"/>
      <c r="H26" s="23"/>
      <c r="I26" s="23"/>
      <c r="J26" s="36"/>
      <c r="K26" s="2"/>
      <c r="L26" s="2"/>
    </row>
    <row r="27" spans="2:12" ht="15.75">
      <c r="B27" s="21"/>
      <c r="C27" s="29">
        <f>C25*C26</f>
        <v>25000</v>
      </c>
      <c r="D27" s="26" t="s">
        <v>5</v>
      </c>
      <c r="E27" s="23"/>
      <c r="F27" s="23"/>
      <c r="G27" s="23"/>
      <c r="H27" s="23"/>
      <c r="I27" s="23"/>
      <c r="J27" s="36"/>
      <c r="K27" s="2"/>
      <c r="L27" s="2"/>
    </row>
    <row r="28" spans="2:12" ht="15.75">
      <c r="B28" s="21"/>
      <c r="C28" s="53">
        <f>C19/C13</f>
        <v>2.25</v>
      </c>
      <c r="D28" s="26" t="s">
        <v>20</v>
      </c>
      <c r="E28" s="23"/>
      <c r="F28" s="23"/>
      <c r="G28" s="23"/>
      <c r="H28" s="23"/>
      <c r="I28" s="23"/>
      <c r="J28" s="36"/>
      <c r="K28" s="2"/>
      <c r="L28" s="2"/>
    </row>
    <row r="29" spans="2:12" ht="15.75">
      <c r="B29" s="21"/>
      <c r="C29" s="37">
        <f>C27*C28</f>
        <v>56250</v>
      </c>
      <c r="D29" s="23" t="s">
        <v>6</v>
      </c>
      <c r="E29" s="23"/>
      <c r="F29" s="23"/>
      <c r="G29" s="23"/>
      <c r="H29" s="23"/>
      <c r="I29" s="23"/>
      <c r="J29" s="36"/>
      <c r="K29" s="2"/>
      <c r="L29" s="2"/>
    </row>
    <row r="30" spans="2:12" ht="15.75">
      <c r="B30" s="21"/>
      <c r="C30" s="32">
        <f>C29-C27</f>
        <v>31250</v>
      </c>
      <c r="D30" s="33" t="s">
        <v>8</v>
      </c>
      <c r="E30" s="33"/>
      <c r="F30" s="33"/>
      <c r="G30" s="33"/>
      <c r="H30" s="23"/>
      <c r="I30" s="23"/>
      <c r="J30" s="36"/>
      <c r="K30" s="2"/>
      <c r="L30" s="2"/>
    </row>
    <row r="31" spans="2:12" ht="15.75">
      <c r="B31" s="21"/>
      <c r="C31" s="29">
        <f>C25+C30</f>
        <v>281250</v>
      </c>
      <c r="D31" s="23" t="s">
        <v>7</v>
      </c>
      <c r="E31" s="24"/>
      <c r="F31" s="24"/>
      <c r="G31" s="24"/>
      <c r="H31" s="24"/>
      <c r="I31" s="24"/>
      <c r="J31" s="25"/>
    </row>
    <row r="32" spans="2:12" ht="15.75">
      <c r="B32" s="21"/>
      <c r="C32" s="35">
        <f>C31/C25-1</f>
        <v>0.125</v>
      </c>
      <c r="D32" s="33" t="s">
        <v>25</v>
      </c>
      <c r="E32" s="34"/>
      <c r="F32" s="34"/>
      <c r="G32" s="24"/>
      <c r="H32" s="24"/>
      <c r="I32" s="24"/>
      <c r="J32" s="25"/>
    </row>
    <row r="33" spans="2:10" ht="15.75">
      <c r="B33" s="38"/>
      <c r="C33" s="39"/>
      <c r="D33" s="40"/>
      <c r="E33" s="41"/>
      <c r="F33" s="41"/>
      <c r="G33" s="41"/>
      <c r="H33" s="41"/>
      <c r="I33" s="41"/>
      <c r="J33" s="42"/>
    </row>
    <row r="34" spans="2:10" ht="15.75">
      <c r="B34" s="24"/>
      <c r="C34" s="43"/>
      <c r="D34" s="23"/>
      <c r="E34" s="24"/>
      <c r="F34" s="24"/>
      <c r="G34" s="24"/>
      <c r="H34" s="24"/>
      <c r="I34" s="24"/>
      <c r="J34" s="24"/>
    </row>
    <row r="35" spans="2:10" ht="18.75">
      <c r="C35" s="44" t="s">
        <v>24</v>
      </c>
    </row>
    <row r="36" spans="2:10" ht="15.75">
      <c r="C36" s="1" t="s">
        <v>28</v>
      </c>
    </row>
    <row r="37" spans="2:10" ht="15.75">
      <c r="C37" s="1" t="s">
        <v>29</v>
      </c>
    </row>
    <row r="38" spans="2:10" ht="15.75">
      <c r="C38" s="1" t="s">
        <v>30</v>
      </c>
    </row>
    <row r="39" spans="2:10" ht="15.75">
      <c r="C39" s="1" t="s">
        <v>31</v>
      </c>
    </row>
    <row r="40" spans="2:10" ht="15.75">
      <c r="C40" s="1" t="s">
        <v>32</v>
      </c>
    </row>
    <row r="41" spans="2:10" ht="15.75">
      <c r="C41" s="1"/>
    </row>
    <row r="42" spans="2:10" ht="18.75">
      <c r="C42" s="44" t="s">
        <v>9</v>
      </c>
    </row>
    <row r="43" spans="2:10" ht="15.75">
      <c r="C43" s="1" t="s">
        <v>33</v>
      </c>
    </row>
    <row r="44" spans="2:10" ht="15.75">
      <c r="C44" s="1" t="s">
        <v>34</v>
      </c>
    </row>
    <row r="45" spans="2:10" ht="15.75">
      <c r="C45" s="1" t="s">
        <v>35</v>
      </c>
    </row>
    <row r="46" spans="2:10" ht="15.75">
      <c r="C46" s="46" t="s">
        <v>10</v>
      </c>
    </row>
    <row r="47" spans="2:10" ht="15.75">
      <c r="C47" s="1"/>
    </row>
    <row r="48" spans="2:10" ht="15.75">
      <c r="C48" s="5"/>
    </row>
    <row r="49" spans="3:9">
      <c r="C49" s="6"/>
    </row>
    <row r="50" spans="3:9">
      <c r="C50" s="6"/>
    </row>
    <row r="51" spans="3:9">
      <c r="C51" s="6"/>
    </row>
    <row r="52" spans="3:9">
      <c r="C52" s="7"/>
    </row>
    <row r="53" spans="3:9">
      <c r="C53" s="7"/>
    </row>
    <row r="54" spans="3:9">
      <c r="C54" s="7"/>
    </row>
    <row r="55" spans="3:9">
      <c r="C55" s="7"/>
    </row>
    <row r="56" spans="3:9">
      <c r="C56" s="6"/>
    </row>
    <row r="57" spans="3:9" ht="18.75">
      <c r="C57" s="8"/>
    </row>
    <row r="58" spans="3:9">
      <c r="C58" s="10"/>
    </row>
    <row r="59" spans="3:9" ht="15.75">
      <c r="C59" s="9"/>
    </row>
    <row r="60" spans="3:9" ht="15.75">
      <c r="C60" s="9"/>
    </row>
    <row r="61" spans="3:9" ht="15.75">
      <c r="C61" s="9"/>
    </row>
    <row r="63" spans="3:9" ht="15.75">
      <c r="D63" s="2"/>
      <c r="E63" s="2"/>
      <c r="F63" s="17"/>
      <c r="G63" s="18"/>
      <c r="H63" s="18"/>
      <c r="I63" s="18"/>
    </row>
    <row r="64" spans="3:9" ht="15.75">
      <c r="D64" s="3"/>
      <c r="F64" s="18"/>
      <c r="G64" s="18"/>
      <c r="H64" s="18"/>
      <c r="I64" s="18"/>
    </row>
    <row r="65" spans="4:9">
      <c r="D65" s="17"/>
      <c r="F65" s="17"/>
      <c r="G65" s="17"/>
      <c r="H65" s="17"/>
      <c r="I65" s="17"/>
    </row>
    <row r="66" spans="4:9">
      <c r="D66" s="14"/>
      <c r="E66" s="12"/>
      <c r="F66" s="15"/>
      <c r="G66" s="15"/>
      <c r="H66" s="11"/>
      <c r="I66" s="16"/>
    </row>
    <row r="67" spans="4:9">
      <c r="D67" s="14"/>
      <c r="E67" s="12"/>
      <c r="F67" s="15"/>
      <c r="G67" s="15"/>
      <c r="H67" s="11"/>
      <c r="I67" s="16"/>
    </row>
    <row r="68" spans="4:9">
      <c r="D68" s="14"/>
      <c r="E68" s="12"/>
      <c r="F68" s="15"/>
      <c r="G68" s="15"/>
      <c r="H68" s="11"/>
      <c r="I68" s="16"/>
    </row>
    <row r="69" spans="4:9">
      <c r="D69" s="14"/>
      <c r="E69" s="13"/>
      <c r="F69" s="15"/>
      <c r="G69" s="15"/>
      <c r="H69" s="11"/>
      <c r="I69" s="16"/>
    </row>
    <row r="70" spans="4:9">
      <c r="D70" s="14"/>
      <c r="E70" s="12"/>
      <c r="F70" s="15"/>
      <c r="G70" s="15"/>
      <c r="H70" s="11"/>
      <c r="I70" s="16"/>
    </row>
  </sheetData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3M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us345820</dc:creator>
  <cp:lastModifiedBy>a0zaxzz</cp:lastModifiedBy>
  <cp:lastPrinted>2013-03-06T20:17:20Z</cp:lastPrinted>
  <dcterms:created xsi:type="dcterms:W3CDTF">2013-01-02T21:34:41Z</dcterms:created>
  <dcterms:modified xsi:type="dcterms:W3CDTF">2013-03-27T13:21:58Z</dcterms:modified>
</cp:coreProperties>
</file>