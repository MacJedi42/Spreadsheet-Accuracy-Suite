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" yWindow="720" windowWidth="7680" windowHeight="7665"/>
  </bookViews>
  <sheets>
    <sheet name="2012" sheetId="1" r:id="rId1"/>
  </sheets>
  <definedNames>
    <definedName name="_xlnm.Print_Area" localSheetId="0">'2012'!$A$1238:$H$1348</definedName>
    <definedName name="_xlnm.Print_Titles" localSheetId="0">'2012'!$A:$C,'2012'!$1:$7</definedName>
  </definedNames>
  <calcPr calcId="145621"/>
</workbook>
</file>

<file path=xl/calcChain.xml><?xml version="1.0" encoding="utf-8"?>
<calcChain xmlns="http://schemas.openxmlformats.org/spreadsheetml/2006/main">
  <c r="D1332" i="1" l="1"/>
  <c r="G1348" i="1"/>
  <c r="B1348" i="1"/>
  <c r="D1348" i="1"/>
  <c r="F1021" i="1" l="1"/>
  <c r="E1022" i="1"/>
  <c r="E1297" i="1" s="1"/>
  <c r="D1022" i="1"/>
  <c r="D1297" i="1" s="1"/>
  <c r="B1022" i="1"/>
  <c r="B1297" i="1" s="1"/>
  <c r="F1022" i="1" l="1"/>
  <c r="F1297" i="1" s="1"/>
  <c r="G1021" i="1"/>
  <c r="H1021" i="1" s="1"/>
  <c r="G1022" i="1"/>
  <c r="G1297" i="1" s="1"/>
  <c r="H1297" i="1" s="1"/>
  <c r="F997" i="1"/>
  <c r="H1022" i="1" l="1"/>
  <c r="F1191" i="1"/>
  <c r="F1183" i="1" l="1"/>
  <c r="F1182" i="1"/>
  <c r="F601" i="1" l="1"/>
  <c r="F596" i="1"/>
  <c r="F600" i="1"/>
  <c r="F602" i="1"/>
  <c r="F599" i="1"/>
  <c r="F598" i="1"/>
  <c r="F595" i="1"/>
  <c r="F594" i="1"/>
  <c r="F593" i="1"/>
  <c r="F592" i="1"/>
  <c r="F591" i="1"/>
  <c r="F597" i="1"/>
  <c r="F770" i="1" l="1"/>
  <c r="F769" i="1"/>
  <c r="F781" i="1"/>
  <c r="F768" i="1"/>
  <c r="F779" i="1"/>
  <c r="F767" i="1"/>
  <c r="F766" i="1"/>
  <c r="F765" i="1"/>
  <c r="F784" i="1"/>
  <c r="F777" i="1"/>
  <c r="F776" i="1"/>
  <c r="F778" i="1"/>
  <c r="F775" i="1"/>
  <c r="F773" i="1"/>
  <c r="F783" i="1"/>
  <c r="F764" i="1"/>
  <c r="F763" i="1"/>
  <c r="F772" i="1"/>
  <c r="F762" i="1"/>
  <c r="F761" i="1"/>
  <c r="F760" i="1"/>
  <c r="F774" i="1"/>
  <c r="F759" i="1" l="1"/>
  <c r="F771" i="1"/>
  <c r="F758" i="1"/>
  <c r="F757" i="1"/>
  <c r="F756" i="1"/>
  <c r="F755" i="1"/>
  <c r="F754" i="1"/>
  <c r="F753" i="1"/>
  <c r="F752" i="1"/>
  <c r="F750" i="1"/>
  <c r="F748" i="1"/>
  <c r="F746" i="1"/>
  <c r="F747" i="1"/>
  <c r="F782" i="1"/>
  <c r="F751" i="1"/>
  <c r="F749" i="1"/>
  <c r="F745" i="1"/>
  <c r="F744" i="1"/>
  <c r="F785" i="1"/>
  <c r="F780" i="1"/>
  <c r="F743" i="1"/>
  <c r="F738" i="1"/>
  <c r="F739" i="1"/>
  <c r="F737" i="1"/>
  <c r="F736" i="1"/>
  <c r="F712" i="1"/>
  <c r="F717" i="1"/>
  <c r="F711" i="1"/>
  <c r="F710" i="1"/>
  <c r="F716" i="1"/>
  <c r="F709" i="1"/>
  <c r="F725" i="1"/>
  <c r="F732" i="1"/>
  <c r="F708" i="1"/>
  <c r="F706" i="1"/>
  <c r="F713" i="1"/>
  <c r="F707" i="1"/>
  <c r="F724" i="1"/>
  <c r="F731" i="1"/>
  <c r="F705" i="1"/>
  <c r="F730" i="1"/>
  <c r="F715" i="1"/>
  <c r="F702" i="1"/>
  <c r="F720" i="1"/>
  <c r="F723" i="1"/>
  <c r="F729" i="1"/>
  <c r="F701" i="1"/>
  <c r="F718" i="1"/>
  <c r="F714" i="1"/>
  <c r="F704" i="1"/>
  <c r="F719" i="1"/>
  <c r="F728" i="1"/>
  <c r="F695" i="1"/>
  <c r="F703" i="1"/>
  <c r="F694" i="1"/>
  <c r="F722" i="1"/>
  <c r="F727" i="1"/>
  <c r="F698" i="1"/>
  <c r="F721" i="1"/>
  <c r="F726" i="1"/>
  <c r="F699" i="1"/>
  <c r="F697" i="1"/>
  <c r="F696" i="1"/>
  <c r="F693" i="1"/>
  <c r="F700" i="1"/>
  <c r="F689" i="1"/>
  <c r="F688" i="1"/>
  <c r="F687" i="1"/>
  <c r="F686" i="1"/>
  <c r="F684" i="1"/>
  <c r="F685" i="1"/>
  <c r="F683" i="1"/>
  <c r="F1045" i="1"/>
  <c r="F1173" i="1"/>
  <c r="F1169" i="1"/>
  <c r="F1170" i="1"/>
  <c r="F1171" i="1"/>
  <c r="F1172" i="1"/>
  <c r="F1178" i="1"/>
  <c r="F1177" i="1"/>
  <c r="F1179" i="1"/>
  <c r="E1179" i="1"/>
  <c r="D1179" i="1"/>
  <c r="B1179" i="1"/>
  <c r="G1177" i="1"/>
  <c r="H1177" i="1" s="1"/>
  <c r="G1179" i="1" l="1"/>
  <c r="F1037" i="1" l="1"/>
  <c r="F981" i="1" l="1"/>
  <c r="F676" i="1" l="1"/>
  <c r="F677" i="1"/>
  <c r="F678" i="1"/>
  <c r="F679" i="1"/>
  <c r="F673" i="1"/>
  <c r="F672" i="1"/>
  <c r="F671" i="1"/>
  <c r="F674" i="1"/>
  <c r="F670" i="1"/>
  <c r="F669" i="1"/>
  <c r="F675" i="1"/>
  <c r="F668" i="1"/>
  <c r="F656" i="1" l="1"/>
  <c r="F655" i="1"/>
  <c r="F663" i="1"/>
  <c r="F652" i="1"/>
  <c r="F658" i="1"/>
  <c r="F661" i="1"/>
  <c r="F662" i="1"/>
  <c r="F647" i="1"/>
  <c r="F653" i="1"/>
  <c r="F648" i="1"/>
  <c r="F651" i="1"/>
  <c r="F650" i="1"/>
  <c r="F649" i="1"/>
  <c r="F646" i="1"/>
  <c r="F645" i="1"/>
  <c r="F657" i="1"/>
  <c r="F660" i="1"/>
  <c r="F644" i="1"/>
  <c r="F643" i="1"/>
  <c r="F642" i="1"/>
  <c r="F641" i="1"/>
  <c r="F659" i="1"/>
  <c r="F664" i="1"/>
  <c r="F654" i="1" l="1"/>
  <c r="F637" i="1" l="1"/>
  <c r="F1145" i="1"/>
  <c r="F1053" i="1"/>
  <c r="F1109" i="1"/>
  <c r="F1153" i="1"/>
  <c r="D1198" i="1"/>
  <c r="E1198" i="1"/>
  <c r="B1198" i="1"/>
  <c r="F1197" i="1"/>
  <c r="F1196" i="1"/>
  <c r="F1195" i="1"/>
  <c r="G1195" i="1" s="1"/>
  <c r="H1195" i="1" s="1"/>
  <c r="F1029" i="1"/>
  <c r="F1198" i="1" l="1"/>
  <c r="F1227" i="1"/>
  <c r="F627" i="1" l="1"/>
  <c r="F623" i="1"/>
  <c r="F624" i="1"/>
  <c r="F626" i="1"/>
  <c r="F622" i="1"/>
  <c r="F625" i="1"/>
  <c r="F621" i="1"/>
  <c r="F1233" i="1"/>
  <c r="F1234" i="1"/>
  <c r="F1232" i="1"/>
  <c r="F1231" i="1"/>
  <c r="F816" i="1"/>
  <c r="F824" i="1"/>
  <c r="F832" i="1"/>
  <c r="F815" i="1"/>
  <c r="F814" i="1"/>
  <c r="F813" i="1"/>
  <c r="F833" i="1"/>
  <c r="F834" i="1"/>
  <c r="F811" i="1"/>
  <c r="F810" i="1"/>
  <c r="F809" i="1"/>
  <c r="F789" i="1"/>
  <c r="F821" i="1"/>
  <c r="F796" i="1"/>
  <c r="F808" i="1"/>
  <c r="F807" i="1"/>
  <c r="F799" i="1"/>
  <c r="F806" i="1"/>
  <c r="F805" i="1"/>
  <c r="F804" i="1"/>
  <c r="F803" i="1"/>
  <c r="F825" i="1"/>
  <c r="G825" i="1" s="1"/>
  <c r="F830" i="1"/>
  <c r="F802" i="1"/>
  <c r="F827" i="1"/>
  <c r="F828" i="1"/>
  <c r="G828" i="1" s="1"/>
  <c r="F826" i="1"/>
  <c r="F820" i="1"/>
  <c r="F801" i="1"/>
  <c r="F823" i="1"/>
  <c r="F800" i="1"/>
  <c r="F819" i="1"/>
  <c r="F798" i="1"/>
  <c r="F812" i="1"/>
  <c r="F797" i="1"/>
  <c r="F795" i="1"/>
  <c r="F794" i="1"/>
  <c r="F822" i="1"/>
  <c r="F793" i="1"/>
  <c r="F829" i="1"/>
  <c r="F818" i="1"/>
  <c r="F831" i="1"/>
  <c r="F817" i="1"/>
  <c r="F792" i="1"/>
  <c r="F791" i="1"/>
  <c r="F790" i="1"/>
  <c r="F612" i="1"/>
  <c r="F616" i="1"/>
  <c r="F610" i="1"/>
  <c r="F615" i="1"/>
  <c r="F613" i="1"/>
  <c r="F609" i="1"/>
  <c r="F611" i="1"/>
  <c r="F614" i="1"/>
  <c r="F608" i="1"/>
  <c r="F607" i="1"/>
  <c r="F617" i="1"/>
  <c r="F606" i="1"/>
  <c r="F1097" i="1"/>
  <c r="F1017" i="1"/>
  <c r="F585" i="1"/>
  <c r="F586" i="1"/>
  <c r="F587" i="1"/>
  <c r="F584" i="1"/>
  <c r="F990" i="1"/>
  <c r="F1077" i="1"/>
  <c r="F955" i="1"/>
  <c r="F873" i="1"/>
  <c r="F872" i="1"/>
  <c r="F877" i="1"/>
  <c r="F871" i="1"/>
  <c r="F870" i="1"/>
  <c r="F869" i="1"/>
  <c r="F868" i="1"/>
  <c r="F867" i="1"/>
  <c r="F864" i="1"/>
  <c r="F876" i="1"/>
  <c r="F866" i="1"/>
  <c r="F878" i="1"/>
  <c r="F865" i="1"/>
  <c r="F863" i="1"/>
  <c r="F875" i="1"/>
  <c r="F874" i="1"/>
  <c r="F862" i="1"/>
  <c r="F861" i="1"/>
  <c r="H825" i="1" l="1"/>
  <c r="G830" i="1"/>
  <c r="H830" i="1" s="1"/>
  <c r="H828" i="1"/>
  <c r="F1093" i="1"/>
  <c r="G1093" i="1" s="1"/>
  <c r="E1094" i="1"/>
  <c r="E1315" i="1" s="1"/>
  <c r="D1094" i="1"/>
  <c r="D1315" i="1" s="1"/>
  <c r="B1094" i="1"/>
  <c r="B1315" i="1" s="1"/>
  <c r="F632" i="1"/>
  <c r="F633" i="1"/>
  <c r="F631" i="1"/>
  <c r="F1137" i="1"/>
  <c r="F580" i="1"/>
  <c r="F579" i="1"/>
  <c r="F578" i="1"/>
  <c r="F1094" i="1" l="1"/>
  <c r="G1094" i="1" s="1"/>
  <c r="H1093" i="1"/>
  <c r="F969" i="1"/>
  <c r="F572" i="1"/>
  <c r="F571" i="1"/>
  <c r="F568" i="1"/>
  <c r="F574" i="1"/>
  <c r="F569" i="1"/>
  <c r="F570" i="1"/>
  <c r="F573" i="1"/>
  <c r="G573" i="1" s="1"/>
  <c r="F851" i="1"/>
  <c r="F850" i="1"/>
  <c r="F849" i="1"/>
  <c r="F848" i="1"/>
  <c r="F847" i="1"/>
  <c r="F856" i="1"/>
  <c r="F846" i="1"/>
  <c r="F854" i="1"/>
  <c r="F853" i="1"/>
  <c r="F844" i="1"/>
  <c r="F845" i="1"/>
  <c r="F843" i="1"/>
  <c r="F842" i="1"/>
  <c r="F852" i="1"/>
  <c r="F841" i="1"/>
  <c r="F840" i="1"/>
  <c r="F857" i="1"/>
  <c r="F839" i="1"/>
  <c r="F838" i="1"/>
  <c r="F855" i="1"/>
  <c r="F1117" i="1"/>
  <c r="F556" i="1"/>
  <c r="F557" i="1"/>
  <c r="F558" i="1"/>
  <c r="F554" i="1"/>
  <c r="F555" i="1"/>
  <c r="F553" i="1"/>
  <c r="F552" i="1"/>
  <c r="F985" i="1"/>
  <c r="F1165" i="1"/>
  <c r="E1166" i="1"/>
  <c r="E1337" i="1" s="1"/>
  <c r="D1166" i="1"/>
  <c r="D1337" i="1" s="1"/>
  <c r="B1166" i="1"/>
  <c r="B1337" i="1" s="1"/>
  <c r="F534" i="1"/>
  <c r="F533" i="1"/>
  <c r="F532" i="1"/>
  <c r="F541" i="1"/>
  <c r="F547" i="1"/>
  <c r="F531" i="1"/>
  <c r="F530" i="1"/>
  <c r="F540" i="1"/>
  <c r="F546" i="1"/>
  <c r="F529" i="1"/>
  <c r="F528" i="1"/>
  <c r="F539" i="1"/>
  <c r="G539" i="1" s="1"/>
  <c r="F545" i="1"/>
  <c r="F527" i="1"/>
  <c r="F526" i="1"/>
  <c r="F525" i="1"/>
  <c r="F524" i="1"/>
  <c r="F538" i="1"/>
  <c r="F544" i="1"/>
  <c r="F523" i="1"/>
  <c r="F522" i="1"/>
  <c r="F521" i="1"/>
  <c r="F520" i="1"/>
  <c r="F537" i="1"/>
  <c r="F536" i="1"/>
  <c r="F519" i="1"/>
  <c r="F543" i="1"/>
  <c r="F518" i="1"/>
  <c r="F548" i="1"/>
  <c r="F517" i="1"/>
  <c r="F516" i="1"/>
  <c r="F515" i="1"/>
  <c r="F514" i="1"/>
  <c r="F1166" i="1" l="1"/>
  <c r="F1337" i="1" s="1"/>
  <c r="H1094" i="1"/>
  <c r="G1315" i="1"/>
  <c r="F1315" i="1"/>
  <c r="H573" i="1"/>
  <c r="G1165" i="1"/>
  <c r="H1165" i="1" s="1"/>
  <c r="G1166" i="1"/>
  <c r="G1337" i="1" s="1"/>
  <c r="H539" i="1"/>
  <c r="H1315" i="1" l="1"/>
  <c r="H1337" i="1"/>
  <c r="H1166" i="1"/>
  <c r="F535" i="1" l="1"/>
  <c r="F513" i="1"/>
  <c r="F512" i="1"/>
  <c r="F511" i="1"/>
  <c r="F510" i="1"/>
  <c r="F542" i="1" l="1"/>
  <c r="G542" i="1" s="1"/>
  <c r="F509" i="1"/>
  <c r="F508" i="1"/>
  <c r="F1085" i="1"/>
  <c r="F1161" i="1"/>
  <c r="F900" i="1"/>
  <c r="F902" i="1"/>
  <c r="F899" i="1"/>
  <c r="F903" i="1"/>
  <c r="F897" i="1"/>
  <c r="F898" i="1"/>
  <c r="F896" i="1"/>
  <c r="F895" i="1"/>
  <c r="F901" i="1"/>
  <c r="F894" i="1"/>
  <c r="F905" i="1"/>
  <c r="F904" i="1"/>
  <c r="H542" i="1" l="1"/>
  <c r="F445" i="1"/>
  <c r="F446" i="1"/>
  <c r="F453" i="1"/>
  <c r="F464" i="1"/>
  <c r="F444" i="1"/>
  <c r="F455" i="1"/>
  <c r="F443" i="1"/>
  <c r="F463" i="1"/>
  <c r="F441" i="1"/>
  <c r="F457" i="1"/>
  <c r="G446" i="1" l="1"/>
  <c r="F440" i="1"/>
  <c r="F466" i="1"/>
  <c r="F452" i="1"/>
  <c r="F439" i="1"/>
  <c r="G439" i="1" s="1"/>
  <c r="F456" i="1"/>
  <c r="F421" i="1"/>
  <c r="F442" i="1"/>
  <c r="F438" i="1"/>
  <c r="F462" i="1"/>
  <c r="F436" i="1"/>
  <c r="F437" i="1"/>
  <c r="F451" i="1"/>
  <c r="F435" i="1"/>
  <c r="F419" i="1"/>
  <c r="F433" i="1"/>
  <c r="F434" i="1"/>
  <c r="F423" i="1"/>
  <c r="F432" i="1"/>
  <c r="F467" i="1"/>
  <c r="F429" i="1"/>
  <c r="F430" i="1"/>
  <c r="F465" i="1"/>
  <c r="G465" i="1" s="1"/>
  <c r="F450" i="1"/>
  <c r="F468" i="1"/>
  <c r="F461" i="1"/>
  <c r="F431" i="1"/>
  <c r="F428" i="1"/>
  <c r="F427" i="1"/>
  <c r="F424" i="1"/>
  <c r="F458" i="1"/>
  <c r="F448" i="1"/>
  <c r="F426" i="1"/>
  <c r="F454" i="1"/>
  <c r="F425" i="1"/>
  <c r="F422" i="1"/>
  <c r="F420" i="1"/>
  <c r="H446" i="1" l="1"/>
  <c r="H439" i="1"/>
  <c r="H465" i="1"/>
  <c r="F459" i="1"/>
  <c r="F447" i="1"/>
  <c r="F418" i="1"/>
  <c r="F449" i="1"/>
  <c r="F417" i="1"/>
  <c r="F460" i="1"/>
  <c r="F993" i="1"/>
  <c r="F563" i="1" l="1"/>
  <c r="F564" i="1"/>
  <c r="F562" i="1"/>
  <c r="F1065" i="1"/>
  <c r="F502" i="1"/>
  <c r="F503" i="1"/>
  <c r="F504" i="1"/>
  <c r="F501" i="1"/>
  <c r="F1101" i="1"/>
  <c r="F1005" i="1"/>
  <c r="F497" i="1"/>
  <c r="F495" i="1"/>
  <c r="G495" i="1" s="1"/>
  <c r="F493" i="1"/>
  <c r="G493" i="1" s="1"/>
  <c r="F494" i="1"/>
  <c r="F496" i="1"/>
  <c r="F491" i="1"/>
  <c r="G491" i="1" s="1"/>
  <c r="F492" i="1"/>
  <c r="G492" i="1" s="1"/>
  <c r="G494" i="1"/>
  <c r="G497" i="1"/>
  <c r="G496" i="1"/>
  <c r="F1157" i="1"/>
  <c r="F1121" i="1"/>
  <c r="F886" i="1"/>
  <c r="F885" i="1"/>
  <c r="F888" i="1"/>
  <c r="F890" i="1"/>
  <c r="F889" i="1"/>
  <c r="F887" i="1"/>
  <c r="F884" i="1"/>
  <c r="F883" i="1"/>
  <c r="F882" i="1"/>
  <c r="F1081" i="1"/>
  <c r="F1049" i="1"/>
  <c r="F1001" i="1"/>
  <c r="F1002" i="1" s="1"/>
  <c r="E1002" i="1"/>
  <c r="E1292" i="1" s="1"/>
  <c r="D1002" i="1"/>
  <c r="B1002" i="1"/>
  <c r="B1292" i="1" s="1"/>
  <c r="F1208" i="1"/>
  <c r="F1204" i="1"/>
  <c r="F1216" i="1"/>
  <c r="F1215" i="1"/>
  <c r="F1205" i="1"/>
  <c r="F1209" i="1"/>
  <c r="F1214" i="1"/>
  <c r="F1207" i="1"/>
  <c r="F1202" i="1"/>
  <c r="F1210" i="1"/>
  <c r="F1217" i="1"/>
  <c r="F1201" i="1"/>
  <c r="F1211" i="1"/>
  <c r="G1211" i="1" s="1"/>
  <c r="F1213" i="1"/>
  <c r="F1219" i="1"/>
  <c r="F1212" i="1"/>
  <c r="F1218" i="1"/>
  <c r="F1206" i="1"/>
  <c r="F1203" i="1"/>
  <c r="F1292" i="1" l="1"/>
  <c r="G1002" i="1"/>
  <c r="G1292" i="1" s="1"/>
  <c r="G1001" i="1"/>
  <c r="H1001" i="1" s="1"/>
  <c r="D1292" i="1"/>
  <c r="H1002" i="1" l="1"/>
  <c r="H1292" i="1"/>
  <c r="F382" i="1" l="1"/>
  <c r="F365" i="1"/>
  <c r="F364" i="1"/>
  <c r="F363" i="1"/>
  <c r="F362" i="1"/>
  <c r="F380" i="1"/>
  <c r="F357" i="1"/>
  <c r="F360" i="1"/>
  <c r="F361" i="1"/>
  <c r="F359" i="1"/>
  <c r="F381" i="1"/>
  <c r="F356" i="1"/>
  <c r="F379" i="1"/>
  <c r="F358" i="1"/>
  <c r="F351" i="1"/>
  <c r="F355" i="1"/>
  <c r="F306" i="1"/>
  <c r="F374" i="1"/>
  <c r="F390" i="1"/>
  <c r="F354" i="1"/>
  <c r="F353" i="1"/>
  <c r="F393" i="1"/>
  <c r="G393" i="1" s="1"/>
  <c r="F348" i="1"/>
  <c r="F352" i="1"/>
  <c r="F389" i="1"/>
  <c r="F346" i="1"/>
  <c r="F347" i="1"/>
  <c r="F345" i="1"/>
  <c r="F344" i="1"/>
  <c r="F318" i="1"/>
  <c r="F343" i="1"/>
  <c r="F341" i="1"/>
  <c r="F342" i="1"/>
  <c r="F339" i="1"/>
  <c r="F340" i="1"/>
  <c r="F394" i="1"/>
  <c r="F337" i="1"/>
  <c r="G394" i="1" l="1"/>
  <c r="H393" i="1"/>
  <c r="H394" i="1"/>
  <c r="F378" i="1"/>
  <c r="F388" i="1"/>
  <c r="F336" i="1"/>
  <c r="F335" i="1"/>
  <c r="F334" i="1"/>
  <c r="F333" i="1"/>
  <c r="F332" i="1"/>
  <c r="F377" i="1"/>
  <c r="F331" i="1"/>
  <c r="F330" i="1"/>
  <c r="F328" i="1"/>
  <c r="F375" i="1"/>
  <c r="F387" i="1"/>
  <c r="F376" i="1"/>
  <c r="F326" i="1"/>
  <c r="F307" i="1"/>
  <c r="F327" i="1"/>
  <c r="F329" i="1"/>
  <c r="F373" i="1"/>
  <c r="F386" i="1"/>
  <c r="F324" i="1"/>
  <c r="F325" i="1"/>
  <c r="F321" i="1"/>
  <c r="F323" i="1"/>
  <c r="F392" i="1"/>
  <c r="F349" i="1"/>
  <c r="F350" i="1"/>
  <c r="F391" i="1"/>
  <c r="F372" i="1"/>
  <c r="F385" i="1"/>
  <c r="F320" i="1"/>
  <c r="F322" i="1"/>
  <c r="F319" i="1"/>
  <c r="F371" i="1"/>
  <c r="F317" i="1"/>
  <c r="F370" i="1"/>
  <c r="F316" i="1"/>
  <c r="F395" i="1"/>
  <c r="F338" i="1"/>
  <c r="F315" i="1"/>
  <c r="F314" i="1"/>
  <c r="F384" i="1" l="1"/>
  <c r="F313" i="1"/>
  <c r="F383" i="1"/>
  <c r="F312" i="1" l="1"/>
  <c r="F311" i="1"/>
  <c r="F369" i="1"/>
  <c r="F310" i="1"/>
  <c r="F368" i="1"/>
  <c r="F367" i="1"/>
  <c r="F366" i="1"/>
  <c r="F308" i="1"/>
  <c r="F309" i="1"/>
  <c r="F305" i="1"/>
  <c r="F304" i="1"/>
  <c r="F1125" i="1"/>
  <c r="G1125" i="1" s="1"/>
  <c r="E1126" i="1"/>
  <c r="E1323" i="1" s="1"/>
  <c r="D1126" i="1"/>
  <c r="D1323" i="1" s="1"/>
  <c r="B1126" i="1"/>
  <c r="B1323" i="1" s="1"/>
  <c r="F1126" i="1" l="1"/>
  <c r="F1323" i="1"/>
  <c r="G1126" i="1"/>
  <c r="H1125" i="1"/>
  <c r="H1126" i="1" l="1"/>
  <c r="G1323" i="1"/>
  <c r="H1323" i="1" l="1"/>
  <c r="F1069" i="1"/>
  <c r="F1223" i="1"/>
  <c r="F407" i="1"/>
  <c r="G407" i="1" s="1"/>
  <c r="F412" i="1"/>
  <c r="F405" i="1"/>
  <c r="G405" i="1" s="1"/>
  <c r="F406" i="1"/>
  <c r="F413" i="1"/>
  <c r="G413" i="1" s="1"/>
  <c r="F404" i="1"/>
  <c r="G404" i="1" s="1"/>
  <c r="F402" i="1"/>
  <c r="G402" i="1" s="1"/>
  <c r="F403" i="1"/>
  <c r="G403" i="1" s="1"/>
  <c r="F401" i="1"/>
  <c r="G401" i="1" s="1"/>
  <c r="F400" i="1"/>
  <c r="G400" i="1" s="1"/>
  <c r="F408" i="1"/>
  <c r="G408" i="1" s="1"/>
  <c r="F399" i="1"/>
  <c r="G399" i="1" s="1"/>
  <c r="F410" i="1"/>
  <c r="G410" i="1" s="1"/>
  <c r="F409" i="1"/>
  <c r="G409" i="1" s="1"/>
  <c r="G412" i="1"/>
  <c r="G406" i="1"/>
  <c r="F411" i="1"/>
  <c r="F1009" i="1" l="1"/>
  <c r="F473" i="1"/>
  <c r="F474" i="1"/>
  <c r="F472" i="1"/>
  <c r="F475" i="1"/>
  <c r="F476" i="1"/>
  <c r="F486" i="1"/>
  <c r="G486" i="1" s="1"/>
  <c r="F482" i="1"/>
  <c r="G482" i="1" s="1"/>
  <c r="F487" i="1"/>
  <c r="G487" i="1" s="1"/>
  <c r="F483" i="1"/>
  <c r="G483" i="1" s="1"/>
  <c r="F484" i="1"/>
  <c r="G484" i="1" s="1"/>
  <c r="F485" i="1"/>
  <c r="G485" i="1" s="1"/>
  <c r="F481" i="1"/>
  <c r="G481" i="1" s="1"/>
  <c r="F480" i="1"/>
  <c r="G480" i="1" s="1"/>
  <c r="F1187" i="1"/>
  <c r="F1129" i="1"/>
  <c r="F246" i="1"/>
  <c r="F201" i="1"/>
  <c r="F198" i="1"/>
  <c r="F221" i="1"/>
  <c r="F237" i="1"/>
  <c r="F220" i="1"/>
  <c r="F219" i="1"/>
  <c r="F218" i="1"/>
  <c r="F217" i="1"/>
  <c r="F216" i="1"/>
  <c r="F245" i="1"/>
  <c r="F223" i="1"/>
  <c r="F222" i="1"/>
  <c r="F215" i="1"/>
  <c r="F236" i="1"/>
  <c r="F247" i="1"/>
  <c r="F214" i="1"/>
  <c r="F235" i="1"/>
  <c r="F212" i="1"/>
  <c r="F208" i="1"/>
  <c r="F207" i="1"/>
  <c r="F234" i="1"/>
  <c r="F211" i="1"/>
  <c r="F205" i="1"/>
  <c r="F209" i="1"/>
  <c r="F199" i="1"/>
  <c r="F196" i="1"/>
  <c r="F195" i="1"/>
  <c r="F252" i="1"/>
  <c r="F244" i="1"/>
  <c r="F233" i="1"/>
  <c r="F250" i="1"/>
  <c r="F231" i="1"/>
  <c r="F251" i="1"/>
  <c r="F191" i="1"/>
  <c r="F232" i="1"/>
  <c r="F203" i="1"/>
  <c r="F248" i="1"/>
  <c r="F190" i="1"/>
  <c r="F230" i="1"/>
  <c r="F194" i="1" l="1"/>
  <c r="F192" i="1"/>
  <c r="F238" i="1"/>
  <c r="F243" i="1"/>
  <c r="F193" i="1"/>
  <c r="F204" i="1"/>
  <c r="F174" i="1"/>
  <c r="F188" i="1"/>
  <c r="F179" i="1"/>
  <c r="F229" i="1"/>
  <c r="F189" i="1"/>
  <c r="F187" i="1"/>
  <c r="F186" i="1"/>
  <c r="F183" i="1"/>
  <c r="F184" i="1"/>
  <c r="F206" i="1"/>
  <c r="F171" i="1"/>
  <c r="F182" i="1"/>
  <c r="F213" i="1"/>
  <c r="F228" i="1"/>
  <c r="F181" i="1"/>
  <c r="F224" i="1"/>
  <c r="F210" i="1"/>
  <c r="F185" i="1"/>
  <c r="F197" i="1" l="1"/>
  <c r="F177" i="1"/>
  <c r="F249" i="1"/>
  <c r="F242" i="1"/>
  <c r="F176" i="1"/>
  <c r="F200" i="1"/>
  <c r="F175" i="1"/>
  <c r="F180" i="1"/>
  <c r="F173" i="1"/>
  <c r="F241" i="1"/>
  <c r="F227" i="1"/>
  <c r="F226" i="1"/>
  <c r="F172" i="1"/>
  <c r="F239" i="1"/>
  <c r="F170" i="1"/>
  <c r="F225" i="1"/>
  <c r="F240" i="1"/>
  <c r="F169" i="1"/>
  <c r="F168" i="1"/>
  <c r="F202" i="1"/>
  <c r="F167" i="1"/>
  <c r="F166" i="1"/>
  <c r="F178" i="1"/>
  <c r="F165" i="1"/>
  <c r="F1105" i="1" l="1"/>
  <c r="F267" i="1"/>
  <c r="F269" i="1"/>
  <c r="F266" i="1"/>
  <c r="F261" i="1"/>
  <c r="F263" i="1"/>
  <c r="F260" i="1"/>
  <c r="F259" i="1"/>
  <c r="F262" i="1"/>
  <c r="F258" i="1"/>
  <c r="F265" i="1"/>
  <c r="F257" i="1"/>
  <c r="F268" i="1"/>
  <c r="F264" i="1"/>
  <c r="F256" i="1"/>
  <c r="F977" i="1"/>
  <c r="F1025" i="1"/>
  <c r="F1013" i="1"/>
  <c r="F108" i="1" l="1"/>
  <c r="F106" i="1"/>
  <c r="F107" i="1"/>
  <c r="F105" i="1"/>
  <c r="F104" i="1"/>
  <c r="F103" i="1"/>
  <c r="F102" i="1"/>
  <c r="F101" i="1"/>
  <c r="F100" i="1"/>
  <c r="F99" i="1"/>
  <c r="F98" i="1"/>
  <c r="F97" i="1"/>
  <c r="F96" i="1"/>
  <c r="F115" i="1"/>
  <c r="F95" i="1"/>
  <c r="F112" i="1"/>
  <c r="F114" i="1"/>
  <c r="F111" i="1"/>
  <c r="F113" i="1"/>
  <c r="F109" i="1"/>
  <c r="F110" i="1"/>
  <c r="F298" i="1" l="1"/>
  <c r="F299" i="1"/>
  <c r="F300" i="1"/>
  <c r="F1041" i="1"/>
  <c r="G1041" i="1" s="1"/>
  <c r="H1041" i="1" s="1"/>
  <c r="E1042" i="1"/>
  <c r="E1302" i="1" s="1"/>
  <c r="D1042" i="1"/>
  <c r="D1302" i="1" s="1"/>
  <c r="B1042" i="1"/>
  <c r="B1302" i="1" s="1"/>
  <c r="F1042" i="1" l="1"/>
  <c r="F1302" i="1"/>
  <c r="G1042" i="1"/>
  <c r="G1302" i="1" s="1"/>
  <c r="H1302" i="1" s="1"/>
  <c r="F1073" i="1"/>
  <c r="F1089" i="1"/>
  <c r="F291" i="1"/>
  <c r="F294" i="1"/>
  <c r="F290" i="1"/>
  <c r="F293" i="1"/>
  <c r="F289" i="1"/>
  <c r="F292" i="1"/>
  <c r="F288" i="1"/>
  <c r="F287" i="1"/>
  <c r="F286" i="1"/>
  <c r="F1113" i="1"/>
  <c r="F79" i="1"/>
  <c r="F61" i="1"/>
  <c r="F72" i="1"/>
  <c r="F59" i="1"/>
  <c r="F80" i="1"/>
  <c r="F60" i="1"/>
  <c r="F70" i="1"/>
  <c r="F58" i="1"/>
  <c r="F57" i="1"/>
  <c r="F56" i="1"/>
  <c r="F69" i="1"/>
  <c r="F55" i="1"/>
  <c r="F54" i="1"/>
  <c r="F81" i="1"/>
  <c r="F53" i="1"/>
  <c r="F51" i="1"/>
  <c r="F50" i="1"/>
  <c r="F48" i="1"/>
  <c r="F41" i="1"/>
  <c r="F46" i="1"/>
  <c r="F47" i="1"/>
  <c r="F44" i="1"/>
  <c r="F45" i="1"/>
  <c r="F49" i="1"/>
  <c r="F34" i="1"/>
  <c r="F67" i="1"/>
  <c r="F78" i="1"/>
  <c r="F66" i="1"/>
  <c r="F77" i="1"/>
  <c r="F40" i="1"/>
  <c r="F33" i="1"/>
  <c r="F68" i="1"/>
  <c r="F36" i="1"/>
  <c r="F39" i="1"/>
  <c r="F76" i="1"/>
  <c r="F38" i="1"/>
  <c r="F71" i="1"/>
  <c r="F43" i="1"/>
  <c r="F35" i="1"/>
  <c r="F42" i="1"/>
  <c r="F75" i="1"/>
  <c r="F37" i="1"/>
  <c r="F65" i="1"/>
  <c r="F74" i="1"/>
  <c r="F32" i="1"/>
  <c r="F31" i="1"/>
  <c r="F64" i="1"/>
  <c r="F82" i="1"/>
  <c r="F30" i="1"/>
  <c r="F29" i="1"/>
  <c r="F52" i="1"/>
  <c r="F28" i="1"/>
  <c r="F27" i="1"/>
  <c r="F26" i="1"/>
  <c r="F25" i="1"/>
  <c r="F23" i="1"/>
  <c r="F24" i="1"/>
  <c r="F22" i="1"/>
  <c r="F21" i="1"/>
  <c r="F20" i="1"/>
  <c r="F19" i="1"/>
  <c r="F18" i="1"/>
  <c r="F83" i="1"/>
  <c r="F17" i="1"/>
  <c r="F16" i="1"/>
  <c r="F15" i="1"/>
  <c r="F14" i="1"/>
  <c r="H1042" i="1" l="1"/>
  <c r="F13" i="1" l="1"/>
  <c r="F63" i="1"/>
  <c r="F12" i="1"/>
  <c r="F11" i="1"/>
  <c r="F10" i="1"/>
  <c r="F62" i="1" l="1"/>
  <c r="F73" i="1" l="1"/>
  <c r="F9" i="1"/>
  <c r="F1057" i="1"/>
  <c r="F973" i="1"/>
  <c r="F1061" i="1"/>
  <c r="F1062" i="1" s="1"/>
  <c r="F1307" i="1" s="1"/>
  <c r="E1062" i="1"/>
  <c r="E1307" i="1" s="1"/>
  <c r="D1062" i="1"/>
  <c r="D1307" i="1" s="1"/>
  <c r="B1062" i="1"/>
  <c r="B1307" i="1" s="1"/>
  <c r="G1061" i="1"/>
  <c r="F161" i="1"/>
  <c r="F160" i="1"/>
  <c r="G1062" i="1" l="1"/>
  <c r="G1307" i="1" s="1"/>
  <c r="H1061" i="1"/>
  <c r="H1307" i="1" l="1"/>
  <c r="H1062" i="1"/>
  <c r="F151" i="1" l="1"/>
  <c r="F149" i="1"/>
  <c r="F153" i="1"/>
  <c r="F155" i="1"/>
  <c r="F152" i="1"/>
  <c r="F148" i="1"/>
  <c r="F156" i="1"/>
  <c r="F147" i="1"/>
  <c r="F154" i="1"/>
  <c r="F150" i="1"/>
  <c r="F1149" i="1" l="1"/>
  <c r="F965" i="1"/>
  <c r="F1033" i="1"/>
  <c r="F961" i="1"/>
  <c r="F959" i="1"/>
  <c r="F937" i="1"/>
  <c r="F936" i="1"/>
  <c r="F945" i="1"/>
  <c r="F934" i="1"/>
  <c r="F935" i="1"/>
  <c r="F933" i="1"/>
  <c r="F932" i="1"/>
  <c r="F929" i="1"/>
  <c r="F930" i="1"/>
  <c r="F928" i="1"/>
  <c r="F931" i="1"/>
  <c r="F927" i="1"/>
  <c r="F925" i="1"/>
  <c r="F944" i="1"/>
  <c r="F926" i="1"/>
  <c r="F941" i="1"/>
  <c r="F924" i="1"/>
  <c r="F923" i="1"/>
  <c r="F951" i="1"/>
  <c r="F950" i="1"/>
  <c r="F949" i="1"/>
  <c r="F942" i="1"/>
  <c r="F948" i="1"/>
  <c r="F922" i="1"/>
  <c r="F921" i="1"/>
  <c r="F940" i="1"/>
  <c r="F920" i="1"/>
  <c r="F919" i="1"/>
  <c r="F918" i="1"/>
  <c r="F943" i="1"/>
  <c r="F917" i="1"/>
  <c r="F916" i="1"/>
  <c r="F915" i="1"/>
  <c r="F939" i="1"/>
  <c r="F914" i="1"/>
  <c r="F913" i="1"/>
  <c r="F947" i="1"/>
  <c r="F912" i="1" l="1"/>
  <c r="F911" i="1"/>
  <c r="G911" i="1" s="1"/>
  <c r="H911" i="1" s="1"/>
  <c r="F909" i="1"/>
  <c r="F910" i="1"/>
  <c r="F946" i="1" l="1"/>
  <c r="F938" i="1"/>
  <c r="F138" i="1"/>
  <c r="F137" i="1"/>
  <c r="F134" i="1"/>
  <c r="F133" i="1"/>
  <c r="F132" i="1"/>
  <c r="F141" i="1"/>
  <c r="F136" i="1"/>
  <c r="F140" i="1"/>
  <c r="F143" i="1"/>
  <c r="F131" i="1"/>
  <c r="F130" i="1"/>
  <c r="F129" i="1"/>
  <c r="F139" i="1"/>
  <c r="F128" i="1"/>
  <c r="F127" i="1"/>
  <c r="F125" i="1"/>
  <c r="F142" i="1"/>
  <c r="F126" i="1"/>
  <c r="F124" i="1"/>
  <c r="F123" i="1"/>
  <c r="F122" i="1"/>
  <c r="F121" i="1"/>
  <c r="F135" i="1"/>
  <c r="F120" i="1"/>
  <c r="F119" i="1"/>
  <c r="F1141" i="1"/>
  <c r="F280" i="1" l="1"/>
  <c r="F277" i="1"/>
  <c r="F281" i="1"/>
  <c r="F275" i="1"/>
  <c r="F282" i="1"/>
  <c r="F278" i="1"/>
  <c r="F274" i="1"/>
  <c r="F273" i="1"/>
  <c r="F279" i="1"/>
  <c r="F276" i="1"/>
  <c r="F1133" i="1" l="1"/>
  <c r="F90" i="1"/>
  <c r="F89" i="1"/>
  <c r="F88" i="1"/>
  <c r="F87" i="1"/>
  <c r="F91" i="1"/>
  <c r="B733" i="1" l="1"/>
  <c r="D1018" i="1" l="1"/>
  <c r="D1296" i="1" s="1"/>
  <c r="E1018" i="1"/>
  <c r="E1296" i="1" s="1"/>
  <c r="B1018" i="1"/>
  <c r="B1296" i="1" s="1"/>
  <c r="F1018" i="1" l="1"/>
  <c r="F1296" i="1" s="1"/>
  <c r="G1017" i="1"/>
  <c r="H1017" i="1" s="1"/>
  <c r="G1018" i="1" l="1"/>
  <c r="G1296" i="1" s="1"/>
  <c r="H1296" i="1" s="1"/>
  <c r="H1018" i="1"/>
  <c r="B906" i="1" l="1"/>
  <c r="E906" i="1"/>
  <c r="D906" i="1"/>
  <c r="G54" i="1"/>
  <c r="H54" i="1" s="1"/>
  <c r="B84" i="1" l="1"/>
  <c r="G82" i="1"/>
  <c r="B618" i="1"/>
  <c r="H82" i="1" l="1"/>
  <c r="G523" i="1" l="1"/>
  <c r="H523" i="1" s="1"/>
  <c r="B488" i="1" l="1"/>
  <c r="B469" i="1" l="1"/>
  <c r="G89" i="1" l="1"/>
  <c r="H89" i="1" s="1"/>
  <c r="G731" i="1" l="1"/>
  <c r="H731" i="1" s="1"/>
  <c r="G1172" i="1" l="1"/>
  <c r="D1174" i="1"/>
  <c r="G644" i="1"/>
  <c r="B835" i="1"/>
  <c r="G833" i="1"/>
  <c r="G831" i="1"/>
  <c r="E991" i="1"/>
  <c r="E1289" i="1" s="1"/>
  <c r="D991" i="1"/>
  <c r="D1289" i="1" s="1"/>
  <c r="B991" i="1"/>
  <c r="B1289" i="1" s="1"/>
  <c r="F991" i="1"/>
  <c r="F1289" i="1" s="1"/>
  <c r="D879" i="1"/>
  <c r="B879" i="1"/>
  <c r="E1138" i="1"/>
  <c r="E1326" i="1" s="1"/>
  <c r="D1138" i="1"/>
  <c r="D1326" i="1" s="1"/>
  <c r="B1138" i="1"/>
  <c r="B1326" i="1" s="1"/>
  <c r="G878" i="1" l="1"/>
  <c r="H878" i="1" s="1"/>
  <c r="G596" i="1"/>
  <c r="H596" i="1" s="1"/>
  <c r="H1172" i="1"/>
  <c r="H644" i="1"/>
  <c r="G990" i="1"/>
  <c r="F1138" i="1"/>
  <c r="F1326" i="1" s="1"/>
  <c r="H833" i="1"/>
  <c r="H831" i="1"/>
  <c r="G991" i="1"/>
  <c r="G1289" i="1" s="1"/>
  <c r="H1289" i="1" s="1"/>
  <c r="G1137" i="1"/>
  <c r="G529" i="1"/>
  <c r="G1138" i="1" l="1"/>
  <c r="G1326" i="1" s="1"/>
  <c r="H1326" i="1" s="1"/>
  <c r="H990" i="1"/>
  <c r="H991" i="1"/>
  <c r="H1137" i="1"/>
  <c r="H529" i="1"/>
  <c r="G905" i="1"/>
  <c r="F906" i="1"/>
  <c r="G424" i="1"/>
  <c r="H1138" i="1" l="1"/>
  <c r="H905" i="1"/>
  <c r="H424" i="1"/>
  <c r="E1006" i="1"/>
  <c r="E1293" i="1" s="1"/>
  <c r="D1006" i="1"/>
  <c r="B1006" i="1"/>
  <c r="B1293" i="1" s="1"/>
  <c r="F1006" i="1"/>
  <c r="F1293" i="1" s="1"/>
  <c r="E1082" i="1"/>
  <c r="E1312" i="1" s="1"/>
  <c r="D1082" i="1"/>
  <c r="D1312" i="1" s="1"/>
  <c r="B1082" i="1"/>
  <c r="B1312" i="1" s="1"/>
  <c r="B1070" i="1"/>
  <c r="B1309" i="1" s="1"/>
  <c r="E1070" i="1"/>
  <c r="E1309" i="1" s="1"/>
  <c r="D1070" i="1"/>
  <c r="D1309" i="1" s="1"/>
  <c r="F1224" i="1"/>
  <c r="F1345" i="1" s="1"/>
  <c r="E1224" i="1"/>
  <c r="E1345" i="1" s="1"/>
  <c r="D1224" i="1"/>
  <c r="B1224" i="1"/>
  <c r="B1345" i="1" s="1"/>
  <c r="F1082" i="1" l="1"/>
  <c r="F1312" i="1" s="1"/>
  <c r="G1005" i="1"/>
  <c r="H1005" i="1" s="1"/>
  <c r="D1293" i="1"/>
  <c r="G1006" i="1"/>
  <c r="G1293" i="1" s="1"/>
  <c r="G1081" i="1"/>
  <c r="H1081" i="1" s="1"/>
  <c r="G1069" i="1"/>
  <c r="F1070" i="1"/>
  <c r="F1309" i="1" s="1"/>
  <c r="G1223" i="1"/>
  <c r="H1223" i="1" s="1"/>
  <c r="D1345" i="1"/>
  <c r="G1224" i="1"/>
  <c r="G1345" i="1" s="1"/>
  <c r="D414" i="1"/>
  <c r="B396" i="1"/>
  <c r="G317" i="1"/>
  <c r="D396" i="1"/>
  <c r="G392" i="1"/>
  <c r="G1082" i="1" l="1"/>
  <c r="G1312" i="1" s="1"/>
  <c r="H1312" i="1" s="1"/>
  <c r="H1293" i="1"/>
  <c r="H1006" i="1"/>
  <c r="G1070" i="1"/>
  <c r="G1309" i="1" s="1"/>
  <c r="H1069" i="1"/>
  <c r="H1345" i="1"/>
  <c r="H1224" i="1"/>
  <c r="H412" i="1"/>
  <c r="H317" i="1"/>
  <c r="H392" i="1"/>
  <c r="E1090" i="1"/>
  <c r="E1314" i="1" s="1"/>
  <c r="D1090" i="1"/>
  <c r="D1314" i="1" s="1"/>
  <c r="B1090" i="1"/>
  <c r="B1314" i="1" s="1"/>
  <c r="G239" i="1"/>
  <c r="H1082" i="1" l="1"/>
  <c r="H1309" i="1"/>
  <c r="F1090" i="1"/>
  <c r="F1314" i="1" s="1"/>
  <c r="H1070" i="1"/>
  <c r="G1089" i="1"/>
  <c r="H1089" i="1" s="1"/>
  <c r="H239" i="1"/>
  <c r="E1134" i="1"/>
  <c r="E1325" i="1" s="1"/>
  <c r="D1134" i="1"/>
  <c r="D1325" i="1" s="1"/>
  <c r="B1134" i="1"/>
  <c r="B1325" i="1" s="1"/>
  <c r="F1134" i="1"/>
  <c r="F1325" i="1" s="1"/>
  <c r="D1142" i="1"/>
  <c r="E1142" i="1"/>
  <c r="E1327" i="1" s="1"/>
  <c r="B1142" i="1"/>
  <c r="B1327" i="1" s="1"/>
  <c r="G55" i="1"/>
  <c r="G45" i="1"/>
  <c r="G1090" i="1" l="1"/>
  <c r="G1133" i="1"/>
  <c r="H1133" i="1" s="1"/>
  <c r="G1134" i="1"/>
  <c r="G1325" i="1" s="1"/>
  <c r="H1325" i="1" s="1"/>
  <c r="G960" i="1"/>
  <c r="F1142" i="1"/>
  <c r="G1142" i="1" s="1"/>
  <c r="G1327" i="1" s="1"/>
  <c r="D1327" i="1"/>
  <c r="G1141" i="1"/>
  <c r="H1141" i="1" s="1"/>
  <c r="H55" i="1"/>
  <c r="H45" i="1"/>
  <c r="H1090" i="1" l="1"/>
  <c r="G1314" i="1"/>
  <c r="H1314" i="1" s="1"/>
  <c r="H1134" i="1"/>
  <c r="H960" i="1"/>
  <c r="F1327" i="1"/>
  <c r="H1327" i="1"/>
  <c r="H1142" i="1"/>
  <c r="E891" i="1" l="1"/>
  <c r="D891" i="1"/>
  <c r="G730" i="1" l="1"/>
  <c r="H730" i="1" s="1"/>
  <c r="G1171" i="1"/>
  <c r="H1171" i="1" l="1"/>
  <c r="E1146" i="1" l="1"/>
  <c r="E1328" i="1" s="1"/>
  <c r="D1146" i="1"/>
  <c r="D1328" i="1" s="1"/>
  <c r="B1146" i="1"/>
  <c r="B1328" i="1" s="1"/>
  <c r="F1146" i="1"/>
  <c r="F1328" i="1" s="1"/>
  <c r="F1110" i="1"/>
  <c r="F1319" i="1" s="1"/>
  <c r="E1110" i="1"/>
  <c r="E1319" i="1" s="1"/>
  <c r="D1110" i="1"/>
  <c r="D1319" i="1" s="1"/>
  <c r="B1110" i="1"/>
  <c r="B1319" i="1" s="1"/>
  <c r="E1030" i="1"/>
  <c r="E1299" i="1" s="1"/>
  <c r="D1030" i="1"/>
  <c r="D1299" i="1" s="1"/>
  <c r="B1030" i="1"/>
  <c r="B1299" i="1" s="1"/>
  <c r="F1030" i="1" l="1"/>
  <c r="F1299" i="1" s="1"/>
  <c r="G679" i="1"/>
  <c r="G675" i="1"/>
  <c r="G1145" i="1"/>
  <c r="G1146" i="1"/>
  <c r="G1328" i="1" s="1"/>
  <c r="G1109" i="1"/>
  <c r="G1110" i="1"/>
  <c r="G1319" i="1" s="1"/>
  <c r="G1029" i="1"/>
  <c r="G1030" i="1" l="1"/>
  <c r="G1299" i="1" s="1"/>
  <c r="H1299" i="1" s="1"/>
  <c r="H679" i="1"/>
  <c r="H675" i="1"/>
  <c r="H1328" i="1"/>
  <c r="H1319" i="1"/>
  <c r="H1145" i="1"/>
  <c r="H1146" i="1"/>
  <c r="H1109" i="1"/>
  <c r="H1110" i="1"/>
  <c r="H1029" i="1"/>
  <c r="H1030" i="1" l="1"/>
  <c r="D1078" i="1" l="1"/>
  <c r="D1311" i="1" s="1"/>
  <c r="F1078" i="1"/>
  <c r="F1311" i="1" s="1"/>
  <c r="E1078" i="1"/>
  <c r="E1311" i="1" s="1"/>
  <c r="B1078" i="1"/>
  <c r="B1311" i="1" s="1"/>
  <c r="G877" i="1"/>
  <c r="G876" i="1"/>
  <c r="G875" i="1"/>
  <c r="G1077" i="1" l="1"/>
  <c r="G1078" i="1"/>
  <c r="G1311" i="1" s="1"/>
  <c r="H1311" i="1" s="1"/>
  <c r="G849" i="1"/>
  <c r="H1077" i="1" l="1"/>
  <c r="H1078" i="1"/>
  <c r="H849" i="1"/>
  <c r="G435" i="1" l="1"/>
  <c r="H435" i="1" s="1"/>
  <c r="D469" i="1"/>
  <c r="G461" i="1" l="1"/>
  <c r="H461" i="1" l="1"/>
  <c r="G959" i="1" l="1"/>
  <c r="G1129" i="1" l="1"/>
  <c r="E1130" i="1"/>
  <c r="D1130" i="1"/>
  <c r="D1324" i="1" s="1"/>
  <c r="B1130" i="1"/>
  <c r="B1324" i="1" s="1"/>
  <c r="F1130" i="1" l="1"/>
  <c r="F1324" i="1" s="1"/>
  <c r="E1324" i="1"/>
  <c r="H1129" i="1"/>
  <c r="G1130" i="1" l="1"/>
  <c r="G1324" i="1" s="1"/>
  <c r="H1324" i="1" s="1"/>
  <c r="H1130" i="1" l="1"/>
  <c r="G904" i="1" l="1"/>
  <c r="H904" i="1" l="1"/>
  <c r="G924" i="1" l="1"/>
  <c r="H924" i="1" s="1"/>
  <c r="G167" i="1" l="1"/>
  <c r="H167" i="1" s="1"/>
  <c r="G148" i="1" l="1"/>
  <c r="H148" i="1" s="1"/>
  <c r="G210" i="1" l="1"/>
  <c r="D1034" i="1"/>
  <c r="D1300" i="1" s="1"/>
  <c r="F1034" i="1"/>
  <c r="F1300" i="1" s="1"/>
  <c r="E1034" i="1"/>
  <c r="B1034" i="1"/>
  <c r="B1300" i="1" s="1"/>
  <c r="G1033" i="1"/>
  <c r="H1033" i="1" s="1"/>
  <c r="D157" i="1"/>
  <c r="G141" i="1"/>
  <c r="G122" i="1"/>
  <c r="B144" i="1"/>
  <c r="F144" i="1"/>
  <c r="E144" i="1"/>
  <c r="D144" i="1"/>
  <c r="G119" i="1"/>
  <c r="B116" i="1"/>
  <c r="D116" i="1"/>
  <c r="G114" i="1"/>
  <c r="H114" i="1" s="1"/>
  <c r="B962" i="1"/>
  <c r="F962" i="1"/>
  <c r="E962" i="1"/>
  <c r="D962" i="1"/>
  <c r="G70" i="1"/>
  <c r="G56" i="1"/>
  <c r="H56" i="1" s="1"/>
  <c r="G38" i="1"/>
  <c r="H38" i="1" s="1"/>
  <c r="G962" i="1" l="1"/>
  <c r="E1300" i="1"/>
  <c r="H210" i="1"/>
  <c r="G1034" i="1"/>
  <c r="G1300" i="1" s="1"/>
  <c r="H141" i="1"/>
  <c r="H122" i="1"/>
  <c r="H119" i="1"/>
  <c r="H959" i="1"/>
  <c r="H70" i="1"/>
  <c r="F1114" i="1"/>
  <c r="F1320" i="1" s="1"/>
  <c r="E1114" i="1"/>
  <c r="E1320" i="1" s="1"/>
  <c r="D1114" i="1"/>
  <c r="D1320" i="1" s="1"/>
  <c r="B1114" i="1"/>
  <c r="B1320" i="1" s="1"/>
  <c r="G1113" i="1"/>
  <c r="H1113" i="1" s="1"/>
  <c r="F986" i="1"/>
  <c r="F1288" i="1" s="1"/>
  <c r="E986" i="1"/>
  <c r="E1288" i="1" s="1"/>
  <c r="D986" i="1"/>
  <c r="D1288" i="1" s="1"/>
  <c r="B986" i="1"/>
  <c r="B1288" i="1" s="1"/>
  <c r="G985" i="1"/>
  <c r="F1086" i="1"/>
  <c r="F1313" i="1" s="1"/>
  <c r="E1086" i="1"/>
  <c r="E1313" i="1" s="1"/>
  <c r="D1086" i="1"/>
  <c r="D1313" i="1" s="1"/>
  <c r="B1086" i="1"/>
  <c r="B1313" i="1" s="1"/>
  <c r="G1085" i="1"/>
  <c r="G955" i="1"/>
  <c r="F1118" i="1"/>
  <c r="F1321" i="1" s="1"/>
  <c r="E1118" i="1"/>
  <c r="E1321" i="1" s="1"/>
  <c r="D1118" i="1"/>
  <c r="D1321" i="1" s="1"/>
  <c r="B1118" i="1"/>
  <c r="B1321" i="1" s="1"/>
  <c r="G1117" i="1"/>
  <c r="H1117" i="1" s="1"/>
  <c r="F998" i="1"/>
  <c r="F1291" i="1" s="1"/>
  <c r="E998" i="1"/>
  <c r="E1291" i="1" s="1"/>
  <c r="D998" i="1"/>
  <c r="D1291" i="1" s="1"/>
  <c r="B998" i="1"/>
  <c r="B1291" i="1" s="1"/>
  <c r="G997" i="1"/>
  <c r="F1038" i="1"/>
  <c r="F1301" i="1" s="1"/>
  <c r="E1038" i="1"/>
  <c r="E1301" i="1" s="1"/>
  <c r="D1038" i="1"/>
  <c r="D1301" i="1" s="1"/>
  <c r="B1038" i="1"/>
  <c r="B1301" i="1" s="1"/>
  <c r="G1037" i="1"/>
  <c r="F1122" i="1"/>
  <c r="F1322" i="1" s="1"/>
  <c r="E1122" i="1"/>
  <c r="E1322" i="1" s="1"/>
  <c r="D1122" i="1"/>
  <c r="D1322" i="1" s="1"/>
  <c r="B1122" i="1"/>
  <c r="B1322" i="1" s="1"/>
  <c r="G1121" i="1"/>
  <c r="H1300" i="1" l="1"/>
  <c r="H1034" i="1"/>
  <c r="G1114" i="1"/>
  <c r="G1320" i="1" s="1"/>
  <c r="G998" i="1"/>
  <c r="G1291" i="1" s="1"/>
  <c r="G986" i="1"/>
  <c r="G1288" i="1" s="1"/>
  <c r="H1288" i="1" s="1"/>
  <c r="H985" i="1"/>
  <c r="G1086" i="1"/>
  <c r="G1313" i="1" s="1"/>
  <c r="H1085" i="1"/>
  <c r="G1118" i="1"/>
  <c r="H997" i="1"/>
  <c r="G1038" i="1"/>
  <c r="H1037" i="1"/>
  <c r="G1122" i="1"/>
  <c r="H1121" i="1"/>
  <c r="H1086" i="1" l="1"/>
  <c r="H998" i="1"/>
  <c r="H986" i="1"/>
  <c r="H1122" i="1"/>
  <c r="G1322" i="1"/>
  <c r="H1118" i="1"/>
  <c r="G1321" i="1"/>
  <c r="H1313" i="1"/>
  <c r="H1038" i="1"/>
  <c r="G1301" i="1"/>
  <c r="H1114" i="1"/>
  <c r="H1291" i="1"/>
  <c r="H1321" i="1" l="1"/>
  <c r="H1322" i="1"/>
  <c r="H1301" i="1"/>
  <c r="F1106" i="1" l="1"/>
  <c r="F1318" i="1" s="1"/>
  <c r="E1106" i="1"/>
  <c r="E1318" i="1" s="1"/>
  <c r="D1106" i="1"/>
  <c r="D1318" i="1" s="1"/>
  <c r="B1106" i="1"/>
  <c r="B1318" i="1" s="1"/>
  <c r="G1105" i="1"/>
  <c r="H1105" i="1" s="1"/>
  <c r="F1282" i="1"/>
  <c r="E1282" i="1"/>
  <c r="D1282" i="1"/>
  <c r="B1282" i="1"/>
  <c r="G961" i="1"/>
  <c r="B952" i="1"/>
  <c r="B1280" i="1" s="1"/>
  <c r="B891" i="1"/>
  <c r="B665" i="1"/>
  <c r="G662" i="1"/>
  <c r="G1106" i="1" l="1"/>
  <c r="G1318" i="1" s="1"/>
  <c r="H961" i="1"/>
  <c r="G848" i="1"/>
  <c r="H848" i="1" s="1"/>
  <c r="G709" i="1"/>
  <c r="H709" i="1" s="1"/>
  <c r="G950" i="1"/>
  <c r="H662" i="1"/>
  <c r="E628" i="1"/>
  <c r="D628" i="1"/>
  <c r="B628" i="1"/>
  <c r="H1106" i="1" l="1"/>
  <c r="H1318" i="1"/>
  <c r="H962" i="1"/>
  <c r="G1282" i="1"/>
  <c r="H950" i="1"/>
  <c r="F628" i="1"/>
  <c r="G628" i="1" s="1"/>
  <c r="H1282" i="1" l="1"/>
  <c r="G543" i="1" l="1"/>
  <c r="E952" i="1"/>
  <c r="E1280" i="1" s="1"/>
  <c r="D952" i="1"/>
  <c r="D1280" i="1" s="1"/>
  <c r="G920" i="1"/>
  <c r="G918" i="1"/>
  <c r="G917" i="1"/>
  <c r="G909" i="1"/>
  <c r="H543" i="1" l="1"/>
  <c r="G421" i="1"/>
  <c r="G913" i="1"/>
  <c r="H913" i="1" s="1"/>
  <c r="G922" i="1"/>
  <c r="H922" i="1" s="1"/>
  <c r="G926" i="1"/>
  <c r="G927" i="1"/>
  <c r="H927" i="1" s="1"/>
  <c r="G929" i="1"/>
  <c r="H929" i="1" s="1"/>
  <c r="G931" i="1"/>
  <c r="H931" i="1" s="1"/>
  <c r="G934" i="1"/>
  <c r="H934" i="1" s="1"/>
  <c r="G936" i="1"/>
  <c r="H936" i="1" s="1"/>
  <c r="G937" i="1"/>
  <c r="H937" i="1" s="1"/>
  <c r="G939" i="1"/>
  <c r="H939" i="1" s="1"/>
  <c r="G941" i="1"/>
  <c r="H941" i="1" s="1"/>
  <c r="G944" i="1"/>
  <c r="H944" i="1" s="1"/>
  <c r="G945" i="1"/>
  <c r="H945" i="1" s="1"/>
  <c r="G946" i="1"/>
  <c r="H946" i="1" s="1"/>
  <c r="G948" i="1"/>
  <c r="H948" i="1" s="1"/>
  <c r="G951" i="1"/>
  <c r="H951" i="1" s="1"/>
  <c r="F952" i="1"/>
  <c r="H909" i="1"/>
  <c r="G910" i="1"/>
  <c r="G912" i="1"/>
  <c r="G914" i="1"/>
  <c r="G915" i="1"/>
  <c r="G916" i="1"/>
  <c r="H917" i="1"/>
  <c r="G932" i="1"/>
  <c r="G933" i="1"/>
  <c r="G935" i="1"/>
  <c r="H918" i="1"/>
  <c r="G919" i="1"/>
  <c r="H920" i="1"/>
  <c r="G921" i="1"/>
  <c r="G923" i="1"/>
  <c r="G925" i="1"/>
  <c r="H926" i="1"/>
  <c r="G928" i="1"/>
  <c r="G930" i="1"/>
  <c r="G938" i="1"/>
  <c r="G940" i="1"/>
  <c r="G942" i="1"/>
  <c r="G943" i="1"/>
  <c r="G947" i="1"/>
  <c r="G949" i="1"/>
  <c r="F1280" i="1" l="1"/>
  <c r="G952" i="1"/>
  <c r="H421" i="1"/>
  <c r="H947" i="1"/>
  <c r="H942" i="1"/>
  <c r="H938" i="1"/>
  <c r="H930" i="1"/>
  <c r="H928" i="1"/>
  <c r="H919" i="1"/>
  <c r="H935" i="1"/>
  <c r="H932" i="1"/>
  <c r="H916" i="1"/>
  <c r="H914" i="1"/>
  <c r="H910" i="1"/>
  <c r="H949" i="1"/>
  <c r="H943" i="1"/>
  <c r="H940" i="1"/>
  <c r="H925" i="1"/>
  <c r="H923" i="1"/>
  <c r="H921" i="1"/>
  <c r="H933" i="1"/>
  <c r="H915" i="1"/>
  <c r="H912" i="1"/>
  <c r="G315" i="1"/>
  <c r="H315" i="1" s="1"/>
  <c r="H491" i="1"/>
  <c r="H492" i="1"/>
  <c r="B295" i="1"/>
  <c r="H952" i="1" l="1"/>
  <c r="G1280" i="1"/>
  <c r="G213" i="1" l="1"/>
  <c r="H213" i="1" s="1"/>
  <c r="G238" i="1"/>
  <c r="H238" i="1" s="1"/>
  <c r="G80" i="1" l="1"/>
  <c r="H80" i="1" s="1"/>
  <c r="G47" i="1"/>
  <c r="H47" i="1" s="1"/>
  <c r="G71" i="1"/>
  <c r="G35" i="1"/>
  <c r="G39" i="1" l="1"/>
  <c r="H39" i="1" s="1"/>
  <c r="G52" i="1"/>
  <c r="H52" i="1" s="1"/>
  <c r="G68" i="1"/>
  <c r="H68" i="1" s="1"/>
  <c r="G59" i="1"/>
  <c r="H59" i="1" s="1"/>
  <c r="H71" i="1"/>
  <c r="H1280" i="1" l="1"/>
  <c r="G716" i="1"/>
  <c r="G726" i="1"/>
  <c r="G653" i="1"/>
  <c r="H653" i="1" s="1"/>
  <c r="H716" i="1" l="1"/>
  <c r="H726" i="1"/>
  <c r="E1154" i="1" l="1"/>
  <c r="E1330" i="1" s="1"/>
  <c r="D1154" i="1"/>
  <c r="B1154" i="1"/>
  <c r="B1330" i="1" s="1"/>
  <c r="E835" i="1"/>
  <c r="D835" i="1"/>
  <c r="D1330" i="1" l="1"/>
  <c r="F1154" i="1"/>
  <c r="F1330" i="1" s="1"/>
  <c r="G1153" i="1"/>
  <c r="G832" i="1"/>
  <c r="G789" i="1"/>
  <c r="G827" i="1"/>
  <c r="G1065" i="1"/>
  <c r="H1065" i="1" s="1"/>
  <c r="B1066" i="1"/>
  <c r="D1066" i="1"/>
  <c r="E1066" i="1"/>
  <c r="F1066" i="1"/>
  <c r="G1066" i="1" l="1"/>
  <c r="H1066" i="1" s="1"/>
  <c r="F835" i="1"/>
  <c r="G835" i="1" s="1"/>
  <c r="G1154" i="1"/>
  <c r="G1330" i="1" s="1"/>
  <c r="H1153" i="1"/>
  <c r="H832" i="1"/>
  <c r="H789" i="1"/>
  <c r="H827" i="1"/>
  <c r="G616" i="1"/>
  <c r="H1154" i="1" l="1"/>
  <c r="H1330" i="1"/>
  <c r="H616" i="1"/>
  <c r="G866" i="1" l="1"/>
  <c r="H866" i="1" l="1"/>
  <c r="E559" i="1"/>
  <c r="D559" i="1"/>
  <c r="B559" i="1"/>
  <c r="G467" i="1"/>
  <c r="G463" i="1" l="1"/>
  <c r="H463" i="1" s="1"/>
  <c r="G852" i="1"/>
  <c r="H852" i="1" s="1"/>
  <c r="F559" i="1"/>
  <c r="G841" i="1"/>
  <c r="H841" i="1" s="1"/>
  <c r="G545" i="1"/>
  <c r="H545" i="1" s="1"/>
  <c r="G426" i="1"/>
  <c r="H426" i="1" s="1"/>
  <c r="H467" i="1"/>
  <c r="G894" i="1"/>
  <c r="H894" i="1" s="1"/>
  <c r="F1102" i="1"/>
  <c r="F1317" i="1" s="1"/>
  <c r="E1102" i="1"/>
  <c r="D1102" i="1"/>
  <c r="D1317" i="1" s="1"/>
  <c r="B1102" i="1"/>
  <c r="B1317" i="1" s="1"/>
  <c r="G1101" i="1"/>
  <c r="E1158" i="1"/>
  <c r="E1331" i="1" s="1"/>
  <c r="D1158" i="1"/>
  <c r="D1331" i="1" s="1"/>
  <c r="B1158" i="1"/>
  <c r="B1331" i="1" s="1"/>
  <c r="H1211" i="1"/>
  <c r="F1220" i="1"/>
  <c r="E1220" i="1"/>
  <c r="D1220" i="1"/>
  <c r="D1235" i="1"/>
  <c r="B1235" i="1"/>
  <c r="B1220" i="1"/>
  <c r="B1184" i="1"/>
  <c r="B1340" i="1" s="1"/>
  <c r="B1228" i="1"/>
  <c r="B1192" i="1"/>
  <c r="B1188" i="1"/>
  <c r="B1174" i="1"/>
  <c r="B1162" i="1"/>
  <c r="B994" i="1"/>
  <c r="G422" i="1" l="1"/>
  <c r="E1317" i="1"/>
  <c r="H1101" i="1"/>
  <c r="G1102" i="1"/>
  <c r="G1317" i="1" s="1"/>
  <c r="F1158" i="1"/>
  <c r="F1331" i="1" s="1"/>
  <c r="G1157" i="1"/>
  <c r="G381" i="1" l="1"/>
  <c r="H381" i="1" s="1"/>
  <c r="G1158" i="1"/>
  <c r="H1158" i="1" s="1"/>
  <c r="H422" i="1"/>
  <c r="H1317" i="1"/>
  <c r="H1102" i="1"/>
  <c r="H1157" i="1"/>
  <c r="G1331" i="1" l="1"/>
  <c r="G125" i="1"/>
  <c r="E253" i="1"/>
  <c r="H125" i="1" l="1"/>
  <c r="G250" i="1"/>
  <c r="G170" i="1"/>
  <c r="H170" i="1" s="1"/>
  <c r="G671" i="1"/>
  <c r="H671" i="1" s="1"/>
  <c r="H250" i="1" l="1"/>
  <c r="B505" i="1"/>
  <c r="G502" i="1"/>
  <c r="E505" i="1"/>
  <c r="D505" i="1"/>
  <c r="H502" i="1" l="1"/>
  <c r="G293" i="1"/>
  <c r="G147" i="1"/>
  <c r="H147" i="1" s="1"/>
  <c r="G154" i="1"/>
  <c r="H154" i="1" s="1"/>
  <c r="D498" i="1"/>
  <c r="D1256" i="1" s="1"/>
  <c r="E498" i="1"/>
  <c r="E1256" i="1" s="1"/>
  <c r="D1275" i="1"/>
  <c r="E1275" i="1"/>
  <c r="G1170" i="1"/>
  <c r="H1170" i="1" s="1"/>
  <c r="G1173" i="1"/>
  <c r="H1173" i="1" s="1"/>
  <c r="D1339" i="1"/>
  <c r="E1339" i="1"/>
  <c r="G1206" i="1"/>
  <c r="H1206" i="1" s="1"/>
  <c r="G1207" i="1"/>
  <c r="H1207" i="1" s="1"/>
  <c r="G1208" i="1"/>
  <c r="H1208" i="1" s="1"/>
  <c r="G1209" i="1"/>
  <c r="H1209" i="1" s="1"/>
  <c r="G1210" i="1"/>
  <c r="H1210" i="1" s="1"/>
  <c r="D1188" i="1"/>
  <c r="E1188" i="1"/>
  <c r="E1341" i="1" s="1"/>
  <c r="F1188" i="1"/>
  <c r="D1192" i="1"/>
  <c r="E1192" i="1"/>
  <c r="E1342" i="1" s="1"/>
  <c r="F1192" i="1"/>
  <c r="E1343" i="1"/>
  <c r="F1343" i="1"/>
  <c r="G1201" i="1"/>
  <c r="H1201" i="1" s="1"/>
  <c r="G1202" i="1"/>
  <c r="H1202" i="1" s="1"/>
  <c r="G1204" i="1"/>
  <c r="G1203" i="1"/>
  <c r="H1203" i="1" s="1"/>
  <c r="G1205" i="1"/>
  <c r="H1205" i="1" s="1"/>
  <c r="D1228" i="1"/>
  <c r="D1346" i="1" s="1"/>
  <c r="E1228" i="1"/>
  <c r="E1346" i="1" s="1"/>
  <c r="F1228" i="1"/>
  <c r="G1231" i="1"/>
  <c r="H1231" i="1" s="1"/>
  <c r="G1232" i="1"/>
  <c r="H1232" i="1" s="1"/>
  <c r="G1233" i="1"/>
  <c r="H1233" i="1" s="1"/>
  <c r="G1234" i="1"/>
  <c r="H1234" i="1" s="1"/>
  <c r="G1212" i="1"/>
  <c r="H1212" i="1" s="1"/>
  <c r="G1213" i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F1339" i="1"/>
  <c r="F1344" i="1"/>
  <c r="F1235" i="1"/>
  <c r="F1347" i="1" s="1"/>
  <c r="E1174" i="1"/>
  <c r="E1338" i="1" s="1"/>
  <c r="E1344" i="1"/>
  <c r="E1235" i="1"/>
  <c r="E1347" i="1" s="1"/>
  <c r="D1338" i="1"/>
  <c r="D1344" i="1"/>
  <c r="D1347" i="1"/>
  <c r="B1290" i="1"/>
  <c r="B92" i="1"/>
  <c r="B1241" i="1" s="1"/>
  <c r="B1336" i="1"/>
  <c r="B1338" i="1"/>
  <c r="B1339" i="1"/>
  <c r="B1341" i="1"/>
  <c r="B1342" i="1"/>
  <c r="B1343" i="1"/>
  <c r="B1344" i="1"/>
  <c r="B1346" i="1"/>
  <c r="B1347" i="1"/>
  <c r="H1213" i="1"/>
  <c r="G1227" i="1"/>
  <c r="H1227" i="1"/>
  <c r="H1204" i="1"/>
  <c r="G1197" i="1"/>
  <c r="H1197" i="1" s="1"/>
  <c r="G1196" i="1"/>
  <c r="H1196" i="1" s="1"/>
  <c r="G1191" i="1"/>
  <c r="H1191" i="1" s="1"/>
  <c r="G1187" i="1"/>
  <c r="H1187" i="1"/>
  <c r="D1184" i="1"/>
  <c r="D1340" i="1" s="1"/>
  <c r="E1184" i="1"/>
  <c r="E1340" i="1" s="1"/>
  <c r="F1184" i="1"/>
  <c r="F1340" i="1" s="1"/>
  <c r="G1183" i="1"/>
  <c r="H1183" i="1" s="1"/>
  <c r="G1182" i="1"/>
  <c r="H1182" i="1" s="1"/>
  <c r="G1178" i="1"/>
  <c r="H1178" i="1" s="1"/>
  <c r="F1162" i="1"/>
  <c r="F1336" i="1" s="1"/>
  <c r="F84" i="1"/>
  <c r="F1240" i="1" s="1"/>
  <c r="F92" i="1"/>
  <c r="F1241" i="1" s="1"/>
  <c r="F116" i="1"/>
  <c r="F1242" i="1" s="1"/>
  <c r="F1243" i="1"/>
  <c r="F162" i="1"/>
  <c r="F1245" i="1" s="1"/>
  <c r="F270" i="1"/>
  <c r="F1247" i="1" s="1"/>
  <c r="F283" i="1"/>
  <c r="F1248" i="1" s="1"/>
  <c r="F301" i="1"/>
  <c r="F1250" i="1" s="1"/>
  <c r="F396" i="1"/>
  <c r="F1251" i="1" s="1"/>
  <c r="F505" i="1"/>
  <c r="F1257" i="1" s="1"/>
  <c r="F588" i="1"/>
  <c r="F1263" i="1" s="1"/>
  <c r="F638" i="1"/>
  <c r="F1268" i="1" s="1"/>
  <c r="F680" i="1"/>
  <c r="F733" i="1"/>
  <c r="F1272" i="1" s="1"/>
  <c r="F740" i="1"/>
  <c r="F1074" i="1"/>
  <c r="F982" i="1"/>
  <c r="F1287" i="1" s="1"/>
  <c r="F994" i="1"/>
  <c r="F1290" i="1" s="1"/>
  <c r="F1010" i="1"/>
  <c r="F1294" i="1" s="1"/>
  <c r="F1026" i="1"/>
  <c r="F1298" i="1" s="1"/>
  <c r="F1014" i="1"/>
  <c r="F1295" i="1" s="1"/>
  <c r="F1046" i="1"/>
  <c r="F1050" i="1"/>
  <c r="F1304" i="1" s="1"/>
  <c r="F1054" i="1"/>
  <c r="F1058" i="1"/>
  <c r="F1098" i="1"/>
  <c r="F956" i="1"/>
  <c r="F966" i="1"/>
  <c r="F1283" i="1" s="1"/>
  <c r="F970" i="1"/>
  <c r="F974" i="1"/>
  <c r="F1285" i="1" s="1"/>
  <c r="F978" i="1"/>
  <c r="F1150" i="1"/>
  <c r="F1329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6" i="1"/>
  <c r="H36" i="1" s="1"/>
  <c r="G37" i="1"/>
  <c r="H37" i="1" s="1"/>
  <c r="G40" i="1"/>
  <c r="H40" i="1" s="1"/>
  <c r="G41" i="1"/>
  <c r="H41" i="1" s="1"/>
  <c r="G42" i="1"/>
  <c r="H42" i="1" s="1"/>
  <c r="G43" i="1"/>
  <c r="H43" i="1" s="1"/>
  <c r="G44" i="1"/>
  <c r="H44" i="1" s="1"/>
  <c r="G46" i="1"/>
  <c r="H46" i="1" s="1"/>
  <c r="G48" i="1"/>
  <c r="H48" i="1" s="1"/>
  <c r="G49" i="1"/>
  <c r="H49" i="1" s="1"/>
  <c r="G50" i="1"/>
  <c r="H50" i="1" s="1"/>
  <c r="G51" i="1"/>
  <c r="H51" i="1" s="1"/>
  <c r="G53" i="1"/>
  <c r="H53" i="1" s="1"/>
  <c r="G57" i="1"/>
  <c r="H57" i="1" s="1"/>
  <c r="G58" i="1"/>
  <c r="H58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9" i="1"/>
  <c r="H69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G81" i="1"/>
  <c r="H81" i="1" s="1"/>
  <c r="G83" i="1"/>
  <c r="D92" i="1"/>
  <c r="D1241" i="1" s="1"/>
  <c r="E92" i="1"/>
  <c r="E1241" i="1" s="1"/>
  <c r="E116" i="1"/>
  <c r="E1242" i="1" s="1"/>
  <c r="D1243" i="1"/>
  <c r="E1243" i="1"/>
  <c r="D1244" i="1"/>
  <c r="E157" i="1"/>
  <c r="E1244" i="1" s="1"/>
  <c r="D162" i="1"/>
  <c r="D1245" i="1" s="1"/>
  <c r="E162" i="1"/>
  <c r="E1245" i="1" s="1"/>
  <c r="D253" i="1"/>
  <c r="E1246" i="1"/>
  <c r="D270" i="1"/>
  <c r="D1247" i="1" s="1"/>
  <c r="E270" i="1"/>
  <c r="E1247" i="1" s="1"/>
  <c r="D283" i="1"/>
  <c r="D1248" i="1" s="1"/>
  <c r="E283" i="1"/>
  <c r="E1248" i="1" s="1"/>
  <c r="D295" i="1"/>
  <c r="D1249" i="1" s="1"/>
  <c r="E295" i="1"/>
  <c r="E1249" i="1" s="1"/>
  <c r="D301" i="1"/>
  <c r="D1250" i="1" s="1"/>
  <c r="E301" i="1"/>
  <c r="E1250" i="1" s="1"/>
  <c r="G304" i="1"/>
  <c r="H304" i="1" s="1"/>
  <c r="G305" i="1"/>
  <c r="H305" i="1" s="1"/>
  <c r="G306" i="1"/>
  <c r="H306" i="1" s="1"/>
  <c r="G307" i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6" i="1"/>
  <c r="H316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G352" i="1"/>
  <c r="H352" i="1" s="1"/>
  <c r="G353" i="1"/>
  <c r="H353" i="1" s="1"/>
  <c r="G354" i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5" i="1"/>
  <c r="H395" i="1" s="1"/>
  <c r="D1252" i="1"/>
  <c r="E414" i="1"/>
  <c r="E1252" i="1" s="1"/>
  <c r="D1253" i="1"/>
  <c r="E469" i="1"/>
  <c r="E1253" i="1" s="1"/>
  <c r="D477" i="1"/>
  <c r="D1254" i="1" s="1"/>
  <c r="E477" i="1"/>
  <c r="E1254" i="1" s="1"/>
  <c r="D488" i="1"/>
  <c r="E488" i="1"/>
  <c r="E1255" i="1" s="1"/>
  <c r="D1257" i="1"/>
  <c r="E1257" i="1"/>
  <c r="D549" i="1"/>
  <c r="E549" i="1"/>
  <c r="E1258" i="1" s="1"/>
  <c r="G552" i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D565" i="1"/>
  <c r="D1260" i="1" s="1"/>
  <c r="E565" i="1"/>
  <c r="E1260" i="1" s="1"/>
  <c r="D575" i="1"/>
  <c r="E575" i="1"/>
  <c r="E1261" i="1" s="1"/>
  <c r="D581" i="1"/>
  <c r="D1262" i="1" s="1"/>
  <c r="E581" i="1"/>
  <c r="E1262" i="1" s="1"/>
  <c r="D588" i="1"/>
  <c r="D1263" i="1" s="1"/>
  <c r="E588" i="1"/>
  <c r="E1263" i="1" s="1"/>
  <c r="D603" i="1"/>
  <c r="D1264" i="1" s="1"/>
  <c r="E603" i="1"/>
  <c r="E1264" i="1" s="1"/>
  <c r="D618" i="1"/>
  <c r="E618" i="1"/>
  <c r="E1265" i="1" s="1"/>
  <c r="D1266" i="1"/>
  <c r="E1266" i="1"/>
  <c r="D634" i="1"/>
  <c r="D1267" i="1" s="1"/>
  <c r="E634" i="1"/>
  <c r="E1267" i="1" s="1"/>
  <c r="E638" i="1"/>
  <c r="E1268" i="1" s="1"/>
  <c r="D665" i="1"/>
  <c r="D1269" i="1" s="1"/>
  <c r="E665" i="1"/>
  <c r="E1269" i="1" s="1"/>
  <c r="D680" i="1"/>
  <c r="D1270" i="1" s="1"/>
  <c r="E680" i="1"/>
  <c r="E1270" i="1" s="1"/>
  <c r="D690" i="1"/>
  <c r="D1271" i="1" s="1"/>
  <c r="E690" i="1"/>
  <c r="E1271" i="1" s="1"/>
  <c r="D733" i="1"/>
  <c r="D1272" i="1" s="1"/>
  <c r="E733" i="1"/>
  <c r="E1272" i="1" s="1"/>
  <c r="D740" i="1"/>
  <c r="D1273" i="1" s="1"/>
  <c r="E740" i="1"/>
  <c r="E1273" i="1" s="1"/>
  <c r="D786" i="1"/>
  <c r="D1274" i="1" s="1"/>
  <c r="E786" i="1"/>
  <c r="E1274" i="1" s="1"/>
  <c r="D858" i="1"/>
  <c r="D1276" i="1" s="1"/>
  <c r="E858" i="1"/>
  <c r="E1276" i="1" s="1"/>
  <c r="D1277" i="1"/>
  <c r="E879" i="1"/>
  <c r="E1277" i="1" s="1"/>
  <c r="D1278" i="1"/>
  <c r="E1278" i="1"/>
  <c r="D1279" i="1"/>
  <c r="E1279" i="1"/>
  <c r="D1074" i="1"/>
  <c r="D1310" i="1" s="1"/>
  <c r="E1074" i="1"/>
  <c r="E1310" i="1" s="1"/>
  <c r="D982" i="1"/>
  <c r="D1287" i="1" s="1"/>
  <c r="E982" i="1"/>
  <c r="E1287" i="1" s="1"/>
  <c r="D994" i="1"/>
  <c r="D1290" i="1" s="1"/>
  <c r="E994" i="1"/>
  <c r="E1290" i="1" s="1"/>
  <c r="D1010" i="1"/>
  <c r="D1294" i="1" s="1"/>
  <c r="E1010" i="1"/>
  <c r="E1294" i="1" s="1"/>
  <c r="D1026" i="1"/>
  <c r="D1298" i="1" s="1"/>
  <c r="E1026" i="1"/>
  <c r="E1298" i="1" s="1"/>
  <c r="D1014" i="1"/>
  <c r="D1295" i="1" s="1"/>
  <c r="E1014" i="1"/>
  <c r="E1295" i="1" s="1"/>
  <c r="D1046" i="1"/>
  <c r="D1303" i="1" s="1"/>
  <c r="E1046" i="1"/>
  <c r="E1303" i="1" s="1"/>
  <c r="D1050" i="1"/>
  <c r="D1304" i="1" s="1"/>
  <c r="E1050" i="1"/>
  <c r="E1304" i="1" s="1"/>
  <c r="D1054" i="1"/>
  <c r="E1054" i="1"/>
  <c r="E1305" i="1" s="1"/>
  <c r="D1058" i="1"/>
  <c r="D1306" i="1" s="1"/>
  <c r="E1058" i="1"/>
  <c r="E1306" i="1" s="1"/>
  <c r="D1308" i="1"/>
  <c r="E1308" i="1"/>
  <c r="D1098" i="1"/>
  <c r="D1316" i="1" s="1"/>
  <c r="E1098" i="1"/>
  <c r="D956" i="1"/>
  <c r="D1281" i="1" s="1"/>
  <c r="E956" i="1"/>
  <c r="E1281" i="1" s="1"/>
  <c r="D966" i="1"/>
  <c r="E966" i="1"/>
  <c r="E1283" i="1" s="1"/>
  <c r="D970" i="1"/>
  <c r="D1284" i="1" s="1"/>
  <c r="E970" i="1"/>
  <c r="E1284" i="1" s="1"/>
  <c r="D974" i="1"/>
  <c r="E974" i="1"/>
  <c r="D978" i="1"/>
  <c r="D1286" i="1" s="1"/>
  <c r="E978" i="1"/>
  <c r="D1150" i="1"/>
  <c r="D1329" i="1" s="1"/>
  <c r="E1150" i="1"/>
  <c r="E1329" i="1" s="1"/>
  <c r="D1162" i="1"/>
  <c r="D1336" i="1" s="1"/>
  <c r="E1162" i="1"/>
  <c r="E1336" i="1" s="1"/>
  <c r="E84" i="1"/>
  <c r="E1240" i="1" s="1"/>
  <c r="E396" i="1"/>
  <c r="E1251" i="1" s="1"/>
  <c r="E1259" i="1"/>
  <c r="D84" i="1"/>
  <c r="D1240" i="1" s="1"/>
  <c r="D1259" i="1"/>
  <c r="B1240" i="1"/>
  <c r="B1242" i="1"/>
  <c r="B1243" i="1"/>
  <c r="B157" i="1"/>
  <c r="B1244" i="1" s="1"/>
  <c r="B162" i="1"/>
  <c r="B1245" i="1" s="1"/>
  <c r="B253" i="1"/>
  <c r="B1246" i="1" s="1"/>
  <c r="B270" i="1"/>
  <c r="B1247" i="1" s="1"/>
  <c r="B283" i="1"/>
  <c r="B1248" i="1" s="1"/>
  <c r="B1249" i="1"/>
  <c r="B301" i="1"/>
  <c r="B1250" i="1" s="1"/>
  <c r="B1251" i="1"/>
  <c r="B414" i="1"/>
  <c r="B1252" i="1" s="1"/>
  <c r="B1253" i="1"/>
  <c r="B477" i="1"/>
  <c r="B1254" i="1" s="1"/>
  <c r="B1255" i="1"/>
  <c r="B498" i="1"/>
  <c r="B1256" i="1" s="1"/>
  <c r="B1257" i="1"/>
  <c r="B549" i="1"/>
  <c r="B1258" i="1" s="1"/>
  <c r="B1259" i="1"/>
  <c r="B565" i="1"/>
  <c r="B1260" i="1" s="1"/>
  <c r="B575" i="1"/>
  <c r="B1261" i="1" s="1"/>
  <c r="B581" i="1"/>
  <c r="B1262" i="1" s="1"/>
  <c r="B588" i="1"/>
  <c r="B1263" i="1" s="1"/>
  <c r="B603" i="1"/>
  <c r="B1264" i="1" s="1"/>
  <c r="B1265" i="1"/>
  <c r="B1266" i="1"/>
  <c r="B634" i="1"/>
  <c r="B1267" i="1" s="1"/>
  <c r="B638" i="1"/>
  <c r="B1268" i="1" s="1"/>
  <c r="B1269" i="1"/>
  <c r="B680" i="1"/>
  <c r="B1270" i="1" s="1"/>
  <c r="B690" i="1"/>
  <c r="B1271" i="1" s="1"/>
  <c r="B1272" i="1"/>
  <c r="B740" i="1"/>
  <c r="B1273" i="1" s="1"/>
  <c r="B786" i="1"/>
  <c r="B1274" i="1" s="1"/>
  <c r="B1275" i="1"/>
  <c r="B858" i="1"/>
  <c r="B1276" i="1" s="1"/>
  <c r="B1277" i="1"/>
  <c r="B1278" i="1"/>
  <c r="B1279" i="1"/>
  <c r="B1074" i="1"/>
  <c r="B1310" i="1" s="1"/>
  <c r="B982" i="1"/>
  <c r="B1287" i="1" s="1"/>
  <c r="B1010" i="1"/>
  <c r="B1294" i="1" s="1"/>
  <c r="B1026" i="1"/>
  <c r="B1298" i="1" s="1"/>
  <c r="B1014" i="1"/>
  <c r="B1295" i="1" s="1"/>
  <c r="B1046" i="1"/>
  <c r="B1303" i="1" s="1"/>
  <c r="B1050" i="1"/>
  <c r="B1304" i="1" s="1"/>
  <c r="B1054" i="1"/>
  <c r="B1305" i="1" s="1"/>
  <c r="B1058" i="1"/>
  <c r="B1306" i="1" s="1"/>
  <c r="B1308" i="1"/>
  <c r="B1098" i="1"/>
  <c r="B1316" i="1" s="1"/>
  <c r="B956" i="1"/>
  <c r="B1281" i="1" s="1"/>
  <c r="B966" i="1"/>
  <c r="B1283" i="1" s="1"/>
  <c r="B970" i="1"/>
  <c r="B1284" i="1" s="1"/>
  <c r="B974" i="1"/>
  <c r="B1285" i="1" s="1"/>
  <c r="B978" i="1"/>
  <c r="B1286" i="1" s="1"/>
  <c r="B1150" i="1"/>
  <c r="B1329" i="1" s="1"/>
  <c r="G1057" i="1"/>
  <c r="H1057" i="1" s="1"/>
  <c r="G1013" i="1"/>
  <c r="H1013" i="1" s="1"/>
  <c r="G714" i="1"/>
  <c r="H714" i="1" s="1"/>
  <c r="G721" i="1"/>
  <c r="H721" i="1"/>
  <c r="G718" i="1"/>
  <c r="H718" i="1" s="1"/>
  <c r="G537" i="1"/>
  <c r="H537" i="1"/>
  <c r="G525" i="1"/>
  <c r="H525" i="1" s="1"/>
  <c r="G423" i="1"/>
  <c r="H423" i="1" s="1"/>
  <c r="G637" i="1"/>
  <c r="H637" i="1" s="1"/>
  <c r="G1049" i="1"/>
  <c r="H1049" i="1" s="1"/>
  <c r="H487" i="1"/>
  <c r="G160" i="1"/>
  <c r="H160" i="1" s="1"/>
  <c r="G91" i="1"/>
  <c r="H91" i="1" s="1"/>
  <c r="H405" i="1"/>
  <c r="G247" i="1"/>
  <c r="H247" i="1" s="1"/>
  <c r="G211" i="1"/>
  <c r="H211" i="1"/>
  <c r="G185" i="1"/>
  <c r="H185" i="1" s="1"/>
  <c r="G857" i="1"/>
  <c r="H857" i="1" s="1"/>
  <c r="G856" i="1"/>
  <c r="H856" i="1" s="1"/>
  <c r="G855" i="1"/>
  <c r="H855" i="1" s="1"/>
  <c r="G854" i="1"/>
  <c r="H854" i="1" s="1"/>
  <c r="G853" i="1"/>
  <c r="H853" i="1" s="1"/>
  <c r="G845" i="1"/>
  <c r="H845" i="1" s="1"/>
  <c r="G851" i="1"/>
  <c r="H851" i="1" s="1"/>
  <c r="G850" i="1"/>
  <c r="H850" i="1" s="1"/>
  <c r="G847" i="1"/>
  <c r="H847" i="1"/>
  <c r="G843" i="1"/>
  <c r="H843" i="1" s="1"/>
  <c r="G842" i="1"/>
  <c r="H842" i="1"/>
  <c r="G840" i="1"/>
  <c r="H840" i="1" s="1"/>
  <c r="G981" i="1"/>
  <c r="H981" i="1" s="1"/>
  <c r="G1053" i="1"/>
  <c r="H1053" i="1" s="1"/>
  <c r="G1161" i="1"/>
  <c r="H1161" i="1" s="1"/>
  <c r="G993" i="1"/>
  <c r="H993" i="1" s="1"/>
  <c r="G1149" i="1"/>
  <c r="H1149" i="1" s="1"/>
  <c r="G977" i="1"/>
  <c r="G973" i="1"/>
  <c r="H973" i="1" s="1"/>
  <c r="G969" i="1"/>
  <c r="H969" i="1" s="1"/>
  <c r="G965" i="1"/>
  <c r="H965" i="1" s="1"/>
  <c r="H955" i="1"/>
  <c r="G1097" i="1"/>
  <c r="H1097" i="1" s="1"/>
  <c r="G1045" i="1"/>
  <c r="H1045" i="1" s="1"/>
  <c r="G1025" i="1"/>
  <c r="H1025" i="1" s="1"/>
  <c r="G1009" i="1"/>
  <c r="H1009" i="1" s="1"/>
  <c r="G1073" i="1"/>
  <c r="H1073" i="1" s="1"/>
  <c r="G903" i="1"/>
  <c r="H903" i="1" s="1"/>
  <c r="G902" i="1"/>
  <c r="H902" i="1" s="1"/>
  <c r="G901" i="1"/>
  <c r="H901" i="1" s="1"/>
  <c r="G900" i="1"/>
  <c r="H900" i="1" s="1"/>
  <c r="G899" i="1"/>
  <c r="H899" i="1" s="1"/>
  <c r="G898" i="1"/>
  <c r="H898" i="1" s="1"/>
  <c r="G897" i="1"/>
  <c r="H897" i="1" s="1"/>
  <c r="G896" i="1"/>
  <c r="H896" i="1" s="1"/>
  <c r="G895" i="1"/>
  <c r="H895" i="1" s="1"/>
  <c r="G890" i="1"/>
  <c r="H890" i="1" s="1"/>
  <c r="G889" i="1"/>
  <c r="H889" i="1" s="1"/>
  <c r="G888" i="1"/>
  <c r="H888" i="1" s="1"/>
  <c r="G887" i="1"/>
  <c r="H887" i="1" s="1"/>
  <c r="G886" i="1"/>
  <c r="H886" i="1" s="1"/>
  <c r="G885" i="1"/>
  <c r="H885" i="1" s="1"/>
  <c r="G884" i="1"/>
  <c r="H884" i="1" s="1"/>
  <c r="G883" i="1"/>
  <c r="H883" i="1" s="1"/>
  <c r="G882" i="1"/>
  <c r="H882" i="1" s="1"/>
  <c r="H877" i="1"/>
  <c r="H876" i="1"/>
  <c r="H875" i="1"/>
  <c r="G874" i="1"/>
  <c r="H874" i="1" s="1"/>
  <c r="G873" i="1"/>
  <c r="H873" i="1" s="1"/>
  <c r="G872" i="1"/>
  <c r="H872" i="1" s="1"/>
  <c r="G871" i="1"/>
  <c r="H871" i="1" s="1"/>
  <c r="G870" i="1"/>
  <c r="H870" i="1" s="1"/>
  <c r="G869" i="1"/>
  <c r="H869" i="1" s="1"/>
  <c r="G868" i="1"/>
  <c r="H868" i="1" s="1"/>
  <c r="G867" i="1"/>
  <c r="H867" i="1" s="1"/>
  <c r="G865" i="1"/>
  <c r="H865" i="1" s="1"/>
  <c r="G864" i="1"/>
  <c r="H864" i="1" s="1"/>
  <c r="G863" i="1"/>
  <c r="H863" i="1" s="1"/>
  <c r="G862" i="1"/>
  <c r="H862" i="1" s="1"/>
  <c r="G861" i="1"/>
  <c r="H861" i="1" s="1"/>
  <c r="G844" i="1"/>
  <c r="H844" i="1" s="1"/>
  <c r="G846" i="1"/>
  <c r="H846" i="1" s="1"/>
  <c r="G839" i="1"/>
  <c r="H839" i="1" s="1"/>
  <c r="G838" i="1"/>
  <c r="H838" i="1" s="1"/>
  <c r="G834" i="1"/>
  <c r="H834" i="1" s="1"/>
  <c r="G829" i="1"/>
  <c r="H829" i="1" s="1"/>
  <c r="G826" i="1"/>
  <c r="H826" i="1" s="1"/>
  <c r="G824" i="1"/>
  <c r="H824" i="1" s="1"/>
  <c r="G823" i="1"/>
  <c r="H823" i="1" s="1"/>
  <c r="G822" i="1"/>
  <c r="H822" i="1" s="1"/>
  <c r="G821" i="1"/>
  <c r="H821" i="1" s="1"/>
  <c r="G820" i="1"/>
  <c r="H820" i="1" s="1"/>
  <c r="G819" i="1"/>
  <c r="H819" i="1" s="1"/>
  <c r="G818" i="1"/>
  <c r="H818" i="1" s="1"/>
  <c r="G817" i="1"/>
  <c r="H817" i="1" s="1"/>
  <c r="G816" i="1"/>
  <c r="H816" i="1" s="1"/>
  <c r="G815" i="1"/>
  <c r="H815" i="1" s="1"/>
  <c r="G814" i="1"/>
  <c r="H814" i="1" s="1"/>
  <c r="G813" i="1"/>
  <c r="H813" i="1" s="1"/>
  <c r="G812" i="1"/>
  <c r="H812" i="1" s="1"/>
  <c r="G811" i="1"/>
  <c r="H811" i="1" s="1"/>
  <c r="G810" i="1"/>
  <c r="H810" i="1" s="1"/>
  <c r="G809" i="1"/>
  <c r="H809" i="1" s="1"/>
  <c r="G808" i="1"/>
  <c r="H808" i="1" s="1"/>
  <c r="G807" i="1"/>
  <c r="H807" i="1" s="1"/>
  <c r="G806" i="1"/>
  <c r="H806" i="1" s="1"/>
  <c r="G805" i="1"/>
  <c r="H805" i="1" s="1"/>
  <c r="G804" i="1"/>
  <c r="H804" i="1" s="1"/>
  <c r="G803" i="1"/>
  <c r="H803" i="1" s="1"/>
  <c r="G802" i="1"/>
  <c r="H802" i="1" s="1"/>
  <c r="G801" i="1"/>
  <c r="H801" i="1" s="1"/>
  <c r="G800" i="1"/>
  <c r="H800" i="1" s="1"/>
  <c r="G799" i="1"/>
  <c r="H799" i="1" s="1"/>
  <c r="G798" i="1"/>
  <c r="H798" i="1" s="1"/>
  <c r="G797" i="1"/>
  <c r="H797" i="1" s="1"/>
  <c r="G796" i="1"/>
  <c r="H796" i="1" s="1"/>
  <c r="G795" i="1"/>
  <c r="H795" i="1" s="1"/>
  <c r="G794" i="1"/>
  <c r="H794" i="1" s="1"/>
  <c r="G793" i="1"/>
  <c r="H793" i="1" s="1"/>
  <c r="G792" i="1"/>
  <c r="H792" i="1" s="1"/>
  <c r="G791" i="1"/>
  <c r="H791" i="1" s="1"/>
  <c r="G790" i="1"/>
  <c r="H790" i="1" s="1"/>
  <c r="G785" i="1"/>
  <c r="H785" i="1" s="1"/>
  <c r="G784" i="1"/>
  <c r="H784" i="1" s="1"/>
  <c r="G783" i="1"/>
  <c r="H783" i="1" s="1"/>
  <c r="G782" i="1"/>
  <c r="H782" i="1" s="1"/>
  <c r="G781" i="1"/>
  <c r="H781" i="1" s="1"/>
  <c r="G780" i="1"/>
  <c r="H780" i="1" s="1"/>
  <c r="G779" i="1"/>
  <c r="H779" i="1" s="1"/>
  <c r="G778" i="1"/>
  <c r="H778" i="1" s="1"/>
  <c r="G777" i="1"/>
  <c r="H777" i="1" s="1"/>
  <c r="G776" i="1"/>
  <c r="H776" i="1" s="1"/>
  <c r="G775" i="1"/>
  <c r="H775" i="1" s="1"/>
  <c r="G774" i="1"/>
  <c r="H774" i="1" s="1"/>
  <c r="G773" i="1"/>
  <c r="H773" i="1" s="1"/>
  <c r="G772" i="1"/>
  <c r="H772" i="1" s="1"/>
  <c r="G771" i="1"/>
  <c r="H771" i="1" s="1"/>
  <c r="G770" i="1"/>
  <c r="H770" i="1" s="1"/>
  <c r="G769" i="1"/>
  <c r="H769" i="1" s="1"/>
  <c r="G768" i="1"/>
  <c r="H768" i="1" s="1"/>
  <c r="G767" i="1"/>
  <c r="H767" i="1" s="1"/>
  <c r="G766" i="1"/>
  <c r="H766" i="1" s="1"/>
  <c r="G765" i="1"/>
  <c r="H765" i="1" s="1"/>
  <c r="G764" i="1"/>
  <c r="H764" i="1" s="1"/>
  <c r="G763" i="1"/>
  <c r="H763" i="1" s="1"/>
  <c r="G762" i="1"/>
  <c r="H762" i="1" s="1"/>
  <c r="G761" i="1"/>
  <c r="H761" i="1" s="1"/>
  <c r="G760" i="1"/>
  <c r="H760" i="1" s="1"/>
  <c r="G759" i="1"/>
  <c r="H759" i="1" s="1"/>
  <c r="G758" i="1"/>
  <c r="H758" i="1" s="1"/>
  <c r="G757" i="1"/>
  <c r="H757" i="1" s="1"/>
  <c r="G756" i="1"/>
  <c r="H756" i="1" s="1"/>
  <c r="G755" i="1"/>
  <c r="H755" i="1" s="1"/>
  <c r="G754" i="1"/>
  <c r="H754" i="1" s="1"/>
  <c r="G753" i="1"/>
  <c r="H753" i="1" s="1"/>
  <c r="G752" i="1"/>
  <c r="H752" i="1" s="1"/>
  <c r="G751" i="1"/>
  <c r="H751" i="1" s="1"/>
  <c r="G750" i="1"/>
  <c r="H750" i="1" s="1"/>
  <c r="G749" i="1"/>
  <c r="H749" i="1" s="1"/>
  <c r="G748" i="1"/>
  <c r="H748" i="1" s="1"/>
  <c r="G747" i="1"/>
  <c r="H747" i="1" s="1"/>
  <c r="G746" i="1"/>
  <c r="H746" i="1" s="1"/>
  <c r="G745" i="1"/>
  <c r="H745" i="1" s="1"/>
  <c r="G744" i="1"/>
  <c r="H744" i="1" s="1"/>
  <c r="G743" i="1"/>
  <c r="H743" i="1" s="1"/>
  <c r="G739" i="1"/>
  <c r="H739" i="1" s="1"/>
  <c r="G738" i="1"/>
  <c r="H738" i="1" s="1"/>
  <c r="G737" i="1"/>
  <c r="H737" i="1" s="1"/>
  <c r="G736" i="1"/>
  <c r="H736" i="1" s="1"/>
  <c r="G732" i="1"/>
  <c r="H732" i="1" s="1"/>
  <c r="G729" i="1"/>
  <c r="H729" i="1" s="1"/>
  <c r="G728" i="1"/>
  <c r="H728" i="1" s="1"/>
  <c r="G727" i="1"/>
  <c r="H727" i="1" s="1"/>
  <c r="G725" i="1"/>
  <c r="H725" i="1" s="1"/>
  <c r="G724" i="1"/>
  <c r="H724" i="1" s="1"/>
  <c r="G723" i="1"/>
  <c r="H723" i="1" s="1"/>
  <c r="G722" i="1"/>
  <c r="H722" i="1" s="1"/>
  <c r="G720" i="1"/>
  <c r="H720" i="1" s="1"/>
  <c r="G719" i="1"/>
  <c r="H719" i="1" s="1"/>
  <c r="G717" i="1"/>
  <c r="H717" i="1" s="1"/>
  <c r="G715" i="1"/>
  <c r="H715" i="1" s="1"/>
  <c r="G713" i="1"/>
  <c r="H713" i="1" s="1"/>
  <c r="G712" i="1"/>
  <c r="H712" i="1" s="1"/>
  <c r="G711" i="1"/>
  <c r="H711" i="1" s="1"/>
  <c r="G710" i="1"/>
  <c r="H710" i="1" s="1"/>
  <c r="G708" i="1"/>
  <c r="H708" i="1" s="1"/>
  <c r="G707" i="1"/>
  <c r="H707" i="1" s="1"/>
  <c r="G706" i="1"/>
  <c r="H706" i="1" s="1"/>
  <c r="G705" i="1"/>
  <c r="H705" i="1" s="1"/>
  <c r="G704" i="1"/>
  <c r="H704" i="1" s="1"/>
  <c r="G703" i="1"/>
  <c r="H703" i="1" s="1"/>
  <c r="G702" i="1"/>
  <c r="H702" i="1" s="1"/>
  <c r="G701" i="1"/>
  <c r="H701" i="1" s="1"/>
  <c r="G700" i="1"/>
  <c r="H700" i="1" s="1"/>
  <c r="G699" i="1"/>
  <c r="H699" i="1" s="1"/>
  <c r="G698" i="1"/>
  <c r="H698" i="1" s="1"/>
  <c r="G697" i="1"/>
  <c r="H697" i="1" s="1"/>
  <c r="G696" i="1"/>
  <c r="H696" i="1" s="1"/>
  <c r="G695" i="1"/>
  <c r="H695" i="1" s="1"/>
  <c r="G694" i="1"/>
  <c r="H694" i="1" s="1"/>
  <c r="G693" i="1"/>
  <c r="H693" i="1" s="1"/>
  <c r="G689" i="1"/>
  <c r="H689" i="1" s="1"/>
  <c r="G688" i="1"/>
  <c r="H688" i="1" s="1"/>
  <c r="G687" i="1"/>
  <c r="H687" i="1" s="1"/>
  <c r="G686" i="1"/>
  <c r="H686" i="1" s="1"/>
  <c r="G685" i="1"/>
  <c r="H685" i="1" s="1"/>
  <c r="G684" i="1"/>
  <c r="H684" i="1" s="1"/>
  <c r="G683" i="1"/>
  <c r="H683" i="1" s="1"/>
  <c r="G678" i="1"/>
  <c r="H678" i="1" s="1"/>
  <c r="G677" i="1"/>
  <c r="H677" i="1" s="1"/>
  <c r="G676" i="1"/>
  <c r="H676" i="1" s="1"/>
  <c r="G674" i="1"/>
  <c r="H674" i="1" s="1"/>
  <c r="G673" i="1"/>
  <c r="H673" i="1" s="1"/>
  <c r="G672" i="1"/>
  <c r="H672" i="1" s="1"/>
  <c r="G670" i="1"/>
  <c r="H670" i="1" s="1"/>
  <c r="G669" i="1"/>
  <c r="H669" i="1" s="1"/>
  <c r="G668" i="1"/>
  <c r="G664" i="1"/>
  <c r="H664" i="1" s="1"/>
  <c r="G663" i="1"/>
  <c r="H663" i="1" s="1"/>
  <c r="G661" i="1"/>
  <c r="H661" i="1" s="1"/>
  <c r="G660" i="1"/>
  <c r="H660" i="1" s="1"/>
  <c r="G659" i="1"/>
  <c r="H659" i="1" s="1"/>
  <c r="G658" i="1"/>
  <c r="H658" i="1" s="1"/>
  <c r="G657" i="1"/>
  <c r="H657" i="1" s="1"/>
  <c r="G656" i="1"/>
  <c r="H656" i="1" s="1"/>
  <c r="G655" i="1"/>
  <c r="H655" i="1" s="1"/>
  <c r="G654" i="1"/>
  <c r="H654" i="1" s="1"/>
  <c r="G652" i="1"/>
  <c r="H652" i="1" s="1"/>
  <c r="G651" i="1"/>
  <c r="H651" i="1" s="1"/>
  <c r="G650" i="1"/>
  <c r="H650" i="1" s="1"/>
  <c r="G649" i="1"/>
  <c r="H649" i="1" s="1"/>
  <c r="G648" i="1"/>
  <c r="H648" i="1" s="1"/>
  <c r="G647" i="1"/>
  <c r="H647" i="1" s="1"/>
  <c r="G646" i="1"/>
  <c r="H646" i="1" s="1"/>
  <c r="G645" i="1"/>
  <c r="H645" i="1" s="1"/>
  <c r="G643" i="1"/>
  <c r="H643" i="1" s="1"/>
  <c r="G642" i="1"/>
  <c r="H642" i="1" s="1"/>
  <c r="G641" i="1"/>
  <c r="H641" i="1" s="1"/>
  <c r="G633" i="1"/>
  <c r="H633" i="1" s="1"/>
  <c r="G632" i="1"/>
  <c r="H632" i="1" s="1"/>
  <c r="G631" i="1"/>
  <c r="H631" i="1" s="1"/>
  <c r="G627" i="1"/>
  <c r="H627" i="1" s="1"/>
  <c r="G626" i="1"/>
  <c r="H626" i="1" s="1"/>
  <c r="G625" i="1"/>
  <c r="H625" i="1" s="1"/>
  <c r="G624" i="1"/>
  <c r="H624" i="1" s="1"/>
  <c r="G623" i="1"/>
  <c r="H623" i="1" s="1"/>
  <c r="G622" i="1"/>
  <c r="H622" i="1" s="1"/>
  <c r="G621" i="1"/>
  <c r="H621" i="1" s="1"/>
  <c r="G617" i="1"/>
  <c r="H617" i="1" s="1"/>
  <c r="G615" i="1"/>
  <c r="H615" i="1" s="1"/>
  <c r="G614" i="1"/>
  <c r="H614" i="1" s="1"/>
  <c r="G613" i="1"/>
  <c r="H613" i="1" s="1"/>
  <c r="G612" i="1"/>
  <c r="H612" i="1" s="1"/>
  <c r="G611" i="1"/>
  <c r="H611" i="1" s="1"/>
  <c r="G610" i="1"/>
  <c r="H610" i="1" s="1"/>
  <c r="G609" i="1"/>
  <c r="H609" i="1" s="1"/>
  <c r="G608" i="1"/>
  <c r="H608" i="1" s="1"/>
  <c r="G607" i="1"/>
  <c r="H607" i="1" s="1"/>
  <c r="G606" i="1"/>
  <c r="H606" i="1" s="1"/>
  <c r="G602" i="1"/>
  <c r="H602" i="1" s="1"/>
  <c r="G601" i="1"/>
  <c r="H601" i="1" s="1"/>
  <c r="G600" i="1"/>
  <c r="H600" i="1" s="1"/>
  <c r="G599" i="1"/>
  <c r="H599" i="1" s="1"/>
  <c r="G598" i="1"/>
  <c r="H598" i="1" s="1"/>
  <c r="G597" i="1"/>
  <c r="H597" i="1" s="1"/>
  <c r="G595" i="1"/>
  <c r="H595" i="1" s="1"/>
  <c r="G594" i="1"/>
  <c r="H594" i="1" s="1"/>
  <c r="G593" i="1"/>
  <c r="H593" i="1" s="1"/>
  <c r="G592" i="1"/>
  <c r="H592" i="1" s="1"/>
  <c r="G591" i="1"/>
  <c r="H591" i="1" s="1"/>
  <c r="G587" i="1"/>
  <c r="H587" i="1" s="1"/>
  <c r="G586" i="1"/>
  <c r="H586" i="1" s="1"/>
  <c r="G585" i="1"/>
  <c r="H585" i="1" s="1"/>
  <c r="G584" i="1"/>
  <c r="H584" i="1" s="1"/>
  <c r="G580" i="1"/>
  <c r="H580" i="1" s="1"/>
  <c r="G579" i="1"/>
  <c r="H579" i="1" s="1"/>
  <c r="G578" i="1"/>
  <c r="H578" i="1" s="1"/>
  <c r="G574" i="1"/>
  <c r="H574" i="1" s="1"/>
  <c r="G572" i="1"/>
  <c r="H572" i="1" s="1"/>
  <c r="G571" i="1"/>
  <c r="H571" i="1" s="1"/>
  <c r="G570" i="1"/>
  <c r="H570" i="1" s="1"/>
  <c r="G569" i="1"/>
  <c r="H569" i="1" s="1"/>
  <c r="G568" i="1"/>
  <c r="H568" i="1" s="1"/>
  <c r="G564" i="1"/>
  <c r="H564" i="1" s="1"/>
  <c r="G563" i="1"/>
  <c r="H563" i="1" s="1"/>
  <c r="G562" i="1"/>
  <c r="H562" i="1" s="1"/>
  <c r="G548" i="1"/>
  <c r="H548" i="1" s="1"/>
  <c r="G547" i="1"/>
  <c r="H547" i="1" s="1"/>
  <c r="G546" i="1"/>
  <c r="H546" i="1" s="1"/>
  <c r="G544" i="1"/>
  <c r="H544" i="1" s="1"/>
  <c r="G541" i="1"/>
  <c r="H541" i="1" s="1"/>
  <c r="G540" i="1"/>
  <c r="H540" i="1" s="1"/>
  <c r="G538" i="1"/>
  <c r="H538" i="1" s="1"/>
  <c r="G536" i="1"/>
  <c r="H536" i="1" s="1"/>
  <c r="G535" i="1"/>
  <c r="H535" i="1" s="1"/>
  <c r="G534" i="1"/>
  <c r="H534" i="1" s="1"/>
  <c r="G533" i="1"/>
  <c r="H533" i="1" s="1"/>
  <c r="G532" i="1"/>
  <c r="H532" i="1" s="1"/>
  <c r="G531" i="1"/>
  <c r="H531" i="1" s="1"/>
  <c r="G530" i="1"/>
  <c r="H530" i="1" s="1"/>
  <c r="G528" i="1"/>
  <c r="H528" i="1" s="1"/>
  <c r="G527" i="1"/>
  <c r="H527" i="1" s="1"/>
  <c r="G526" i="1"/>
  <c r="H526" i="1" s="1"/>
  <c r="G524" i="1"/>
  <c r="H524" i="1" s="1"/>
  <c r="G522" i="1"/>
  <c r="H522" i="1" s="1"/>
  <c r="G521" i="1"/>
  <c r="H521" i="1" s="1"/>
  <c r="G520" i="1"/>
  <c r="H520" i="1" s="1"/>
  <c r="G519" i="1"/>
  <c r="H519" i="1" s="1"/>
  <c r="G518" i="1"/>
  <c r="H518" i="1" s="1"/>
  <c r="G517" i="1"/>
  <c r="H517" i="1" s="1"/>
  <c r="G516" i="1"/>
  <c r="H516" i="1" s="1"/>
  <c r="G515" i="1"/>
  <c r="G514" i="1"/>
  <c r="H514" i="1" s="1"/>
  <c r="G513" i="1"/>
  <c r="H513" i="1" s="1"/>
  <c r="G512" i="1"/>
  <c r="H512" i="1" s="1"/>
  <c r="G511" i="1"/>
  <c r="H511" i="1" s="1"/>
  <c r="G510" i="1"/>
  <c r="H510" i="1" s="1"/>
  <c r="G509" i="1"/>
  <c r="H509" i="1" s="1"/>
  <c r="G508" i="1"/>
  <c r="H508" i="1" s="1"/>
  <c r="G504" i="1"/>
  <c r="H504" i="1" s="1"/>
  <c r="G503" i="1"/>
  <c r="H503" i="1" s="1"/>
  <c r="G501" i="1"/>
  <c r="H501" i="1" s="1"/>
  <c r="H497" i="1"/>
  <c r="H496" i="1"/>
  <c r="H495" i="1"/>
  <c r="H494" i="1"/>
  <c r="H493" i="1"/>
  <c r="H486" i="1"/>
  <c r="H485" i="1"/>
  <c r="H484" i="1"/>
  <c r="H483" i="1"/>
  <c r="H481" i="1"/>
  <c r="H480" i="1"/>
  <c r="G476" i="1"/>
  <c r="H476" i="1" s="1"/>
  <c r="G475" i="1"/>
  <c r="H475" i="1" s="1"/>
  <c r="G474" i="1"/>
  <c r="H474" i="1" s="1"/>
  <c r="G473" i="1"/>
  <c r="H473" i="1" s="1"/>
  <c r="G472" i="1"/>
  <c r="H472" i="1" s="1"/>
  <c r="G468" i="1"/>
  <c r="H468" i="1" s="1"/>
  <c r="G466" i="1"/>
  <c r="H466" i="1" s="1"/>
  <c r="G464" i="1"/>
  <c r="H464" i="1" s="1"/>
  <c r="G462" i="1"/>
  <c r="H462" i="1" s="1"/>
  <c r="G460" i="1"/>
  <c r="H460" i="1" s="1"/>
  <c r="G459" i="1"/>
  <c r="H459" i="1" s="1"/>
  <c r="G458" i="1"/>
  <c r="H458" i="1" s="1"/>
  <c r="G457" i="1"/>
  <c r="H457" i="1" s="1"/>
  <c r="G456" i="1"/>
  <c r="H456" i="1" s="1"/>
  <c r="G455" i="1"/>
  <c r="H455" i="1" s="1"/>
  <c r="G454" i="1"/>
  <c r="H454" i="1" s="1"/>
  <c r="G453" i="1"/>
  <c r="H453" i="1" s="1"/>
  <c r="G452" i="1"/>
  <c r="H452" i="1" s="1"/>
  <c r="G451" i="1"/>
  <c r="H451" i="1" s="1"/>
  <c r="G450" i="1"/>
  <c r="H450" i="1" s="1"/>
  <c r="G449" i="1"/>
  <c r="H449" i="1" s="1"/>
  <c r="G448" i="1"/>
  <c r="H448" i="1" s="1"/>
  <c r="G447" i="1"/>
  <c r="H447" i="1" s="1"/>
  <c r="G445" i="1"/>
  <c r="H445" i="1" s="1"/>
  <c r="G444" i="1"/>
  <c r="H444" i="1" s="1"/>
  <c r="G443" i="1"/>
  <c r="H443" i="1" s="1"/>
  <c r="G442" i="1"/>
  <c r="H442" i="1" s="1"/>
  <c r="G441" i="1"/>
  <c r="H441" i="1" s="1"/>
  <c r="G440" i="1"/>
  <c r="H440" i="1" s="1"/>
  <c r="G438" i="1"/>
  <c r="H438" i="1" s="1"/>
  <c r="G437" i="1"/>
  <c r="H437" i="1" s="1"/>
  <c r="G436" i="1"/>
  <c r="H436" i="1" s="1"/>
  <c r="G434" i="1"/>
  <c r="H434" i="1" s="1"/>
  <c r="G433" i="1"/>
  <c r="H433" i="1" s="1"/>
  <c r="G432" i="1"/>
  <c r="H432" i="1" s="1"/>
  <c r="G431" i="1"/>
  <c r="H431" i="1" s="1"/>
  <c r="G430" i="1"/>
  <c r="H430" i="1" s="1"/>
  <c r="G429" i="1"/>
  <c r="H429" i="1" s="1"/>
  <c r="G428" i="1"/>
  <c r="H428" i="1" s="1"/>
  <c r="G427" i="1"/>
  <c r="H427" i="1" s="1"/>
  <c r="G425" i="1"/>
  <c r="H425" i="1" s="1"/>
  <c r="G420" i="1"/>
  <c r="H420" i="1" s="1"/>
  <c r="G419" i="1"/>
  <c r="H419" i="1" s="1"/>
  <c r="G418" i="1"/>
  <c r="H418" i="1" s="1"/>
  <c r="G417" i="1"/>
  <c r="H417" i="1" s="1"/>
  <c r="H413" i="1"/>
  <c r="G411" i="1"/>
  <c r="H411" i="1" s="1"/>
  <c r="H410" i="1"/>
  <c r="H409" i="1"/>
  <c r="H408" i="1"/>
  <c r="H406" i="1"/>
  <c r="H404" i="1"/>
  <c r="H403" i="1"/>
  <c r="H402" i="1"/>
  <c r="H401" i="1"/>
  <c r="H400" i="1"/>
  <c r="H399" i="1"/>
  <c r="G300" i="1"/>
  <c r="H300" i="1" s="1"/>
  <c r="G299" i="1"/>
  <c r="H299" i="1" s="1"/>
  <c r="G298" i="1"/>
  <c r="H298" i="1" s="1"/>
  <c r="G294" i="1"/>
  <c r="H294" i="1" s="1"/>
  <c r="G292" i="1"/>
  <c r="H292" i="1" s="1"/>
  <c r="G291" i="1"/>
  <c r="H291" i="1" s="1"/>
  <c r="G290" i="1"/>
  <c r="H290" i="1" s="1"/>
  <c r="G289" i="1"/>
  <c r="H289" i="1" s="1"/>
  <c r="G288" i="1"/>
  <c r="H288" i="1" s="1"/>
  <c r="G287" i="1"/>
  <c r="H287" i="1" s="1"/>
  <c r="G286" i="1"/>
  <c r="H286" i="1" s="1"/>
  <c r="G282" i="1"/>
  <c r="H282" i="1" s="1"/>
  <c r="G281" i="1"/>
  <c r="H281" i="1" s="1"/>
  <c r="G280" i="1"/>
  <c r="H280" i="1" s="1"/>
  <c r="G279" i="1"/>
  <c r="H279" i="1" s="1"/>
  <c r="G278" i="1"/>
  <c r="H278" i="1" s="1"/>
  <c r="G277" i="1"/>
  <c r="H277" i="1" s="1"/>
  <c r="G276" i="1"/>
  <c r="H276" i="1" s="1"/>
  <c r="G275" i="1"/>
  <c r="H275" i="1" s="1"/>
  <c r="G274" i="1"/>
  <c r="H274" i="1" s="1"/>
  <c r="G273" i="1"/>
  <c r="H273" i="1" s="1"/>
  <c r="G269" i="1"/>
  <c r="H269" i="1" s="1"/>
  <c r="G268" i="1"/>
  <c r="H268" i="1" s="1"/>
  <c r="G267" i="1"/>
  <c r="H267" i="1" s="1"/>
  <c r="G266" i="1"/>
  <c r="H266" i="1" s="1"/>
  <c r="G265" i="1"/>
  <c r="H265" i="1" s="1"/>
  <c r="G264" i="1"/>
  <c r="H264" i="1" s="1"/>
  <c r="G263" i="1"/>
  <c r="H263" i="1" s="1"/>
  <c r="G262" i="1"/>
  <c r="H262" i="1" s="1"/>
  <c r="G261" i="1"/>
  <c r="H261" i="1" s="1"/>
  <c r="G260" i="1"/>
  <c r="H260" i="1" s="1"/>
  <c r="G259" i="1"/>
  <c r="H259" i="1" s="1"/>
  <c r="G258" i="1"/>
  <c r="H258" i="1" s="1"/>
  <c r="G257" i="1"/>
  <c r="H257" i="1" s="1"/>
  <c r="G256" i="1"/>
  <c r="H256" i="1" s="1"/>
  <c r="G252" i="1"/>
  <c r="H252" i="1" s="1"/>
  <c r="G251" i="1"/>
  <c r="H251" i="1" s="1"/>
  <c r="G249" i="1"/>
  <c r="H249" i="1" s="1"/>
  <c r="G248" i="1"/>
  <c r="H248" i="1" s="1"/>
  <c r="G246" i="1"/>
  <c r="H246" i="1" s="1"/>
  <c r="G245" i="1"/>
  <c r="H245" i="1" s="1"/>
  <c r="G244" i="1"/>
  <c r="H244" i="1" s="1"/>
  <c r="G243" i="1"/>
  <c r="H243" i="1" s="1"/>
  <c r="G242" i="1"/>
  <c r="H242" i="1" s="1"/>
  <c r="G241" i="1"/>
  <c r="H241" i="1" s="1"/>
  <c r="G240" i="1"/>
  <c r="H240" i="1" s="1"/>
  <c r="G237" i="1"/>
  <c r="H237" i="1" s="1"/>
  <c r="G236" i="1"/>
  <c r="H236" i="1" s="1"/>
  <c r="G235" i="1"/>
  <c r="H235" i="1" s="1"/>
  <c r="G234" i="1"/>
  <c r="H234" i="1" s="1"/>
  <c r="G233" i="1"/>
  <c r="H233" i="1" s="1"/>
  <c r="G232" i="1"/>
  <c r="H232" i="1" s="1"/>
  <c r="G231" i="1"/>
  <c r="H231" i="1" s="1"/>
  <c r="G230" i="1"/>
  <c r="H230" i="1" s="1"/>
  <c r="G229" i="1"/>
  <c r="H229" i="1" s="1"/>
  <c r="G228" i="1"/>
  <c r="H228" i="1" s="1"/>
  <c r="G227" i="1"/>
  <c r="H227" i="1" s="1"/>
  <c r="G226" i="1"/>
  <c r="H226" i="1" s="1"/>
  <c r="G225" i="1"/>
  <c r="H225" i="1" s="1"/>
  <c r="G224" i="1"/>
  <c r="H224" i="1" s="1"/>
  <c r="G223" i="1"/>
  <c r="H223" i="1" s="1"/>
  <c r="G222" i="1"/>
  <c r="H222" i="1" s="1"/>
  <c r="G221" i="1"/>
  <c r="H221" i="1" s="1"/>
  <c r="G220" i="1"/>
  <c r="H220" i="1" s="1"/>
  <c r="G219" i="1"/>
  <c r="H219" i="1" s="1"/>
  <c r="G218" i="1"/>
  <c r="H218" i="1" s="1"/>
  <c r="G217" i="1"/>
  <c r="H217" i="1" s="1"/>
  <c r="G216" i="1"/>
  <c r="H216" i="1" s="1"/>
  <c r="G215" i="1"/>
  <c r="H215" i="1" s="1"/>
  <c r="G214" i="1"/>
  <c r="H214" i="1" s="1"/>
  <c r="G212" i="1"/>
  <c r="H212" i="1" s="1"/>
  <c r="G209" i="1"/>
  <c r="H209" i="1" s="1"/>
  <c r="G208" i="1"/>
  <c r="H208" i="1" s="1"/>
  <c r="G207" i="1"/>
  <c r="H207" i="1" s="1"/>
  <c r="G206" i="1"/>
  <c r="H206" i="1" s="1"/>
  <c r="G205" i="1"/>
  <c r="H205" i="1" s="1"/>
  <c r="G204" i="1"/>
  <c r="H204" i="1" s="1"/>
  <c r="G203" i="1"/>
  <c r="H203" i="1" s="1"/>
  <c r="G202" i="1"/>
  <c r="H202" i="1" s="1"/>
  <c r="G201" i="1"/>
  <c r="H201" i="1" s="1"/>
  <c r="G200" i="1"/>
  <c r="H200" i="1" s="1"/>
  <c r="G199" i="1"/>
  <c r="H199" i="1" s="1"/>
  <c r="G198" i="1"/>
  <c r="H198" i="1" s="1"/>
  <c r="G197" i="1"/>
  <c r="H197" i="1" s="1"/>
  <c r="G196" i="1"/>
  <c r="H196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G186" i="1"/>
  <c r="H186" i="1" s="1"/>
  <c r="G184" i="1"/>
  <c r="H184" i="1" s="1"/>
  <c r="G183" i="1"/>
  <c r="H183" i="1" s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69" i="1"/>
  <c r="H169" i="1" s="1"/>
  <c r="G168" i="1"/>
  <c r="H168" i="1" s="1"/>
  <c r="G166" i="1"/>
  <c r="H166" i="1" s="1"/>
  <c r="G165" i="1"/>
  <c r="H165" i="1" s="1"/>
  <c r="G161" i="1"/>
  <c r="H161" i="1" s="1"/>
  <c r="G156" i="1"/>
  <c r="H156" i="1" s="1"/>
  <c r="G155" i="1"/>
  <c r="H155" i="1" s="1"/>
  <c r="G153" i="1"/>
  <c r="H153" i="1" s="1"/>
  <c r="G152" i="1"/>
  <c r="H152" i="1" s="1"/>
  <c r="G151" i="1"/>
  <c r="H151" i="1" s="1"/>
  <c r="G150" i="1"/>
  <c r="H150" i="1" s="1"/>
  <c r="G149" i="1"/>
  <c r="H149" i="1" s="1"/>
  <c r="G143" i="1"/>
  <c r="H143" i="1" s="1"/>
  <c r="G142" i="1"/>
  <c r="H142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4" i="1"/>
  <c r="H124" i="1" s="1"/>
  <c r="G123" i="1"/>
  <c r="H123" i="1" s="1"/>
  <c r="G121" i="1"/>
  <c r="H121" i="1" s="1"/>
  <c r="G120" i="1"/>
  <c r="H120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0" i="1"/>
  <c r="H90" i="1" s="1"/>
  <c r="G88" i="1"/>
  <c r="H88" i="1" s="1"/>
  <c r="G87" i="1"/>
  <c r="H87" i="1" s="1"/>
  <c r="H83" i="1"/>
  <c r="H35" i="1"/>
  <c r="H307" i="1"/>
  <c r="H351" i="1"/>
  <c r="H367" i="1"/>
  <c r="H668" i="1"/>
  <c r="H977" i="1"/>
  <c r="F1316" i="1"/>
  <c r="F1306" i="1"/>
  <c r="F1273" i="1"/>
  <c r="F1286" i="1"/>
  <c r="F1284" i="1"/>
  <c r="F1281" i="1"/>
  <c r="F1308" i="1"/>
  <c r="F1305" i="1"/>
  <c r="F1303" i="1"/>
  <c r="F498" i="1"/>
  <c r="F1256" i="1" s="1"/>
  <c r="G144" i="1"/>
  <c r="H144" i="1" s="1"/>
  <c r="H79" i="1" l="1"/>
  <c r="G84" i="1"/>
  <c r="E1348" i="1"/>
  <c r="B1332" i="1"/>
  <c r="D1258" i="1"/>
  <c r="D1251" i="1"/>
  <c r="D1246" i="1"/>
  <c r="H354" i="1"/>
  <c r="G396" i="1"/>
  <c r="H396" i="1" s="1"/>
  <c r="G966" i="1"/>
  <c r="G1283" i="1" s="1"/>
  <c r="G1054" i="1"/>
  <c r="H1054" i="1" s="1"/>
  <c r="G994" i="1"/>
  <c r="H994" i="1" s="1"/>
  <c r="G978" i="1"/>
  <c r="G1286" i="1" s="1"/>
  <c r="G1014" i="1"/>
  <c r="H1014" i="1" s="1"/>
  <c r="G270" i="1"/>
  <c r="G1046" i="1"/>
  <c r="H1046" i="1" s="1"/>
  <c r="G956" i="1"/>
  <c r="H956" i="1" s="1"/>
  <c r="H552" i="1"/>
  <c r="G559" i="1"/>
  <c r="H559" i="1" s="1"/>
  <c r="G92" i="1"/>
  <c r="G1241" i="1" s="1"/>
  <c r="H1241" i="1" s="1"/>
  <c r="G162" i="1"/>
  <c r="G1245" i="1" s="1"/>
  <c r="H1245" i="1" s="1"/>
  <c r="G1074" i="1"/>
  <c r="H1074" i="1" s="1"/>
  <c r="G1026" i="1"/>
  <c r="H1026" i="1" s="1"/>
  <c r="G970" i="1"/>
  <c r="G1284" i="1" s="1"/>
  <c r="H1284" i="1" s="1"/>
  <c r="G1162" i="1"/>
  <c r="G1336" i="1" s="1"/>
  <c r="H1336" i="1" s="1"/>
  <c r="G1058" i="1"/>
  <c r="H1058" i="1" s="1"/>
  <c r="G1150" i="1"/>
  <c r="G1329" i="1" s="1"/>
  <c r="H1329" i="1" s="1"/>
  <c r="G1220" i="1"/>
  <c r="G1344" i="1" s="1"/>
  <c r="H1344" i="1" s="1"/>
  <c r="G1184" i="1"/>
  <c r="H482" i="1"/>
  <c r="E1285" i="1"/>
  <c r="G974" i="1"/>
  <c r="G1285" i="1" s="1"/>
  <c r="E1316" i="1"/>
  <c r="G1098" i="1"/>
  <c r="G1316" i="1" s="1"/>
  <c r="G1050" i="1"/>
  <c r="G498" i="1"/>
  <c r="G1256" i="1" s="1"/>
  <c r="H1256" i="1" s="1"/>
  <c r="G1243" i="1"/>
  <c r="H1243" i="1" s="1"/>
  <c r="H293" i="1"/>
  <c r="F1341" i="1"/>
  <c r="G1192" i="1"/>
  <c r="G1342" i="1" s="1"/>
  <c r="G982" i="1"/>
  <c r="G283" i="1"/>
  <c r="D1342" i="1"/>
  <c r="F1342" i="1"/>
  <c r="F1275" i="1"/>
  <c r="G1235" i="1"/>
  <c r="H1235" i="1" s="1"/>
  <c r="G1010" i="1"/>
  <c r="G740" i="1"/>
  <c r="G733" i="1"/>
  <c r="G505" i="1"/>
  <c r="G301" i="1"/>
  <c r="H301" i="1" s="1"/>
  <c r="F1310" i="1"/>
  <c r="F1270" i="1"/>
  <c r="G680" i="1"/>
  <c r="F879" i="1"/>
  <c r="F786" i="1"/>
  <c r="F665" i="1"/>
  <c r="F891" i="1"/>
  <c r="F858" i="1"/>
  <c r="F690" i="1"/>
  <c r="F634" i="1"/>
  <c r="F618" i="1"/>
  <c r="G618" i="1" s="1"/>
  <c r="F603" i="1"/>
  <c r="F575" i="1"/>
  <c r="G575" i="1" s="1"/>
  <c r="F488" i="1"/>
  <c r="G488" i="1" s="1"/>
  <c r="F469" i="1"/>
  <c r="G469" i="1" s="1"/>
  <c r="F295" i="1"/>
  <c r="G1339" i="1"/>
  <c r="F581" i="1"/>
  <c r="F565" i="1"/>
  <c r="F549" i="1"/>
  <c r="F477" i="1"/>
  <c r="F414" i="1"/>
  <c r="F253" i="1"/>
  <c r="F157" i="1"/>
  <c r="D1285" i="1"/>
  <c r="D1283" i="1"/>
  <c r="D638" i="1"/>
  <c r="D1261" i="1"/>
  <c r="H407" i="1"/>
  <c r="H515" i="1"/>
  <c r="G588" i="1"/>
  <c r="E1286" i="1"/>
  <c r="D1305" i="1"/>
  <c r="D1265" i="1"/>
  <c r="D1255" i="1"/>
  <c r="G115" i="1"/>
  <c r="F1346" i="1"/>
  <c r="G1198" i="1"/>
  <c r="D1343" i="1"/>
  <c r="G1188" i="1"/>
  <c r="D1341" i="1"/>
  <c r="G1228" i="1"/>
  <c r="G1169" i="1"/>
  <c r="F1174" i="1"/>
  <c r="G1303" i="1" l="1"/>
  <c r="H1303" i="1" s="1"/>
  <c r="H1220" i="1"/>
  <c r="G1305" i="1"/>
  <c r="H1305" i="1" s="1"/>
  <c r="G1298" i="1"/>
  <c r="H1298" i="1" s="1"/>
  <c r="H1184" i="1"/>
  <c r="G1340" i="1"/>
  <c r="G1306" i="1"/>
  <c r="H1306" i="1" s="1"/>
  <c r="H1179" i="1"/>
  <c r="G1295" i="1"/>
  <c r="H1295" i="1" s="1"/>
  <c r="H92" i="1"/>
  <c r="G1310" i="1"/>
  <c r="H1310" i="1" s="1"/>
  <c r="H970" i="1"/>
  <c r="H974" i="1"/>
  <c r="H966" i="1"/>
  <c r="H1098" i="1"/>
  <c r="H978" i="1"/>
  <c r="H162" i="1"/>
  <c r="G1290" i="1"/>
  <c r="H1290" i="1" s="1"/>
  <c r="G1308" i="1"/>
  <c r="H1308" i="1" s="1"/>
  <c r="G1281" i="1"/>
  <c r="H1281" i="1" s="1"/>
  <c r="H1162" i="1"/>
  <c r="H1342" i="1"/>
  <c r="H270" i="1"/>
  <c r="G1247" i="1"/>
  <c r="H1247" i="1" s="1"/>
  <c r="H1150" i="1"/>
  <c r="H498" i="1"/>
  <c r="H1316" i="1"/>
  <c r="H1050" i="1"/>
  <c r="G1304" i="1"/>
  <c r="H1304" i="1" s="1"/>
  <c r="G1347" i="1"/>
  <c r="H1347" i="1" s="1"/>
  <c r="H1192" i="1"/>
  <c r="H115" i="1"/>
  <c r="G1248" i="1"/>
  <c r="H1248" i="1" s="1"/>
  <c r="H283" i="1"/>
  <c r="G1287" i="1"/>
  <c r="H1287" i="1" s="1"/>
  <c r="H982" i="1"/>
  <c r="G1240" i="1"/>
  <c r="H1240" i="1" s="1"/>
  <c r="H84" i="1"/>
  <c r="G1294" i="1"/>
  <c r="H1010" i="1"/>
  <c r="G1275" i="1"/>
  <c r="H1275" i="1" s="1"/>
  <c r="H835" i="1"/>
  <c r="G1273" i="1"/>
  <c r="H1273" i="1" s="1"/>
  <c r="H740" i="1"/>
  <c r="G1272" i="1"/>
  <c r="H1272" i="1" s="1"/>
  <c r="H733" i="1"/>
  <c r="G1259" i="1"/>
  <c r="H1259" i="1" s="1"/>
  <c r="G1257" i="1"/>
  <c r="H1257" i="1" s="1"/>
  <c r="H505" i="1"/>
  <c r="G1250" i="1"/>
  <c r="H1250" i="1" s="1"/>
  <c r="F1246" i="1"/>
  <c r="G253" i="1"/>
  <c r="H253" i="1" s="1"/>
  <c r="F1254" i="1"/>
  <c r="G477" i="1"/>
  <c r="F1260" i="1"/>
  <c r="G565" i="1"/>
  <c r="F1253" i="1"/>
  <c r="F1259" i="1"/>
  <c r="F1264" i="1"/>
  <c r="G603" i="1"/>
  <c r="F1267" i="1"/>
  <c r="G634" i="1"/>
  <c r="F1276" i="1"/>
  <c r="G858" i="1"/>
  <c r="F1279" i="1"/>
  <c r="G906" i="1"/>
  <c r="F1266" i="1"/>
  <c r="F1274" i="1"/>
  <c r="G786" i="1"/>
  <c r="G1270" i="1"/>
  <c r="H1270" i="1" s="1"/>
  <c r="H680" i="1"/>
  <c r="F1244" i="1"/>
  <c r="G157" i="1"/>
  <c r="F1252" i="1"/>
  <c r="G414" i="1"/>
  <c r="F1258" i="1"/>
  <c r="G549" i="1"/>
  <c r="H549" i="1" s="1"/>
  <c r="F1262" i="1"/>
  <c r="G581" i="1"/>
  <c r="F1249" i="1"/>
  <c r="G295" i="1"/>
  <c r="F1255" i="1"/>
  <c r="F1261" i="1"/>
  <c r="F1265" i="1"/>
  <c r="F1271" i="1"/>
  <c r="G690" i="1"/>
  <c r="F1278" i="1"/>
  <c r="G891" i="1"/>
  <c r="F1269" i="1"/>
  <c r="G665" i="1"/>
  <c r="F1277" i="1"/>
  <c r="G879" i="1"/>
  <c r="F1338" i="1"/>
  <c r="F1348" i="1" s="1"/>
  <c r="G1174" i="1"/>
  <c r="H1169" i="1"/>
  <c r="G1251" i="1"/>
  <c r="G1255" i="1"/>
  <c r="H1255" i="1" s="1"/>
  <c r="H488" i="1"/>
  <c r="G1265" i="1"/>
  <c r="H1265" i="1" s="1"/>
  <c r="H618" i="1"/>
  <c r="G1261" i="1"/>
  <c r="H1261" i="1" s="1"/>
  <c r="H575" i="1"/>
  <c r="G638" i="1"/>
  <c r="H638" i="1" s="1"/>
  <c r="D1268" i="1"/>
  <c r="E1332" i="1"/>
  <c r="H1283" i="1"/>
  <c r="H1285" i="1"/>
  <c r="G1346" i="1"/>
  <c r="H1228" i="1"/>
  <c r="G1341" i="1"/>
  <c r="H1188" i="1"/>
  <c r="G1343" i="1"/>
  <c r="H1198" i="1"/>
  <c r="H1339" i="1"/>
  <c r="D1242" i="1"/>
  <c r="G116" i="1"/>
  <c r="H116" i="1" s="1"/>
  <c r="H1320" i="1"/>
  <c r="H1286" i="1"/>
  <c r="H1331" i="1"/>
  <c r="G1253" i="1"/>
  <c r="H469" i="1"/>
  <c r="G1263" i="1"/>
  <c r="H588" i="1"/>
  <c r="H1340" i="1" l="1"/>
  <c r="H1294" i="1"/>
  <c r="G1277" i="1"/>
  <c r="H1277" i="1" s="1"/>
  <c r="H879" i="1"/>
  <c r="G1269" i="1"/>
  <c r="H1269" i="1" s="1"/>
  <c r="H665" i="1"/>
  <c r="H891" i="1"/>
  <c r="G1278" i="1"/>
  <c r="H1278" i="1" s="1"/>
  <c r="G1271" i="1"/>
  <c r="H1271" i="1" s="1"/>
  <c r="H690" i="1"/>
  <c r="G1249" i="1"/>
  <c r="H1249" i="1" s="1"/>
  <c r="H295" i="1"/>
  <c r="G1262" i="1"/>
  <c r="H1262" i="1" s="1"/>
  <c r="H581" i="1"/>
  <c r="G1258" i="1"/>
  <c r="H1258" i="1" s="1"/>
  <c r="G1252" i="1"/>
  <c r="H1252" i="1" s="1"/>
  <c r="H414" i="1"/>
  <c r="F1332" i="1"/>
  <c r="G1254" i="1"/>
  <c r="H1254" i="1" s="1"/>
  <c r="H477" i="1"/>
  <c r="G1244" i="1"/>
  <c r="H1244" i="1" s="1"/>
  <c r="H157" i="1"/>
  <c r="G1274" i="1"/>
  <c r="H1274" i="1" s="1"/>
  <c r="H786" i="1"/>
  <c r="H628" i="1"/>
  <c r="G1266" i="1"/>
  <c r="H1266" i="1" s="1"/>
  <c r="G1279" i="1"/>
  <c r="H1279" i="1" s="1"/>
  <c r="H906" i="1"/>
  <c r="G1276" i="1"/>
  <c r="H1276" i="1" s="1"/>
  <c r="H858" i="1"/>
  <c r="G1267" i="1"/>
  <c r="H1267" i="1" s="1"/>
  <c r="H634" i="1"/>
  <c r="G1264" i="1"/>
  <c r="H1264" i="1" s="1"/>
  <c r="H603" i="1"/>
  <c r="G1260" i="1"/>
  <c r="H1260" i="1" s="1"/>
  <c r="H565" i="1"/>
  <c r="G1246" i="1"/>
  <c r="H1246" i="1" s="1"/>
  <c r="H1253" i="1"/>
  <c r="G1242" i="1"/>
  <c r="H1242" i="1" s="1"/>
  <c r="H1251" i="1"/>
  <c r="H1341" i="1"/>
  <c r="H1263" i="1"/>
  <c r="H1346" i="1"/>
  <c r="G1268" i="1"/>
  <c r="G1338" i="1"/>
  <c r="H1174" i="1"/>
  <c r="H1343" i="1"/>
  <c r="H1338" i="1" l="1"/>
  <c r="G1332" i="1"/>
  <c r="H1268" i="1"/>
  <c r="H1348" i="1" l="1"/>
  <c r="H1332" i="1"/>
</calcChain>
</file>

<file path=xl/sharedStrings.xml><?xml version="1.0" encoding="utf-8"?>
<sst xmlns="http://schemas.openxmlformats.org/spreadsheetml/2006/main" count="1467" uniqueCount="1055">
  <si>
    <t>SCH</t>
  </si>
  <si>
    <t>ENROLLMENT</t>
  </si>
  <si>
    <t>TOTAL</t>
  </si>
  <si>
    <t>F/R</t>
  </si>
  <si>
    <t>NO.</t>
  </si>
  <si>
    <t>CODE</t>
  </si>
  <si>
    <t>SCHOOL NAMES</t>
  </si>
  <si>
    <t>FREE-E</t>
  </si>
  <si>
    <t>RED-E</t>
  </si>
  <si>
    <t>PAID-E</t>
  </si>
  <si>
    <t>ENROLLED</t>
  </si>
  <si>
    <t>%</t>
  </si>
  <si>
    <t>ALPINE DISTRICT</t>
  </si>
  <si>
    <t>AMERICAN FORK JR</t>
  </si>
  <si>
    <t>CANYON VIEW JR.</t>
  </si>
  <si>
    <t>LAKERIDGE JR</t>
  </si>
  <si>
    <t>LEHI JR.</t>
  </si>
  <si>
    <t>OAK CANYON JR.</t>
  </si>
  <si>
    <t>PLEASANT GROVE JR</t>
  </si>
  <si>
    <t>TIMPANOGOS HIGH</t>
  </si>
  <si>
    <t>TOTALS</t>
  </si>
  <si>
    <t>BEAVER DISTRICT</t>
  </si>
  <si>
    <t>BEAVER HIGH</t>
  </si>
  <si>
    <t>BOX ELDER DISTRICT</t>
  </si>
  <si>
    <t>ALICE C HARRIS INT.</t>
  </si>
  <si>
    <t>ADELE C YOUNG INT.</t>
  </si>
  <si>
    <t>BEAR RIVER MIDDLE</t>
  </si>
  <si>
    <t>BOX ELDER MIDDLE</t>
  </si>
  <si>
    <t>BEAR RIVER HIGH</t>
  </si>
  <si>
    <t>BOX ELDER HIGH</t>
  </si>
  <si>
    <t>CACHE DISTRICT</t>
  </si>
  <si>
    <t>CEDAR RIDGE MIDDLE</t>
  </si>
  <si>
    <t>SPRING CREEK MIDDLE</t>
  </si>
  <si>
    <t>WILLOW VALLEY MIDDLE</t>
  </si>
  <si>
    <t>NO CACHE 8/9 CTR</t>
  </si>
  <si>
    <t>SO CACHE 8/9 CTR</t>
  </si>
  <si>
    <t>CARBON DISTRICT</t>
  </si>
  <si>
    <t>MONT HARMON JR</t>
  </si>
  <si>
    <t>CARBON HIGH</t>
  </si>
  <si>
    <t>LIGHTHOUSE LEARNING</t>
  </si>
  <si>
    <t>DAGGETT DISTRICT</t>
  </si>
  <si>
    <t>DAVIS DISTRICT</t>
  </si>
  <si>
    <t>MORGAN</t>
  </si>
  <si>
    <t>WASATCH</t>
  </si>
  <si>
    <t>WASHINGTON</t>
  </si>
  <si>
    <t>DAVIS</t>
  </si>
  <si>
    <t>MOUNTAIN HIGH</t>
  </si>
  <si>
    <t>DAVIS JR ALT</t>
  </si>
  <si>
    <t>DUCHESNE</t>
  </si>
  <si>
    <t>ROOSEVELT JR HIGH</t>
  </si>
  <si>
    <t>ALTAMONT HIGH</t>
  </si>
  <si>
    <t>DUCHESNE HIGH</t>
  </si>
  <si>
    <t>TABIONA HIGH</t>
  </si>
  <si>
    <t>UNION HIGH</t>
  </si>
  <si>
    <t>THOMPSEN SCHOOL</t>
  </si>
  <si>
    <t>EMERY</t>
  </si>
  <si>
    <t>GREEN RIVER HIGH</t>
  </si>
  <si>
    <t>EMERY HIGH</t>
  </si>
  <si>
    <t>GARFIELD</t>
  </si>
  <si>
    <t>ESCALANTE HIGH</t>
  </si>
  <si>
    <t>GRAND</t>
  </si>
  <si>
    <t>GRAND COUNTY HIGH</t>
  </si>
  <si>
    <t>GRANITE</t>
  </si>
  <si>
    <t>COTTONWOOD HIGH</t>
  </si>
  <si>
    <t>CYPRUS HIGH</t>
  </si>
  <si>
    <t>GRANGER HIGH</t>
  </si>
  <si>
    <t>HUNTER HIGH</t>
  </si>
  <si>
    <t>KEARNS HIGH</t>
  </si>
  <si>
    <t>OLYMPUS HIGH</t>
  </si>
  <si>
    <t>SKYLINE HIGH</t>
  </si>
  <si>
    <t>TAYLORSVILLE HIGH</t>
  </si>
  <si>
    <t>IRON</t>
  </si>
  <si>
    <t>CEDAR NORTH ELEM</t>
  </si>
  <si>
    <t>CEDAR SOUTH ELEM</t>
  </si>
  <si>
    <t>ESCALANTE VALLEY ELEM</t>
  </si>
  <si>
    <t>FIDDLERS CANYON ELEM</t>
  </si>
  <si>
    <t>PAROWAN ELEM/HIGH</t>
  </si>
  <si>
    <t>CEDAR MIDDLE</t>
  </si>
  <si>
    <t>CANYON VIEW HIGH</t>
  </si>
  <si>
    <t>JORDAN</t>
  </si>
  <si>
    <t>ALBION MIDDLE</t>
  </si>
  <si>
    <t>BUTLER MIDDLE</t>
  </si>
  <si>
    <t>EASTMONT MIDDLE</t>
  </si>
  <si>
    <t>MIDVALE MIDDLE</t>
  </si>
  <si>
    <t>INDIAN HILLS MIDDLE</t>
  </si>
  <si>
    <t>CRESCENT VIEW MIDDLE</t>
  </si>
  <si>
    <t>OQUIRRH HILLS MIDDLE</t>
  </si>
  <si>
    <t>UNION MIDDLE</t>
  </si>
  <si>
    <t>SOUTH JORDAN MIDDLE</t>
  </si>
  <si>
    <t>WEST JORDAN MIDDLE</t>
  </si>
  <si>
    <t>ELKRIDGE MIDDLE</t>
  </si>
  <si>
    <t>WEST HILLS MIDDLE</t>
  </si>
  <si>
    <t>SOUTH HILLS MIDDLE</t>
  </si>
  <si>
    <t>ALTA HIGH</t>
  </si>
  <si>
    <t>COPPER HILLS HIGH</t>
  </si>
  <si>
    <t>BINGHAM HIGH</t>
  </si>
  <si>
    <t>BRIGHTON HIGH</t>
  </si>
  <si>
    <t>HILLCREST HIGH</t>
  </si>
  <si>
    <t>JORDAN HIGH</t>
  </si>
  <si>
    <t>RIVERTON HIGH</t>
  </si>
  <si>
    <t>WEST JORDAN HIGH</t>
  </si>
  <si>
    <t>SOUTH VALLEY</t>
  </si>
  <si>
    <t>JUAB</t>
  </si>
  <si>
    <t>JUAB HIGH</t>
  </si>
  <si>
    <t>KANE</t>
  </si>
  <si>
    <t>KANAB ELEMENTARY</t>
  </si>
  <si>
    <t>VALLEY ELEMENTARY</t>
  </si>
  <si>
    <t>KANAB MIDDLE</t>
  </si>
  <si>
    <t>KANAB HIGH</t>
  </si>
  <si>
    <t>VALLEY HIGH</t>
  </si>
  <si>
    <t>MILLARD</t>
  </si>
  <si>
    <t>FILLMORE MIDDLE</t>
  </si>
  <si>
    <t>DELTA HIGH</t>
  </si>
  <si>
    <t>MILLARD HIGH</t>
  </si>
  <si>
    <t>MORGAN ELEMENTARY</t>
  </si>
  <si>
    <t>MORGAN MIDDLE</t>
  </si>
  <si>
    <t>MORGAN HIGH</t>
  </si>
  <si>
    <t>NEBO</t>
  </si>
  <si>
    <t>SPRINGVILLE JR</t>
  </si>
  <si>
    <t>LANDMARK HIGH</t>
  </si>
  <si>
    <t>NORTH SANPETE</t>
  </si>
  <si>
    <t>NORTH SANPETE HIGH</t>
  </si>
  <si>
    <t>NORTH SUMMIT</t>
  </si>
  <si>
    <t>NORTH SUMMIT ELEM</t>
  </si>
  <si>
    <t>NORTH SUMMIT MIDDLE</t>
  </si>
  <si>
    <t>NORTH SUMMIT HIGH</t>
  </si>
  <si>
    <t>PARK CITY</t>
  </si>
  <si>
    <t>TREASURE MOUNTAIN MIDD</t>
  </si>
  <si>
    <t>ECKER HILL MIDDLE</t>
  </si>
  <si>
    <t>PIUTE</t>
  </si>
  <si>
    <t>PIUTE HIGH</t>
  </si>
  <si>
    <t>RICH</t>
  </si>
  <si>
    <t>SAN JUAN</t>
  </si>
  <si>
    <t>MONTEZUMA CREEK ELEM</t>
  </si>
  <si>
    <t>MONTICELLO HIGH</t>
  </si>
  <si>
    <t>MONUMENT VALLEY HIGH</t>
  </si>
  <si>
    <t>SAN JUAN HIGH</t>
  </si>
  <si>
    <t>WHITE HORSE HIGH</t>
  </si>
  <si>
    <t>NAVAJO MOUNTAIN HIGH</t>
  </si>
  <si>
    <t>SEVIER</t>
  </si>
  <si>
    <t>NORTH SEVIER MIDDLE</t>
  </si>
  <si>
    <t>SOUTH SEVIER MIDDLE</t>
  </si>
  <si>
    <t>RED HILLS MIDDLE</t>
  </si>
  <si>
    <t>RICHFIELD HIGH</t>
  </si>
  <si>
    <t>SOUTH SEVIER HIGH</t>
  </si>
  <si>
    <t>CEDAR RIDGE HIGH</t>
  </si>
  <si>
    <t>SOUTH SANPETE</t>
  </si>
  <si>
    <t>GUNNISON VALLEY MIDDLE</t>
  </si>
  <si>
    <t>EPHRAIM MIDDLE</t>
  </si>
  <si>
    <t>GUNNISON VALLEY HIGH</t>
  </si>
  <si>
    <t>MANTI HIGH</t>
  </si>
  <si>
    <t>SOUTH SUMMIT</t>
  </si>
  <si>
    <t>SOUTH SUMMIT ELEM</t>
  </si>
  <si>
    <t>SOUTH SUMMIT MIDDLE</t>
  </si>
  <si>
    <t>SOUTH SUMMIT HIGH</t>
  </si>
  <si>
    <t>TINTIC</t>
  </si>
  <si>
    <t>TOOELE</t>
  </si>
  <si>
    <t>GRANTSVILLE HIGH</t>
  </si>
  <si>
    <t>TOOELE HIGH</t>
  </si>
  <si>
    <t>WENDOVER HIGH</t>
  </si>
  <si>
    <t>UINTAH</t>
  </si>
  <si>
    <t>VERNAL MIDDLE</t>
  </si>
  <si>
    <t>VERNAL JUNIOR HIGH</t>
  </si>
  <si>
    <t>UINTAH HIGH</t>
  </si>
  <si>
    <t>WASATCH HIGH</t>
  </si>
  <si>
    <t>DIXIE MIDDLE</t>
  </si>
  <si>
    <t>HURRICANE MIDDLE</t>
  </si>
  <si>
    <t>PINE VIEW MIDDLE</t>
  </si>
  <si>
    <t>SNOW CANYON MIDDLE</t>
  </si>
  <si>
    <t>DIXIE HIGH</t>
  </si>
  <si>
    <t>ENTERPRISE HIGH</t>
  </si>
  <si>
    <t>WAYNE</t>
  </si>
  <si>
    <t xml:space="preserve">WAYNE MIDDLE </t>
  </si>
  <si>
    <t>WAYNE HIGH</t>
  </si>
  <si>
    <t>WEBER</t>
  </si>
  <si>
    <t>BONNEVILLE HIGH</t>
  </si>
  <si>
    <t>WEBER HIGH</t>
  </si>
  <si>
    <t>FREMONT HIGH</t>
  </si>
  <si>
    <t>ROY HIGH</t>
  </si>
  <si>
    <t>CANYON VIEW SCHOOL</t>
  </si>
  <si>
    <t>SALT LAKE</t>
  </si>
  <si>
    <t>OGDEN</t>
  </si>
  <si>
    <t>BEN LOMOND HIGH</t>
  </si>
  <si>
    <t>OGDEN HIGH</t>
  </si>
  <si>
    <t>WASHINGTON HIGH</t>
  </si>
  <si>
    <t>PROVO</t>
  </si>
  <si>
    <t>CENTENNIAL MIDDLE</t>
  </si>
  <si>
    <t>DIXON MIDDLE</t>
  </si>
  <si>
    <t>PROVO HIGH</t>
  </si>
  <si>
    <t>TIMPVIEW HIGH</t>
  </si>
  <si>
    <t>INDEPENDENCE HIGH</t>
  </si>
  <si>
    <t>LOGAN</t>
  </si>
  <si>
    <t>MT LOGAN MIDDLE</t>
  </si>
  <si>
    <t>LOGAN HIGH</t>
  </si>
  <si>
    <t>MURRAY</t>
  </si>
  <si>
    <t>MURRAY HIGH</t>
  </si>
  <si>
    <t>CHRIST LUTHERAN</t>
  </si>
  <si>
    <t>EDITH BOWEN LAB SCHOOL</t>
  </si>
  <si>
    <t>ALL DISTRICTS</t>
  </si>
  <si>
    <t xml:space="preserve">ALPINE </t>
  </si>
  <si>
    <t>BEAVER</t>
  </si>
  <si>
    <t>BOX ELDER</t>
  </si>
  <si>
    <t>CACHE</t>
  </si>
  <si>
    <t>CARBON</t>
  </si>
  <si>
    <t>DAGGETT</t>
  </si>
  <si>
    <t>MANILA HIGH</t>
  </si>
  <si>
    <t>MANILA  ELEM</t>
  </si>
  <si>
    <t>BRYCE VALLEY HIGH</t>
  </si>
  <si>
    <t>GRAND COUNTY MIDDLE</t>
  </si>
  <si>
    <t>NORTH RICH ELEM</t>
  </si>
  <si>
    <t>SOUTH RICH ELEM</t>
  </si>
  <si>
    <t>RICH JR HIGH/NRES</t>
  </si>
  <si>
    <t>RICH HIGH/SRES</t>
  </si>
  <si>
    <t>EUREKA ELEM/TINTIC HIGH</t>
  </si>
  <si>
    <t>CENTRO CIVICO</t>
  </si>
  <si>
    <t>NORTH SANPETE MIDDLE</t>
  </si>
  <si>
    <t>HURRICANE HIGH</t>
  </si>
  <si>
    <t xml:space="preserve"> </t>
  </si>
  <si>
    <t>COLUMBUS COMM CTR</t>
  </si>
  <si>
    <t>LOGAN SO CAMPUS</t>
  </si>
  <si>
    <t>GUADALUPE SCHOOL</t>
  </si>
  <si>
    <t>A3</t>
  </si>
  <si>
    <t>KEARNS ST. ANN</t>
  </si>
  <si>
    <t>KU</t>
  </si>
  <si>
    <t>KU1</t>
  </si>
  <si>
    <t>SITES</t>
  </si>
  <si>
    <t>SOUTHWEST EDUC ACAD</t>
  </si>
  <si>
    <t>HORIZONTE</t>
  </si>
  <si>
    <t>SOUTH CITY</t>
  </si>
  <si>
    <t>PINNACLE CANYON</t>
  </si>
  <si>
    <t>WEST HIGH</t>
  </si>
  <si>
    <t>NO DAVIS PREP ACAD</t>
  </si>
  <si>
    <t>FREEDOM ACADEMY</t>
  </si>
  <si>
    <t>DAVINCI ACADEMY</t>
  </si>
  <si>
    <t>OGDEN PREP ACADEMY</t>
  </si>
  <si>
    <t>CITY ACADEMY</t>
  </si>
  <si>
    <t>NUAMES</t>
  </si>
  <si>
    <t>MOUNT JORDAN MIDDLE</t>
  </si>
  <si>
    <t>SUNSET RIDGE MIDDLE</t>
  </si>
  <si>
    <t>FORT HERRIMAN MIDDLE</t>
  </si>
  <si>
    <t>JUAB JR HIGH</t>
  </si>
  <si>
    <t>MILLCREEK HIGH</t>
  </si>
  <si>
    <t>TWO RIVERS HIGH</t>
  </si>
  <si>
    <t>1B</t>
  </si>
  <si>
    <t>UTAH CNTY ACAD SCI</t>
  </si>
  <si>
    <t>WASATCH PEAK ACADEMY</t>
  </si>
  <si>
    <t>4B</t>
  </si>
  <si>
    <t>RONALD REAGAN ACADEMY</t>
  </si>
  <si>
    <t>7B</t>
  </si>
  <si>
    <t>WASATCH PEAK ACAD</t>
  </si>
  <si>
    <t>CANYON VIEW MIDDLE</t>
  </si>
  <si>
    <t>THREE MILE CREEK</t>
  </si>
  <si>
    <t>PAYSON HIGH</t>
  </si>
  <si>
    <t>SPANISH FORK HIGH</t>
  </si>
  <si>
    <t>SPRINGVILLE HIGH</t>
  </si>
  <si>
    <t>2C</t>
  </si>
  <si>
    <t>INTECH COLLEGIATE</t>
  </si>
  <si>
    <t>5B</t>
  </si>
  <si>
    <t>NORTHSTAR ACADEMY</t>
  </si>
  <si>
    <t>8B</t>
  </si>
  <si>
    <t>3C</t>
  </si>
  <si>
    <t>ENTHEOS ACADEMY</t>
  </si>
  <si>
    <t>4D</t>
  </si>
  <si>
    <t>SYRACUSE ARTS ACAD</t>
  </si>
  <si>
    <t>MAPLETON JR HIGH</t>
  </si>
  <si>
    <t>AGR</t>
  </si>
  <si>
    <t>1E</t>
  </si>
  <si>
    <t>1E1</t>
  </si>
  <si>
    <t>AM LEADERSHIP ACADEMY</t>
  </si>
  <si>
    <t>WHITE PINE MIDDLE</t>
  </si>
  <si>
    <t>4C</t>
  </si>
  <si>
    <t>LAKEVIEW ACADEMY</t>
  </si>
  <si>
    <t>DIAMOND FORK JR HIGH</t>
  </si>
  <si>
    <t>MT NEBO JR HIGH</t>
  </si>
  <si>
    <t>2D</t>
  </si>
  <si>
    <t>CHANNING HALL</t>
  </si>
  <si>
    <t>4E</t>
  </si>
  <si>
    <t>DUAL IMMERSION ACADEMY</t>
  </si>
  <si>
    <t>DUAL IMMERSION ACAD</t>
  </si>
  <si>
    <t>9D</t>
  </si>
  <si>
    <t>CANYON RIM ACADEMY</t>
  </si>
  <si>
    <t>DESERT HILLS MIDDLE</t>
  </si>
  <si>
    <t>C8</t>
  </si>
  <si>
    <t>C81</t>
  </si>
  <si>
    <t>C82</t>
  </si>
  <si>
    <t>SOUTH CAMPUS</t>
  </si>
  <si>
    <t>KIDS PROGRAM</t>
  </si>
  <si>
    <t>D6</t>
  </si>
  <si>
    <t>D61</t>
  </si>
  <si>
    <t>G9</t>
  </si>
  <si>
    <t>G91</t>
  </si>
  <si>
    <t>RESIDENTIAL TREATMENT</t>
  </si>
  <si>
    <t>G92</t>
  </si>
  <si>
    <t>WASATCH CANYONS</t>
  </si>
  <si>
    <t>H41</t>
  </si>
  <si>
    <t>H42</t>
  </si>
  <si>
    <t>MILLCREEK YOUTH CTR</t>
  </si>
  <si>
    <t>H43</t>
  </si>
  <si>
    <t>WEBER VALLEY DET</t>
  </si>
  <si>
    <t>H44</t>
  </si>
  <si>
    <t>H45</t>
  </si>
  <si>
    <t>HERITAGE SCHOOL</t>
  </si>
  <si>
    <t>KZ</t>
  </si>
  <si>
    <t>KZ1</t>
  </si>
  <si>
    <t>CINNAMON HILLS</t>
  </si>
  <si>
    <t>LY</t>
  </si>
  <si>
    <t>LY1</t>
  </si>
  <si>
    <t>STORM RIDGE RANCH</t>
  </si>
  <si>
    <t>NH</t>
  </si>
  <si>
    <t>NH1</t>
  </si>
  <si>
    <t>NH2</t>
  </si>
  <si>
    <t>STORM RIDGE RANCH SO</t>
  </si>
  <si>
    <t>P31</t>
  </si>
  <si>
    <t>DECKER LAKE</t>
  </si>
  <si>
    <t>GENESIS</t>
  </si>
  <si>
    <t>P33</t>
  </si>
  <si>
    <t>P34</t>
  </si>
  <si>
    <t>P35</t>
  </si>
  <si>
    <t>SALT LAKE VALLEY DET</t>
  </si>
  <si>
    <t>RED ROCK CANYON</t>
  </si>
  <si>
    <t>RP</t>
  </si>
  <si>
    <t>SL COUNTY YOUTH SVC</t>
  </si>
  <si>
    <t>S4</t>
  </si>
  <si>
    <t>S41</t>
  </si>
  <si>
    <t>BOYS GROUP HOME</t>
  </si>
  <si>
    <t>S42</t>
  </si>
  <si>
    <t>SL CHILD'S CHRISTMAS</t>
  </si>
  <si>
    <t>S43</t>
  </si>
  <si>
    <t>SLCO GIRLS GROUP HM</t>
  </si>
  <si>
    <t>S44</t>
  </si>
  <si>
    <t>SLCO CRISIS INTERVTN</t>
  </si>
  <si>
    <t>S71</t>
  </si>
  <si>
    <t>S72</t>
  </si>
  <si>
    <t>S73</t>
  </si>
  <si>
    <t>O&amp;A/SPRINGVILLE</t>
  </si>
  <si>
    <t>S74</t>
  </si>
  <si>
    <t>SLATE CANYON</t>
  </si>
  <si>
    <t>S75</t>
  </si>
  <si>
    <t>SOUTHWEST/CEDAR</t>
  </si>
  <si>
    <t>S76</t>
  </si>
  <si>
    <t>DIXIE AREA DETENTION</t>
  </si>
  <si>
    <t>S77</t>
  </si>
  <si>
    <t>S78</t>
  </si>
  <si>
    <t>CASTLE COUNTRY/PRICE</t>
  </si>
  <si>
    <t>DIST</t>
  </si>
  <si>
    <t>PRIVATE SCHOOLS/RCCI'S</t>
  </si>
  <si>
    <t>OCTOBER FREE &amp; REDUCED PRICE FINAL REPORT</t>
  </si>
  <si>
    <t>PRIMARY CHILDREN'S</t>
  </si>
  <si>
    <t>PANGUITCH HIGH</t>
  </si>
  <si>
    <t>PANGUITCH MIDDLE</t>
  </si>
  <si>
    <t>MOUNTAIN GREEN ELEM</t>
  </si>
  <si>
    <t>EAGLE VIEW ELEMENTARY</t>
  </si>
  <si>
    <t>C83</t>
  </si>
  <si>
    <t xml:space="preserve">NO DAVIS PREP ACAD JR </t>
  </si>
  <si>
    <t>HIDDEN HOLLOW ELEM</t>
  </si>
  <si>
    <t>LEHI HIGH</t>
  </si>
  <si>
    <t>AMERICAN FORK HIGH</t>
  </si>
  <si>
    <t>LONE PEAK HIGH</t>
  </si>
  <si>
    <t>LINDON ELEMENTARY</t>
  </si>
  <si>
    <t>MANILA ELEMENTARY</t>
  </si>
  <si>
    <t>MEADOW ELEMENTARY</t>
  </si>
  <si>
    <t>MOUNT MAHOGANY ELEM</t>
  </si>
  <si>
    <t>MOUNTAIN RIDGE JR HIGH</t>
  </si>
  <si>
    <t>MOUNTAIN VIEW HIGH</t>
  </si>
  <si>
    <t>NORTHRIDGE ELEMENTARY</t>
  </si>
  <si>
    <t>LEHI ELEMENTARY</t>
  </si>
  <si>
    <t>LEGACY ELEMENTARY</t>
  </si>
  <si>
    <t>HILLCREST ELEMENTARY</t>
  </si>
  <si>
    <t>HIGHLAND ELEMENTARY</t>
  </si>
  <si>
    <t>CEDAR RIDGE ELEMENTARY</t>
  </si>
  <si>
    <t>CEDAR VALLEY ELEMENTARY</t>
  </si>
  <si>
    <t>CENTRAL ELEMENTARY</t>
  </si>
  <si>
    <t>CHERRY HILL ELEMENTARY</t>
  </si>
  <si>
    <t>DEERFIELD ELEMENTARY</t>
  </si>
  <si>
    <t>EAGLE CREST ELEMENTARY</t>
  </si>
  <si>
    <t>EAGLE VALLEY ELEMENTARY</t>
  </si>
  <si>
    <t>FOOTHILL ELEMENTARY</t>
  </si>
  <si>
    <t>FORBES ELEMENTARY</t>
  </si>
  <si>
    <t>FREEDOM ELEMENTARY</t>
  </si>
  <si>
    <t>FOX HOLLOW ELEMENTARY</t>
  </si>
  <si>
    <t>GENEVA ELEMENTARY</t>
  </si>
  <si>
    <t>GREENWOOD ELEMENTARY</t>
  </si>
  <si>
    <t>GROVECREST ELEMENTARY</t>
  </si>
  <si>
    <t>HARVEST ELEMENTARY</t>
  </si>
  <si>
    <t>ALPINE ELEMENTARY</t>
  </si>
  <si>
    <t>ASPEN ELEMENTARY</t>
  </si>
  <si>
    <t>BARRATT ELEMENTARY</t>
  </si>
  <si>
    <t>BONNEVILLE ELEMENTARY</t>
  </si>
  <si>
    <t>CASCADE ELEMENTARY</t>
  </si>
  <si>
    <t>ORCHARD ELEMENTARY</t>
  </si>
  <si>
    <t>OREM ELEMENTARY</t>
  </si>
  <si>
    <t>OREM HIGH</t>
  </si>
  <si>
    <t>OREM JR HIGH</t>
  </si>
  <si>
    <t>PONY EXPRESS ELEM</t>
  </si>
  <si>
    <t>RIDGELINE ELEMENTARY</t>
  </si>
  <si>
    <t>ROCKY MOUNTAIN ELEM</t>
  </si>
  <si>
    <t>SARATOGA SHORES ELEM</t>
  </si>
  <si>
    <t>SCERA PARK ELEMENTARY</t>
  </si>
  <si>
    <t>SEGO LILY ELEMENTARY</t>
  </si>
  <si>
    <t>SHARON ELEMENTARY</t>
  </si>
  <si>
    <t>SHELLEY ELEMENTARY</t>
  </si>
  <si>
    <t>SNOW SPRINGS ELEM</t>
  </si>
  <si>
    <t>SUNCREST ELEMENTARY</t>
  </si>
  <si>
    <t>TIMBERLINE MIDDLE</t>
  </si>
  <si>
    <t>VALLEY VIEW ELEMENTARY</t>
  </si>
  <si>
    <t>VINEYARD ELEMENTARY</t>
  </si>
  <si>
    <t>WESTFIELD ELEMENTARY</t>
  </si>
  <si>
    <t>WESTMORE ELEMENTARY</t>
  </si>
  <si>
    <t>WILLOWCREEK MIDDLE</t>
  </si>
  <si>
    <t>WINDSOR ELEMENTARY</t>
  </si>
  <si>
    <t>BELKNAP ELEMENTARY</t>
  </si>
  <si>
    <t>MINERSVILLE SCHOOL</t>
  </si>
  <si>
    <t>SKY VIEW HIGH</t>
  </si>
  <si>
    <t>MOUNTAIN CREST HIGH</t>
  </si>
  <si>
    <t>HARTVIGSEN TRNG CTR</t>
  </si>
  <si>
    <t>WASATCH JR HIGH</t>
  </si>
  <si>
    <t>YOUNG PARENTS HUNTER</t>
  </si>
  <si>
    <t>GRANITE PEAKS HIGH</t>
  </si>
  <si>
    <t>SUU HEADSTART</t>
  </si>
  <si>
    <t>JUVENILE JUSTICE SERVICES</t>
  </si>
  <si>
    <t>PV</t>
  </si>
  <si>
    <t>H48</t>
  </si>
  <si>
    <t>ARCHWAY YOUTH SERV</t>
  </si>
  <si>
    <t>P36</t>
  </si>
  <si>
    <t>WASATCH YOUTH CENTER</t>
  </si>
  <si>
    <t>A7</t>
  </si>
  <si>
    <t>MOAB CHARTER SCHOOL</t>
  </si>
  <si>
    <t>7C</t>
  </si>
  <si>
    <t>MONTICELLO ACADEMY</t>
  </si>
  <si>
    <t>ITINERIS HIGH</t>
  </si>
  <si>
    <t>SANTAQUIN SCHOOL</t>
  </si>
  <si>
    <t>HIGHLAND JUNIOR HIGH</t>
  </si>
  <si>
    <t>4F</t>
  </si>
  <si>
    <t>CLAYTON MIDDLE</t>
  </si>
  <si>
    <t>EAST HIGH SCHOOL</t>
  </si>
  <si>
    <t>GLENDALE INTERMEDIATE</t>
  </si>
  <si>
    <t>HIGHLAND HIGH</t>
  </si>
  <si>
    <t>HILLSIDE MIDDLE</t>
  </si>
  <si>
    <t>NORTHWEST MIDDLE</t>
  </si>
  <si>
    <t>ODYSSEY HOUSE (RCCI)</t>
  </si>
  <si>
    <t>WEST HIGH NURSERY</t>
  </si>
  <si>
    <t>GUNNISON VALLEY ELEM</t>
  </si>
  <si>
    <t>A4</t>
  </si>
  <si>
    <t>SUMMIT ACADEMY</t>
  </si>
  <si>
    <t>GRANTSVILLE JR HIGH</t>
  </si>
  <si>
    <t>DESERT HILLS HIGH</t>
  </si>
  <si>
    <t>LAVA RIDGE INTERMEDIATE</t>
  </si>
  <si>
    <t>TONAQUINT INTERMEDIATE</t>
  </si>
  <si>
    <t>HURRICANE INTERMEDIATE</t>
  </si>
  <si>
    <t>NORTH POINT ELEMENTARY</t>
  </si>
  <si>
    <t>PLEASANT GROVE HIGH</t>
  </si>
  <si>
    <t>SAGE HILLS ELEMENTARY</t>
  </si>
  <si>
    <t>WESTLAKE HIGH SCHOOL</t>
  </si>
  <si>
    <t>SUMMIT/EAST SHORE HIGH</t>
  </si>
  <si>
    <t>CANYONS</t>
  </si>
  <si>
    <t>CENTURY ELEMENTARY</t>
  </si>
  <si>
    <t>DISCOVERY ELEMENTARY</t>
  </si>
  <si>
    <t>FIELDING ELEMENTARY</t>
  </si>
  <si>
    <t>GARLAND ELEMENTARY</t>
  </si>
  <si>
    <t>GROUSE CREEK SCHOOL</t>
  </si>
  <si>
    <t>LAKE VIEW ELEMENTARY</t>
  </si>
  <si>
    <t>MCKINLEY ELEMENTARY</t>
  </si>
  <si>
    <t>SNOWVILLE ELEMENTARY</t>
  </si>
  <si>
    <t>PARK VALLEY ELEMENTARY</t>
  </si>
  <si>
    <t>NORTH PARK ELEMENTARY</t>
  </si>
  <si>
    <t>MOUNTAIN VIEW ELEM.</t>
  </si>
  <si>
    <t>WILLARD ELEMENTARY</t>
  </si>
  <si>
    <t>CANYON ELEMENTARY</t>
  </si>
  <si>
    <t>GREENVILLE ELEMENTARY</t>
  </si>
  <si>
    <t>LEWISTON ELEMENTARY</t>
  </si>
  <si>
    <t>LINCOLN ELEMENTARY</t>
  </si>
  <si>
    <t>MILLVILLE ELEMENTARY</t>
  </si>
  <si>
    <t>MOUNTAINSIDE ELEM</t>
  </si>
  <si>
    <t>NIBLEY ELEMENTARY</t>
  </si>
  <si>
    <t>PARK ELEMENTARY</t>
  </si>
  <si>
    <t>PROVIDENCE ELEMENTARY</t>
  </si>
  <si>
    <t>RIVER HEIGHTS ELEM</t>
  </si>
  <si>
    <t>SUMMIT ELEMENTARY</t>
  </si>
  <si>
    <t>SUNRISE ELEMENTARY</t>
  </si>
  <si>
    <t>WELLSVILLE ELEMENTARY</t>
  </si>
  <si>
    <t>BRUIN POINT ELEMENTARY</t>
  </si>
  <si>
    <t>CASTLE HEIGHTS ELEM</t>
  </si>
  <si>
    <t>CASTLE VALLEY CENTER</t>
  </si>
  <si>
    <t>CREEKVIEW ELEMENTARY</t>
  </si>
  <si>
    <t>HELPER JR HIGH</t>
  </si>
  <si>
    <t>SALLY MAURO ELEMENTARY</t>
  </si>
  <si>
    <t>WELLINGTON ELEMENTARY</t>
  </si>
  <si>
    <t>ADAMS ELEMENTARY</t>
  </si>
  <si>
    <t>ADELAIDE ELEMENTARY</t>
  </si>
  <si>
    <t>ANTELOPE ELEMENTARY</t>
  </si>
  <si>
    <t>BOULTON ELEMENTARY</t>
  </si>
  <si>
    <t>BOUNTIFUL ELEMENTARY</t>
  </si>
  <si>
    <t>BLUFF RIDGE ELEMENTARY</t>
  </si>
  <si>
    <t xml:space="preserve">BOUNTIFUL HIGH </t>
  </si>
  <si>
    <t>BOUNTIFUL JR HIGH</t>
  </si>
  <si>
    <t>BUFFALO POINT ELEM</t>
  </si>
  <si>
    <t>CENTERVILLE ELEMENTARY</t>
  </si>
  <si>
    <t>CENTERVILLE JR HIGH</t>
  </si>
  <si>
    <t>CENTRAL DAVIS JR HIGH</t>
  </si>
  <si>
    <t>CLEARFIELD HIGH</t>
  </si>
  <si>
    <t>CLINTON ELEMENTARY</t>
  </si>
  <si>
    <t>COLUMBIA ELEMENTARY</t>
  </si>
  <si>
    <t>COOK ELEMENTARY</t>
  </si>
  <si>
    <t>CREEKSIDE ELEMENTARY</t>
  </si>
  <si>
    <t>CRESTVIEW ELEMENTARY</t>
  </si>
  <si>
    <t>DAVIS HIGH</t>
  </si>
  <si>
    <t>DOXEY ELEMENTARY</t>
  </si>
  <si>
    <t>EAGLE BAY ELEMENTARY</t>
  </si>
  <si>
    <t>EAST LAYTON ELEMENTARY</t>
  </si>
  <si>
    <t>ELLISON PARK ELEMENTARY</t>
  </si>
  <si>
    <t>FAIRFIELD JR HIGH</t>
  </si>
  <si>
    <t>FARMINGTON ELEMENTARY</t>
  </si>
  <si>
    <t>FARMINGTON JR HIGH</t>
  </si>
  <si>
    <t>FOXBORO ELEMENTARY</t>
  </si>
  <si>
    <t>FREMONT ELEMENTARY</t>
  </si>
  <si>
    <t>H C BURTON ELEMENTARY</t>
  </si>
  <si>
    <t>HERITAGE ELEMENTARY</t>
  </si>
  <si>
    <t>HILL FIELD ELEMENTARY</t>
  </si>
  <si>
    <t>HOLBROOK ELEMENTARY</t>
  </si>
  <si>
    <t>HOLT ELEMENTARY</t>
  </si>
  <si>
    <t>J A TAYLOR ELEMENTARY</t>
  </si>
  <si>
    <t>KAYSVILLE ELEMENTARY</t>
  </si>
  <si>
    <t>KAYSVILLE JR HIGH</t>
  </si>
  <si>
    <t>KING ELEMENTARY</t>
  </si>
  <si>
    <t>KNOWLTON ELEMENTARY</t>
  </si>
  <si>
    <t>LAKESIDE ELEMENTARY</t>
  </si>
  <si>
    <t>LAYTON ELEMENTARY</t>
  </si>
  <si>
    <t>LAYTON HIGH</t>
  </si>
  <si>
    <t>LEGACY JR HIGH</t>
  </si>
  <si>
    <t>MEADOWBROOK ELEM</t>
  </si>
  <si>
    <t>MILLCREEK JR HIGH</t>
  </si>
  <si>
    <t>MOUNTAIN VIEW ELEM</t>
  </si>
  <si>
    <t>MUELLER PARK JR HIGH</t>
  </si>
  <si>
    <t>MUIR ELEMENTARY</t>
  </si>
  <si>
    <t>NO. DAVIS JR HIGH</t>
  </si>
  <si>
    <t>NORTH LAYTON JR HIGH</t>
  </si>
  <si>
    <t>NORTHRIDGE HIGH</t>
  </si>
  <si>
    <t>OAK HILLS ELEMENTARY</t>
  </si>
  <si>
    <t>PARKSIDE ELEMENTARY</t>
  </si>
  <si>
    <t>READING ELEMENTARY</t>
  </si>
  <si>
    <t>SAND SPRINGS ELEM</t>
  </si>
  <si>
    <t>SNOW HORSE ELEMENTARY</t>
  </si>
  <si>
    <t>SO. CLEARFIELD ELEM</t>
  </si>
  <si>
    <t>SOUTH DAVIS JR HIGH</t>
  </si>
  <si>
    <t>SOUTH WEBER ELEMENTARY</t>
  </si>
  <si>
    <t>STEWART ELEMENTARY</t>
  </si>
  <si>
    <t>SUNSET ELEMENTARY</t>
  </si>
  <si>
    <t>SUNSET JR HIGH</t>
  </si>
  <si>
    <t>SYRACUSE ELEMENTARY</t>
  </si>
  <si>
    <t>SYRACUSE HIGH</t>
  </si>
  <si>
    <t>VIEWMONT HIGH</t>
  </si>
  <si>
    <t>WOODS CROSS HIGH</t>
  </si>
  <si>
    <t>WEST POINT JR HIGH</t>
  </si>
  <si>
    <t>SYRACUSE JR HIGH</t>
  </si>
  <si>
    <t>VAE VIEW ELEMENTARY</t>
  </si>
  <si>
    <t>WHITESIDES ELEMENTARY</t>
  </si>
  <si>
    <t>WEST POINT ELEMENTARY</t>
  </si>
  <si>
    <t>WEST CLINTON ELEMENTARY</t>
  </si>
  <si>
    <t>WEST BOUNTIFUL ELEM</t>
  </si>
  <si>
    <t>WASHINGTON ELEMENTARY</t>
  </si>
  <si>
    <t>WASATCH ELEMENTARY</t>
  </si>
  <si>
    <t>TOLMAN ELEMENTARY</t>
  </si>
  <si>
    <t>WOODS CROSS ELEM</t>
  </si>
  <si>
    <t>WINDRIDGE ELEMENTARY</t>
  </si>
  <si>
    <t>ALTAMONT ELEMENTARY</t>
  </si>
  <si>
    <t>CON AMORE TRAINING CNT</t>
  </si>
  <si>
    <t>DUCHESNE ELEMENTARY</t>
  </si>
  <si>
    <t>EAST ELEMENTARY</t>
  </si>
  <si>
    <t>MYTON ELEMENTARY</t>
  </si>
  <si>
    <t>NEOLA ELEMENTARY</t>
  </si>
  <si>
    <t>TABIONA ELEMENTARY</t>
  </si>
  <si>
    <t>BOOK CLIFF ELEMENTARY</t>
  </si>
  <si>
    <t>CANYON VIEW JR HIGH</t>
  </si>
  <si>
    <t>CASTLE DALE ELEMENTARY</t>
  </si>
  <si>
    <t>CLEVELAND ELEMENTARY</t>
  </si>
  <si>
    <t>FERRON ELEMENTARY</t>
  </si>
  <si>
    <t>HUNTINGTON ELEMENTARY</t>
  </si>
  <si>
    <t>SAN RAFAEL JR HIGH</t>
  </si>
  <si>
    <t>COTTONWOOD ELEM</t>
  </si>
  <si>
    <t>ANTIMONY ELEMENTARY</t>
  </si>
  <si>
    <t>BOULDER ELEMENTARY</t>
  </si>
  <si>
    <t>ESCALANTE ELEMENTARY</t>
  </si>
  <si>
    <t>PANGUITCH ELEMENTARY</t>
  </si>
  <si>
    <t>BRYCE VALLEY ELEM</t>
  </si>
  <si>
    <t>ACADEMY PARK ELEM</t>
  </si>
  <si>
    <t>ARCADIA ELEMENTARY</t>
  </si>
  <si>
    <t>BEEHIVE ELEMENTARY</t>
  </si>
  <si>
    <t>BENNION ELEMENTARY</t>
  </si>
  <si>
    <t>BENNION JR HIGH</t>
  </si>
  <si>
    <t>BONNEVILLE JR HIGH</t>
  </si>
  <si>
    <t>BROCKBANK JR HIGH</t>
  </si>
  <si>
    <t>CALVIN SMITH ELEMENTARY</t>
  </si>
  <si>
    <t>CARL SANDBURG ELEM</t>
  </si>
  <si>
    <t>CHURCHILL JR HIGH</t>
  </si>
  <si>
    <t>COPPER HILLS ELEMENTARY</t>
  </si>
  <si>
    <t>COTTONWOOD ELEMENTARY</t>
  </si>
  <si>
    <t>DAVID GOURLEY ELEM</t>
  </si>
  <si>
    <t>DIAMOND RIDGE ELEM</t>
  </si>
  <si>
    <t>EASTWOOD ELEMENTARY</t>
  </si>
  <si>
    <t>EISENHOWER JR HIGH</t>
  </si>
  <si>
    <t>EVERGREEN JR HIGH</t>
  </si>
  <si>
    <t>FOX HILLS ELEMENTARY</t>
  </si>
  <si>
    <t>GRANGER ELEMENTARY</t>
  </si>
  <si>
    <t>GRANITE PARK JR HIGH</t>
  </si>
  <si>
    <t>HARRY S TRUMAN ELEM</t>
  </si>
  <si>
    <t>DOUGLAS T ORCHARD ELEM</t>
  </si>
  <si>
    <t>HILLSDALE ELEMENTARY</t>
  </si>
  <si>
    <t>HILLSIDE ELEMENTARY</t>
  </si>
  <si>
    <t>HOWARD R DRIGGS ELEM</t>
  </si>
  <si>
    <t>HUNTER ELEMENTARY</t>
  </si>
  <si>
    <t>HUNTER JR HIGH</t>
  </si>
  <si>
    <t>JACKLING ELEMENTARY</t>
  </si>
  <si>
    <t>JAMES E MOSS ELEMENTARY</t>
  </si>
  <si>
    <t>JIM BRIDGER ELEMENTARY</t>
  </si>
  <si>
    <t>JOHN C FREMONT ELEM</t>
  </si>
  <si>
    <t>JOHN F KENNEDY JR HIGH</t>
  </si>
  <si>
    <t>KEARNS JR HIGH</t>
  </si>
  <si>
    <t>LAKE RIDGE ELEMENTARY</t>
  </si>
  <si>
    <t>MAGNA ELEMENTARY</t>
  </si>
  <si>
    <t>MATHESON JR HIGH</t>
  </si>
  <si>
    <t>MILL CREEK ELEMENTARY</t>
  </si>
  <si>
    <t>MONROE ELEMENTARY</t>
  </si>
  <si>
    <t>MORNINGSIDE ELEMENTARY</t>
  </si>
  <si>
    <t>OAKRIDGE ELEMENTARY</t>
  </si>
  <si>
    <t>OAKWOOD ELEMENTARY</t>
  </si>
  <si>
    <t>OLYMPUS JR HIGH</t>
  </si>
  <si>
    <t>OQUIRRH HILLS ELEM</t>
  </si>
  <si>
    <t>PHILO T FARNSWORTH ELEM</t>
  </si>
  <si>
    <t>PIONEER ELEMENTARY</t>
  </si>
  <si>
    <t>PLEASANT GREEN ELEM</t>
  </si>
  <si>
    <t>PLYMOUTH ELEMENTARY</t>
  </si>
  <si>
    <t>REDWOOD ELEMENTARY</t>
  </si>
  <si>
    <t>ROBERT FROST ELEM</t>
  </si>
  <si>
    <t>ROLLING MEADOWS ELEM</t>
  </si>
  <si>
    <t>ROOSEVELT ELEMENTARY</t>
  </si>
  <si>
    <t>ROSECREST ELEMENTARY</t>
  </si>
  <si>
    <t>SILVER HILLS ELEMENTARY</t>
  </si>
  <si>
    <t>SOUTH KEARNS ELEM</t>
  </si>
  <si>
    <t>SPRING LANE ELEMENTARY</t>
  </si>
  <si>
    <t>STANSBURY ELEMENTARY</t>
  </si>
  <si>
    <t>TAYLORSVILLE ELEM</t>
  </si>
  <si>
    <t>THOMAS JEFFERSON JR HIGH</t>
  </si>
  <si>
    <t>THOMAS W BACCHUS ELEM</t>
  </si>
  <si>
    <t>TWIN PEAKS ELEMENTARY</t>
  </si>
  <si>
    <t>UPLAND TERRACE ELEM</t>
  </si>
  <si>
    <t>VALLEY CREST ELEMENTARY</t>
  </si>
  <si>
    <t>VALLEY JR HIGH</t>
  </si>
  <si>
    <t>VISTA ELEMENTARY</t>
  </si>
  <si>
    <t>WEST KEARNS ELEMENTARY</t>
  </si>
  <si>
    <t>WEST VALLEY ELEMENTARY</t>
  </si>
  <si>
    <t>WESTBROOK ELEMENTARY</t>
  </si>
  <si>
    <t>WESTERN HILLS ELEM</t>
  </si>
  <si>
    <t>WEST LAKE JR HIGH</t>
  </si>
  <si>
    <t>WHITTIER ELEMENTARY</t>
  </si>
  <si>
    <t>WILLIAM PENN ELEMENTARY</t>
  </si>
  <si>
    <t>WOODROW WILSON ELEM</t>
  </si>
  <si>
    <t>WOODSTOCK ELEMENTARY</t>
  </si>
  <si>
    <t>CEDAR CITY HIGH</t>
  </si>
  <si>
    <t>CEDAR EAST ELEMENTARY</t>
  </si>
  <si>
    <t>ENOCH ELEMENTARY</t>
  </si>
  <si>
    <t>IRON SPRINGS ELEMENTARY</t>
  </si>
  <si>
    <t>THREE PEAKS ELEMENTARY</t>
  </si>
  <si>
    <t>MONA ELEMENTARY</t>
  </si>
  <si>
    <t>NEBO VIEW ELEMENTARY</t>
  </si>
  <si>
    <t>RED CLIFFS ELEMENTARY</t>
  </si>
  <si>
    <t>BIG WATER ELEMENTARY</t>
  </si>
  <si>
    <t>LAKE POWELL SCHOOL</t>
  </si>
  <si>
    <t>DELTA EARLY CHILDHOOD</t>
  </si>
  <si>
    <t>DELTA ELEMENTARY</t>
  </si>
  <si>
    <t>DELTA MIDDLE SCHOOL</t>
  </si>
  <si>
    <t>BLUFFDALE ELEMENTARY</t>
  </si>
  <si>
    <t>BUTTERFIELD CANYON ELEM</t>
  </si>
  <si>
    <t>COPPER CANYON ELEM</t>
  </si>
  <si>
    <t>COPPERVIEW ELEMENTARY</t>
  </si>
  <si>
    <t>CRESCENT ELEMENTARY</t>
  </si>
  <si>
    <t>DAYBREAK ELEMENTARY</t>
  </si>
  <si>
    <t>EASTLAKE ELEMENTARY</t>
  </si>
  <si>
    <t>ELK MEADOWS ELEMENTARY</t>
  </si>
  <si>
    <t>FALCON RIDGE ELEMENTARY</t>
  </si>
  <si>
    <t>FOOTHILLS ELEMENTARY</t>
  </si>
  <si>
    <t>HAYDEN PEAK ELEMENTARY</t>
  </si>
  <si>
    <t>HEARTLAND ELEMENTARY</t>
  </si>
  <si>
    <t>HERRIMAN ELEMENTARY</t>
  </si>
  <si>
    <t>JOEL P JENSEN MIDDLE</t>
  </si>
  <si>
    <t>JORDAN HILLS ELEMENTARY</t>
  </si>
  <si>
    <t>JORDAN RIDGE ELEMENTARY</t>
  </si>
  <si>
    <t>KAURI SUE HAMILTON SCH</t>
  </si>
  <si>
    <t>MAJESTIC ELEMENTARY</t>
  </si>
  <si>
    <t>MIDAS CREEK ELEMENTARY</t>
  </si>
  <si>
    <t>MONTE VISTA ELEMENTARY</t>
  </si>
  <si>
    <t>MOUNTAIN SHADOWS ELEM</t>
  </si>
  <si>
    <t>OAKCREST ELEMENTARY</t>
  </si>
  <si>
    <t>OQUIRRH ELEMENTARY</t>
  </si>
  <si>
    <t>RIVERSIDE ELEMENTARY</t>
  </si>
  <si>
    <t>RIVERTON ELEMENTARY</t>
  </si>
  <si>
    <t>ROSAMOND ELEMENTARY</t>
  </si>
  <si>
    <t>ROSE CREEK ELEMENTARY</t>
  </si>
  <si>
    <t>SILVER CREST ELEMENTARY</t>
  </si>
  <si>
    <t>SOUTH JORDAN ELEM</t>
  </si>
  <si>
    <t>SOUTHLAND ELEMENTARY</t>
  </si>
  <si>
    <t>TERRA LINDA ELEMENTARY</t>
  </si>
  <si>
    <t>VALLEY HIGH SCHOOL</t>
  </si>
  <si>
    <t>WELBY ELEMENTARY</t>
  </si>
  <si>
    <t>WEST JORDAN ELEMENTARY</t>
  </si>
  <si>
    <t>WESTLAND ELEMENTARY</t>
  </si>
  <si>
    <t>WESTVALE ELEMENTARY</t>
  </si>
  <si>
    <t>ART CITY ELEMENTARY</t>
  </si>
  <si>
    <t>BARNETT ELEMENTARY</t>
  </si>
  <si>
    <t>BROCKBANK ELEMENTARY</t>
  </si>
  <si>
    <t>BROOKSIDE ELEMENTARY</t>
  </si>
  <si>
    <t>CHERRY CREEK ELEM</t>
  </si>
  <si>
    <t>EAST MEADOWS ELEM</t>
  </si>
  <si>
    <t>GOSHEN ELEMENTARY</t>
  </si>
  <si>
    <t>HOBBLE CREEK ELEM</t>
  </si>
  <si>
    <t>LARSEN ELEMENTARY</t>
  </si>
  <si>
    <t>MAPLE MOUNTAIN HIGH</t>
  </si>
  <si>
    <t>MAPLETON ELEMENTARY</t>
  </si>
  <si>
    <t>MT. LOAFER ELEMENTARY</t>
  </si>
  <si>
    <t>ORCHARD HILLS ELEM</t>
  </si>
  <si>
    <t>PARKVIEW ELEMENTARY</t>
  </si>
  <si>
    <t>PAYSON JR HIGH</t>
  </si>
  <si>
    <t>REES ELEMENTARY</t>
  </si>
  <si>
    <t>SAGE CREEK ELEMENTARY</t>
  </si>
  <si>
    <t>RIVERVIEW ELEMENTARY</t>
  </si>
  <si>
    <t>SALEM ELEMENTARY</t>
  </si>
  <si>
    <t>SALEM HIGH SCHOOL</t>
  </si>
  <si>
    <t>SPANISH FORK JR HIGH</t>
  </si>
  <si>
    <t>SPANISH OAKS ELEMENTARY</t>
  </si>
  <si>
    <t>SPRING LAKE ELEMENTARY</t>
  </si>
  <si>
    <t>TAYLOR ELEMENTARY</t>
  </si>
  <si>
    <t>WESTSIDE ELEMENTARY</t>
  </si>
  <si>
    <t>WILSON ELEMENTARY</t>
  </si>
  <si>
    <t>FAIRVIEW ELEMENTARY</t>
  </si>
  <si>
    <t>FOUNTAIN GREEN ELEM</t>
  </si>
  <si>
    <t>MORONI ELEMENTARY</t>
  </si>
  <si>
    <t>MT PLEASANT ELEM</t>
  </si>
  <si>
    <t>SPRING CITY ELEMENTARY</t>
  </si>
  <si>
    <t>JEREMY RANCH ELEM</t>
  </si>
  <si>
    <t>MCPOLIN ELEMENTARY</t>
  </si>
  <si>
    <t>PARK CITY HIGH SCHOOL</t>
  </si>
  <si>
    <t>PARLEY'S PARK ELEM</t>
  </si>
  <si>
    <t>TRAILSIDE ELEMENTARY</t>
  </si>
  <si>
    <t>CIRCLEVILLE ELEMENTARY</t>
  </si>
  <si>
    <t>OSCARSON ELEMENTARY</t>
  </si>
  <si>
    <t>ALBERT R LYMAN MIDDLE</t>
  </si>
  <si>
    <t>BLANDING ELEMENTARY</t>
  </si>
  <si>
    <t>BLUFF ELEMENTARY</t>
  </si>
  <si>
    <t>LASAL ELEMENTARY</t>
  </si>
  <si>
    <t>MONTICELLO ELEMENTARY</t>
  </si>
  <si>
    <t>ASHMAN ELEMENTARY</t>
  </si>
  <si>
    <t>KOOSHAREM ELEMENTARY</t>
  </si>
  <si>
    <t>NORTH SEVIER HIGH</t>
  </si>
  <si>
    <t>PAHVANT ELEMENTARY</t>
  </si>
  <si>
    <t>SALINA ELEMENTARY</t>
  </si>
  <si>
    <t>EPHRAIM ELEMENTARY</t>
  </si>
  <si>
    <t>MANTI ELEMENTARY</t>
  </si>
  <si>
    <t>ANNA SMITH ELEMENTARY</t>
  </si>
  <si>
    <t>CLARKE JOHNSON JR HIGH</t>
  </si>
  <si>
    <t>DUGWAY ELEMENTARY/HIGH</t>
  </si>
  <si>
    <t>HARRIS ELEMENTARY</t>
  </si>
  <si>
    <t>IBAPAH ELEMENTARY</t>
  </si>
  <si>
    <t>MIDDLE CANYON ELEM</t>
  </si>
  <si>
    <t>NORTHLAKE ELEMENTARY</t>
  </si>
  <si>
    <t>OVERLAKE ELEMENTARY</t>
  </si>
  <si>
    <t>ROSE SPRINGS ELEMENTARY</t>
  </si>
  <si>
    <t>SETTLEMENT CANYON ELEM</t>
  </si>
  <si>
    <t>STANSBURY HIGH</t>
  </si>
  <si>
    <t>TOOELE JR HIGH</t>
  </si>
  <si>
    <t>VERNON ELEMENTARY</t>
  </si>
  <si>
    <t>WEST ELEMENTARY</t>
  </si>
  <si>
    <t>WILLOW ELEMENTARY</t>
  </si>
  <si>
    <t>ASHLEY ELEMENTARY</t>
  </si>
  <si>
    <t>ASHLEY VALLEY EDUC CNT</t>
  </si>
  <si>
    <t>DAVIS ELEMENTARY</t>
  </si>
  <si>
    <t>LAPOINT ELEMENTARY</t>
  </si>
  <si>
    <t>MAESER ELEMENTARY</t>
  </si>
  <si>
    <t>NAPLES ELEMENTARY</t>
  </si>
  <si>
    <t>HEBER VALLEY ELEMENTARY</t>
  </si>
  <si>
    <t>J.R. SMITH ELEMENTARY</t>
  </si>
  <si>
    <t>MIDWAY ELEMENTARY</t>
  </si>
  <si>
    <t>OLD MILL ELEMENTARY</t>
  </si>
  <si>
    <t>ROCKY MOUNTAIN MIDDLE</t>
  </si>
  <si>
    <t>TIMPANOGAS INTER SCHOOL</t>
  </si>
  <si>
    <t>ARROWHEAD ELEMENTARY</t>
  </si>
  <si>
    <t>BLOOMINGTON ELEMENTARY</t>
  </si>
  <si>
    <t>BLOOMINGTON HILLS ELEM</t>
  </si>
  <si>
    <t>CORAL CANYON ELEM</t>
  </si>
  <si>
    <t>CORAL CLIFFS ELEMENTARY</t>
  </si>
  <si>
    <t>DIAMOND VALLEY  ELEM</t>
  </si>
  <si>
    <t>DIXIE SUN ELEMENTARY</t>
  </si>
  <si>
    <t>ENTERPRISE ELEMENTARY</t>
  </si>
  <si>
    <t>FOSSIL RIDGE INTERMEDIATE</t>
  </si>
  <si>
    <t>HORIZON ELEMENTARY</t>
  </si>
  <si>
    <t>HURRICANE ELEMENTARY</t>
  </si>
  <si>
    <t>LAVERKIN ELEMENTARY</t>
  </si>
  <si>
    <t>LITTLE VALLEY ELEMENTARY</t>
  </si>
  <si>
    <t>PANORAMA ELEMENTARY</t>
  </si>
  <si>
    <t>RED MOUNTAIN ELEMENTARY</t>
  </si>
  <si>
    <t>SANDSTONE ELEMENTARY</t>
  </si>
  <si>
    <t>SANTA CLARA ELEMENTARY</t>
  </si>
  <si>
    <t>SPRINGDALE ELEMENTARY</t>
  </si>
  <si>
    <t>SUNRISE RIDGE INTERMED</t>
  </si>
  <si>
    <t>THREE FALLS ELEMENTARY</t>
  </si>
  <si>
    <t>HANKSVILLE ELEMENTARY</t>
  </si>
  <si>
    <t>LOA ELEMENTARY</t>
  </si>
  <si>
    <t>BATES ELEMENTARY</t>
  </si>
  <si>
    <t>CLUB HEIGHTS ELEMENTARY</t>
  </si>
  <si>
    <t>COUNTRY VIEW ELEM</t>
  </si>
  <si>
    <t>FARR WEST ELEMENTARY</t>
  </si>
  <si>
    <t>GREEN ACRES ELEMENTARY</t>
  </si>
  <si>
    <t>H. GUY CHILD ELEMENTARY</t>
  </si>
  <si>
    <t>HOOPER ELEMENTARY</t>
  </si>
  <si>
    <t>KANESVILLE ELEMENTARY</t>
  </si>
  <si>
    <t>LAKEVIEW ELEMENTARY</t>
  </si>
  <si>
    <t>LOMOND VIEW ELEMENTARY</t>
  </si>
  <si>
    <t>MARLON HILLS ELEMENTARY</t>
  </si>
  <si>
    <t>MIDLAND ELEMENTARY</t>
  </si>
  <si>
    <t>MUNICIPAL ELEMENTARY</t>
  </si>
  <si>
    <t>NO. OGDEN ELEMENTARY</t>
  </si>
  <si>
    <t>NORTH OGDEN JR HIGH</t>
  </si>
  <si>
    <t>ORION JR HIGH</t>
  </si>
  <si>
    <t>PLAIN CITY ELEMENTARY</t>
  </si>
  <si>
    <t>RIVERDALE ELEMENTARY</t>
  </si>
  <si>
    <t>ROCKY MOUNTAIN JR HIGH</t>
  </si>
  <si>
    <t>ROY ELEMENTARY</t>
  </si>
  <si>
    <t>ROY JR HIGH</t>
  </si>
  <si>
    <t>SAND RIDGE JR HIGH</t>
  </si>
  <si>
    <t>SNOW CREST JR HIGH</t>
  </si>
  <si>
    <t>SOUTH OGDEN JR HIGH</t>
  </si>
  <si>
    <t>T.H. BELL JR HIGH</t>
  </si>
  <si>
    <t>UINTAH ELEMENTARY</t>
  </si>
  <si>
    <t>WAHLQUIST JR HIGH</t>
  </si>
  <si>
    <t>WASHINGTON TERRACE EL</t>
  </si>
  <si>
    <t>WEST HAVEN ELEMENTARY</t>
  </si>
  <si>
    <t>WEST WEBER ELEMENTARY</t>
  </si>
  <si>
    <t>GRANT ELEMENTARY</t>
  </si>
  <si>
    <t>HILLCREST JR HIGH</t>
  </si>
  <si>
    <t>LIBERTY ELEMENTARY</t>
  </si>
  <si>
    <t>LONGVIEW ELEMENTARY</t>
  </si>
  <si>
    <t>MCMILLAN ELEMENTARY</t>
  </si>
  <si>
    <t>RIVERVIEW JR HIGH</t>
  </si>
  <si>
    <t>VIEWMONT ELEMENTARY</t>
  </si>
  <si>
    <t>BACKMAN ELEMENTARY</t>
  </si>
  <si>
    <t>BEACON HEIGHTS ELEM</t>
  </si>
  <si>
    <t>BRYANT MIDDLE SCHOOL</t>
  </si>
  <si>
    <t>DILWORTH ELEMENTARY</t>
  </si>
  <si>
    <t>EDISON ELEMENTARY</t>
  </si>
  <si>
    <t>EMERSON ELEMENTARY</t>
  </si>
  <si>
    <t>ENSIGN ELEMENTARY</t>
  </si>
  <si>
    <t>FRANKLIN ELEMENTARY</t>
  </si>
  <si>
    <t>HAWTHORNE ELEMENTARY</t>
  </si>
  <si>
    <t>HIGHLAND PARK ELEM</t>
  </si>
  <si>
    <t>HORIZONTE HS NORTHWEST</t>
  </si>
  <si>
    <t>INDIAN HILLS ELEMENTARY</t>
  </si>
  <si>
    <t>JACKSON ELEMENTARY</t>
  </si>
  <si>
    <t>M LYNN BENNION ELEM</t>
  </si>
  <si>
    <t>MEADOWLARK ELEMENTARY</t>
  </si>
  <si>
    <t>NEWMAN ELEMENTARY</t>
  </si>
  <si>
    <t>NIBLEY PARK ELEMENTARY</t>
  </si>
  <si>
    <t>NORTH STAR ELEMENTARY</t>
  </si>
  <si>
    <t>RILEY ELEMENTARY</t>
  </si>
  <si>
    <t>ROSE PARK ELEMENTARY</t>
  </si>
  <si>
    <t>DEE ELEMENTARY</t>
  </si>
  <si>
    <t>GRAMERCY ELEMENTARY</t>
  </si>
  <si>
    <t>HERITAGE ELEMENTARY SCH</t>
  </si>
  <si>
    <t>HORACE MANN ELEMENTARY</t>
  </si>
  <si>
    <t>JAMES MADISON ELEM</t>
  </si>
  <si>
    <t>MOUND FORT JR HIGH</t>
  </si>
  <si>
    <t>MOUNT OGDEN JR HIGH</t>
  </si>
  <si>
    <t>ODYSSEY ELEMENTARY</t>
  </si>
  <si>
    <t>POLK ELEMENTARY</t>
  </si>
  <si>
    <t>T.O. SMITH ELEMENTARY</t>
  </si>
  <si>
    <t>SHADOW VALLEY ELEM</t>
  </si>
  <si>
    <t>AMELIA EARHART ELEM</t>
  </si>
  <si>
    <t>CANYON CREST ELEM</t>
  </si>
  <si>
    <t>EDGEMONT ELEMENTARY</t>
  </si>
  <si>
    <t>PROVOST ELEMENTARY</t>
  </si>
  <si>
    <t>ROCK CANYON  ELEMENTARY</t>
  </si>
  <si>
    <t>SPRING CREEK ELEM</t>
  </si>
  <si>
    <t>SUNSET VIEW ELEMENTARY</t>
  </si>
  <si>
    <t>TIMPANOGOS ELEMENTARY</t>
  </si>
  <si>
    <t>WESTRIDGE ELEMENTARY</t>
  </si>
  <si>
    <t>BRIDGER ELEMENTARY</t>
  </si>
  <si>
    <t>ELLIS ELEMENTARY</t>
  </si>
  <si>
    <t>WOODRUFF ELEMENTARY</t>
  </si>
  <si>
    <t>ALTA VIEW ELEMENTARY</t>
  </si>
  <si>
    <t>BELL VIEW ELEMENTARY</t>
  </si>
  <si>
    <t>BELLA VISTA ELEMENTARY</t>
  </si>
  <si>
    <t>BROOKWOOD ELEMENTARY</t>
  </si>
  <si>
    <t>BUTLER ELEMENTARY</t>
  </si>
  <si>
    <t>CANYON VIEW ELEMENTARY</t>
  </si>
  <si>
    <t>DRAPER ELEMENTARY</t>
  </si>
  <si>
    <t>EAST MIDVALE ELEMENTARY</t>
  </si>
  <si>
    <t>EAST SANDY ELEMENTARY</t>
  </si>
  <si>
    <t>GRANITE ELEMENTARY</t>
  </si>
  <si>
    <t>JORDAN TECH</t>
  </si>
  <si>
    <t>JORDAN VALLEY SCHOOL</t>
  </si>
  <si>
    <t>LONE PEAK ELEMENTARY</t>
  </si>
  <si>
    <t>MIDVALE ELEMENTARY</t>
  </si>
  <si>
    <t>MIDVALLEY ELEMENTARY</t>
  </si>
  <si>
    <t>OAK HOLLOW ELEMENTARY</t>
  </si>
  <si>
    <t>OAKDALE ELEMENTARY</t>
  </si>
  <si>
    <t>PARK LANE ELEMENTARY</t>
  </si>
  <si>
    <t>PERUVIAN PARK ELEM</t>
  </si>
  <si>
    <t>QUAIL HOLLOW ELEM</t>
  </si>
  <si>
    <t>RIDGECREST ELEMENTARY</t>
  </si>
  <si>
    <t>SANDY ELEMENTARY</t>
  </si>
  <si>
    <t>SILVER MESA ELEMENTARY</t>
  </si>
  <si>
    <t>SPRUCEWOOD ELEM</t>
  </si>
  <si>
    <t>WILLOW CANYON ELEM</t>
  </si>
  <si>
    <t>WILLOW SPRINGS ELEM</t>
  </si>
  <si>
    <t>5E</t>
  </si>
  <si>
    <t>AMERICAN PREP ACAD</t>
  </si>
  <si>
    <t>SCHOOL FOR NEW AMERICNS</t>
  </si>
  <si>
    <t>9D1</t>
  </si>
  <si>
    <t>7F</t>
  </si>
  <si>
    <t>EXCELSIOR ACADEMY</t>
  </si>
  <si>
    <t>7E</t>
  </si>
  <si>
    <t>8E</t>
  </si>
  <si>
    <t>MERIT COLLEGE PREP ACAD</t>
  </si>
  <si>
    <t>4B1</t>
  </si>
  <si>
    <t>3F</t>
  </si>
  <si>
    <t>VENTURE ACADEMY</t>
  </si>
  <si>
    <t>SYRACUSE ARTS ACADEMY</t>
  </si>
  <si>
    <t>4D1</t>
  </si>
  <si>
    <t>QUEST ACADEMY</t>
  </si>
  <si>
    <t>1F</t>
  </si>
  <si>
    <t>8D</t>
  </si>
  <si>
    <t>OPEN CLASSROOM</t>
  </si>
  <si>
    <t>6D</t>
  </si>
  <si>
    <t>NOAH WEBSTER ACADEMY</t>
  </si>
  <si>
    <t>1C</t>
  </si>
  <si>
    <t>ODYSSEY CHARTER SCH</t>
  </si>
  <si>
    <t>AMERICAN PREP ACADEMY</t>
  </si>
  <si>
    <t>AMERICAN LEADERSHIP ACAD</t>
  </si>
  <si>
    <t>MERIT COLL PREP ACAD</t>
  </si>
  <si>
    <t>VALLEY MENTAL HEALTH</t>
  </si>
  <si>
    <t>RP1</t>
  </si>
  <si>
    <t>CENTRAL UT/RICHFIELD</t>
  </si>
  <si>
    <t>FARMINGTON BAY YOUTH CN</t>
  </si>
  <si>
    <t>MOUNTAIN TRAILS ELEM</t>
  </si>
  <si>
    <t>TRAVERSE MOUNTAIN ELEM</t>
  </si>
  <si>
    <t>VISTA HEIGHTS MIDDLE SCH</t>
  </si>
  <si>
    <t>COMMUNITY HIGH</t>
  </si>
  <si>
    <t>BIRCH CREEK ELEMENTARY</t>
  </si>
  <si>
    <t>STUDENT SUPPORT SERV</t>
  </si>
  <si>
    <t>3E</t>
  </si>
  <si>
    <t>CS LEWIS ACADEMY</t>
  </si>
  <si>
    <t>ENDEAVOR ELEMENTARY</t>
  </si>
  <si>
    <t>DAN PETERSON SCHOOL</t>
  </si>
  <si>
    <t>HELEN M KNIGHT</t>
  </si>
  <si>
    <t>CRICKET CARE</t>
  </si>
  <si>
    <t>FAST FORWARD CHARTER</t>
  </si>
  <si>
    <t>8G</t>
  </si>
  <si>
    <t>GOOD FOUNDATIONS ACAD</t>
  </si>
  <si>
    <t>GEARLD WRIGHT ELEM</t>
  </si>
  <si>
    <t>ALTARA ELEMENTARY</t>
  </si>
  <si>
    <t>HERRIMAN HIGH SCHOOL</t>
  </si>
  <si>
    <t>SPLIT MTN/VERNAL</t>
  </si>
  <si>
    <t>OGDEN PREP ELEMENTARY</t>
  </si>
  <si>
    <t>TAYLOR CANYON</t>
  </si>
  <si>
    <t>5G</t>
  </si>
  <si>
    <t>QUAIL RUN PRIMARH SCH</t>
  </si>
  <si>
    <t>QUAIL RUN PRIMARY SCH</t>
  </si>
  <si>
    <t>3D</t>
  </si>
  <si>
    <t>SPECTRUM ACADEMY ELEM</t>
  </si>
  <si>
    <t>SPECTRUM ACADEMY</t>
  </si>
  <si>
    <t>7G</t>
  </si>
  <si>
    <t>SUMMIT ACADEMY HIGH SCH</t>
  </si>
  <si>
    <t>A2</t>
  </si>
  <si>
    <t>THE RANCHES ACADEMY</t>
  </si>
  <si>
    <t>OASIS CHRISTAN CENTER</t>
  </si>
  <si>
    <t>C84</t>
  </si>
  <si>
    <t>CARMEN PINGREE SCHOOL</t>
  </si>
  <si>
    <t>WEST CAMPUS BOYS/GIRLS</t>
  </si>
  <si>
    <t>PINE VIEW HIGH SCHOOL</t>
  </si>
  <si>
    <t>BLUE PEAK HIGH</t>
  </si>
  <si>
    <t>THUNDER RIDGE ELEM</t>
  </si>
  <si>
    <t>9G</t>
  </si>
  <si>
    <t>ALIANZA ACADEMY</t>
  </si>
  <si>
    <t>ACCELERATED SCHOOL</t>
  </si>
  <si>
    <t>CENTENNIAL JR HIGH</t>
  </si>
  <si>
    <t>KINGS PEAK ELEMENTARY</t>
  </si>
  <si>
    <t>EARLY LIGHT ACADEMY</t>
  </si>
  <si>
    <t>EAST HOLLYWOOD HIGH</t>
  </si>
  <si>
    <t>A8</t>
  </si>
  <si>
    <t>ELK RUN ELEMENTARY</t>
  </si>
  <si>
    <t>GATEWAY PREPARATORY</t>
  </si>
  <si>
    <t>QT</t>
  </si>
  <si>
    <t>QT1</t>
  </si>
  <si>
    <t>INTEGRITY HOUSE</t>
  </si>
  <si>
    <t>CACHE VALLEY DETENTION</t>
  </si>
  <si>
    <t>CANYONLANDS/BLANDING</t>
  </si>
  <si>
    <t>OGDEN O &amp; A</t>
  </si>
  <si>
    <t>SALT LAKE O &amp; A</t>
  </si>
  <si>
    <t>LEGACY PREPARATORY</t>
  </si>
  <si>
    <t>5C</t>
  </si>
  <si>
    <t>LEGACY PREP ELEMENTARY</t>
  </si>
  <si>
    <t>LEGACY PREP ACADEMY</t>
  </si>
  <si>
    <t>6C</t>
  </si>
  <si>
    <t>LIBERTY ACADEMY</t>
  </si>
  <si>
    <t>2B</t>
  </si>
  <si>
    <t>LINCOLN ACADEMY</t>
  </si>
  <si>
    <t>FILLMORE ELEMENTARY</t>
  </si>
  <si>
    <t>SIERRA BONITA ELEMENTARY</t>
  </si>
  <si>
    <t>PC FOOD &amp; NUTRITION</t>
  </si>
  <si>
    <t>PROVIDENCE HALL</t>
  </si>
  <si>
    <t>9E</t>
  </si>
  <si>
    <t>PROVO PEAKS ELEMENTARY</t>
  </si>
  <si>
    <t>1D</t>
  </si>
  <si>
    <t>RENAISSANCE ACADEMY</t>
  </si>
  <si>
    <t>SALT LAKE CENTER FOR SCI</t>
  </si>
  <si>
    <t xml:space="preserve">TSEBII' NIDZISGAI ELEM </t>
  </si>
  <si>
    <t>GRANTSVILLE ELEMENTARY</t>
  </si>
  <si>
    <t>UTAH STATE HOSPITAL</t>
  </si>
  <si>
    <t>WEST CAMPUS DAY TREAT</t>
  </si>
  <si>
    <t>C85</t>
  </si>
  <si>
    <t>SNOW CANYON HIGH</t>
  </si>
  <si>
    <t>MILFORD ELEMENTARY</t>
  </si>
  <si>
    <t>MILFORD HIGH</t>
  </si>
  <si>
    <t>6F</t>
  </si>
  <si>
    <t>HORIZON SCHOOL</t>
  </si>
  <si>
    <t>2F</t>
  </si>
  <si>
    <t>ROCKWELL CHARTER HIGH</t>
  </si>
  <si>
    <t>ALL FIGURES ARE FOR THE LAST OPERATING DAY OF OCTOBER 2012</t>
  </si>
  <si>
    <t>4H</t>
  </si>
  <si>
    <t>ARISTOTLE ACADEMY</t>
  </si>
  <si>
    <t>3H</t>
  </si>
  <si>
    <t>ENDEAVOR HALL</t>
  </si>
  <si>
    <t>8F</t>
  </si>
  <si>
    <t>HAWTHORN ACADEMY</t>
  </si>
  <si>
    <t>7H</t>
  </si>
  <si>
    <t>PACIFIC HERITAGE ACADEMY</t>
  </si>
  <si>
    <t>ST. FRANCIS XAVIER</t>
  </si>
  <si>
    <t>1G</t>
  </si>
  <si>
    <t>JEFFERSON ACADEMY</t>
  </si>
  <si>
    <t>JORDAN APPLIED TECH CTR</t>
  </si>
  <si>
    <t>BRIDGES</t>
  </si>
  <si>
    <t>SALEM JUNIOR HIGH</t>
  </si>
  <si>
    <t>Q8</t>
  </si>
  <si>
    <t>NAA TSIS' AAN COMMUNITY</t>
  </si>
  <si>
    <t>Q81</t>
  </si>
  <si>
    <t>6H</t>
  </si>
  <si>
    <t>PROMONTORY SCHOOL</t>
  </si>
  <si>
    <t>Temp</t>
  </si>
  <si>
    <t>HORIZONTE HIGHLAND</t>
  </si>
  <si>
    <t>HORIZONTE MATHESON</t>
  </si>
  <si>
    <t>INNOVATIONS HIGH SCHOOL</t>
  </si>
  <si>
    <t>NH3</t>
  </si>
  <si>
    <t>PIUTE YOUTH DEV CNTR</t>
  </si>
  <si>
    <t>UT ST HOSPITAL-CHILD SITE</t>
  </si>
  <si>
    <t>UT ST HOSPITAL-YOUTH SITE</t>
  </si>
  <si>
    <t>D62</t>
  </si>
  <si>
    <t>3B</t>
  </si>
  <si>
    <t>BEEHIVE SCIENCE &amp;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</si>
</sst>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48">
    <xf numFmtId="0" fontId="0" fillId="0" borderId="0" xfId="0"/>
    <xf numFmtId="10" fontId="3" fillId="0" borderId="0" xfId="0" applyNumberFormat="1" applyFont="1" applyFill="1" applyAlignment="1">
      <alignment horizontal="centerContinuous"/>
    </xf>
    <xf numFmtId="3" fontId="3" fillId="0" borderId="7" xfId="0" applyNumberFormat="1" applyFont="1" applyFill="1" applyBorder="1"/>
    <xf numFmtId="3" fontId="3" fillId="0" borderId="5" xfId="0" applyNumberFormat="1" applyFont="1" applyFill="1" applyBorder="1"/>
    <xf numFmtId="3" fontId="3" fillId="0" borderId="1" xfId="0" applyNumberFormat="1" applyFont="1" applyFill="1" applyBorder="1"/>
    <xf numFmtId="3" fontId="3" fillId="0" borderId="0" xfId="0" applyNumberFormat="1" applyFont="1" applyFill="1"/>
    <xf numFmtId="0" fontId="3" fillId="0" borderId="0" xfId="0" applyFont="1" applyFill="1"/>
    <xf numFmtId="10" fontId="3" fillId="0" borderId="0" xfId="0" applyNumberFormat="1" applyFont="1" applyFill="1"/>
    <xf numFmtId="10" fontId="8" fillId="0" borderId="0" xfId="0" applyNumberFormat="1" applyFont="1" applyFill="1"/>
    <xf numFmtId="10" fontId="0" fillId="0" borderId="0" xfId="0" applyNumberFormat="1" applyFill="1"/>
    <xf numFmtId="0" fontId="7" fillId="0" borderId="0" xfId="0" applyFont="1" applyFill="1" applyAlignment="1">
      <alignment horizontal="centerContinuous"/>
    </xf>
    <xf numFmtId="0" fontId="0" fillId="0" borderId="0" xfId="0" applyFill="1" applyAlignment="1">
      <alignment horizontal="centerContinuous"/>
    </xf>
    <xf numFmtId="0" fontId="3" fillId="0" borderId="0" xfId="0" quotePrefix="1" applyFont="1" applyFill="1" applyAlignment="1">
      <alignment horizontal="centerContinuous"/>
    </xf>
    <xf numFmtId="0" fontId="3" fillId="0" borderId="0" xfId="0" applyFont="1" applyFill="1" applyAlignment="1">
      <alignment horizontal="centerContinuous"/>
    </xf>
    <xf numFmtId="0" fontId="0" fillId="0" borderId="0" xfId="0" applyFill="1"/>
    <xf numFmtId="0" fontId="7" fillId="0" borderId="0" xfId="0" quotePrefix="1" applyFont="1" applyFill="1" applyAlignment="1">
      <alignment horizontal="centerContinuous"/>
    </xf>
    <xf numFmtId="0" fontId="4" fillId="0" borderId="10" xfId="0" applyFont="1" applyFill="1" applyBorder="1" applyAlignment="1" applyProtection="1">
      <alignment horizontal="center"/>
    </xf>
    <xf numFmtId="0" fontId="4" fillId="0" borderId="6" xfId="0" applyFont="1" applyFill="1" applyBorder="1" applyAlignment="1" applyProtection="1">
      <alignment horizontal="center"/>
    </xf>
    <xf numFmtId="0" fontId="4" fillId="0" borderId="10" xfId="0" applyFont="1" applyFill="1" applyBorder="1"/>
    <xf numFmtId="0" fontId="4" fillId="0" borderId="1" xfId="0" applyFont="1" applyFill="1" applyBorder="1" applyAlignment="1">
      <alignment horizontal="centerContinuous"/>
    </xf>
    <xf numFmtId="0" fontId="4" fillId="0" borderId="8" xfId="0" applyFont="1" applyFill="1" applyBorder="1" applyAlignment="1">
      <alignment horizontal="centerContinuous"/>
    </xf>
    <xf numFmtId="0" fontId="4" fillId="0" borderId="9" xfId="0" applyFont="1" applyFill="1" applyBorder="1" applyAlignment="1">
      <alignment horizontal="centerContinuous"/>
    </xf>
    <xf numFmtId="0" fontId="4" fillId="0" borderId="10" xfId="0" quotePrefix="1" applyFont="1" applyFill="1" applyBorder="1" applyAlignment="1">
      <alignment horizontal="center"/>
    </xf>
    <xf numFmtId="10" fontId="4" fillId="0" borderId="10" xfId="0" applyNumberFormat="1" applyFont="1" applyFill="1" applyBorder="1" applyAlignment="1">
      <alignment horizontal="center"/>
    </xf>
    <xf numFmtId="0" fontId="4" fillId="0" borderId="11" xfId="0" applyFont="1" applyFill="1" applyBorder="1" applyAlignment="1" applyProtection="1">
      <alignment horizontal="center"/>
    </xf>
    <xf numFmtId="0" fontId="4" fillId="0" borderId="2" xfId="0" applyFont="1" applyFill="1" applyBorder="1" applyAlignment="1" applyProtection="1">
      <alignment horizontal="center"/>
    </xf>
    <xf numFmtId="0" fontId="4" fillId="0" borderId="2" xfId="0" quotePrefix="1" applyFont="1" applyFill="1" applyBorder="1" applyAlignment="1">
      <alignment horizontal="center"/>
    </xf>
    <xf numFmtId="0" fontId="4" fillId="0" borderId="11" xfId="0" quotePrefix="1" applyFont="1" applyFill="1" applyBorder="1" applyAlignment="1">
      <alignment horizontal="center"/>
    </xf>
    <xf numFmtId="10" fontId="4" fillId="0" borderId="11" xfId="0" applyNumberFormat="1" applyFont="1" applyFill="1" applyBorder="1" applyAlignment="1">
      <alignment horizontal="center"/>
    </xf>
    <xf numFmtId="3" fontId="5" fillId="0" borderId="7" xfId="0" applyNumberFormat="1" applyFont="1" applyFill="1" applyBorder="1" applyAlignment="1" applyProtection="1">
      <alignment horizontal="right"/>
    </xf>
    <xf numFmtId="0" fontId="5" fillId="0" borderId="7" xfId="0" applyFont="1" applyFill="1" applyBorder="1" applyProtection="1"/>
    <xf numFmtId="0" fontId="5" fillId="0" borderId="15" xfId="0" applyFont="1" applyFill="1" applyBorder="1" applyProtection="1"/>
    <xf numFmtId="0" fontId="5" fillId="0" borderId="7" xfId="0" applyFont="1" applyFill="1" applyBorder="1" applyAlignment="1" applyProtection="1">
      <alignment horizontal="left"/>
    </xf>
    <xf numFmtId="10" fontId="3" fillId="0" borderId="7" xfId="0" applyNumberFormat="1" applyFont="1" applyFill="1" applyBorder="1"/>
    <xf numFmtId="0" fontId="5" fillId="0" borderId="5" xfId="0" applyFont="1" applyFill="1" applyBorder="1" applyProtection="1"/>
    <xf numFmtId="0" fontId="5" fillId="0" borderId="8" xfId="0" applyFont="1" applyFill="1" applyBorder="1" applyProtection="1"/>
    <xf numFmtId="0" fontId="4" fillId="0" borderId="5" xfId="0" applyFont="1" applyFill="1" applyBorder="1" applyAlignment="1" applyProtection="1">
      <alignment horizontal="right"/>
    </xf>
    <xf numFmtId="10" fontId="3" fillId="0" borderId="5" xfId="0" applyNumberFormat="1" applyFont="1" applyFill="1" applyBorder="1"/>
    <xf numFmtId="0" fontId="5" fillId="0" borderId="16" xfId="0" applyFont="1" applyFill="1" applyBorder="1" applyProtection="1"/>
    <xf numFmtId="0" fontId="5" fillId="0" borderId="0" xfId="0" applyFont="1" applyFill="1" applyProtection="1"/>
    <xf numFmtId="0" fontId="5" fillId="0" borderId="16" xfId="0" applyFont="1" applyFill="1" applyBorder="1" applyAlignment="1" applyProtection="1">
      <alignment horizontal="left"/>
    </xf>
    <xf numFmtId="3" fontId="3" fillId="0" borderId="0" xfId="0" applyNumberFormat="1" applyFont="1" applyFill="1" applyBorder="1"/>
    <xf numFmtId="3" fontId="3" fillId="0" borderId="16" xfId="0" applyNumberFormat="1" applyFont="1" applyFill="1" applyBorder="1"/>
    <xf numFmtId="10" fontId="3" fillId="0" borderId="16" xfId="0" applyNumberFormat="1" applyFont="1" applyFill="1" applyBorder="1"/>
    <xf numFmtId="0" fontId="0" fillId="0" borderId="0" xfId="0" applyFill="1" applyBorder="1"/>
    <xf numFmtId="0" fontId="6" fillId="0" borderId="16" xfId="0" applyFont="1" applyFill="1" applyBorder="1" applyAlignment="1" applyProtection="1">
      <alignment horizontal="center"/>
    </xf>
    <xf numFmtId="3" fontId="3" fillId="0" borderId="15" xfId="0" applyNumberFormat="1" applyFont="1" applyFill="1" applyBorder="1"/>
    <xf numFmtId="3" fontId="3" fillId="0" borderId="0" xfId="0" applyNumberFormat="1" applyFont="1" applyFill="1" applyBorder="1" applyAlignment="1">
      <alignment horizontal="right"/>
    </xf>
    <xf numFmtId="0" fontId="5" fillId="0" borderId="19" xfId="0" applyFont="1" applyFill="1" applyBorder="1" applyProtection="1"/>
    <xf numFmtId="10" fontId="3" fillId="0" borderId="18" xfId="0" applyNumberFormat="1" applyFont="1" applyFill="1" applyBorder="1"/>
    <xf numFmtId="0" fontId="8" fillId="0" borderId="0" xfId="0" applyFont="1" applyFill="1"/>
    <xf numFmtId="0" fontId="3" fillId="0" borderId="0" xfId="0" quotePrefix="1" applyFont="1" applyFill="1" applyAlignment="1">
      <alignment horizontal="left"/>
    </xf>
    <xf numFmtId="10" fontId="4" fillId="0" borderId="10" xfId="0" quotePrefix="1" applyNumberFormat="1" applyFont="1" applyFill="1" applyBorder="1" applyAlignment="1">
      <alignment horizontal="center"/>
    </xf>
    <xf numFmtId="0" fontId="2" fillId="0" borderId="0" xfId="0" applyFont="1" applyFill="1"/>
    <xf numFmtId="10" fontId="4" fillId="0" borderId="11" xfId="0" quotePrefix="1" applyNumberFormat="1" applyFont="1" applyFill="1" applyBorder="1" applyAlignment="1">
      <alignment horizontal="center"/>
    </xf>
    <xf numFmtId="0" fontId="5" fillId="0" borderId="7" xfId="0" applyFont="1" applyFill="1" applyBorder="1" applyAlignment="1" applyProtection="1">
      <alignment horizontal="right"/>
    </xf>
    <xf numFmtId="3" fontId="5" fillId="0" borderId="7" xfId="0" applyNumberFormat="1" applyFont="1" applyFill="1" applyBorder="1" applyProtection="1"/>
    <xf numFmtId="0" fontId="5" fillId="0" borderId="18" xfId="0" applyFont="1" applyFill="1" applyBorder="1" applyAlignment="1" applyProtection="1">
      <alignment horizontal="right"/>
    </xf>
    <xf numFmtId="10" fontId="3" fillId="0" borderId="20" xfId="0" applyNumberFormat="1" applyFont="1" applyFill="1" applyBorder="1"/>
    <xf numFmtId="0" fontId="0" fillId="0" borderId="7" xfId="0" applyFill="1" applyBorder="1"/>
    <xf numFmtId="0" fontId="1" fillId="0" borderId="0" xfId="0" applyFont="1" applyFill="1"/>
    <xf numFmtId="10" fontId="1" fillId="0" borderId="0" xfId="0" applyNumberFormat="1" applyFont="1" applyFill="1"/>
    <xf numFmtId="0" fontId="3" fillId="0" borderId="7" xfId="0" applyFont="1" applyFill="1" applyBorder="1" applyAlignment="1" applyProtection="1">
      <alignment horizontal="left"/>
    </xf>
    <xf numFmtId="0" fontId="3" fillId="0" borderId="7" xfId="0" applyFont="1" applyFill="1" applyBorder="1" applyProtection="1"/>
    <xf numFmtId="0" fontId="3" fillId="0" borderId="18" xfId="0" applyFont="1" applyFill="1" applyBorder="1" applyAlignment="1" applyProtection="1">
      <alignment horizontal="right"/>
    </xf>
    <xf numFmtId="0" fontId="3" fillId="0" borderId="18" xfId="0" applyFont="1" applyFill="1" applyBorder="1" applyAlignment="1" applyProtection="1">
      <alignment horizontal="left"/>
    </xf>
    <xf numFmtId="0" fontId="3" fillId="0" borderId="7" xfId="0" applyFont="1" applyFill="1" applyBorder="1" applyAlignment="1" applyProtection="1">
      <alignment horizontal="right"/>
    </xf>
    <xf numFmtId="17" fontId="9" fillId="0" borderId="0" xfId="0" applyNumberFormat="1" applyFont="1" applyFill="1" applyAlignment="1">
      <alignment horizontal="left"/>
    </xf>
    <xf numFmtId="0" fontId="3" fillId="0" borderId="20" xfId="0" applyFont="1" applyFill="1" applyBorder="1" applyAlignment="1" applyProtection="1">
      <alignment horizontal="right"/>
    </xf>
    <xf numFmtId="0" fontId="3" fillId="0" borderId="20" xfId="0" applyFont="1" applyFill="1" applyBorder="1" applyAlignment="1" applyProtection="1">
      <alignment horizontal="left"/>
    </xf>
    <xf numFmtId="0" fontId="3" fillId="0" borderId="16" xfId="0" applyFont="1" applyFill="1" applyBorder="1" applyAlignment="1" applyProtection="1">
      <alignment horizontal="left"/>
    </xf>
    <xf numFmtId="0" fontId="3" fillId="0" borderId="19" xfId="0" applyFont="1" applyFill="1" applyBorder="1" applyProtection="1"/>
    <xf numFmtId="0" fontId="5" fillId="0" borderId="18" xfId="0" applyFont="1" applyFill="1" applyBorder="1" applyAlignment="1" applyProtection="1">
      <alignment horizontal="left"/>
    </xf>
    <xf numFmtId="0" fontId="5" fillId="0" borderId="18" xfId="0" applyFont="1" applyFill="1" applyBorder="1" applyProtection="1"/>
    <xf numFmtId="3" fontId="3" fillId="0" borderId="21" xfId="0" applyNumberFormat="1" applyFont="1" applyFill="1" applyBorder="1"/>
    <xf numFmtId="3" fontId="3" fillId="0" borderId="20" xfId="0" applyNumberFormat="1" applyFont="1" applyFill="1" applyBorder="1"/>
    <xf numFmtId="0" fontId="3" fillId="0" borderId="21" xfId="0" applyFont="1" applyFill="1" applyBorder="1" applyProtection="1"/>
    <xf numFmtId="0" fontId="3" fillId="0" borderId="5" xfId="0" applyFont="1" applyFill="1" applyBorder="1" applyProtection="1"/>
    <xf numFmtId="0" fontId="3" fillId="0" borderId="8" xfId="0" applyFont="1" applyFill="1" applyBorder="1" applyProtection="1"/>
    <xf numFmtId="0" fontId="3" fillId="0" borderId="5" xfId="0" applyFont="1" applyFill="1" applyBorder="1" applyAlignment="1" applyProtection="1">
      <alignment horizontal="right"/>
    </xf>
    <xf numFmtId="3" fontId="3" fillId="0" borderId="8" xfId="0" applyNumberFormat="1" applyFont="1" applyFill="1" applyBorder="1"/>
    <xf numFmtId="0" fontId="5" fillId="0" borderId="7" xfId="1" applyNumberFormat="1" applyFont="1" applyFill="1" applyBorder="1" applyProtection="1"/>
    <xf numFmtId="0" fontId="5" fillId="0" borderId="20" xfId="0" applyFont="1" applyFill="1" applyBorder="1" applyAlignment="1" applyProtection="1">
      <alignment horizontal="right"/>
    </xf>
    <xf numFmtId="0" fontId="5" fillId="0" borderId="21" xfId="0" applyFont="1" applyFill="1" applyBorder="1" applyProtection="1"/>
    <xf numFmtId="0" fontId="3" fillId="0" borderId="15" xfId="0" applyFont="1" applyFill="1" applyBorder="1" applyProtection="1"/>
    <xf numFmtId="3" fontId="3" fillId="0" borderId="15" xfId="0" applyNumberFormat="1" applyFont="1" applyFill="1" applyBorder="1" applyAlignment="1">
      <alignment horizontal="right"/>
    </xf>
    <xf numFmtId="3" fontId="3" fillId="0" borderId="7" xfId="0" applyNumberFormat="1" applyFont="1" applyFill="1" applyBorder="1" applyAlignment="1">
      <alignment horizontal="right"/>
    </xf>
    <xf numFmtId="0" fontId="5" fillId="0" borderId="16" xfId="0" applyFont="1" applyFill="1" applyBorder="1" applyAlignment="1" applyProtection="1">
      <alignment horizontal="right"/>
    </xf>
    <xf numFmtId="3" fontId="5" fillId="0" borderId="16" xfId="0" applyNumberFormat="1" applyFont="1" applyFill="1" applyBorder="1" applyProtection="1"/>
    <xf numFmtId="0" fontId="3" fillId="0" borderId="14" xfId="0" applyFont="1" applyFill="1" applyBorder="1" applyAlignment="1" applyProtection="1">
      <alignment horizontal="right"/>
    </xf>
    <xf numFmtId="3" fontId="3" fillId="0" borderId="3" xfId="0" applyNumberFormat="1" applyFont="1" applyFill="1" applyBorder="1"/>
    <xf numFmtId="0" fontId="3" fillId="0" borderId="14" xfId="0" applyFont="1" applyFill="1" applyBorder="1" applyAlignment="1" applyProtection="1">
      <alignment horizontal="left"/>
    </xf>
    <xf numFmtId="10" fontId="3" fillId="0" borderId="14" xfId="0" applyNumberFormat="1" applyFont="1" applyFill="1" applyBorder="1"/>
    <xf numFmtId="0" fontId="5" fillId="0" borderId="12" xfId="0" applyFont="1" applyFill="1" applyBorder="1" applyAlignment="1" applyProtection="1">
      <alignment horizontal="center"/>
    </xf>
    <xf numFmtId="0" fontId="5" fillId="0" borderId="13" xfId="0" applyFont="1" applyFill="1" applyBorder="1" applyAlignment="1" applyProtection="1">
      <alignment horizontal="center"/>
    </xf>
    <xf numFmtId="0" fontId="6" fillId="0" borderId="12" xfId="0" applyFont="1" applyFill="1" applyBorder="1" applyAlignment="1" applyProtection="1">
      <alignment horizontal="center"/>
    </xf>
    <xf numFmtId="0" fontId="3" fillId="0" borderId="13" xfId="0" quotePrefix="1" applyFont="1" applyFill="1" applyBorder="1" applyAlignment="1"/>
    <xf numFmtId="0" fontId="3" fillId="0" borderId="12" xfId="0" quotePrefix="1" applyFont="1" applyFill="1" applyBorder="1" applyAlignment="1">
      <alignment horizontal="center"/>
    </xf>
    <xf numFmtId="0" fontId="3" fillId="0" borderId="13" xfId="0" quotePrefix="1" applyFont="1" applyFill="1" applyBorder="1" applyAlignment="1">
      <alignment horizontal="center"/>
    </xf>
    <xf numFmtId="10" fontId="3" fillId="0" borderId="12" xfId="0" quotePrefix="1" applyNumberFormat="1" applyFont="1" applyFill="1" applyBorder="1" applyAlignment="1">
      <alignment horizontal="center"/>
    </xf>
    <xf numFmtId="0" fontId="5" fillId="0" borderId="14" xfId="0" applyFont="1" applyFill="1" applyBorder="1" applyProtection="1"/>
    <xf numFmtId="0" fontId="5" fillId="0" borderId="3" xfId="0" applyFont="1" applyFill="1" applyBorder="1" applyProtection="1"/>
    <xf numFmtId="3" fontId="3" fillId="0" borderId="14" xfId="0" applyNumberFormat="1" applyFont="1" applyFill="1" applyBorder="1"/>
    <xf numFmtId="0" fontId="5" fillId="0" borderId="12" xfId="0" applyFont="1" applyFill="1" applyBorder="1" applyProtection="1"/>
    <xf numFmtId="0" fontId="5" fillId="0" borderId="13" xfId="0" applyFont="1" applyFill="1" applyBorder="1" applyAlignment="1" applyProtection="1"/>
    <xf numFmtId="0" fontId="3" fillId="0" borderId="12" xfId="0" applyFont="1" applyFill="1" applyBorder="1" applyAlignment="1" applyProtection="1"/>
    <xf numFmtId="3" fontId="3" fillId="0" borderId="12" xfId="0" quotePrefix="1" applyNumberFormat="1" applyFont="1" applyFill="1" applyBorder="1" applyAlignment="1"/>
    <xf numFmtId="10" fontId="3" fillId="0" borderId="12" xfId="0" applyNumberFormat="1" applyFont="1" applyFill="1" applyBorder="1"/>
    <xf numFmtId="0" fontId="3" fillId="0" borderId="19" xfId="0" applyFont="1" applyFill="1" applyBorder="1" applyAlignment="1" applyProtection="1">
      <alignment horizontal="center"/>
    </xf>
    <xf numFmtId="3" fontId="3" fillId="0" borderId="7" xfId="0" quotePrefix="1" applyNumberFormat="1" applyFont="1" applyFill="1" applyBorder="1" applyAlignment="1"/>
    <xf numFmtId="3" fontId="3" fillId="0" borderId="0" xfId="0" applyNumberFormat="1" applyFont="1" applyFill="1" applyAlignment="1">
      <alignment horizontal="right"/>
    </xf>
    <xf numFmtId="3" fontId="3" fillId="0" borderId="16" xfId="0" applyNumberFormat="1" applyFont="1" applyFill="1" applyBorder="1" applyAlignment="1">
      <alignment horizontal="right"/>
    </xf>
    <xf numFmtId="0" fontId="5" fillId="0" borderId="14" xfId="0" applyFont="1" applyFill="1" applyBorder="1" applyAlignment="1" applyProtection="1">
      <alignment horizontal="right"/>
    </xf>
    <xf numFmtId="0" fontId="5" fillId="0" borderId="14" xfId="0" applyFont="1" applyFill="1" applyBorder="1" applyAlignment="1" applyProtection="1">
      <alignment horizontal="left"/>
    </xf>
    <xf numFmtId="0" fontId="3" fillId="0" borderId="7" xfId="0" quotePrefix="1" applyFont="1" applyFill="1" applyBorder="1" applyAlignment="1" applyProtection="1">
      <alignment horizontal="left"/>
    </xf>
    <xf numFmtId="10" fontId="3" fillId="0" borderId="17" xfId="0" applyNumberFormat="1" applyFont="1" applyFill="1" applyBorder="1"/>
    <xf numFmtId="3" fontId="3" fillId="0" borderId="0" xfId="0" applyNumberFormat="1" applyFont="1" applyFill="1" applyBorder="1" applyAlignment="1">
      <alignment horizontal="centerContinuous"/>
    </xf>
    <xf numFmtId="3" fontId="3" fillId="0" borderId="23" xfId="0" applyNumberFormat="1" applyFont="1" applyFill="1" applyBorder="1"/>
    <xf numFmtId="3" fontId="3" fillId="0" borderId="22" xfId="0" applyNumberFormat="1" applyFont="1" applyFill="1" applyBorder="1"/>
    <xf numFmtId="0" fontId="5" fillId="0" borderId="7" xfId="0" quotePrefix="1" applyFont="1" applyFill="1" applyBorder="1" applyAlignment="1" applyProtection="1">
      <alignment horizontal="left"/>
    </xf>
    <xf numFmtId="0" fontId="3" fillId="0" borderId="16" xfId="0" applyFont="1" applyFill="1" applyBorder="1" applyAlignment="1" applyProtection="1">
      <alignment horizontal="right"/>
    </xf>
    <xf numFmtId="0" fontId="3" fillId="0" borderId="18" xfId="0" applyFont="1" applyFill="1" applyBorder="1" applyProtection="1"/>
    <xf numFmtId="0" fontId="5" fillId="0" borderId="0" xfId="0" applyFont="1" applyFill="1" applyBorder="1" applyProtection="1"/>
    <xf numFmtId="0" fontId="4" fillId="0" borderId="16" xfId="0" applyFont="1" applyFill="1" applyBorder="1" applyAlignment="1" applyProtection="1">
      <alignment horizontal="right"/>
    </xf>
    <xf numFmtId="0" fontId="3" fillId="0" borderId="4" xfId="0" applyFont="1" applyFill="1" applyBorder="1" applyProtection="1"/>
    <xf numFmtId="0" fontId="3" fillId="0" borderId="0" xfId="0" applyFont="1" applyFill="1" applyBorder="1" applyProtection="1"/>
    <xf numFmtId="0" fontId="5" fillId="0" borderId="18" xfId="0" applyFont="1" applyFill="1" applyBorder="1" applyAlignment="1" applyProtection="1">
      <alignment horizontal="left" vertical="center"/>
    </xf>
    <xf numFmtId="0" fontId="3" fillId="0" borderId="11" xfId="0" applyFont="1" applyFill="1" applyBorder="1" applyAlignment="1" applyProtection="1">
      <alignment horizontal="right"/>
    </xf>
    <xf numFmtId="0" fontId="5" fillId="0" borderId="24" xfId="0" applyFont="1" applyFill="1" applyBorder="1" applyProtection="1"/>
    <xf numFmtId="0" fontId="3" fillId="0" borderId="11" xfId="0" applyFont="1" applyFill="1" applyBorder="1" applyAlignment="1" applyProtection="1">
      <alignment horizontal="left"/>
    </xf>
    <xf numFmtId="3" fontId="5" fillId="0" borderId="11" xfId="0" applyNumberFormat="1" applyFont="1" applyFill="1" applyBorder="1" applyProtection="1"/>
    <xf numFmtId="10" fontId="3" fillId="0" borderId="11" xfId="0" applyNumberFormat="1" applyFont="1" applyFill="1" applyBorder="1"/>
    <xf numFmtId="0" fontId="5" fillId="0" borderId="19" xfId="0" quotePrefix="1" applyFont="1" applyFill="1" applyBorder="1" applyAlignment="1" applyProtection="1">
      <alignment horizontal="right"/>
    </xf>
    <xf numFmtId="0" fontId="5" fillId="0" borderId="20" xfId="0" applyFont="1" applyFill="1" applyBorder="1" applyProtection="1"/>
    <xf numFmtId="0" fontId="5" fillId="0" borderId="19" xfId="0" applyFont="1" applyFill="1" applyBorder="1" applyAlignment="1" applyProtection="1">
      <alignment horizontal="right"/>
    </xf>
    <xf numFmtId="3" fontId="3" fillId="0" borderId="0" xfId="0" applyNumberFormat="1" applyFont="1" applyFill="1" applyAlignment="1">
      <alignment horizontal="centerContinuous"/>
    </xf>
    <xf numFmtId="3" fontId="3" fillId="0" borderId="16" xfId="0" applyNumberFormat="1" applyFont="1" applyFill="1" applyBorder="1" applyAlignment="1">
      <alignment horizontal="centerContinuous"/>
    </xf>
    <xf numFmtId="0" fontId="3" fillId="0" borderId="19" xfId="0" applyFont="1" applyFill="1" applyBorder="1" applyAlignment="1" applyProtection="1">
      <alignment horizontal="right"/>
    </xf>
    <xf numFmtId="3" fontId="5" fillId="0" borderId="20" xfId="0" applyNumberFormat="1" applyFont="1" applyFill="1" applyBorder="1" applyProtection="1"/>
    <xf numFmtId="0" fontId="5" fillId="0" borderId="20" xfId="0" applyFont="1" applyFill="1" applyBorder="1" applyAlignment="1" applyProtection="1">
      <alignment horizontal="left"/>
    </xf>
    <xf numFmtId="0" fontId="5" fillId="0" borderId="16" xfId="0" quotePrefix="1" applyFont="1" applyFill="1" applyBorder="1" applyAlignment="1" applyProtection="1">
      <alignment horizontal="left"/>
    </xf>
    <xf numFmtId="3" fontId="3" fillId="0" borderId="18" xfId="0" applyNumberFormat="1" applyFont="1" applyFill="1" applyBorder="1"/>
    <xf numFmtId="0" fontId="5" fillId="0" borderId="18" xfId="0" quotePrefix="1" applyFont="1" applyFill="1" applyBorder="1" applyAlignment="1" applyProtection="1">
      <alignment horizontal="right"/>
    </xf>
    <xf numFmtId="0" fontId="3" fillId="0" borderId="20" xfId="0" applyFont="1" applyFill="1" applyBorder="1" applyProtection="1"/>
    <xf numFmtId="0" fontId="5" fillId="0" borderId="11" xfId="0" applyFont="1" applyFill="1" applyBorder="1" applyProtection="1"/>
    <xf numFmtId="0" fontId="5" fillId="0" borderId="2" xfId="0" applyFont="1" applyFill="1" applyBorder="1" applyProtection="1"/>
    <xf numFmtId="0" fontId="5" fillId="0" borderId="11" xfId="0" applyFont="1" applyFill="1" applyBorder="1" applyAlignment="1" applyProtection="1">
      <alignment horizontal="left"/>
    </xf>
    <xf numFmtId="3" fontId="5" fillId="0" borderId="5" xfId="0" applyNumberFormat="1" applyFont="1" applyFill="1" applyBorder="1" applyProtection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669"/>
  <sheetViews>
    <sheetView showGridLines="0" tabSelected="1" zoomScaleNormal="100" workbookViewId="0">
      <selection activeCell="F1234" sqref="F1234"/>
    </sheetView>
  </sheetViews>
  <sheetFormatPr defaultRowHeight="12.75" x14ac:dyDescent="0.2"/>
  <cols>
    <col min="1" max="1" width="4.85546875" style="14" customWidth="1"/>
    <col min="2" max="2" width="6.28515625" style="14" customWidth="1"/>
    <col min="3" max="3" width="24.28515625" style="14" customWidth="1"/>
    <col min="4" max="5" width="9.140625" style="14"/>
    <col min="6" max="6" width="10" style="14" bestFit="1" customWidth="1"/>
    <col min="7" max="7" width="10.42578125" style="14" customWidth="1"/>
    <col min="8" max="8" width="10.42578125" style="9" customWidth="1"/>
    <col min="9" max="16384" width="9.140625" style="14"/>
  </cols>
  <sheetData>
    <row r="1" spans="1:8" ht="15.75" x14ac:dyDescent="0.25">
      <c r="A1" s="10" t="s">
        <v>346</v>
      </c>
      <c r="B1" s="11"/>
      <c r="C1" s="11"/>
      <c r="D1" s="12"/>
      <c r="E1" s="13"/>
      <c r="F1" s="13"/>
      <c r="G1" s="13"/>
      <c r="H1" s="1"/>
    </row>
    <row r="2" spans="1:8" ht="15.75" x14ac:dyDescent="0.25">
      <c r="A2" s="15" t="s">
        <v>1024</v>
      </c>
      <c r="B2" s="11"/>
      <c r="C2" s="11"/>
      <c r="D2" s="12"/>
      <c r="E2" s="13"/>
      <c r="F2" s="13"/>
      <c r="G2" s="13"/>
      <c r="H2" s="1"/>
    </row>
    <row r="3" spans="1:8" x14ac:dyDescent="0.2">
      <c r="A3" s="11" t="s">
        <v>217</v>
      </c>
      <c r="B3" s="11"/>
      <c r="C3" s="11"/>
      <c r="D3" s="12"/>
      <c r="E3" s="13"/>
      <c r="F3" s="13"/>
      <c r="G3" s="13"/>
      <c r="H3" s="1"/>
    </row>
    <row r="4" spans="1:8" x14ac:dyDescent="0.2">
      <c r="A4" s="67"/>
      <c r="B4" s="11"/>
      <c r="C4" s="11"/>
      <c r="D4" s="12"/>
      <c r="E4" s="13"/>
      <c r="F4" s="13"/>
      <c r="G4" s="13"/>
      <c r="H4" s="1"/>
    </row>
    <row r="5" spans="1:8" ht="13.5" thickBot="1" x14ac:dyDescent="0.25">
      <c r="B5" s="11"/>
      <c r="C5" s="11"/>
      <c r="D5" s="13" t="s">
        <v>217</v>
      </c>
      <c r="E5" s="13"/>
      <c r="F5" s="13"/>
      <c r="G5" s="13"/>
      <c r="H5" s="1"/>
    </row>
    <row r="6" spans="1:8" ht="13.5" customHeight="1" thickBot="1" x14ac:dyDescent="0.25">
      <c r="A6" s="16" t="s">
        <v>265</v>
      </c>
      <c r="B6" s="17" t="s">
        <v>0</v>
      </c>
      <c r="C6" s="18"/>
      <c r="D6" s="19" t="s">
        <v>1</v>
      </c>
      <c r="E6" s="20"/>
      <c r="F6" s="21"/>
      <c r="G6" s="22" t="s">
        <v>2</v>
      </c>
      <c r="H6" s="23" t="s">
        <v>3</v>
      </c>
    </row>
    <row r="7" spans="1:8" ht="13.5" thickBot="1" x14ac:dyDescent="0.25">
      <c r="A7" s="24" t="s">
        <v>4</v>
      </c>
      <c r="B7" s="25" t="s">
        <v>5</v>
      </c>
      <c r="C7" s="24" t="s">
        <v>6</v>
      </c>
      <c r="D7" s="26" t="s">
        <v>7</v>
      </c>
      <c r="E7" s="27" t="s">
        <v>8</v>
      </c>
      <c r="F7" s="26" t="s">
        <v>9</v>
      </c>
      <c r="G7" s="27" t="s">
        <v>10</v>
      </c>
      <c r="H7" s="28" t="s">
        <v>11</v>
      </c>
    </row>
    <row r="8" spans="1:8" x14ac:dyDescent="0.2">
      <c r="A8" s="93"/>
      <c r="B8" s="94"/>
      <c r="C8" s="95" t="s">
        <v>12</v>
      </c>
      <c r="D8" s="96"/>
      <c r="E8" s="97"/>
      <c r="F8" s="98"/>
      <c r="G8" s="97"/>
      <c r="H8" s="99"/>
    </row>
    <row r="9" spans="1:8" x14ac:dyDescent="0.2">
      <c r="A9" s="100">
        <v>1</v>
      </c>
      <c r="B9" s="101">
        <v>103</v>
      </c>
      <c r="C9" s="91" t="s">
        <v>384</v>
      </c>
      <c r="D9" s="90">
        <v>80</v>
      </c>
      <c r="E9" s="102">
        <v>24</v>
      </c>
      <c r="F9" s="90">
        <f>617-(D9+E9)</f>
        <v>513</v>
      </c>
      <c r="G9" s="102">
        <f t="shared" ref="G9:G42" si="0">SUM(D9:F9)</f>
        <v>617</v>
      </c>
      <c r="H9" s="92">
        <f t="shared" ref="H9:H42" si="1">+(D9+E9)/G9</f>
        <v>0.16855753646677471</v>
      </c>
    </row>
    <row r="10" spans="1:8" x14ac:dyDescent="0.2">
      <c r="A10" s="30">
        <v>1</v>
      </c>
      <c r="B10" s="31">
        <v>107</v>
      </c>
      <c r="C10" s="62" t="s">
        <v>385</v>
      </c>
      <c r="D10" s="90">
        <v>140</v>
      </c>
      <c r="E10" s="102">
        <v>46</v>
      </c>
      <c r="F10" s="90">
        <f>468-(D10+E10)</f>
        <v>282</v>
      </c>
      <c r="G10" s="102">
        <f t="shared" si="0"/>
        <v>468</v>
      </c>
      <c r="H10" s="33">
        <f t="shared" si="1"/>
        <v>0.39743589743589741</v>
      </c>
    </row>
    <row r="11" spans="1:8" x14ac:dyDescent="0.2">
      <c r="A11" s="30">
        <v>1</v>
      </c>
      <c r="B11" s="31">
        <v>112</v>
      </c>
      <c r="C11" s="62" t="s">
        <v>386</v>
      </c>
      <c r="D11" s="90">
        <v>75</v>
      </c>
      <c r="E11" s="102">
        <v>41</v>
      </c>
      <c r="F11" s="90">
        <f>597-(D11+E11)</f>
        <v>481</v>
      </c>
      <c r="G11" s="102">
        <f t="shared" si="0"/>
        <v>597</v>
      </c>
      <c r="H11" s="33">
        <f t="shared" si="1"/>
        <v>0.19430485762144054</v>
      </c>
    </row>
    <row r="12" spans="1:8" x14ac:dyDescent="0.2">
      <c r="A12" s="30">
        <v>1</v>
      </c>
      <c r="B12" s="31">
        <v>117</v>
      </c>
      <c r="C12" s="62" t="s">
        <v>387</v>
      </c>
      <c r="D12" s="90">
        <v>287</v>
      </c>
      <c r="E12" s="102">
        <v>71</v>
      </c>
      <c r="F12" s="90">
        <f>739-(D12+E12)</f>
        <v>381</v>
      </c>
      <c r="G12" s="102">
        <f t="shared" si="0"/>
        <v>739</v>
      </c>
      <c r="H12" s="33">
        <f t="shared" si="1"/>
        <v>0.4844384303112314</v>
      </c>
    </row>
    <row r="13" spans="1:8" x14ac:dyDescent="0.2">
      <c r="A13" s="30">
        <v>1</v>
      </c>
      <c r="B13" s="31">
        <v>121</v>
      </c>
      <c r="C13" s="62" t="s">
        <v>388</v>
      </c>
      <c r="D13" s="90">
        <v>145</v>
      </c>
      <c r="E13" s="102">
        <v>36</v>
      </c>
      <c r="F13" s="90">
        <f>626-(D13+E13)</f>
        <v>445</v>
      </c>
      <c r="G13" s="102">
        <f t="shared" si="0"/>
        <v>626</v>
      </c>
      <c r="H13" s="33">
        <f t="shared" si="1"/>
        <v>0.28913738019169327</v>
      </c>
    </row>
    <row r="14" spans="1:8" x14ac:dyDescent="0.2">
      <c r="A14" s="30">
        <v>1</v>
      </c>
      <c r="B14" s="31">
        <v>123</v>
      </c>
      <c r="C14" s="62" t="s">
        <v>369</v>
      </c>
      <c r="D14" s="90">
        <v>81</v>
      </c>
      <c r="E14" s="102">
        <v>41</v>
      </c>
      <c r="F14" s="90">
        <f>1042-(D14+E14)</f>
        <v>920</v>
      </c>
      <c r="G14" s="102">
        <f t="shared" si="0"/>
        <v>1042</v>
      </c>
      <c r="H14" s="33">
        <f t="shared" si="1"/>
        <v>0.11708253358925144</v>
      </c>
    </row>
    <row r="15" spans="1:8" x14ac:dyDescent="0.2">
      <c r="A15" s="30">
        <v>1</v>
      </c>
      <c r="B15" s="31">
        <v>125</v>
      </c>
      <c r="C15" s="62" t="s">
        <v>370</v>
      </c>
      <c r="D15" s="90">
        <v>28</v>
      </c>
      <c r="E15" s="102">
        <v>20</v>
      </c>
      <c r="F15" s="90">
        <f>123-(D15+E15)</f>
        <v>75</v>
      </c>
      <c r="G15" s="102">
        <f t="shared" si="0"/>
        <v>123</v>
      </c>
      <c r="H15" s="33">
        <f t="shared" si="1"/>
        <v>0.3902439024390244</v>
      </c>
    </row>
    <row r="16" spans="1:8" x14ac:dyDescent="0.2">
      <c r="A16" s="30">
        <v>1</v>
      </c>
      <c r="B16" s="31">
        <v>129</v>
      </c>
      <c r="C16" s="62" t="s">
        <v>371</v>
      </c>
      <c r="D16" s="90">
        <v>232</v>
      </c>
      <c r="E16" s="102">
        <v>55</v>
      </c>
      <c r="F16" s="90">
        <f>545-(D16+E16)</f>
        <v>258</v>
      </c>
      <c r="G16" s="102">
        <f t="shared" si="0"/>
        <v>545</v>
      </c>
      <c r="H16" s="33">
        <f t="shared" si="1"/>
        <v>0.52660550458715594</v>
      </c>
    </row>
    <row r="17" spans="1:8" x14ac:dyDescent="0.2">
      <c r="A17" s="30">
        <v>1</v>
      </c>
      <c r="B17" s="31">
        <v>134</v>
      </c>
      <c r="C17" s="62" t="s">
        <v>372</v>
      </c>
      <c r="D17" s="90">
        <v>299</v>
      </c>
      <c r="E17" s="102">
        <v>54</v>
      </c>
      <c r="F17" s="90">
        <f>686-(D17+E17)</f>
        <v>333</v>
      </c>
      <c r="G17" s="102">
        <f t="shared" si="0"/>
        <v>686</v>
      </c>
      <c r="H17" s="33">
        <f t="shared" si="1"/>
        <v>0.51457725947521871</v>
      </c>
    </row>
    <row r="18" spans="1:8" x14ac:dyDescent="0.2">
      <c r="A18" s="30">
        <v>1</v>
      </c>
      <c r="B18" s="31">
        <v>138</v>
      </c>
      <c r="C18" s="62" t="s">
        <v>373</v>
      </c>
      <c r="D18" s="90">
        <v>94</v>
      </c>
      <c r="E18" s="102">
        <v>37</v>
      </c>
      <c r="F18" s="90">
        <f>926-(D18+E18)</f>
        <v>795</v>
      </c>
      <c r="G18" s="102">
        <f t="shared" si="0"/>
        <v>926</v>
      </c>
      <c r="H18" s="33">
        <f t="shared" si="1"/>
        <v>0.14146868250539957</v>
      </c>
    </row>
    <row r="19" spans="1:8" x14ac:dyDescent="0.2">
      <c r="A19" s="30">
        <v>1</v>
      </c>
      <c r="B19" s="31">
        <v>140</v>
      </c>
      <c r="C19" s="62" t="s">
        <v>374</v>
      </c>
      <c r="D19" s="90">
        <v>104</v>
      </c>
      <c r="E19" s="102">
        <v>46</v>
      </c>
      <c r="F19" s="90">
        <f>1006-(D19+E19)</f>
        <v>856</v>
      </c>
      <c r="G19" s="102">
        <f t="shared" si="0"/>
        <v>1006</v>
      </c>
      <c r="H19" s="33">
        <f t="shared" si="1"/>
        <v>0.14910536779324055</v>
      </c>
    </row>
    <row r="20" spans="1:8" x14ac:dyDescent="0.2">
      <c r="A20" s="30">
        <v>1</v>
      </c>
      <c r="B20" s="31">
        <v>141</v>
      </c>
      <c r="C20" s="62" t="s">
        <v>375</v>
      </c>
      <c r="D20" s="90">
        <v>163</v>
      </c>
      <c r="E20" s="102">
        <v>147</v>
      </c>
      <c r="F20" s="90">
        <f>782-(D20+E20)</f>
        <v>472</v>
      </c>
      <c r="G20" s="102">
        <f t="shared" si="0"/>
        <v>782</v>
      </c>
      <c r="H20" s="33">
        <f t="shared" si="1"/>
        <v>0.39641943734015345</v>
      </c>
    </row>
    <row r="21" spans="1:8" x14ac:dyDescent="0.2">
      <c r="A21" s="30">
        <v>1</v>
      </c>
      <c r="B21" s="31">
        <v>144</v>
      </c>
      <c r="C21" s="62" t="s">
        <v>376</v>
      </c>
      <c r="D21" s="90">
        <v>137</v>
      </c>
      <c r="E21" s="102">
        <v>28</v>
      </c>
      <c r="F21" s="90">
        <f>629-(D21+E21)</f>
        <v>464</v>
      </c>
      <c r="G21" s="102">
        <f t="shared" si="0"/>
        <v>629</v>
      </c>
      <c r="H21" s="33">
        <f t="shared" si="1"/>
        <v>0.26232114467408585</v>
      </c>
    </row>
    <row r="22" spans="1:8" x14ac:dyDescent="0.2">
      <c r="A22" s="30">
        <v>1</v>
      </c>
      <c r="B22" s="31">
        <v>145</v>
      </c>
      <c r="C22" s="62" t="s">
        <v>377</v>
      </c>
      <c r="D22" s="90">
        <v>190</v>
      </c>
      <c r="E22" s="102">
        <v>46</v>
      </c>
      <c r="F22" s="90">
        <f>557-(D22+E22)</f>
        <v>321</v>
      </c>
      <c r="G22" s="102">
        <f t="shared" si="0"/>
        <v>557</v>
      </c>
      <c r="H22" s="33">
        <f t="shared" si="1"/>
        <v>0.42369838420107719</v>
      </c>
    </row>
    <row r="23" spans="1:8" x14ac:dyDescent="0.2">
      <c r="A23" s="30">
        <v>1</v>
      </c>
      <c r="B23" s="31">
        <v>147</v>
      </c>
      <c r="C23" s="62" t="s">
        <v>378</v>
      </c>
      <c r="D23" s="90">
        <v>58</v>
      </c>
      <c r="E23" s="102">
        <v>33</v>
      </c>
      <c r="F23" s="90">
        <f>1207-(D23+E23)</f>
        <v>1116</v>
      </c>
      <c r="G23" s="102">
        <f t="shared" si="0"/>
        <v>1207</v>
      </c>
      <c r="H23" s="33">
        <f t="shared" si="1"/>
        <v>7.5393537696768848E-2</v>
      </c>
    </row>
    <row r="24" spans="1:8" x14ac:dyDescent="0.2">
      <c r="A24" s="30">
        <v>1</v>
      </c>
      <c r="B24" s="31">
        <v>148</v>
      </c>
      <c r="C24" s="62" t="s">
        <v>379</v>
      </c>
      <c r="D24" s="90">
        <v>196</v>
      </c>
      <c r="E24" s="102">
        <v>81</v>
      </c>
      <c r="F24" s="90">
        <f>1108-(D24+E24)</f>
        <v>831</v>
      </c>
      <c r="G24" s="102">
        <f t="shared" si="0"/>
        <v>1108</v>
      </c>
      <c r="H24" s="33">
        <f t="shared" si="1"/>
        <v>0.25</v>
      </c>
    </row>
    <row r="25" spans="1:8" x14ac:dyDescent="0.2">
      <c r="A25" s="30">
        <v>1</v>
      </c>
      <c r="B25" s="31">
        <v>156</v>
      </c>
      <c r="C25" s="62" t="s">
        <v>380</v>
      </c>
      <c r="D25" s="90">
        <v>331</v>
      </c>
      <c r="E25" s="102">
        <v>73</v>
      </c>
      <c r="F25" s="90">
        <f>503-(D25+E25)</f>
        <v>99</v>
      </c>
      <c r="G25" s="102">
        <f t="shared" si="0"/>
        <v>503</v>
      </c>
      <c r="H25" s="33">
        <f t="shared" si="1"/>
        <v>0.80318091451292251</v>
      </c>
    </row>
    <row r="26" spans="1:8" x14ac:dyDescent="0.2">
      <c r="A26" s="30">
        <v>1</v>
      </c>
      <c r="B26" s="31">
        <v>161</v>
      </c>
      <c r="C26" s="62" t="s">
        <v>381</v>
      </c>
      <c r="D26" s="90">
        <v>272</v>
      </c>
      <c r="E26" s="102">
        <v>59</v>
      </c>
      <c r="F26" s="90">
        <f>579-(D26+E26)</f>
        <v>248</v>
      </c>
      <c r="G26" s="102">
        <f t="shared" si="0"/>
        <v>579</v>
      </c>
      <c r="H26" s="33">
        <f t="shared" si="1"/>
        <v>0.57167530224525043</v>
      </c>
    </row>
    <row r="27" spans="1:8" x14ac:dyDescent="0.2">
      <c r="A27" s="30">
        <v>1</v>
      </c>
      <c r="B27" s="31">
        <v>166</v>
      </c>
      <c r="C27" s="62" t="s">
        <v>382</v>
      </c>
      <c r="D27" s="90">
        <v>121</v>
      </c>
      <c r="E27" s="102">
        <v>40</v>
      </c>
      <c r="F27" s="90">
        <f>737-(D27+E27)</f>
        <v>576</v>
      </c>
      <c r="G27" s="102">
        <f t="shared" si="0"/>
        <v>737</v>
      </c>
      <c r="H27" s="33">
        <f t="shared" si="1"/>
        <v>0.21845318860244234</v>
      </c>
    </row>
    <row r="28" spans="1:8" x14ac:dyDescent="0.2">
      <c r="A28" s="30">
        <v>1</v>
      </c>
      <c r="B28" s="31">
        <v>170</v>
      </c>
      <c r="C28" s="62" t="s">
        <v>383</v>
      </c>
      <c r="D28" s="90">
        <v>98</v>
      </c>
      <c r="E28" s="102">
        <v>66</v>
      </c>
      <c r="F28" s="90">
        <f>893-(D28+E28)</f>
        <v>729</v>
      </c>
      <c r="G28" s="102">
        <f t="shared" si="0"/>
        <v>893</v>
      </c>
      <c r="H28" s="33">
        <f t="shared" si="1"/>
        <v>0.18365061590145576</v>
      </c>
    </row>
    <row r="29" spans="1:8" x14ac:dyDescent="0.2">
      <c r="A29" s="30">
        <v>1</v>
      </c>
      <c r="B29" s="31">
        <v>171</v>
      </c>
      <c r="C29" s="62" t="s">
        <v>368</v>
      </c>
      <c r="D29" s="90">
        <v>76</v>
      </c>
      <c r="E29" s="102">
        <v>21</v>
      </c>
      <c r="F29" s="90">
        <f>842-(D29+E29)</f>
        <v>745</v>
      </c>
      <c r="G29" s="102">
        <f t="shared" si="0"/>
        <v>842</v>
      </c>
      <c r="H29" s="33">
        <f t="shared" si="1"/>
        <v>0.11520190023752969</v>
      </c>
    </row>
    <row r="30" spans="1:8" x14ac:dyDescent="0.2">
      <c r="A30" s="30">
        <v>1</v>
      </c>
      <c r="B30" s="31">
        <v>172</v>
      </c>
      <c r="C30" s="62" t="s">
        <v>367</v>
      </c>
      <c r="D30" s="90">
        <v>179</v>
      </c>
      <c r="E30" s="102">
        <v>42</v>
      </c>
      <c r="F30" s="90">
        <f>404-(D30+E30)</f>
        <v>183</v>
      </c>
      <c r="G30" s="102">
        <f t="shared" si="0"/>
        <v>404</v>
      </c>
      <c r="H30" s="33">
        <f t="shared" si="1"/>
        <v>0.54702970297029707</v>
      </c>
    </row>
    <row r="31" spans="1:8" x14ac:dyDescent="0.2">
      <c r="A31" s="30">
        <v>1</v>
      </c>
      <c r="B31" s="31">
        <v>175</v>
      </c>
      <c r="C31" s="62" t="s">
        <v>366</v>
      </c>
      <c r="D31" s="90">
        <v>76</v>
      </c>
      <c r="E31" s="102">
        <v>43</v>
      </c>
      <c r="F31" s="90">
        <f>838-(D31+E31)</f>
        <v>719</v>
      </c>
      <c r="G31" s="102">
        <f t="shared" si="0"/>
        <v>838</v>
      </c>
      <c r="H31" s="33">
        <f t="shared" si="1"/>
        <v>0.14200477326968974</v>
      </c>
    </row>
    <row r="32" spans="1:8" x14ac:dyDescent="0.2">
      <c r="A32" s="30">
        <v>1</v>
      </c>
      <c r="B32" s="31">
        <v>183</v>
      </c>
      <c r="C32" s="62" t="s">
        <v>365</v>
      </c>
      <c r="D32" s="90">
        <v>143</v>
      </c>
      <c r="E32" s="102">
        <v>35</v>
      </c>
      <c r="F32" s="90">
        <f>606-(D32+E32)</f>
        <v>428</v>
      </c>
      <c r="G32" s="102">
        <f t="shared" si="0"/>
        <v>606</v>
      </c>
      <c r="H32" s="33">
        <f t="shared" si="1"/>
        <v>0.29372937293729373</v>
      </c>
    </row>
    <row r="33" spans="1:8" x14ac:dyDescent="0.2">
      <c r="A33" s="30">
        <v>1</v>
      </c>
      <c r="B33" s="31">
        <v>187</v>
      </c>
      <c r="C33" s="62" t="s">
        <v>389</v>
      </c>
      <c r="D33" s="90">
        <v>162</v>
      </c>
      <c r="E33" s="102">
        <v>49</v>
      </c>
      <c r="F33" s="90">
        <f>686-(D33+E33)</f>
        <v>475</v>
      </c>
      <c r="G33" s="102">
        <f t="shared" si="0"/>
        <v>686</v>
      </c>
      <c r="H33" s="33">
        <f t="shared" si="1"/>
        <v>0.3075801749271137</v>
      </c>
    </row>
    <row r="34" spans="1:8" x14ac:dyDescent="0.2">
      <c r="A34" s="30">
        <v>1</v>
      </c>
      <c r="B34" s="31">
        <v>191</v>
      </c>
      <c r="C34" s="62" t="s">
        <v>393</v>
      </c>
      <c r="D34" s="90">
        <v>237</v>
      </c>
      <c r="E34" s="102">
        <v>101</v>
      </c>
      <c r="F34" s="90">
        <f>1136-(D34+E34)</f>
        <v>798</v>
      </c>
      <c r="G34" s="102">
        <f t="shared" si="0"/>
        <v>1136</v>
      </c>
      <c r="H34" s="33">
        <f t="shared" si="1"/>
        <v>0.29753521126760563</v>
      </c>
    </row>
    <row r="35" spans="1:8" x14ac:dyDescent="0.2">
      <c r="A35" s="30">
        <v>1</v>
      </c>
      <c r="B35" s="31">
        <v>196</v>
      </c>
      <c r="C35" s="62" t="s">
        <v>360</v>
      </c>
      <c r="D35" s="90">
        <v>195</v>
      </c>
      <c r="E35" s="102">
        <v>104</v>
      </c>
      <c r="F35" s="90">
        <f>1211-(D35+E35)</f>
        <v>912</v>
      </c>
      <c r="G35" s="102">
        <f>SUM(D35:F35)</f>
        <v>1211</v>
      </c>
      <c r="H35" s="33">
        <f t="shared" si="1"/>
        <v>0.24690338563170933</v>
      </c>
    </row>
    <row r="36" spans="1:8" x14ac:dyDescent="0.2">
      <c r="A36" s="30">
        <v>1</v>
      </c>
      <c r="B36" s="31">
        <v>200</v>
      </c>
      <c r="C36" s="62" t="s">
        <v>364</v>
      </c>
      <c r="D36" s="90">
        <v>134</v>
      </c>
      <c r="E36" s="102">
        <v>46</v>
      </c>
      <c r="F36" s="90">
        <f>703-(D36+E36)</f>
        <v>523</v>
      </c>
      <c r="G36" s="102">
        <f t="shared" si="0"/>
        <v>703</v>
      </c>
      <c r="H36" s="33">
        <f t="shared" si="1"/>
        <v>0.25604551920341395</v>
      </c>
    </row>
    <row r="37" spans="1:8" x14ac:dyDescent="0.2">
      <c r="A37" s="30">
        <v>1</v>
      </c>
      <c r="B37" s="31">
        <v>204</v>
      </c>
      <c r="C37" s="62" t="s">
        <v>358</v>
      </c>
      <c r="D37" s="90">
        <v>127</v>
      </c>
      <c r="E37" s="102">
        <v>29</v>
      </c>
      <c r="F37" s="90">
        <f>641-(D37+E37)</f>
        <v>485</v>
      </c>
      <c r="G37" s="102">
        <f t="shared" si="0"/>
        <v>641</v>
      </c>
      <c r="H37" s="33">
        <f t="shared" si="1"/>
        <v>0.24336973478939158</v>
      </c>
    </row>
    <row r="38" spans="1:8" s="60" customFormat="1" x14ac:dyDescent="0.2">
      <c r="A38" s="63">
        <v>1</v>
      </c>
      <c r="B38" s="84">
        <v>205</v>
      </c>
      <c r="C38" s="62" t="s">
        <v>940</v>
      </c>
      <c r="D38" s="90">
        <v>133</v>
      </c>
      <c r="E38" s="102">
        <v>69</v>
      </c>
      <c r="F38" s="90">
        <f>650-(D38+E38)</f>
        <v>448</v>
      </c>
      <c r="G38" s="102">
        <f t="shared" ref="G38" si="2">SUM(D38:F38)</f>
        <v>650</v>
      </c>
      <c r="H38" s="33">
        <f t="shared" ref="H38" si="3">+(D38+E38)/G38</f>
        <v>0.31076923076923074</v>
      </c>
    </row>
    <row r="39" spans="1:8" x14ac:dyDescent="0.2">
      <c r="A39" s="30">
        <v>1</v>
      </c>
      <c r="B39" s="31">
        <v>207</v>
      </c>
      <c r="C39" s="62" t="s">
        <v>449</v>
      </c>
      <c r="D39" s="90">
        <v>107</v>
      </c>
      <c r="E39" s="102">
        <v>74</v>
      </c>
      <c r="F39" s="90">
        <f>1092-(D39+E39)</f>
        <v>911</v>
      </c>
      <c r="G39" s="102">
        <f t="shared" ref="G39" si="4">SUM(D39:F39)</f>
        <v>1092</v>
      </c>
      <c r="H39" s="33">
        <f t="shared" ref="H39" si="5">+(D39+E39)/G39</f>
        <v>0.16575091575091574</v>
      </c>
    </row>
    <row r="40" spans="1:8" x14ac:dyDescent="0.2">
      <c r="A40" s="30">
        <v>1</v>
      </c>
      <c r="B40" s="31">
        <v>209</v>
      </c>
      <c r="C40" s="62" t="s">
        <v>390</v>
      </c>
      <c r="D40" s="90">
        <v>223</v>
      </c>
      <c r="E40" s="102">
        <v>73</v>
      </c>
      <c r="F40" s="90">
        <f>673-(D40+E40)</f>
        <v>377</v>
      </c>
      <c r="G40" s="102">
        <f t="shared" si="0"/>
        <v>673</v>
      </c>
      <c r="H40" s="33">
        <f t="shared" si="1"/>
        <v>0.43982169390787518</v>
      </c>
    </row>
    <row r="41" spans="1:8" x14ac:dyDescent="0.2">
      <c r="A41" s="30">
        <v>1</v>
      </c>
      <c r="B41" s="31">
        <v>212</v>
      </c>
      <c r="C41" s="62" t="s">
        <v>397</v>
      </c>
      <c r="D41" s="90">
        <v>142</v>
      </c>
      <c r="E41" s="102">
        <v>56</v>
      </c>
      <c r="F41" s="90">
        <f>481-(D41+E41)</f>
        <v>283</v>
      </c>
      <c r="G41" s="102">
        <f t="shared" si="0"/>
        <v>481</v>
      </c>
      <c r="H41" s="33">
        <f t="shared" si="1"/>
        <v>0.41164241164241167</v>
      </c>
    </row>
    <row r="42" spans="1:8" x14ac:dyDescent="0.2">
      <c r="A42" s="30">
        <v>1</v>
      </c>
      <c r="B42" s="31">
        <v>215</v>
      </c>
      <c r="C42" s="62" t="s">
        <v>359</v>
      </c>
      <c r="D42" s="90">
        <v>81</v>
      </c>
      <c r="E42" s="102">
        <v>52</v>
      </c>
      <c r="F42" s="90">
        <f>832-(D42+E42)</f>
        <v>699</v>
      </c>
      <c r="G42" s="102">
        <f t="shared" si="0"/>
        <v>832</v>
      </c>
      <c r="H42" s="33">
        <f t="shared" si="1"/>
        <v>0.15985576923076922</v>
      </c>
    </row>
    <row r="43" spans="1:8" x14ac:dyDescent="0.2">
      <c r="A43" s="30">
        <v>1</v>
      </c>
      <c r="B43" s="31">
        <v>217</v>
      </c>
      <c r="C43" s="62" t="s">
        <v>361</v>
      </c>
      <c r="D43" s="90">
        <v>333</v>
      </c>
      <c r="E43" s="102">
        <v>70</v>
      </c>
      <c r="F43" s="90">
        <f>997-(D43+E43)</f>
        <v>594</v>
      </c>
      <c r="G43" s="102">
        <f t="shared" ref="G43:G81" si="6">SUM(D43:F43)</f>
        <v>997</v>
      </c>
      <c r="H43" s="33">
        <f t="shared" ref="H43:H81" si="7">+(D43+E43)/G43</f>
        <v>0.40421263791374124</v>
      </c>
    </row>
    <row r="44" spans="1:8" x14ac:dyDescent="0.2">
      <c r="A44" s="30">
        <v>1</v>
      </c>
      <c r="B44" s="31">
        <v>218</v>
      </c>
      <c r="C44" s="62" t="s">
        <v>395</v>
      </c>
      <c r="D44" s="90">
        <v>86</v>
      </c>
      <c r="E44" s="102">
        <v>19</v>
      </c>
      <c r="F44" s="90">
        <f>544-(D44+E44)</f>
        <v>439</v>
      </c>
      <c r="G44" s="102">
        <f t="shared" si="6"/>
        <v>544</v>
      </c>
      <c r="H44" s="33">
        <f t="shared" si="7"/>
        <v>0.19301470588235295</v>
      </c>
    </row>
    <row r="45" spans="1:8" x14ac:dyDescent="0.2">
      <c r="A45" s="30">
        <v>1</v>
      </c>
      <c r="B45" s="31">
        <v>219</v>
      </c>
      <c r="C45" s="62" t="s">
        <v>723</v>
      </c>
      <c r="D45" s="90">
        <v>72</v>
      </c>
      <c r="E45" s="102">
        <v>31</v>
      </c>
      <c r="F45" s="90">
        <f>577-(D45+E45)</f>
        <v>474</v>
      </c>
      <c r="G45" s="102">
        <f t="shared" ref="G45" si="8">SUM(D45:F45)</f>
        <v>577</v>
      </c>
      <c r="H45" s="33">
        <f t="shared" ref="H45" si="9">+(D45+E45)/G45</f>
        <v>0.17850953206239167</v>
      </c>
    </row>
    <row r="46" spans="1:8" x14ac:dyDescent="0.2">
      <c r="A46" s="30">
        <v>1</v>
      </c>
      <c r="B46" s="31">
        <v>220</v>
      </c>
      <c r="C46" s="62" t="s">
        <v>396</v>
      </c>
      <c r="D46" s="90">
        <v>138</v>
      </c>
      <c r="E46" s="102">
        <v>51</v>
      </c>
      <c r="F46" s="90">
        <f>944-(D46+E46)</f>
        <v>755</v>
      </c>
      <c r="G46" s="102">
        <f t="shared" si="6"/>
        <v>944</v>
      </c>
      <c r="H46" s="33">
        <f t="shared" si="7"/>
        <v>0.20021186440677965</v>
      </c>
    </row>
    <row r="47" spans="1:8" x14ac:dyDescent="0.2">
      <c r="A47" s="30">
        <v>1</v>
      </c>
      <c r="B47" s="31">
        <v>222</v>
      </c>
      <c r="C47" s="62" t="s">
        <v>451</v>
      </c>
      <c r="D47" s="90">
        <v>150</v>
      </c>
      <c r="E47" s="102">
        <v>62</v>
      </c>
      <c r="F47" s="90">
        <f>1037-(D47+E47)</f>
        <v>825</v>
      </c>
      <c r="G47" s="102">
        <f t="shared" ref="G47" si="10">SUM(D47:F47)</f>
        <v>1037</v>
      </c>
      <c r="H47" s="33">
        <f t="shared" ref="H47" si="11">+(D47+E47)/G47</f>
        <v>0.20443587270973965</v>
      </c>
    </row>
    <row r="48" spans="1:8" x14ac:dyDescent="0.2">
      <c r="A48" s="30">
        <v>1</v>
      </c>
      <c r="B48" s="31">
        <v>223</v>
      </c>
      <c r="C48" s="62" t="s">
        <v>398</v>
      </c>
      <c r="D48" s="90">
        <v>127</v>
      </c>
      <c r="E48" s="102">
        <v>66</v>
      </c>
      <c r="F48" s="90">
        <f>952-(D48+E48)</f>
        <v>759</v>
      </c>
      <c r="G48" s="102">
        <f t="shared" si="6"/>
        <v>952</v>
      </c>
      <c r="H48" s="33">
        <f t="shared" si="7"/>
        <v>0.20273109243697479</v>
      </c>
    </row>
    <row r="49" spans="1:8" x14ac:dyDescent="0.2">
      <c r="A49" s="30">
        <v>1</v>
      </c>
      <c r="B49" s="31">
        <v>226</v>
      </c>
      <c r="C49" s="62" t="s">
        <v>394</v>
      </c>
      <c r="D49" s="90">
        <v>49</v>
      </c>
      <c r="E49" s="102">
        <v>25</v>
      </c>
      <c r="F49" s="90">
        <f>898-(D49+E49)</f>
        <v>824</v>
      </c>
      <c r="G49" s="102">
        <f t="shared" si="6"/>
        <v>898</v>
      </c>
      <c r="H49" s="33">
        <f t="shared" si="7"/>
        <v>8.2405345211581285E-2</v>
      </c>
    </row>
    <row r="50" spans="1:8" x14ac:dyDescent="0.2">
      <c r="A50" s="30">
        <v>1</v>
      </c>
      <c r="B50" s="31">
        <v>232</v>
      </c>
      <c r="C50" s="62" t="s">
        <v>399</v>
      </c>
      <c r="D50" s="90">
        <v>271</v>
      </c>
      <c r="E50" s="102">
        <v>64</v>
      </c>
      <c r="F50" s="90">
        <f>430-(D50+E50)</f>
        <v>95</v>
      </c>
      <c r="G50" s="102">
        <f t="shared" si="6"/>
        <v>430</v>
      </c>
      <c r="H50" s="33">
        <f t="shared" si="7"/>
        <v>0.77906976744186052</v>
      </c>
    </row>
    <row r="51" spans="1:8" x14ac:dyDescent="0.2">
      <c r="A51" s="30">
        <v>1</v>
      </c>
      <c r="B51" s="31">
        <v>237</v>
      </c>
      <c r="C51" s="62" t="s">
        <v>400</v>
      </c>
      <c r="D51" s="90">
        <v>135</v>
      </c>
      <c r="E51" s="102">
        <v>63</v>
      </c>
      <c r="F51" s="90">
        <f>1027-(D51+E51)</f>
        <v>829</v>
      </c>
      <c r="G51" s="102">
        <f t="shared" si="6"/>
        <v>1027</v>
      </c>
      <c r="H51" s="33">
        <f t="shared" si="7"/>
        <v>0.19279454722492698</v>
      </c>
    </row>
    <row r="52" spans="1:8" x14ac:dyDescent="0.2">
      <c r="A52" s="30">
        <v>1</v>
      </c>
      <c r="B52" s="31">
        <v>242</v>
      </c>
      <c r="C52" s="62" t="s">
        <v>354</v>
      </c>
      <c r="D52" s="90">
        <v>229</v>
      </c>
      <c r="E52" s="102">
        <v>104</v>
      </c>
      <c r="F52" s="90">
        <f>1245-(D52+E52)</f>
        <v>912</v>
      </c>
      <c r="G52" s="102">
        <f t="shared" si="6"/>
        <v>1245</v>
      </c>
      <c r="H52" s="33">
        <f t="shared" si="7"/>
        <v>0.26746987951807227</v>
      </c>
    </row>
    <row r="53" spans="1:8" x14ac:dyDescent="0.2">
      <c r="A53" s="30">
        <v>1</v>
      </c>
      <c r="B53" s="31">
        <v>247</v>
      </c>
      <c r="C53" s="62" t="s">
        <v>401</v>
      </c>
      <c r="D53" s="90">
        <v>149</v>
      </c>
      <c r="E53" s="102">
        <v>65</v>
      </c>
      <c r="F53" s="90">
        <f>1132-(D53+E53)</f>
        <v>918</v>
      </c>
      <c r="G53" s="102">
        <f t="shared" si="6"/>
        <v>1132</v>
      </c>
      <c r="H53" s="33">
        <f t="shared" si="7"/>
        <v>0.18904593639575973</v>
      </c>
    </row>
    <row r="54" spans="1:8" x14ac:dyDescent="0.2">
      <c r="A54" s="30">
        <v>1</v>
      </c>
      <c r="B54" s="31">
        <v>253</v>
      </c>
      <c r="C54" s="62" t="s">
        <v>402</v>
      </c>
      <c r="D54" s="90">
        <v>282</v>
      </c>
      <c r="E54" s="102">
        <v>46</v>
      </c>
      <c r="F54" s="90">
        <f>446-(D54+E54)</f>
        <v>118</v>
      </c>
      <c r="G54" s="102">
        <f t="shared" si="6"/>
        <v>446</v>
      </c>
      <c r="H54" s="33">
        <f t="shared" si="7"/>
        <v>0.73542600896860988</v>
      </c>
    </row>
    <row r="55" spans="1:8" x14ac:dyDescent="0.2">
      <c r="A55" s="30">
        <v>1</v>
      </c>
      <c r="B55" s="31">
        <v>256</v>
      </c>
      <c r="C55" s="62" t="s">
        <v>977</v>
      </c>
      <c r="D55" s="90">
        <v>92</v>
      </c>
      <c r="E55" s="102">
        <v>83</v>
      </c>
      <c r="F55" s="90">
        <f>787-(D55+E55)</f>
        <v>612</v>
      </c>
      <c r="G55" s="102">
        <f t="shared" ref="G55" si="12">SUM(D55:F55)</f>
        <v>787</v>
      </c>
      <c r="H55" s="33">
        <f t="shared" ref="H55" si="13">+(D55+E55)/G55</f>
        <v>0.22236340533672172</v>
      </c>
    </row>
    <row r="56" spans="1:8" x14ac:dyDescent="0.2">
      <c r="A56" s="30">
        <v>1</v>
      </c>
      <c r="B56" s="31">
        <v>258</v>
      </c>
      <c r="C56" s="62" t="s">
        <v>941</v>
      </c>
      <c r="D56" s="90">
        <v>63</v>
      </c>
      <c r="E56" s="102">
        <v>27</v>
      </c>
      <c r="F56" s="90">
        <f>819-(D56+E56)</f>
        <v>729</v>
      </c>
      <c r="G56" s="102">
        <f t="shared" ref="G56" si="14">SUM(D56:F56)</f>
        <v>819</v>
      </c>
      <c r="H56" s="33">
        <f t="shared" ref="H56" si="15">+(D56+E56)/G56</f>
        <v>0.10989010989010989</v>
      </c>
    </row>
    <row r="57" spans="1:8" x14ac:dyDescent="0.2">
      <c r="A57" s="30">
        <v>1</v>
      </c>
      <c r="B57" s="31">
        <v>267</v>
      </c>
      <c r="C57" s="62" t="s">
        <v>404</v>
      </c>
      <c r="D57" s="90">
        <v>105</v>
      </c>
      <c r="E57" s="102">
        <v>36</v>
      </c>
      <c r="F57" s="90">
        <f>512-(D57+E57)</f>
        <v>371</v>
      </c>
      <c r="G57" s="102">
        <f t="shared" si="6"/>
        <v>512</v>
      </c>
      <c r="H57" s="33">
        <f t="shared" si="7"/>
        <v>0.275390625</v>
      </c>
    </row>
    <row r="58" spans="1:8" x14ac:dyDescent="0.2">
      <c r="A58" s="30">
        <v>1</v>
      </c>
      <c r="B58" s="31">
        <v>271</v>
      </c>
      <c r="C58" s="62" t="s">
        <v>405</v>
      </c>
      <c r="D58" s="90">
        <v>260</v>
      </c>
      <c r="E58" s="102">
        <v>91</v>
      </c>
      <c r="F58" s="90">
        <f>715-(D58+E58)</f>
        <v>364</v>
      </c>
      <c r="G58" s="102">
        <f t="shared" si="6"/>
        <v>715</v>
      </c>
      <c r="H58" s="33">
        <f t="shared" si="7"/>
        <v>0.49090909090909091</v>
      </c>
    </row>
    <row r="59" spans="1:8" x14ac:dyDescent="0.2">
      <c r="A59" s="30">
        <v>1</v>
      </c>
      <c r="B59" s="31">
        <v>275</v>
      </c>
      <c r="C59" s="62" t="s">
        <v>407</v>
      </c>
      <c r="D59" s="90">
        <v>261</v>
      </c>
      <c r="E59" s="102">
        <v>41</v>
      </c>
      <c r="F59" s="90">
        <f>426-(D59+E59)</f>
        <v>124</v>
      </c>
      <c r="G59" s="102">
        <f t="shared" ref="G59" si="16">SUM(D59:F59)</f>
        <v>426</v>
      </c>
      <c r="H59" s="33">
        <f t="shared" ref="H59" si="17">+(D59+E59)/G59</f>
        <v>0.70892018779342725</v>
      </c>
    </row>
    <row r="60" spans="1:8" x14ac:dyDescent="0.2">
      <c r="A60" s="30">
        <v>1</v>
      </c>
      <c r="B60" s="31">
        <v>277</v>
      </c>
      <c r="C60" s="62" t="s">
        <v>406</v>
      </c>
      <c r="D60" s="90">
        <v>67</v>
      </c>
      <c r="E60" s="102">
        <v>11</v>
      </c>
      <c r="F60" s="90">
        <f>810-(D60+E60)</f>
        <v>732</v>
      </c>
      <c r="G60" s="102">
        <f t="shared" si="6"/>
        <v>810</v>
      </c>
      <c r="H60" s="33">
        <f t="shared" si="7"/>
        <v>9.6296296296296297E-2</v>
      </c>
    </row>
    <row r="61" spans="1:8" x14ac:dyDescent="0.2">
      <c r="A61" s="30">
        <v>1</v>
      </c>
      <c r="B61" s="31">
        <v>286</v>
      </c>
      <c r="C61" s="62" t="s">
        <v>409</v>
      </c>
      <c r="D61" s="90">
        <v>301</v>
      </c>
      <c r="E61" s="102">
        <v>43</v>
      </c>
      <c r="F61" s="90">
        <f>544-(D61+E61)</f>
        <v>200</v>
      </c>
      <c r="G61" s="102">
        <f t="shared" si="6"/>
        <v>544</v>
      </c>
      <c r="H61" s="33">
        <f t="shared" si="7"/>
        <v>0.63235294117647056</v>
      </c>
    </row>
    <row r="62" spans="1:8" x14ac:dyDescent="0.2">
      <c r="A62" s="30">
        <v>1</v>
      </c>
      <c r="B62" s="31">
        <v>405</v>
      </c>
      <c r="C62" s="32" t="s">
        <v>13</v>
      </c>
      <c r="D62" s="90">
        <v>297</v>
      </c>
      <c r="E62" s="102">
        <v>117</v>
      </c>
      <c r="F62" s="90">
        <f>1880-(D62+E62)</f>
        <v>1466</v>
      </c>
      <c r="G62" s="102">
        <f t="shared" si="6"/>
        <v>1880</v>
      </c>
      <c r="H62" s="33">
        <f t="shared" si="7"/>
        <v>0.22021276595744682</v>
      </c>
    </row>
    <row r="63" spans="1:8" x14ac:dyDescent="0.2">
      <c r="A63" s="30">
        <v>1</v>
      </c>
      <c r="B63" s="31">
        <v>411</v>
      </c>
      <c r="C63" s="32" t="s">
        <v>14</v>
      </c>
      <c r="D63" s="90">
        <v>374</v>
      </c>
      <c r="E63" s="102">
        <v>91</v>
      </c>
      <c r="F63" s="90">
        <f>1177-(D63+E63)</f>
        <v>712</v>
      </c>
      <c r="G63" s="102">
        <f t="shared" si="6"/>
        <v>1177</v>
      </c>
      <c r="H63" s="33">
        <f t="shared" si="7"/>
        <v>0.39507221750212407</v>
      </c>
    </row>
    <row r="64" spans="1:8" x14ac:dyDescent="0.2">
      <c r="A64" s="30">
        <v>1</v>
      </c>
      <c r="B64" s="31">
        <v>423</v>
      </c>
      <c r="C64" s="32" t="s">
        <v>15</v>
      </c>
      <c r="D64" s="90">
        <v>434</v>
      </c>
      <c r="E64" s="102">
        <v>104</v>
      </c>
      <c r="F64" s="90">
        <f>1216-(D64+E64)</f>
        <v>678</v>
      </c>
      <c r="G64" s="102">
        <f t="shared" si="6"/>
        <v>1216</v>
      </c>
      <c r="H64" s="33">
        <f t="shared" si="7"/>
        <v>0.44243421052631576</v>
      </c>
    </row>
    <row r="65" spans="1:8" x14ac:dyDescent="0.2">
      <c r="A65" s="30">
        <v>1</v>
      </c>
      <c r="B65" s="31">
        <v>441</v>
      </c>
      <c r="C65" s="32" t="s">
        <v>16</v>
      </c>
      <c r="D65" s="90">
        <v>166</v>
      </c>
      <c r="E65" s="102">
        <v>59</v>
      </c>
      <c r="F65" s="90">
        <f>1351-(D65+E65)</f>
        <v>1126</v>
      </c>
      <c r="G65" s="102">
        <f t="shared" si="6"/>
        <v>1351</v>
      </c>
      <c r="H65" s="33">
        <f t="shared" si="7"/>
        <v>0.16654330125832717</v>
      </c>
    </row>
    <row r="66" spans="1:8" x14ac:dyDescent="0.2">
      <c r="A66" s="30">
        <v>1</v>
      </c>
      <c r="B66" s="31">
        <v>459</v>
      </c>
      <c r="C66" s="62" t="s">
        <v>392</v>
      </c>
      <c r="D66" s="90">
        <v>419</v>
      </c>
      <c r="E66" s="102">
        <v>95</v>
      </c>
      <c r="F66" s="90">
        <f>868-(D66+E66)</f>
        <v>354</v>
      </c>
      <c r="G66" s="102">
        <f t="shared" si="6"/>
        <v>868</v>
      </c>
      <c r="H66" s="33">
        <f t="shared" si="7"/>
        <v>0.59216589861751157</v>
      </c>
    </row>
    <row r="67" spans="1:8" x14ac:dyDescent="0.2">
      <c r="A67" s="30">
        <v>1</v>
      </c>
      <c r="B67" s="31">
        <v>478</v>
      </c>
      <c r="C67" s="32" t="s">
        <v>18</v>
      </c>
      <c r="D67" s="90">
        <v>303</v>
      </c>
      <c r="E67" s="102">
        <v>104</v>
      </c>
      <c r="F67" s="90">
        <f>1473-(D67+E67)</f>
        <v>1066</v>
      </c>
      <c r="G67" s="102">
        <f t="shared" si="6"/>
        <v>1473</v>
      </c>
      <c r="H67" s="33">
        <f t="shared" si="7"/>
        <v>0.27630685675492195</v>
      </c>
    </row>
    <row r="68" spans="1:8" x14ac:dyDescent="0.2">
      <c r="A68" s="30">
        <v>1</v>
      </c>
      <c r="B68" s="31">
        <v>485</v>
      </c>
      <c r="C68" s="32" t="s">
        <v>17</v>
      </c>
      <c r="D68" s="90">
        <v>188</v>
      </c>
      <c r="E68" s="102">
        <v>62</v>
      </c>
      <c r="F68" s="90">
        <f>1126-(D68+E68)</f>
        <v>876</v>
      </c>
      <c r="G68" s="102">
        <f t="shared" ref="G68" si="18">SUM(D68:F68)</f>
        <v>1126</v>
      </c>
      <c r="H68" s="33">
        <f t="shared" ref="H68" si="19">+(D68+E68)/G68</f>
        <v>0.22202486678507993</v>
      </c>
    </row>
    <row r="69" spans="1:8" x14ac:dyDescent="0.2">
      <c r="A69" s="30">
        <v>1</v>
      </c>
      <c r="B69" s="31">
        <v>488</v>
      </c>
      <c r="C69" s="62" t="s">
        <v>403</v>
      </c>
      <c r="D69" s="90">
        <v>87</v>
      </c>
      <c r="E69" s="102">
        <v>26</v>
      </c>
      <c r="F69" s="90">
        <f>1268-(D69+E69)</f>
        <v>1155</v>
      </c>
      <c r="G69" s="102">
        <f t="shared" si="6"/>
        <v>1268</v>
      </c>
      <c r="H69" s="33">
        <f t="shared" si="7"/>
        <v>8.9116719242902209E-2</v>
      </c>
    </row>
    <row r="70" spans="1:8" x14ac:dyDescent="0.2">
      <c r="A70" s="30">
        <v>1</v>
      </c>
      <c r="B70" s="31">
        <v>490</v>
      </c>
      <c r="C70" s="62" t="s">
        <v>942</v>
      </c>
      <c r="D70" s="90">
        <v>354</v>
      </c>
      <c r="E70" s="102">
        <v>152</v>
      </c>
      <c r="F70" s="90">
        <f>1769-(D70+E70)</f>
        <v>1263</v>
      </c>
      <c r="G70" s="102">
        <f t="shared" si="6"/>
        <v>1769</v>
      </c>
      <c r="H70" s="33">
        <f t="shared" si="7"/>
        <v>0.28603730921424536</v>
      </c>
    </row>
    <row r="71" spans="1:8" x14ac:dyDescent="0.2">
      <c r="A71" s="30">
        <v>1</v>
      </c>
      <c r="B71" s="31">
        <v>494</v>
      </c>
      <c r="C71" s="62" t="s">
        <v>362</v>
      </c>
      <c r="D71" s="90">
        <v>106</v>
      </c>
      <c r="E71" s="102">
        <v>54</v>
      </c>
      <c r="F71" s="90">
        <f>1408-(D71+E71)</f>
        <v>1248</v>
      </c>
      <c r="G71" s="102">
        <f t="shared" ref="G71" si="20">SUM(D71:F71)</f>
        <v>1408</v>
      </c>
      <c r="H71" s="33">
        <f t="shared" ref="H71" si="21">+(D71+E71)/G71</f>
        <v>0.11363636363636363</v>
      </c>
    </row>
    <row r="72" spans="1:8" x14ac:dyDescent="0.2">
      <c r="A72" s="30">
        <v>1</v>
      </c>
      <c r="B72" s="31">
        <v>496</v>
      </c>
      <c r="C72" s="62" t="s">
        <v>408</v>
      </c>
      <c r="D72" s="90">
        <v>260</v>
      </c>
      <c r="E72" s="102">
        <v>123</v>
      </c>
      <c r="F72" s="90">
        <f>1427-(D72+E72)</f>
        <v>1044</v>
      </c>
      <c r="G72" s="102">
        <f t="shared" si="6"/>
        <v>1427</v>
      </c>
      <c r="H72" s="33">
        <f t="shared" si="7"/>
        <v>0.26839523475823407</v>
      </c>
    </row>
    <row r="73" spans="1:8" x14ac:dyDescent="0.2">
      <c r="A73" s="30">
        <v>1</v>
      </c>
      <c r="B73" s="31">
        <v>704</v>
      </c>
      <c r="C73" s="62" t="s">
        <v>356</v>
      </c>
      <c r="D73" s="90">
        <v>285</v>
      </c>
      <c r="E73" s="102">
        <v>89</v>
      </c>
      <c r="F73" s="90">
        <f>2080-(D73+E73)</f>
        <v>1706</v>
      </c>
      <c r="G73" s="102">
        <f t="shared" si="6"/>
        <v>2080</v>
      </c>
      <c r="H73" s="33">
        <f t="shared" si="7"/>
        <v>0.17980769230769231</v>
      </c>
    </row>
    <row r="74" spans="1:8" x14ac:dyDescent="0.2">
      <c r="A74" s="30">
        <v>1</v>
      </c>
      <c r="B74" s="31">
        <v>735</v>
      </c>
      <c r="C74" s="62" t="s">
        <v>355</v>
      </c>
      <c r="D74" s="90">
        <v>259</v>
      </c>
      <c r="E74" s="102">
        <v>89</v>
      </c>
      <c r="F74" s="90">
        <f>2027-(D74+E74)</f>
        <v>1679</v>
      </c>
      <c r="G74" s="102">
        <f t="shared" si="6"/>
        <v>2027</v>
      </c>
      <c r="H74" s="33">
        <f t="shared" si="7"/>
        <v>0.17168228909718797</v>
      </c>
    </row>
    <row r="75" spans="1:8" x14ac:dyDescent="0.2">
      <c r="A75" s="30">
        <v>1</v>
      </c>
      <c r="B75" s="31">
        <v>737</v>
      </c>
      <c r="C75" s="62" t="s">
        <v>357</v>
      </c>
      <c r="D75" s="90">
        <v>152</v>
      </c>
      <c r="E75" s="102">
        <v>56</v>
      </c>
      <c r="F75" s="90">
        <f>2310-(D75+E75)</f>
        <v>2102</v>
      </c>
      <c r="G75" s="102">
        <f t="shared" si="6"/>
        <v>2310</v>
      </c>
      <c r="H75" s="33">
        <f t="shared" si="7"/>
        <v>9.004329004329005E-2</v>
      </c>
    </row>
    <row r="76" spans="1:8" x14ac:dyDescent="0.2">
      <c r="A76" s="30">
        <v>1</v>
      </c>
      <c r="B76" s="31">
        <v>739</v>
      </c>
      <c r="C76" s="62" t="s">
        <v>363</v>
      </c>
      <c r="D76" s="90">
        <v>444</v>
      </c>
      <c r="E76" s="102">
        <v>92</v>
      </c>
      <c r="F76" s="90">
        <f>1289-(D76+E76)</f>
        <v>753</v>
      </c>
      <c r="G76" s="102">
        <f t="shared" si="6"/>
        <v>1289</v>
      </c>
      <c r="H76" s="33">
        <f t="shared" si="7"/>
        <v>0.41582622187742435</v>
      </c>
    </row>
    <row r="77" spans="1:8" x14ac:dyDescent="0.2">
      <c r="A77" s="30">
        <v>1</v>
      </c>
      <c r="B77" s="31">
        <v>754</v>
      </c>
      <c r="C77" s="62" t="s">
        <v>391</v>
      </c>
      <c r="D77" s="90">
        <v>242</v>
      </c>
      <c r="E77" s="102">
        <v>74</v>
      </c>
      <c r="F77" s="90">
        <f>1124-(D77+E77)</f>
        <v>808</v>
      </c>
      <c r="G77" s="102">
        <f t="shared" si="6"/>
        <v>1124</v>
      </c>
      <c r="H77" s="33">
        <f t="shared" si="7"/>
        <v>0.28113879003558717</v>
      </c>
    </row>
    <row r="78" spans="1:8" x14ac:dyDescent="0.2">
      <c r="A78" s="30">
        <v>1</v>
      </c>
      <c r="B78" s="31">
        <v>779</v>
      </c>
      <c r="C78" s="62" t="s">
        <v>450</v>
      </c>
      <c r="D78" s="90">
        <v>312</v>
      </c>
      <c r="E78" s="102">
        <v>98</v>
      </c>
      <c r="F78" s="90">
        <f>1885-(D78+E78)</f>
        <v>1475</v>
      </c>
      <c r="G78" s="102">
        <f t="shared" si="6"/>
        <v>1885</v>
      </c>
      <c r="H78" s="33">
        <f t="shared" si="7"/>
        <v>0.21750663129973474</v>
      </c>
    </row>
    <row r="79" spans="1:8" x14ac:dyDescent="0.2">
      <c r="A79" s="30">
        <v>1</v>
      </c>
      <c r="B79" s="31">
        <v>786</v>
      </c>
      <c r="C79" s="32" t="s">
        <v>19</v>
      </c>
      <c r="D79" s="90">
        <v>311</v>
      </c>
      <c r="E79" s="102">
        <v>80</v>
      </c>
      <c r="F79" s="90">
        <f>1337-(D79+E79)</f>
        <v>946</v>
      </c>
      <c r="G79" s="102">
        <f t="shared" si="6"/>
        <v>1337</v>
      </c>
      <c r="H79" s="33">
        <f t="shared" si="7"/>
        <v>0.29244577412116679</v>
      </c>
    </row>
    <row r="80" spans="1:8" x14ac:dyDescent="0.2">
      <c r="A80" s="30">
        <v>1</v>
      </c>
      <c r="B80" s="31">
        <v>789</v>
      </c>
      <c r="C80" s="62" t="s">
        <v>452</v>
      </c>
      <c r="D80" s="90">
        <v>441</v>
      </c>
      <c r="E80" s="102">
        <v>190</v>
      </c>
      <c r="F80" s="90">
        <f>2478-(D80+E80)</f>
        <v>1847</v>
      </c>
      <c r="G80" s="102">
        <f t="shared" ref="G80" si="22">SUM(D80:F80)</f>
        <v>2478</v>
      </c>
      <c r="H80" s="33">
        <f t="shared" ref="H80" si="23">+(D80+E80)/G80</f>
        <v>0.25464083938660209</v>
      </c>
    </row>
    <row r="81" spans="1:27" x14ac:dyDescent="0.2">
      <c r="A81" s="30">
        <v>1</v>
      </c>
      <c r="B81" s="31">
        <v>790</v>
      </c>
      <c r="C81" s="62" t="s">
        <v>453</v>
      </c>
      <c r="D81" s="90">
        <v>223</v>
      </c>
      <c r="E81" s="102">
        <v>13</v>
      </c>
      <c r="F81" s="90">
        <f>309-(D81+E81)</f>
        <v>73</v>
      </c>
      <c r="G81" s="102">
        <f t="shared" si="6"/>
        <v>309</v>
      </c>
      <c r="H81" s="33">
        <f t="shared" si="7"/>
        <v>0.7637540453074434</v>
      </c>
    </row>
    <row r="82" spans="1:27" x14ac:dyDescent="0.2">
      <c r="A82" s="30">
        <v>1</v>
      </c>
      <c r="B82" s="31">
        <v>808</v>
      </c>
      <c r="C82" s="62" t="s">
        <v>1021</v>
      </c>
      <c r="D82" s="90">
        <v>14</v>
      </c>
      <c r="E82" s="102">
        <v>4</v>
      </c>
      <c r="F82" s="90">
        <f>71-(D82+E82)</f>
        <v>53</v>
      </c>
      <c r="G82" s="102">
        <f t="shared" ref="G82" si="24">SUM(D82:F82)</f>
        <v>71</v>
      </c>
      <c r="H82" s="33">
        <f t="shared" ref="H82" si="25">+(D82+E82)/G82</f>
        <v>0.25352112676056338</v>
      </c>
    </row>
    <row r="83" spans="1:27" ht="13.5" thickBot="1" x14ac:dyDescent="0.25">
      <c r="A83" s="30">
        <v>1</v>
      </c>
      <c r="B83" s="31">
        <v>810</v>
      </c>
      <c r="C83" s="62" t="s">
        <v>949</v>
      </c>
      <c r="D83" s="90">
        <v>29</v>
      </c>
      <c r="E83" s="102">
        <v>7</v>
      </c>
      <c r="F83" s="90">
        <f>206-(D83+E83)</f>
        <v>170</v>
      </c>
      <c r="G83" s="102">
        <f>SUM(D83:F83)</f>
        <v>206</v>
      </c>
      <c r="H83" s="33">
        <f>+(D83+E83)/G83</f>
        <v>0.17475728155339806</v>
      </c>
    </row>
    <row r="84" spans="1:27" ht="13.5" thickBot="1" x14ac:dyDescent="0.25">
      <c r="A84" s="34"/>
      <c r="B84" s="35">
        <f>COUNTA(B9:B83)</f>
        <v>75</v>
      </c>
      <c r="C84" s="36" t="s">
        <v>20</v>
      </c>
      <c r="D84" s="4">
        <f>SUM(D9:D83)</f>
        <v>14016</v>
      </c>
      <c r="E84" s="4">
        <f>SUM(E9:E83)</f>
        <v>4615</v>
      </c>
      <c r="F84" s="4">
        <f>SUM(F9:F83)</f>
        <v>51455</v>
      </c>
      <c r="G84" s="4">
        <f>SUM(G9:G83)</f>
        <v>70086</v>
      </c>
      <c r="H84" s="37">
        <f>+(D84+E84)/G84</f>
        <v>0.26583055103729702</v>
      </c>
    </row>
    <row r="85" spans="1:27" x14ac:dyDescent="0.2">
      <c r="A85" s="38"/>
      <c r="B85" s="39"/>
      <c r="C85" s="40"/>
      <c r="D85" s="41"/>
      <c r="E85" s="42"/>
      <c r="F85" s="41"/>
      <c r="G85" s="42"/>
      <c r="H85" s="43"/>
    </row>
    <row r="86" spans="1:27" x14ac:dyDescent="0.2">
      <c r="A86" s="38"/>
      <c r="B86" s="39"/>
      <c r="C86" s="45" t="s">
        <v>21</v>
      </c>
      <c r="D86" s="5"/>
      <c r="E86" s="42"/>
      <c r="F86" s="41"/>
      <c r="G86" s="42"/>
      <c r="H86" s="43"/>
    </row>
    <row r="87" spans="1:27" x14ac:dyDescent="0.2">
      <c r="A87" s="30">
        <v>2</v>
      </c>
      <c r="B87" s="31">
        <v>104</v>
      </c>
      <c r="C87" s="62" t="s">
        <v>410</v>
      </c>
      <c r="D87" s="85">
        <v>171</v>
      </c>
      <c r="E87" s="86">
        <v>84</v>
      </c>
      <c r="F87" s="2">
        <f>478-(D87+E87)</f>
        <v>223</v>
      </c>
      <c r="G87" s="2">
        <f t="shared" ref="G87:G92" si="26">SUM(D87:F87)</f>
        <v>478</v>
      </c>
      <c r="H87" s="33">
        <f t="shared" ref="H87:H92" si="27">+(D87+E87)/G87</f>
        <v>0.53347280334728031</v>
      </c>
    </row>
    <row r="88" spans="1:27" x14ac:dyDescent="0.2">
      <c r="A88" s="30">
        <v>2</v>
      </c>
      <c r="B88" s="31">
        <v>108</v>
      </c>
      <c r="C88" s="62" t="s">
        <v>1018</v>
      </c>
      <c r="D88" s="85">
        <v>64</v>
      </c>
      <c r="E88" s="86">
        <v>46</v>
      </c>
      <c r="F88" s="2">
        <f>217-(D88+E88)</f>
        <v>107</v>
      </c>
      <c r="G88" s="2">
        <f t="shared" si="26"/>
        <v>217</v>
      </c>
      <c r="H88" s="33">
        <f t="shared" si="27"/>
        <v>0.50691244239631339</v>
      </c>
    </row>
    <row r="89" spans="1:27" x14ac:dyDescent="0.2">
      <c r="A89" s="30">
        <v>2</v>
      </c>
      <c r="B89" s="31">
        <v>708</v>
      </c>
      <c r="C89" s="62" t="s">
        <v>1019</v>
      </c>
      <c r="D89" s="85">
        <v>48</v>
      </c>
      <c r="E89" s="86">
        <v>23</v>
      </c>
      <c r="F89" s="2">
        <f>183-(D89+E89)</f>
        <v>112</v>
      </c>
      <c r="G89" s="2">
        <f t="shared" ref="G89" si="28">SUM(D89:F89)</f>
        <v>183</v>
      </c>
      <c r="H89" s="33">
        <f t="shared" ref="H89" si="29">+(D89+E89)/G89</f>
        <v>0.38797814207650272</v>
      </c>
    </row>
    <row r="90" spans="1:27" x14ac:dyDescent="0.2">
      <c r="A90" s="30">
        <v>2</v>
      </c>
      <c r="B90" s="31">
        <v>112</v>
      </c>
      <c r="C90" s="62" t="s">
        <v>411</v>
      </c>
      <c r="D90" s="85">
        <v>40</v>
      </c>
      <c r="E90" s="86">
        <v>50</v>
      </c>
      <c r="F90" s="2">
        <f>172-(D90+E90)</f>
        <v>82</v>
      </c>
      <c r="G90" s="2">
        <f t="shared" si="26"/>
        <v>172</v>
      </c>
      <c r="H90" s="33">
        <f t="shared" si="27"/>
        <v>0.52325581395348841</v>
      </c>
    </row>
    <row r="91" spans="1:27" ht="13.5" thickBot="1" x14ac:dyDescent="0.25">
      <c r="A91" s="30">
        <v>2</v>
      </c>
      <c r="B91" s="31">
        <v>704</v>
      </c>
      <c r="C91" s="32" t="s">
        <v>22</v>
      </c>
      <c r="D91" s="85">
        <v>142</v>
      </c>
      <c r="E91" s="86">
        <v>68</v>
      </c>
      <c r="F91" s="2">
        <f>503-(D91+E91)</f>
        <v>293</v>
      </c>
      <c r="G91" s="2">
        <f t="shared" si="26"/>
        <v>503</v>
      </c>
      <c r="H91" s="33">
        <f t="shared" si="27"/>
        <v>0.41749502982107356</v>
      </c>
    </row>
    <row r="92" spans="1:27" ht="13.5" thickBot="1" x14ac:dyDescent="0.25">
      <c r="A92" s="34"/>
      <c r="B92" s="35">
        <f>COUNTA(B87:B91)</f>
        <v>5</v>
      </c>
      <c r="C92" s="36" t="s">
        <v>20</v>
      </c>
      <c r="D92" s="4">
        <f>SUM(D87:D91)</f>
        <v>465</v>
      </c>
      <c r="E92" s="3">
        <f>SUM(E87:E91)</f>
        <v>271</v>
      </c>
      <c r="F92" s="3">
        <f>SUM(F87:F91)</f>
        <v>817</v>
      </c>
      <c r="G92" s="3">
        <f t="shared" si="26"/>
        <v>1553</v>
      </c>
      <c r="H92" s="37">
        <f t="shared" si="27"/>
        <v>0.4739214423696072</v>
      </c>
    </row>
    <row r="93" spans="1:27" x14ac:dyDescent="0.2">
      <c r="A93" s="38"/>
      <c r="B93" s="39"/>
      <c r="C93" s="40"/>
      <c r="D93" s="41"/>
      <c r="E93" s="42"/>
      <c r="F93" s="41"/>
      <c r="G93" s="42"/>
      <c r="H93" s="43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spans="1:27" x14ac:dyDescent="0.2">
      <c r="A94" s="38"/>
      <c r="B94" s="39"/>
      <c r="C94" s="45" t="s">
        <v>23</v>
      </c>
      <c r="D94" s="5"/>
      <c r="E94" s="42"/>
      <c r="F94" s="41"/>
      <c r="G94" s="42"/>
      <c r="H94" s="43"/>
    </row>
    <row r="95" spans="1:27" x14ac:dyDescent="0.2">
      <c r="A95" s="30">
        <v>3</v>
      </c>
      <c r="B95" s="31">
        <v>104</v>
      </c>
      <c r="C95" s="62" t="s">
        <v>455</v>
      </c>
      <c r="D95" s="46">
        <v>119</v>
      </c>
      <c r="E95" s="2">
        <v>69</v>
      </c>
      <c r="F95" s="2">
        <f>471-(D95+E95)</f>
        <v>283</v>
      </c>
      <c r="G95" s="2">
        <f t="shared" ref="G95:G116" si="30">SUM(D95:F95)</f>
        <v>471</v>
      </c>
      <c r="H95" s="33">
        <f t="shared" ref="H95:H113" si="31">+(D95+E95)/G95</f>
        <v>0.39915074309978771</v>
      </c>
    </row>
    <row r="96" spans="1:27" x14ac:dyDescent="0.2">
      <c r="A96" s="30">
        <v>3</v>
      </c>
      <c r="B96" s="31">
        <v>125</v>
      </c>
      <c r="C96" s="62" t="s">
        <v>456</v>
      </c>
      <c r="D96" s="46">
        <v>168</v>
      </c>
      <c r="E96" s="2">
        <v>56</v>
      </c>
      <c r="F96" s="2">
        <f>474-(D96+E96)</f>
        <v>250</v>
      </c>
      <c r="G96" s="2">
        <f t="shared" si="30"/>
        <v>474</v>
      </c>
      <c r="H96" s="33">
        <f t="shared" si="31"/>
        <v>0.47257383966244726</v>
      </c>
    </row>
    <row r="97" spans="1:8" x14ac:dyDescent="0.2">
      <c r="A97" s="30">
        <v>3</v>
      </c>
      <c r="B97" s="31">
        <v>132</v>
      </c>
      <c r="C97" s="62" t="s">
        <v>457</v>
      </c>
      <c r="D97" s="46">
        <v>120</v>
      </c>
      <c r="E97" s="2">
        <v>56</v>
      </c>
      <c r="F97" s="2">
        <f>361-(D97+E97)</f>
        <v>185</v>
      </c>
      <c r="G97" s="2">
        <f t="shared" si="30"/>
        <v>361</v>
      </c>
      <c r="H97" s="33">
        <f t="shared" si="31"/>
        <v>0.48753462603878117</v>
      </c>
    </row>
    <row r="98" spans="1:8" x14ac:dyDescent="0.2">
      <c r="A98" s="30">
        <v>3</v>
      </c>
      <c r="B98" s="31">
        <v>134</v>
      </c>
      <c r="C98" s="62" t="s">
        <v>376</v>
      </c>
      <c r="D98" s="46">
        <v>134</v>
      </c>
      <c r="E98" s="2">
        <v>67</v>
      </c>
      <c r="F98" s="2">
        <f>417-(D98+E98)</f>
        <v>216</v>
      </c>
      <c r="G98" s="2">
        <f t="shared" si="30"/>
        <v>417</v>
      </c>
      <c r="H98" s="33">
        <f t="shared" si="31"/>
        <v>0.48201438848920863</v>
      </c>
    </row>
    <row r="99" spans="1:8" x14ac:dyDescent="0.2">
      <c r="A99" s="30">
        <v>3</v>
      </c>
      <c r="B99" s="31">
        <v>136</v>
      </c>
      <c r="C99" s="62" t="s">
        <v>458</v>
      </c>
      <c r="D99" s="46">
        <v>180</v>
      </c>
      <c r="E99" s="2">
        <v>133</v>
      </c>
      <c r="F99" s="2">
        <f>613-(D99+E99)</f>
        <v>300</v>
      </c>
      <c r="G99" s="2">
        <f t="shared" si="30"/>
        <v>613</v>
      </c>
      <c r="H99" s="33">
        <f t="shared" si="31"/>
        <v>0.51060358890701463</v>
      </c>
    </row>
    <row r="100" spans="1:8" x14ac:dyDescent="0.2">
      <c r="A100" s="30">
        <v>3</v>
      </c>
      <c r="B100" s="31">
        <v>140</v>
      </c>
      <c r="C100" s="62" t="s">
        <v>459</v>
      </c>
      <c r="D100" s="46">
        <v>0</v>
      </c>
      <c r="E100" s="2">
        <v>3</v>
      </c>
      <c r="F100" s="2">
        <f>7-(D100+E100)</f>
        <v>4</v>
      </c>
      <c r="G100" s="2">
        <f t="shared" si="30"/>
        <v>7</v>
      </c>
      <c r="H100" s="33">
        <f t="shared" si="31"/>
        <v>0.42857142857142855</v>
      </c>
    </row>
    <row r="101" spans="1:8" x14ac:dyDescent="0.2">
      <c r="A101" s="30">
        <v>3</v>
      </c>
      <c r="B101" s="31">
        <v>150</v>
      </c>
      <c r="C101" s="62" t="s">
        <v>460</v>
      </c>
      <c r="D101" s="46">
        <v>217</v>
      </c>
      <c r="E101" s="2">
        <v>76</v>
      </c>
      <c r="F101" s="2">
        <f>503-(D101+E101)</f>
        <v>210</v>
      </c>
      <c r="G101" s="2">
        <f t="shared" si="30"/>
        <v>503</v>
      </c>
      <c r="H101" s="33">
        <f t="shared" si="31"/>
        <v>0.58250497017892644</v>
      </c>
    </row>
    <row r="102" spans="1:8" x14ac:dyDescent="0.2">
      <c r="A102" s="30">
        <v>3</v>
      </c>
      <c r="B102" s="31">
        <v>164</v>
      </c>
      <c r="C102" s="62" t="s">
        <v>461</v>
      </c>
      <c r="D102" s="46">
        <v>165</v>
      </c>
      <c r="E102" s="2">
        <v>122</v>
      </c>
      <c r="F102" s="2">
        <f>548-(D102+E102)</f>
        <v>261</v>
      </c>
      <c r="G102" s="2">
        <f t="shared" si="30"/>
        <v>548</v>
      </c>
      <c r="H102" s="33">
        <f t="shared" si="31"/>
        <v>0.52372262773722633</v>
      </c>
    </row>
    <row r="103" spans="1:8" x14ac:dyDescent="0.2">
      <c r="A103" s="30">
        <v>3</v>
      </c>
      <c r="B103" s="31">
        <v>166</v>
      </c>
      <c r="C103" s="62" t="s">
        <v>465</v>
      </c>
      <c r="D103" s="46">
        <v>148</v>
      </c>
      <c r="E103" s="2">
        <v>48</v>
      </c>
      <c r="F103" s="2">
        <f>344-(D103+E103)</f>
        <v>148</v>
      </c>
      <c r="G103" s="2">
        <f t="shared" si="30"/>
        <v>344</v>
      </c>
      <c r="H103" s="33">
        <f t="shared" si="31"/>
        <v>0.56976744186046513</v>
      </c>
    </row>
    <row r="104" spans="1:8" x14ac:dyDescent="0.2">
      <c r="A104" s="30">
        <v>3</v>
      </c>
      <c r="B104" s="31">
        <v>167</v>
      </c>
      <c r="C104" s="62" t="s">
        <v>464</v>
      </c>
      <c r="D104" s="46">
        <v>193</v>
      </c>
      <c r="E104" s="2">
        <v>73</v>
      </c>
      <c r="F104" s="2">
        <f>580-(D104+E104)</f>
        <v>314</v>
      </c>
      <c r="G104" s="2">
        <f t="shared" si="30"/>
        <v>580</v>
      </c>
      <c r="H104" s="33">
        <f t="shared" si="31"/>
        <v>0.45862068965517239</v>
      </c>
    </row>
    <row r="105" spans="1:8" x14ac:dyDescent="0.2">
      <c r="A105" s="30">
        <v>3</v>
      </c>
      <c r="B105" s="31">
        <v>168</v>
      </c>
      <c r="C105" s="62" t="s">
        <v>463</v>
      </c>
      <c r="D105" s="46">
        <v>12</v>
      </c>
      <c r="E105" s="2">
        <v>2</v>
      </c>
      <c r="F105" s="2">
        <f>40-(D105+E105)</f>
        <v>26</v>
      </c>
      <c r="G105" s="2">
        <f t="shared" si="30"/>
        <v>40</v>
      </c>
      <c r="H105" s="33">
        <f t="shared" si="31"/>
        <v>0.35</v>
      </c>
    </row>
    <row r="106" spans="1:8" x14ac:dyDescent="0.2">
      <c r="A106" s="30">
        <v>3</v>
      </c>
      <c r="B106" s="31">
        <v>172</v>
      </c>
      <c r="C106" s="32" t="s">
        <v>251</v>
      </c>
      <c r="D106" s="46">
        <v>100</v>
      </c>
      <c r="E106" s="2">
        <v>57</v>
      </c>
      <c r="F106" s="2">
        <f>576-(D106+E106)</f>
        <v>419</v>
      </c>
      <c r="G106" s="2">
        <f t="shared" si="30"/>
        <v>576</v>
      </c>
      <c r="H106" s="33">
        <f t="shared" si="31"/>
        <v>0.27256944444444442</v>
      </c>
    </row>
    <row r="107" spans="1:8" x14ac:dyDescent="0.2">
      <c r="A107" s="30">
        <v>3</v>
      </c>
      <c r="B107" s="31">
        <v>188</v>
      </c>
      <c r="C107" s="62" t="s">
        <v>462</v>
      </c>
      <c r="D107" s="46">
        <v>17</v>
      </c>
      <c r="E107" s="2">
        <v>10</v>
      </c>
      <c r="F107" s="2">
        <f>38-(D107+E107)</f>
        <v>11</v>
      </c>
      <c r="G107" s="2">
        <f t="shared" si="30"/>
        <v>38</v>
      </c>
      <c r="H107" s="33">
        <f t="shared" si="31"/>
        <v>0.71052631578947367</v>
      </c>
    </row>
    <row r="108" spans="1:8" x14ac:dyDescent="0.2">
      <c r="A108" s="30">
        <v>3</v>
      </c>
      <c r="B108" s="31">
        <v>200</v>
      </c>
      <c r="C108" s="62" t="s">
        <v>466</v>
      </c>
      <c r="D108" s="46">
        <v>36</v>
      </c>
      <c r="E108" s="2">
        <v>26</v>
      </c>
      <c r="F108" s="2">
        <f>253-(D108+E108)</f>
        <v>191</v>
      </c>
      <c r="G108" s="2">
        <f t="shared" si="30"/>
        <v>253</v>
      </c>
      <c r="H108" s="33">
        <f t="shared" si="31"/>
        <v>0.24505928853754941</v>
      </c>
    </row>
    <row r="109" spans="1:8" x14ac:dyDescent="0.2">
      <c r="A109" s="30">
        <v>3</v>
      </c>
      <c r="B109" s="31">
        <v>304</v>
      </c>
      <c r="C109" s="32" t="s">
        <v>24</v>
      </c>
      <c r="D109" s="46">
        <v>213</v>
      </c>
      <c r="E109" s="2">
        <v>110</v>
      </c>
      <c r="F109" s="2">
        <f>727-(D109+E109)</f>
        <v>404</v>
      </c>
      <c r="G109" s="2">
        <f t="shared" si="30"/>
        <v>727</v>
      </c>
      <c r="H109" s="33">
        <f t="shared" si="31"/>
        <v>0.44429160935350759</v>
      </c>
    </row>
    <row r="110" spans="1:8" x14ac:dyDescent="0.2">
      <c r="A110" s="30">
        <v>3</v>
      </c>
      <c r="B110" s="31">
        <v>308</v>
      </c>
      <c r="C110" s="32" t="s">
        <v>25</v>
      </c>
      <c r="D110" s="46">
        <v>271</v>
      </c>
      <c r="E110" s="2">
        <v>118</v>
      </c>
      <c r="F110" s="2">
        <f>922-(D110+E110)</f>
        <v>533</v>
      </c>
      <c r="G110" s="2">
        <f t="shared" si="30"/>
        <v>922</v>
      </c>
      <c r="H110" s="33">
        <f t="shared" si="31"/>
        <v>0.42190889370932755</v>
      </c>
    </row>
    <row r="111" spans="1:8" x14ac:dyDescent="0.2">
      <c r="A111" s="30">
        <v>3</v>
      </c>
      <c r="B111" s="31">
        <v>404</v>
      </c>
      <c r="C111" s="32" t="s">
        <v>26</v>
      </c>
      <c r="D111" s="46">
        <v>192</v>
      </c>
      <c r="E111" s="2">
        <v>87</v>
      </c>
      <c r="F111" s="2">
        <f>702-(D111+E111)</f>
        <v>423</v>
      </c>
      <c r="G111" s="2">
        <f t="shared" si="30"/>
        <v>702</v>
      </c>
      <c r="H111" s="33">
        <f t="shared" si="31"/>
        <v>0.39743589743589741</v>
      </c>
    </row>
    <row r="112" spans="1:8" x14ac:dyDescent="0.2">
      <c r="A112" s="30">
        <v>3</v>
      </c>
      <c r="B112" s="31">
        <v>408</v>
      </c>
      <c r="C112" s="32" t="s">
        <v>27</v>
      </c>
      <c r="D112" s="46">
        <v>244</v>
      </c>
      <c r="E112" s="2">
        <v>98</v>
      </c>
      <c r="F112" s="2">
        <f>978-(D112+E112)</f>
        <v>636</v>
      </c>
      <c r="G112" s="2">
        <f t="shared" si="30"/>
        <v>978</v>
      </c>
      <c r="H112" s="33">
        <f t="shared" si="31"/>
        <v>0.34969325153374231</v>
      </c>
    </row>
    <row r="113" spans="1:8" x14ac:dyDescent="0.2">
      <c r="A113" s="30">
        <v>3</v>
      </c>
      <c r="B113" s="31">
        <v>704</v>
      </c>
      <c r="C113" s="32" t="s">
        <v>28</v>
      </c>
      <c r="D113" s="46">
        <v>209</v>
      </c>
      <c r="E113" s="2">
        <v>84</v>
      </c>
      <c r="F113" s="2">
        <f>897-(D113+E113)</f>
        <v>604</v>
      </c>
      <c r="G113" s="2">
        <f t="shared" si="30"/>
        <v>897</v>
      </c>
      <c r="H113" s="33">
        <f t="shared" si="31"/>
        <v>0.32664437012263098</v>
      </c>
    </row>
    <row r="114" spans="1:8" x14ac:dyDescent="0.2">
      <c r="A114" s="30">
        <v>3</v>
      </c>
      <c r="B114" s="31">
        <v>708</v>
      </c>
      <c r="C114" s="32" t="s">
        <v>29</v>
      </c>
      <c r="D114" s="46">
        <v>293</v>
      </c>
      <c r="E114" s="2">
        <v>118</v>
      </c>
      <c r="F114" s="2">
        <f>1396-(D114+E114)</f>
        <v>985</v>
      </c>
      <c r="G114" s="2">
        <f>SUM(D114:F114)</f>
        <v>1396</v>
      </c>
      <c r="H114" s="33">
        <f>+(D114+E114)/G114</f>
        <v>0.29441260744985676</v>
      </c>
    </row>
    <row r="115" spans="1:8" ht="13.5" thickBot="1" x14ac:dyDescent="0.25">
      <c r="A115" s="30">
        <v>3</v>
      </c>
      <c r="B115" s="31">
        <v>778</v>
      </c>
      <c r="C115" s="62" t="s">
        <v>943</v>
      </c>
      <c r="D115" s="46">
        <v>91</v>
      </c>
      <c r="E115" s="2">
        <v>9</v>
      </c>
      <c r="F115" s="2">
        <f>147-(D115+E115)</f>
        <v>47</v>
      </c>
      <c r="G115" s="2">
        <f>SUM(D115:F115)</f>
        <v>147</v>
      </c>
      <c r="H115" s="33">
        <f>+(D115+E115)/G115</f>
        <v>0.68027210884353739</v>
      </c>
    </row>
    <row r="116" spans="1:8" ht="13.5" thickBot="1" x14ac:dyDescent="0.25">
      <c r="A116" s="34"/>
      <c r="B116" s="35">
        <f>COUNTA(B95:B115)</f>
        <v>21</v>
      </c>
      <c r="C116" s="36" t="s">
        <v>20</v>
      </c>
      <c r="D116" s="4">
        <f>SUM(D95:D115)</f>
        <v>3122</v>
      </c>
      <c r="E116" s="3">
        <f>SUM(E95:E115)</f>
        <v>1422</v>
      </c>
      <c r="F116" s="80">
        <f>SUM(F95:F115)</f>
        <v>6450</v>
      </c>
      <c r="G116" s="3">
        <f t="shared" si="30"/>
        <v>10994</v>
      </c>
      <c r="H116" s="37">
        <f>+(D116+E116)/G116</f>
        <v>0.41331635437511371</v>
      </c>
    </row>
    <row r="117" spans="1:8" x14ac:dyDescent="0.2">
      <c r="A117" s="38"/>
      <c r="B117" s="39"/>
      <c r="C117" s="40"/>
      <c r="D117" s="5"/>
      <c r="E117" s="42"/>
      <c r="F117" s="41"/>
      <c r="G117" s="42"/>
      <c r="H117" s="43"/>
    </row>
    <row r="118" spans="1:8" x14ac:dyDescent="0.2">
      <c r="A118" s="38"/>
      <c r="B118" s="39"/>
      <c r="C118" s="45" t="s">
        <v>30</v>
      </c>
      <c r="D118" s="5"/>
      <c r="E118" s="42"/>
      <c r="F118" s="41"/>
      <c r="G118" s="42"/>
      <c r="H118" s="43"/>
    </row>
    <row r="119" spans="1:8" x14ac:dyDescent="0.2">
      <c r="A119" s="30">
        <v>4</v>
      </c>
      <c r="B119" s="31">
        <v>106</v>
      </c>
      <c r="C119" s="62" t="s">
        <v>944</v>
      </c>
      <c r="D119" s="46">
        <v>172</v>
      </c>
      <c r="E119" s="2">
        <v>102</v>
      </c>
      <c r="F119" s="2">
        <f>617-(D119+E119)</f>
        <v>343</v>
      </c>
      <c r="G119" s="2">
        <f t="shared" ref="G119" si="32">SUM(D119:F119)</f>
        <v>617</v>
      </c>
      <c r="H119" s="33">
        <f t="shared" ref="H119" si="33">+(D119+E119)/G119</f>
        <v>0.44408427876823336</v>
      </c>
    </row>
    <row r="120" spans="1:8" x14ac:dyDescent="0.2">
      <c r="A120" s="30">
        <v>4</v>
      </c>
      <c r="B120" s="31">
        <v>109</v>
      </c>
      <c r="C120" s="62" t="s">
        <v>467</v>
      </c>
      <c r="D120" s="46">
        <v>156</v>
      </c>
      <c r="E120" s="2">
        <v>56</v>
      </c>
      <c r="F120" s="2">
        <f>515-(D120+E120)</f>
        <v>303</v>
      </c>
      <c r="G120" s="2">
        <f t="shared" ref="G120:G144" si="34">SUM(D120:F120)</f>
        <v>515</v>
      </c>
      <c r="H120" s="33">
        <f t="shared" ref="H120:H143" si="35">+(D120+E120)/G120</f>
        <v>0.4116504854368932</v>
      </c>
    </row>
    <row r="121" spans="1:8" x14ac:dyDescent="0.2">
      <c r="A121" s="30">
        <v>4</v>
      </c>
      <c r="B121" s="31">
        <v>118</v>
      </c>
      <c r="C121" s="62" t="s">
        <v>468</v>
      </c>
      <c r="D121" s="46">
        <v>139</v>
      </c>
      <c r="E121" s="2">
        <v>61</v>
      </c>
      <c r="F121" s="2">
        <f>562-(D121+E121)</f>
        <v>362</v>
      </c>
      <c r="G121" s="2">
        <f>SUM(D121:F121)</f>
        <v>562</v>
      </c>
      <c r="H121" s="33">
        <f>+(D121+E121)/G121</f>
        <v>0.35587188612099646</v>
      </c>
    </row>
    <row r="122" spans="1:8" x14ac:dyDescent="0.2">
      <c r="A122" s="30">
        <v>4</v>
      </c>
      <c r="B122" s="31">
        <v>120</v>
      </c>
      <c r="C122" s="62" t="s">
        <v>516</v>
      </c>
      <c r="D122" s="46">
        <v>109</v>
      </c>
      <c r="E122" s="2">
        <v>65</v>
      </c>
      <c r="F122" s="2">
        <f>487-(D122+E122)</f>
        <v>313</v>
      </c>
      <c r="G122" s="2">
        <f>SUM(D122:F122)</f>
        <v>487</v>
      </c>
      <c r="H122" s="33">
        <f>+(D122+E122)/G122</f>
        <v>0.35728952772073924</v>
      </c>
    </row>
    <row r="123" spans="1:8" x14ac:dyDescent="0.2">
      <c r="A123" s="30">
        <v>4</v>
      </c>
      <c r="B123" s="31">
        <v>124</v>
      </c>
      <c r="C123" s="62" t="s">
        <v>469</v>
      </c>
      <c r="D123" s="46">
        <v>140</v>
      </c>
      <c r="E123" s="2">
        <v>84</v>
      </c>
      <c r="F123" s="2">
        <f>518-(D123+E123)</f>
        <v>294</v>
      </c>
      <c r="G123" s="2">
        <f t="shared" si="34"/>
        <v>518</v>
      </c>
      <c r="H123" s="33">
        <f t="shared" si="35"/>
        <v>0.43243243243243246</v>
      </c>
    </row>
    <row r="124" spans="1:8" x14ac:dyDescent="0.2">
      <c r="A124" s="30">
        <v>4</v>
      </c>
      <c r="B124" s="31">
        <v>128</v>
      </c>
      <c r="C124" s="62" t="s">
        <v>470</v>
      </c>
      <c r="D124" s="46">
        <v>179</v>
      </c>
      <c r="E124" s="2">
        <v>57</v>
      </c>
      <c r="F124" s="2">
        <f>421-(D124+E124)</f>
        <v>185</v>
      </c>
      <c r="G124" s="2">
        <f t="shared" si="34"/>
        <v>421</v>
      </c>
      <c r="H124" s="33">
        <f t="shared" si="35"/>
        <v>0.56057007125890734</v>
      </c>
    </row>
    <row r="125" spans="1:8" x14ac:dyDescent="0.2">
      <c r="A125" s="30">
        <v>4</v>
      </c>
      <c r="B125" s="31">
        <v>130</v>
      </c>
      <c r="C125" s="62" t="s">
        <v>472</v>
      </c>
      <c r="D125" s="46">
        <v>83</v>
      </c>
      <c r="E125" s="2">
        <v>64</v>
      </c>
      <c r="F125" s="2">
        <f>501-(D125+E125)</f>
        <v>354</v>
      </c>
      <c r="G125" s="2">
        <f t="shared" ref="G125" si="36">SUM(D125:F125)</f>
        <v>501</v>
      </c>
      <c r="H125" s="33">
        <f t="shared" ref="H125" si="37">+(D125+E125)/G125</f>
        <v>0.29341317365269459</v>
      </c>
    </row>
    <row r="126" spans="1:8" x14ac:dyDescent="0.2">
      <c r="A126" s="30">
        <v>4</v>
      </c>
      <c r="B126" s="31">
        <v>132</v>
      </c>
      <c r="C126" s="62" t="s">
        <v>471</v>
      </c>
      <c r="D126" s="46">
        <v>92</v>
      </c>
      <c r="E126" s="2">
        <v>84</v>
      </c>
      <c r="F126" s="2">
        <f>397-(D126+E126)</f>
        <v>221</v>
      </c>
      <c r="G126" s="2">
        <f t="shared" si="34"/>
        <v>397</v>
      </c>
      <c r="H126" s="33">
        <f t="shared" si="35"/>
        <v>0.44332493702770781</v>
      </c>
    </row>
    <row r="127" spans="1:8" x14ac:dyDescent="0.2">
      <c r="A127" s="30">
        <v>4</v>
      </c>
      <c r="B127" s="31">
        <v>140</v>
      </c>
      <c r="C127" s="62" t="s">
        <v>473</v>
      </c>
      <c r="D127" s="46">
        <v>91</v>
      </c>
      <c r="E127" s="2">
        <v>50</v>
      </c>
      <c r="F127" s="2">
        <f>349-(D127+E127)</f>
        <v>208</v>
      </c>
      <c r="G127" s="2">
        <f t="shared" si="34"/>
        <v>349</v>
      </c>
      <c r="H127" s="33">
        <f t="shared" si="35"/>
        <v>0.4040114613180516</v>
      </c>
    </row>
    <row r="128" spans="1:8" x14ac:dyDescent="0.2">
      <c r="A128" s="30">
        <v>4</v>
      </c>
      <c r="B128" s="31">
        <v>144</v>
      </c>
      <c r="C128" s="62" t="s">
        <v>464</v>
      </c>
      <c r="D128" s="46">
        <v>100</v>
      </c>
      <c r="E128" s="2">
        <v>37</v>
      </c>
      <c r="F128" s="2">
        <f>547-(D128+E128)</f>
        <v>410</v>
      </c>
      <c r="G128" s="2">
        <f t="shared" si="34"/>
        <v>547</v>
      </c>
      <c r="H128" s="33">
        <f t="shared" si="35"/>
        <v>0.25045703839122485</v>
      </c>
    </row>
    <row r="129" spans="1:8" x14ac:dyDescent="0.2">
      <c r="A129" s="30">
        <v>4</v>
      </c>
      <c r="B129" s="31">
        <v>152</v>
      </c>
      <c r="C129" s="62" t="s">
        <v>474</v>
      </c>
      <c r="D129" s="46">
        <v>104</v>
      </c>
      <c r="E129" s="2">
        <v>44</v>
      </c>
      <c r="F129" s="2">
        <f>326-(D129+E129)</f>
        <v>178</v>
      </c>
      <c r="G129" s="2">
        <f t="shared" si="34"/>
        <v>326</v>
      </c>
      <c r="H129" s="33">
        <f t="shared" si="35"/>
        <v>0.45398773006134968</v>
      </c>
    </row>
    <row r="130" spans="1:8" x14ac:dyDescent="0.2">
      <c r="A130" s="30">
        <v>4</v>
      </c>
      <c r="B130" s="31">
        <v>156</v>
      </c>
      <c r="C130" s="62" t="s">
        <v>475</v>
      </c>
      <c r="D130" s="46">
        <v>78</v>
      </c>
      <c r="E130" s="2">
        <v>39</v>
      </c>
      <c r="F130" s="2">
        <f>534-(D130+E130)</f>
        <v>417</v>
      </c>
      <c r="G130" s="2">
        <f t="shared" si="34"/>
        <v>534</v>
      </c>
      <c r="H130" s="33">
        <f t="shared" si="35"/>
        <v>0.21910112359550563</v>
      </c>
    </row>
    <row r="131" spans="1:8" x14ac:dyDescent="0.2">
      <c r="A131" s="30">
        <v>4</v>
      </c>
      <c r="B131" s="31">
        <v>160</v>
      </c>
      <c r="C131" s="62" t="s">
        <v>476</v>
      </c>
      <c r="D131" s="46">
        <v>76</v>
      </c>
      <c r="E131" s="2">
        <v>36</v>
      </c>
      <c r="F131" s="2">
        <f>480-(D131+E131)</f>
        <v>368</v>
      </c>
      <c r="G131" s="2">
        <f t="shared" si="34"/>
        <v>480</v>
      </c>
      <c r="H131" s="33">
        <f t="shared" si="35"/>
        <v>0.23333333333333334</v>
      </c>
    </row>
    <row r="132" spans="1:8" x14ac:dyDescent="0.2">
      <c r="A132" s="30">
        <v>4</v>
      </c>
      <c r="B132" s="31">
        <v>164</v>
      </c>
      <c r="C132" s="62" t="s">
        <v>477</v>
      </c>
      <c r="D132" s="46">
        <v>154</v>
      </c>
      <c r="E132" s="2">
        <v>98</v>
      </c>
      <c r="F132" s="2">
        <f>531-(D132+E132)</f>
        <v>279</v>
      </c>
      <c r="G132" s="2">
        <f t="shared" si="34"/>
        <v>531</v>
      </c>
      <c r="H132" s="33">
        <f t="shared" si="35"/>
        <v>0.47457627118644069</v>
      </c>
    </row>
    <row r="133" spans="1:8" x14ac:dyDescent="0.2">
      <c r="A133" s="30">
        <v>4</v>
      </c>
      <c r="B133" s="31">
        <v>166</v>
      </c>
      <c r="C133" s="62" t="s">
        <v>478</v>
      </c>
      <c r="D133" s="46">
        <v>57</v>
      </c>
      <c r="E133" s="2">
        <v>55</v>
      </c>
      <c r="F133" s="2">
        <f>501-(D133+E133)</f>
        <v>389</v>
      </c>
      <c r="G133" s="2">
        <f t="shared" si="34"/>
        <v>501</v>
      </c>
      <c r="H133" s="33">
        <f t="shared" si="35"/>
        <v>0.22355289421157684</v>
      </c>
    </row>
    <row r="134" spans="1:8" x14ac:dyDescent="0.2">
      <c r="A134" s="30">
        <v>4</v>
      </c>
      <c r="B134" s="31">
        <v>170</v>
      </c>
      <c r="C134" s="62" t="s">
        <v>479</v>
      </c>
      <c r="D134" s="46">
        <v>72</v>
      </c>
      <c r="E134" s="2">
        <v>45</v>
      </c>
      <c r="F134" s="2">
        <f>370-(D134+E134)</f>
        <v>253</v>
      </c>
      <c r="G134" s="2">
        <f t="shared" si="34"/>
        <v>370</v>
      </c>
      <c r="H134" s="33">
        <f t="shared" si="35"/>
        <v>0.31621621621621621</v>
      </c>
    </row>
    <row r="135" spans="1:8" x14ac:dyDescent="0.2">
      <c r="A135" s="30">
        <v>4</v>
      </c>
      <c r="B135" s="31">
        <v>310</v>
      </c>
      <c r="C135" s="32" t="s">
        <v>31</v>
      </c>
      <c r="D135" s="46">
        <v>133</v>
      </c>
      <c r="E135" s="2">
        <v>70</v>
      </c>
      <c r="F135" s="2">
        <f>656-(D135+E135)</f>
        <v>453</v>
      </c>
      <c r="G135" s="2">
        <f t="shared" si="34"/>
        <v>656</v>
      </c>
      <c r="H135" s="33">
        <f t="shared" si="35"/>
        <v>0.30945121951219512</v>
      </c>
    </row>
    <row r="136" spans="1:8" x14ac:dyDescent="0.2">
      <c r="A136" s="30">
        <v>4</v>
      </c>
      <c r="B136" s="31">
        <v>330</v>
      </c>
      <c r="C136" s="32" t="s">
        <v>32</v>
      </c>
      <c r="D136" s="46">
        <v>135</v>
      </c>
      <c r="E136" s="2">
        <v>87</v>
      </c>
      <c r="F136" s="2">
        <f>725-(D136+E136)</f>
        <v>503</v>
      </c>
      <c r="G136" s="2">
        <f t="shared" si="34"/>
        <v>725</v>
      </c>
      <c r="H136" s="33">
        <f t="shared" si="35"/>
        <v>0.30620689655172412</v>
      </c>
    </row>
    <row r="137" spans="1:8" x14ac:dyDescent="0.2">
      <c r="A137" s="30">
        <v>4</v>
      </c>
      <c r="B137" s="31">
        <v>335</v>
      </c>
      <c r="C137" s="32" t="s">
        <v>269</v>
      </c>
      <c r="D137" s="46">
        <v>132</v>
      </c>
      <c r="E137" s="2">
        <v>78</v>
      </c>
      <c r="F137" s="2">
        <f>479-(D137+E137)</f>
        <v>269</v>
      </c>
      <c r="G137" s="2">
        <f t="shared" si="34"/>
        <v>479</v>
      </c>
      <c r="H137" s="33">
        <f t="shared" si="35"/>
        <v>0.43841336116910229</v>
      </c>
    </row>
    <row r="138" spans="1:8" x14ac:dyDescent="0.2">
      <c r="A138" s="30">
        <v>4</v>
      </c>
      <c r="B138" s="31">
        <v>340</v>
      </c>
      <c r="C138" s="32" t="s">
        <v>33</v>
      </c>
      <c r="D138" s="46">
        <v>161</v>
      </c>
      <c r="E138" s="2">
        <v>95</v>
      </c>
      <c r="F138" s="2">
        <f>617-(D138+E138)</f>
        <v>361</v>
      </c>
      <c r="G138" s="2">
        <f t="shared" si="34"/>
        <v>617</v>
      </c>
      <c r="H138" s="33">
        <f t="shared" si="35"/>
        <v>0.41491085899513774</v>
      </c>
    </row>
    <row r="139" spans="1:8" x14ac:dyDescent="0.2">
      <c r="A139" s="30">
        <v>4</v>
      </c>
      <c r="B139" s="31">
        <v>406</v>
      </c>
      <c r="C139" s="32" t="s">
        <v>34</v>
      </c>
      <c r="D139" s="46">
        <v>228</v>
      </c>
      <c r="E139" s="2">
        <v>127</v>
      </c>
      <c r="F139" s="2">
        <f>1109-(D139+E139)</f>
        <v>754</v>
      </c>
      <c r="G139" s="2">
        <f t="shared" si="34"/>
        <v>1109</v>
      </c>
      <c r="H139" s="33">
        <f t="shared" si="35"/>
        <v>0.3201082055906222</v>
      </c>
    </row>
    <row r="140" spans="1:8" x14ac:dyDescent="0.2">
      <c r="A140" s="30">
        <v>4</v>
      </c>
      <c r="B140" s="31">
        <v>410</v>
      </c>
      <c r="C140" s="32" t="s">
        <v>35</v>
      </c>
      <c r="D140" s="46">
        <v>245</v>
      </c>
      <c r="E140" s="2">
        <v>158</v>
      </c>
      <c r="F140" s="2">
        <f>1235-(D140+E140)</f>
        <v>832</v>
      </c>
      <c r="G140" s="2">
        <f t="shared" si="34"/>
        <v>1235</v>
      </c>
      <c r="H140" s="33">
        <f t="shared" si="35"/>
        <v>0.32631578947368423</v>
      </c>
    </row>
    <row r="141" spans="1:8" x14ac:dyDescent="0.2">
      <c r="A141" s="30">
        <v>4</v>
      </c>
      <c r="B141" s="31">
        <v>610</v>
      </c>
      <c r="C141" s="62" t="s">
        <v>945</v>
      </c>
      <c r="D141" s="46">
        <v>12</v>
      </c>
      <c r="E141" s="2">
        <v>0</v>
      </c>
      <c r="F141" s="2">
        <f>25-(D141+E141)</f>
        <v>13</v>
      </c>
      <c r="G141" s="2">
        <f t="shared" ref="G141" si="38">SUM(D141:F141)</f>
        <v>25</v>
      </c>
      <c r="H141" s="33">
        <f t="shared" ref="H141" si="39">+(D141+E141)/G141</f>
        <v>0.48</v>
      </c>
    </row>
    <row r="142" spans="1:8" x14ac:dyDescent="0.2">
      <c r="A142" s="30">
        <v>4</v>
      </c>
      <c r="B142" s="31">
        <v>702</v>
      </c>
      <c r="C142" s="62" t="s">
        <v>413</v>
      </c>
      <c r="D142" s="46">
        <v>290</v>
      </c>
      <c r="E142" s="2">
        <v>176</v>
      </c>
      <c r="F142" s="2">
        <f>1679-(D142+E142)</f>
        <v>1213</v>
      </c>
      <c r="G142" s="2">
        <f t="shared" si="34"/>
        <v>1679</v>
      </c>
      <c r="H142" s="33">
        <f t="shared" si="35"/>
        <v>0.27754615842763547</v>
      </c>
    </row>
    <row r="143" spans="1:8" ht="13.5" thickBot="1" x14ac:dyDescent="0.25">
      <c r="A143" s="38">
        <v>4</v>
      </c>
      <c r="B143" s="39">
        <v>706</v>
      </c>
      <c r="C143" s="70" t="s">
        <v>412</v>
      </c>
      <c r="D143" s="46">
        <v>242</v>
      </c>
      <c r="E143" s="2">
        <v>119</v>
      </c>
      <c r="F143" s="2">
        <f>1568-(D143+E143)</f>
        <v>1207</v>
      </c>
      <c r="G143" s="2">
        <f t="shared" si="34"/>
        <v>1568</v>
      </c>
      <c r="H143" s="43">
        <f t="shared" si="35"/>
        <v>0.23022959183673469</v>
      </c>
    </row>
    <row r="144" spans="1:8" ht="13.5" thickBot="1" x14ac:dyDescent="0.25">
      <c r="A144" s="34"/>
      <c r="B144" s="35">
        <f>COUNTA(B119:B143)</f>
        <v>25</v>
      </c>
      <c r="C144" s="36" t="s">
        <v>20</v>
      </c>
      <c r="D144" s="4">
        <f>SUM(D119:D143)</f>
        <v>3380</v>
      </c>
      <c r="E144" s="4">
        <f>SUM(E119:E143)</f>
        <v>1887</v>
      </c>
      <c r="F144" s="4">
        <f>SUM(F119:F143)</f>
        <v>10482</v>
      </c>
      <c r="G144" s="3">
        <f t="shared" si="34"/>
        <v>15749</v>
      </c>
      <c r="H144" s="37">
        <f>+(D144+E144)/G144</f>
        <v>0.33443393231316276</v>
      </c>
    </row>
    <row r="145" spans="1:19" x14ac:dyDescent="0.2">
      <c r="A145" s="38"/>
      <c r="B145" s="39"/>
      <c r="C145" s="40"/>
      <c r="D145" s="5"/>
      <c r="E145" s="42"/>
      <c r="F145" s="41"/>
      <c r="G145" s="42"/>
      <c r="H145" s="43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</row>
    <row r="146" spans="1:19" x14ac:dyDescent="0.2">
      <c r="A146" s="38"/>
      <c r="B146" s="39"/>
      <c r="C146" s="45" t="s">
        <v>36</v>
      </c>
      <c r="D146" s="5"/>
      <c r="E146" s="42"/>
      <c r="F146" s="41"/>
      <c r="G146" s="42"/>
      <c r="H146" s="43"/>
    </row>
    <row r="147" spans="1:19" x14ac:dyDescent="0.2">
      <c r="A147" s="30">
        <v>5</v>
      </c>
      <c r="B147" s="31">
        <v>112</v>
      </c>
      <c r="C147" s="62" t="s">
        <v>481</v>
      </c>
      <c r="D147" s="46">
        <v>153</v>
      </c>
      <c r="E147" s="2">
        <v>65</v>
      </c>
      <c r="F147" s="2">
        <f>546-(D147+E147)</f>
        <v>328</v>
      </c>
      <c r="G147" s="2">
        <f>SUM(D147:F147)</f>
        <v>546</v>
      </c>
      <c r="H147" s="33">
        <f t="shared" ref="H147:H156" si="40">+(D147+E147)/G147</f>
        <v>0.39926739926739929</v>
      </c>
    </row>
    <row r="148" spans="1:19" x14ac:dyDescent="0.2">
      <c r="A148" s="30">
        <v>5</v>
      </c>
      <c r="B148" s="31">
        <v>114</v>
      </c>
      <c r="C148" s="62" t="s">
        <v>483</v>
      </c>
      <c r="D148" s="46">
        <v>170</v>
      </c>
      <c r="E148" s="2">
        <v>45</v>
      </c>
      <c r="F148" s="2">
        <f>553-(D148+E148)</f>
        <v>338</v>
      </c>
      <c r="G148" s="2">
        <f t="shared" ref="G148:G157" si="41">SUM(D148:F148)</f>
        <v>553</v>
      </c>
      <c r="H148" s="33">
        <f t="shared" si="40"/>
        <v>0.38878842676311032</v>
      </c>
    </row>
    <row r="149" spans="1:19" x14ac:dyDescent="0.2">
      <c r="A149" s="30">
        <v>5</v>
      </c>
      <c r="B149" s="31">
        <v>120</v>
      </c>
      <c r="C149" s="62" t="s">
        <v>485</v>
      </c>
      <c r="D149" s="46">
        <v>210</v>
      </c>
      <c r="E149" s="2">
        <v>47</v>
      </c>
      <c r="F149" s="2">
        <f>479-(D149+E149)</f>
        <v>222</v>
      </c>
      <c r="G149" s="2">
        <f t="shared" si="41"/>
        <v>479</v>
      </c>
      <c r="H149" s="33">
        <f t="shared" si="40"/>
        <v>0.5365344467640919</v>
      </c>
    </row>
    <row r="150" spans="1:19" x14ac:dyDescent="0.2">
      <c r="A150" s="30">
        <v>5</v>
      </c>
      <c r="B150" s="31">
        <v>110</v>
      </c>
      <c r="C150" s="62" t="s">
        <v>480</v>
      </c>
      <c r="D150" s="46">
        <v>90</v>
      </c>
      <c r="E150" s="2">
        <v>19</v>
      </c>
      <c r="F150" s="2">
        <f>154-(D150+E150)</f>
        <v>45</v>
      </c>
      <c r="G150" s="2">
        <f t="shared" si="41"/>
        <v>154</v>
      </c>
      <c r="H150" s="33">
        <f t="shared" si="40"/>
        <v>0.70779220779220775</v>
      </c>
    </row>
    <row r="151" spans="1:19" x14ac:dyDescent="0.2">
      <c r="A151" s="30">
        <v>5</v>
      </c>
      <c r="B151" s="31">
        <v>154</v>
      </c>
      <c r="C151" s="62" t="s">
        <v>486</v>
      </c>
      <c r="D151" s="46">
        <v>116</v>
      </c>
      <c r="E151" s="2">
        <v>33</v>
      </c>
      <c r="F151" s="2">
        <f>331-(D151+E151)</f>
        <v>182</v>
      </c>
      <c r="G151" s="2">
        <f t="shared" si="41"/>
        <v>331</v>
      </c>
      <c r="H151" s="33">
        <f t="shared" si="40"/>
        <v>0.45015105740181272</v>
      </c>
    </row>
    <row r="152" spans="1:19" x14ac:dyDescent="0.2">
      <c r="A152" s="30">
        <v>5</v>
      </c>
      <c r="B152" s="31">
        <v>408</v>
      </c>
      <c r="C152" s="62" t="s">
        <v>484</v>
      </c>
      <c r="D152" s="46">
        <v>68</v>
      </c>
      <c r="E152" s="2">
        <v>23</v>
      </c>
      <c r="F152" s="2">
        <f>185-(D152+E152)</f>
        <v>94</v>
      </c>
      <c r="G152" s="2">
        <f t="shared" si="41"/>
        <v>185</v>
      </c>
      <c r="H152" s="33">
        <f t="shared" si="40"/>
        <v>0.49189189189189192</v>
      </c>
    </row>
    <row r="153" spans="1:19" x14ac:dyDescent="0.2">
      <c r="A153" s="30">
        <v>5</v>
      </c>
      <c r="B153" s="31">
        <v>412</v>
      </c>
      <c r="C153" s="32" t="s">
        <v>37</v>
      </c>
      <c r="D153" s="46">
        <v>155</v>
      </c>
      <c r="E153" s="2">
        <v>52</v>
      </c>
      <c r="F153" s="2">
        <f>527-(D153+E153)</f>
        <v>320</v>
      </c>
      <c r="G153" s="2">
        <f t="shared" si="41"/>
        <v>527</v>
      </c>
      <c r="H153" s="33">
        <f t="shared" si="40"/>
        <v>0.39278937381404172</v>
      </c>
    </row>
    <row r="154" spans="1:19" x14ac:dyDescent="0.2">
      <c r="A154" s="30">
        <v>5</v>
      </c>
      <c r="B154" s="31">
        <v>704</v>
      </c>
      <c r="C154" s="32" t="s">
        <v>38</v>
      </c>
      <c r="D154" s="46">
        <v>140</v>
      </c>
      <c r="E154" s="2">
        <v>45</v>
      </c>
      <c r="F154" s="2">
        <f>598-(D154+E154)</f>
        <v>413</v>
      </c>
      <c r="G154" s="2">
        <f t="shared" si="41"/>
        <v>598</v>
      </c>
      <c r="H154" s="33">
        <f t="shared" si="40"/>
        <v>0.30936454849498329</v>
      </c>
    </row>
    <row r="155" spans="1:19" x14ac:dyDescent="0.2">
      <c r="A155" s="30">
        <v>5</v>
      </c>
      <c r="B155" s="31">
        <v>760</v>
      </c>
      <c r="C155" s="32" t="s">
        <v>39</v>
      </c>
      <c r="D155" s="46">
        <v>54</v>
      </c>
      <c r="E155" s="2">
        <v>9</v>
      </c>
      <c r="F155" s="2">
        <f>81-(D155+E155)</f>
        <v>18</v>
      </c>
      <c r="G155" s="2">
        <f t="shared" si="41"/>
        <v>81</v>
      </c>
      <c r="H155" s="33">
        <f t="shared" si="40"/>
        <v>0.77777777777777779</v>
      </c>
    </row>
    <row r="156" spans="1:19" ht="13.5" thickBot="1" x14ac:dyDescent="0.25">
      <c r="A156" s="38">
        <v>5</v>
      </c>
      <c r="B156" s="39">
        <v>801</v>
      </c>
      <c r="C156" s="70" t="s">
        <v>482</v>
      </c>
      <c r="D156" s="46">
        <v>45</v>
      </c>
      <c r="E156" s="2">
        <v>11</v>
      </c>
      <c r="F156" s="2">
        <f>117-(D156+E156)</f>
        <v>61</v>
      </c>
      <c r="G156" s="2">
        <f t="shared" si="41"/>
        <v>117</v>
      </c>
      <c r="H156" s="43">
        <f t="shared" si="40"/>
        <v>0.47863247863247865</v>
      </c>
    </row>
    <row r="157" spans="1:19" ht="13.5" thickBot="1" x14ac:dyDescent="0.25">
      <c r="A157" s="34"/>
      <c r="B157" s="35">
        <f>COUNTA(B147:B156)</f>
        <v>10</v>
      </c>
      <c r="C157" s="36" t="s">
        <v>20</v>
      </c>
      <c r="D157" s="4">
        <f>SUM(D147:D156)</f>
        <v>1201</v>
      </c>
      <c r="E157" s="3">
        <f>SUM(E147:E156)</f>
        <v>349</v>
      </c>
      <c r="F157" s="80">
        <f>SUM(F147:F156)</f>
        <v>2021</v>
      </c>
      <c r="G157" s="3">
        <f t="shared" si="41"/>
        <v>3571</v>
      </c>
      <c r="H157" s="37">
        <f>+(D157+E157)/G157</f>
        <v>0.43405208625035002</v>
      </c>
    </row>
    <row r="158" spans="1:19" x14ac:dyDescent="0.2">
      <c r="A158" s="38"/>
      <c r="B158" s="39"/>
      <c r="C158" s="40"/>
      <c r="D158" s="5"/>
      <c r="E158" s="42"/>
      <c r="F158" s="41"/>
      <c r="G158" s="42"/>
      <c r="H158" s="43"/>
    </row>
    <row r="159" spans="1:19" x14ac:dyDescent="0.2">
      <c r="A159" s="38"/>
      <c r="B159" s="39"/>
      <c r="C159" s="45" t="s">
        <v>40</v>
      </c>
      <c r="D159" s="5"/>
      <c r="E159" s="42"/>
      <c r="F159" s="41"/>
      <c r="G159" s="42"/>
      <c r="H159" s="43"/>
    </row>
    <row r="160" spans="1:19" x14ac:dyDescent="0.2">
      <c r="A160" s="30">
        <v>6</v>
      </c>
      <c r="B160" s="31">
        <v>112</v>
      </c>
      <c r="C160" s="32" t="s">
        <v>206</v>
      </c>
      <c r="D160" s="46">
        <v>15</v>
      </c>
      <c r="E160" s="2">
        <v>8</v>
      </c>
      <c r="F160" s="2">
        <f>95-(D160+E160)</f>
        <v>72</v>
      </c>
      <c r="G160" s="2">
        <f>SUM(D160:F160)</f>
        <v>95</v>
      </c>
      <c r="H160" s="33">
        <f>+(D160+E160)/G160</f>
        <v>0.24210526315789474</v>
      </c>
    </row>
    <row r="161" spans="1:15" ht="13.5" thickBot="1" x14ac:dyDescent="0.25">
      <c r="A161" s="38">
        <v>6</v>
      </c>
      <c r="B161" s="39">
        <v>704</v>
      </c>
      <c r="C161" s="40" t="s">
        <v>205</v>
      </c>
      <c r="D161" s="46">
        <v>14</v>
      </c>
      <c r="E161" s="2">
        <v>11</v>
      </c>
      <c r="F161" s="2">
        <f>91-(D161+E161)</f>
        <v>66</v>
      </c>
      <c r="G161" s="2">
        <f>SUM(D161:F161)</f>
        <v>91</v>
      </c>
      <c r="H161" s="43">
        <f>+(D161+E161)/G161</f>
        <v>0.27472527472527475</v>
      </c>
    </row>
    <row r="162" spans="1:15" ht="13.5" thickBot="1" x14ac:dyDescent="0.25">
      <c r="A162" s="34"/>
      <c r="B162" s="35">
        <f>COUNTA(B160:B161)</f>
        <v>2</v>
      </c>
      <c r="C162" s="36" t="s">
        <v>20</v>
      </c>
      <c r="D162" s="4">
        <f>SUM(D160:D161)</f>
        <v>29</v>
      </c>
      <c r="E162" s="3">
        <f>SUM(E160:E161)</f>
        <v>19</v>
      </c>
      <c r="F162" s="80">
        <f>SUM(F160:F161)</f>
        <v>138</v>
      </c>
      <c r="G162" s="3">
        <f>SUM(D162:F162)</f>
        <v>186</v>
      </c>
      <c r="H162" s="37">
        <f>+(D162+E162)/G162</f>
        <v>0.25806451612903225</v>
      </c>
    </row>
    <row r="163" spans="1:15" x14ac:dyDescent="0.2">
      <c r="A163" s="38"/>
      <c r="B163" s="39"/>
      <c r="C163" s="40"/>
      <c r="D163" s="5"/>
      <c r="E163" s="42"/>
      <c r="F163" s="41"/>
      <c r="G163" s="42"/>
      <c r="H163" s="43"/>
      <c r="I163" s="44"/>
      <c r="J163" s="44"/>
      <c r="K163" s="44"/>
      <c r="L163" s="44"/>
      <c r="M163" s="44"/>
      <c r="N163" s="44"/>
      <c r="O163" s="44"/>
    </row>
    <row r="164" spans="1:15" x14ac:dyDescent="0.2">
      <c r="A164" s="38"/>
      <c r="B164" s="39"/>
      <c r="C164" s="45" t="s">
        <v>41</v>
      </c>
      <c r="D164" s="5"/>
      <c r="E164" s="42"/>
      <c r="F164" s="41"/>
      <c r="G164" s="42"/>
      <c r="H164" s="43"/>
    </row>
    <row r="165" spans="1:15" x14ac:dyDescent="0.2">
      <c r="A165" s="30">
        <v>7</v>
      </c>
      <c r="B165" s="31">
        <v>102</v>
      </c>
      <c r="C165" s="62" t="s">
        <v>487</v>
      </c>
      <c r="D165" s="46">
        <v>120</v>
      </c>
      <c r="E165" s="2">
        <v>59</v>
      </c>
      <c r="F165" s="2">
        <f>619-(D165+E165)</f>
        <v>440</v>
      </c>
      <c r="G165" s="2">
        <f t="shared" ref="G165:G193" si="42">SUM(D165:F165)</f>
        <v>619</v>
      </c>
      <c r="H165" s="33">
        <f t="shared" ref="H165:H222" si="43">+(D165+E165)/G165</f>
        <v>0.28917609046849757</v>
      </c>
    </row>
    <row r="166" spans="1:15" x14ac:dyDescent="0.2">
      <c r="A166" s="30">
        <v>7</v>
      </c>
      <c r="B166" s="31">
        <v>104</v>
      </c>
      <c r="C166" s="62" t="s">
        <v>488</v>
      </c>
      <c r="D166" s="46">
        <v>231</v>
      </c>
      <c r="E166" s="2">
        <v>72</v>
      </c>
      <c r="F166" s="2">
        <f>656-(D166+E166)</f>
        <v>353</v>
      </c>
      <c r="G166" s="2">
        <f t="shared" si="42"/>
        <v>656</v>
      </c>
      <c r="H166" s="33">
        <f t="shared" si="43"/>
        <v>0.46189024390243905</v>
      </c>
    </row>
    <row r="167" spans="1:15" x14ac:dyDescent="0.2">
      <c r="A167" s="30">
        <v>7</v>
      </c>
      <c r="B167" s="31">
        <v>106</v>
      </c>
      <c r="C167" s="114" t="s">
        <v>489</v>
      </c>
      <c r="D167" s="46">
        <v>268</v>
      </c>
      <c r="E167" s="2">
        <v>87</v>
      </c>
      <c r="F167" s="2">
        <f>768-(D167+E167)</f>
        <v>413</v>
      </c>
      <c r="G167" s="2">
        <f t="shared" si="42"/>
        <v>768</v>
      </c>
      <c r="H167" s="33">
        <f t="shared" si="43"/>
        <v>0.46223958333333331</v>
      </c>
    </row>
    <row r="168" spans="1:15" x14ac:dyDescent="0.2">
      <c r="A168" s="30">
        <v>7</v>
      </c>
      <c r="B168" s="31">
        <v>108</v>
      </c>
      <c r="C168" s="62" t="s">
        <v>490</v>
      </c>
      <c r="D168" s="46">
        <v>93</v>
      </c>
      <c r="E168" s="2">
        <v>30</v>
      </c>
      <c r="F168" s="2">
        <f>501-(D168+E168)</f>
        <v>378</v>
      </c>
      <c r="G168" s="2">
        <f t="shared" si="42"/>
        <v>501</v>
      </c>
      <c r="H168" s="33">
        <f t="shared" si="43"/>
        <v>0.24550898203592814</v>
      </c>
    </row>
    <row r="169" spans="1:15" x14ac:dyDescent="0.2">
      <c r="A169" s="30">
        <v>7</v>
      </c>
      <c r="B169" s="31">
        <v>112</v>
      </c>
      <c r="C169" s="62" t="s">
        <v>491</v>
      </c>
      <c r="D169" s="46">
        <v>98</v>
      </c>
      <c r="E169" s="2">
        <v>35</v>
      </c>
      <c r="F169" s="2">
        <f>422-(D169+E169)</f>
        <v>289</v>
      </c>
      <c r="G169" s="2">
        <f t="shared" si="42"/>
        <v>422</v>
      </c>
      <c r="H169" s="33">
        <f t="shared" si="43"/>
        <v>0.31516587677725116</v>
      </c>
    </row>
    <row r="170" spans="1:15" x14ac:dyDescent="0.2">
      <c r="A170" s="30">
        <v>7</v>
      </c>
      <c r="B170" s="31">
        <v>113</v>
      </c>
      <c r="C170" s="62" t="s">
        <v>495</v>
      </c>
      <c r="D170" s="46">
        <v>158</v>
      </c>
      <c r="E170" s="2">
        <v>100</v>
      </c>
      <c r="F170" s="2">
        <f>1065-(D170+E170)</f>
        <v>807</v>
      </c>
      <c r="G170" s="2">
        <f t="shared" ref="G170" si="44">SUM(D170:F170)</f>
        <v>1065</v>
      </c>
      <c r="H170" s="33">
        <f t="shared" ref="H170" si="45">+(D170+E170)/G170</f>
        <v>0.24225352112676057</v>
      </c>
    </row>
    <row r="171" spans="1:15" x14ac:dyDescent="0.2">
      <c r="A171" s="30">
        <v>7</v>
      </c>
      <c r="B171" s="31">
        <v>114</v>
      </c>
      <c r="C171" s="62" t="s">
        <v>515</v>
      </c>
      <c r="D171" s="46">
        <v>106</v>
      </c>
      <c r="E171" s="2">
        <v>51</v>
      </c>
      <c r="F171" s="2">
        <f>801-(D171+E171)</f>
        <v>644</v>
      </c>
      <c r="G171" s="2">
        <f t="shared" si="42"/>
        <v>801</v>
      </c>
      <c r="H171" s="33">
        <f t="shared" si="43"/>
        <v>0.19600499375780275</v>
      </c>
    </row>
    <row r="172" spans="1:15" x14ac:dyDescent="0.2">
      <c r="A172" s="30">
        <v>7</v>
      </c>
      <c r="B172" s="31">
        <v>116</v>
      </c>
      <c r="C172" s="62" t="s">
        <v>496</v>
      </c>
      <c r="D172" s="46">
        <v>70</v>
      </c>
      <c r="E172" s="2">
        <v>31</v>
      </c>
      <c r="F172" s="2">
        <f>506-(D172+E172)</f>
        <v>405</v>
      </c>
      <c r="G172" s="2">
        <f t="shared" si="42"/>
        <v>506</v>
      </c>
      <c r="H172" s="33">
        <f t="shared" si="43"/>
        <v>0.19960474308300397</v>
      </c>
    </row>
    <row r="173" spans="1:15" x14ac:dyDescent="0.2">
      <c r="A173" s="30">
        <v>7</v>
      </c>
      <c r="B173" s="31">
        <v>120</v>
      </c>
      <c r="C173" s="62" t="s">
        <v>500</v>
      </c>
      <c r="D173" s="46">
        <v>162</v>
      </c>
      <c r="E173" s="2">
        <v>82</v>
      </c>
      <c r="F173" s="2">
        <f>698-(D173+E173)</f>
        <v>454</v>
      </c>
      <c r="G173" s="2">
        <f t="shared" si="42"/>
        <v>698</v>
      </c>
      <c r="H173" s="33">
        <f t="shared" si="43"/>
        <v>0.34957020057306593</v>
      </c>
    </row>
    <row r="174" spans="1:15" x14ac:dyDescent="0.2">
      <c r="A174" s="30">
        <v>7</v>
      </c>
      <c r="B174" s="31">
        <v>121</v>
      </c>
      <c r="C174" s="62" t="s">
        <v>538</v>
      </c>
      <c r="D174" s="46">
        <v>147</v>
      </c>
      <c r="E174" s="2">
        <v>71</v>
      </c>
      <c r="F174" s="2">
        <f>629-(D174+E174)</f>
        <v>411</v>
      </c>
      <c r="G174" s="2">
        <f>SUM(D174:F174)</f>
        <v>629</v>
      </c>
      <c r="H174" s="33">
        <f>+(D174+E174)/G174</f>
        <v>0.34658187599364071</v>
      </c>
    </row>
    <row r="175" spans="1:15" x14ac:dyDescent="0.2">
      <c r="A175" s="30">
        <v>7</v>
      </c>
      <c r="B175" s="31">
        <v>122</v>
      </c>
      <c r="C175" s="62" t="s">
        <v>502</v>
      </c>
      <c r="D175" s="46">
        <v>157</v>
      </c>
      <c r="E175" s="2">
        <v>72</v>
      </c>
      <c r="F175" s="2">
        <f>804-(D175+E175)</f>
        <v>575</v>
      </c>
      <c r="G175" s="2">
        <f t="shared" si="42"/>
        <v>804</v>
      </c>
      <c r="H175" s="33">
        <f t="shared" si="43"/>
        <v>0.28482587064676618</v>
      </c>
    </row>
    <row r="176" spans="1:15" x14ac:dyDescent="0.2">
      <c r="A176" s="30">
        <v>7</v>
      </c>
      <c r="B176" s="31">
        <v>124</v>
      </c>
      <c r="C176" s="114" t="s">
        <v>504</v>
      </c>
      <c r="D176" s="46">
        <v>201</v>
      </c>
      <c r="E176" s="2">
        <v>45</v>
      </c>
      <c r="F176" s="2">
        <f>400-(D176+E176)</f>
        <v>154</v>
      </c>
      <c r="G176" s="2">
        <f t="shared" si="42"/>
        <v>400</v>
      </c>
      <c r="H176" s="33">
        <f t="shared" si="43"/>
        <v>0.61499999999999999</v>
      </c>
    </row>
    <row r="177" spans="1:8" ht="12" customHeight="1" x14ac:dyDescent="0.2">
      <c r="A177" s="30">
        <v>7</v>
      </c>
      <c r="B177" s="31">
        <v>128</v>
      </c>
      <c r="C177" s="62" t="s">
        <v>506</v>
      </c>
      <c r="D177" s="46">
        <v>191</v>
      </c>
      <c r="E177" s="2">
        <v>59</v>
      </c>
      <c r="F177" s="2">
        <f>395-(D177+E177)</f>
        <v>145</v>
      </c>
      <c r="G177" s="2">
        <f t="shared" si="42"/>
        <v>395</v>
      </c>
      <c r="H177" s="33">
        <f t="shared" si="43"/>
        <v>0.63291139240506333</v>
      </c>
    </row>
    <row r="178" spans="1:8" x14ac:dyDescent="0.2">
      <c r="A178" s="30">
        <v>7</v>
      </c>
      <c r="B178" s="31">
        <v>129</v>
      </c>
      <c r="C178" s="62" t="s">
        <v>508</v>
      </c>
      <c r="D178" s="46">
        <v>76</v>
      </c>
      <c r="E178" s="2">
        <v>48</v>
      </c>
      <c r="F178" s="2">
        <f t="shared" ref="F178" si="46">619-(D178+E178)</f>
        <v>495</v>
      </c>
      <c r="G178" s="2">
        <f t="shared" si="42"/>
        <v>619</v>
      </c>
      <c r="H178" s="33">
        <f t="shared" si="43"/>
        <v>0.20032310177705978</v>
      </c>
    </row>
    <row r="179" spans="1:8" x14ac:dyDescent="0.2">
      <c r="A179" s="30">
        <v>7</v>
      </c>
      <c r="B179" s="31">
        <v>130</v>
      </c>
      <c r="C179" s="62" t="s">
        <v>523</v>
      </c>
      <c r="D179" s="46">
        <v>180</v>
      </c>
      <c r="E179" s="2">
        <v>59</v>
      </c>
      <c r="F179" s="2">
        <f>629-(D179+E179)</f>
        <v>390</v>
      </c>
      <c r="G179" s="2">
        <f t="shared" si="42"/>
        <v>629</v>
      </c>
      <c r="H179" s="33">
        <f t="shared" si="43"/>
        <v>0.37996820349761529</v>
      </c>
    </row>
    <row r="180" spans="1:8" x14ac:dyDescent="0.2">
      <c r="A180" s="30">
        <v>7</v>
      </c>
      <c r="B180" s="31">
        <v>131</v>
      </c>
      <c r="C180" s="62" t="s">
        <v>501</v>
      </c>
      <c r="D180" s="46">
        <v>87</v>
      </c>
      <c r="E180" s="2">
        <v>25</v>
      </c>
      <c r="F180" s="2">
        <f>686-(D180+E180)</f>
        <v>574</v>
      </c>
      <c r="G180" s="2">
        <f t="shared" si="42"/>
        <v>686</v>
      </c>
      <c r="H180" s="33">
        <f t="shared" si="43"/>
        <v>0.16326530612244897</v>
      </c>
    </row>
    <row r="181" spans="1:8" x14ac:dyDescent="0.2">
      <c r="A181" s="30">
        <v>7</v>
      </c>
      <c r="B181" s="31">
        <v>132</v>
      </c>
      <c r="C181" s="62" t="s">
        <v>511</v>
      </c>
      <c r="D181" s="46">
        <v>71</v>
      </c>
      <c r="E181" s="2">
        <v>43</v>
      </c>
      <c r="F181" s="2">
        <f>527-(D181+E181)</f>
        <v>413</v>
      </c>
      <c r="G181" s="2">
        <f t="shared" si="42"/>
        <v>527</v>
      </c>
      <c r="H181" s="33">
        <f t="shared" si="43"/>
        <v>0.21631878557874762</v>
      </c>
    </row>
    <row r="182" spans="1:8" x14ac:dyDescent="0.2">
      <c r="A182" s="30">
        <v>7</v>
      </c>
      <c r="B182" s="31">
        <v>133</v>
      </c>
      <c r="C182" s="62" t="s">
        <v>514</v>
      </c>
      <c r="D182" s="46">
        <v>173</v>
      </c>
      <c r="E182" s="2">
        <v>42</v>
      </c>
      <c r="F182" s="2">
        <f>383-(D182+E182)</f>
        <v>168</v>
      </c>
      <c r="G182" s="2">
        <f t="shared" si="42"/>
        <v>383</v>
      </c>
      <c r="H182" s="33">
        <f t="shared" si="43"/>
        <v>0.56135770234986948</v>
      </c>
    </row>
    <row r="183" spans="1:8" x14ac:dyDescent="0.2">
      <c r="A183" s="30">
        <v>7</v>
      </c>
      <c r="B183" s="31">
        <v>134</v>
      </c>
      <c r="C183" s="62" t="s">
        <v>518</v>
      </c>
      <c r="D183" s="46">
        <v>74</v>
      </c>
      <c r="E183" s="2">
        <v>12</v>
      </c>
      <c r="F183" s="2">
        <f>506-(D183+E183)</f>
        <v>420</v>
      </c>
      <c r="G183" s="2">
        <f t="shared" si="42"/>
        <v>506</v>
      </c>
      <c r="H183" s="33">
        <f t="shared" si="43"/>
        <v>0.16996047430830039</v>
      </c>
    </row>
    <row r="184" spans="1:8" x14ac:dyDescent="0.2">
      <c r="A184" s="30">
        <v>7</v>
      </c>
      <c r="B184" s="31">
        <v>135</v>
      </c>
      <c r="C184" s="62" t="s">
        <v>517</v>
      </c>
      <c r="D184" s="46">
        <v>85</v>
      </c>
      <c r="E184" s="2">
        <v>116</v>
      </c>
      <c r="F184" s="2">
        <f>572-(D184+E184)</f>
        <v>371</v>
      </c>
      <c r="G184" s="2">
        <f t="shared" si="42"/>
        <v>572</v>
      </c>
      <c r="H184" s="33">
        <f t="shared" si="43"/>
        <v>0.35139860139860141</v>
      </c>
    </row>
    <row r="185" spans="1:8" x14ac:dyDescent="0.2">
      <c r="A185" s="30">
        <v>7</v>
      </c>
      <c r="B185" s="31">
        <v>136</v>
      </c>
      <c r="C185" s="62" t="s">
        <v>509</v>
      </c>
      <c r="D185" s="46">
        <v>211</v>
      </c>
      <c r="E185" s="2">
        <v>80</v>
      </c>
      <c r="F185" s="2">
        <f>937-(D185+E185)</f>
        <v>646</v>
      </c>
      <c r="G185" s="2">
        <f>SUM(D185:F185)</f>
        <v>937</v>
      </c>
      <c r="H185" s="33">
        <f>+(D185+E185)/G185</f>
        <v>0.31056563500533618</v>
      </c>
    </row>
    <row r="186" spans="1:8" x14ac:dyDescent="0.2">
      <c r="A186" s="30">
        <v>7</v>
      </c>
      <c r="B186" s="31">
        <v>137</v>
      </c>
      <c r="C186" s="62" t="s">
        <v>519</v>
      </c>
      <c r="D186" s="46">
        <v>267</v>
      </c>
      <c r="E186" s="2">
        <v>56</v>
      </c>
      <c r="F186" s="2">
        <f>612-(D186+E186)</f>
        <v>289</v>
      </c>
      <c r="G186" s="2">
        <f t="shared" si="42"/>
        <v>612</v>
      </c>
      <c r="H186" s="33">
        <f t="shared" si="43"/>
        <v>0.52777777777777779</v>
      </c>
    </row>
    <row r="187" spans="1:8" x14ac:dyDescent="0.2">
      <c r="A187" s="30">
        <v>7</v>
      </c>
      <c r="B187" s="31">
        <v>138</v>
      </c>
      <c r="C187" s="62" t="s">
        <v>520</v>
      </c>
      <c r="D187" s="46">
        <v>69</v>
      </c>
      <c r="E187" s="2">
        <v>32</v>
      </c>
      <c r="F187" s="2">
        <f>421-(D187+E187)</f>
        <v>320</v>
      </c>
      <c r="G187" s="2">
        <f t="shared" si="42"/>
        <v>421</v>
      </c>
      <c r="H187" s="33">
        <f t="shared" si="43"/>
        <v>0.23990498812351543</v>
      </c>
    </row>
    <row r="188" spans="1:8" x14ac:dyDescent="0.2">
      <c r="A188" s="30">
        <v>7</v>
      </c>
      <c r="B188" s="31">
        <v>139</v>
      </c>
      <c r="C188" s="62" t="s">
        <v>524</v>
      </c>
      <c r="D188" s="46">
        <v>79</v>
      </c>
      <c r="E188" s="2">
        <v>21</v>
      </c>
      <c r="F188" s="2">
        <f>769-(D188+E188)</f>
        <v>669</v>
      </c>
      <c r="G188" s="2">
        <f t="shared" si="42"/>
        <v>769</v>
      </c>
      <c r="H188" s="33">
        <f t="shared" si="43"/>
        <v>0.13003901170351106</v>
      </c>
    </row>
    <row r="189" spans="1:8" x14ac:dyDescent="0.2">
      <c r="A189" s="30">
        <v>7</v>
      </c>
      <c r="B189" s="31">
        <v>140</v>
      </c>
      <c r="C189" s="62" t="s">
        <v>521</v>
      </c>
      <c r="D189" s="46">
        <v>91</v>
      </c>
      <c r="E189" s="2">
        <v>38</v>
      </c>
      <c r="F189" s="2">
        <f>658-(D189+E189)</f>
        <v>529</v>
      </c>
      <c r="G189" s="2">
        <f t="shared" si="42"/>
        <v>658</v>
      </c>
      <c r="H189" s="33">
        <f t="shared" si="43"/>
        <v>0.196048632218845</v>
      </c>
    </row>
    <row r="190" spans="1:8" x14ac:dyDescent="0.2">
      <c r="A190" s="30">
        <v>7</v>
      </c>
      <c r="B190" s="31">
        <v>141</v>
      </c>
      <c r="C190" s="62" t="s">
        <v>114</v>
      </c>
      <c r="D190" s="46">
        <v>74</v>
      </c>
      <c r="E190" s="2">
        <v>24</v>
      </c>
      <c r="F190" s="2">
        <f>761-(D190+E190)</f>
        <v>663</v>
      </c>
      <c r="G190" s="2">
        <f t="shared" si="42"/>
        <v>761</v>
      </c>
      <c r="H190" s="33">
        <f t="shared" si="43"/>
        <v>0.1287779237844941</v>
      </c>
    </row>
    <row r="191" spans="1:8" x14ac:dyDescent="0.2">
      <c r="A191" s="30">
        <v>7</v>
      </c>
      <c r="B191" s="31">
        <v>142</v>
      </c>
      <c r="C191" s="62" t="s">
        <v>533</v>
      </c>
      <c r="D191" s="46">
        <v>49</v>
      </c>
      <c r="E191" s="2">
        <v>24</v>
      </c>
      <c r="F191" s="2">
        <f>677-(D191+E191)</f>
        <v>604</v>
      </c>
      <c r="G191" s="2">
        <f t="shared" si="42"/>
        <v>677</v>
      </c>
      <c r="H191" s="33">
        <f t="shared" si="43"/>
        <v>0.10782865583456426</v>
      </c>
    </row>
    <row r="192" spans="1:8" x14ac:dyDescent="0.2">
      <c r="A192" s="30">
        <v>7</v>
      </c>
      <c r="B192" s="31">
        <v>143</v>
      </c>
      <c r="C192" s="114" t="s">
        <v>470</v>
      </c>
      <c r="D192" s="46">
        <v>324</v>
      </c>
      <c r="E192" s="2">
        <v>63</v>
      </c>
      <c r="F192" s="2">
        <f>779-(D192+E192)</f>
        <v>392</v>
      </c>
      <c r="G192" s="2">
        <f t="shared" si="42"/>
        <v>779</v>
      </c>
      <c r="H192" s="33">
        <f t="shared" si="43"/>
        <v>0.496790757381258</v>
      </c>
    </row>
    <row r="193" spans="1:8" x14ac:dyDescent="0.2">
      <c r="A193" s="30">
        <v>7</v>
      </c>
      <c r="B193" s="31">
        <v>144</v>
      </c>
      <c r="C193" s="62" t="s">
        <v>526</v>
      </c>
      <c r="D193" s="46">
        <v>192</v>
      </c>
      <c r="E193" s="2">
        <v>82</v>
      </c>
      <c r="F193" s="2">
        <f>720-(D193+E193)</f>
        <v>446</v>
      </c>
      <c r="G193" s="2">
        <f t="shared" si="42"/>
        <v>720</v>
      </c>
      <c r="H193" s="33">
        <f t="shared" si="43"/>
        <v>0.38055555555555554</v>
      </c>
    </row>
    <row r="194" spans="1:8" x14ac:dyDescent="0.2">
      <c r="A194" s="30">
        <v>7</v>
      </c>
      <c r="B194" s="31">
        <v>145</v>
      </c>
      <c r="C194" s="62" t="s">
        <v>529</v>
      </c>
      <c r="D194" s="46">
        <v>165</v>
      </c>
      <c r="E194" s="2">
        <v>58</v>
      </c>
      <c r="F194" s="2">
        <f>482-(D194+E194)</f>
        <v>259</v>
      </c>
      <c r="G194" s="2">
        <f t="shared" ref="G194:G221" si="47">SUM(D194:F194)</f>
        <v>482</v>
      </c>
      <c r="H194" s="33">
        <f t="shared" si="43"/>
        <v>0.46265560165975106</v>
      </c>
    </row>
    <row r="195" spans="1:8" x14ac:dyDescent="0.2">
      <c r="A195" s="30">
        <v>7</v>
      </c>
      <c r="B195" s="31">
        <v>146</v>
      </c>
      <c r="C195" s="62" t="s">
        <v>537</v>
      </c>
      <c r="D195" s="46">
        <v>37</v>
      </c>
      <c r="E195" s="2">
        <v>25</v>
      </c>
      <c r="F195" s="2">
        <f>416-(D195+E195)</f>
        <v>354</v>
      </c>
      <c r="G195" s="2">
        <f t="shared" si="47"/>
        <v>416</v>
      </c>
      <c r="H195" s="33">
        <f t="shared" si="43"/>
        <v>0.14903846153846154</v>
      </c>
    </row>
    <row r="196" spans="1:8" x14ac:dyDescent="0.2">
      <c r="A196" s="30">
        <v>7</v>
      </c>
      <c r="B196" s="31">
        <v>147</v>
      </c>
      <c r="C196" s="62" t="s">
        <v>389</v>
      </c>
      <c r="D196" s="46">
        <v>130</v>
      </c>
      <c r="E196" s="2">
        <v>25</v>
      </c>
      <c r="F196" s="2">
        <f>748-(D196+E196)</f>
        <v>593</v>
      </c>
      <c r="G196" s="2">
        <f t="shared" si="47"/>
        <v>748</v>
      </c>
      <c r="H196" s="33">
        <f t="shared" si="43"/>
        <v>0.20721925133689839</v>
      </c>
    </row>
    <row r="197" spans="1:8" x14ac:dyDescent="0.2">
      <c r="A197" s="30">
        <v>7</v>
      </c>
      <c r="B197" s="31">
        <v>148</v>
      </c>
      <c r="C197" s="62" t="s">
        <v>507</v>
      </c>
      <c r="D197" s="46">
        <v>46</v>
      </c>
      <c r="E197" s="2">
        <v>42</v>
      </c>
      <c r="F197" s="2">
        <f>1014-(D197+E197)</f>
        <v>926</v>
      </c>
      <c r="G197" s="2">
        <f t="shared" si="47"/>
        <v>1014</v>
      </c>
      <c r="H197" s="33">
        <f t="shared" si="43"/>
        <v>8.6785009861932938E-2</v>
      </c>
    </row>
    <row r="198" spans="1:8" x14ac:dyDescent="0.2">
      <c r="A198" s="30">
        <v>7</v>
      </c>
      <c r="B198" s="31">
        <v>149</v>
      </c>
      <c r="C198" s="62" t="s">
        <v>563</v>
      </c>
      <c r="D198" s="46">
        <v>37</v>
      </c>
      <c r="E198" s="2">
        <v>24</v>
      </c>
      <c r="F198" s="2">
        <f>727-(D198+E198)</f>
        <v>666</v>
      </c>
      <c r="G198" s="2">
        <f t="shared" si="47"/>
        <v>727</v>
      </c>
      <c r="H198" s="33">
        <f t="shared" si="43"/>
        <v>8.3906464924346627E-2</v>
      </c>
    </row>
    <row r="199" spans="1:8" x14ac:dyDescent="0.2">
      <c r="A199" s="30">
        <v>7</v>
      </c>
      <c r="B199" s="31">
        <v>150</v>
      </c>
      <c r="C199" s="62" t="s">
        <v>539</v>
      </c>
      <c r="D199" s="46">
        <v>69</v>
      </c>
      <c r="E199" s="2">
        <v>27</v>
      </c>
      <c r="F199" s="2">
        <f>639-(D199+E199)</f>
        <v>543</v>
      </c>
      <c r="G199" s="2">
        <f t="shared" si="47"/>
        <v>639</v>
      </c>
      <c r="H199" s="33">
        <f t="shared" si="43"/>
        <v>0.15023474178403756</v>
      </c>
    </row>
    <row r="200" spans="1:8" x14ac:dyDescent="0.2">
      <c r="A200" s="30">
        <v>7</v>
      </c>
      <c r="B200" s="31">
        <v>151</v>
      </c>
      <c r="C200" s="62" t="s">
        <v>503</v>
      </c>
      <c r="D200" s="46">
        <v>190</v>
      </c>
      <c r="E200" s="2">
        <v>40</v>
      </c>
      <c r="F200" s="2">
        <f>715-(D200+E200)</f>
        <v>485</v>
      </c>
      <c r="G200" s="2">
        <f t="shared" si="47"/>
        <v>715</v>
      </c>
      <c r="H200" s="33">
        <f t="shared" si="43"/>
        <v>0.32167832167832167</v>
      </c>
    </row>
    <row r="201" spans="1:8" x14ac:dyDescent="0.2">
      <c r="A201" s="30">
        <v>7</v>
      </c>
      <c r="B201" s="31">
        <v>152</v>
      </c>
      <c r="C201" s="62" t="s">
        <v>562</v>
      </c>
      <c r="D201" s="46">
        <v>182</v>
      </c>
      <c r="E201" s="2">
        <v>60</v>
      </c>
      <c r="F201" s="2">
        <f>795-(D201+E201)</f>
        <v>553</v>
      </c>
      <c r="G201" s="2">
        <f t="shared" si="47"/>
        <v>795</v>
      </c>
      <c r="H201" s="33">
        <f t="shared" si="43"/>
        <v>0.30440251572327043</v>
      </c>
    </row>
    <row r="202" spans="1:8" x14ac:dyDescent="0.2">
      <c r="A202" s="30">
        <v>7</v>
      </c>
      <c r="B202" s="31">
        <v>153</v>
      </c>
      <c r="C202" s="62" t="s">
        <v>492</v>
      </c>
      <c r="D202" s="46">
        <v>124</v>
      </c>
      <c r="E202" s="2">
        <v>59</v>
      </c>
      <c r="F202" s="2">
        <f>1044-(D202+E202)</f>
        <v>861</v>
      </c>
      <c r="G202" s="2">
        <f t="shared" si="47"/>
        <v>1044</v>
      </c>
      <c r="H202" s="33">
        <f t="shared" si="43"/>
        <v>0.17528735632183909</v>
      </c>
    </row>
    <row r="203" spans="1:8" x14ac:dyDescent="0.2">
      <c r="A203" s="30">
        <v>7</v>
      </c>
      <c r="B203" s="31">
        <v>154</v>
      </c>
      <c r="C203" s="62" t="s">
        <v>531</v>
      </c>
      <c r="D203" s="46">
        <v>131</v>
      </c>
      <c r="E203" s="2">
        <v>43</v>
      </c>
      <c r="F203" s="2">
        <f>773-(D203+E203)</f>
        <v>599</v>
      </c>
      <c r="G203" s="2">
        <f t="shared" si="47"/>
        <v>773</v>
      </c>
      <c r="H203" s="33">
        <f t="shared" si="43"/>
        <v>0.22509702457956016</v>
      </c>
    </row>
    <row r="204" spans="1:8" x14ac:dyDescent="0.2">
      <c r="A204" s="30">
        <v>7</v>
      </c>
      <c r="B204" s="31">
        <v>155</v>
      </c>
      <c r="C204" s="62" t="s">
        <v>525</v>
      </c>
      <c r="D204" s="46">
        <v>165</v>
      </c>
      <c r="E204" s="2">
        <v>71</v>
      </c>
      <c r="F204" s="2">
        <f>894-(D204+E204)</f>
        <v>658</v>
      </c>
      <c r="G204" s="2">
        <f t="shared" si="47"/>
        <v>894</v>
      </c>
      <c r="H204" s="33">
        <f t="shared" si="43"/>
        <v>0.26398210290827739</v>
      </c>
    </row>
    <row r="205" spans="1:8" x14ac:dyDescent="0.2">
      <c r="A205" s="30">
        <v>7</v>
      </c>
      <c r="B205" s="31">
        <v>156</v>
      </c>
      <c r="C205" s="114" t="s">
        <v>542</v>
      </c>
      <c r="D205" s="46">
        <v>356</v>
      </c>
      <c r="E205" s="2">
        <v>90</v>
      </c>
      <c r="F205" s="2">
        <f>683-(D205+E205)</f>
        <v>237</v>
      </c>
      <c r="G205" s="2">
        <f t="shared" si="47"/>
        <v>683</v>
      </c>
      <c r="H205" s="33">
        <f t="shared" si="43"/>
        <v>0.6530014641288433</v>
      </c>
    </row>
    <row r="206" spans="1:8" x14ac:dyDescent="0.2">
      <c r="A206" s="30">
        <v>7</v>
      </c>
      <c r="B206" s="31">
        <v>157</v>
      </c>
      <c r="C206" s="62" t="s">
        <v>516</v>
      </c>
      <c r="D206" s="46">
        <v>73</v>
      </c>
      <c r="E206" s="2">
        <v>40</v>
      </c>
      <c r="F206" s="2">
        <f>974-(D206+E206)</f>
        <v>861</v>
      </c>
      <c r="G206" s="2">
        <f t="shared" si="47"/>
        <v>974</v>
      </c>
      <c r="H206" s="115">
        <f t="shared" si="43"/>
        <v>0.11601642710472279</v>
      </c>
    </row>
    <row r="207" spans="1:8" x14ac:dyDescent="0.2">
      <c r="A207" s="100">
        <v>7</v>
      </c>
      <c r="B207" s="101">
        <v>158</v>
      </c>
      <c r="C207" s="91" t="s">
        <v>544</v>
      </c>
      <c r="D207" s="90">
        <v>62</v>
      </c>
      <c r="E207" s="102">
        <v>47</v>
      </c>
      <c r="F207" s="2">
        <f>760-(D207+E207)</f>
        <v>651</v>
      </c>
      <c r="G207" s="2">
        <f t="shared" si="47"/>
        <v>760</v>
      </c>
      <c r="H207" s="92">
        <f t="shared" si="43"/>
        <v>0.14342105263157895</v>
      </c>
    </row>
    <row r="208" spans="1:8" x14ac:dyDescent="0.2">
      <c r="A208" s="30">
        <v>7</v>
      </c>
      <c r="B208" s="31">
        <v>159</v>
      </c>
      <c r="C208" s="62" t="s">
        <v>545</v>
      </c>
      <c r="D208" s="46">
        <v>93</v>
      </c>
      <c r="E208" s="2">
        <v>33</v>
      </c>
      <c r="F208" s="2">
        <f>714-(D208+E208)</f>
        <v>588</v>
      </c>
      <c r="G208" s="2">
        <f t="shared" si="47"/>
        <v>714</v>
      </c>
      <c r="H208" s="33">
        <f t="shared" si="43"/>
        <v>0.17647058823529413</v>
      </c>
    </row>
    <row r="209" spans="1:8" x14ac:dyDescent="0.2">
      <c r="A209" s="63">
        <v>7</v>
      </c>
      <c r="B209" s="31">
        <v>160</v>
      </c>
      <c r="C209" s="62" t="s">
        <v>540</v>
      </c>
      <c r="D209" s="46">
        <v>97</v>
      </c>
      <c r="E209" s="2">
        <v>66</v>
      </c>
      <c r="F209" s="2">
        <f>1046-(D209+E209)</f>
        <v>883</v>
      </c>
      <c r="G209" s="2">
        <f>SUM(D209:F209)</f>
        <v>1046</v>
      </c>
      <c r="H209" s="33">
        <f>+(D209+E209)/G209</f>
        <v>0.15583173996175909</v>
      </c>
    </row>
    <row r="210" spans="1:8" x14ac:dyDescent="0.2">
      <c r="A210" s="63">
        <v>7</v>
      </c>
      <c r="B210" s="31">
        <v>161</v>
      </c>
      <c r="C210" s="62" t="s">
        <v>948</v>
      </c>
      <c r="D210" s="46">
        <v>27</v>
      </c>
      <c r="E210" s="2">
        <v>17</v>
      </c>
      <c r="F210" s="2">
        <f>810-(D210+E210)</f>
        <v>766</v>
      </c>
      <c r="G210" s="2">
        <f>SUM(D210:F210)</f>
        <v>810</v>
      </c>
      <c r="H210" s="33">
        <f>+(D210+E210)/G210</f>
        <v>5.4320987654320987E-2</v>
      </c>
    </row>
    <row r="211" spans="1:8" x14ac:dyDescent="0.2">
      <c r="A211" s="30">
        <v>7</v>
      </c>
      <c r="B211" s="31">
        <v>162</v>
      </c>
      <c r="C211" s="62" t="s">
        <v>541</v>
      </c>
      <c r="D211" s="46">
        <v>49</v>
      </c>
      <c r="E211" s="2">
        <v>21</v>
      </c>
      <c r="F211" s="2">
        <f>792-(D211+E211)</f>
        <v>722</v>
      </c>
      <c r="G211" s="2">
        <f>SUM(D211:F211)</f>
        <v>792</v>
      </c>
      <c r="H211" s="33">
        <f>+(D211+E211)/G211</f>
        <v>8.8383838383838384E-2</v>
      </c>
    </row>
    <row r="212" spans="1:8" x14ac:dyDescent="0.2">
      <c r="A212" s="30">
        <v>7</v>
      </c>
      <c r="B212" s="31">
        <v>164</v>
      </c>
      <c r="C212" s="62" t="s">
        <v>546</v>
      </c>
      <c r="D212" s="46">
        <v>213</v>
      </c>
      <c r="E212" s="2">
        <v>62</v>
      </c>
      <c r="F212" s="2">
        <f>441-(D212+E212)</f>
        <v>166</v>
      </c>
      <c r="G212" s="2">
        <f t="shared" si="47"/>
        <v>441</v>
      </c>
      <c r="H212" s="33">
        <f t="shared" si="43"/>
        <v>0.62358276643990929</v>
      </c>
    </row>
    <row r="213" spans="1:8" x14ac:dyDescent="0.2">
      <c r="A213" s="30">
        <v>7</v>
      </c>
      <c r="B213" s="31">
        <v>166</v>
      </c>
      <c r="C213" s="62" t="s">
        <v>513</v>
      </c>
      <c r="D213" s="46">
        <v>180</v>
      </c>
      <c r="E213" s="2">
        <v>50</v>
      </c>
      <c r="F213" s="2">
        <f>1025-(D213+E213)</f>
        <v>795</v>
      </c>
      <c r="G213" s="2">
        <f t="shared" ref="G213" si="48">SUM(D213:F213)</f>
        <v>1025</v>
      </c>
      <c r="H213" s="33">
        <f t="shared" ref="H213" si="49">+(D213+E213)/G213</f>
        <v>0.22439024390243903</v>
      </c>
    </row>
    <row r="214" spans="1:8" x14ac:dyDescent="0.2">
      <c r="A214" s="30">
        <v>7</v>
      </c>
      <c r="B214" s="31">
        <v>168</v>
      </c>
      <c r="C214" s="62" t="s">
        <v>548</v>
      </c>
      <c r="D214" s="46">
        <v>120</v>
      </c>
      <c r="E214" s="2">
        <v>76</v>
      </c>
      <c r="F214" s="2">
        <f>999-(D214+E214)</f>
        <v>803</v>
      </c>
      <c r="G214" s="2">
        <f t="shared" si="47"/>
        <v>999</v>
      </c>
      <c r="H214" s="33">
        <f t="shared" si="43"/>
        <v>0.19619619619619619</v>
      </c>
    </row>
    <row r="215" spans="1:8" x14ac:dyDescent="0.2">
      <c r="A215" s="30">
        <v>7</v>
      </c>
      <c r="B215" s="31">
        <v>172</v>
      </c>
      <c r="C215" s="62" t="s">
        <v>561</v>
      </c>
      <c r="D215" s="46">
        <v>52</v>
      </c>
      <c r="E215" s="2">
        <v>39</v>
      </c>
      <c r="F215" s="2">
        <f>373-(D215+E215)</f>
        <v>282</v>
      </c>
      <c r="G215" s="2">
        <f t="shared" si="47"/>
        <v>373</v>
      </c>
      <c r="H215" s="33">
        <f t="shared" si="43"/>
        <v>0.24396782841823056</v>
      </c>
    </row>
    <row r="216" spans="1:8" x14ac:dyDescent="0.2">
      <c r="A216" s="30">
        <v>7</v>
      </c>
      <c r="B216" s="31">
        <v>180</v>
      </c>
      <c r="C216" s="62" t="s">
        <v>560</v>
      </c>
      <c r="D216" s="46">
        <v>212</v>
      </c>
      <c r="E216" s="2">
        <v>53</v>
      </c>
      <c r="F216" s="2">
        <f>508-(D216+E216)</f>
        <v>243</v>
      </c>
      <c r="G216" s="2">
        <f t="shared" si="47"/>
        <v>508</v>
      </c>
      <c r="H216" s="33">
        <f t="shared" si="43"/>
        <v>0.52165354330708658</v>
      </c>
    </row>
    <row r="217" spans="1:8" x14ac:dyDescent="0.2">
      <c r="A217" s="30">
        <v>7</v>
      </c>
      <c r="B217" s="31">
        <v>182</v>
      </c>
      <c r="C217" s="114" t="s">
        <v>559</v>
      </c>
      <c r="D217" s="46">
        <v>150</v>
      </c>
      <c r="E217" s="2">
        <v>35</v>
      </c>
      <c r="F217" s="2">
        <f>323-(D217+E217)</f>
        <v>138</v>
      </c>
      <c r="G217" s="2">
        <f t="shared" si="47"/>
        <v>323</v>
      </c>
      <c r="H217" s="33">
        <f t="shared" si="43"/>
        <v>0.5727554179566563</v>
      </c>
    </row>
    <row r="218" spans="1:8" ht="12" customHeight="1" x14ac:dyDescent="0.2">
      <c r="A218" s="30">
        <v>7</v>
      </c>
      <c r="B218" s="31">
        <v>184</v>
      </c>
      <c r="C218" s="114" t="s">
        <v>558</v>
      </c>
      <c r="D218" s="46">
        <v>92</v>
      </c>
      <c r="E218" s="2">
        <v>59</v>
      </c>
      <c r="F218" s="2">
        <f>630-(D218+E218)</f>
        <v>479</v>
      </c>
      <c r="G218" s="2">
        <f t="shared" si="47"/>
        <v>630</v>
      </c>
      <c r="H218" s="33">
        <f t="shared" si="43"/>
        <v>0.23968253968253969</v>
      </c>
    </row>
    <row r="219" spans="1:8" x14ac:dyDescent="0.2">
      <c r="A219" s="30">
        <v>7</v>
      </c>
      <c r="B219" s="31">
        <v>186</v>
      </c>
      <c r="C219" s="62" t="s">
        <v>557</v>
      </c>
      <c r="D219" s="46">
        <v>169</v>
      </c>
      <c r="E219" s="2">
        <v>90</v>
      </c>
      <c r="F219" s="2">
        <f>921-(D219+E219)</f>
        <v>662</v>
      </c>
      <c r="G219" s="2">
        <f t="shared" si="47"/>
        <v>921</v>
      </c>
      <c r="H219" s="115">
        <f t="shared" si="43"/>
        <v>0.28121606948968514</v>
      </c>
    </row>
    <row r="220" spans="1:8" x14ac:dyDescent="0.2">
      <c r="A220" s="30">
        <v>7</v>
      </c>
      <c r="B220" s="31">
        <v>188</v>
      </c>
      <c r="C220" s="62" t="s">
        <v>556</v>
      </c>
      <c r="D220" s="46">
        <v>101</v>
      </c>
      <c r="E220" s="2">
        <v>84</v>
      </c>
      <c r="F220" s="2">
        <f>820-(D220+E220)</f>
        <v>635</v>
      </c>
      <c r="G220" s="2">
        <f t="shared" si="47"/>
        <v>820</v>
      </c>
      <c r="H220" s="115">
        <f t="shared" si="43"/>
        <v>0.22560975609756098</v>
      </c>
    </row>
    <row r="221" spans="1:8" x14ac:dyDescent="0.2">
      <c r="A221" s="30">
        <v>7</v>
      </c>
      <c r="B221" s="31">
        <v>192</v>
      </c>
      <c r="C221" s="114" t="s">
        <v>555</v>
      </c>
      <c r="D221" s="46">
        <v>222</v>
      </c>
      <c r="E221" s="2">
        <v>30</v>
      </c>
      <c r="F221" s="2">
        <f>514-(D221+E221)</f>
        <v>262</v>
      </c>
      <c r="G221" s="2">
        <f t="shared" si="47"/>
        <v>514</v>
      </c>
      <c r="H221" s="115">
        <f t="shared" si="43"/>
        <v>0.49027237354085601</v>
      </c>
    </row>
    <row r="222" spans="1:8" x14ac:dyDescent="0.2">
      <c r="A222" s="30">
        <v>7</v>
      </c>
      <c r="B222" s="31">
        <v>193</v>
      </c>
      <c r="C222" s="114" t="s">
        <v>554</v>
      </c>
      <c r="D222" s="46">
        <v>242</v>
      </c>
      <c r="E222" s="2">
        <v>47</v>
      </c>
      <c r="F222" s="2">
        <f>420-(D222+E222)</f>
        <v>131</v>
      </c>
      <c r="G222" s="2">
        <f t="shared" ref="G222:G253" si="50">SUM(D222:F222)</f>
        <v>420</v>
      </c>
      <c r="H222" s="115">
        <f t="shared" si="43"/>
        <v>0.68809523809523809</v>
      </c>
    </row>
    <row r="223" spans="1:8" x14ac:dyDescent="0.2">
      <c r="A223" s="30">
        <v>7</v>
      </c>
      <c r="B223" s="31">
        <v>194</v>
      </c>
      <c r="C223" s="62" t="s">
        <v>404</v>
      </c>
      <c r="D223" s="46">
        <v>60</v>
      </c>
      <c r="E223" s="2">
        <v>15</v>
      </c>
      <c r="F223" s="2">
        <f>472-(D223+E223)</f>
        <v>397</v>
      </c>
      <c r="G223" s="2">
        <f t="shared" si="50"/>
        <v>472</v>
      </c>
      <c r="H223" s="115">
        <f t="shared" ref="H223:H249" si="51">+(D223+E223)/G223</f>
        <v>0.15889830508474576</v>
      </c>
    </row>
    <row r="224" spans="1:8" x14ac:dyDescent="0.2">
      <c r="A224" s="30">
        <v>7</v>
      </c>
      <c r="B224" s="31">
        <v>402</v>
      </c>
      <c r="C224" s="114" t="s">
        <v>510</v>
      </c>
      <c r="D224" s="46">
        <v>211</v>
      </c>
      <c r="E224" s="2">
        <v>66</v>
      </c>
      <c r="F224" s="2">
        <f>1058-(D224+E224)</f>
        <v>781</v>
      </c>
      <c r="G224" s="2">
        <f t="shared" si="50"/>
        <v>1058</v>
      </c>
      <c r="H224" s="115">
        <f t="shared" si="51"/>
        <v>0.26181474480151229</v>
      </c>
    </row>
    <row r="225" spans="1:8" x14ac:dyDescent="0.2">
      <c r="A225" s="30">
        <v>7</v>
      </c>
      <c r="B225" s="31">
        <v>404</v>
      </c>
      <c r="C225" s="62" t="s">
        <v>494</v>
      </c>
      <c r="D225" s="46">
        <v>112</v>
      </c>
      <c r="E225" s="2">
        <v>49</v>
      </c>
      <c r="F225" s="2">
        <f>615-(D225+E225)</f>
        <v>454</v>
      </c>
      <c r="G225" s="2">
        <f t="shared" si="50"/>
        <v>615</v>
      </c>
      <c r="H225" s="115">
        <f t="shared" si="51"/>
        <v>0.26178861788617885</v>
      </c>
    </row>
    <row r="226" spans="1:8" x14ac:dyDescent="0.2">
      <c r="A226" s="30">
        <v>7</v>
      </c>
      <c r="B226" s="31">
        <v>406</v>
      </c>
      <c r="C226" s="62" t="s">
        <v>497</v>
      </c>
      <c r="D226" s="46">
        <v>131</v>
      </c>
      <c r="E226" s="2">
        <v>57</v>
      </c>
      <c r="F226" s="2">
        <f>979-(D226+E226)</f>
        <v>791</v>
      </c>
      <c r="G226" s="2">
        <f t="shared" si="50"/>
        <v>979</v>
      </c>
      <c r="H226" s="115">
        <f t="shared" si="51"/>
        <v>0.19203268641470889</v>
      </c>
    </row>
    <row r="227" spans="1:8" x14ac:dyDescent="0.2">
      <c r="A227" s="30">
        <v>7</v>
      </c>
      <c r="B227" s="31">
        <v>408</v>
      </c>
      <c r="C227" s="62" t="s">
        <v>498</v>
      </c>
      <c r="D227" s="46">
        <v>253</v>
      </c>
      <c r="E227" s="2">
        <v>73</v>
      </c>
      <c r="F227" s="2">
        <f>911-(D227+E227)</f>
        <v>585</v>
      </c>
      <c r="G227" s="2">
        <f t="shared" si="50"/>
        <v>911</v>
      </c>
      <c r="H227" s="115">
        <f t="shared" si="51"/>
        <v>0.35784851811196489</v>
      </c>
    </row>
    <row r="228" spans="1:8" x14ac:dyDescent="0.2">
      <c r="A228" s="30">
        <v>7</v>
      </c>
      <c r="B228" s="31">
        <v>409</v>
      </c>
      <c r="C228" s="62" t="s">
        <v>512</v>
      </c>
      <c r="D228" s="46">
        <v>200</v>
      </c>
      <c r="E228" s="2">
        <v>49</v>
      </c>
      <c r="F228" s="2">
        <f>1110-(D228+E228)</f>
        <v>861</v>
      </c>
      <c r="G228" s="2">
        <f t="shared" si="50"/>
        <v>1110</v>
      </c>
      <c r="H228" s="115">
        <f t="shared" si="51"/>
        <v>0.22432432432432434</v>
      </c>
    </row>
    <row r="229" spans="1:8" x14ac:dyDescent="0.2">
      <c r="A229" s="30">
        <v>7</v>
      </c>
      <c r="B229" s="31">
        <v>410</v>
      </c>
      <c r="C229" s="62" t="s">
        <v>522</v>
      </c>
      <c r="D229" s="46">
        <v>118</v>
      </c>
      <c r="E229" s="2">
        <v>48</v>
      </c>
      <c r="F229" s="2">
        <f>989-(D229+E229)</f>
        <v>823</v>
      </c>
      <c r="G229" s="2">
        <f t="shared" si="50"/>
        <v>989</v>
      </c>
      <c r="H229" s="115">
        <f t="shared" si="51"/>
        <v>0.16784630940343781</v>
      </c>
    </row>
    <row r="230" spans="1:8" x14ac:dyDescent="0.2">
      <c r="A230" s="30">
        <v>7</v>
      </c>
      <c r="B230" s="31">
        <v>411</v>
      </c>
      <c r="C230" s="62" t="s">
        <v>530</v>
      </c>
      <c r="D230" s="46">
        <v>128</v>
      </c>
      <c r="E230" s="2">
        <v>37</v>
      </c>
      <c r="F230" s="2">
        <f>725-(D230+E230)</f>
        <v>560</v>
      </c>
      <c r="G230" s="2">
        <f t="shared" si="50"/>
        <v>725</v>
      </c>
      <c r="H230" s="115">
        <f t="shared" si="51"/>
        <v>0.22758620689655173</v>
      </c>
    </row>
    <row r="231" spans="1:8" x14ac:dyDescent="0.2">
      <c r="A231" s="30">
        <v>7</v>
      </c>
      <c r="B231" s="31">
        <v>412</v>
      </c>
      <c r="C231" s="62" t="s">
        <v>534</v>
      </c>
      <c r="D231" s="46">
        <v>493</v>
      </c>
      <c r="E231" s="2">
        <v>137</v>
      </c>
      <c r="F231" s="2">
        <f>1060-(D231+E231)</f>
        <v>430</v>
      </c>
      <c r="G231" s="2">
        <f t="shared" si="50"/>
        <v>1060</v>
      </c>
      <c r="H231" s="115">
        <f t="shared" si="51"/>
        <v>0.59433962264150941</v>
      </c>
    </row>
    <row r="232" spans="1:8" x14ac:dyDescent="0.2">
      <c r="A232" s="30">
        <v>7</v>
      </c>
      <c r="B232" s="31">
        <v>413</v>
      </c>
      <c r="C232" s="62" t="s">
        <v>532</v>
      </c>
      <c r="D232" s="46">
        <v>106</v>
      </c>
      <c r="E232" s="2">
        <v>43</v>
      </c>
      <c r="F232" s="2">
        <f>667-(D232+E232)</f>
        <v>518</v>
      </c>
      <c r="G232" s="2">
        <f t="shared" si="50"/>
        <v>667</v>
      </c>
      <c r="H232" s="115">
        <f t="shared" si="51"/>
        <v>0.22338830584707647</v>
      </c>
    </row>
    <row r="233" spans="1:8" x14ac:dyDescent="0.2">
      <c r="A233" s="30">
        <v>7</v>
      </c>
      <c r="B233" s="31">
        <v>414</v>
      </c>
      <c r="C233" s="62" t="s">
        <v>535</v>
      </c>
      <c r="D233" s="46">
        <v>253</v>
      </c>
      <c r="E233" s="2">
        <v>83</v>
      </c>
      <c r="F233" s="2">
        <f>939-(D233+E233)</f>
        <v>603</v>
      </c>
      <c r="G233" s="2">
        <f t="shared" si="50"/>
        <v>939</v>
      </c>
      <c r="H233" s="115">
        <f t="shared" si="51"/>
        <v>0.35782747603833864</v>
      </c>
    </row>
    <row r="234" spans="1:8" x14ac:dyDescent="0.2">
      <c r="A234" s="30">
        <v>7</v>
      </c>
      <c r="B234" s="31">
        <v>416</v>
      </c>
      <c r="C234" s="62" t="s">
        <v>543</v>
      </c>
      <c r="D234" s="46">
        <v>232</v>
      </c>
      <c r="E234" s="2">
        <v>82</v>
      </c>
      <c r="F234" s="2">
        <f>1059-(D234+E234)</f>
        <v>745</v>
      </c>
      <c r="G234" s="2">
        <f t="shared" si="50"/>
        <v>1059</v>
      </c>
      <c r="H234" s="115">
        <f t="shared" si="51"/>
        <v>0.29650613786591123</v>
      </c>
    </row>
    <row r="235" spans="1:8" x14ac:dyDescent="0.2">
      <c r="A235" s="30">
        <v>7</v>
      </c>
      <c r="B235" s="31">
        <v>418</v>
      </c>
      <c r="C235" s="62" t="s">
        <v>547</v>
      </c>
      <c r="D235" s="46">
        <v>227</v>
      </c>
      <c r="E235" s="2">
        <v>87</v>
      </c>
      <c r="F235" s="2">
        <f>874-(D235+E235)</f>
        <v>560</v>
      </c>
      <c r="G235" s="2">
        <f t="shared" si="50"/>
        <v>874</v>
      </c>
      <c r="H235" s="115">
        <f t="shared" si="51"/>
        <v>0.35926773455377575</v>
      </c>
    </row>
    <row r="236" spans="1:8" x14ac:dyDescent="0.2">
      <c r="A236" s="30">
        <v>7</v>
      </c>
      <c r="B236" s="31">
        <v>420</v>
      </c>
      <c r="C236" s="62" t="s">
        <v>553</v>
      </c>
      <c r="D236" s="46">
        <v>169</v>
      </c>
      <c r="E236" s="2">
        <v>93</v>
      </c>
      <c r="F236" s="2">
        <f>1055-(D236+E236)</f>
        <v>793</v>
      </c>
      <c r="G236" s="2">
        <f t="shared" si="50"/>
        <v>1055</v>
      </c>
      <c r="H236" s="115">
        <f t="shared" si="51"/>
        <v>0.24834123222748816</v>
      </c>
    </row>
    <row r="237" spans="1:8" x14ac:dyDescent="0.2">
      <c r="A237" s="30">
        <v>7</v>
      </c>
      <c r="B237" s="31">
        <v>422</v>
      </c>
      <c r="C237" s="62" t="s">
        <v>552</v>
      </c>
      <c r="D237" s="46">
        <v>247</v>
      </c>
      <c r="E237" s="2">
        <v>104</v>
      </c>
      <c r="F237" s="2">
        <f>1227-(D237+E237)</f>
        <v>876</v>
      </c>
      <c r="G237" s="2">
        <f t="shared" si="50"/>
        <v>1227</v>
      </c>
      <c r="H237" s="115">
        <f>+(D237+E237)/G237</f>
        <v>0.28606356968215157</v>
      </c>
    </row>
    <row r="238" spans="1:8" x14ac:dyDescent="0.2">
      <c r="A238" s="30">
        <v>7</v>
      </c>
      <c r="B238" s="31">
        <v>424</v>
      </c>
      <c r="C238" s="62" t="s">
        <v>528</v>
      </c>
      <c r="D238" s="46">
        <v>150</v>
      </c>
      <c r="E238" s="2">
        <v>83</v>
      </c>
      <c r="F238" s="2">
        <f>1239-(D238+E238)</f>
        <v>1006</v>
      </c>
      <c r="G238" s="2">
        <f t="shared" ref="G238" si="52">SUM(D238:F238)</f>
        <v>1239</v>
      </c>
      <c r="H238" s="115">
        <f>+(D238+E238)/G238</f>
        <v>0.1880548829701372</v>
      </c>
    </row>
    <row r="239" spans="1:8" x14ac:dyDescent="0.2">
      <c r="A239" s="30">
        <v>7</v>
      </c>
      <c r="B239" s="31">
        <v>426</v>
      </c>
      <c r="C239" s="62" t="s">
        <v>981</v>
      </c>
      <c r="D239" s="46">
        <v>56</v>
      </c>
      <c r="E239" s="2">
        <v>42</v>
      </c>
      <c r="F239" s="2">
        <f>1102-(D239+E239)</f>
        <v>1004</v>
      </c>
      <c r="G239" s="2">
        <f t="shared" ref="G239" si="53">SUM(D239:F239)</f>
        <v>1102</v>
      </c>
      <c r="H239" s="115">
        <f>+(D239+E239)/G239</f>
        <v>8.8929219600725959E-2</v>
      </c>
    </row>
    <row r="240" spans="1:8" x14ac:dyDescent="0.2">
      <c r="A240" s="30">
        <v>7</v>
      </c>
      <c r="B240" s="31">
        <v>704</v>
      </c>
      <c r="C240" s="62" t="s">
        <v>493</v>
      </c>
      <c r="D240" s="46">
        <v>171</v>
      </c>
      <c r="E240" s="2">
        <v>63</v>
      </c>
      <c r="F240" s="2">
        <f>1466-(D240+E240)</f>
        <v>1232</v>
      </c>
      <c r="G240" s="2">
        <f t="shared" si="50"/>
        <v>1466</v>
      </c>
      <c r="H240" s="115">
        <f t="shared" si="51"/>
        <v>0.15961800818553887</v>
      </c>
    </row>
    <row r="241" spans="1:17" x14ac:dyDescent="0.2">
      <c r="A241" s="30">
        <v>7</v>
      </c>
      <c r="B241" s="31">
        <v>706</v>
      </c>
      <c r="C241" s="62" t="s">
        <v>499</v>
      </c>
      <c r="D241" s="46">
        <v>390</v>
      </c>
      <c r="E241" s="2">
        <v>161</v>
      </c>
      <c r="F241" s="2">
        <f>1768-(D241+E241)</f>
        <v>1217</v>
      </c>
      <c r="G241" s="2">
        <f t="shared" si="50"/>
        <v>1768</v>
      </c>
      <c r="H241" s="115">
        <f t="shared" si="51"/>
        <v>0.31165158371040724</v>
      </c>
    </row>
    <row r="242" spans="1:17" x14ac:dyDescent="0.2">
      <c r="A242" s="30">
        <v>7</v>
      </c>
      <c r="B242" s="31">
        <v>708</v>
      </c>
      <c r="C242" s="62" t="s">
        <v>505</v>
      </c>
      <c r="D242" s="46">
        <v>177</v>
      </c>
      <c r="E242" s="2">
        <v>79</v>
      </c>
      <c r="F242" s="2">
        <f>2374-(D242+E242)</f>
        <v>2118</v>
      </c>
      <c r="G242" s="2">
        <f t="shared" si="50"/>
        <v>2374</v>
      </c>
      <c r="H242" s="115">
        <f t="shared" si="51"/>
        <v>0.10783487784330244</v>
      </c>
    </row>
    <row r="243" spans="1:17" x14ac:dyDescent="0.2">
      <c r="A243" s="30">
        <v>7</v>
      </c>
      <c r="B243" s="31">
        <v>710</v>
      </c>
      <c r="C243" s="62" t="s">
        <v>527</v>
      </c>
      <c r="D243" s="46">
        <v>299</v>
      </c>
      <c r="E243" s="2">
        <v>134</v>
      </c>
      <c r="F243" s="2">
        <f>1705-(D243+E243)</f>
        <v>1272</v>
      </c>
      <c r="G243" s="2">
        <f t="shared" si="50"/>
        <v>1705</v>
      </c>
      <c r="H243" s="115">
        <f t="shared" si="51"/>
        <v>0.25395894428152493</v>
      </c>
    </row>
    <row r="244" spans="1:17" x14ac:dyDescent="0.2">
      <c r="A244" s="30">
        <v>7</v>
      </c>
      <c r="B244" s="31">
        <v>711</v>
      </c>
      <c r="C244" s="62" t="s">
        <v>536</v>
      </c>
      <c r="D244" s="46">
        <v>348</v>
      </c>
      <c r="E244" s="2">
        <v>106</v>
      </c>
      <c r="F244" s="2">
        <f>1790-(D244+E244)</f>
        <v>1336</v>
      </c>
      <c r="G244" s="2">
        <f t="shared" si="50"/>
        <v>1790</v>
      </c>
      <c r="H244" s="115">
        <f t="shared" si="51"/>
        <v>0.25363128491620113</v>
      </c>
    </row>
    <row r="245" spans="1:17" x14ac:dyDescent="0.2">
      <c r="A245" s="30">
        <v>7</v>
      </c>
      <c r="B245" s="31">
        <v>712</v>
      </c>
      <c r="C245" s="62" t="s">
        <v>550</v>
      </c>
      <c r="D245" s="46">
        <v>160</v>
      </c>
      <c r="E245" s="2">
        <v>74</v>
      </c>
      <c r="F245" s="2">
        <f>1717-(D245+E245)</f>
        <v>1483</v>
      </c>
      <c r="G245" s="2">
        <f t="shared" si="50"/>
        <v>1717</v>
      </c>
      <c r="H245" s="115">
        <f t="shared" si="51"/>
        <v>0.13628421665695981</v>
      </c>
    </row>
    <row r="246" spans="1:17" x14ac:dyDescent="0.2">
      <c r="A246" s="30">
        <v>7</v>
      </c>
      <c r="B246" s="31">
        <v>714</v>
      </c>
      <c r="C246" s="62" t="s">
        <v>551</v>
      </c>
      <c r="D246" s="46">
        <v>183</v>
      </c>
      <c r="E246" s="2">
        <v>76</v>
      </c>
      <c r="F246" s="2">
        <f>1316-(D246+E246)</f>
        <v>1057</v>
      </c>
      <c r="G246" s="2">
        <f t="shared" si="50"/>
        <v>1316</v>
      </c>
      <c r="H246" s="115">
        <f t="shared" si="51"/>
        <v>0.19680851063829788</v>
      </c>
    </row>
    <row r="247" spans="1:17" x14ac:dyDescent="0.2">
      <c r="A247" s="30">
        <v>7</v>
      </c>
      <c r="B247" s="31">
        <v>716</v>
      </c>
      <c r="C247" s="62" t="s">
        <v>549</v>
      </c>
      <c r="D247" s="46">
        <v>283</v>
      </c>
      <c r="E247" s="2">
        <v>141</v>
      </c>
      <c r="F247" s="2">
        <f>1970-(D247+E247)</f>
        <v>1546</v>
      </c>
      <c r="G247" s="2">
        <f>SUM(D247:F247)</f>
        <v>1970</v>
      </c>
      <c r="H247" s="115">
        <f>+(D247+E247)/G247</f>
        <v>0.21522842639593909</v>
      </c>
    </row>
    <row r="248" spans="1:17" x14ac:dyDescent="0.2">
      <c r="A248" s="30">
        <v>7</v>
      </c>
      <c r="B248" s="31">
        <v>730</v>
      </c>
      <c r="C248" s="32" t="s">
        <v>46</v>
      </c>
      <c r="D248" s="46">
        <v>89</v>
      </c>
      <c r="E248" s="2">
        <v>14</v>
      </c>
      <c r="F248" s="2">
        <f>255-(D248+E248)</f>
        <v>152</v>
      </c>
      <c r="G248" s="2">
        <f t="shared" si="50"/>
        <v>255</v>
      </c>
      <c r="H248" s="115">
        <f t="shared" si="51"/>
        <v>0.40392156862745099</v>
      </c>
    </row>
    <row r="249" spans="1:17" x14ac:dyDescent="0.2">
      <c r="A249" s="30">
        <v>7</v>
      </c>
      <c r="B249" s="31">
        <v>733</v>
      </c>
      <c r="C249" s="32" t="s">
        <v>47</v>
      </c>
      <c r="D249" s="46">
        <v>6</v>
      </c>
      <c r="E249" s="2">
        <v>0</v>
      </c>
      <c r="F249" s="2">
        <f>9-(D249+E249)</f>
        <v>3</v>
      </c>
      <c r="G249" s="2">
        <f t="shared" si="50"/>
        <v>9</v>
      </c>
      <c r="H249" s="115">
        <f t="shared" si="51"/>
        <v>0.66666666666666663</v>
      </c>
    </row>
    <row r="250" spans="1:17" x14ac:dyDescent="0.2">
      <c r="A250" s="30">
        <v>7</v>
      </c>
      <c r="B250" s="31">
        <v>795</v>
      </c>
      <c r="C250" s="62" t="s">
        <v>353</v>
      </c>
      <c r="D250" s="46">
        <v>47</v>
      </c>
      <c r="E250" s="2">
        <v>29</v>
      </c>
      <c r="F250" s="2">
        <f>249-(D250+E250)</f>
        <v>173</v>
      </c>
      <c r="G250" s="2">
        <f>SUM(D250:F250)</f>
        <v>249</v>
      </c>
      <c r="H250" s="115">
        <f>+(D250+E250)/G250</f>
        <v>0.30522088353413657</v>
      </c>
    </row>
    <row r="251" spans="1:17" x14ac:dyDescent="0.2">
      <c r="A251" s="30">
        <v>7</v>
      </c>
      <c r="B251" s="31">
        <v>798</v>
      </c>
      <c r="C251" s="32" t="s">
        <v>231</v>
      </c>
      <c r="D251" s="46">
        <v>136</v>
      </c>
      <c r="E251" s="2">
        <v>66</v>
      </c>
      <c r="F251" s="2">
        <f>769-(D251+E251)</f>
        <v>567</v>
      </c>
      <c r="G251" s="2">
        <f>SUM(D251:F251)</f>
        <v>769</v>
      </c>
      <c r="H251" s="115">
        <f>+(D251+E251)/G251</f>
        <v>0.26267880364109231</v>
      </c>
    </row>
    <row r="252" spans="1:17" ht="13.5" thickBot="1" x14ac:dyDescent="0.25">
      <c r="A252" s="30">
        <v>7</v>
      </c>
      <c r="B252" s="31">
        <v>799</v>
      </c>
      <c r="C252" s="32" t="s">
        <v>236</v>
      </c>
      <c r="D252" s="46">
        <v>43</v>
      </c>
      <c r="E252" s="2">
        <v>30</v>
      </c>
      <c r="F252" s="2">
        <f>500-(D252+E252)</f>
        <v>427</v>
      </c>
      <c r="G252" s="2">
        <f t="shared" si="50"/>
        <v>500</v>
      </c>
      <c r="H252" s="115">
        <f>+(D252+E252)/G252</f>
        <v>0.14599999999999999</v>
      </c>
    </row>
    <row r="253" spans="1:17" ht="13.5" thickBot="1" x14ac:dyDescent="0.25">
      <c r="A253" s="34"/>
      <c r="B253" s="35">
        <f>COUNTA(B165:B252)</f>
        <v>88</v>
      </c>
      <c r="C253" s="36" t="s">
        <v>20</v>
      </c>
      <c r="D253" s="4">
        <f>SUM(D165:D252)</f>
        <v>13368</v>
      </c>
      <c r="E253" s="3">
        <f>SUM(E165:E252)</f>
        <v>5093</v>
      </c>
      <c r="F253" s="80">
        <f>SUM(F165:F252)</f>
        <v>53028</v>
      </c>
      <c r="G253" s="3">
        <f t="shared" si="50"/>
        <v>71489</v>
      </c>
      <c r="H253" s="37">
        <f>+(D253+E253)/G253</f>
        <v>0.25823553273930255</v>
      </c>
    </row>
    <row r="254" spans="1:17" x14ac:dyDescent="0.2">
      <c r="A254" s="38"/>
      <c r="B254" s="39"/>
      <c r="C254" s="40"/>
      <c r="D254" s="110"/>
      <c r="E254" s="111"/>
      <c r="F254" s="47"/>
      <c r="G254" s="42"/>
      <c r="H254" s="43"/>
      <c r="I254" s="44"/>
      <c r="J254" s="44"/>
      <c r="K254" s="44"/>
      <c r="L254" s="44"/>
      <c r="M254" s="44"/>
      <c r="N254" s="44"/>
      <c r="O254" s="44"/>
      <c r="P254" s="44"/>
      <c r="Q254" s="44"/>
    </row>
    <row r="255" spans="1:17" x14ac:dyDescent="0.2">
      <c r="A255" s="38"/>
      <c r="B255" s="39"/>
      <c r="C255" s="45" t="s">
        <v>48</v>
      </c>
      <c r="D255" s="110"/>
      <c r="E255" s="111"/>
      <c r="F255" s="47"/>
      <c r="G255" s="42"/>
      <c r="H255" s="43"/>
    </row>
    <row r="256" spans="1:17" x14ac:dyDescent="0.2">
      <c r="A256" s="30">
        <v>8</v>
      </c>
      <c r="B256" s="31">
        <v>104</v>
      </c>
      <c r="C256" s="62" t="s">
        <v>564</v>
      </c>
      <c r="D256" s="46">
        <v>54</v>
      </c>
      <c r="E256" s="2">
        <v>28</v>
      </c>
      <c r="F256" s="2">
        <f>366-(D256+E256)</f>
        <v>284</v>
      </c>
      <c r="G256" s="2">
        <f>SUM(D256:F256)</f>
        <v>366</v>
      </c>
      <c r="H256" s="33">
        <f t="shared" ref="H256:H269" si="54">+(D256+E256)/G256</f>
        <v>0.22404371584699453</v>
      </c>
    </row>
    <row r="257" spans="1:8" x14ac:dyDescent="0.2">
      <c r="A257" s="30">
        <v>8</v>
      </c>
      <c r="B257" s="31">
        <v>108</v>
      </c>
      <c r="C257" s="62" t="s">
        <v>566</v>
      </c>
      <c r="D257" s="46">
        <v>118</v>
      </c>
      <c r="E257" s="2">
        <v>40</v>
      </c>
      <c r="F257" s="2">
        <f>394-(D257+E257)</f>
        <v>236</v>
      </c>
      <c r="G257" s="2">
        <f t="shared" ref="G257:G269" si="55">SUM(D257:F257)</f>
        <v>394</v>
      </c>
      <c r="H257" s="33">
        <f t="shared" si="54"/>
        <v>0.40101522842639592</v>
      </c>
    </row>
    <row r="258" spans="1:8" x14ac:dyDescent="0.2">
      <c r="A258" s="30">
        <v>8</v>
      </c>
      <c r="B258" s="31">
        <v>110</v>
      </c>
      <c r="C258" s="62" t="s">
        <v>567</v>
      </c>
      <c r="D258" s="46">
        <v>181</v>
      </c>
      <c r="E258" s="2">
        <v>66</v>
      </c>
      <c r="F258" s="2">
        <f>692-(D258+E258)</f>
        <v>445</v>
      </c>
      <c r="G258" s="2">
        <f t="shared" si="55"/>
        <v>692</v>
      </c>
      <c r="H258" s="33">
        <f t="shared" si="54"/>
        <v>0.35693641618497107</v>
      </c>
    </row>
    <row r="259" spans="1:8" x14ac:dyDescent="0.2">
      <c r="A259" s="30">
        <v>8</v>
      </c>
      <c r="B259" s="31">
        <v>112</v>
      </c>
      <c r="C259" s="62" t="s">
        <v>568</v>
      </c>
      <c r="D259" s="46">
        <v>58</v>
      </c>
      <c r="E259" s="2">
        <v>15</v>
      </c>
      <c r="F259" s="2">
        <f>162-(D259+E259)</f>
        <v>89</v>
      </c>
      <c r="G259" s="2">
        <f t="shared" si="55"/>
        <v>162</v>
      </c>
      <c r="H259" s="33">
        <f t="shared" si="54"/>
        <v>0.45061728395061729</v>
      </c>
    </row>
    <row r="260" spans="1:8" x14ac:dyDescent="0.2">
      <c r="A260" s="30">
        <v>8</v>
      </c>
      <c r="B260" s="31">
        <v>116</v>
      </c>
      <c r="C260" s="62" t="s">
        <v>569</v>
      </c>
      <c r="D260" s="46">
        <v>52</v>
      </c>
      <c r="E260" s="2">
        <v>14</v>
      </c>
      <c r="F260" s="2">
        <f>200-(D260+E260)</f>
        <v>134</v>
      </c>
      <c r="G260" s="2">
        <f t="shared" si="55"/>
        <v>200</v>
      </c>
      <c r="H260" s="33">
        <f t="shared" si="54"/>
        <v>0.33</v>
      </c>
    </row>
    <row r="261" spans="1:8" x14ac:dyDescent="0.2">
      <c r="A261" s="30">
        <v>8</v>
      </c>
      <c r="B261" s="31">
        <v>124</v>
      </c>
      <c r="C261" s="62" t="s">
        <v>570</v>
      </c>
      <c r="D261" s="46">
        <v>5</v>
      </c>
      <c r="E261" s="2">
        <v>11</v>
      </c>
      <c r="F261" s="2">
        <f>78-(D261+E261)</f>
        <v>62</v>
      </c>
      <c r="G261" s="2">
        <f t="shared" si="55"/>
        <v>78</v>
      </c>
      <c r="H261" s="33">
        <f>+(D261+E261)/G261</f>
        <v>0.20512820512820512</v>
      </c>
    </row>
    <row r="262" spans="1:8" x14ac:dyDescent="0.2">
      <c r="A262" s="30">
        <v>8</v>
      </c>
      <c r="B262" s="31">
        <v>304</v>
      </c>
      <c r="C262" s="62" t="s">
        <v>982</v>
      </c>
      <c r="D262" s="46">
        <v>149</v>
      </c>
      <c r="E262" s="2">
        <v>63</v>
      </c>
      <c r="F262" s="2">
        <f>600-(D262+E262)</f>
        <v>388</v>
      </c>
      <c r="G262" s="2">
        <f t="shared" si="55"/>
        <v>600</v>
      </c>
      <c r="H262" s="33">
        <f t="shared" si="54"/>
        <v>0.35333333333333333</v>
      </c>
    </row>
    <row r="263" spans="1:8" x14ac:dyDescent="0.2">
      <c r="A263" s="30">
        <v>8</v>
      </c>
      <c r="B263" s="31">
        <v>404</v>
      </c>
      <c r="C263" s="32" t="s">
        <v>49</v>
      </c>
      <c r="D263" s="46">
        <v>164</v>
      </c>
      <c r="E263" s="2">
        <v>82</v>
      </c>
      <c r="F263" s="2">
        <f>758-(D263+E263)</f>
        <v>512</v>
      </c>
      <c r="G263" s="2">
        <f t="shared" si="55"/>
        <v>758</v>
      </c>
      <c r="H263" s="33">
        <f t="shared" si="54"/>
        <v>0.32453825857519791</v>
      </c>
    </row>
    <row r="264" spans="1:8" x14ac:dyDescent="0.2">
      <c r="A264" s="30">
        <v>8</v>
      </c>
      <c r="B264" s="31">
        <v>704</v>
      </c>
      <c r="C264" s="32" t="s">
        <v>50</v>
      </c>
      <c r="D264" s="46">
        <v>38</v>
      </c>
      <c r="E264" s="2">
        <v>20</v>
      </c>
      <c r="F264" s="2">
        <f>268-(D264+E264)</f>
        <v>210</v>
      </c>
      <c r="G264" s="2">
        <f t="shared" si="55"/>
        <v>268</v>
      </c>
      <c r="H264" s="33">
        <f t="shared" si="54"/>
        <v>0.21641791044776118</v>
      </c>
    </row>
    <row r="265" spans="1:8" x14ac:dyDescent="0.2">
      <c r="A265" s="30">
        <v>8</v>
      </c>
      <c r="B265" s="31">
        <v>708</v>
      </c>
      <c r="C265" s="32" t="s">
        <v>51</v>
      </c>
      <c r="D265" s="46">
        <v>68</v>
      </c>
      <c r="E265" s="2">
        <v>28</v>
      </c>
      <c r="F265" s="2">
        <f>338-(D265+E265)</f>
        <v>242</v>
      </c>
      <c r="G265" s="2">
        <f t="shared" si="55"/>
        <v>338</v>
      </c>
      <c r="H265" s="33">
        <f t="shared" si="54"/>
        <v>0.28402366863905326</v>
      </c>
    </row>
    <row r="266" spans="1:8" x14ac:dyDescent="0.2">
      <c r="A266" s="30">
        <v>8</v>
      </c>
      <c r="B266" s="31">
        <v>712</v>
      </c>
      <c r="C266" s="32" t="s">
        <v>52</v>
      </c>
      <c r="D266" s="46">
        <v>13</v>
      </c>
      <c r="E266" s="2">
        <v>12</v>
      </c>
      <c r="F266" s="2">
        <f>71-(D266+E266)</f>
        <v>46</v>
      </c>
      <c r="G266" s="2">
        <f t="shared" si="55"/>
        <v>71</v>
      </c>
      <c r="H266" s="33">
        <f t="shared" si="54"/>
        <v>0.352112676056338</v>
      </c>
    </row>
    <row r="267" spans="1:8" x14ac:dyDescent="0.2">
      <c r="A267" s="30">
        <v>8</v>
      </c>
      <c r="B267" s="31">
        <v>714</v>
      </c>
      <c r="C267" s="32" t="s">
        <v>53</v>
      </c>
      <c r="D267" s="46">
        <v>142</v>
      </c>
      <c r="E267" s="2">
        <v>63</v>
      </c>
      <c r="F267" s="2">
        <f>833-(D267+E267)</f>
        <v>628</v>
      </c>
      <c r="G267" s="2">
        <f t="shared" si="55"/>
        <v>833</v>
      </c>
      <c r="H267" s="33">
        <f t="shared" si="54"/>
        <v>0.24609843937575029</v>
      </c>
    </row>
    <row r="268" spans="1:8" x14ac:dyDescent="0.2">
      <c r="A268" s="30">
        <v>8</v>
      </c>
      <c r="B268" s="31">
        <v>802</v>
      </c>
      <c r="C268" s="62" t="s">
        <v>565</v>
      </c>
      <c r="D268" s="46">
        <v>49</v>
      </c>
      <c r="E268" s="2">
        <v>11</v>
      </c>
      <c r="F268" s="2">
        <f>148-(D268+E268)</f>
        <v>88</v>
      </c>
      <c r="G268" s="2">
        <f t="shared" si="55"/>
        <v>148</v>
      </c>
      <c r="H268" s="33">
        <f t="shared" si="54"/>
        <v>0.40540540540540543</v>
      </c>
    </row>
    <row r="269" spans="1:8" ht="13.5" thickBot="1" x14ac:dyDescent="0.25">
      <c r="A269" s="38">
        <v>8</v>
      </c>
      <c r="B269" s="39">
        <v>804</v>
      </c>
      <c r="C269" s="40" t="s">
        <v>54</v>
      </c>
      <c r="D269" s="46">
        <v>7</v>
      </c>
      <c r="E269" s="2">
        <v>5</v>
      </c>
      <c r="F269" s="2">
        <f>16-(D269+E269)</f>
        <v>4</v>
      </c>
      <c r="G269" s="2">
        <f t="shared" si="55"/>
        <v>16</v>
      </c>
      <c r="H269" s="43">
        <f t="shared" si="54"/>
        <v>0.75</v>
      </c>
    </row>
    <row r="270" spans="1:8" ht="13.5" thickBot="1" x14ac:dyDescent="0.25">
      <c r="A270" s="34"/>
      <c r="B270" s="35">
        <f>COUNTA(B256:B269)</f>
        <v>14</v>
      </c>
      <c r="C270" s="36" t="s">
        <v>20</v>
      </c>
      <c r="D270" s="4">
        <f>SUM(D256:D269)</f>
        <v>1098</v>
      </c>
      <c r="E270" s="3">
        <f>SUM(E256:E269)</f>
        <v>458</v>
      </c>
      <c r="F270" s="80">
        <f>SUM(F256:F269)</f>
        <v>3368</v>
      </c>
      <c r="G270" s="3">
        <f>SUM(D270:F270)</f>
        <v>4924</v>
      </c>
      <c r="H270" s="37">
        <f>+(D270+E270)/G270</f>
        <v>0.31600324939073926</v>
      </c>
    </row>
    <row r="271" spans="1:8" x14ac:dyDescent="0.2">
      <c r="A271" s="38"/>
      <c r="B271" s="39"/>
      <c r="C271" s="40"/>
      <c r="D271" s="5"/>
      <c r="E271" s="42"/>
      <c r="F271" s="41"/>
      <c r="G271" s="42"/>
      <c r="H271" s="43"/>
    </row>
    <row r="272" spans="1:8" x14ac:dyDescent="0.2">
      <c r="A272" s="38"/>
      <c r="B272" s="39"/>
      <c r="C272" s="45" t="s">
        <v>55</v>
      </c>
      <c r="D272" s="5"/>
      <c r="E272" s="42"/>
      <c r="F272" s="41"/>
      <c r="G272" s="42"/>
      <c r="H272" s="43"/>
    </row>
    <row r="273" spans="1:8" x14ac:dyDescent="0.2">
      <c r="A273" s="30">
        <v>9</v>
      </c>
      <c r="B273" s="31">
        <v>104</v>
      </c>
      <c r="C273" s="62" t="s">
        <v>573</v>
      </c>
      <c r="D273" s="46">
        <v>71</v>
      </c>
      <c r="E273" s="2">
        <v>33</v>
      </c>
      <c r="F273" s="2">
        <f>218-(D273+E273)</f>
        <v>114</v>
      </c>
      <c r="G273" s="2">
        <f t="shared" ref="G273:G282" si="56">SUM(D273:F273)</f>
        <v>218</v>
      </c>
      <c r="H273" s="33">
        <f t="shared" ref="H273:H282" si="57">+(D273+E273)/G273</f>
        <v>0.47706422018348627</v>
      </c>
    </row>
    <row r="274" spans="1:8" x14ac:dyDescent="0.2">
      <c r="A274" s="30">
        <v>9</v>
      </c>
      <c r="B274" s="31">
        <v>108</v>
      </c>
      <c r="C274" s="62" t="s">
        <v>574</v>
      </c>
      <c r="D274" s="46">
        <v>39</v>
      </c>
      <c r="E274" s="2">
        <v>42</v>
      </c>
      <c r="F274" s="2">
        <f>213-(D274+E274)</f>
        <v>132</v>
      </c>
      <c r="G274" s="2">
        <f t="shared" si="56"/>
        <v>213</v>
      </c>
      <c r="H274" s="33">
        <f t="shared" si="57"/>
        <v>0.38028169014084506</v>
      </c>
    </row>
    <row r="275" spans="1:8" x14ac:dyDescent="0.2">
      <c r="A275" s="30">
        <v>9</v>
      </c>
      <c r="B275" s="31">
        <v>120</v>
      </c>
      <c r="C275" s="62" t="s">
        <v>575</v>
      </c>
      <c r="D275" s="46">
        <v>84</v>
      </c>
      <c r="E275" s="2">
        <v>71</v>
      </c>
      <c r="F275" s="2">
        <f>273-(D275+E275)</f>
        <v>118</v>
      </c>
      <c r="G275" s="2">
        <f t="shared" si="56"/>
        <v>273</v>
      </c>
      <c r="H275" s="33">
        <f t="shared" si="57"/>
        <v>0.56776556776556775</v>
      </c>
    </row>
    <row r="276" spans="1:8" x14ac:dyDescent="0.2">
      <c r="A276" s="30">
        <v>9</v>
      </c>
      <c r="B276" s="31">
        <v>124</v>
      </c>
      <c r="C276" s="62" t="s">
        <v>571</v>
      </c>
      <c r="D276" s="46">
        <v>93</v>
      </c>
      <c r="E276" s="2">
        <v>15</v>
      </c>
      <c r="F276" s="2">
        <f>138-(D276+E276)</f>
        <v>30</v>
      </c>
      <c r="G276" s="2">
        <f t="shared" si="56"/>
        <v>138</v>
      </c>
      <c r="H276" s="33">
        <f t="shared" si="57"/>
        <v>0.78260869565217395</v>
      </c>
    </row>
    <row r="277" spans="1:8" x14ac:dyDescent="0.2">
      <c r="A277" s="30">
        <v>9</v>
      </c>
      <c r="B277" s="31">
        <v>128</v>
      </c>
      <c r="C277" s="62" t="s">
        <v>576</v>
      </c>
      <c r="D277" s="46">
        <v>143</v>
      </c>
      <c r="E277" s="2">
        <v>40</v>
      </c>
      <c r="F277" s="2">
        <f>379-(D277+E277)</f>
        <v>196</v>
      </c>
      <c r="G277" s="2">
        <f t="shared" si="56"/>
        <v>379</v>
      </c>
      <c r="H277" s="33">
        <f t="shared" si="57"/>
        <v>0.48284960422163586</v>
      </c>
    </row>
    <row r="278" spans="1:8" x14ac:dyDescent="0.2">
      <c r="A278" s="30">
        <v>9</v>
      </c>
      <c r="B278" s="31">
        <v>132</v>
      </c>
      <c r="C278" s="62" t="s">
        <v>578</v>
      </c>
      <c r="D278" s="46">
        <v>62</v>
      </c>
      <c r="E278" s="2">
        <v>16</v>
      </c>
      <c r="F278" s="2">
        <f>183-(D278+E278)</f>
        <v>105</v>
      </c>
      <c r="G278" s="2">
        <f t="shared" si="56"/>
        <v>183</v>
      </c>
      <c r="H278" s="33">
        <f t="shared" si="57"/>
        <v>0.42622950819672129</v>
      </c>
    </row>
    <row r="279" spans="1:8" x14ac:dyDescent="0.2">
      <c r="A279" s="30">
        <v>9</v>
      </c>
      <c r="B279" s="31">
        <v>404</v>
      </c>
      <c r="C279" s="62" t="s">
        <v>572</v>
      </c>
      <c r="D279" s="46">
        <v>64</v>
      </c>
      <c r="E279" s="2">
        <v>25</v>
      </c>
      <c r="F279" s="2">
        <f>192-(D279+E279)</f>
        <v>103</v>
      </c>
      <c r="G279" s="2">
        <f t="shared" si="56"/>
        <v>192</v>
      </c>
      <c r="H279" s="33">
        <f t="shared" si="57"/>
        <v>0.46354166666666669</v>
      </c>
    </row>
    <row r="280" spans="1:8" x14ac:dyDescent="0.2">
      <c r="A280" s="30">
        <v>9</v>
      </c>
      <c r="B280" s="31">
        <v>408</v>
      </c>
      <c r="C280" s="62" t="s">
        <v>577</v>
      </c>
      <c r="D280" s="46">
        <v>74</v>
      </c>
      <c r="E280" s="2">
        <v>40</v>
      </c>
      <c r="F280" s="2">
        <f>258-(D280+E280)</f>
        <v>144</v>
      </c>
      <c r="G280" s="2">
        <f t="shared" si="56"/>
        <v>258</v>
      </c>
      <c r="H280" s="33">
        <f t="shared" si="57"/>
        <v>0.44186046511627908</v>
      </c>
    </row>
    <row r="281" spans="1:8" x14ac:dyDescent="0.2">
      <c r="A281" s="30">
        <v>9</v>
      </c>
      <c r="B281" s="31">
        <v>704</v>
      </c>
      <c r="C281" s="32" t="s">
        <v>56</v>
      </c>
      <c r="D281" s="46">
        <v>58</v>
      </c>
      <c r="E281" s="2">
        <v>11</v>
      </c>
      <c r="F281" s="2">
        <f>116-(D281+E281)</f>
        <v>47</v>
      </c>
      <c r="G281" s="2">
        <f t="shared" si="56"/>
        <v>116</v>
      </c>
      <c r="H281" s="33">
        <f t="shared" si="57"/>
        <v>0.59482758620689657</v>
      </c>
    </row>
    <row r="282" spans="1:8" ht="13.5" thickBot="1" x14ac:dyDescent="0.25">
      <c r="A282" s="38">
        <v>9</v>
      </c>
      <c r="B282" s="39">
        <v>706</v>
      </c>
      <c r="C282" s="40" t="s">
        <v>57</v>
      </c>
      <c r="D282" s="46">
        <v>93</v>
      </c>
      <c r="E282" s="2">
        <v>50</v>
      </c>
      <c r="F282" s="2">
        <f>424-(D282+E282)</f>
        <v>281</v>
      </c>
      <c r="G282" s="2">
        <f t="shared" si="56"/>
        <v>424</v>
      </c>
      <c r="H282" s="43">
        <f t="shared" si="57"/>
        <v>0.33726415094339623</v>
      </c>
    </row>
    <row r="283" spans="1:8" ht="13.5" thickBot="1" x14ac:dyDescent="0.25">
      <c r="A283" s="34"/>
      <c r="B283" s="35">
        <f>COUNTA(B273:B282)</f>
        <v>10</v>
      </c>
      <c r="C283" s="36" t="s">
        <v>20</v>
      </c>
      <c r="D283" s="4">
        <f>SUM(D273:D282)</f>
        <v>781</v>
      </c>
      <c r="E283" s="3">
        <f>SUM(E273:E282)</f>
        <v>343</v>
      </c>
      <c r="F283" s="80">
        <f>SUM(F273:F282)</f>
        <v>1270</v>
      </c>
      <c r="G283" s="3">
        <f>SUM(D283:F283)</f>
        <v>2394</v>
      </c>
      <c r="H283" s="37">
        <f>+(D283+E283)/G283</f>
        <v>0.46950710108604843</v>
      </c>
    </row>
    <row r="284" spans="1:8" x14ac:dyDescent="0.2">
      <c r="A284" s="38"/>
      <c r="B284" s="39"/>
      <c r="C284" s="40"/>
      <c r="D284" s="5"/>
      <c r="E284" s="42"/>
      <c r="F284" s="41"/>
      <c r="G284" s="42"/>
      <c r="H284" s="43"/>
    </row>
    <row r="285" spans="1:8" x14ac:dyDescent="0.2">
      <c r="A285" s="38"/>
      <c r="B285" s="39"/>
      <c r="C285" s="45" t="s">
        <v>58</v>
      </c>
      <c r="D285" s="5"/>
      <c r="E285" s="42"/>
      <c r="F285" s="41"/>
      <c r="G285" s="42"/>
      <c r="H285" s="43"/>
    </row>
    <row r="286" spans="1:8" x14ac:dyDescent="0.2">
      <c r="A286" s="63">
        <v>10</v>
      </c>
      <c r="B286" s="31">
        <v>104</v>
      </c>
      <c r="C286" s="62" t="s">
        <v>579</v>
      </c>
      <c r="D286" s="46">
        <v>7</v>
      </c>
      <c r="E286" s="2">
        <v>3</v>
      </c>
      <c r="F286" s="2">
        <f>13-(D286+E286)</f>
        <v>3</v>
      </c>
      <c r="G286" s="2">
        <f t="shared" ref="G286:G294" si="58">SUM(D286:F286)</f>
        <v>13</v>
      </c>
      <c r="H286" s="33">
        <f t="shared" ref="H286:H294" si="59">+(D286+E286)/G286</f>
        <v>0.76923076923076927</v>
      </c>
    </row>
    <row r="287" spans="1:8" x14ac:dyDescent="0.2">
      <c r="A287" s="30">
        <v>10</v>
      </c>
      <c r="B287" s="31">
        <v>108</v>
      </c>
      <c r="C287" s="62" t="s">
        <v>580</v>
      </c>
      <c r="D287" s="46">
        <v>5</v>
      </c>
      <c r="E287" s="2">
        <v>0</v>
      </c>
      <c r="F287" s="2">
        <f>9-(D287+E287)</f>
        <v>4</v>
      </c>
      <c r="G287" s="2">
        <f t="shared" si="58"/>
        <v>9</v>
      </c>
      <c r="H287" s="33">
        <f t="shared" si="59"/>
        <v>0.55555555555555558</v>
      </c>
    </row>
    <row r="288" spans="1:8" x14ac:dyDescent="0.2">
      <c r="A288" s="30">
        <v>10</v>
      </c>
      <c r="B288" s="31">
        <v>112</v>
      </c>
      <c r="C288" s="62" t="s">
        <v>583</v>
      </c>
      <c r="D288" s="46">
        <v>55</v>
      </c>
      <c r="E288" s="2">
        <v>34</v>
      </c>
      <c r="F288" s="2">
        <f>183-(D288+E288)</f>
        <v>94</v>
      </c>
      <c r="G288" s="2">
        <f t="shared" si="58"/>
        <v>183</v>
      </c>
      <c r="H288" s="33">
        <f t="shared" si="59"/>
        <v>0.48633879781420764</v>
      </c>
    </row>
    <row r="289" spans="1:8" x14ac:dyDescent="0.2">
      <c r="A289" s="30">
        <v>10</v>
      </c>
      <c r="B289" s="31">
        <v>116</v>
      </c>
      <c r="C289" s="62" t="s">
        <v>581</v>
      </c>
      <c r="D289" s="46">
        <v>21</v>
      </c>
      <c r="E289" s="2">
        <v>4</v>
      </c>
      <c r="F289" s="2">
        <f>72-(D289+E289)</f>
        <v>47</v>
      </c>
      <c r="G289" s="2">
        <f t="shared" si="58"/>
        <v>72</v>
      </c>
      <c r="H289" s="33">
        <f t="shared" si="59"/>
        <v>0.34722222222222221</v>
      </c>
    </row>
    <row r="290" spans="1:8" x14ac:dyDescent="0.2">
      <c r="A290" s="30">
        <v>10</v>
      </c>
      <c r="B290" s="31">
        <v>124</v>
      </c>
      <c r="C290" s="62" t="s">
        <v>582</v>
      </c>
      <c r="D290" s="46">
        <v>66</v>
      </c>
      <c r="E290" s="2">
        <v>51</v>
      </c>
      <c r="F290" s="2">
        <f>295-(D290+E290)</f>
        <v>178</v>
      </c>
      <c r="G290" s="2">
        <f t="shared" si="58"/>
        <v>295</v>
      </c>
      <c r="H290" s="33">
        <f t="shared" si="59"/>
        <v>0.39661016949152544</v>
      </c>
    </row>
    <row r="291" spans="1:8" x14ac:dyDescent="0.2">
      <c r="A291" s="30">
        <v>10</v>
      </c>
      <c r="B291" s="31">
        <v>304</v>
      </c>
      <c r="C291" s="62" t="s">
        <v>349</v>
      </c>
      <c r="D291" s="46">
        <v>16</v>
      </c>
      <c r="E291" s="2">
        <v>14</v>
      </c>
      <c r="F291" s="2">
        <f>73-(D291+E291)</f>
        <v>43</v>
      </c>
      <c r="G291" s="2">
        <f t="shared" si="58"/>
        <v>73</v>
      </c>
      <c r="H291" s="33">
        <f t="shared" si="59"/>
        <v>0.41095890410958902</v>
      </c>
    </row>
    <row r="292" spans="1:8" x14ac:dyDescent="0.2">
      <c r="A292" s="30">
        <v>10</v>
      </c>
      <c r="B292" s="31">
        <v>704</v>
      </c>
      <c r="C292" s="32" t="s">
        <v>207</v>
      </c>
      <c r="D292" s="46">
        <v>39</v>
      </c>
      <c r="E292" s="2">
        <v>14</v>
      </c>
      <c r="F292" s="2">
        <f>139-(D292+E292)</f>
        <v>86</v>
      </c>
      <c r="G292" s="2">
        <f t="shared" si="58"/>
        <v>139</v>
      </c>
      <c r="H292" s="33">
        <f>+(D292+E292)/G292</f>
        <v>0.38129496402877699</v>
      </c>
    </row>
    <row r="293" spans="1:8" x14ac:dyDescent="0.2">
      <c r="A293" s="30">
        <v>10</v>
      </c>
      <c r="B293" s="31">
        <v>708</v>
      </c>
      <c r="C293" s="32" t="s">
        <v>59</v>
      </c>
      <c r="D293" s="46">
        <v>31</v>
      </c>
      <c r="E293" s="2">
        <v>9</v>
      </c>
      <c r="F293" s="2">
        <f>84-(D293+E293)</f>
        <v>44</v>
      </c>
      <c r="G293" s="2">
        <f t="shared" ref="G293" si="60">SUM(D293:F293)</f>
        <v>84</v>
      </c>
      <c r="H293" s="33">
        <f t="shared" ref="H293" si="61">+(D293+E293)/G293</f>
        <v>0.47619047619047616</v>
      </c>
    </row>
    <row r="294" spans="1:8" ht="13.5" thickBot="1" x14ac:dyDescent="0.25">
      <c r="A294" s="38">
        <v>10</v>
      </c>
      <c r="B294" s="39">
        <v>712</v>
      </c>
      <c r="C294" s="70" t="s">
        <v>348</v>
      </c>
      <c r="D294" s="90">
        <v>31</v>
      </c>
      <c r="E294" s="102">
        <v>21</v>
      </c>
      <c r="F294" s="2">
        <f>133-(D294+E294)</f>
        <v>81</v>
      </c>
      <c r="G294" s="102">
        <f t="shared" si="58"/>
        <v>133</v>
      </c>
      <c r="H294" s="43">
        <f t="shared" si="59"/>
        <v>0.39097744360902253</v>
      </c>
    </row>
    <row r="295" spans="1:8" ht="13.5" thickBot="1" x14ac:dyDescent="0.25">
      <c r="A295" s="34"/>
      <c r="B295" s="35">
        <f>COUNTA(B286:B294)</f>
        <v>9</v>
      </c>
      <c r="C295" s="36" t="s">
        <v>20</v>
      </c>
      <c r="D295" s="4">
        <f>SUM(D286:D294)</f>
        <v>271</v>
      </c>
      <c r="E295" s="3">
        <f>SUM(E286:E294)</f>
        <v>150</v>
      </c>
      <c r="F295" s="80">
        <f>SUM(F286:F294)</f>
        <v>580</v>
      </c>
      <c r="G295" s="3">
        <f>SUM(D295:F295)</f>
        <v>1001</v>
      </c>
      <c r="H295" s="37">
        <f>+(D295+E295)/G295</f>
        <v>0.4205794205794206</v>
      </c>
    </row>
    <row r="296" spans="1:8" x14ac:dyDescent="0.2">
      <c r="A296" s="38"/>
      <c r="B296" s="39"/>
      <c r="C296" s="40"/>
      <c r="D296" s="5"/>
      <c r="E296" s="42"/>
      <c r="F296" s="41"/>
      <c r="G296" s="42"/>
      <c r="H296" s="43"/>
    </row>
    <row r="297" spans="1:8" x14ac:dyDescent="0.2">
      <c r="A297" s="38"/>
      <c r="B297" s="39"/>
      <c r="C297" s="45" t="s">
        <v>60</v>
      </c>
      <c r="D297" s="5"/>
      <c r="E297" s="42"/>
      <c r="F297" s="41"/>
      <c r="G297" s="42"/>
      <c r="H297" s="43"/>
    </row>
    <row r="298" spans="1:8" x14ac:dyDescent="0.2">
      <c r="A298" s="30">
        <v>11</v>
      </c>
      <c r="B298" s="31">
        <v>104</v>
      </c>
      <c r="C298" s="62" t="s">
        <v>950</v>
      </c>
      <c r="D298" s="46">
        <v>320</v>
      </c>
      <c r="E298" s="2">
        <v>85</v>
      </c>
      <c r="F298" s="2">
        <f>758-(D298+E298)</f>
        <v>353</v>
      </c>
      <c r="G298" s="2">
        <f t="shared" ref="G298:G301" si="62">SUM(D298:F298)</f>
        <v>758</v>
      </c>
      <c r="H298" s="33">
        <f t="shared" ref="H298:H301" si="63">+(D298+E298)/G298</f>
        <v>0.53430079155672827</v>
      </c>
    </row>
    <row r="299" spans="1:8" x14ac:dyDescent="0.2">
      <c r="A299" s="30">
        <v>11</v>
      </c>
      <c r="B299" s="31">
        <v>404</v>
      </c>
      <c r="C299" s="32" t="s">
        <v>208</v>
      </c>
      <c r="D299" s="46">
        <v>83</v>
      </c>
      <c r="E299" s="2">
        <v>22</v>
      </c>
      <c r="F299" s="2">
        <f>231-(D299+E299)</f>
        <v>126</v>
      </c>
      <c r="G299" s="2">
        <f t="shared" si="62"/>
        <v>231</v>
      </c>
      <c r="H299" s="33">
        <f t="shared" si="63"/>
        <v>0.45454545454545453</v>
      </c>
    </row>
    <row r="300" spans="1:8" ht="13.5" thickBot="1" x14ac:dyDescent="0.25">
      <c r="A300" s="38">
        <v>11</v>
      </c>
      <c r="B300" s="39">
        <v>704</v>
      </c>
      <c r="C300" s="40" t="s">
        <v>61</v>
      </c>
      <c r="D300" s="46">
        <v>131</v>
      </c>
      <c r="E300" s="2">
        <v>43</v>
      </c>
      <c r="F300" s="2">
        <f>463-(D300+E300)</f>
        <v>289</v>
      </c>
      <c r="G300" s="2">
        <f t="shared" si="62"/>
        <v>463</v>
      </c>
      <c r="H300" s="43">
        <f t="shared" si="63"/>
        <v>0.37580993520518358</v>
      </c>
    </row>
    <row r="301" spans="1:8" ht="13.5" thickBot="1" x14ac:dyDescent="0.25">
      <c r="A301" s="34"/>
      <c r="B301" s="35">
        <f>COUNTA(B298:B300)</f>
        <v>3</v>
      </c>
      <c r="C301" s="36" t="s">
        <v>20</v>
      </c>
      <c r="D301" s="4">
        <f>SUM(D298:D300)</f>
        <v>534</v>
      </c>
      <c r="E301" s="3">
        <f>SUM(E298:E300)</f>
        <v>150</v>
      </c>
      <c r="F301" s="80">
        <f>SUM(F298:F300)</f>
        <v>768</v>
      </c>
      <c r="G301" s="3">
        <f t="shared" si="62"/>
        <v>1452</v>
      </c>
      <c r="H301" s="37">
        <f t="shared" si="63"/>
        <v>0.47107438016528924</v>
      </c>
    </row>
    <row r="302" spans="1:8" x14ac:dyDescent="0.2">
      <c r="A302" s="38"/>
      <c r="B302" s="39"/>
      <c r="C302" s="40"/>
      <c r="D302" s="5"/>
      <c r="E302" s="42"/>
      <c r="F302" s="41"/>
      <c r="G302" s="42"/>
      <c r="H302" s="43"/>
    </row>
    <row r="303" spans="1:8" x14ac:dyDescent="0.2">
      <c r="A303" s="38"/>
      <c r="B303" s="39"/>
      <c r="C303" s="45" t="s">
        <v>62</v>
      </c>
      <c r="D303" s="5"/>
      <c r="E303" s="42"/>
      <c r="F303" s="41"/>
      <c r="G303" s="42"/>
      <c r="H303" s="43"/>
    </row>
    <row r="304" spans="1:8" x14ac:dyDescent="0.2">
      <c r="A304" s="30">
        <v>12</v>
      </c>
      <c r="B304" s="31">
        <v>102</v>
      </c>
      <c r="C304" s="62" t="s">
        <v>584</v>
      </c>
      <c r="D304" s="46">
        <v>371</v>
      </c>
      <c r="E304" s="2">
        <v>33</v>
      </c>
      <c r="F304" s="2">
        <f>597-(D304+E304)</f>
        <v>193</v>
      </c>
      <c r="G304" s="2">
        <f t="shared" ref="G304:G367" si="64">SUM(D304:F304)</f>
        <v>597</v>
      </c>
      <c r="H304" s="33">
        <f t="shared" ref="H304:H366" si="65">+(D304+E304)/G304</f>
        <v>0.67671691792294808</v>
      </c>
    </row>
    <row r="305" spans="1:8" x14ac:dyDescent="0.2">
      <c r="A305" s="30">
        <v>12</v>
      </c>
      <c r="B305" s="31">
        <v>103</v>
      </c>
      <c r="C305" s="62" t="s">
        <v>585</v>
      </c>
      <c r="D305" s="46">
        <v>234</v>
      </c>
      <c r="E305" s="2">
        <v>62</v>
      </c>
      <c r="F305" s="2">
        <f>557-(D305+E305)</f>
        <v>261</v>
      </c>
      <c r="G305" s="2">
        <f t="shared" si="64"/>
        <v>557</v>
      </c>
      <c r="H305" s="33">
        <f t="shared" si="65"/>
        <v>0.53141831238779169</v>
      </c>
    </row>
    <row r="306" spans="1:8" x14ac:dyDescent="0.2">
      <c r="A306" s="30">
        <v>12</v>
      </c>
      <c r="B306" s="31">
        <v>104</v>
      </c>
      <c r="C306" s="62" t="s">
        <v>642</v>
      </c>
      <c r="D306" s="46">
        <v>228</v>
      </c>
      <c r="E306" s="2">
        <v>68</v>
      </c>
      <c r="F306" s="2">
        <f>555-(D306+E306)</f>
        <v>259</v>
      </c>
      <c r="G306" s="2">
        <f t="shared" si="64"/>
        <v>555</v>
      </c>
      <c r="H306" s="33">
        <f t="shared" si="65"/>
        <v>0.53333333333333333</v>
      </c>
    </row>
    <row r="307" spans="1:8" x14ac:dyDescent="0.2">
      <c r="A307" s="30">
        <v>12</v>
      </c>
      <c r="B307" s="31">
        <v>105</v>
      </c>
      <c r="C307" s="62" t="s">
        <v>613</v>
      </c>
      <c r="D307" s="46">
        <v>243</v>
      </c>
      <c r="E307" s="2">
        <v>65</v>
      </c>
      <c r="F307" s="2">
        <f>608-(D307+E307)</f>
        <v>300</v>
      </c>
      <c r="G307" s="2">
        <f t="shared" si="64"/>
        <v>608</v>
      </c>
      <c r="H307" s="33">
        <f t="shared" si="65"/>
        <v>0.50657894736842102</v>
      </c>
    </row>
    <row r="308" spans="1:8" x14ac:dyDescent="0.2">
      <c r="A308" s="30">
        <v>12</v>
      </c>
      <c r="B308" s="31">
        <v>106</v>
      </c>
      <c r="C308" s="62" t="s">
        <v>587</v>
      </c>
      <c r="D308" s="46">
        <v>176</v>
      </c>
      <c r="E308" s="2">
        <v>53</v>
      </c>
      <c r="F308" s="2">
        <f>659-(D308+E308)</f>
        <v>430</v>
      </c>
      <c r="G308" s="2">
        <f t="shared" si="64"/>
        <v>659</v>
      </c>
      <c r="H308" s="33">
        <f t="shared" si="65"/>
        <v>0.34749620637329287</v>
      </c>
    </row>
    <row r="309" spans="1:8" x14ac:dyDescent="0.2">
      <c r="A309" s="30">
        <v>12</v>
      </c>
      <c r="B309" s="31">
        <v>107</v>
      </c>
      <c r="C309" s="62" t="s">
        <v>586</v>
      </c>
      <c r="D309" s="46">
        <v>317</v>
      </c>
      <c r="E309" s="2">
        <v>69</v>
      </c>
      <c r="F309" s="2">
        <f>637-(D309+E309)</f>
        <v>251</v>
      </c>
      <c r="G309" s="2">
        <f t="shared" si="64"/>
        <v>637</v>
      </c>
      <c r="H309" s="33">
        <f t="shared" si="65"/>
        <v>0.60596546310832022</v>
      </c>
    </row>
    <row r="310" spans="1:8" x14ac:dyDescent="0.2">
      <c r="A310" s="30">
        <v>12</v>
      </c>
      <c r="B310" s="31">
        <v>110</v>
      </c>
      <c r="C310" s="62" t="s">
        <v>592</v>
      </c>
      <c r="D310" s="46">
        <v>217</v>
      </c>
      <c r="E310" s="2">
        <v>59</v>
      </c>
      <c r="F310" s="2">
        <f>478-(D310+E310)</f>
        <v>202</v>
      </c>
      <c r="G310" s="2">
        <f t="shared" si="64"/>
        <v>478</v>
      </c>
      <c r="H310" s="33">
        <f t="shared" si="65"/>
        <v>0.57740585774058573</v>
      </c>
    </row>
    <row r="311" spans="1:8" x14ac:dyDescent="0.2">
      <c r="A311" s="30">
        <v>12</v>
      </c>
      <c r="B311" s="31">
        <v>111</v>
      </c>
      <c r="C311" s="62" t="s">
        <v>594</v>
      </c>
      <c r="D311" s="46">
        <v>240</v>
      </c>
      <c r="E311" s="2">
        <v>64</v>
      </c>
      <c r="F311" s="2">
        <f>553-(D311+E311)</f>
        <v>249</v>
      </c>
      <c r="G311" s="2">
        <f t="shared" si="64"/>
        <v>553</v>
      </c>
      <c r="H311" s="33">
        <f t="shared" si="65"/>
        <v>0.54972875226039786</v>
      </c>
    </row>
    <row r="312" spans="1:8" x14ac:dyDescent="0.2">
      <c r="A312" s="30">
        <v>12</v>
      </c>
      <c r="B312" s="31">
        <v>112</v>
      </c>
      <c r="C312" s="62" t="s">
        <v>595</v>
      </c>
      <c r="D312" s="46">
        <v>53</v>
      </c>
      <c r="E312" s="2">
        <v>4</v>
      </c>
      <c r="F312" s="2">
        <f>493-(D312+E312)</f>
        <v>436</v>
      </c>
      <c r="G312" s="2">
        <f t="shared" si="64"/>
        <v>493</v>
      </c>
      <c r="H312" s="33">
        <f t="shared" si="65"/>
        <v>0.11561866125760649</v>
      </c>
    </row>
    <row r="313" spans="1:8" x14ac:dyDescent="0.2">
      <c r="A313" s="30">
        <v>12</v>
      </c>
      <c r="B313" s="31">
        <v>114</v>
      </c>
      <c r="C313" s="62" t="s">
        <v>504</v>
      </c>
      <c r="D313" s="46">
        <v>132</v>
      </c>
      <c r="E313" s="2">
        <v>13</v>
      </c>
      <c r="F313" s="2">
        <f>678-(D313+E313)</f>
        <v>533</v>
      </c>
      <c r="G313" s="2">
        <f t="shared" si="64"/>
        <v>678</v>
      </c>
      <c r="H313" s="33">
        <f t="shared" si="65"/>
        <v>0.21386430678466076</v>
      </c>
    </row>
    <row r="314" spans="1:8" x14ac:dyDescent="0.2">
      <c r="A314" s="30">
        <v>12</v>
      </c>
      <c r="B314" s="31">
        <v>116</v>
      </c>
      <c r="C314" s="62" t="s">
        <v>596</v>
      </c>
      <c r="D314" s="46">
        <v>508</v>
      </c>
      <c r="E314" s="2">
        <v>66</v>
      </c>
      <c r="F314" s="2">
        <f>653-(D314+E314)</f>
        <v>79</v>
      </c>
      <c r="G314" s="2">
        <f t="shared" si="64"/>
        <v>653</v>
      </c>
      <c r="H314" s="33">
        <f t="shared" si="65"/>
        <v>0.87901990811638586</v>
      </c>
    </row>
    <row r="315" spans="1:8" x14ac:dyDescent="0.2">
      <c r="A315" s="30">
        <v>12</v>
      </c>
      <c r="B315" s="84">
        <v>118</v>
      </c>
      <c r="C315" s="62" t="s">
        <v>597</v>
      </c>
      <c r="D315" s="46">
        <v>181</v>
      </c>
      <c r="E315" s="2">
        <v>76</v>
      </c>
      <c r="F315" s="2">
        <f>805-(D315+E315)</f>
        <v>548</v>
      </c>
      <c r="G315" s="2">
        <f t="shared" ref="G315" si="66">SUM(D315:F315)</f>
        <v>805</v>
      </c>
      <c r="H315" s="33">
        <f t="shared" ref="H315" si="67">+(D315+E315)/G315</f>
        <v>0.31925465838509315</v>
      </c>
    </row>
    <row r="316" spans="1:8" x14ac:dyDescent="0.2">
      <c r="A316" s="30">
        <v>12</v>
      </c>
      <c r="B316" s="31">
        <v>124</v>
      </c>
      <c r="C316" s="62" t="s">
        <v>598</v>
      </c>
      <c r="D316" s="46">
        <v>42</v>
      </c>
      <c r="E316" s="2">
        <v>6</v>
      </c>
      <c r="F316" s="2">
        <f>497-(D316+E316)</f>
        <v>449</v>
      </c>
      <c r="G316" s="2">
        <f t="shared" si="64"/>
        <v>497</v>
      </c>
      <c r="H316" s="33">
        <f t="shared" si="65"/>
        <v>9.6579476861166996E-2</v>
      </c>
    </row>
    <row r="317" spans="1:8" x14ac:dyDescent="0.2">
      <c r="A317" s="30">
        <v>12</v>
      </c>
      <c r="B317" s="31">
        <v>125</v>
      </c>
      <c r="C317" s="62" t="s">
        <v>986</v>
      </c>
      <c r="D317" s="46">
        <v>292</v>
      </c>
      <c r="E317" s="2">
        <v>84</v>
      </c>
      <c r="F317" s="2">
        <f>729-(D317+E317)</f>
        <v>353</v>
      </c>
      <c r="G317" s="2">
        <f t="shared" ref="G317" si="68">SUM(D317:F317)</f>
        <v>729</v>
      </c>
      <c r="H317" s="33">
        <f t="shared" ref="H317" si="69">+(D317+E317)/G317</f>
        <v>0.51577503429355276</v>
      </c>
    </row>
    <row r="318" spans="1:8" x14ac:dyDescent="0.2">
      <c r="A318" s="30">
        <v>12</v>
      </c>
      <c r="B318" s="31">
        <v>126</v>
      </c>
      <c r="C318" s="62" t="s">
        <v>632</v>
      </c>
      <c r="D318" s="46">
        <v>259</v>
      </c>
      <c r="E318" s="2">
        <v>63</v>
      </c>
      <c r="F318" s="2">
        <f>527-(D318+E318)</f>
        <v>205</v>
      </c>
      <c r="G318" s="2">
        <f t="shared" si="64"/>
        <v>527</v>
      </c>
      <c r="H318" s="33">
        <f t="shared" si="65"/>
        <v>0.61100569259962045</v>
      </c>
    </row>
    <row r="319" spans="1:8" x14ac:dyDescent="0.2">
      <c r="A319" s="30">
        <v>12</v>
      </c>
      <c r="B319" s="31">
        <v>127</v>
      </c>
      <c r="C319" s="62" t="s">
        <v>601</v>
      </c>
      <c r="D319" s="46">
        <v>360</v>
      </c>
      <c r="E319" s="2">
        <v>120</v>
      </c>
      <c r="F319" s="2">
        <f>874-(D319+E319)</f>
        <v>394</v>
      </c>
      <c r="G319" s="2">
        <f t="shared" si="64"/>
        <v>874</v>
      </c>
      <c r="H319" s="33">
        <f t="shared" si="65"/>
        <v>0.54919908466819223</v>
      </c>
    </row>
    <row r="320" spans="1:8" x14ac:dyDescent="0.2">
      <c r="A320" s="30">
        <v>12</v>
      </c>
      <c r="B320" s="31">
        <v>128</v>
      </c>
      <c r="C320" s="62" t="s">
        <v>602</v>
      </c>
      <c r="D320" s="46">
        <v>647</v>
      </c>
      <c r="E320" s="2">
        <v>76</v>
      </c>
      <c r="F320" s="2">
        <f>948-(D320+E320)</f>
        <v>225</v>
      </c>
      <c r="G320" s="2">
        <f t="shared" si="64"/>
        <v>948</v>
      </c>
      <c r="H320" s="33">
        <f t="shared" si="65"/>
        <v>0.76265822784810122</v>
      </c>
    </row>
    <row r="321" spans="1:8" x14ac:dyDescent="0.2">
      <c r="A321" s="30">
        <v>12</v>
      </c>
      <c r="B321" s="31">
        <v>130</v>
      </c>
      <c r="C321" s="62" t="s">
        <v>607</v>
      </c>
      <c r="D321" s="46">
        <v>248</v>
      </c>
      <c r="E321" s="2">
        <v>101</v>
      </c>
      <c r="F321" s="2">
        <f>627-(D321+E321)</f>
        <v>278</v>
      </c>
      <c r="G321" s="2">
        <f t="shared" si="64"/>
        <v>627</v>
      </c>
      <c r="H321" s="33">
        <f t="shared" si="65"/>
        <v>0.55661881977671457</v>
      </c>
    </row>
    <row r="322" spans="1:8" x14ac:dyDescent="0.2">
      <c r="A322" s="30">
        <v>12</v>
      </c>
      <c r="B322" s="31">
        <v>131</v>
      </c>
      <c r="C322" s="62" t="s">
        <v>955</v>
      </c>
      <c r="D322" s="46">
        <v>287</v>
      </c>
      <c r="E322" s="2">
        <v>84</v>
      </c>
      <c r="F322" s="2">
        <f>777-(D322+E322)</f>
        <v>406</v>
      </c>
      <c r="G322" s="2">
        <f t="shared" si="64"/>
        <v>777</v>
      </c>
      <c r="H322" s="33">
        <f t="shared" si="65"/>
        <v>0.47747747747747749</v>
      </c>
    </row>
    <row r="323" spans="1:8" x14ac:dyDescent="0.2">
      <c r="A323" s="30">
        <v>12</v>
      </c>
      <c r="B323" s="31">
        <v>134</v>
      </c>
      <c r="C323" s="62" t="s">
        <v>606</v>
      </c>
      <c r="D323" s="46">
        <v>589</v>
      </c>
      <c r="E323" s="2">
        <v>67</v>
      </c>
      <c r="F323" s="2">
        <f>779-(D323+E323)</f>
        <v>123</v>
      </c>
      <c r="G323" s="2">
        <f t="shared" si="64"/>
        <v>779</v>
      </c>
      <c r="H323" s="33">
        <f t="shared" si="65"/>
        <v>0.84210526315789469</v>
      </c>
    </row>
    <row r="324" spans="1:8" x14ac:dyDescent="0.2">
      <c r="A324" s="30">
        <v>12</v>
      </c>
      <c r="B324" s="31">
        <v>135</v>
      </c>
      <c r="C324" s="62" t="s">
        <v>609</v>
      </c>
      <c r="D324" s="46">
        <v>319</v>
      </c>
      <c r="E324" s="2">
        <v>69</v>
      </c>
      <c r="F324" s="2">
        <f>594-(D324+E324)</f>
        <v>206</v>
      </c>
      <c r="G324" s="2">
        <f t="shared" si="64"/>
        <v>594</v>
      </c>
      <c r="H324" s="33">
        <f t="shared" si="65"/>
        <v>0.65319865319865322</v>
      </c>
    </row>
    <row r="325" spans="1:8" x14ac:dyDescent="0.2">
      <c r="A325" s="30">
        <v>12</v>
      </c>
      <c r="B325" s="31">
        <v>137</v>
      </c>
      <c r="C325" s="62" t="s">
        <v>608</v>
      </c>
      <c r="D325" s="46">
        <v>66</v>
      </c>
      <c r="E325" s="2">
        <v>22</v>
      </c>
      <c r="F325" s="2">
        <f>660-(D325+E325)</f>
        <v>572</v>
      </c>
      <c r="G325" s="2">
        <f t="shared" si="64"/>
        <v>660</v>
      </c>
      <c r="H325" s="33">
        <f t="shared" si="65"/>
        <v>0.13333333333333333</v>
      </c>
    </row>
    <row r="326" spans="1:8" x14ac:dyDescent="0.2">
      <c r="A326" s="30">
        <v>12</v>
      </c>
      <c r="B326" s="31">
        <v>138</v>
      </c>
      <c r="C326" s="62" t="s">
        <v>614</v>
      </c>
      <c r="D326" s="46">
        <v>272</v>
      </c>
      <c r="E326" s="2">
        <v>49</v>
      </c>
      <c r="F326" s="2">
        <f>546-(D326+E326)</f>
        <v>225</v>
      </c>
      <c r="G326" s="2">
        <f t="shared" si="64"/>
        <v>546</v>
      </c>
      <c r="H326" s="33">
        <f t="shared" si="65"/>
        <v>0.58791208791208793</v>
      </c>
    </row>
    <row r="327" spans="1:8" x14ac:dyDescent="0.2">
      <c r="A327" s="30">
        <v>12</v>
      </c>
      <c r="B327" s="31">
        <v>139</v>
      </c>
      <c r="C327" s="62" t="s">
        <v>612</v>
      </c>
      <c r="D327" s="46">
        <v>410</v>
      </c>
      <c r="E327" s="2">
        <v>36</v>
      </c>
      <c r="F327" s="2">
        <f>531-(D327+E327)</f>
        <v>85</v>
      </c>
      <c r="G327" s="2">
        <f t="shared" si="64"/>
        <v>531</v>
      </c>
      <c r="H327" s="33">
        <f t="shared" si="65"/>
        <v>0.839924670433145</v>
      </c>
    </row>
    <row r="328" spans="1:8" x14ac:dyDescent="0.2">
      <c r="A328" s="30">
        <v>12</v>
      </c>
      <c r="B328" s="31">
        <v>140</v>
      </c>
      <c r="C328" s="62" t="s">
        <v>617</v>
      </c>
      <c r="D328" s="46">
        <v>296</v>
      </c>
      <c r="E328" s="2">
        <v>64</v>
      </c>
      <c r="F328" s="2">
        <f>585-(D328+E328)</f>
        <v>225</v>
      </c>
      <c r="G328" s="2">
        <f t="shared" si="64"/>
        <v>585</v>
      </c>
      <c r="H328" s="33">
        <f t="shared" si="65"/>
        <v>0.61538461538461542</v>
      </c>
    </row>
    <row r="329" spans="1:8" x14ac:dyDescent="0.2">
      <c r="A329" s="30">
        <v>12</v>
      </c>
      <c r="B329" s="31">
        <v>141</v>
      </c>
      <c r="C329" s="62" t="s">
        <v>611</v>
      </c>
      <c r="D329" s="46">
        <v>315</v>
      </c>
      <c r="E329" s="2">
        <v>50</v>
      </c>
      <c r="F329" s="2">
        <f>523-(D329+E329)</f>
        <v>158</v>
      </c>
      <c r="G329" s="2">
        <f t="shared" si="64"/>
        <v>523</v>
      </c>
      <c r="H329" s="33">
        <f t="shared" si="65"/>
        <v>0.69789674952198855</v>
      </c>
    </row>
    <row r="330" spans="1:8" x14ac:dyDescent="0.2">
      <c r="A330" s="30">
        <v>12</v>
      </c>
      <c r="B330" s="31">
        <v>148</v>
      </c>
      <c r="C330" s="62" t="s">
        <v>470</v>
      </c>
      <c r="D330" s="46">
        <v>442</v>
      </c>
      <c r="E330" s="2">
        <v>24</v>
      </c>
      <c r="F330" s="2">
        <f>500-(D330+E330)</f>
        <v>34</v>
      </c>
      <c r="G330" s="2">
        <f t="shared" si="64"/>
        <v>500</v>
      </c>
      <c r="H330" s="33">
        <f t="shared" si="65"/>
        <v>0.93200000000000005</v>
      </c>
    </row>
    <row r="331" spans="1:8" x14ac:dyDescent="0.2">
      <c r="A331" s="30">
        <v>12</v>
      </c>
      <c r="B331" s="31">
        <v>156</v>
      </c>
      <c r="C331" s="62" t="s">
        <v>618</v>
      </c>
      <c r="D331" s="46">
        <v>312</v>
      </c>
      <c r="E331" s="2">
        <v>46</v>
      </c>
      <c r="F331" s="2">
        <f>574-(D331+E331)</f>
        <v>216</v>
      </c>
      <c r="G331" s="2">
        <f t="shared" si="64"/>
        <v>574</v>
      </c>
      <c r="H331" s="33">
        <f t="shared" si="65"/>
        <v>0.62369337979094075</v>
      </c>
    </row>
    <row r="332" spans="1:8" x14ac:dyDescent="0.2">
      <c r="A332" s="30">
        <v>12</v>
      </c>
      <c r="B332" s="31">
        <v>160</v>
      </c>
      <c r="C332" s="62" t="s">
        <v>620</v>
      </c>
      <c r="D332" s="46">
        <v>242</v>
      </c>
      <c r="E332" s="2">
        <v>30</v>
      </c>
      <c r="F332" s="2">
        <f>456-(D332+E332)</f>
        <v>184</v>
      </c>
      <c r="G332" s="2">
        <f t="shared" si="64"/>
        <v>456</v>
      </c>
      <c r="H332" s="33">
        <f t="shared" si="65"/>
        <v>0.59649122807017541</v>
      </c>
    </row>
    <row r="333" spans="1:8" x14ac:dyDescent="0.2">
      <c r="A333" s="30">
        <v>12</v>
      </c>
      <c r="B333" s="31">
        <v>164</v>
      </c>
      <c r="C333" s="62" t="s">
        <v>621</v>
      </c>
      <c r="D333" s="46">
        <v>530</v>
      </c>
      <c r="E333" s="2">
        <v>68</v>
      </c>
      <c r="F333" s="2">
        <f>706-(D333+E333)</f>
        <v>108</v>
      </c>
      <c r="G333" s="2">
        <f t="shared" si="64"/>
        <v>706</v>
      </c>
      <c r="H333" s="33">
        <f t="shared" si="65"/>
        <v>0.84702549575070818</v>
      </c>
    </row>
    <row r="334" spans="1:8" x14ac:dyDescent="0.2">
      <c r="A334" s="30">
        <v>12</v>
      </c>
      <c r="B334" s="31">
        <v>168</v>
      </c>
      <c r="C334" s="62" t="s">
        <v>622</v>
      </c>
      <c r="D334" s="46">
        <v>65</v>
      </c>
      <c r="E334" s="2">
        <v>24</v>
      </c>
      <c r="F334" s="2">
        <f>611-(D334+E334)</f>
        <v>522</v>
      </c>
      <c r="G334" s="2">
        <f t="shared" si="64"/>
        <v>611</v>
      </c>
      <c r="H334" s="33">
        <f t="shared" si="65"/>
        <v>0.14566284779050737</v>
      </c>
    </row>
    <row r="335" spans="1:8" x14ac:dyDescent="0.2">
      <c r="A335" s="30">
        <v>12</v>
      </c>
      <c r="B335" s="31">
        <v>170</v>
      </c>
      <c r="C335" s="62" t="s">
        <v>623</v>
      </c>
      <c r="D335" s="46">
        <v>31</v>
      </c>
      <c r="E335" s="2">
        <v>7</v>
      </c>
      <c r="F335" s="2">
        <f>562-(D335+E335)</f>
        <v>524</v>
      </c>
      <c r="G335" s="2">
        <f t="shared" si="64"/>
        <v>562</v>
      </c>
      <c r="H335" s="33">
        <f t="shared" si="65"/>
        <v>6.7615658362989328E-2</v>
      </c>
    </row>
    <row r="336" spans="1:8" x14ac:dyDescent="0.2">
      <c r="A336" s="30">
        <v>12</v>
      </c>
      <c r="B336" s="31">
        <v>172</v>
      </c>
      <c r="C336" s="62" t="s">
        <v>624</v>
      </c>
      <c r="D336" s="46">
        <v>92</v>
      </c>
      <c r="E336" s="2">
        <v>15</v>
      </c>
      <c r="F336" s="2">
        <f>509-(D336+E336)</f>
        <v>402</v>
      </c>
      <c r="G336" s="2">
        <f t="shared" si="64"/>
        <v>509</v>
      </c>
      <c r="H336" s="33">
        <f t="shared" si="65"/>
        <v>0.21021611001964635</v>
      </c>
    </row>
    <row r="337" spans="1:8" x14ac:dyDescent="0.2">
      <c r="A337" s="30">
        <v>12</v>
      </c>
      <c r="B337" s="31">
        <v>176</v>
      </c>
      <c r="C337" s="62" t="s">
        <v>626</v>
      </c>
      <c r="D337" s="46">
        <v>263</v>
      </c>
      <c r="E337" s="2">
        <v>41</v>
      </c>
      <c r="F337" s="2">
        <f>379-(D337+E337)</f>
        <v>75</v>
      </c>
      <c r="G337" s="2">
        <f t="shared" si="64"/>
        <v>379</v>
      </c>
      <c r="H337" s="33">
        <f t="shared" si="65"/>
        <v>0.80211081794195249</v>
      </c>
    </row>
    <row r="338" spans="1:8" x14ac:dyDescent="0.2">
      <c r="A338" s="30">
        <v>12</v>
      </c>
      <c r="B338" s="31">
        <v>177</v>
      </c>
      <c r="C338" s="62" t="s">
        <v>605</v>
      </c>
      <c r="D338" s="46">
        <v>322</v>
      </c>
      <c r="E338" s="2">
        <v>55</v>
      </c>
      <c r="F338" s="2">
        <f>618-(D338+E338)</f>
        <v>241</v>
      </c>
      <c r="G338" s="2">
        <f t="shared" si="64"/>
        <v>618</v>
      </c>
      <c r="H338" s="33">
        <f t="shared" si="65"/>
        <v>0.61003236245954695</v>
      </c>
    </row>
    <row r="339" spans="1:8" x14ac:dyDescent="0.2">
      <c r="A339" s="30">
        <v>12</v>
      </c>
      <c r="B339" s="31">
        <v>178</v>
      </c>
      <c r="C339" s="62" t="s">
        <v>628</v>
      </c>
      <c r="D339" s="46">
        <v>411</v>
      </c>
      <c r="E339" s="2">
        <v>53</v>
      </c>
      <c r="F339" s="2">
        <f>620-(D339+E339)</f>
        <v>156</v>
      </c>
      <c r="G339" s="2">
        <f t="shared" si="64"/>
        <v>620</v>
      </c>
      <c r="H339" s="33">
        <f t="shared" si="65"/>
        <v>0.74838709677419357</v>
      </c>
    </row>
    <row r="340" spans="1:8" x14ac:dyDescent="0.2">
      <c r="A340" s="30">
        <v>12</v>
      </c>
      <c r="B340" s="31">
        <v>179</v>
      </c>
      <c r="C340" s="62" t="s">
        <v>627</v>
      </c>
      <c r="D340" s="46">
        <v>390</v>
      </c>
      <c r="E340" s="2">
        <v>58</v>
      </c>
      <c r="F340" s="2">
        <f>626-(D340+E340)</f>
        <v>178</v>
      </c>
      <c r="G340" s="2">
        <f t="shared" si="64"/>
        <v>626</v>
      </c>
      <c r="H340" s="33">
        <f t="shared" si="65"/>
        <v>0.71565495207667729</v>
      </c>
    </row>
    <row r="341" spans="1:8" x14ac:dyDescent="0.2">
      <c r="A341" s="30">
        <v>12</v>
      </c>
      <c r="B341" s="31">
        <v>180</v>
      </c>
      <c r="C341" s="62" t="s">
        <v>630</v>
      </c>
      <c r="D341" s="46">
        <v>371</v>
      </c>
      <c r="E341" s="2">
        <v>42</v>
      </c>
      <c r="F341" s="2">
        <f>624-(D341+E341)</f>
        <v>211</v>
      </c>
      <c r="G341" s="2">
        <f t="shared" si="64"/>
        <v>624</v>
      </c>
      <c r="H341" s="33">
        <f t="shared" si="65"/>
        <v>0.66185897435897434</v>
      </c>
    </row>
    <row r="342" spans="1:8" x14ac:dyDescent="0.2">
      <c r="A342" s="30">
        <v>12</v>
      </c>
      <c r="B342" s="31">
        <v>182</v>
      </c>
      <c r="C342" s="62" t="s">
        <v>629</v>
      </c>
      <c r="D342" s="46">
        <v>305</v>
      </c>
      <c r="E342" s="2">
        <v>80</v>
      </c>
      <c r="F342" s="2">
        <f>632-(D342+E342)</f>
        <v>247</v>
      </c>
      <c r="G342" s="2">
        <f t="shared" si="64"/>
        <v>632</v>
      </c>
      <c r="H342" s="33">
        <f t="shared" si="65"/>
        <v>0.60917721518987344</v>
      </c>
    </row>
    <row r="343" spans="1:8" x14ac:dyDescent="0.2">
      <c r="A343" s="30">
        <v>12</v>
      </c>
      <c r="B343" s="31">
        <v>184</v>
      </c>
      <c r="C343" s="62" t="s">
        <v>631</v>
      </c>
      <c r="D343" s="46">
        <v>613</v>
      </c>
      <c r="E343" s="2">
        <v>51</v>
      </c>
      <c r="F343" s="2">
        <f>774-(D343+E343)</f>
        <v>110</v>
      </c>
      <c r="G343" s="2">
        <f t="shared" si="64"/>
        <v>774</v>
      </c>
      <c r="H343" s="33">
        <f t="shared" si="65"/>
        <v>0.8578811369509044</v>
      </c>
    </row>
    <row r="344" spans="1:8" x14ac:dyDescent="0.2">
      <c r="A344" s="30">
        <v>12</v>
      </c>
      <c r="B344" s="31">
        <v>186</v>
      </c>
      <c r="C344" s="62" t="s">
        <v>633</v>
      </c>
      <c r="D344" s="46">
        <v>343</v>
      </c>
      <c r="E344" s="2">
        <v>59</v>
      </c>
      <c r="F344" s="2">
        <f>588-(D344+E344)</f>
        <v>186</v>
      </c>
      <c r="G344" s="2">
        <f t="shared" si="64"/>
        <v>588</v>
      </c>
      <c r="H344" s="33">
        <f t="shared" si="65"/>
        <v>0.68367346938775508</v>
      </c>
    </row>
    <row r="345" spans="1:8" x14ac:dyDescent="0.2">
      <c r="A345" s="30">
        <v>12</v>
      </c>
      <c r="B345" s="31">
        <v>188</v>
      </c>
      <c r="C345" s="62" t="s">
        <v>634</v>
      </c>
      <c r="D345" s="46">
        <v>394</v>
      </c>
      <c r="E345" s="2">
        <v>33</v>
      </c>
      <c r="F345" s="2">
        <f>486-(D345+E345)</f>
        <v>59</v>
      </c>
      <c r="G345" s="2">
        <f t="shared" si="64"/>
        <v>486</v>
      </c>
      <c r="H345" s="33">
        <f t="shared" si="65"/>
        <v>0.87860082304526754</v>
      </c>
    </row>
    <row r="346" spans="1:8" x14ac:dyDescent="0.2">
      <c r="A346" s="30">
        <v>12</v>
      </c>
      <c r="B346" s="31">
        <v>189</v>
      </c>
      <c r="C346" s="62" t="s">
        <v>636</v>
      </c>
      <c r="D346" s="46">
        <v>240</v>
      </c>
      <c r="E346" s="2">
        <v>45</v>
      </c>
      <c r="F346" s="2">
        <f>423-(D346+E346)</f>
        <v>138</v>
      </c>
      <c r="G346" s="2">
        <f t="shared" si="64"/>
        <v>423</v>
      </c>
      <c r="H346" s="33">
        <f t="shared" si="65"/>
        <v>0.67375886524822692</v>
      </c>
    </row>
    <row r="347" spans="1:8" x14ac:dyDescent="0.2">
      <c r="A347" s="30">
        <v>12</v>
      </c>
      <c r="B347" s="31">
        <v>190</v>
      </c>
      <c r="C347" s="62" t="s">
        <v>635</v>
      </c>
      <c r="D347" s="46">
        <v>105</v>
      </c>
      <c r="E347" s="2">
        <v>42</v>
      </c>
      <c r="F347" s="2">
        <f>501-(D347+E347)</f>
        <v>354</v>
      </c>
      <c r="G347" s="2">
        <f t="shared" si="64"/>
        <v>501</v>
      </c>
      <c r="H347" s="33">
        <f t="shared" si="65"/>
        <v>0.29341317365269459</v>
      </c>
    </row>
    <row r="348" spans="1:8" x14ac:dyDescent="0.2">
      <c r="A348" s="30">
        <v>12</v>
      </c>
      <c r="B348" s="31">
        <v>192</v>
      </c>
      <c r="C348" s="62" t="s">
        <v>638</v>
      </c>
      <c r="D348" s="46">
        <v>189</v>
      </c>
      <c r="E348" s="2">
        <v>31</v>
      </c>
      <c r="F348" s="2">
        <f>550-(D348+E348)</f>
        <v>330</v>
      </c>
      <c r="G348" s="2">
        <f>SUM(D348:F348)</f>
        <v>550</v>
      </c>
      <c r="H348" s="33">
        <f>+(D348+E348)/G348</f>
        <v>0.4</v>
      </c>
    </row>
    <row r="349" spans="1:8" x14ac:dyDescent="0.2">
      <c r="A349" s="30">
        <v>12</v>
      </c>
      <c r="B349" s="31">
        <v>193</v>
      </c>
      <c r="C349" s="62" t="s">
        <v>604</v>
      </c>
      <c r="D349" s="46">
        <v>224</v>
      </c>
      <c r="E349" s="2">
        <v>40</v>
      </c>
      <c r="F349" s="2">
        <f>537-(D349+E349)</f>
        <v>273</v>
      </c>
      <c r="G349" s="2">
        <f t="shared" si="64"/>
        <v>537</v>
      </c>
      <c r="H349" s="33">
        <f t="shared" si="65"/>
        <v>0.49162011173184356</v>
      </c>
    </row>
    <row r="350" spans="1:8" x14ac:dyDescent="0.2">
      <c r="A350" s="30">
        <v>12</v>
      </c>
      <c r="B350" s="31">
        <v>194</v>
      </c>
      <c r="C350" s="62" t="s">
        <v>591</v>
      </c>
      <c r="D350" s="46">
        <v>164</v>
      </c>
      <c r="E350" s="2">
        <v>78</v>
      </c>
      <c r="F350" s="2">
        <f>678-(D350+E350)</f>
        <v>436</v>
      </c>
      <c r="G350" s="2">
        <f t="shared" si="64"/>
        <v>678</v>
      </c>
      <c r="H350" s="33">
        <f t="shared" si="65"/>
        <v>0.35693215339233036</v>
      </c>
    </row>
    <row r="351" spans="1:8" x14ac:dyDescent="0.2">
      <c r="A351" s="30">
        <v>12</v>
      </c>
      <c r="B351" s="31">
        <v>195</v>
      </c>
      <c r="C351" s="62" t="s">
        <v>644</v>
      </c>
      <c r="D351" s="46">
        <v>60</v>
      </c>
      <c r="E351" s="2">
        <v>13</v>
      </c>
      <c r="F351" s="2">
        <f>572-(D351+E351)</f>
        <v>499</v>
      </c>
      <c r="G351" s="2">
        <f t="shared" si="64"/>
        <v>572</v>
      </c>
      <c r="H351" s="33">
        <f t="shared" si="65"/>
        <v>0.12762237762237763</v>
      </c>
    </row>
    <row r="352" spans="1:8" x14ac:dyDescent="0.2">
      <c r="A352" s="30">
        <v>12</v>
      </c>
      <c r="B352" s="31">
        <v>196</v>
      </c>
      <c r="C352" s="62" t="s">
        <v>637</v>
      </c>
      <c r="D352" s="46">
        <v>245</v>
      </c>
      <c r="E352" s="2">
        <v>43</v>
      </c>
      <c r="F352" s="2">
        <f>397-(D352+E352)</f>
        <v>109</v>
      </c>
      <c r="G352" s="2">
        <f t="shared" si="64"/>
        <v>397</v>
      </c>
      <c r="H352" s="33">
        <f t="shared" si="65"/>
        <v>0.72544080604534</v>
      </c>
    </row>
    <row r="353" spans="1:8" x14ac:dyDescent="0.2">
      <c r="A353" s="30">
        <v>12</v>
      </c>
      <c r="B353" s="31">
        <v>197</v>
      </c>
      <c r="C353" s="62" t="s">
        <v>639</v>
      </c>
      <c r="D353" s="46">
        <v>650</v>
      </c>
      <c r="E353" s="2">
        <v>55</v>
      </c>
      <c r="F353" s="2">
        <f>834-(D353+E353)</f>
        <v>129</v>
      </c>
      <c r="G353" s="2">
        <f t="shared" si="64"/>
        <v>834</v>
      </c>
      <c r="H353" s="33">
        <f t="shared" si="65"/>
        <v>0.84532374100719421</v>
      </c>
    </row>
    <row r="354" spans="1:8" x14ac:dyDescent="0.2">
      <c r="A354" s="30">
        <v>12</v>
      </c>
      <c r="B354" s="31">
        <v>198</v>
      </c>
      <c r="C354" s="62" t="s">
        <v>640</v>
      </c>
      <c r="D354" s="46">
        <v>345</v>
      </c>
      <c r="E354" s="2">
        <v>36</v>
      </c>
      <c r="F354" s="2">
        <f>563-(D354+E354)</f>
        <v>182</v>
      </c>
      <c r="G354" s="2">
        <f t="shared" si="64"/>
        <v>563</v>
      </c>
      <c r="H354" s="33">
        <f t="shared" si="65"/>
        <v>0.67673179396092364</v>
      </c>
    </row>
    <row r="355" spans="1:8" x14ac:dyDescent="0.2">
      <c r="A355" s="30">
        <v>12</v>
      </c>
      <c r="B355" s="31">
        <v>199</v>
      </c>
      <c r="C355" s="62" t="s">
        <v>643</v>
      </c>
      <c r="D355" s="46">
        <v>180</v>
      </c>
      <c r="E355" s="2">
        <v>24</v>
      </c>
      <c r="F355" s="2">
        <f>492-(D355+E355)</f>
        <v>288</v>
      </c>
      <c r="G355" s="2">
        <f t="shared" si="64"/>
        <v>492</v>
      </c>
      <c r="H355" s="33">
        <f t="shared" si="65"/>
        <v>0.41463414634146339</v>
      </c>
    </row>
    <row r="356" spans="1:8" x14ac:dyDescent="0.2">
      <c r="A356" s="30">
        <v>12</v>
      </c>
      <c r="B356" s="31">
        <v>201</v>
      </c>
      <c r="C356" s="62" t="s">
        <v>647</v>
      </c>
      <c r="D356" s="46">
        <v>350</v>
      </c>
      <c r="E356" s="2">
        <v>80</v>
      </c>
      <c r="F356" s="2">
        <f>734-(D356+E356)</f>
        <v>304</v>
      </c>
      <c r="G356" s="2">
        <f t="shared" si="64"/>
        <v>734</v>
      </c>
      <c r="H356" s="33">
        <f t="shared" si="65"/>
        <v>0.58583106267029972</v>
      </c>
    </row>
    <row r="357" spans="1:8" x14ac:dyDescent="0.2">
      <c r="A357" s="30">
        <v>12</v>
      </c>
      <c r="B357" s="31">
        <v>202</v>
      </c>
      <c r="C357" s="62" t="s">
        <v>651</v>
      </c>
      <c r="D357" s="46">
        <v>349</v>
      </c>
      <c r="E357" s="2">
        <v>47</v>
      </c>
      <c r="F357" s="2">
        <f>514-(D357+E357)</f>
        <v>118</v>
      </c>
      <c r="G357" s="2">
        <f t="shared" si="64"/>
        <v>514</v>
      </c>
      <c r="H357" s="33">
        <f t="shared" si="65"/>
        <v>0.77042801556420237</v>
      </c>
    </row>
    <row r="358" spans="1:8" x14ac:dyDescent="0.2">
      <c r="A358" s="30">
        <v>12</v>
      </c>
      <c r="B358" s="31">
        <v>203</v>
      </c>
      <c r="C358" s="62" t="s">
        <v>645</v>
      </c>
      <c r="D358" s="46">
        <v>401</v>
      </c>
      <c r="E358" s="2">
        <v>105</v>
      </c>
      <c r="F358" s="2">
        <f>838-(D358+E358)</f>
        <v>332</v>
      </c>
      <c r="G358" s="2">
        <f t="shared" si="64"/>
        <v>838</v>
      </c>
      <c r="H358" s="33">
        <f t="shared" si="65"/>
        <v>0.60381861575178997</v>
      </c>
    </row>
    <row r="359" spans="1:8" x14ac:dyDescent="0.2">
      <c r="A359" s="30">
        <v>12</v>
      </c>
      <c r="B359" s="31">
        <v>204</v>
      </c>
      <c r="C359" s="62" t="s">
        <v>648</v>
      </c>
      <c r="D359" s="46">
        <v>514</v>
      </c>
      <c r="E359" s="2">
        <v>99</v>
      </c>
      <c r="F359" s="2">
        <f>762-(D359+E359)</f>
        <v>149</v>
      </c>
      <c r="G359" s="2">
        <f t="shared" si="64"/>
        <v>762</v>
      </c>
      <c r="H359" s="33">
        <f t="shared" si="65"/>
        <v>0.8044619422572179</v>
      </c>
    </row>
    <row r="360" spans="1:8" x14ac:dyDescent="0.2">
      <c r="A360" s="30">
        <v>12</v>
      </c>
      <c r="B360" s="31">
        <v>205</v>
      </c>
      <c r="C360" s="62" t="s">
        <v>650</v>
      </c>
      <c r="D360" s="46">
        <v>242</v>
      </c>
      <c r="E360" s="2">
        <v>60</v>
      </c>
      <c r="F360" s="2">
        <f>633-(D360+E360)</f>
        <v>331</v>
      </c>
      <c r="G360" s="2">
        <f t="shared" si="64"/>
        <v>633</v>
      </c>
      <c r="H360" s="33">
        <f t="shared" si="65"/>
        <v>0.47709320695102686</v>
      </c>
    </row>
    <row r="361" spans="1:8" x14ac:dyDescent="0.2">
      <c r="A361" s="30">
        <v>12</v>
      </c>
      <c r="B361" s="31">
        <v>206</v>
      </c>
      <c r="C361" s="62" t="s">
        <v>649</v>
      </c>
      <c r="D361" s="46">
        <v>280</v>
      </c>
      <c r="E361" s="2">
        <v>77</v>
      </c>
      <c r="F361" s="2">
        <f>711-(D361+E361)</f>
        <v>354</v>
      </c>
      <c r="G361" s="2">
        <f t="shared" si="64"/>
        <v>711</v>
      </c>
      <c r="H361" s="33">
        <f>+(D361+E361)/G361</f>
        <v>0.50210970464135019</v>
      </c>
    </row>
    <row r="362" spans="1:8" x14ac:dyDescent="0.2">
      <c r="A362" s="30">
        <v>12</v>
      </c>
      <c r="B362" s="31">
        <v>208</v>
      </c>
      <c r="C362" s="62" t="s">
        <v>653</v>
      </c>
      <c r="D362" s="46">
        <v>335</v>
      </c>
      <c r="E362" s="2">
        <v>69</v>
      </c>
      <c r="F362" s="2">
        <f>718-(D362+E362)</f>
        <v>314</v>
      </c>
      <c r="G362" s="2">
        <f t="shared" si="64"/>
        <v>718</v>
      </c>
      <c r="H362" s="33">
        <f t="shared" si="65"/>
        <v>0.56267409470752094</v>
      </c>
    </row>
    <row r="363" spans="1:8" x14ac:dyDescent="0.2">
      <c r="A363" s="30">
        <v>12</v>
      </c>
      <c r="B363" s="31">
        <v>212</v>
      </c>
      <c r="C363" s="62" t="s">
        <v>654</v>
      </c>
      <c r="D363" s="46">
        <v>156</v>
      </c>
      <c r="E363" s="2">
        <v>11</v>
      </c>
      <c r="F363" s="2">
        <f>654-(D363+E363)</f>
        <v>487</v>
      </c>
      <c r="G363" s="2">
        <f t="shared" si="64"/>
        <v>654</v>
      </c>
      <c r="H363" s="33">
        <f t="shared" si="65"/>
        <v>0.25535168195718655</v>
      </c>
    </row>
    <row r="364" spans="1:8" x14ac:dyDescent="0.2">
      <c r="A364" s="30">
        <v>12</v>
      </c>
      <c r="B364" s="31">
        <v>216</v>
      </c>
      <c r="C364" s="62" t="s">
        <v>655</v>
      </c>
      <c r="D364" s="46">
        <v>586</v>
      </c>
      <c r="E364" s="2">
        <v>45</v>
      </c>
      <c r="F364" s="2">
        <f>751-(D364+E364)</f>
        <v>120</v>
      </c>
      <c r="G364" s="2">
        <f t="shared" si="64"/>
        <v>751</v>
      </c>
      <c r="H364" s="33">
        <f t="shared" si="65"/>
        <v>0.84021304926764317</v>
      </c>
    </row>
    <row r="365" spans="1:8" x14ac:dyDescent="0.2">
      <c r="A365" s="30">
        <v>12</v>
      </c>
      <c r="B365" s="31">
        <v>220</v>
      </c>
      <c r="C365" s="62" t="s">
        <v>656</v>
      </c>
      <c r="D365" s="46">
        <v>112</v>
      </c>
      <c r="E365" s="2">
        <v>20</v>
      </c>
      <c r="F365" s="2">
        <f>439-(D365+E365)</f>
        <v>307</v>
      </c>
      <c r="G365" s="2">
        <f t="shared" si="64"/>
        <v>439</v>
      </c>
      <c r="H365" s="33">
        <f t="shared" si="65"/>
        <v>0.30068337129840544</v>
      </c>
    </row>
    <row r="366" spans="1:8" x14ac:dyDescent="0.2">
      <c r="A366" s="30">
        <v>12</v>
      </c>
      <c r="B366" s="31">
        <v>400</v>
      </c>
      <c r="C366" s="62" t="s">
        <v>588</v>
      </c>
      <c r="D366" s="46">
        <v>250</v>
      </c>
      <c r="E366" s="2">
        <v>90</v>
      </c>
      <c r="F366" s="2">
        <f>957-(D366+E366)</f>
        <v>617</v>
      </c>
      <c r="G366" s="2">
        <f t="shared" si="64"/>
        <v>957</v>
      </c>
      <c r="H366" s="33">
        <f t="shared" si="65"/>
        <v>0.35527690700104492</v>
      </c>
    </row>
    <row r="367" spans="1:8" x14ac:dyDescent="0.2">
      <c r="A367" s="30">
        <v>12</v>
      </c>
      <c r="B367" s="31">
        <v>402</v>
      </c>
      <c r="C367" s="62" t="s">
        <v>589</v>
      </c>
      <c r="D367" s="46">
        <v>285</v>
      </c>
      <c r="E367" s="2">
        <v>55</v>
      </c>
      <c r="F367" s="2">
        <f>890-(D367+E367)</f>
        <v>550</v>
      </c>
      <c r="G367" s="2">
        <f t="shared" si="64"/>
        <v>890</v>
      </c>
      <c r="H367" s="33">
        <f t="shared" ref="H367:H395" si="70">+(D367+E367)/G367</f>
        <v>0.38202247191011235</v>
      </c>
    </row>
    <row r="368" spans="1:8" x14ac:dyDescent="0.2">
      <c r="A368" s="30">
        <v>12</v>
      </c>
      <c r="B368" s="31">
        <v>404</v>
      </c>
      <c r="C368" s="62" t="s">
        <v>590</v>
      </c>
      <c r="D368" s="46">
        <v>361</v>
      </c>
      <c r="E368" s="2">
        <v>101</v>
      </c>
      <c r="F368" s="2">
        <f>916-(D368+E368)</f>
        <v>454</v>
      </c>
      <c r="G368" s="2">
        <f t="shared" ref="G368:G395" si="71">SUM(D368:F368)</f>
        <v>916</v>
      </c>
      <c r="H368" s="33">
        <f t="shared" si="70"/>
        <v>0.50436681222707425</v>
      </c>
    </row>
    <row r="369" spans="1:8" x14ac:dyDescent="0.2">
      <c r="A369" s="30">
        <v>12</v>
      </c>
      <c r="B369" s="31">
        <v>410</v>
      </c>
      <c r="C369" s="62" t="s">
        <v>593</v>
      </c>
      <c r="D369" s="46">
        <v>56</v>
      </c>
      <c r="E369" s="2">
        <v>11</v>
      </c>
      <c r="F369" s="2">
        <f>622-(D369+E369)</f>
        <v>555</v>
      </c>
      <c r="G369" s="2">
        <f t="shared" si="71"/>
        <v>622</v>
      </c>
      <c r="H369" s="33">
        <f t="shared" si="70"/>
        <v>0.10771704180064309</v>
      </c>
    </row>
    <row r="370" spans="1:8" x14ac:dyDescent="0.2">
      <c r="A370" s="30">
        <v>12</v>
      </c>
      <c r="B370" s="31">
        <v>411</v>
      </c>
      <c r="C370" s="62" t="s">
        <v>599</v>
      </c>
      <c r="D370" s="46">
        <v>455</v>
      </c>
      <c r="E370" s="2">
        <v>79</v>
      </c>
      <c r="F370" s="2">
        <f>967-(D370+E370)</f>
        <v>433</v>
      </c>
      <c r="G370" s="2">
        <f t="shared" si="71"/>
        <v>967</v>
      </c>
      <c r="H370" s="33">
        <f t="shared" si="70"/>
        <v>0.55222337125129262</v>
      </c>
    </row>
    <row r="371" spans="1:8" x14ac:dyDescent="0.2">
      <c r="A371" s="30">
        <v>12</v>
      </c>
      <c r="B371" s="31">
        <v>412</v>
      </c>
      <c r="C371" s="62" t="s">
        <v>600</v>
      </c>
      <c r="D371" s="46">
        <v>291</v>
      </c>
      <c r="E371" s="2">
        <v>40</v>
      </c>
      <c r="F371" s="2">
        <f>839-(D371+E371)</f>
        <v>508</v>
      </c>
      <c r="G371" s="2">
        <f t="shared" si="71"/>
        <v>839</v>
      </c>
      <c r="H371" s="33">
        <f t="shared" si="70"/>
        <v>0.39451728247914186</v>
      </c>
    </row>
    <row r="372" spans="1:8" x14ac:dyDescent="0.2">
      <c r="A372" s="30">
        <v>12</v>
      </c>
      <c r="B372" s="31">
        <v>416</v>
      </c>
      <c r="C372" s="62" t="s">
        <v>603</v>
      </c>
      <c r="D372" s="46">
        <v>619</v>
      </c>
      <c r="E372" s="2">
        <v>34</v>
      </c>
      <c r="F372" s="2">
        <f>757-(D372+E372)</f>
        <v>104</v>
      </c>
      <c r="G372" s="2">
        <f t="shared" si="71"/>
        <v>757</v>
      </c>
      <c r="H372" s="33">
        <f t="shared" si="70"/>
        <v>0.86261558784676351</v>
      </c>
    </row>
    <row r="373" spans="1:8" x14ac:dyDescent="0.2">
      <c r="A373" s="30">
        <v>12</v>
      </c>
      <c r="B373" s="31">
        <v>418</v>
      </c>
      <c r="C373" s="62" t="s">
        <v>610</v>
      </c>
      <c r="D373" s="46">
        <v>430</v>
      </c>
      <c r="E373" s="2">
        <v>106</v>
      </c>
      <c r="F373" s="2">
        <f>1129-(D373+E373)</f>
        <v>593</v>
      </c>
      <c r="G373" s="2">
        <f t="shared" si="71"/>
        <v>1129</v>
      </c>
      <c r="H373" s="33">
        <f t="shared" si="70"/>
        <v>0.47475642161204606</v>
      </c>
    </row>
    <row r="374" spans="1:8" x14ac:dyDescent="0.2">
      <c r="A374" s="30">
        <v>12</v>
      </c>
      <c r="B374" s="31">
        <v>419</v>
      </c>
      <c r="C374" s="62" t="s">
        <v>641</v>
      </c>
      <c r="D374" s="46">
        <v>409</v>
      </c>
      <c r="E374" s="2">
        <v>110</v>
      </c>
      <c r="F374" s="2">
        <f>1082-(D374+E374)</f>
        <v>563</v>
      </c>
      <c r="G374" s="2">
        <f t="shared" si="71"/>
        <v>1082</v>
      </c>
      <c r="H374" s="33">
        <f>+(D374+E374)/G374</f>
        <v>0.47966728280961185</v>
      </c>
    </row>
    <row r="375" spans="1:8" x14ac:dyDescent="0.2">
      <c r="A375" s="30">
        <v>12</v>
      </c>
      <c r="B375" s="31">
        <v>420</v>
      </c>
      <c r="C375" s="62" t="s">
        <v>616</v>
      </c>
      <c r="D375" s="46">
        <v>547</v>
      </c>
      <c r="E375" s="2">
        <v>85</v>
      </c>
      <c r="F375" s="2">
        <f>867-(D375+E375)</f>
        <v>235</v>
      </c>
      <c r="G375" s="2">
        <f t="shared" si="71"/>
        <v>867</v>
      </c>
      <c r="H375" s="33">
        <f t="shared" si="70"/>
        <v>0.72895040369088815</v>
      </c>
    </row>
    <row r="376" spans="1:8" x14ac:dyDescent="0.2">
      <c r="A376" s="30">
        <v>12</v>
      </c>
      <c r="B376" s="31">
        <v>422</v>
      </c>
      <c r="C376" s="62" t="s">
        <v>615</v>
      </c>
      <c r="D376" s="46">
        <v>531</v>
      </c>
      <c r="E376" s="2">
        <v>81</v>
      </c>
      <c r="F376" s="2">
        <f>978-(D376+E376)</f>
        <v>366</v>
      </c>
      <c r="G376" s="2">
        <f t="shared" si="71"/>
        <v>978</v>
      </c>
      <c r="H376" s="33">
        <f t="shared" si="70"/>
        <v>0.62576687116564422</v>
      </c>
    </row>
    <row r="377" spans="1:8" x14ac:dyDescent="0.2">
      <c r="A377" s="30">
        <v>12</v>
      </c>
      <c r="B377" s="31">
        <v>423</v>
      </c>
      <c r="C377" s="62" t="s">
        <v>619</v>
      </c>
      <c r="D377" s="46">
        <v>553</v>
      </c>
      <c r="E377" s="2">
        <v>126</v>
      </c>
      <c r="F377" s="2">
        <f>1221-(D377+E377)</f>
        <v>542</v>
      </c>
      <c r="G377" s="2">
        <f t="shared" si="71"/>
        <v>1221</v>
      </c>
      <c r="H377" s="33">
        <f>+(D377+E377)/G377</f>
        <v>0.55610155610155609</v>
      </c>
    </row>
    <row r="378" spans="1:8" x14ac:dyDescent="0.2">
      <c r="A378" s="30">
        <v>12</v>
      </c>
      <c r="B378" s="31">
        <v>424</v>
      </c>
      <c r="C378" s="62" t="s">
        <v>625</v>
      </c>
      <c r="D378" s="46">
        <v>86</v>
      </c>
      <c r="E378" s="2">
        <v>9</v>
      </c>
      <c r="F378" s="2">
        <f>802-(D378+E378)</f>
        <v>707</v>
      </c>
      <c r="G378" s="2">
        <f t="shared" si="71"/>
        <v>802</v>
      </c>
      <c r="H378" s="33">
        <f t="shared" si="70"/>
        <v>0.11845386533665836</v>
      </c>
    </row>
    <row r="379" spans="1:8" x14ac:dyDescent="0.2">
      <c r="A379" s="30">
        <v>12</v>
      </c>
      <c r="B379" s="31">
        <v>428</v>
      </c>
      <c r="C379" s="62" t="s">
        <v>646</v>
      </c>
      <c r="D379" s="46">
        <v>515</v>
      </c>
      <c r="E379" s="2">
        <v>68</v>
      </c>
      <c r="F379" s="2">
        <f>931-(D379+E379)</f>
        <v>348</v>
      </c>
      <c r="G379" s="2">
        <f t="shared" si="71"/>
        <v>931</v>
      </c>
      <c r="H379" s="33">
        <f t="shared" si="70"/>
        <v>0.62620837808807739</v>
      </c>
    </row>
    <row r="380" spans="1:8" x14ac:dyDescent="0.2">
      <c r="A380" s="30">
        <v>12</v>
      </c>
      <c r="B380" s="31">
        <v>434</v>
      </c>
      <c r="C380" s="62" t="s">
        <v>652</v>
      </c>
      <c r="D380" s="46">
        <v>869</v>
      </c>
      <c r="E380" s="2">
        <v>118</v>
      </c>
      <c r="F380" s="2">
        <f>1188-(D380+E380)</f>
        <v>201</v>
      </c>
      <c r="G380" s="2">
        <f t="shared" si="71"/>
        <v>1188</v>
      </c>
      <c r="H380" s="33">
        <f t="shared" si="70"/>
        <v>0.83080808080808077</v>
      </c>
    </row>
    <row r="381" spans="1:8" x14ac:dyDescent="0.2">
      <c r="A381" s="30">
        <v>12</v>
      </c>
      <c r="B381" s="31">
        <v>558</v>
      </c>
      <c r="C381" s="62" t="s">
        <v>415</v>
      </c>
      <c r="D381" s="46">
        <v>54</v>
      </c>
      <c r="E381" s="2">
        <v>20</v>
      </c>
      <c r="F381" s="2">
        <f>882-(D381+E381)</f>
        <v>808</v>
      </c>
      <c r="G381" s="2">
        <f t="shared" ref="G381" si="72">SUM(D381:F381)</f>
        <v>882</v>
      </c>
      <c r="H381" s="33">
        <f t="shared" ref="H381" si="73">+(D381+E381)/G381</f>
        <v>8.390022675736962E-2</v>
      </c>
    </row>
    <row r="382" spans="1:8" x14ac:dyDescent="0.2">
      <c r="A382" s="30">
        <v>12</v>
      </c>
      <c r="B382" s="31">
        <v>616</v>
      </c>
      <c r="C382" s="62" t="s">
        <v>416</v>
      </c>
      <c r="D382" s="46">
        <v>83</v>
      </c>
      <c r="E382" s="2">
        <v>6</v>
      </c>
      <c r="F382" s="2">
        <f>108-(D382+E382)</f>
        <v>19</v>
      </c>
      <c r="G382" s="2">
        <f>SUM(D382:F382)</f>
        <v>108</v>
      </c>
      <c r="H382" s="33">
        <f>+(D382+E382)/G382</f>
        <v>0.82407407407407407</v>
      </c>
    </row>
    <row r="383" spans="1:8" x14ac:dyDescent="0.2">
      <c r="A383" s="30">
        <v>12</v>
      </c>
      <c r="B383" s="31">
        <v>702</v>
      </c>
      <c r="C383" s="32" t="s">
        <v>63</v>
      </c>
      <c r="D383" s="46">
        <v>696</v>
      </c>
      <c r="E383" s="2">
        <v>114</v>
      </c>
      <c r="F383" s="2">
        <f>2063-(D383+E383)</f>
        <v>1253</v>
      </c>
      <c r="G383" s="2">
        <f t="shared" si="71"/>
        <v>2063</v>
      </c>
      <c r="H383" s="33">
        <f t="shared" si="70"/>
        <v>0.3926320891904993</v>
      </c>
    </row>
    <row r="384" spans="1:8" x14ac:dyDescent="0.2">
      <c r="A384" s="30">
        <v>12</v>
      </c>
      <c r="B384" s="31">
        <v>704</v>
      </c>
      <c r="C384" s="32" t="s">
        <v>64</v>
      </c>
      <c r="D384" s="46">
        <v>491</v>
      </c>
      <c r="E384" s="2">
        <v>122</v>
      </c>
      <c r="F384" s="2">
        <f>1582-(D384+E384)</f>
        <v>969</v>
      </c>
      <c r="G384" s="2">
        <f t="shared" si="71"/>
        <v>1582</v>
      </c>
      <c r="H384" s="33">
        <f t="shared" si="70"/>
        <v>0.38748419721871047</v>
      </c>
    </row>
    <row r="385" spans="1:8" x14ac:dyDescent="0.2">
      <c r="A385" s="30">
        <v>12</v>
      </c>
      <c r="B385" s="31">
        <v>708</v>
      </c>
      <c r="C385" s="32" t="s">
        <v>65</v>
      </c>
      <c r="D385" s="46">
        <v>846</v>
      </c>
      <c r="E385" s="2">
        <v>114</v>
      </c>
      <c r="F385" s="2">
        <f>1660-(D385+E385)</f>
        <v>700</v>
      </c>
      <c r="G385" s="2">
        <f t="shared" si="71"/>
        <v>1660</v>
      </c>
      <c r="H385" s="33">
        <f t="shared" si="70"/>
        <v>0.57831325301204817</v>
      </c>
    </row>
    <row r="386" spans="1:8" x14ac:dyDescent="0.2">
      <c r="A386" s="30">
        <v>12</v>
      </c>
      <c r="B386" s="31">
        <v>710</v>
      </c>
      <c r="C386" s="32" t="s">
        <v>66</v>
      </c>
      <c r="D386" s="46">
        <v>779</v>
      </c>
      <c r="E386" s="2">
        <v>152</v>
      </c>
      <c r="F386" s="2">
        <f>2116-(D386+E386)</f>
        <v>1185</v>
      </c>
      <c r="G386" s="2">
        <f t="shared" si="71"/>
        <v>2116</v>
      </c>
      <c r="H386" s="33">
        <f t="shared" si="70"/>
        <v>0.43998109640831756</v>
      </c>
    </row>
    <row r="387" spans="1:8" x14ac:dyDescent="0.2">
      <c r="A387" s="30">
        <v>12</v>
      </c>
      <c r="B387" s="31">
        <v>714</v>
      </c>
      <c r="C387" s="32" t="s">
        <v>67</v>
      </c>
      <c r="D387" s="46">
        <v>638</v>
      </c>
      <c r="E387" s="2">
        <v>127</v>
      </c>
      <c r="F387" s="2">
        <f>1585-(D387+E387)</f>
        <v>820</v>
      </c>
      <c r="G387" s="2">
        <f t="shared" si="71"/>
        <v>1585</v>
      </c>
      <c r="H387" s="33">
        <f t="shared" si="70"/>
        <v>0.48264984227129337</v>
      </c>
    </row>
    <row r="388" spans="1:8" x14ac:dyDescent="0.2">
      <c r="A388" s="30">
        <v>12</v>
      </c>
      <c r="B388" s="31">
        <v>716</v>
      </c>
      <c r="C388" s="32" t="s">
        <v>68</v>
      </c>
      <c r="D388" s="46">
        <v>215</v>
      </c>
      <c r="E388" s="2">
        <v>33</v>
      </c>
      <c r="F388" s="2">
        <f>1529-(D388+E388)</f>
        <v>1281</v>
      </c>
      <c r="G388" s="2">
        <f t="shared" si="71"/>
        <v>1529</v>
      </c>
      <c r="H388" s="33">
        <f t="shared" si="70"/>
        <v>0.16219751471550034</v>
      </c>
    </row>
    <row r="389" spans="1:8" x14ac:dyDescent="0.2">
      <c r="A389" s="30">
        <v>12</v>
      </c>
      <c r="B389" s="31">
        <v>718</v>
      </c>
      <c r="C389" s="32" t="s">
        <v>69</v>
      </c>
      <c r="D389" s="46">
        <v>123</v>
      </c>
      <c r="E389" s="2">
        <v>12</v>
      </c>
      <c r="F389" s="2">
        <f>1482-(D389+E389)</f>
        <v>1347</v>
      </c>
      <c r="G389" s="2">
        <f t="shared" si="71"/>
        <v>1482</v>
      </c>
      <c r="H389" s="33">
        <f t="shared" si="70"/>
        <v>9.1093117408906882E-2</v>
      </c>
    </row>
    <row r="390" spans="1:8" x14ac:dyDescent="0.2">
      <c r="A390" s="30">
        <v>12</v>
      </c>
      <c r="B390" s="31">
        <v>722</v>
      </c>
      <c r="C390" s="32" t="s">
        <v>70</v>
      </c>
      <c r="D390" s="46">
        <v>501</v>
      </c>
      <c r="E390" s="2">
        <v>88</v>
      </c>
      <c r="F390" s="2">
        <f>1710-(D390+E390)</f>
        <v>1121</v>
      </c>
      <c r="G390" s="2">
        <f>SUM(D390:F390)</f>
        <v>1710</v>
      </c>
      <c r="H390" s="33">
        <f>+(D390+E390)/G390</f>
        <v>0.34444444444444444</v>
      </c>
    </row>
    <row r="391" spans="1:8" x14ac:dyDescent="0.2">
      <c r="A391" s="30">
        <v>12</v>
      </c>
      <c r="B391" s="31">
        <v>760</v>
      </c>
      <c r="C391" s="62" t="s">
        <v>417</v>
      </c>
      <c r="D391" s="46">
        <v>116</v>
      </c>
      <c r="E391" s="2">
        <v>11</v>
      </c>
      <c r="F391" s="2">
        <f>226-(D391+E391)</f>
        <v>99</v>
      </c>
      <c r="G391" s="2">
        <f>SUM(D391:F391)</f>
        <v>226</v>
      </c>
      <c r="H391" s="33">
        <f>+(D391+E391)/G391</f>
        <v>0.56194690265486724</v>
      </c>
    </row>
    <row r="392" spans="1:8" x14ac:dyDescent="0.2">
      <c r="A392" s="30">
        <v>12</v>
      </c>
      <c r="B392" s="31">
        <v>810</v>
      </c>
      <c r="C392" s="62" t="s">
        <v>414</v>
      </c>
      <c r="D392" s="46">
        <v>98</v>
      </c>
      <c r="E392" s="2">
        <v>17</v>
      </c>
      <c r="F392" s="2">
        <f>199-(D392+E392)</f>
        <v>84</v>
      </c>
      <c r="G392" s="2">
        <f t="shared" ref="G392" si="74">SUM(D392:F392)</f>
        <v>199</v>
      </c>
      <c r="H392" s="33">
        <f t="shared" ref="H392" si="75">+(D392+E392)/G392</f>
        <v>0.57788944723618085</v>
      </c>
    </row>
    <row r="393" spans="1:8" x14ac:dyDescent="0.2">
      <c r="A393" s="30">
        <v>12</v>
      </c>
      <c r="B393" s="31">
        <v>900</v>
      </c>
      <c r="C393" s="62" t="s">
        <v>1033</v>
      </c>
      <c r="D393" s="46">
        <v>46</v>
      </c>
      <c r="E393" s="2">
        <v>32</v>
      </c>
      <c r="F393" s="2">
        <f>215-(D393+E393)</f>
        <v>137</v>
      </c>
      <c r="G393" s="2">
        <f t="shared" ref="G393" si="76">SUM(D393:F393)</f>
        <v>215</v>
      </c>
      <c r="H393" s="33">
        <f t="shared" ref="H393" si="77">+(D393+E393)/G393</f>
        <v>0.36279069767441863</v>
      </c>
    </row>
    <row r="394" spans="1:8" x14ac:dyDescent="0.2">
      <c r="A394" s="66" t="s">
        <v>1031</v>
      </c>
      <c r="B394" s="31">
        <v>100</v>
      </c>
      <c r="C394" s="62" t="s">
        <v>1032</v>
      </c>
      <c r="D394" s="46">
        <v>237</v>
      </c>
      <c r="E394" s="2">
        <v>53</v>
      </c>
      <c r="F394" s="2">
        <f>450-(D394+E394)</f>
        <v>160</v>
      </c>
      <c r="G394" s="2">
        <f>SUM(D394:F394)</f>
        <v>450</v>
      </c>
      <c r="H394" s="33">
        <f>+(D394+E394)/G394</f>
        <v>0.64444444444444449</v>
      </c>
    </row>
    <row r="395" spans="1:8" ht="13.5" thickBot="1" x14ac:dyDescent="0.25">
      <c r="A395" s="66" t="s">
        <v>985</v>
      </c>
      <c r="B395" s="31">
        <v>700</v>
      </c>
      <c r="C395" s="62" t="s">
        <v>984</v>
      </c>
      <c r="D395" s="46">
        <v>79</v>
      </c>
      <c r="E395" s="2">
        <v>15</v>
      </c>
      <c r="F395" s="2">
        <f>341-(D395+E395)</f>
        <v>247</v>
      </c>
      <c r="G395" s="2">
        <f t="shared" si="71"/>
        <v>341</v>
      </c>
      <c r="H395" s="33">
        <f t="shared" si="70"/>
        <v>0.2756598240469208</v>
      </c>
    </row>
    <row r="396" spans="1:8" ht="13.5" thickBot="1" x14ac:dyDescent="0.25">
      <c r="A396" s="34"/>
      <c r="B396" s="35">
        <f>COUNTA(B304:B395)</f>
        <v>92</v>
      </c>
      <c r="C396" s="36" t="s">
        <v>20</v>
      </c>
      <c r="D396" s="4">
        <f>SUM(D304:D395)</f>
        <v>29414</v>
      </c>
      <c r="E396" s="4">
        <f>SUM(E304:E395)</f>
        <v>5258</v>
      </c>
      <c r="F396" s="4">
        <f>SUM(F304:F395)</f>
        <v>33658</v>
      </c>
      <c r="G396" s="4">
        <f>SUM(G304:G395)</f>
        <v>68330</v>
      </c>
      <c r="H396" s="37">
        <f>+(D396+E396)/G396</f>
        <v>0.50741987414020195</v>
      </c>
    </row>
    <row r="397" spans="1:8" x14ac:dyDescent="0.2">
      <c r="A397" s="38"/>
      <c r="B397" s="39"/>
      <c r="C397" s="40"/>
      <c r="D397" s="5"/>
      <c r="E397" s="42"/>
      <c r="F397" s="41"/>
      <c r="G397" s="42"/>
      <c r="H397" s="43"/>
    </row>
    <row r="398" spans="1:8" x14ac:dyDescent="0.2">
      <c r="A398" s="38"/>
      <c r="B398" s="39"/>
      <c r="C398" s="45" t="s">
        <v>71</v>
      </c>
      <c r="D398" s="5"/>
      <c r="E398" s="42"/>
      <c r="F398" s="41"/>
      <c r="G398" s="42"/>
      <c r="H398" s="43"/>
    </row>
    <row r="399" spans="1:8" x14ac:dyDescent="0.2">
      <c r="A399" s="30">
        <v>13</v>
      </c>
      <c r="B399" s="31">
        <v>104</v>
      </c>
      <c r="C399" s="62" t="s">
        <v>658</v>
      </c>
      <c r="D399" s="46">
        <v>327</v>
      </c>
      <c r="E399" s="2">
        <v>53</v>
      </c>
      <c r="F399" s="2">
        <f>589-(D399+E399)</f>
        <v>209</v>
      </c>
      <c r="G399" s="2">
        <f t="shared" ref="G399:G414" si="78">SUM(D399:F399)</f>
        <v>589</v>
      </c>
      <c r="H399" s="33">
        <f t="shared" ref="H399:H414" si="79">+(D399+E399)/G399</f>
        <v>0.64516129032258063</v>
      </c>
    </row>
    <row r="400" spans="1:8" x14ac:dyDescent="0.2">
      <c r="A400" s="30">
        <v>13</v>
      </c>
      <c r="B400" s="31">
        <v>108</v>
      </c>
      <c r="C400" s="32" t="s">
        <v>72</v>
      </c>
      <c r="D400" s="46">
        <v>179</v>
      </c>
      <c r="E400" s="2">
        <v>42</v>
      </c>
      <c r="F400" s="2">
        <f>356-(D400+E400)</f>
        <v>135</v>
      </c>
      <c r="G400" s="2">
        <f t="shared" si="78"/>
        <v>356</v>
      </c>
      <c r="H400" s="33">
        <f t="shared" si="79"/>
        <v>0.6207865168539326</v>
      </c>
    </row>
    <row r="401" spans="1:8" x14ac:dyDescent="0.2">
      <c r="A401" s="30">
        <v>13</v>
      </c>
      <c r="B401" s="31">
        <v>112</v>
      </c>
      <c r="C401" s="32" t="s">
        <v>73</v>
      </c>
      <c r="D401" s="46">
        <v>107</v>
      </c>
      <c r="E401" s="2">
        <v>60</v>
      </c>
      <c r="F401" s="2">
        <f>482-(D401+E401)</f>
        <v>315</v>
      </c>
      <c r="G401" s="2">
        <f t="shared" si="78"/>
        <v>482</v>
      </c>
      <c r="H401" s="33">
        <f t="shared" si="79"/>
        <v>0.34647302904564314</v>
      </c>
    </row>
    <row r="402" spans="1:8" x14ac:dyDescent="0.2">
      <c r="A402" s="30">
        <v>13</v>
      </c>
      <c r="B402" s="31">
        <v>116</v>
      </c>
      <c r="C402" s="32" t="s">
        <v>74</v>
      </c>
      <c r="D402" s="46">
        <v>87</v>
      </c>
      <c r="E402" s="2">
        <v>18</v>
      </c>
      <c r="F402" s="2">
        <f>126-(D402+E402)</f>
        <v>21</v>
      </c>
      <c r="G402" s="2">
        <f t="shared" si="78"/>
        <v>126</v>
      </c>
      <c r="H402" s="33">
        <f t="shared" si="79"/>
        <v>0.83333333333333337</v>
      </c>
    </row>
    <row r="403" spans="1:8" x14ac:dyDescent="0.2">
      <c r="A403" s="30">
        <v>13</v>
      </c>
      <c r="B403" s="31">
        <v>120</v>
      </c>
      <c r="C403" s="62" t="s">
        <v>659</v>
      </c>
      <c r="D403" s="46">
        <v>183</v>
      </c>
      <c r="E403" s="2">
        <v>125</v>
      </c>
      <c r="F403" s="2">
        <f>602-(D403+E403)</f>
        <v>294</v>
      </c>
      <c r="G403" s="2">
        <f t="shared" si="78"/>
        <v>602</v>
      </c>
      <c r="H403" s="33">
        <f t="shared" si="79"/>
        <v>0.51162790697674421</v>
      </c>
    </row>
    <row r="404" spans="1:8" x14ac:dyDescent="0.2">
      <c r="A404" s="30">
        <v>13</v>
      </c>
      <c r="B404" s="31">
        <v>124</v>
      </c>
      <c r="C404" s="32" t="s">
        <v>75</v>
      </c>
      <c r="D404" s="46">
        <v>197</v>
      </c>
      <c r="E404" s="2">
        <v>52</v>
      </c>
      <c r="F404" s="2">
        <f>533-(D404+E404)</f>
        <v>284</v>
      </c>
      <c r="G404" s="2">
        <f t="shared" si="78"/>
        <v>533</v>
      </c>
      <c r="H404" s="33">
        <f t="shared" si="79"/>
        <v>0.46716697936210133</v>
      </c>
    </row>
    <row r="405" spans="1:8" x14ac:dyDescent="0.2">
      <c r="A405" s="30">
        <v>13</v>
      </c>
      <c r="B405" s="31">
        <v>128</v>
      </c>
      <c r="C405" s="32" t="s">
        <v>76</v>
      </c>
      <c r="D405" s="46">
        <v>209</v>
      </c>
      <c r="E405" s="2">
        <v>99</v>
      </c>
      <c r="F405" s="2">
        <f>748-(D405+E405)</f>
        <v>440</v>
      </c>
      <c r="G405" s="2">
        <f t="shared" si="78"/>
        <v>748</v>
      </c>
      <c r="H405" s="33">
        <f t="shared" si="79"/>
        <v>0.41176470588235292</v>
      </c>
    </row>
    <row r="406" spans="1:8" x14ac:dyDescent="0.2">
      <c r="A406" s="30">
        <v>13</v>
      </c>
      <c r="B406" s="31">
        <v>132</v>
      </c>
      <c r="C406" s="62" t="s">
        <v>660</v>
      </c>
      <c r="D406" s="46">
        <v>209</v>
      </c>
      <c r="E406" s="2">
        <v>80</v>
      </c>
      <c r="F406" s="2">
        <f>654-(D406+E406)</f>
        <v>365</v>
      </c>
      <c r="G406" s="2">
        <f t="shared" si="78"/>
        <v>654</v>
      </c>
      <c r="H406" s="33">
        <f t="shared" si="79"/>
        <v>0.44189602446483178</v>
      </c>
    </row>
    <row r="407" spans="1:8" x14ac:dyDescent="0.2">
      <c r="A407" s="30">
        <v>13</v>
      </c>
      <c r="B407" s="31">
        <v>136</v>
      </c>
      <c r="C407" s="62" t="s">
        <v>661</v>
      </c>
      <c r="D407" s="46">
        <v>229</v>
      </c>
      <c r="E407" s="2">
        <v>88</v>
      </c>
      <c r="F407" s="2">
        <f>521-(D407+E407)</f>
        <v>204</v>
      </c>
      <c r="G407" s="2">
        <f t="shared" si="78"/>
        <v>521</v>
      </c>
      <c r="H407" s="33">
        <f t="shared" si="79"/>
        <v>0.60844529750479848</v>
      </c>
    </row>
    <row r="408" spans="1:8" x14ac:dyDescent="0.2">
      <c r="A408" s="30">
        <v>13</v>
      </c>
      <c r="B408" s="31">
        <v>304</v>
      </c>
      <c r="C408" s="119" t="s">
        <v>77</v>
      </c>
      <c r="D408" s="46">
        <v>329</v>
      </c>
      <c r="E408" s="2">
        <v>87</v>
      </c>
      <c r="F408" s="2">
        <f>919-(D408+E408)</f>
        <v>503</v>
      </c>
      <c r="G408" s="2">
        <f t="shared" si="78"/>
        <v>919</v>
      </c>
      <c r="H408" s="33">
        <f t="shared" si="79"/>
        <v>0.45266594124047876</v>
      </c>
    </row>
    <row r="409" spans="1:8" x14ac:dyDescent="0.2">
      <c r="A409" s="30">
        <v>13</v>
      </c>
      <c r="B409" s="31">
        <v>306</v>
      </c>
      <c r="C409" s="32" t="s">
        <v>250</v>
      </c>
      <c r="D409" s="46">
        <v>310</v>
      </c>
      <c r="E409" s="2">
        <v>144</v>
      </c>
      <c r="F409" s="2">
        <f>869-(D409+E409)</f>
        <v>415</v>
      </c>
      <c r="G409" s="2">
        <f t="shared" si="78"/>
        <v>869</v>
      </c>
      <c r="H409" s="33">
        <f t="shared" si="79"/>
        <v>0.52243958573072502</v>
      </c>
    </row>
    <row r="410" spans="1:8" x14ac:dyDescent="0.2">
      <c r="A410" s="30">
        <v>13</v>
      </c>
      <c r="B410" s="31">
        <v>704</v>
      </c>
      <c r="C410" s="62" t="s">
        <v>657</v>
      </c>
      <c r="D410" s="46">
        <v>324</v>
      </c>
      <c r="E410" s="2">
        <v>92</v>
      </c>
      <c r="F410" s="2">
        <f>1196-(D410+E410)</f>
        <v>780</v>
      </c>
      <c r="G410" s="2">
        <f t="shared" si="78"/>
        <v>1196</v>
      </c>
      <c r="H410" s="33">
        <f t="shared" si="79"/>
        <v>0.34782608695652173</v>
      </c>
    </row>
    <row r="411" spans="1:8" x14ac:dyDescent="0.2">
      <c r="A411" s="30">
        <v>13</v>
      </c>
      <c r="B411" s="31">
        <v>712</v>
      </c>
      <c r="C411" s="32" t="s">
        <v>78</v>
      </c>
      <c r="D411" s="46">
        <v>343</v>
      </c>
      <c r="E411" s="2">
        <v>130</v>
      </c>
      <c r="F411" s="2">
        <f>1090-(D411+E411)</f>
        <v>617</v>
      </c>
      <c r="G411" s="2">
        <f t="shared" si="78"/>
        <v>1090</v>
      </c>
      <c r="H411" s="33">
        <f t="shared" si="79"/>
        <v>0.43394495412844036</v>
      </c>
    </row>
    <row r="412" spans="1:8" x14ac:dyDescent="0.2">
      <c r="A412" s="30">
        <v>13</v>
      </c>
      <c r="B412" s="30">
        <v>750</v>
      </c>
      <c r="C412" s="32" t="s">
        <v>226</v>
      </c>
      <c r="D412" s="2">
        <v>48</v>
      </c>
      <c r="E412" s="2">
        <v>3</v>
      </c>
      <c r="F412" s="2">
        <f>94-(D412+E412)</f>
        <v>43</v>
      </c>
      <c r="G412" s="2">
        <f t="shared" ref="G412" si="80">SUM(D412:F412)</f>
        <v>94</v>
      </c>
      <c r="H412" s="33">
        <f t="shared" ref="H412" si="81">+(D412+E412)/G412</f>
        <v>0.54255319148936165</v>
      </c>
    </row>
    <row r="413" spans="1:8" ht="13.5" thickBot="1" x14ac:dyDescent="0.25">
      <c r="A413" s="120" t="s">
        <v>917</v>
      </c>
      <c r="B413" s="39">
        <v>100</v>
      </c>
      <c r="C413" s="70" t="s">
        <v>987</v>
      </c>
      <c r="D413" s="90">
        <v>261</v>
      </c>
      <c r="E413" s="102">
        <v>66</v>
      </c>
      <c r="F413" s="2">
        <f>467-(D413+E413)</f>
        <v>140</v>
      </c>
      <c r="G413" s="102">
        <f t="shared" si="78"/>
        <v>467</v>
      </c>
      <c r="H413" s="43">
        <f t="shared" si="79"/>
        <v>0.70021413276231259</v>
      </c>
    </row>
    <row r="414" spans="1:8" ht="13.5" thickBot="1" x14ac:dyDescent="0.25">
      <c r="A414" s="34"/>
      <c r="B414" s="35">
        <f>COUNTA(B399:B413)</f>
        <v>15</v>
      </c>
      <c r="C414" s="36" t="s">
        <v>20</v>
      </c>
      <c r="D414" s="4">
        <f>SUM(D399:D413)</f>
        <v>3342</v>
      </c>
      <c r="E414" s="3">
        <f>SUM(E399:E413)</f>
        <v>1139</v>
      </c>
      <c r="F414" s="80">
        <f>SUM(F399:F413)</f>
        <v>4765</v>
      </c>
      <c r="G414" s="3">
        <f t="shared" si="78"/>
        <v>9246</v>
      </c>
      <c r="H414" s="37">
        <f t="shared" si="79"/>
        <v>0.48464200735453167</v>
      </c>
    </row>
    <row r="415" spans="1:8" x14ac:dyDescent="0.2">
      <c r="A415" s="38"/>
      <c r="B415" s="39"/>
      <c r="C415" s="40"/>
      <c r="D415" s="5"/>
      <c r="E415" s="42"/>
      <c r="F415" s="41"/>
      <c r="G415" s="42"/>
      <c r="H415" s="43"/>
    </row>
    <row r="416" spans="1:8" x14ac:dyDescent="0.2">
      <c r="A416" s="38"/>
      <c r="B416" s="39"/>
      <c r="C416" s="45" t="s">
        <v>79</v>
      </c>
      <c r="D416" s="5"/>
      <c r="E416" s="42"/>
      <c r="F416" s="41"/>
      <c r="G416" s="42"/>
      <c r="H416" s="43"/>
    </row>
    <row r="417" spans="1:8" x14ac:dyDescent="0.2">
      <c r="A417" s="30">
        <v>14</v>
      </c>
      <c r="B417" s="31">
        <v>109</v>
      </c>
      <c r="C417" s="62" t="s">
        <v>670</v>
      </c>
      <c r="D417" s="46">
        <v>165</v>
      </c>
      <c r="E417" s="2">
        <v>31</v>
      </c>
      <c r="F417" s="2">
        <f>789-(D417+E417)</f>
        <v>593</v>
      </c>
      <c r="G417" s="2">
        <f t="shared" ref="G417:G451" si="82">SUM(D417:F417)</f>
        <v>789</v>
      </c>
      <c r="H417" s="33">
        <f t="shared" ref="H417:H452" si="83">+(D417+E417)/G417</f>
        <v>0.24841571609632446</v>
      </c>
    </row>
    <row r="418" spans="1:8" x14ac:dyDescent="0.2">
      <c r="A418" s="30">
        <v>14</v>
      </c>
      <c r="B418" s="31">
        <v>111</v>
      </c>
      <c r="C418" s="62" t="s">
        <v>501</v>
      </c>
      <c r="D418" s="46">
        <v>389</v>
      </c>
      <c r="E418" s="2">
        <v>69</v>
      </c>
      <c r="F418" s="2">
        <f>731-(D418+E418)</f>
        <v>273</v>
      </c>
      <c r="G418" s="2">
        <f t="shared" si="82"/>
        <v>731</v>
      </c>
      <c r="H418" s="33">
        <f t="shared" si="83"/>
        <v>0.62653898768809846</v>
      </c>
    </row>
    <row r="419" spans="1:8" x14ac:dyDescent="0.2">
      <c r="A419" s="30">
        <v>14</v>
      </c>
      <c r="B419" s="31">
        <v>114</v>
      </c>
      <c r="C419" s="62" t="s">
        <v>691</v>
      </c>
      <c r="D419" s="46">
        <v>104</v>
      </c>
      <c r="E419" s="2">
        <v>54</v>
      </c>
      <c r="F419" s="2">
        <f>750-(D419+E419)</f>
        <v>592</v>
      </c>
      <c r="G419" s="2">
        <f>SUM(D419:F419)</f>
        <v>750</v>
      </c>
      <c r="H419" s="33">
        <f>+(D419+E419)/G419</f>
        <v>0.21066666666666667</v>
      </c>
    </row>
    <row r="420" spans="1:8" x14ac:dyDescent="0.2">
      <c r="A420" s="30">
        <v>14</v>
      </c>
      <c r="B420" s="31">
        <v>115</v>
      </c>
      <c r="C420" s="62" t="s">
        <v>675</v>
      </c>
      <c r="D420" s="46">
        <v>95</v>
      </c>
      <c r="E420" s="2">
        <v>33</v>
      </c>
      <c r="F420" s="2">
        <f>872-(D420+E420)</f>
        <v>744</v>
      </c>
      <c r="G420" s="2">
        <f>SUM(D420:F420)</f>
        <v>872</v>
      </c>
      <c r="H420" s="33">
        <f>+(D420+E420)/G420</f>
        <v>0.14678899082568808</v>
      </c>
    </row>
    <row r="421" spans="1:8" x14ac:dyDescent="0.2">
      <c r="A421" s="30">
        <v>14</v>
      </c>
      <c r="B421" s="31">
        <v>117</v>
      </c>
      <c r="C421" s="62" t="s">
        <v>697</v>
      </c>
      <c r="D421" s="46">
        <v>140</v>
      </c>
      <c r="E421" s="2">
        <v>31</v>
      </c>
      <c r="F421" s="2">
        <f>828-(D421+E421)</f>
        <v>657</v>
      </c>
      <c r="G421" s="2">
        <f t="shared" ref="G421" si="84">SUM(D421:F421)</f>
        <v>828</v>
      </c>
      <c r="H421" s="33">
        <f t="shared" ref="H421" si="85">+(D421+E421)/G421</f>
        <v>0.20652173913043478</v>
      </c>
    </row>
    <row r="422" spans="1:8" x14ac:dyDescent="0.2">
      <c r="A422" s="30">
        <v>14</v>
      </c>
      <c r="B422" s="31">
        <v>118</v>
      </c>
      <c r="C422" s="62" t="s">
        <v>676</v>
      </c>
      <c r="D422" s="46">
        <v>77</v>
      </c>
      <c r="E422" s="2">
        <v>16</v>
      </c>
      <c r="F422" s="2">
        <f>988-(D422+E422)</f>
        <v>895</v>
      </c>
      <c r="G422" s="2">
        <f t="shared" ref="G422" si="86">SUM(D422:F422)</f>
        <v>988</v>
      </c>
      <c r="H422" s="33">
        <f t="shared" ref="H422" si="87">+(D422+E422)/G422</f>
        <v>9.4129554655870445E-2</v>
      </c>
    </row>
    <row r="423" spans="1:8" x14ac:dyDescent="0.2">
      <c r="A423" s="30">
        <v>14</v>
      </c>
      <c r="B423" s="31">
        <v>119</v>
      </c>
      <c r="C423" s="62" t="s">
        <v>688</v>
      </c>
      <c r="D423" s="46">
        <v>167</v>
      </c>
      <c r="E423" s="2">
        <v>64</v>
      </c>
      <c r="F423" s="2">
        <f>1001-(D423+E423)</f>
        <v>770</v>
      </c>
      <c r="G423" s="2">
        <f>SUM(D423:F423)</f>
        <v>1001</v>
      </c>
      <c r="H423" s="33">
        <f>+(D423+E423)/G423</f>
        <v>0.23076923076923078</v>
      </c>
    </row>
    <row r="424" spans="1:8" x14ac:dyDescent="0.2">
      <c r="A424" s="30">
        <v>14</v>
      </c>
      <c r="B424" s="31">
        <v>121</v>
      </c>
      <c r="C424" s="62" t="s">
        <v>379</v>
      </c>
      <c r="D424" s="46">
        <v>116</v>
      </c>
      <c r="E424" s="2">
        <v>69</v>
      </c>
      <c r="F424" s="2">
        <f>782-(D424+E424)</f>
        <v>597</v>
      </c>
      <c r="G424" s="2">
        <f>SUM(D424:F424)</f>
        <v>782</v>
      </c>
      <c r="H424" s="33">
        <f>+(D424+E424)/G424</f>
        <v>0.23657289002557544</v>
      </c>
    </row>
    <row r="425" spans="1:8" ht="14.25" customHeight="1" x14ac:dyDescent="0.2">
      <c r="A425" s="30">
        <v>14</v>
      </c>
      <c r="B425" s="31">
        <v>126</v>
      </c>
      <c r="C425" s="62" t="s">
        <v>677</v>
      </c>
      <c r="D425" s="46">
        <v>79</v>
      </c>
      <c r="E425" s="2">
        <v>57</v>
      </c>
      <c r="F425" s="2">
        <f>692-(D425+E425)</f>
        <v>556</v>
      </c>
      <c r="G425" s="2">
        <f t="shared" si="82"/>
        <v>692</v>
      </c>
      <c r="H425" s="33">
        <f t="shared" si="83"/>
        <v>0.19653179190751446</v>
      </c>
    </row>
    <row r="426" spans="1:8" x14ac:dyDescent="0.2">
      <c r="A426" s="30">
        <v>14</v>
      </c>
      <c r="B426" s="31">
        <v>128</v>
      </c>
      <c r="C426" s="62" t="s">
        <v>678</v>
      </c>
      <c r="D426" s="46">
        <v>162</v>
      </c>
      <c r="E426" s="2">
        <v>74</v>
      </c>
      <c r="F426" s="2">
        <f>777-(D426+E426)</f>
        <v>541</v>
      </c>
      <c r="G426" s="2">
        <f t="shared" ref="G426" si="88">SUM(D426:F426)</f>
        <v>777</v>
      </c>
      <c r="H426" s="33">
        <f t="shared" ref="H426" si="89">+(D426+E426)/G426</f>
        <v>0.30373230373230375</v>
      </c>
    </row>
    <row r="427" spans="1:8" x14ac:dyDescent="0.2">
      <c r="A427" s="30">
        <v>14</v>
      </c>
      <c r="B427" s="31">
        <v>131</v>
      </c>
      <c r="C427" s="62" t="s">
        <v>680</v>
      </c>
      <c r="D427" s="46">
        <v>138</v>
      </c>
      <c r="E427" s="2">
        <v>55</v>
      </c>
      <c r="F427" s="2">
        <f>914-(D427+E427)</f>
        <v>721</v>
      </c>
      <c r="G427" s="2">
        <f t="shared" si="82"/>
        <v>914</v>
      </c>
      <c r="H427" s="33">
        <f t="shared" si="83"/>
        <v>0.21115973741794311</v>
      </c>
    </row>
    <row r="428" spans="1:8" x14ac:dyDescent="0.2">
      <c r="A428" s="30">
        <v>14</v>
      </c>
      <c r="B428" s="31">
        <v>132</v>
      </c>
      <c r="C428" s="62" t="s">
        <v>681</v>
      </c>
      <c r="D428" s="46">
        <v>362</v>
      </c>
      <c r="E428" s="2">
        <v>68</v>
      </c>
      <c r="F428" s="2">
        <f>755-(D428+E428)</f>
        <v>325</v>
      </c>
      <c r="G428" s="2">
        <f t="shared" si="82"/>
        <v>755</v>
      </c>
      <c r="H428" s="33">
        <f t="shared" si="83"/>
        <v>0.56953642384105962</v>
      </c>
    </row>
    <row r="429" spans="1:8" x14ac:dyDescent="0.2">
      <c r="A429" s="30">
        <v>14</v>
      </c>
      <c r="B429" s="31">
        <v>133</v>
      </c>
      <c r="C429" s="62" t="s">
        <v>685</v>
      </c>
      <c r="D429" s="46">
        <v>60</v>
      </c>
      <c r="E429" s="2">
        <v>31</v>
      </c>
      <c r="F429" s="2">
        <f>880-(D429+E429)</f>
        <v>789</v>
      </c>
      <c r="G429" s="2">
        <f t="shared" si="82"/>
        <v>880</v>
      </c>
      <c r="H429" s="33">
        <f t="shared" si="83"/>
        <v>0.10340909090909091</v>
      </c>
    </row>
    <row r="430" spans="1:8" x14ac:dyDescent="0.2">
      <c r="A430" s="30">
        <v>14</v>
      </c>
      <c r="B430" s="31">
        <v>134</v>
      </c>
      <c r="C430" s="62" t="s">
        <v>684</v>
      </c>
      <c r="D430" s="46">
        <v>130</v>
      </c>
      <c r="E430" s="2">
        <v>69</v>
      </c>
      <c r="F430" s="2">
        <f>677-(D430+E430)</f>
        <v>478</v>
      </c>
      <c r="G430" s="2">
        <f t="shared" si="82"/>
        <v>677</v>
      </c>
      <c r="H430" s="33">
        <f t="shared" si="83"/>
        <v>0.29394387001477107</v>
      </c>
    </row>
    <row r="431" spans="1:8" x14ac:dyDescent="0.2">
      <c r="A431" s="30">
        <v>14</v>
      </c>
      <c r="B431" s="31">
        <v>136</v>
      </c>
      <c r="C431" s="62" t="s">
        <v>682</v>
      </c>
      <c r="D431" s="46">
        <v>93</v>
      </c>
      <c r="E431" s="2">
        <v>59</v>
      </c>
      <c r="F431" s="2">
        <f>982-(D431+E431)</f>
        <v>830</v>
      </c>
      <c r="G431" s="2">
        <f t="shared" si="82"/>
        <v>982</v>
      </c>
      <c r="H431" s="33">
        <f t="shared" si="83"/>
        <v>0.15478615071283094</v>
      </c>
    </row>
    <row r="432" spans="1:8" x14ac:dyDescent="0.2">
      <c r="A432" s="30">
        <v>14</v>
      </c>
      <c r="B432" s="31">
        <v>138</v>
      </c>
      <c r="C432" s="62" t="s">
        <v>687</v>
      </c>
      <c r="D432" s="46">
        <v>245</v>
      </c>
      <c r="E432" s="2">
        <v>30</v>
      </c>
      <c r="F432" s="2">
        <f>365-(D432+E432)</f>
        <v>90</v>
      </c>
      <c r="G432" s="2">
        <f t="shared" si="82"/>
        <v>365</v>
      </c>
      <c r="H432" s="33">
        <f t="shared" si="83"/>
        <v>0.75342465753424659</v>
      </c>
    </row>
    <row r="433" spans="1:8" x14ac:dyDescent="0.2">
      <c r="A433" s="30">
        <v>14</v>
      </c>
      <c r="B433" s="31">
        <v>145</v>
      </c>
      <c r="C433" s="62" t="s">
        <v>690</v>
      </c>
      <c r="D433" s="46">
        <v>184</v>
      </c>
      <c r="E433" s="2">
        <v>83</v>
      </c>
      <c r="F433" s="2">
        <f>778-(D433+E433)</f>
        <v>511</v>
      </c>
      <c r="G433" s="2">
        <f t="shared" si="82"/>
        <v>778</v>
      </c>
      <c r="H433" s="33">
        <f t="shared" si="83"/>
        <v>0.34318766066838047</v>
      </c>
    </row>
    <row r="434" spans="1:8" x14ac:dyDescent="0.2">
      <c r="A434" s="30">
        <v>14</v>
      </c>
      <c r="B434" s="31">
        <v>146</v>
      </c>
      <c r="C434" s="62" t="s">
        <v>689</v>
      </c>
      <c r="D434" s="46">
        <v>74</v>
      </c>
      <c r="E434" s="2">
        <v>27</v>
      </c>
      <c r="F434" s="2">
        <f>895-(D434+E434)</f>
        <v>794</v>
      </c>
      <c r="G434" s="2">
        <f t="shared" si="82"/>
        <v>895</v>
      </c>
      <c r="H434" s="33">
        <f t="shared" si="83"/>
        <v>0.11284916201117319</v>
      </c>
    </row>
    <row r="435" spans="1:8" x14ac:dyDescent="0.2">
      <c r="A435" s="30">
        <v>14</v>
      </c>
      <c r="B435" s="31">
        <v>147</v>
      </c>
      <c r="C435" s="62" t="s">
        <v>692</v>
      </c>
      <c r="D435" s="46">
        <v>330</v>
      </c>
      <c r="E435" s="2">
        <v>87</v>
      </c>
      <c r="F435" s="2">
        <f>769-(D435+E435)</f>
        <v>352</v>
      </c>
      <c r="G435" s="2">
        <f t="shared" si="82"/>
        <v>769</v>
      </c>
      <c r="H435" s="33">
        <f t="shared" si="83"/>
        <v>0.5422626788036411</v>
      </c>
    </row>
    <row r="436" spans="1:8" x14ac:dyDescent="0.2">
      <c r="A436" s="30">
        <v>14</v>
      </c>
      <c r="B436" s="31">
        <v>152</v>
      </c>
      <c r="C436" s="62" t="s">
        <v>694</v>
      </c>
      <c r="D436" s="46">
        <v>138</v>
      </c>
      <c r="E436" s="2">
        <v>48</v>
      </c>
      <c r="F436" s="2">
        <f>810-(D436+E436)</f>
        <v>624</v>
      </c>
      <c r="G436" s="2">
        <f t="shared" si="82"/>
        <v>810</v>
      </c>
      <c r="H436" s="33">
        <f t="shared" si="83"/>
        <v>0.22962962962962963</v>
      </c>
    </row>
    <row r="437" spans="1:8" x14ac:dyDescent="0.2">
      <c r="A437" s="30">
        <v>14</v>
      </c>
      <c r="B437" s="31">
        <v>153</v>
      </c>
      <c r="C437" s="62" t="s">
        <v>693</v>
      </c>
      <c r="D437" s="46">
        <v>267</v>
      </c>
      <c r="E437" s="2">
        <v>56</v>
      </c>
      <c r="F437" s="2">
        <f>816-(D437+E437)</f>
        <v>493</v>
      </c>
      <c r="G437" s="2">
        <f t="shared" si="82"/>
        <v>816</v>
      </c>
      <c r="H437" s="33">
        <f t="shared" si="83"/>
        <v>0.39583333333333331</v>
      </c>
    </row>
    <row r="438" spans="1:8" x14ac:dyDescent="0.2">
      <c r="A438" s="30">
        <v>14</v>
      </c>
      <c r="B438" s="31">
        <v>157</v>
      </c>
      <c r="C438" s="62" t="s">
        <v>695</v>
      </c>
      <c r="D438" s="46">
        <v>100</v>
      </c>
      <c r="E438" s="2">
        <v>43</v>
      </c>
      <c r="F438" s="2">
        <f>679-(D438+E438)</f>
        <v>536</v>
      </c>
      <c r="G438" s="2">
        <f t="shared" si="82"/>
        <v>679</v>
      </c>
      <c r="H438" s="33">
        <f t="shared" si="83"/>
        <v>0.21060382916053019</v>
      </c>
    </row>
    <row r="439" spans="1:8" x14ac:dyDescent="0.2">
      <c r="A439" s="30">
        <v>14</v>
      </c>
      <c r="B439" s="31">
        <v>160</v>
      </c>
      <c r="C439" s="62" t="s">
        <v>698</v>
      </c>
      <c r="D439" s="46">
        <v>138</v>
      </c>
      <c r="E439" s="2">
        <v>24</v>
      </c>
      <c r="F439" s="2">
        <f>923-(D439+E439)</f>
        <v>761</v>
      </c>
      <c r="G439" s="2">
        <f t="shared" ref="G439" si="90">SUM(D439:F439)</f>
        <v>923</v>
      </c>
      <c r="H439" s="33">
        <f t="shared" ref="H439" si="91">+(D439+E439)/G439</f>
        <v>0.17551462621885158</v>
      </c>
    </row>
    <row r="440" spans="1:8" x14ac:dyDescent="0.2">
      <c r="A440" s="30">
        <v>14</v>
      </c>
      <c r="B440" s="31">
        <v>161</v>
      </c>
      <c r="C440" s="62" t="s">
        <v>699</v>
      </c>
      <c r="D440" s="46">
        <v>78</v>
      </c>
      <c r="E440" s="2">
        <v>24</v>
      </c>
      <c r="F440" s="2">
        <f>734-(D440+E440)</f>
        <v>632</v>
      </c>
      <c r="G440" s="2">
        <f t="shared" si="82"/>
        <v>734</v>
      </c>
      <c r="H440" s="33">
        <f t="shared" si="83"/>
        <v>0.13896457765667575</v>
      </c>
    </row>
    <row r="441" spans="1:8" x14ac:dyDescent="0.2">
      <c r="A441" s="30">
        <v>14</v>
      </c>
      <c r="B441" s="31">
        <v>162</v>
      </c>
      <c r="C441" s="62" t="s">
        <v>700</v>
      </c>
      <c r="D441" s="46">
        <v>145</v>
      </c>
      <c r="E441" s="2">
        <v>63</v>
      </c>
      <c r="F441" s="2">
        <f>575-(D441+E441)</f>
        <v>367</v>
      </c>
      <c r="G441" s="2">
        <f t="shared" si="82"/>
        <v>575</v>
      </c>
      <c r="H441" s="33">
        <f t="shared" si="83"/>
        <v>0.36173913043478262</v>
      </c>
    </row>
    <row r="442" spans="1:8" x14ac:dyDescent="0.2">
      <c r="A442" s="30">
        <v>14</v>
      </c>
      <c r="B442" s="31">
        <v>163</v>
      </c>
      <c r="C442" s="62" t="s">
        <v>696</v>
      </c>
      <c r="D442" s="46">
        <v>107</v>
      </c>
      <c r="E442" s="2">
        <v>42</v>
      </c>
      <c r="F442" s="2">
        <f>848-(D442+E442)</f>
        <v>699</v>
      </c>
      <c r="G442" s="2">
        <f t="shared" si="82"/>
        <v>848</v>
      </c>
      <c r="H442" s="33">
        <f t="shared" si="83"/>
        <v>0.17570754716981132</v>
      </c>
    </row>
    <row r="443" spans="1:8" x14ac:dyDescent="0.2">
      <c r="A443" s="30">
        <v>14</v>
      </c>
      <c r="B443" s="31">
        <v>167</v>
      </c>
      <c r="C443" s="62" t="s">
        <v>702</v>
      </c>
      <c r="D443" s="46">
        <v>113</v>
      </c>
      <c r="E443" s="2">
        <v>29</v>
      </c>
      <c r="F443" s="2">
        <f>893-(D443+E443)</f>
        <v>751</v>
      </c>
      <c r="G443" s="2">
        <f t="shared" si="82"/>
        <v>893</v>
      </c>
      <c r="H443" s="33">
        <f t="shared" si="83"/>
        <v>0.15901455767077269</v>
      </c>
    </row>
    <row r="444" spans="1:8" x14ac:dyDescent="0.2">
      <c r="A444" s="30">
        <v>14</v>
      </c>
      <c r="B444" s="31">
        <v>168</v>
      </c>
      <c r="C444" s="62" t="s">
        <v>703</v>
      </c>
      <c r="D444" s="46">
        <v>155</v>
      </c>
      <c r="E444" s="2">
        <v>43</v>
      </c>
      <c r="F444" s="2">
        <f>576-(D444+E444)</f>
        <v>378</v>
      </c>
      <c r="G444" s="2">
        <f t="shared" si="82"/>
        <v>576</v>
      </c>
      <c r="H444" s="33">
        <f t="shared" si="83"/>
        <v>0.34375</v>
      </c>
    </row>
    <row r="445" spans="1:8" x14ac:dyDescent="0.2">
      <c r="A445" s="30">
        <v>14</v>
      </c>
      <c r="B445" s="31">
        <v>169</v>
      </c>
      <c r="C445" s="62" t="s">
        <v>705</v>
      </c>
      <c r="D445" s="46">
        <v>195</v>
      </c>
      <c r="E445" s="2">
        <v>46</v>
      </c>
      <c r="F445" s="2">
        <f>707-(D445+E445)</f>
        <v>466</v>
      </c>
      <c r="G445" s="2">
        <f t="shared" si="82"/>
        <v>707</v>
      </c>
      <c r="H445" s="33">
        <f t="shared" si="83"/>
        <v>0.34087694483734088</v>
      </c>
    </row>
    <row r="446" spans="1:8" x14ac:dyDescent="0.2">
      <c r="A446" s="30">
        <v>14</v>
      </c>
      <c r="B446" s="31">
        <v>170</v>
      </c>
      <c r="C446" s="62" t="s">
        <v>704</v>
      </c>
      <c r="D446" s="46">
        <v>142</v>
      </c>
      <c r="E446" s="2">
        <v>46</v>
      </c>
      <c r="F446" s="2">
        <f>889-(D446+E446)</f>
        <v>701</v>
      </c>
      <c r="G446" s="2">
        <f t="shared" ref="G446" si="92">SUM(D446:F446)</f>
        <v>889</v>
      </c>
      <c r="H446" s="33">
        <f t="shared" ref="H446" si="93">+(D446+E446)/G446</f>
        <v>0.21147356580427445</v>
      </c>
    </row>
    <row r="447" spans="1:8" x14ac:dyDescent="0.2">
      <c r="A447" s="30">
        <v>14</v>
      </c>
      <c r="B447" s="31">
        <v>175</v>
      </c>
      <c r="C447" s="62" t="s">
        <v>672</v>
      </c>
      <c r="D447" s="46">
        <v>221</v>
      </c>
      <c r="E447" s="2">
        <v>45</v>
      </c>
      <c r="F447" s="2">
        <f>736-(D447+E447)</f>
        <v>470</v>
      </c>
      <c r="G447" s="2">
        <f>SUM(D447:F447)</f>
        <v>736</v>
      </c>
      <c r="H447" s="33">
        <f>+(D447+E447)/G447</f>
        <v>0.36141304347826086</v>
      </c>
    </row>
    <row r="448" spans="1:8" x14ac:dyDescent="0.2">
      <c r="A448" s="30">
        <v>14</v>
      </c>
      <c r="B448" s="31">
        <v>176</v>
      </c>
      <c r="C448" s="62" t="s">
        <v>679</v>
      </c>
      <c r="D448" s="46">
        <v>77</v>
      </c>
      <c r="E448" s="2">
        <v>24</v>
      </c>
      <c r="F448" s="2">
        <f>937-(D448+E448)</f>
        <v>836</v>
      </c>
      <c r="G448" s="2">
        <f>SUM(D448:F448)</f>
        <v>937</v>
      </c>
      <c r="H448" s="33">
        <f>+(D448+E448)/G448</f>
        <v>0.10779082177161152</v>
      </c>
    </row>
    <row r="449" spans="1:8" x14ac:dyDescent="0.2">
      <c r="A449" s="30">
        <v>14</v>
      </c>
      <c r="B449" s="31">
        <v>177</v>
      </c>
      <c r="C449" s="62" t="s">
        <v>671</v>
      </c>
      <c r="D449" s="46">
        <v>126</v>
      </c>
      <c r="E449" s="2">
        <v>51</v>
      </c>
      <c r="F449" s="2">
        <f>1117-(D449+E449)</f>
        <v>940</v>
      </c>
      <c r="G449" s="2">
        <f>SUM(D449:F449)</f>
        <v>1117</v>
      </c>
      <c r="H449" s="33">
        <f>+(D449+E449)/G449</f>
        <v>0.15846016114592659</v>
      </c>
    </row>
    <row r="450" spans="1:8" x14ac:dyDescent="0.2">
      <c r="A450" s="30">
        <v>14</v>
      </c>
      <c r="B450" s="31">
        <v>406</v>
      </c>
      <c r="C450" s="62" t="s">
        <v>683</v>
      </c>
      <c r="D450" s="46">
        <v>265</v>
      </c>
      <c r="E450" s="2">
        <v>56</v>
      </c>
      <c r="F450" s="2">
        <f>794-(D450+E450)</f>
        <v>473</v>
      </c>
      <c r="G450" s="2">
        <f t="shared" si="82"/>
        <v>794</v>
      </c>
      <c r="H450" s="33">
        <f t="shared" si="83"/>
        <v>0.40428211586901763</v>
      </c>
    </row>
    <row r="451" spans="1:8" x14ac:dyDescent="0.2">
      <c r="A451" s="30">
        <v>1</v>
      </c>
      <c r="B451" s="31">
        <v>409</v>
      </c>
      <c r="C451" s="32" t="s">
        <v>86</v>
      </c>
      <c r="D451" s="46">
        <v>134</v>
      </c>
      <c r="E451" s="2">
        <v>77</v>
      </c>
      <c r="F451" s="2">
        <f>1193-(D451+E451)</f>
        <v>982</v>
      </c>
      <c r="G451" s="2">
        <f t="shared" si="82"/>
        <v>1193</v>
      </c>
      <c r="H451" s="33">
        <f t="shared" si="83"/>
        <v>0.1768650461022632</v>
      </c>
    </row>
    <row r="452" spans="1:8" x14ac:dyDescent="0.2">
      <c r="A452" s="30">
        <v>14</v>
      </c>
      <c r="B452" s="31">
        <v>411</v>
      </c>
      <c r="C452" s="32" t="s">
        <v>88</v>
      </c>
      <c r="D452" s="46">
        <v>166</v>
      </c>
      <c r="E452" s="2">
        <v>49</v>
      </c>
      <c r="F452" s="2">
        <f>1541-(D452+E452)</f>
        <v>1326</v>
      </c>
      <c r="G452" s="2">
        <f t="shared" ref="G452:G468" si="94">SUM(D452:F452)</f>
        <v>1541</v>
      </c>
      <c r="H452" s="33">
        <f t="shared" si="83"/>
        <v>0.13951979234263465</v>
      </c>
    </row>
    <row r="453" spans="1:8" x14ac:dyDescent="0.2">
      <c r="A453" s="30">
        <v>14</v>
      </c>
      <c r="B453" s="31">
        <v>412</v>
      </c>
      <c r="C453" s="32" t="s">
        <v>89</v>
      </c>
      <c r="D453" s="46">
        <v>397</v>
      </c>
      <c r="E453" s="2">
        <v>82</v>
      </c>
      <c r="F453" s="2">
        <f>955-(D453+E453)</f>
        <v>476</v>
      </c>
      <c r="G453" s="2">
        <f t="shared" si="94"/>
        <v>955</v>
      </c>
      <c r="H453" s="33">
        <f t="shared" ref="H453:H466" si="95">+(D453+E453)/G453</f>
        <v>0.50157068062827226</v>
      </c>
    </row>
    <row r="454" spans="1:8" x14ac:dyDescent="0.2">
      <c r="A454" s="30">
        <v>14</v>
      </c>
      <c r="B454" s="31">
        <v>413</v>
      </c>
      <c r="C454" s="32" t="s">
        <v>90</v>
      </c>
      <c r="D454" s="46">
        <v>201</v>
      </c>
      <c r="E454" s="2">
        <v>66</v>
      </c>
      <c r="F454" s="2">
        <f>1534-(D454+E454)</f>
        <v>1267</v>
      </c>
      <c r="G454" s="2">
        <f t="shared" si="94"/>
        <v>1534</v>
      </c>
      <c r="H454" s="33">
        <f t="shared" si="95"/>
        <v>0.17405475880052151</v>
      </c>
    </row>
    <row r="455" spans="1:8" x14ac:dyDescent="0.2">
      <c r="A455" s="30">
        <v>14</v>
      </c>
      <c r="B455" s="31">
        <v>414</v>
      </c>
      <c r="C455" s="32" t="s">
        <v>91</v>
      </c>
      <c r="D455" s="46">
        <v>331</v>
      </c>
      <c r="E455" s="2">
        <v>78</v>
      </c>
      <c r="F455" s="2">
        <f>1310-(D455+E455)</f>
        <v>901</v>
      </c>
      <c r="G455" s="2">
        <f t="shared" si="94"/>
        <v>1310</v>
      </c>
      <c r="H455" s="33">
        <f t="shared" si="95"/>
        <v>0.31221374045801525</v>
      </c>
    </row>
    <row r="456" spans="1:8" x14ac:dyDescent="0.2">
      <c r="A456" s="30">
        <v>14</v>
      </c>
      <c r="B456" s="31">
        <v>415</v>
      </c>
      <c r="C456" s="32" t="s">
        <v>92</v>
      </c>
      <c r="D456" s="46">
        <v>178</v>
      </c>
      <c r="E456" s="2">
        <v>59</v>
      </c>
      <c r="F456" s="2">
        <f>1171-(D456+E456)</f>
        <v>934</v>
      </c>
      <c r="G456" s="2">
        <f t="shared" si="94"/>
        <v>1171</v>
      </c>
      <c r="H456" s="33">
        <f t="shared" si="95"/>
        <v>0.20239111870196413</v>
      </c>
    </row>
    <row r="457" spans="1:8" x14ac:dyDescent="0.2">
      <c r="A457" s="30">
        <v>14</v>
      </c>
      <c r="B457" s="31">
        <v>416</v>
      </c>
      <c r="C457" s="32" t="s">
        <v>238</v>
      </c>
      <c r="D457" s="46">
        <v>296</v>
      </c>
      <c r="E457" s="2">
        <v>127</v>
      </c>
      <c r="F457" s="2">
        <f>1496-(D457+E457)</f>
        <v>1073</v>
      </c>
      <c r="G457" s="2">
        <f>SUM(D457:F457)</f>
        <v>1496</v>
      </c>
      <c r="H457" s="33">
        <f>+(D457+E457)/G457</f>
        <v>0.28275401069518719</v>
      </c>
    </row>
    <row r="458" spans="1:8" x14ac:dyDescent="0.2">
      <c r="A458" s="30">
        <v>14</v>
      </c>
      <c r="B458" s="31">
        <v>417</v>
      </c>
      <c r="C458" s="32" t="s">
        <v>239</v>
      </c>
      <c r="D458" s="46">
        <v>218</v>
      </c>
      <c r="E458" s="2">
        <v>79</v>
      </c>
      <c r="F458" s="2">
        <f>1478-(D458+E458)</f>
        <v>1181</v>
      </c>
      <c r="G458" s="2">
        <f>SUM(D458:F458)</f>
        <v>1478</v>
      </c>
      <c r="H458" s="33">
        <f>+(D458+E458)/G458</f>
        <v>0.20094722598105549</v>
      </c>
    </row>
    <row r="459" spans="1:8" x14ac:dyDescent="0.2">
      <c r="A459" s="30">
        <v>14</v>
      </c>
      <c r="B459" s="31">
        <v>703</v>
      </c>
      <c r="C459" s="32" t="s">
        <v>94</v>
      </c>
      <c r="D459" s="46">
        <v>436</v>
      </c>
      <c r="E459" s="2">
        <v>171</v>
      </c>
      <c r="F459" s="2">
        <f>2402-(D459+E459)</f>
        <v>1795</v>
      </c>
      <c r="G459" s="2">
        <f t="shared" si="94"/>
        <v>2402</v>
      </c>
      <c r="H459" s="33">
        <f t="shared" si="95"/>
        <v>0.25270607826810992</v>
      </c>
    </row>
    <row r="460" spans="1:8" x14ac:dyDescent="0.2">
      <c r="A460" s="30">
        <v>14</v>
      </c>
      <c r="B460" s="31">
        <v>704</v>
      </c>
      <c r="C460" s="32" t="s">
        <v>95</v>
      </c>
      <c r="D460" s="46">
        <v>221</v>
      </c>
      <c r="E460" s="2">
        <v>73</v>
      </c>
      <c r="F460" s="2">
        <f>2394-(D460+E460)</f>
        <v>2100</v>
      </c>
      <c r="G460" s="2">
        <f t="shared" si="94"/>
        <v>2394</v>
      </c>
      <c r="H460" s="33">
        <f t="shared" si="95"/>
        <v>0.12280701754385964</v>
      </c>
    </row>
    <row r="461" spans="1:8" x14ac:dyDescent="0.2">
      <c r="A461" s="30">
        <v>14</v>
      </c>
      <c r="B461" s="31">
        <v>707</v>
      </c>
      <c r="C461" s="62" t="s">
        <v>957</v>
      </c>
      <c r="D461" s="46">
        <v>283</v>
      </c>
      <c r="E461" s="2">
        <v>79</v>
      </c>
      <c r="F461" s="2">
        <f>2186-(D461+E461)</f>
        <v>1824</v>
      </c>
      <c r="G461" s="2">
        <f t="shared" ref="G461" si="96">SUM(D461:F461)</f>
        <v>2186</v>
      </c>
      <c r="H461" s="33">
        <f t="shared" si="95"/>
        <v>0.1655992680695334</v>
      </c>
    </row>
    <row r="462" spans="1:8" x14ac:dyDescent="0.2">
      <c r="A462" s="30">
        <v>14</v>
      </c>
      <c r="B462" s="31">
        <v>710</v>
      </c>
      <c r="C462" s="32" t="s">
        <v>99</v>
      </c>
      <c r="D462" s="46">
        <v>203</v>
      </c>
      <c r="E462" s="2">
        <v>103</v>
      </c>
      <c r="F462" s="2">
        <f>2040-(D462+E462)</f>
        <v>1734</v>
      </c>
      <c r="G462" s="2">
        <f t="shared" si="94"/>
        <v>2040</v>
      </c>
      <c r="H462" s="33">
        <f t="shared" si="95"/>
        <v>0.15</v>
      </c>
    </row>
    <row r="463" spans="1:8" x14ac:dyDescent="0.2">
      <c r="A463" s="30">
        <v>14</v>
      </c>
      <c r="B463" s="31">
        <v>716</v>
      </c>
      <c r="C463" s="62" t="s">
        <v>701</v>
      </c>
      <c r="D463" s="46">
        <v>112</v>
      </c>
      <c r="E463" s="2">
        <v>9</v>
      </c>
      <c r="F463" s="2">
        <f>587-(D463+E463)</f>
        <v>466</v>
      </c>
      <c r="G463" s="2">
        <f t="shared" ref="G463" si="97">SUM(D463:F463)</f>
        <v>587</v>
      </c>
      <c r="H463" s="33">
        <f t="shared" ref="H463" si="98">+(D463+E463)/G463</f>
        <v>0.20613287904599659</v>
      </c>
    </row>
    <row r="464" spans="1:8" x14ac:dyDescent="0.2">
      <c r="A464" s="30">
        <v>14</v>
      </c>
      <c r="B464" s="31">
        <v>718</v>
      </c>
      <c r="C464" s="32" t="s">
        <v>100</v>
      </c>
      <c r="D464" s="46">
        <v>544</v>
      </c>
      <c r="E464" s="2">
        <v>136</v>
      </c>
      <c r="F464" s="2">
        <f>1746-(D464+E464)</f>
        <v>1066</v>
      </c>
      <c r="G464" s="2">
        <f t="shared" si="94"/>
        <v>1746</v>
      </c>
      <c r="H464" s="33">
        <f t="shared" si="95"/>
        <v>0.38946162657502864</v>
      </c>
    </row>
    <row r="465" spans="1:8" x14ac:dyDescent="0.2">
      <c r="A465" s="30">
        <v>14</v>
      </c>
      <c r="B465" s="31">
        <v>741</v>
      </c>
      <c r="C465" s="62" t="s">
        <v>1036</v>
      </c>
      <c r="D465" s="46">
        <v>10</v>
      </c>
      <c r="E465" s="2">
        <v>1</v>
      </c>
      <c r="F465" s="2">
        <f>45-(D465+E465)</f>
        <v>34</v>
      </c>
      <c r="G465" s="2">
        <f t="shared" ref="G465" si="99">SUM(D465:F465)</f>
        <v>45</v>
      </c>
      <c r="H465" s="33">
        <f t="shared" ref="H465" si="100">+(D465+E465)/G465</f>
        <v>0.24444444444444444</v>
      </c>
    </row>
    <row r="466" spans="1:8" x14ac:dyDescent="0.2">
      <c r="A466" s="30">
        <v>14</v>
      </c>
      <c r="B466" s="31">
        <v>802</v>
      </c>
      <c r="C466" s="32" t="s">
        <v>101</v>
      </c>
      <c r="D466" s="46">
        <v>51</v>
      </c>
      <c r="E466" s="2">
        <v>2</v>
      </c>
      <c r="F466" s="2">
        <f>127-(D466+E466)</f>
        <v>74</v>
      </c>
      <c r="G466" s="2">
        <f t="shared" si="94"/>
        <v>127</v>
      </c>
      <c r="H466" s="33">
        <f t="shared" si="95"/>
        <v>0.41732283464566927</v>
      </c>
    </row>
    <row r="467" spans="1:8" x14ac:dyDescent="0.2">
      <c r="A467" s="30">
        <v>14</v>
      </c>
      <c r="B467" s="31">
        <v>810</v>
      </c>
      <c r="C467" s="62" t="s">
        <v>686</v>
      </c>
      <c r="D467" s="46">
        <v>51</v>
      </c>
      <c r="E467" s="2">
        <v>5</v>
      </c>
      <c r="F467" s="2">
        <f>173-(D467+E467)</f>
        <v>117</v>
      </c>
      <c r="G467" s="2">
        <f t="shared" ref="G467" si="101">SUM(D467:F467)</f>
        <v>173</v>
      </c>
      <c r="H467" s="33">
        <f>+(D467+E467)/G467</f>
        <v>0.32369942196531792</v>
      </c>
    </row>
    <row r="468" spans="1:8" ht="13.5" thickBot="1" x14ac:dyDescent="0.25">
      <c r="A468" s="30">
        <v>14</v>
      </c>
      <c r="B468" s="31">
        <v>998</v>
      </c>
      <c r="C468" s="62" t="s">
        <v>429</v>
      </c>
      <c r="D468" s="46">
        <v>27</v>
      </c>
      <c r="E468" s="2">
        <v>16</v>
      </c>
      <c r="F468" s="2">
        <f>252-(D468+E468)</f>
        <v>209</v>
      </c>
      <c r="G468" s="2">
        <f t="shared" si="94"/>
        <v>252</v>
      </c>
      <c r="H468" s="33">
        <f>+(D468+E468)/G468</f>
        <v>0.17063492063492064</v>
      </c>
    </row>
    <row r="469" spans="1:8" ht="13.5" thickBot="1" x14ac:dyDescent="0.25">
      <c r="A469" s="34"/>
      <c r="B469" s="35">
        <f>COUNTA(B417:B468)</f>
        <v>52</v>
      </c>
      <c r="C469" s="36" t="s">
        <v>20</v>
      </c>
      <c r="D469" s="4">
        <f>SUM(D417:D468)</f>
        <v>9236</v>
      </c>
      <c r="E469" s="3">
        <f>SUM(E417:E468)</f>
        <v>2859</v>
      </c>
      <c r="F469" s="80">
        <f>SUM(F417:F468)</f>
        <v>37794</v>
      </c>
      <c r="G469" s="3">
        <f>SUM(D469:F469)</f>
        <v>49889</v>
      </c>
      <c r="H469" s="37">
        <f>+(D469+E469)/G469</f>
        <v>0.24243821283248812</v>
      </c>
    </row>
    <row r="470" spans="1:8" x14ac:dyDescent="0.2">
      <c r="A470" s="38"/>
      <c r="B470" s="39"/>
      <c r="C470" s="40"/>
      <c r="D470" s="5"/>
      <c r="E470" s="42"/>
      <c r="F470" s="41"/>
      <c r="G470" s="42"/>
      <c r="H470" s="43"/>
    </row>
    <row r="471" spans="1:8" x14ac:dyDescent="0.2">
      <c r="A471" s="38"/>
      <c r="B471" s="39"/>
      <c r="C471" s="45" t="s">
        <v>102</v>
      </c>
      <c r="D471" s="6"/>
      <c r="E471" s="42"/>
      <c r="F471" s="116"/>
      <c r="G471" s="42"/>
      <c r="H471" s="43"/>
    </row>
    <row r="472" spans="1:8" x14ac:dyDescent="0.2">
      <c r="A472" s="30">
        <v>15</v>
      </c>
      <c r="B472" s="31">
        <v>110</v>
      </c>
      <c r="C472" s="62" t="s">
        <v>662</v>
      </c>
      <c r="D472" s="46">
        <v>126</v>
      </c>
      <c r="E472" s="118">
        <v>41</v>
      </c>
      <c r="F472" s="2">
        <f>357-(D472+E472)</f>
        <v>190</v>
      </c>
      <c r="G472" s="2">
        <f t="shared" ref="G472:G477" si="102">SUM(D472:F472)</f>
        <v>357</v>
      </c>
      <c r="H472" s="33">
        <f t="shared" ref="H472:H477" si="103">+(D472+E472)/G472</f>
        <v>0.46778711484593838</v>
      </c>
    </row>
    <row r="473" spans="1:8" x14ac:dyDescent="0.2">
      <c r="A473" s="30">
        <v>15</v>
      </c>
      <c r="B473" s="31">
        <v>112</v>
      </c>
      <c r="C473" s="62" t="s">
        <v>664</v>
      </c>
      <c r="D473" s="46">
        <v>147</v>
      </c>
      <c r="E473" s="118">
        <v>82</v>
      </c>
      <c r="F473" s="2">
        <f>450-(D473+E473)</f>
        <v>221</v>
      </c>
      <c r="G473" s="2">
        <f t="shared" si="102"/>
        <v>450</v>
      </c>
      <c r="H473" s="33">
        <f t="shared" si="103"/>
        <v>0.50888888888888884</v>
      </c>
    </row>
    <row r="474" spans="1:8" x14ac:dyDescent="0.2">
      <c r="A474" s="30">
        <v>15</v>
      </c>
      <c r="B474" s="31">
        <v>112</v>
      </c>
      <c r="C474" s="62" t="s">
        <v>663</v>
      </c>
      <c r="D474" s="46">
        <v>72</v>
      </c>
      <c r="E474" s="118">
        <v>41</v>
      </c>
      <c r="F474" s="2">
        <f>288-(D474+E474)</f>
        <v>175</v>
      </c>
      <c r="G474" s="2">
        <f t="shared" si="102"/>
        <v>288</v>
      </c>
      <c r="H474" s="33">
        <f t="shared" si="103"/>
        <v>0.3923611111111111</v>
      </c>
    </row>
    <row r="475" spans="1:8" x14ac:dyDescent="0.2">
      <c r="A475" s="30">
        <v>15</v>
      </c>
      <c r="B475" s="31">
        <v>304</v>
      </c>
      <c r="C475" s="32" t="s">
        <v>240</v>
      </c>
      <c r="D475" s="46">
        <v>96</v>
      </c>
      <c r="E475" s="118">
        <v>42</v>
      </c>
      <c r="F475" s="2">
        <f>374-(D475+E475)</f>
        <v>236</v>
      </c>
      <c r="G475" s="2">
        <f t="shared" si="102"/>
        <v>374</v>
      </c>
      <c r="H475" s="33">
        <f t="shared" si="103"/>
        <v>0.36898395721925131</v>
      </c>
    </row>
    <row r="476" spans="1:8" ht="13.5" thickBot="1" x14ac:dyDescent="0.25">
      <c r="A476" s="38">
        <v>15</v>
      </c>
      <c r="B476" s="39">
        <v>704</v>
      </c>
      <c r="C476" s="40" t="s">
        <v>103</v>
      </c>
      <c r="D476" s="46">
        <v>175</v>
      </c>
      <c r="E476" s="117">
        <v>79</v>
      </c>
      <c r="F476" s="2">
        <f>680-(D476+E476)</f>
        <v>426</v>
      </c>
      <c r="G476" s="2">
        <f t="shared" si="102"/>
        <v>680</v>
      </c>
      <c r="H476" s="43">
        <f t="shared" si="103"/>
        <v>0.37352941176470589</v>
      </c>
    </row>
    <row r="477" spans="1:8" ht="13.5" thickBot="1" x14ac:dyDescent="0.25">
      <c r="A477" s="34"/>
      <c r="B477" s="35">
        <f>COUNTA(B472:B476)</f>
        <v>5</v>
      </c>
      <c r="C477" s="36" t="s">
        <v>20</v>
      </c>
      <c r="D477" s="4">
        <f>SUM(D472:D476)</f>
        <v>616</v>
      </c>
      <c r="E477" s="3">
        <f>SUM(E472:E476)</f>
        <v>285</v>
      </c>
      <c r="F477" s="80">
        <f>SUM(F472:F476)</f>
        <v>1248</v>
      </c>
      <c r="G477" s="3">
        <f t="shared" si="102"/>
        <v>2149</v>
      </c>
      <c r="H477" s="37">
        <f t="shared" si="103"/>
        <v>0.41926477431363424</v>
      </c>
    </row>
    <row r="478" spans="1:8" x14ac:dyDescent="0.2">
      <c r="A478" s="38"/>
      <c r="B478" s="39"/>
      <c r="C478" s="40"/>
      <c r="D478" s="5"/>
      <c r="E478" s="42"/>
      <c r="F478" s="41"/>
      <c r="G478" s="42"/>
      <c r="H478" s="43"/>
    </row>
    <row r="479" spans="1:8" x14ac:dyDescent="0.2">
      <c r="A479" s="38"/>
      <c r="B479" s="39"/>
      <c r="C479" s="45" t="s">
        <v>104</v>
      </c>
      <c r="D479" s="5"/>
      <c r="E479" s="42"/>
      <c r="F479" s="41"/>
      <c r="G479" s="42"/>
      <c r="H479" s="43"/>
    </row>
    <row r="480" spans="1:8" x14ac:dyDescent="0.2">
      <c r="A480" s="30">
        <v>16</v>
      </c>
      <c r="B480" s="31">
        <v>110</v>
      </c>
      <c r="C480" s="62" t="s">
        <v>665</v>
      </c>
      <c r="D480" s="46">
        <v>40</v>
      </c>
      <c r="E480" s="2">
        <v>4</v>
      </c>
      <c r="F480" s="2">
        <f>70-(D480+E480)</f>
        <v>26</v>
      </c>
      <c r="G480" s="2">
        <f t="shared" ref="G480:G487" si="104">SUM(D480:F480)</f>
        <v>70</v>
      </c>
      <c r="H480" s="33">
        <f t="shared" ref="H480:H485" si="105">+(D480+E480)/G480</f>
        <v>0.62857142857142856</v>
      </c>
    </row>
    <row r="481" spans="1:8" x14ac:dyDescent="0.2">
      <c r="A481" s="30">
        <v>16</v>
      </c>
      <c r="B481" s="31">
        <v>116</v>
      </c>
      <c r="C481" s="32" t="s">
        <v>105</v>
      </c>
      <c r="D481" s="46">
        <v>168</v>
      </c>
      <c r="E481" s="2">
        <v>62</v>
      </c>
      <c r="F481" s="2">
        <f>453-(D481+E481)</f>
        <v>223</v>
      </c>
      <c r="G481" s="2">
        <f t="shared" si="104"/>
        <v>453</v>
      </c>
      <c r="H481" s="33">
        <f t="shared" si="105"/>
        <v>0.50772626931567333</v>
      </c>
    </row>
    <row r="482" spans="1:8" x14ac:dyDescent="0.2">
      <c r="A482" s="30">
        <v>16</v>
      </c>
      <c r="B482" s="31">
        <v>120</v>
      </c>
      <c r="C482" s="32" t="s">
        <v>106</v>
      </c>
      <c r="D482" s="46">
        <v>73</v>
      </c>
      <c r="E482" s="2">
        <v>32</v>
      </c>
      <c r="F482" s="2">
        <f>164-(D482+E482)</f>
        <v>59</v>
      </c>
      <c r="G482" s="2">
        <f t="shared" si="104"/>
        <v>164</v>
      </c>
      <c r="H482" s="33">
        <f t="shared" si="105"/>
        <v>0.6402439024390244</v>
      </c>
    </row>
    <row r="483" spans="1:8" x14ac:dyDescent="0.2">
      <c r="A483" s="30">
        <v>16</v>
      </c>
      <c r="B483" s="31">
        <v>130</v>
      </c>
      <c r="C483" s="62" t="s">
        <v>666</v>
      </c>
      <c r="D483" s="46">
        <v>7</v>
      </c>
      <c r="E483" s="2">
        <v>7</v>
      </c>
      <c r="F483" s="2">
        <f>23-(D483+E483)</f>
        <v>9</v>
      </c>
      <c r="G483" s="2">
        <f t="shared" si="104"/>
        <v>23</v>
      </c>
      <c r="H483" s="33">
        <f t="shared" si="105"/>
        <v>0.60869565217391308</v>
      </c>
    </row>
    <row r="484" spans="1:8" x14ac:dyDescent="0.2">
      <c r="A484" s="30">
        <v>16</v>
      </c>
      <c r="B484" s="31">
        <v>310</v>
      </c>
      <c r="C484" s="32" t="s">
        <v>107</v>
      </c>
      <c r="D484" s="46">
        <v>43</v>
      </c>
      <c r="E484" s="2">
        <v>15</v>
      </c>
      <c r="F484" s="2">
        <f>131-(D484+E484)</f>
        <v>73</v>
      </c>
      <c r="G484" s="2">
        <f t="shared" si="104"/>
        <v>131</v>
      </c>
      <c r="H484" s="33">
        <f t="shared" si="105"/>
        <v>0.44274809160305345</v>
      </c>
    </row>
    <row r="485" spans="1:8" x14ac:dyDescent="0.2">
      <c r="A485" s="30">
        <v>16</v>
      </c>
      <c r="B485" s="31">
        <v>704</v>
      </c>
      <c r="C485" s="32" t="s">
        <v>108</v>
      </c>
      <c r="D485" s="46">
        <v>60</v>
      </c>
      <c r="E485" s="2">
        <v>33</v>
      </c>
      <c r="F485" s="2">
        <f>239-(D485+E485)</f>
        <v>146</v>
      </c>
      <c r="G485" s="2">
        <f t="shared" si="104"/>
        <v>239</v>
      </c>
      <c r="H485" s="33">
        <f t="shared" si="105"/>
        <v>0.38912133891213391</v>
      </c>
    </row>
    <row r="486" spans="1:8" x14ac:dyDescent="0.2">
      <c r="A486" s="30">
        <v>16</v>
      </c>
      <c r="B486" s="31">
        <v>704</v>
      </c>
      <c r="C486" s="32" t="s">
        <v>109</v>
      </c>
      <c r="D486" s="46">
        <v>42</v>
      </c>
      <c r="E486" s="2">
        <v>22</v>
      </c>
      <c r="F486" s="2">
        <f>136-(D486+E486)</f>
        <v>72</v>
      </c>
      <c r="G486" s="2">
        <f t="shared" si="104"/>
        <v>136</v>
      </c>
      <c r="H486" s="33">
        <f>+(D486+E486)/G486</f>
        <v>0.47058823529411764</v>
      </c>
    </row>
    <row r="487" spans="1:8" ht="13.5" thickBot="1" x14ac:dyDescent="0.25">
      <c r="A487" s="30">
        <v>16</v>
      </c>
      <c r="B487" s="31">
        <v>900</v>
      </c>
      <c r="C487" s="62" t="s">
        <v>418</v>
      </c>
      <c r="D487" s="46">
        <v>17</v>
      </c>
      <c r="E487" s="2">
        <v>0</v>
      </c>
      <c r="F487" s="2">
        <f>17-(D487+E487)</f>
        <v>0</v>
      </c>
      <c r="G487" s="2">
        <f t="shared" si="104"/>
        <v>17</v>
      </c>
      <c r="H487" s="33">
        <f>+(D487+E487)/G487</f>
        <v>1</v>
      </c>
    </row>
    <row r="488" spans="1:8" ht="13.5" thickBot="1" x14ac:dyDescent="0.25">
      <c r="A488" s="34"/>
      <c r="B488" s="35">
        <f>COUNTA(B480:B487)</f>
        <v>8</v>
      </c>
      <c r="C488" s="36" t="s">
        <v>20</v>
      </c>
      <c r="D488" s="4">
        <f>SUM(D480:D487)</f>
        <v>450</v>
      </c>
      <c r="E488" s="3">
        <f>SUM(E480:E487)</f>
        <v>175</v>
      </c>
      <c r="F488" s="80">
        <f>SUM(F480:F487)</f>
        <v>608</v>
      </c>
      <c r="G488" s="3">
        <f>SUM(D488:F488)</f>
        <v>1233</v>
      </c>
      <c r="H488" s="37">
        <f>+(D488+E488)/G488</f>
        <v>0.50689375506893752</v>
      </c>
    </row>
    <row r="489" spans="1:8" x14ac:dyDescent="0.2">
      <c r="A489" s="38"/>
      <c r="B489" s="39"/>
      <c r="C489" s="40"/>
      <c r="D489" s="5"/>
      <c r="E489" s="42"/>
      <c r="F489" s="41"/>
      <c r="G489" s="42"/>
      <c r="H489" s="43"/>
    </row>
    <row r="490" spans="1:8" x14ac:dyDescent="0.2">
      <c r="A490" s="38"/>
      <c r="B490" s="39"/>
      <c r="C490" s="45" t="s">
        <v>110</v>
      </c>
      <c r="D490" s="5"/>
      <c r="E490" s="42"/>
      <c r="F490" s="41"/>
      <c r="G490" s="42"/>
      <c r="H490" s="43"/>
    </row>
    <row r="491" spans="1:8" x14ac:dyDescent="0.2">
      <c r="A491" s="30">
        <v>17</v>
      </c>
      <c r="B491" s="31">
        <v>105</v>
      </c>
      <c r="C491" s="62" t="s">
        <v>668</v>
      </c>
      <c r="D491" s="46">
        <v>212</v>
      </c>
      <c r="E491" s="2">
        <v>79</v>
      </c>
      <c r="F491" s="2">
        <f>491-(D491+E491)</f>
        <v>200</v>
      </c>
      <c r="G491" s="2">
        <f t="shared" ref="G491:G497" si="106">SUM(D491:F491)</f>
        <v>491</v>
      </c>
      <c r="H491" s="33">
        <f t="shared" ref="H491" si="107">+(D491+E491)/G491</f>
        <v>0.59266802443991851</v>
      </c>
    </row>
    <row r="492" spans="1:8" x14ac:dyDescent="0.2">
      <c r="A492" s="30">
        <v>17</v>
      </c>
      <c r="B492" s="31">
        <v>109</v>
      </c>
      <c r="C492" s="62" t="s">
        <v>667</v>
      </c>
      <c r="D492" s="46">
        <v>94</v>
      </c>
      <c r="E492" s="2">
        <v>24</v>
      </c>
      <c r="F492" s="2">
        <f>218-(D492+E492)</f>
        <v>100</v>
      </c>
      <c r="G492" s="2">
        <f t="shared" si="106"/>
        <v>218</v>
      </c>
      <c r="H492" s="33">
        <f t="shared" ref="H492" si="108">+(D492+E492)/G492</f>
        <v>0.54128440366972475</v>
      </c>
    </row>
    <row r="493" spans="1:8" x14ac:dyDescent="0.2">
      <c r="A493" s="30">
        <v>17</v>
      </c>
      <c r="B493" s="31">
        <v>112</v>
      </c>
      <c r="C493" s="62" t="s">
        <v>1003</v>
      </c>
      <c r="D493" s="46">
        <v>201</v>
      </c>
      <c r="E493" s="2">
        <v>112</v>
      </c>
      <c r="F493" s="2">
        <f>501-(D493+E493)</f>
        <v>188</v>
      </c>
      <c r="G493" s="2">
        <f t="shared" si="106"/>
        <v>501</v>
      </c>
      <c r="H493" s="33">
        <f t="shared" ref="H493:H497" si="109">+(D493+E493)/G493</f>
        <v>0.62475049900199597</v>
      </c>
    </row>
    <row r="494" spans="1:8" x14ac:dyDescent="0.2">
      <c r="A494" s="30">
        <v>17</v>
      </c>
      <c r="B494" s="31">
        <v>310</v>
      </c>
      <c r="C494" s="62" t="s">
        <v>669</v>
      </c>
      <c r="D494" s="46">
        <v>201</v>
      </c>
      <c r="E494" s="2">
        <v>84</v>
      </c>
      <c r="F494" s="2">
        <f>523-(D494+E494)</f>
        <v>238</v>
      </c>
      <c r="G494" s="2">
        <f t="shared" si="106"/>
        <v>523</v>
      </c>
      <c r="H494" s="33">
        <f t="shared" si="109"/>
        <v>0.5449330783938815</v>
      </c>
    </row>
    <row r="495" spans="1:8" x14ac:dyDescent="0.2">
      <c r="A495" s="30">
        <v>17</v>
      </c>
      <c r="B495" s="31">
        <v>320</v>
      </c>
      <c r="C495" s="32" t="s">
        <v>111</v>
      </c>
      <c r="D495" s="46">
        <v>110</v>
      </c>
      <c r="E495" s="2">
        <v>71</v>
      </c>
      <c r="F495" s="2">
        <f>317-(D495+E495)</f>
        <v>136</v>
      </c>
      <c r="G495" s="2">
        <f t="shared" si="106"/>
        <v>317</v>
      </c>
      <c r="H495" s="33">
        <f t="shared" si="109"/>
        <v>0.57097791798107256</v>
      </c>
    </row>
    <row r="496" spans="1:8" x14ac:dyDescent="0.2">
      <c r="A496" s="30">
        <v>17</v>
      </c>
      <c r="B496" s="31">
        <v>704</v>
      </c>
      <c r="C496" s="32" t="s">
        <v>112</v>
      </c>
      <c r="D496" s="46">
        <v>171</v>
      </c>
      <c r="E496" s="2">
        <v>71</v>
      </c>
      <c r="F496" s="2">
        <f>562-(D496+E496)</f>
        <v>320</v>
      </c>
      <c r="G496" s="2">
        <f t="shared" si="106"/>
        <v>562</v>
      </c>
      <c r="H496" s="33">
        <f t="shared" si="109"/>
        <v>0.4306049822064057</v>
      </c>
    </row>
    <row r="497" spans="1:8" ht="13.5" thickBot="1" x14ac:dyDescent="0.25">
      <c r="A497" s="30">
        <v>17</v>
      </c>
      <c r="B497" s="31">
        <v>708</v>
      </c>
      <c r="C497" s="32" t="s">
        <v>113</v>
      </c>
      <c r="D497" s="46">
        <v>101</v>
      </c>
      <c r="E497" s="2">
        <v>57</v>
      </c>
      <c r="F497" s="2">
        <f>312-(D497+E497)</f>
        <v>154</v>
      </c>
      <c r="G497" s="2">
        <f t="shared" si="106"/>
        <v>312</v>
      </c>
      <c r="H497" s="33">
        <f t="shared" si="109"/>
        <v>0.50641025641025639</v>
      </c>
    </row>
    <row r="498" spans="1:8" ht="13.5" thickBot="1" x14ac:dyDescent="0.25">
      <c r="A498" s="34"/>
      <c r="B498" s="35">
        <f>COUNTA(B491:B497)</f>
        <v>7</v>
      </c>
      <c r="C498" s="36" t="s">
        <v>20</v>
      </c>
      <c r="D498" s="4">
        <f>SUM(D491:D497)</f>
        <v>1090</v>
      </c>
      <c r="E498" s="3">
        <f>SUM(E491:E497)</f>
        <v>498</v>
      </c>
      <c r="F498" s="80">
        <f>SUM(F491:F497)</f>
        <v>1336</v>
      </c>
      <c r="G498" s="3">
        <f>SUM(D498:F498)</f>
        <v>2924</v>
      </c>
      <c r="H498" s="37">
        <f>+(D498+E498)/G498</f>
        <v>0.54309165526675784</v>
      </c>
    </row>
    <row r="499" spans="1:8" x14ac:dyDescent="0.2">
      <c r="A499" s="38"/>
      <c r="B499" s="39"/>
      <c r="C499" s="40"/>
      <c r="D499" s="5"/>
      <c r="E499" s="42"/>
      <c r="F499" s="41"/>
      <c r="G499" s="42"/>
      <c r="H499" s="43"/>
    </row>
    <row r="500" spans="1:8" x14ac:dyDescent="0.2">
      <c r="A500" s="38"/>
      <c r="B500" s="39"/>
      <c r="C500" s="45" t="s">
        <v>42</v>
      </c>
      <c r="D500" s="5"/>
      <c r="E500" s="42"/>
      <c r="F500" s="41"/>
      <c r="G500" s="42"/>
      <c r="H500" s="43"/>
    </row>
    <row r="501" spans="1:8" x14ac:dyDescent="0.2">
      <c r="A501" s="30">
        <v>18</v>
      </c>
      <c r="B501" s="31">
        <v>104</v>
      </c>
      <c r="C501" s="32" t="s">
        <v>114</v>
      </c>
      <c r="D501" s="46">
        <v>100</v>
      </c>
      <c r="E501" s="2">
        <v>80</v>
      </c>
      <c r="F501" s="2">
        <f>731-(D501+E501)</f>
        <v>551</v>
      </c>
      <c r="G501" s="2">
        <f>SUM(D501:F501)</f>
        <v>731</v>
      </c>
      <c r="H501" s="33">
        <f>+(D501+E501)/G501</f>
        <v>0.24623803009575923</v>
      </c>
    </row>
    <row r="502" spans="1:8" x14ac:dyDescent="0.2">
      <c r="A502" s="30">
        <v>18</v>
      </c>
      <c r="B502" s="84">
        <v>106</v>
      </c>
      <c r="C502" s="62" t="s">
        <v>350</v>
      </c>
      <c r="D502" s="46">
        <v>36</v>
      </c>
      <c r="E502" s="2">
        <v>20</v>
      </c>
      <c r="F502" s="2">
        <f>519-(D502+E502)</f>
        <v>463</v>
      </c>
      <c r="G502" s="2">
        <f>SUM(D502:F502)</f>
        <v>519</v>
      </c>
      <c r="H502" s="33">
        <f>+(D502+E502)/G502</f>
        <v>0.10789980732177264</v>
      </c>
    </row>
    <row r="503" spans="1:8" x14ac:dyDescent="0.2">
      <c r="A503" s="30">
        <v>18</v>
      </c>
      <c r="B503" s="31">
        <v>304</v>
      </c>
      <c r="C503" s="32" t="s">
        <v>115</v>
      </c>
      <c r="D503" s="46">
        <v>60</v>
      </c>
      <c r="E503" s="2">
        <v>55</v>
      </c>
      <c r="F503" s="2">
        <f>570-(D503+E503)</f>
        <v>455</v>
      </c>
      <c r="G503" s="2">
        <f>SUM(D503:F503)</f>
        <v>570</v>
      </c>
      <c r="H503" s="33">
        <f>+(D503+E503)/G503</f>
        <v>0.20175438596491227</v>
      </c>
    </row>
    <row r="504" spans="1:8" ht="13.5" thickBot="1" x14ac:dyDescent="0.25">
      <c r="A504" s="38">
        <v>18</v>
      </c>
      <c r="B504" s="39">
        <v>704</v>
      </c>
      <c r="C504" s="40" t="s">
        <v>116</v>
      </c>
      <c r="D504" s="46">
        <v>71</v>
      </c>
      <c r="E504" s="2">
        <v>41</v>
      </c>
      <c r="F504" s="2">
        <f>763-(D504+E504)</f>
        <v>651</v>
      </c>
      <c r="G504" s="2">
        <f>SUM(D504:F504)</f>
        <v>763</v>
      </c>
      <c r="H504" s="43">
        <f>+(D504+E504)/G504</f>
        <v>0.14678899082568808</v>
      </c>
    </row>
    <row r="505" spans="1:8" ht="13.5" thickBot="1" x14ac:dyDescent="0.25">
      <c r="A505" s="34"/>
      <c r="B505" s="35">
        <f>COUNTA(B501:B504)</f>
        <v>4</v>
      </c>
      <c r="C505" s="36" t="s">
        <v>20</v>
      </c>
      <c r="D505" s="4">
        <f>SUM(D501:D504)</f>
        <v>267</v>
      </c>
      <c r="E505" s="3">
        <f>SUM(E501:E504)</f>
        <v>196</v>
      </c>
      <c r="F505" s="80">
        <f>SUM(F501:F504)</f>
        <v>2120</v>
      </c>
      <c r="G505" s="3">
        <f>SUM(D505:F505)</f>
        <v>2583</v>
      </c>
      <c r="H505" s="37">
        <f>+(D505+E505)/G505</f>
        <v>0.17924893534649633</v>
      </c>
    </row>
    <row r="506" spans="1:8" x14ac:dyDescent="0.2">
      <c r="A506" s="38"/>
      <c r="B506" s="39"/>
      <c r="C506" s="40"/>
      <c r="D506" s="5"/>
      <c r="E506" s="42"/>
      <c r="F506" s="41"/>
      <c r="G506" s="42"/>
      <c r="H506" s="43"/>
    </row>
    <row r="507" spans="1:8" x14ac:dyDescent="0.2">
      <c r="A507" s="38"/>
      <c r="B507" s="39"/>
      <c r="C507" s="45" t="s">
        <v>117</v>
      </c>
      <c r="D507" s="5"/>
      <c r="E507" s="42"/>
      <c r="F507" s="41"/>
      <c r="G507" s="42"/>
      <c r="H507" s="43"/>
    </row>
    <row r="508" spans="1:8" x14ac:dyDescent="0.2">
      <c r="A508" s="30">
        <v>19</v>
      </c>
      <c r="B508" s="31">
        <v>100</v>
      </c>
      <c r="C508" s="62" t="s">
        <v>706</v>
      </c>
      <c r="D508" s="46">
        <v>170</v>
      </c>
      <c r="E508" s="2">
        <v>54</v>
      </c>
      <c r="F508" s="2">
        <f>644-(D508+E508)</f>
        <v>420</v>
      </c>
      <c r="G508" s="2">
        <f t="shared" ref="G508:G548" si="110">SUM(D508:F508)</f>
        <v>644</v>
      </c>
      <c r="H508" s="33">
        <f t="shared" ref="H508:H548" si="111">+(D508+E508)/G508</f>
        <v>0.34782608695652173</v>
      </c>
    </row>
    <row r="509" spans="1:8" x14ac:dyDescent="0.2">
      <c r="A509" s="30">
        <v>19</v>
      </c>
      <c r="B509" s="31">
        <v>104</v>
      </c>
      <c r="C509" s="62" t="s">
        <v>707</v>
      </c>
      <c r="D509" s="46">
        <v>220</v>
      </c>
      <c r="E509" s="2">
        <v>78</v>
      </c>
      <c r="F509" s="2">
        <f>558-(D509+E509)</f>
        <v>260</v>
      </c>
      <c r="G509" s="2">
        <f t="shared" si="110"/>
        <v>558</v>
      </c>
      <c r="H509" s="33">
        <f t="shared" si="111"/>
        <v>0.53405017921146958</v>
      </c>
    </row>
    <row r="510" spans="1:8" x14ac:dyDescent="0.2">
      <c r="A510" s="30">
        <v>19</v>
      </c>
      <c r="B510" s="31">
        <v>108</v>
      </c>
      <c r="C510" s="62" t="s">
        <v>708</v>
      </c>
      <c r="D510" s="46">
        <v>151</v>
      </c>
      <c r="E510" s="2">
        <v>71</v>
      </c>
      <c r="F510" s="2">
        <f>545-(D510+E510)</f>
        <v>323</v>
      </c>
      <c r="G510" s="2">
        <f t="shared" si="110"/>
        <v>545</v>
      </c>
      <c r="H510" s="33">
        <f t="shared" si="111"/>
        <v>0.40733944954128443</v>
      </c>
    </row>
    <row r="511" spans="1:8" x14ac:dyDescent="0.2">
      <c r="A511" s="30">
        <v>19</v>
      </c>
      <c r="B511" s="31">
        <v>112</v>
      </c>
      <c r="C511" s="62" t="s">
        <v>709</v>
      </c>
      <c r="D511" s="46">
        <v>265</v>
      </c>
      <c r="E511" s="2">
        <v>51</v>
      </c>
      <c r="F511" s="2">
        <f>748-(D511+E511)</f>
        <v>432</v>
      </c>
      <c r="G511" s="2">
        <f t="shared" si="110"/>
        <v>748</v>
      </c>
      <c r="H511" s="33">
        <f t="shared" si="111"/>
        <v>0.42245989304812837</v>
      </c>
    </row>
    <row r="512" spans="1:8" x14ac:dyDescent="0.2">
      <c r="A512" s="30">
        <v>19</v>
      </c>
      <c r="B512" s="31">
        <v>116</v>
      </c>
      <c r="C512" s="62" t="s">
        <v>467</v>
      </c>
      <c r="D512" s="46">
        <v>96</v>
      </c>
      <c r="E512" s="2">
        <v>46</v>
      </c>
      <c r="F512" s="2">
        <f>672-(D512+E512)</f>
        <v>530</v>
      </c>
      <c r="G512" s="2">
        <f t="shared" si="110"/>
        <v>672</v>
      </c>
      <c r="H512" s="33">
        <f t="shared" si="111"/>
        <v>0.21130952380952381</v>
      </c>
    </row>
    <row r="513" spans="1:8" x14ac:dyDescent="0.2">
      <c r="A513" s="30">
        <v>19</v>
      </c>
      <c r="B513" s="31">
        <v>117</v>
      </c>
      <c r="C513" s="62" t="s">
        <v>710</v>
      </c>
      <c r="D513" s="46">
        <v>292</v>
      </c>
      <c r="E513" s="2">
        <v>115</v>
      </c>
      <c r="F513" s="2">
        <f>795-(D513+E513)</f>
        <v>388</v>
      </c>
      <c r="G513" s="2">
        <f>SUM(D513:F513)</f>
        <v>795</v>
      </c>
      <c r="H513" s="33">
        <f>+(D513+E513)/G513</f>
        <v>0.51194968553459119</v>
      </c>
    </row>
    <row r="514" spans="1:8" x14ac:dyDescent="0.2">
      <c r="A514" s="30">
        <v>19</v>
      </c>
      <c r="B514" s="31">
        <v>118</v>
      </c>
      <c r="C514" s="62" t="s">
        <v>711</v>
      </c>
      <c r="D514" s="46">
        <v>178</v>
      </c>
      <c r="E514" s="2">
        <v>72</v>
      </c>
      <c r="F514" s="2">
        <f>809-(D514+E514)</f>
        <v>559</v>
      </c>
      <c r="G514" s="2">
        <f>SUM(D514:F514)</f>
        <v>809</v>
      </c>
      <c r="H514" s="33">
        <f>+(D514+E514)/G514</f>
        <v>0.30902348578491967</v>
      </c>
    </row>
    <row r="515" spans="1:8" x14ac:dyDescent="0.2">
      <c r="A515" s="30">
        <v>19</v>
      </c>
      <c r="B515" s="31">
        <v>119</v>
      </c>
      <c r="C515" s="62" t="s">
        <v>679</v>
      </c>
      <c r="D515" s="46">
        <v>109</v>
      </c>
      <c r="E515" s="2">
        <v>75</v>
      </c>
      <c r="F515" s="2">
        <f>744-(D515+E515)</f>
        <v>560</v>
      </c>
      <c r="G515" s="2">
        <f>SUM(D515:F515)</f>
        <v>744</v>
      </c>
      <c r="H515" s="33">
        <f>+(D515+E515)/G515</f>
        <v>0.24731182795698925</v>
      </c>
    </row>
    <row r="516" spans="1:8" x14ac:dyDescent="0.2">
      <c r="A516" s="30">
        <v>19</v>
      </c>
      <c r="B516" s="31">
        <v>120</v>
      </c>
      <c r="C516" s="62" t="s">
        <v>712</v>
      </c>
      <c r="D516" s="46">
        <v>140</v>
      </c>
      <c r="E516" s="2">
        <v>56</v>
      </c>
      <c r="F516" s="2">
        <f>383-(D516+E516)</f>
        <v>187</v>
      </c>
      <c r="G516" s="2">
        <f t="shared" si="110"/>
        <v>383</v>
      </c>
      <c r="H516" s="33">
        <f t="shared" si="111"/>
        <v>0.51174934725848564</v>
      </c>
    </row>
    <row r="517" spans="1:8" x14ac:dyDescent="0.2">
      <c r="A517" s="30">
        <v>19</v>
      </c>
      <c r="B517" s="31">
        <v>130</v>
      </c>
      <c r="C517" s="62" t="s">
        <v>713</v>
      </c>
      <c r="D517" s="46">
        <v>91</v>
      </c>
      <c r="E517" s="2">
        <v>34</v>
      </c>
      <c r="F517" s="2">
        <f>686-(D517+E517)</f>
        <v>561</v>
      </c>
      <c r="G517" s="2">
        <f>SUM(D517:F517)</f>
        <v>686</v>
      </c>
      <c r="H517" s="33">
        <f>+(D517+E517)/G517</f>
        <v>0.18221574344023322</v>
      </c>
    </row>
    <row r="518" spans="1:8" x14ac:dyDescent="0.2">
      <c r="A518" s="30">
        <v>19</v>
      </c>
      <c r="B518" s="31">
        <v>136</v>
      </c>
      <c r="C518" s="62" t="s">
        <v>714</v>
      </c>
      <c r="D518" s="46">
        <v>175</v>
      </c>
      <c r="E518" s="2">
        <v>54</v>
      </c>
      <c r="F518" s="2">
        <f>502-(D518+E518)</f>
        <v>273</v>
      </c>
      <c r="G518" s="2">
        <f t="shared" si="110"/>
        <v>502</v>
      </c>
      <c r="H518" s="33">
        <f t="shared" si="111"/>
        <v>0.45617529880478086</v>
      </c>
    </row>
    <row r="519" spans="1:8" x14ac:dyDescent="0.2">
      <c r="A519" s="30">
        <v>19</v>
      </c>
      <c r="B519" s="31">
        <v>140</v>
      </c>
      <c r="C519" s="62" t="s">
        <v>716</v>
      </c>
      <c r="D519" s="46">
        <v>136</v>
      </c>
      <c r="E519" s="2">
        <v>26</v>
      </c>
      <c r="F519" s="2">
        <f>779-(D519+E519)</f>
        <v>617</v>
      </c>
      <c r="G519" s="2">
        <f t="shared" si="110"/>
        <v>779</v>
      </c>
      <c r="H519" s="33">
        <f t="shared" si="111"/>
        <v>0.2079589216944801</v>
      </c>
    </row>
    <row r="520" spans="1:8" x14ac:dyDescent="0.2">
      <c r="A520" s="30">
        <v>19</v>
      </c>
      <c r="B520" s="31">
        <v>142</v>
      </c>
      <c r="C520" s="62" t="s">
        <v>717</v>
      </c>
      <c r="D520" s="46">
        <v>68</v>
      </c>
      <c r="E520" s="2">
        <v>37</v>
      </c>
      <c r="F520" s="2">
        <f>489-(D520+E520)</f>
        <v>384</v>
      </c>
      <c r="G520" s="2">
        <f t="shared" si="110"/>
        <v>489</v>
      </c>
      <c r="H520" s="33">
        <f t="shared" si="111"/>
        <v>0.21472392638036811</v>
      </c>
    </row>
    <row r="521" spans="1:8" x14ac:dyDescent="0.2">
      <c r="A521" s="30">
        <v>19</v>
      </c>
      <c r="B521" s="31">
        <v>143</v>
      </c>
      <c r="C521" s="62" t="s">
        <v>718</v>
      </c>
      <c r="D521" s="46">
        <v>230</v>
      </c>
      <c r="E521" s="2">
        <v>88</v>
      </c>
      <c r="F521" s="2">
        <f>788-(D521+E521)</f>
        <v>470</v>
      </c>
      <c r="G521" s="2">
        <f>SUM(D521:F521)</f>
        <v>788</v>
      </c>
      <c r="H521" s="33">
        <f>+(D521+E521)/G521</f>
        <v>0.40355329949238578</v>
      </c>
    </row>
    <row r="522" spans="1:8" x14ac:dyDescent="0.2">
      <c r="A522" s="30">
        <v>19</v>
      </c>
      <c r="B522" s="31">
        <v>144</v>
      </c>
      <c r="C522" s="62" t="s">
        <v>474</v>
      </c>
      <c r="D522" s="46">
        <v>241</v>
      </c>
      <c r="E522" s="2">
        <v>97</v>
      </c>
      <c r="F522" s="2">
        <f>523-(D522+E522)</f>
        <v>185</v>
      </c>
      <c r="G522" s="2">
        <f t="shared" si="110"/>
        <v>523</v>
      </c>
      <c r="H522" s="33">
        <f t="shared" si="111"/>
        <v>0.64627151051625242</v>
      </c>
    </row>
    <row r="523" spans="1:8" x14ac:dyDescent="0.2">
      <c r="A523" s="30">
        <v>19</v>
      </c>
      <c r="B523" s="31">
        <v>148</v>
      </c>
      <c r="C523" s="62" t="s">
        <v>719</v>
      </c>
      <c r="D523" s="46">
        <v>166</v>
      </c>
      <c r="E523" s="2">
        <v>85</v>
      </c>
      <c r="F523" s="2">
        <f>592-(D523+E523)</f>
        <v>341</v>
      </c>
      <c r="G523" s="2">
        <f>SUM(D523:F523)</f>
        <v>592</v>
      </c>
      <c r="H523" s="33">
        <f>+(D523+E523)/G523</f>
        <v>0.42398648648648651</v>
      </c>
    </row>
    <row r="524" spans="1:8" x14ac:dyDescent="0.2">
      <c r="A524" s="30">
        <v>19</v>
      </c>
      <c r="B524" s="31">
        <v>156</v>
      </c>
      <c r="C524" s="62" t="s">
        <v>721</v>
      </c>
      <c r="D524" s="46">
        <v>278</v>
      </c>
      <c r="E524" s="2">
        <v>117</v>
      </c>
      <c r="F524" s="2">
        <f>659-(D524+E524)</f>
        <v>264</v>
      </c>
      <c r="G524" s="2">
        <f t="shared" si="110"/>
        <v>659</v>
      </c>
      <c r="H524" s="33">
        <f t="shared" si="111"/>
        <v>0.59939301972685888</v>
      </c>
    </row>
    <row r="525" spans="1:8" x14ac:dyDescent="0.2">
      <c r="A525" s="30">
        <v>19</v>
      </c>
      <c r="B525" s="31">
        <v>158</v>
      </c>
      <c r="C525" s="62" t="s">
        <v>723</v>
      </c>
      <c r="D525" s="46">
        <v>160</v>
      </c>
      <c r="E525" s="2">
        <v>101</v>
      </c>
      <c r="F525" s="2">
        <f>863-(D525+E525)</f>
        <v>602</v>
      </c>
      <c r="G525" s="2">
        <f>SUM(D525:F525)</f>
        <v>863</v>
      </c>
      <c r="H525" s="33">
        <f>+(D525+E525)/G525</f>
        <v>0.30243337195828507</v>
      </c>
    </row>
    <row r="526" spans="1:8" x14ac:dyDescent="0.2">
      <c r="A526" s="30">
        <v>19</v>
      </c>
      <c r="B526" s="31">
        <v>160</v>
      </c>
      <c r="C526" s="62" t="s">
        <v>722</v>
      </c>
      <c r="D526" s="46">
        <v>214</v>
      </c>
      <c r="E526" s="2">
        <v>94</v>
      </c>
      <c r="F526" s="2">
        <f>804-(D526+E526)</f>
        <v>496</v>
      </c>
      <c r="G526" s="2">
        <f t="shared" si="110"/>
        <v>804</v>
      </c>
      <c r="H526" s="33">
        <f t="shared" si="111"/>
        <v>0.38308457711442784</v>
      </c>
    </row>
    <row r="527" spans="1:8" x14ac:dyDescent="0.2">
      <c r="A527" s="30">
        <v>19</v>
      </c>
      <c r="B527" s="31">
        <v>164</v>
      </c>
      <c r="C527" s="62" t="s">
        <v>724</v>
      </c>
      <c r="D527" s="46">
        <v>119</v>
      </c>
      <c r="E527" s="2">
        <v>46</v>
      </c>
      <c r="F527" s="2">
        <f>467-(D527+E527)</f>
        <v>302</v>
      </c>
      <c r="G527" s="2">
        <f t="shared" si="110"/>
        <v>467</v>
      </c>
      <c r="H527" s="33">
        <f t="shared" si="111"/>
        <v>0.35331905781584583</v>
      </c>
    </row>
    <row r="528" spans="1:8" x14ac:dyDescent="0.2">
      <c r="A528" s="30">
        <v>19</v>
      </c>
      <c r="B528" s="31">
        <v>168</v>
      </c>
      <c r="C528" s="62" t="s">
        <v>430</v>
      </c>
      <c r="D528" s="46">
        <v>233</v>
      </c>
      <c r="E528" s="2">
        <v>119</v>
      </c>
      <c r="F528" s="2">
        <f>665-(D528+E528)</f>
        <v>313</v>
      </c>
      <c r="G528" s="2">
        <f t="shared" si="110"/>
        <v>665</v>
      </c>
      <c r="H528" s="33">
        <f t="shared" si="111"/>
        <v>0.52932330827067664</v>
      </c>
    </row>
    <row r="529" spans="1:8" x14ac:dyDescent="0.2">
      <c r="A529" s="30">
        <v>19</v>
      </c>
      <c r="B529" s="31">
        <v>169</v>
      </c>
      <c r="C529" s="62" t="s">
        <v>1004</v>
      </c>
      <c r="D529" s="46">
        <v>160</v>
      </c>
      <c r="E529" s="2">
        <v>54</v>
      </c>
      <c r="F529" s="2">
        <f>823-(D529+E529)</f>
        <v>609</v>
      </c>
      <c r="G529" s="2">
        <f t="shared" ref="G529" si="112">SUM(D529:F529)</f>
        <v>823</v>
      </c>
      <c r="H529" s="33">
        <f t="shared" ref="H529" si="113">+(D529+E529)/G529</f>
        <v>0.2600243013365735</v>
      </c>
    </row>
    <row r="530" spans="1:8" x14ac:dyDescent="0.2">
      <c r="A530" s="30">
        <v>19</v>
      </c>
      <c r="B530" s="31">
        <v>170</v>
      </c>
      <c r="C530" s="62" t="s">
        <v>727</v>
      </c>
      <c r="D530" s="46">
        <v>117</v>
      </c>
      <c r="E530" s="2">
        <v>83</v>
      </c>
      <c r="F530" s="2">
        <f>661-(D530+E530)</f>
        <v>461</v>
      </c>
      <c r="G530" s="2">
        <f t="shared" si="110"/>
        <v>661</v>
      </c>
      <c r="H530" s="33">
        <f>+(D530+E530)/G530</f>
        <v>0.30257186081694404</v>
      </c>
    </row>
    <row r="531" spans="1:8" x14ac:dyDescent="0.2">
      <c r="A531" s="30">
        <v>19</v>
      </c>
      <c r="B531" s="31">
        <v>171</v>
      </c>
      <c r="C531" s="62" t="s">
        <v>728</v>
      </c>
      <c r="D531" s="46">
        <v>214</v>
      </c>
      <c r="E531" s="2">
        <v>94</v>
      </c>
      <c r="F531" s="2">
        <f>831-(D531+E531)</f>
        <v>523</v>
      </c>
      <c r="G531" s="2">
        <f t="shared" si="110"/>
        <v>831</v>
      </c>
      <c r="H531" s="33">
        <f>+(D531+E531)/G531</f>
        <v>0.37063778580024065</v>
      </c>
    </row>
    <row r="532" spans="1:8" x14ac:dyDescent="0.2">
      <c r="A532" s="30">
        <v>19</v>
      </c>
      <c r="B532" s="31">
        <v>172</v>
      </c>
      <c r="C532" s="62" t="s">
        <v>729</v>
      </c>
      <c r="D532" s="46">
        <v>210</v>
      </c>
      <c r="E532" s="2">
        <v>67</v>
      </c>
      <c r="F532" s="2">
        <f>564-(D532+E532)</f>
        <v>287</v>
      </c>
      <c r="G532" s="2">
        <f t="shared" si="110"/>
        <v>564</v>
      </c>
      <c r="H532" s="33">
        <f t="shared" si="111"/>
        <v>0.49113475177304966</v>
      </c>
    </row>
    <row r="533" spans="1:8" x14ac:dyDescent="0.2">
      <c r="A533" s="30">
        <v>19</v>
      </c>
      <c r="B533" s="31">
        <v>180</v>
      </c>
      <c r="C533" s="62" t="s">
        <v>730</v>
      </c>
      <c r="D533" s="46">
        <v>298</v>
      </c>
      <c r="E533" s="2">
        <v>99</v>
      </c>
      <c r="F533" s="2">
        <f>819-(D533+E533)</f>
        <v>422</v>
      </c>
      <c r="G533" s="2">
        <f t="shared" si="110"/>
        <v>819</v>
      </c>
      <c r="H533" s="33">
        <f t="shared" si="111"/>
        <v>0.48473748473748474</v>
      </c>
    </row>
    <row r="534" spans="1:8" x14ac:dyDescent="0.2">
      <c r="A534" s="30">
        <v>19</v>
      </c>
      <c r="B534" s="31">
        <v>184</v>
      </c>
      <c r="C534" s="62" t="s">
        <v>731</v>
      </c>
      <c r="D534" s="46">
        <v>272</v>
      </c>
      <c r="E534" s="2">
        <v>111</v>
      </c>
      <c r="F534" s="2">
        <f>552-(D534+E534)</f>
        <v>169</v>
      </c>
      <c r="G534" s="2">
        <f t="shared" si="110"/>
        <v>552</v>
      </c>
      <c r="H534" s="33">
        <f t="shared" si="111"/>
        <v>0.6938405797101449</v>
      </c>
    </row>
    <row r="535" spans="1:8" x14ac:dyDescent="0.2">
      <c r="A535" s="30">
        <v>19</v>
      </c>
      <c r="B535" s="31">
        <v>402</v>
      </c>
      <c r="C535" s="32" t="s">
        <v>272</v>
      </c>
      <c r="D535" s="46">
        <v>323</v>
      </c>
      <c r="E535" s="2">
        <v>111</v>
      </c>
      <c r="F535" s="2">
        <f>1126-(D535+E535)</f>
        <v>692</v>
      </c>
      <c r="G535" s="2">
        <f t="shared" si="110"/>
        <v>1126</v>
      </c>
      <c r="H535" s="33">
        <f t="shared" si="111"/>
        <v>0.38543516873889877</v>
      </c>
    </row>
    <row r="536" spans="1:8" x14ac:dyDescent="0.2">
      <c r="A536" s="30">
        <v>19</v>
      </c>
      <c r="B536" s="31">
        <v>404</v>
      </c>
      <c r="C536" s="32" t="s">
        <v>264</v>
      </c>
      <c r="D536" s="46">
        <v>230</v>
      </c>
      <c r="E536" s="2">
        <v>83</v>
      </c>
      <c r="F536" s="2">
        <f>1235-(D536+E536)</f>
        <v>922</v>
      </c>
      <c r="G536" s="2">
        <f t="shared" si="110"/>
        <v>1235</v>
      </c>
      <c r="H536" s="33">
        <f t="shared" si="111"/>
        <v>0.2534412955465587</v>
      </c>
    </row>
    <row r="537" spans="1:8" x14ac:dyDescent="0.2">
      <c r="A537" s="30">
        <v>19</v>
      </c>
      <c r="B537" s="31">
        <v>406</v>
      </c>
      <c r="C537" s="32" t="s">
        <v>273</v>
      </c>
      <c r="D537" s="46">
        <v>266</v>
      </c>
      <c r="E537" s="2">
        <v>89</v>
      </c>
      <c r="F537" s="2">
        <f>665-(D537+E537)</f>
        <v>310</v>
      </c>
      <c r="G537" s="2">
        <f>SUM(D537:F537)</f>
        <v>665</v>
      </c>
      <c r="H537" s="33">
        <f>+(D537+E537)/G537</f>
        <v>0.53383458646616544</v>
      </c>
    </row>
    <row r="538" spans="1:8" x14ac:dyDescent="0.2">
      <c r="A538" s="30">
        <v>19</v>
      </c>
      <c r="B538" s="31">
        <v>408</v>
      </c>
      <c r="C538" s="62" t="s">
        <v>720</v>
      </c>
      <c r="D538" s="46">
        <v>308</v>
      </c>
      <c r="E538" s="2">
        <v>134</v>
      </c>
      <c r="F538" s="2">
        <f>1013-(D538+E538)</f>
        <v>571</v>
      </c>
      <c r="G538" s="2">
        <f t="shared" si="110"/>
        <v>1013</v>
      </c>
      <c r="H538" s="33">
        <f t="shared" si="111"/>
        <v>0.43632773938795655</v>
      </c>
    </row>
    <row r="539" spans="1:8" x14ac:dyDescent="0.2">
      <c r="A539" s="30">
        <v>19</v>
      </c>
      <c r="B539" s="31">
        <v>416</v>
      </c>
      <c r="C539" s="62" t="s">
        <v>1038</v>
      </c>
      <c r="D539" s="46">
        <v>159</v>
      </c>
      <c r="E539" s="2">
        <v>71</v>
      </c>
      <c r="F539" s="2">
        <f>911-(D539+E539)</f>
        <v>681</v>
      </c>
      <c r="G539" s="2">
        <f t="shared" ref="G539" si="114">SUM(D539:F539)</f>
        <v>911</v>
      </c>
      <c r="H539" s="33">
        <f t="shared" ref="H539" si="115">+(D539+E539)/G539</f>
        <v>0.25246981339187707</v>
      </c>
    </row>
    <row r="540" spans="1:8" x14ac:dyDescent="0.2">
      <c r="A540" s="30">
        <v>19</v>
      </c>
      <c r="B540" s="31">
        <v>420</v>
      </c>
      <c r="C540" s="62" t="s">
        <v>726</v>
      </c>
      <c r="D540" s="46">
        <v>199</v>
      </c>
      <c r="E540" s="2">
        <v>75</v>
      </c>
      <c r="F540" s="2">
        <f>950-(D540+E540)</f>
        <v>676</v>
      </c>
      <c r="G540" s="2">
        <f t="shared" si="110"/>
        <v>950</v>
      </c>
      <c r="H540" s="33">
        <f t="shared" si="111"/>
        <v>0.28842105263157897</v>
      </c>
    </row>
    <row r="541" spans="1:8" x14ac:dyDescent="0.2">
      <c r="A541" s="30">
        <v>19</v>
      </c>
      <c r="B541" s="31">
        <v>424</v>
      </c>
      <c r="C541" s="32" t="s">
        <v>118</v>
      </c>
      <c r="D541" s="46">
        <v>313</v>
      </c>
      <c r="E541" s="2">
        <v>80</v>
      </c>
      <c r="F541" s="2">
        <f>939-(D541+E541)</f>
        <v>546</v>
      </c>
      <c r="G541" s="2">
        <f t="shared" si="110"/>
        <v>939</v>
      </c>
      <c r="H541" s="33">
        <f t="shared" si="111"/>
        <v>0.41853035143769968</v>
      </c>
    </row>
    <row r="542" spans="1:8" x14ac:dyDescent="0.2">
      <c r="A542" s="30">
        <v>19</v>
      </c>
      <c r="B542" s="31">
        <v>650</v>
      </c>
      <c r="C542" s="62" t="s">
        <v>1037</v>
      </c>
      <c r="D542" s="46">
        <v>81</v>
      </c>
      <c r="E542" s="2">
        <v>0</v>
      </c>
      <c r="F542" s="2">
        <f>86-(D542+E542)</f>
        <v>5</v>
      </c>
      <c r="G542" s="2">
        <f>SUM(D542:F542)</f>
        <v>86</v>
      </c>
      <c r="H542" s="33">
        <f>+(D542+E542)/G542</f>
        <v>0.94186046511627908</v>
      </c>
    </row>
    <row r="543" spans="1:8" x14ac:dyDescent="0.2">
      <c r="A543" s="30">
        <v>19</v>
      </c>
      <c r="B543" s="31">
        <v>702</v>
      </c>
      <c r="C543" s="62" t="s">
        <v>715</v>
      </c>
      <c r="D543" s="46">
        <v>195</v>
      </c>
      <c r="E543" s="2">
        <v>59</v>
      </c>
      <c r="F543" s="2">
        <f>1216-(D543+E543)</f>
        <v>962</v>
      </c>
      <c r="G543" s="2">
        <f>SUM(D543:F543)</f>
        <v>1216</v>
      </c>
      <c r="H543" s="33">
        <f>+(D543+E543)/G543</f>
        <v>0.20888157894736842</v>
      </c>
    </row>
    <row r="544" spans="1:8" x14ac:dyDescent="0.2">
      <c r="A544" s="30">
        <v>19</v>
      </c>
      <c r="B544" s="31">
        <v>704</v>
      </c>
      <c r="C544" s="32" t="s">
        <v>252</v>
      </c>
      <c r="D544" s="46">
        <v>320</v>
      </c>
      <c r="E544" s="2">
        <v>117</v>
      </c>
      <c r="F544" s="2">
        <f>1130-(D544+E544)</f>
        <v>693</v>
      </c>
      <c r="G544" s="2">
        <f t="shared" si="110"/>
        <v>1130</v>
      </c>
      <c r="H544" s="33">
        <f t="shared" si="111"/>
        <v>0.38672566371681416</v>
      </c>
    </row>
    <row r="545" spans="1:8" x14ac:dyDescent="0.2">
      <c r="A545" s="30">
        <v>19</v>
      </c>
      <c r="B545" s="31">
        <v>706</v>
      </c>
      <c r="C545" s="62" t="s">
        <v>725</v>
      </c>
      <c r="D545" s="46">
        <v>203</v>
      </c>
      <c r="E545" s="2">
        <v>94</v>
      </c>
      <c r="F545" s="2">
        <f>1230-(D545+E545)</f>
        <v>933</v>
      </c>
      <c r="G545" s="2">
        <f t="shared" ref="G545" si="116">SUM(D545:F545)</f>
        <v>1230</v>
      </c>
      <c r="H545" s="33">
        <f t="shared" ref="H545" si="117">+(D545+E545)/G545</f>
        <v>0.24146341463414633</v>
      </c>
    </row>
    <row r="546" spans="1:8" x14ac:dyDescent="0.2">
      <c r="A546" s="30">
        <v>19</v>
      </c>
      <c r="B546" s="31">
        <v>708</v>
      </c>
      <c r="C546" s="32" t="s">
        <v>253</v>
      </c>
      <c r="D546" s="46">
        <v>252</v>
      </c>
      <c r="E546" s="2">
        <v>76</v>
      </c>
      <c r="F546" s="2">
        <f>1174-(D546+E546)</f>
        <v>846</v>
      </c>
      <c r="G546" s="2">
        <f t="shared" si="110"/>
        <v>1174</v>
      </c>
      <c r="H546" s="33">
        <f t="shared" si="111"/>
        <v>0.27938671209540034</v>
      </c>
    </row>
    <row r="547" spans="1:8" x14ac:dyDescent="0.2">
      <c r="A547" s="30">
        <v>19</v>
      </c>
      <c r="B547" s="31">
        <v>712</v>
      </c>
      <c r="C547" s="32" t="s">
        <v>254</v>
      </c>
      <c r="D547" s="46">
        <v>316</v>
      </c>
      <c r="E547" s="2">
        <v>108</v>
      </c>
      <c r="F547" s="2">
        <f>1375-(D547+E547)</f>
        <v>951</v>
      </c>
      <c r="G547" s="2">
        <f t="shared" si="110"/>
        <v>1375</v>
      </c>
      <c r="H547" s="33">
        <f t="shared" si="111"/>
        <v>0.30836363636363634</v>
      </c>
    </row>
    <row r="548" spans="1:8" ht="13.5" thickBot="1" x14ac:dyDescent="0.25">
      <c r="A548" s="30">
        <v>19</v>
      </c>
      <c r="B548" s="31">
        <v>720</v>
      </c>
      <c r="C548" s="32" t="s">
        <v>119</v>
      </c>
      <c r="D548" s="46">
        <v>138</v>
      </c>
      <c r="E548" s="2">
        <v>18</v>
      </c>
      <c r="F548" s="2">
        <f>307-(D548+E548)</f>
        <v>151</v>
      </c>
      <c r="G548" s="2">
        <f t="shared" si="110"/>
        <v>307</v>
      </c>
      <c r="H548" s="33">
        <f t="shared" si="111"/>
        <v>0.50814332247557004</v>
      </c>
    </row>
    <row r="549" spans="1:8" ht="13.5" thickBot="1" x14ac:dyDescent="0.25">
      <c r="A549" s="34"/>
      <c r="B549" s="35">
        <f>COUNTA(B508:B548)</f>
        <v>41</v>
      </c>
      <c r="C549" s="36" t="s">
        <v>20</v>
      </c>
      <c r="D549" s="4">
        <f>SUM(D508:D548)</f>
        <v>8306</v>
      </c>
      <c r="E549" s="3">
        <f>SUM(E508:E548)</f>
        <v>3139</v>
      </c>
      <c r="F549" s="80">
        <f>SUM(F508:F548)</f>
        <v>19877</v>
      </c>
      <c r="G549" s="3">
        <f>SUM(D549:F549)</f>
        <v>31322</v>
      </c>
      <c r="H549" s="37">
        <f>+(D549+E549)/G549</f>
        <v>0.36539812272524103</v>
      </c>
    </row>
    <row r="550" spans="1:8" x14ac:dyDescent="0.2">
      <c r="A550" s="38"/>
      <c r="B550" s="39"/>
      <c r="C550" s="40"/>
      <c r="D550" s="5"/>
      <c r="E550" s="42"/>
      <c r="F550" s="41"/>
      <c r="G550" s="42"/>
      <c r="H550" s="43"/>
    </row>
    <row r="551" spans="1:8" x14ac:dyDescent="0.2">
      <c r="A551" s="38"/>
      <c r="B551" s="39"/>
      <c r="C551" s="45" t="s">
        <v>120</v>
      </c>
      <c r="D551" s="135"/>
      <c r="E551" s="136"/>
      <c r="F551" s="116"/>
      <c r="G551" s="42"/>
      <c r="H551" s="43"/>
    </row>
    <row r="552" spans="1:8" x14ac:dyDescent="0.2">
      <c r="A552" s="30">
        <v>20</v>
      </c>
      <c r="B552" s="31">
        <v>104</v>
      </c>
      <c r="C552" s="62" t="s">
        <v>732</v>
      </c>
      <c r="D552" s="46">
        <v>95</v>
      </c>
      <c r="E552" s="2">
        <v>35</v>
      </c>
      <c r="F552" s="2">
        <f>276-(D552+E552)</f>
        <v>146</v>
      </c>
      <c r="G552" s="2">
        <f t="shared" ref="G552:G557" si="118">SUM(D552:F552)</f>
        <v>276</v>
      </c>
      <c r="H552" s="33">
        <f t="shared" ref="H552:H557" si="119">+(D552+E552)/G552</f>
        <v>0.47101449275362317</v>
      </c>
    </row>
    <row r="553" spans="1:8" x14ac:dyDescent="0.2">
      <c r="A553" s="30">
        <v>20</v>
      </c>
      <c r="B553" s="31">
        <v>108</v>
      </c>
      <c r="C553" s="62" t="s">
        <v>733</v>
      </c>
      <c r="D553" s="46">
        <v>50</v>
      </c>
      <c r="E553" s="2">
        <v>23</v>
      </c>
      <c r="F553" s="2">
        <f>151-(D553+E553)</f>
        <v>78</v>
      </c>
      <c r="G553" s="2">
        <f t="shared" si="118"/>
        <v>151</v>
      </c>
      <c r="H553" s="33">
        <f t="shared" si="119"/>
        <v>0.48344370860927155</v>
      </c>
    </row>
    <row r="554" spans="1:8" x14ac:dyDescent="0.2">
      <c r="A554" s="30">
        <v>20</v>
      </c>
      <c r="B554" s="31">
        <v>112</v>
      </c>
      <c r="C554" s="62" t="s">
        <v>735</v>
      </c>
      <c r="D554" s="46">
        <v>165</v>
      </c>
      <c r="E554" s="2">
        <v>44</v>
      </c>
      <c r="F554" s="2">
        <f>443-(D554+E554)</f>
        <v>234</v>
      </c>
      <c r="G554" s="2">
        <f t="shared" si="118"/>
        <v>443</v>
      </c>
      <c r="H554" s="33">
        <f t="shared" si="119"/>
        <v>0.47178329571106092</v>
      </c>
    </row>
    <row r="555" spans="1:8" x14ac:dyDescent="0.2">
      <c r="A555" s="30">
        <v>20</v>
      </c>
      <c r="B555" s="31">
        <v>116</v>
      </c>
      <c r="C555" s="62" t="s">
        <v>734</v>
      </c>
      <c r="D555" s="46">
        <v>148</v>
      </c>
      <c r="E555" s="2">
        <v>51</v>
      </c>
      <c r="F555" s="2">
        <f>307-(D555+E555)</f>
        <v>108</v>
      </c>
      <c r="G555" s="2">
        <f t="shared" si="118"/>
        <v>307</v>
      </c>
      <c r="H555" s="33">
        <f t="shared" si="119"/>
        <v>0.64820846905537455</v>
      </c>
    </row>
    <row r="556" spans="1:8" x14ac:dyDescent="0.2">
      <c r="A556" s="30">
        <v>20</v>
      </c>
      <c r="B556" s="31">
        <v>120</v>
      </c>
      <c r="C556" s="62" t="s">
        <v>736</v>
      </c>
      <c r="D556" s="46">
        <v>79</v>
      </c>
      <c r="E556" s="2">
        <v>13</v>
      </c>
      <c r="F556" s="2">
        <f>175-(D556+E556)</f>
        <v>83</v>
      </c>
      <c r="G556" s="2">
        <f t="shared" si="118"/>
        <v>175</v>
      </c>
      <c r="H556" s="33">
        <f t="shared" si="119"/>
        <v>0.52571428571428569</v>
      </c>
    </row>
    <row r="557" spans="1:8" x14ac:dyDescent="0.2">
      <c r="A557" s="30">
        <v>20</v>
      </c>
      <c r="B557" s="31">
        <v>404</v>
      </c>
      <c r="C557" s="32" t="s">
        <v>215</v>
      </c>
      <c r="D557" s="46">
        <v>149</v>
      </c>
      <c r="E557" s="2">
        <v>51</v>
      </c>
      <c r="F557" s="2">
        <f>354-(D557+E557)</f>
        <v>154</v>
      </c>
      <c r="G557" s="2">
        <f t="shared" si="118"/>
        <v>354</v>
      </c>
      <c r="H557" s="33">
        <f t="shared" si="119"/>
        <v>0.56497175141242939</v>
      </c>
    </row>
    <row r="558" spans="1:8" ht="13.5" thickBot="1" x14ac:dyDescent="0.25">
      <c r="A558" s="30">
        <v>20</v>
      </c>
      <c r="B558" s="31">
        <v>704</v>
      </c>
      <c r="C558" s="32" t="s">
        <v>121</v>
      </c>
      <c r="D558" s="46">
        <v>218</v>
      </c>
      <c r="E558" s="2">
        <v>69</v>
      </c>
      <c r="F558" s="2">
        <f>626-(D558+E558)</f>
        <v>339</v>
      </c>
      <c r="G558" s="2">
        <f>SUM(D558:F558)</f>
        <v>626</v>
      </c>
      <c r="H558" s="33">
        <f>+(D558+E558)/G558</f>
        <v>0.45846645367412142</v>
      </c>
    </row>
    <row r="559" spans="1:8" ht="13.5" thickBot="1" x14ac:dyDescent="0.25">
      <c r="A559" s="34"/>
      <c r="B559" s="35">
        <f>COUNTA(B552:B558)</f>
        <v>7</v>
      </c>
      <c r="C559" s="36" t="s">
        <v>20</v>
      </c>
      <c r="D559" s="4">
        <f>SUM(D552:D558)</f>
        <v>904</v>
      </c>
      <c r="E559" s="4">
        <f>SUM(E552:E558)</f>
        <v>286</v>
      </c>
      <c r="F559" s="4">
        <f>SUM(F552:F558)</f>
        <v>1142</v>
      </c>
      <c r="G559" s="4">
        <f>SUM(G552:G558)</f>
        <v>2332</v>
      </c>
      <c r="H559" s="37">
        <f>+(D559+E559)/G559</f>
        <v>0.51029159519725553</v>
      </c>
    </row>
    <row r="560" spans="1:8" x14ac:dyDescent="0.2">
      <c r="A560" s="38"/>
      <c r="B560" s="39"/>
      <c r="C560" s="40"/>
      <c r="D560" s="5"/>
      <c r="E560" s="42"/>
      <c r="F560" s="41"/>
      <c r="G560" s="42"/>
      <c r="H560" s="43"/>
    </row>
    <row r="561" spans="1:8" x14ac:dyDescent="0.2">
      <c r="A561" s="38"/>
      <c r="B561" s="39"/>
      <c r="C561" s="45" t="s">
        <v>122</v>
      </c>
      <c r="D561" s="5"/>
      <c r="E561" s="42"/>
      <c r="F561" s="41"/>
      <c r="G561" s="42"/>
      <c r="H561" s="43"/>
    </row>
    <row r="562" spans="1:8" x14ac:dyDescent="0.2">
      <c r="A562" s="30">
        <v>21</v>
      </c>
      <c r="B562" s="31">
        <v>110</v>
      </c>
      <c r="C562" s="32" t="s">
        <v>123</v>
      </c>
      <c r="D562" s="46">
        <v>119</v>
      </c>
      <c r="E562" s="2">
        <v>34</v>
      </c>
      <c r="F562" s="2">
        <f>320-(D562+E562)</f>
        <v>167</v>
      </c>
      <c r="G562" s="2">
        <f>SUM(D562:F562)</f>
        <v>320</v>
      </c>
      <c r="H562" s="33">
        <f>+(D562+E562)/G562</f>
        <v>0.47812500000000002</v>
      </c>
    </row>
    <row r="563" spans="1:8" x14ac:dyDescent="0.2">
      <c r="A563" s="30">
        <v>21</v>
      </c>
      <c r="B563" s="31">
        <v>304</v>
      </c>
      <c r="C563" s="32" t="s">
        <v>124</v>
      </c>
      <c r="D563" s="46">
        <v>100</v>
      </c>
      <c r="E563" s="2">
        <v>25</v>
      </c>
      <c r="F563" s="2">
        <f>309-(D563+E563)</f>
        <v>184</v>
      </c>
      <c r="G563" s="2">
        <f>SUM(D563:F563)</f>
        <v>309</v>
      </c>
      <c r="H563" s="33">
        <f>+(D563+E563)/G563</f>
        <v>0.4045307443365696</v>
      </c>
    </row>
    <row r="564" spans="1:8" ht="13.5" thickBot="1" x14ac:dyDescent="0.25">
      <c r="A564" s="38">
        <v>21</v>
      </c>
      <c r="B564" s="39">
        <v>704</v>
      </c>
      <c r="C564" s="40" t="s">
        <v>125</v>
      </c>
      <c r="D564" s="46">
        <v>78</v>
      </c>
      <c r="E564" s="2">
        <v>21</v>
      </c>
      <c r="F564" s="2">
        <f>280-(D564+E564)</f>
        <v>181</v>
      </c>
      <c r="G564" s="2">
        <f>SUM(D564:F564)</f>
        <v>280</v>
      </c>
      <c r="H564" s="43">
        <f>+(D564+E564)/G564</f>
        <v>0.35357142857142859</v>
      </c>
    </row>
    <row r="565" spans="1:8" ht="13.5" thickBot="1" x14ac:dyDescent="0.25">
      <c r="A565" s="34"/>
      <c r="B565" s="35">
        <f>COUNTA(B562:B564)</f>
        <v>3</v>
      </c>
      <c r="C565" s="36" t="s">
        <v>20</v>
      </c>
      <c r="D565" s="4">
        <f>SUM(D562:D564)</f>
        <v>297</v>
      </c>
      <c r="E565" s="3">
        <f>SUM(E562:E564)</f>
        <v>80</v>
      </c>
      <c r="F565" s="80">
        <f>SUM(F562:F564)</f>
        <v>532</v>
      </c>
      <c r="G565" s="3">
        <f>SUM(D565:F565)</f>
        <v>909</v>
      </c>
      <c r="H565" s="37">
        <f>+(D565+E565)/G565</f>
        <v>0.41474147414741475</v>
      </c>
    </row>
    <row r="566" spans="1:8" x14ac:dyDescent="0.2">
      <c r="A566" s="38"/>
      <c r="B566" s="39"/>
      <c r="C566" s="40"/>
      <c r="D566" s="5"/>
      <c r="E566" s="42"/>
      <c r="F566" s="41"/>
      <c r="G566" s="42"/>
      <c r="H566" s="43"/>
    </row>
    <row r="567" spans="1:8" x14ac:dyDescent="0.2">
      <c r="A567" s="38"/>
      <c r="B567" s="39"/>
      <c r="C567" s="45" t="s">
        <v>126</v>
      </c>
      <c r="D567" s="5"/>
      <c r="E567" s="42"/>
      <c r="F567" s="41"/>
      <c r="G567" s="42"/>
      <c r="H567" s="43"/>
    </row>
    <row r="568" spans="1:8" x14ac:dyDescent="0.2">
      <c r="A568" s="30">
        <v>22</v>
      </c>
      <c r="B568" s="31">
        <v>104</v>
      </c>
      <c r="C568" s="62" t="s">
        <v>740</v>
      </c>
      <c r="D568" s="46">
        <v>148</v>
      </c>
      <c r="E568" s="2">
        <v>17</v>
      </c>
      <c r="F568" s="2">
        <f>658-(D568+E568)</f>
        <v>493</v>
      </c>
      <c r="G568" s="2">
        <f t="shared" ref="G568:G574" si="120">SUM(D568:F568)</f>
        <v>658</v>
      </c>
      <c r="H568" s="33">
        <f t="shared" ref="H568:H574" si="121">+(D568+E568)/G568</f>
        <v>0.25075987841945291</v>
      </c>
    </row>
    <row r="569" spans="1:8" x14ac:dyDescent="0.2">
      <c r="A569" s="30">
        <v>22</v>
      </c>
      <c r="B569" s="31">
        <v>108</v>
      </c>
      <c r="C569" s="62" t="s">
        <v>738</v>
      </c>
      <c r="D569" s="46">
        <v>209</v>
      </c>
      <c r="E569" s="2">
        <v>19</v>
      </c>
      <c r="F569" s="2">
        <f>441-(D569+E569)</f>
        <v>213</v>
      </c>
      <c r="G569" s="2">
        <f t="shared" si="120"/>
        <v>441</v>
      </c>
      <c r="H569" s="33">
        <f t="shared" si="121"/>
        <v>0.51700680272108845</v>
      </c>
    </row>
    <row r="570" spans="1:8" x14ac:dyDescent="0.2">
      <c r="A570" s="30">
        <v>22</v>
      </c>
      <c r="B570" s="31">
        <v>112</v>
      </c>
      <c r="C570" s="62" t="s">
        <v>737</v>
      </c>
      <c r="D570" s="46">
        <v>71</v>
      </c>
      <c r="E570" s="2">
        <v>19</v>
      </c>
      <c r="F570" s="2">
        <f>584-(D570+E570)</f>
        <v>494</v>
      </c>
      <c r="G570" s="2">
        <f t="shared" si="120"/>
        <v>584</v>
      </c>
      <c r="H570" s="33">
        <f t="shared" si="121"/>
        <v>0.1541095890410959</v>
      </c>
    </row>
    <row r="571" spans="1:8" x14ac:dyDescent="0.2">
      <c r="A571" s="30">
        <v>22</v>
      </c>
      <c r="B571" s="31">
        <v>116</v>
      </c>
      <c r="C571" s="62" t="s">
        <v>741</v>
      </c>
      <c r="D571" s="46">
        <v>79</v>
      </c>
      <c r="E571" s="2">
        <v>19</v>
      </c>
      <c r="F571" s="2">
        <f>537-(D571+E571)</f>
        <v>439</v>
      </c>
      <c r="G571" s="2">
        <f t="shared" si="120"/>
        <v>537</v>
      </c>
      <c r="H571" s="33">
        <f>+(D571+E571)/G571</f>
        <v>0.18249534450651769</v>
      </c>
    </row>
    <row r="572" spans="1:8" x14ac:dyDescent="0.2">
      <c r="A572" s="30">
        <v>22</v>
      </c>
      <c r="B572" s="31">
        <v>304</v>
      </c>
      <c r="C572" s="32" t="s">
        <v>127</v>
      </c>
      <c r="D572" s="46">
        <v>96</v>
      </c>
      <c r="E572" s="2">
        <v>20</v>
      </c>
      <c r="F572" s="2">
        <f>720-(D572+E572)</f>
        <v>604</v>
      </c>
      <c r="G572" s="2">
        <f t="shared" si="120"/>
        <v>720</v>
      </c>
      <c r="H572" s="33">
        <f t="shared" si="121"/>
        <v>0.16111111111111112</v>
      </c>
    </row>
    <row r="573" spans="1:8" x14ac:dyDescent="0.2">
      <c r="A573" s="133">
        <v>22</v>
      </c>
      <c r="B573" s="133">
        <v>308</v>
      </c>
      <c r="C573" s="139" t="s">
        <v>128</v>
      </c>
      <c r="D573" s="46">
        <v>118</v>
      </c>
      <c r="E573" s="2">
        <v>18</v>
      </c>
      <c r="F573" s="2">
        <f>700-(D573+E573)</f>
        <v>564</v>
      </c>
      <c r="G573" s="2">
        <f t="shared" ref="G573" si="122">SUM(D573:F573)</f>
        <v>700</v>
      </c>
      <c r="H573" s="33">
        <f t="shared" ref="H573" si="123">+(D573+E573)/G573</f>
        <v>0.19428571428571428</v>
      </c>
    </row>
    <row r="574" spans="1:8" ht="13.5" thickBot="1" x14ac:dyDescent="0.25">
      <c r="A574" s="73">
        <v>22</v>
      </c>
      <c r="B574" s="48">
        <v>704</v>
      </c>
      <c r="C574" s="65" t="s">
        <v>739</v>
      </c>
      <c r="D574" s="46">
        <v>135</v>
      </c>
      <c r="E574" s="2">
        <v>22</v>
      </c>
      <c r="F574" s="2">
        <f>1115-(D574+E574)</f>
        <v>958</v>
      </c>
      <c r="G574" s="2">
        <f t="shared" si="120"/>
        <v>1115</v>
      </c>
      <c r="H574" s="49">
        <f t="shared" si="121"/>
        <v>0.14080717488789238</v>
      </c>
    </row>
    <row r="575" spans="1:8" ht="13.5" thickBot="1" x14ac:dyDescent="0.25">
      <c r="A575" s="34"/>
      <c r="B575" s="35">
        <f>COUNTA(B568:B574)</f>
        <v>7</v>
      </c>
      <c r="C575" s="36" t="s">
        <v>20</v>
      </c>
      <c r="D575" s="4">
        <f>SUM(D568:D574)</f>
        <v>856</v>
      </c>
      <c r="E575" s="3">
        <f>SUM(E568:E574)</f>
        <v>134</v>
      </c>
      <c r="F575" s="80">
        <f>SUM(F568:F574)</f>
        <v>3765</v>
      </c>
      <c r="G575" s="3">
        <f>SUM(D575:F575)</f>
        <v>4755</v>
      </c>
      <c r="H575" s="37">
        <f>+(D575+E575)/G575</f>
        <v>0.20820189274447951</v>
      </c>
    </row>
    <row r="576" spans="1:8" x14ac:dyDescent="0.2">
      <c r="A576" s="38"/>
      <c r="B576" s="39"/>
      <c r="C576" s="40"/>
      <c r="D576" s="5"/>
      <c r="E576" s="42"/>
      <c r="F576" s="41"/>
      <c r="G576" s="42"/>
      <c r="H576" s="43"/>
    </row>
    <row r="577" spans="1:8" x14ac:dyDescent="0.2">
      <c r="A577" s="38"/>
      <c r="B577" s="39"/>
      <c r="C577" s="45" t="s">
        <v>129</v>
      </c>
      <c r="D577" s="5"/>
      <c r="E577" s="42"/>
      <c r="F577" s="41"/>
      <c r="G577" s="42"/>
      <c r="H577" s="43"/>
    </row>
    <row r="578" spans="1:8" x14ac:dyDescent="0.2">
      <c r="A578" s="30">
        <v>23</v>
      </c>
      <c r="B578" s="31">
        <v>104</v>
      </c>
      <c r="C578" s="62" t="s">
        <v>742</v>
      </c>
      <c r="D578" s="46">
        <v>78</v>
      </c>
      <c r="E578" s="2">
        <v>37</v>
      </c>
      <c r="F578" s="2">
        <f>142-(D578+E578)</f>
        <v>27</v>
      </c>
      <c r="G578" s="2">
        <f>SUM(D578:F578)</f>
        <v>142</v>
      </c>
      <c r="H578" s="33">
        <f>+(D578+E578)/G578</f>
        <v>0.8098591549295775</v>
      </c>
    </row>
    <row r="579" spans="1:8" x14ac:dyDescent="0.2">
      <c r="A579" s="30">
        <v>23</v>
      </c>
      <c r="B579" s="31">
        <v>112</v>
      </c>
      <c r="C579" s="62" t="s">
        <v>743</v>
      </c>
      <c r="D579" s="46">
        <v>23</v>
      </c>
      <c r="E579" s="2">
        <v>17</v>
      </c>
      <c r="F579" s="2">
        <f>47-(D579+E579)</f>
        <v>7</v>
      </c>
      <c r="G579" s="2">
        <f>SUM(D579:F579)</f>
        <v>47</v>
      </c>
      <c r="H579" s="33">
        <f>+(D579+E579)/G579</f>
        <v>0.85106382978723405</v>
      </c>
    </row>
    <row r="580" spans="1:8" ht="13.5" thickBot="1" x14ac:dyDescent="0.25">
      <c r="A580" s="38">
        <v>23</v>
      </c>
      <c r="B580" s="39">
        <v>708</v>
      </c>
      <c r="C580" s="40" t="s">
        <v>130</v>
      </c>
      <c r="D580" s="46">
        <v>65</v>
      </c>
      <c r="E580" s="2">
        <v>32</v>
      </c>
      <c r="F580" s="2">
        <f>163-(D580+E580)</f>
        <v>66</v>
      </c>
      <c r="G580" s="2">
        <f>SUM(D580:F580)</f>
        <v>163</v>
      </c>
      <c r="H580" s="43">
        <f>+(D580+E580)/G580</f>
        <v>0.59509202453987731</v>
      </c>
    </row>
    <row r="581" spans="1:8" ht="13.5" thickBot="1" x14ac:dyDescent="0.25">
      <c r="A581" s="34"/>
      <c r="B581" s="35">
        <f>COUNTA(B578:B580)</f>
        <v>3</v>
      </c>
      <c r="C581" s="36" t="s">
        <v>20</v>
      </c>
      <c r="D581" s="4">
        <f>SUM(D578:D580)</f>
        <v>166</v>
      </c>
      <c r="E581" s="3">
        <f>SUM(E578:E580)</f>
        <v>86</v>
      </c>
      <c r="F581" s="80">
        <f>SUM(F578:F580)</f>
        <v>100</v>
      </c>
      <c r="G581" s="3">
        <f>SUM(D581:F581)</f>
        <v>352</v>
      </c>
      <c r="H581" s="37">
        <f>+(D581+E581)/G581</f>
        <v>0.71590909090909094</v>
      </c>
    </row>
    <row r="582" spans="1:8" x14ac:dyDescent="0.2">
      <c r="A582" s="38"/>
      <c r="B582" s="39"/>
      <c r="C582" s="40"/>
      <c r="D582" s="5"/>
      <c r="E582" s="42"/>
      <c r="F582" s="41"/>
      <c r="G582" s="42"/>
      <c r="H582" s="43"/>
    </row>
    <row r="583" spans="1:8" x14ac:dyDescent="0.2">
      <c r="A583" s="38"/>
      <c r="B583" s="39"/>
      <c r="C583" s="45" t="s">
        <v>131</v>
      </c>
      <c r="D583" s="5"/>
      <c r="E583" s="42"/>
      <c r="F583" s="41"/>
      <c r="G583" s="42"/>
      <c r="H583" s="43"/>
    </row>
    <row r="584" spans="1:8" x14ac:dyDescent="0.2">
      <c r="A584" s="30">
        <v>24</v>
      </c>
      <c r="B584" s="31">
        <v>110</v>
      </c>
      <c r="C584" s="32" t="s">
        <v>209</v>
      </c>
      <c r="D584" s="46">
        <v>58</v>
      </c>
      <c r="E584" s="2">
        <v>13</v>
      </c>
      <c r="F584" s="2">
        <f>119-(D584+E584)</f>
        <v>48</v>
      </c>
      <c r="G584" s="2">
        <f>SUM(D584:F584)</f>
        <v>119</v>
      </c>
      <c r="H584" s="33">
        <f>+(D584+E584)/G584</f>
        <v>0.59663865546218486</v>
      </c>
    </row>
    <row r="585" spans="1:8" x14ac:dyDescent="0.2">
      <c r="A585" s="30">
        <v>24</v>
      </c>
      <c r="B585" s="31">
        <v>112</v>
      </c>
      <c r="C585" s="32" t="s">
        <v>210</v>
      </c>
      <c r="D585" s="46">
        <v>75</v>
      </c>
      <c r="E585" s="2">
        <v>10</v>
      </c>
      <c r="F585" s="2">
        <f>127-(D585+E585)</f>
        <v>42</v>
      </c>
      <c r="G585" s="2">
        <f>SUM(D585:F585)</f>
        <v>127</v>
      </c>
      <c r="H585" s="33">
        <f>+(D585+E585)/G585</f>
        <v>0.6692913385826772</v>
      </c>
    </row>
    <row r="586" spans="1:8" x14ac:dyDescent="0.2">
      <c r="A586" s="30">
        <v>24</v>
      </c>
      <c r="B586" s="31">
        <v>304</v>
      </c>
      <c r="C586" s="119" t="s">
        <v>211</v>
      </c>
      <c r="D586" s="46">
        <v>55</v>
      </c>
      <c r="E586" s="2">
        <v>8</v>
      </c>
      <c r="F586" s="2">
        <f>113-(D586+E586)</f>
        <v>50</v>
      </c>
      <c r="G586" s="2">
        <f>SUM(D586:F586)</f>
        <v>113</v>
      </c>
      <c r="H586" s="33">
        <f>+(D586+E586)/G586</f>
        <v>0.55752212389380529</v>
      </c>
    </row>
    <row r="587" spans="1:8" ht="13.5" thickBot="1" x14ac:dyDescent="0.25">
      <c r="A587" s="38">
        <v>24</v>
      </c>
      <c r="B587" s="39">
        <v>708</v>
      </c>
      <c r="C587" s="140" t="s">
        <v>212</v>
      </c>
      <c r="D587" s="46">
        <v>62</v>
      </c>
      <c r="E587" s="2">
        <v>7</v>
      </c>
      <c r="F587" s="2">
        <f>124-(D587+E587)</f>
        <v>55</v>
      </c>
      <c r="G587" s="2">
        <f>SUM(D587:F587)</f>
        <v>124</v>
      </c>
      <c r="H587" s="43">
        <f>+(D587+E587)/G587</f>
        <v>0.55645161290322576</v>
      </c>
    </row>
    <row r="588" spans="1:8" ht="13.5" thickBot="1" x14ac:dyDescent="0.25">
      <c r="A588" s="34"/>
      <c r="B588" s="35">
        <f>COUNTA(B584:B587)</f>
        <v>4</v>
      </c>
      <c r="C588" s="36" t="s">
        <v>20</v>
      </c>
      <c r="D588" s="4">
        <f>SUM(D584:D587)</f>
        <v>250</v>
      </c>
      <c r="E588" s="3">
        <f>SUM(E584:E587)</f>
        <v>38</v>
      </c>
      <c r="F588" s="80">
        <f>SUM(F584:F587)</f>
        <v>195</v>
      </c>
      <c r="G588" s="3">
        <f>SUM(D588:F588)</f>
        <v>483</v>
      </c>
      <c r="H588" s="37">
        <f>+(D588+E588)/G588</f>
        <v>0.59627329192546585</v>
      </c>
    </row>
    <row r="589" spans="1:8" x14ac:dyDescent="0.2">
      <c r="A589" s="38"/>
      <c r="B589" s="39"/>
      <c r="C589" s="40"/>
      <c r="D589" s="5"/>
      <c r="E589" s="42"/>
      <c r="F589" s="41"/>
      <c r="G589" s="42"/>
      <c r="H589" s="43"/>
    </row>
    <row r="590" spans="1:8" x14ac:dyDescent="0.2">
      <c r="A590" s="38"/>
      <c r="B590" s="39"/>
      <c r="C590" s="45" t="s">
        <v>132</v>
      </c>
      <c r="D590" s="5"/>
      <c r="E590" s="42"/>
      <c r="F590" s="41"/>
      <c r="G590" s="42"/>
      <c r="H590" s="43"/>
    </row>
    <row r="591" spans="1:8" x14ac:dyDescent="0.2">
      <c r="A591" s="30">
        <v>25</v>
      </c>
      <c r="B591" s="31">
        <v>104</v>
      </c>
      <c r="C591" s="62" t="s">
        <v>745</v>
      </c>
      <c r="D591" s="46">
        <v>335</v>
      </c>
      <c r="E591" s="2">
        <v>70</v>
      </c>
      <c r="F591" s="2">
        <f>644-(D591+E591)</f>
        <v>239</v>
      </c>
      <c r="G591" s="2">
        <f t="shared" ref="G591:G602" si="124">SUM(D591:F591)</f>
        <v>644</v>
      </c>
      <c r="H591" s="33">
        <f t="shared" ref="H591:H602" si="125">+(D591+E591)/G591</f>
        <v>0.6288819875776398</v>
      </c>
    </row>
    <row r="592" spans="1:8" x14ac:dyDescent="0.2">
      <c r="A592" s="30">
        <v>25</v>
      </c>
      <c r="B592" s="31">
        <v>108</v>
      </c>
      <c r="C592" s="62" t="s">
        <v>746</v>
      </c>
      <c r="D592" s="46">
        <v>92</v>
      </c>
      <c r="E592" s="2">
        <v>3</v>
      </c>
      <c r="F592" s="2">
        <f>113-(D592+E592)</f>
        <v>18</v>
      </c>
      <c r="G592" s="2">
        <f t="shared" si="124"/>
        <v>113</v>
      </c>
      <c r="H592" s="33">
        <f t="shared" si="125"/>
        <v>0.84070796460176989</v>
      </c>
    </row>
    <row r="593" spans="1:8" x14ac:dyDescent="0.2">
      <c r="A593" s="30">
        <v>25</v>
      </c>
      <c r="B593" s="31">
        <v>124</v>
      </c>
      <c r="C593" s="62" t="s">
        <v>747</v>
      </c>
      <c r="D593" s="46">
        <v>5</v>
      </c>
      <c r="E593" s="2">
        <v>14</v>
      </c>
      <c r="F593" s="2">
        <f>19-(D593+E593)</f>
        <v>0</v>
      </c>
      <c r="G593" s="2">
        <f t="shared" si="124"/>
        <v>19</v>
      </c>
      <c r="H593" s="33">
        <f t="shared" si="125"/>
        <v>1</v>
      </c>
    </row>
    <row r="594" spans="1:8" x14ac:dyDescent="0.2">
      <c r="A594" s="30">
        <v>25</v>
      </c>
      <c r="B594" s="31">
        <v>136</v>
      </c>
      <c r="C594" s="32" t="s">
        <v>133</v>
      </c>
      <c r="D594" s="46">
        <v>173</v>
      </c>
      <c r="E594" s="2">
        <v>8</v>
      </c>
      <c r="F594" s="2">
        <f>219-(D594+E594)</f>
        <v>38</v>
      </c>
      <c r="G594" s="2">
        <f t="shared" si="124"/>
        <v>219</v>
      </c>
      <c r="H594" s="33">
        <f t="shared" si="125"/>
        <v>0.82648401826484019</v>
      </c>
    </row>
    <row r="595" spans="1:8" x14ac:dyDescent="0.2">
      <c r="A595" s="30">
        <v>25</v>
      </c>
      <c r="B595" s="31">
        <v>140</v>
      </c>
      <c r="C595" s="62" t="s">
        <v>748</v>
      </c>
      <c r="D595" s="46">
        <v>97</v>
      </c>
      <c r="E595" s="2">
        <v>46</v>
      </c>
      <c r="F595" s="2">
        <f>320-(D595+E595)</f>
        <v>177</v>
      </c>
      <c r="G595" s="2">
        <f t="shared" si="124"/>
        <v>320</v>
      </c>
      <c r="H595" s="33">
        <f t="shared" si="125"/>
        <v>0.44687500000000002</v>
      </c>
    </row>
    <row r="596" spans="1:8" x14ac:dyDescent="0.2">
      <c r="A596" s="30">
        <v>25</v>
      </c>
      <c r="B596" s="31">
        <v>148</v>
      </c>
      <c r="C596" s="62" t="s">
        <v>1012</v>
      </c>
      <c r="D596" s="46">
        <v>247</v>
      </c>
      <c r="E596" s="2">
        <v>22</v>
      </c>
      <c r="F596" s="2">
        <f>285-(D596+E596)</f>
        <v>16</v>
      </c>
      <c r="G596" s="2">
        <f t="shared" ref="G596" si="126">SUM(D596:F596)</f>
        <v>285</v>
      </c>
      <c r="H596" s="33">
        <f t="shared" ref="H596" si="127">+(D596+E596)/G596</f>
        <v>0.94385964912280707</v>
      </c>
    </row>
    <row r="597" spans="1:8" x14ac:dyDescent="0.2">
      <c r="A597" s="30">
        <v>25</v>
      </c>
      <c r="B597" s="31">
        <v>308</v>
      </c>
      <c r="C597" s="62" t="s">
        <v>744</v>
      </c>
      <c r="D597" s="46">
        <v>178</v>
      </c>
      <c r="E597" s="2">
        <v>31</v>
      </c>
      <c r="F597" s="2">
        <f>330-(D597+E597)</f>
        <v>121</v>
      </c>
      <c r="G597" s="2">
        <f t="shared" si="124"/>
        <v>330</v>
      </c>
      <c r="H597" s="33">
        <f t="shared" si="125"/>
        <v>0.6333333333333333</v>
      </c>
    </row>
    <row r="598" spans="1:8" x14ac:dyDescent="0.2">
      <c r="A598" s="30">
        <v>25</v>
      </c>
      <c r="B598" s="31">
        <v>704</v>
      </c>
      <c r="C598" s="32" t="s">
        <v>134</v>
      </c>
      <c r="D598" s="46">
        <v>74</v>
      </c>
      <c r="E598" s="2">
        <v>32</v>
      </c>
      <c r="F598" s="2">
        <f>261-(D598+E598)</f>
        <v>155</v>
      </c>
      <c r="G598" s="2">
        <f t="shared" si="124"/>
        <v>261</v>
      </c>
      <c r="H598" s="33">
        <f t="shared" si="125"/>
        <v>0.4061302681992337</v>
      </c>
    </row>
    <row r="599" spans="1:8" x14ac:dyDescent="0.2">
      <c r="A599" s="30">
        <v>25</v>
      </c>
      <c r="B599" s="31">
        <v>706</v>
      </c>
      <c r="C599" s="32" t="s">
        <v>135</v>
      </c>
      <c r="D599" s="46">
        <v>211</v>
      </c>
      <c r="E599" s="2">
        <v>14</v>
      </c>
      <c r="F599" s="2">
        <f>236-(D599+E599)</f>
        <v>11</v>
      </c>
      <c r="G599" s="2">
        <f t="shared" si="124"/>
        <v>236</v>
      </c>
      <c r="H599" s="33">
        <f t="shared" si="125"/>
        <v>0.95338983050847459</v>
      </c>
    </row>
    <row r="600" spans="1:8" x14ac:dyDescent="0.2">
      <c r="A600" s="30">
        <v>25</v>
      </c>
      <c r="B600" s="31">
        <v>708</v>
      </c>
      <c r="C600" s="32" t="s">
        <v>136</v>
      </c>
      <c r="D600" s="46">
        <v>184</v>
      </c>
      <c r="E600" s="2">
        <v>32</v>
      </c>
      <c r="F600" s="2">
        <f>418-(D600+E600)</f>
        <v>202</v>
      </c>
      <c r="G600" s="2">
        <f t="shared" si="124"/>
        <v>418</v>
      </c>
      <c r="H600" s="33">
        <f t="shared" si="125"/>
        <v>0.51674641148325362</v>
      </c>
    </row>
    <row r="601" spans="1:8" x14ac:dyDescent="0.2">
      <c r="A601" s="30">
        <v>25</v>
      </c>
      <c r="B601" s="31">
        <v>710</v>
      </c>
      <c r="C601" s="32" t="s">
        <v>137</v>
      </c>
      <c r="D601" s="46">
        <v>244</v>
      </c>
      <c r="E601" s="2">
        <v>19</v>
      </c>
      <c r="F601" s="2">
        <f>292-(D601+E601)</f>
        <v>29</v>
      </c>
      <c r="G601" s="2">
        <f t="shared" si="124"/>
        <v>292</v>
      </c>
      <c r="H601" s="33">
        <f t="shared" si="125"/>
        <v>0.90068493150684936</v>
      </c>
    </row>
    <row r="602" spans="1:8" ht="13.5" thickBot="1" x14ac:dyDescent="0.25">
      <c r="A602" s="30">
        <v>25</v>
      </c>
      <c r="B602" s="31">
        <v>712</v>
      </c>
      <c r="C602" s="32" t="s">
        <v>138</v>
      </c>
      <c r="D602" s="46">
        <v>20</v>
      </c>
      <c r="E602" s="2">
        <v>14</v>
      </c>
      <c r="F602" s="2">
        <f>34-(D602+E602)</f>
        <v>0</v>
      </c>
      <c r="G602" s="2">
        <f t="shared" si="124"/>
        <v>34</v>
      </c>
      <c r="H602" s="33">
        <f t="shared" si="125"/>
        <v>1</v>
      </c>
    </row>
    <row r="603" spans="1:8" ht="13.5" thickBot="1" x14ac:dyDescent="0.25">
      <c r="A603" s="34"/>
      <c r="B603" s="35">
        <f>COUNTA(B591:B602)</f>
        <v>12</v>
      </c>
      <c r="C603" s="36" t="s">
        <v>20</v>
      </c>
      <c r="D603" s="4">
        <f>SUM(D591:D602)</f>
        <v>1860</v>
      </c>
      <c r="E603" s="3">
        <f>SUM(E591:E602)</f>
        <v>305</v>
      </c>
      <c r="F603" s="80">
        <f>SUM(F591:F602)</f>
        <v>1006</v>
      </c>
      <c r="G603" s="3">
        <f>SUM(D603:F603)</f>
        <v>3171</v>
      </c>
      <c r="H603" s="37">
        <f>+(D603+E603)/G603</f>
        <v>0.68274992116051714</v>
      </c>
    </row>
    <row r="604" spans="1:8" x14ac:dyDescent="0.2">
      <c r="A604" s="38"/>
      <c r="B604" s="39"/>
      <c r="C604" s="40"/>
      <c r="D604" s="5"/>
      <c r="E604" s="42"/>
      <c r="F604" s="41"/>
      <c r="G604" s="42"/>
      <c r="H604" s="43"/>
    </row>
    <row r="605" spans="1:8" x14ac:dyDescent="0.2">
      <c r="A605" s="38"/>
      <c r="B605" s="39"/>
      <c r="C605" s="45" t="s">
        <v>139</v>
      </c>
      <c r="D605" s="5"/>
      <c r="E605" s="42"/>
      <c r="F605" s="41"/>
      <c r="G605" s="42"/>
      <c r="H605" s="43"/>
    </row>
    <row r="606" spans="1:8" x14ac:dyDescent="0.2">
      <c r="A606" s="30">
        <v>26</v>
      </c>
      <c r="B606" s="31">
        <v>104</v>
      </c>
      <c r="C606" s="62" t="s">
        <v>749</v>
      </c>
      <c r="D606" s="46">
        <v>210</v>
      </c>
      <c r="E606" s="2">
        <v>63</v>
      </c>
      <c r="F606" s="2">
        <f>511-(D606+E606)</f>
        <v>238</v>
      </c>
      <c r="G606" s="2">
        <f t="shared" ref="G606:G617" si="128">SUM(D606:F606)</f>
        <v>511</v>
      </c>
      <c r="H606" s="33">
        <f t="shared" ref="H606:H617" si="129">+(D606+E606)/G606</f>
        <v>0.53424657534246578</v>
      </c>
    </row>
    <row r="607" spans="1:8" x14ac:dyDescent="0.2">
      <c r="A607" s="30">
        <v>26</v>
      </c>
      <c r="B607" s="31">
        <v>116</v>
      </c>
      <c r="C607" s="62" t="s">
        <v>750</v>
      </c>
      <c r="D607" s="46">
        <v>8</v>
      </c>
      <c r="E607" s="2">
        <v>12</v>
      </c>
      <c r="F607" s="2">
        <f>37-(D607+E607)</f>
        <v>17</v>
      </c>
      <c r="G607" s="2">
        <f t="shared" si="128"/>
        <v>37</v>
      </c>
      <c r="H607" s="33">
        <f t="shared" si="129"/>
        <v>0.54054054054054057</v>
      </c>
    </row>
    <row r="608" spans="1:8" x14ac:dyDescent="0.2">
      <c r="A608" s="30">
        <v>26</v>
      </c>
      <c r="B608" s="31">
        <v>120</v>
      </c>
      <c r="C608" s="62" t="s">
        <v>621</v>
      </c>
      <c r="D608" s="46">
        <v>257</v>
      </c>
      <c r="E608" s="2">
        <v>110</v>
      </c>
      <c r="F608" s="2">
        <f>681-(D608+E608)</f>
        <v>314</v>
      </c>
      <c r="G608" s="2">
        <f t="shared" si="128"/>
        <v>681</v>
      </c>
      <c r="H608" s="33">
        <f t="shared" si="129"/>
        <v>0.53891336270190893</v>
      </c>
    </row>
    <row r="609" spans="1:8" x14ac:dyDescent="0.2">
      <c r="A609" s="30">
        <v>26</v>
      </c>
      <c r="B609" s="31">
        <v>124</v>
      </c>
      <c r="C609" s="62" t="s">
        <v>752</v>
      </c>
      <c r="D609" s="46">
        <v>184</v>
      </c>
      <c r="E609" s="2">
        <v>62</v>
      </c>
      <c r="F609" s="2">
        <f>490-(D609+E609)</f>
        <v>244</v>
      </c>
      <c r="G609" s="2">
        <f t="shared" si="128"/>
        <v>490</v>
      </c>
      <c r="H609" s="33">
        <f t="shared" si="129"/>
        <v>0.50204081632653064</v>
      </c>
    </row>
    <row r="610" spans="1:8" x14ac:dyDescent="0.2">
      <c r="A610" s="30">
        <v>26</v>
      </c>
      <c r="B610" s="31">
        <v>132</v>
      </c>
      <c r="C610" s="62" t="s">
        <v>753</v>
      </c>
      <c r="D610" s="46">
        <v>190</v>
      </c>
      <c r="E610" s="2">
        <v>83</v>
      </c>
      <c r="F610" s="2">
        <f>533-(D610+E610)</f>
        <v>260</v>
      </c>
      <c r="G610" s="2">
        <f t="shared" si="128"/>
        <v>533</v>
      </c>
      <c r="H610" s="33">
        <f t="shared" si="129"/>
        <v>0.51219512195121952</v>
      </c>
    </row>
    <row r="611" spans="1:8" x14ac:dyDescent="0.2">
      <c r="A611" s="30">
        <v>26</v>
      </c>
      <c r="B611" s="31">
        <v>310</v>
      </c>
      <c r="C611" s="32" t="s">
        <v>140</v>
      </c>
      <c r="D611" s="46">
        <v>96</v>
      </c>
      <c r="E611" s="2">
        <v>31</v>
      </c>
      <c r="F611" s="2">
        <f>242-(D611+E611)</f>
        <v>115</v>
      </c>
      <c r="G611" s="2">
        <f t="shared" si="128"/>
        <v>242</v>
      </c>
      <c r="H611" s="33">
        <f t="shared" si="129"/>
        <v>0.52479338842975209</v>
      </c>
    </row>
    <row r="612" spans="1:8" x14ac:dyDescent="0.2">
      <c r="A612" s="30">
        <v>26</v>
      </c>
      <c r="B612" s="31">
        <v>320</v>
      </c>
      <c r="C612" s="32" t="s">
        <v>141</v>
      </c>
      <c r="D612" s="46">
        <v>116</v>
      </c>
      <c r="E612" s="2">
        <v>42</v>
      </c>
      <c r="F612" s="2">
        <f>318-(D612+E612)</f>
        <v>160</v>
      </c>
      <c r="G612" s="2">
        <f t="shared" si="128"/>
        <v>318</v>
      </c>
      <c r="H612" s="33">
        <f t="shared" si="129"/>
        <v>0.49685534591194969</v>
      </c>
    </row>
    <row r="613" spans="1:8" x14ac:dyDescent="0.2">
      <c r="A613" s="30">
        <v>26</v>
      </c>
      <c r="B613" s="31">
        <v>330</v>
      </c>
      <c r="C613" s="32" t="s">
        <v>142</v>
      </c>
      <c r="D613" s="46">
        <v>153</v>
      </c>
      <c r="E613" s="2">
        <v>64</v>
      </c>
      <c r="F613" s="2">
        <f>447-(D613+E613)</f>
        <v>230</v>
      </c>
      <c r="G613" s="2">
        <f t="shared" si="128"/>
        <v>447</v>
      </c>
      <c r="H613" s="33">
        <f t="shared" si="129"/>
        <v>0.4854586129753915</v>
      </c>
    </row>
    <row r="614" spans="1:8" x14ac:dyDescent="0.2">
      <c r="A614" s="30">
        <v>26</v>
      </c>
      <c r="B614" s="31">
        <v>704</v>
      </c>
      <c r="C614" s="62" t="s">
        <v>751</v>
      </c>
      <c r="D614" s="46">
        <v>71</v>
      </c>
      <c r="E614" s="2">
        <v>24</v>
      </c>
      <c r="F614" s="2">
        <f>266-(D614+E614)</f>
        <v>171</v>
      </c>
      <c r="G614" s="2">
        <f t="shared" si="128"/>
        <v>266</v>
      </c>
      <c r="H614" s="33">
        <f t="shared" si="129"/>
        <v>0.35714285714285715</v>
      </c>
    </row>
    <row r="615" spans="1:8" x14ac:dyDescent="0.2">
      <c r="A615" s="30">
        <v>26</v>
      </c>
      <c r="B615" s="31">
        <v>708</v>
      </c>
      <c r="C615" s="32" t="s">
        <v>143</v>
      </c>
      <c r="D615" s="46">
        <v>197</v>
      </c>
      <c r="E615" s="2">
        <v>56</v>
      </c>
      <c r="F615" s="2">
        <f>654-(D615+E615)</f>
        <v>401</v>
      </c>
      <c r="G615" s="2">
        <f t="shared" si="128"/>
        <v>654</v>
      </c>
      <c r="H615" s="33">
        <f t="shared" si="129"/>
        <v>0.38685015290519875</v>
      </c>
    </row>
    <row r="616" spans="1:8" x14ac:dyDescent="0.2">
      <c r="A616" s="30">
        <v>26</v>
      </c>
      <c r="B616" s="31">
        <v>712</v>
      </c>
      <c r="C616" s="62" t="s">
        <v>144</v>
      </c>
      <c r="D616" s="46">
        <v>165</v>
      </c>
      <c r="E616" s="2">
        <v>35</v>
      </c>
      <c r="F616" s="2">
        <f>458-(D616+E616)</f>
        <v>258</v>
      </c>
      <c r="G616" s="2">
        <f t="shared" ref="G616" si="130">SUM(D616:F616)</f>
        <v>458</v>
      </c>
      <c r="H616" s="33">
        <f t="shared" ref="H616" si="131">+(D616+E616)/G616</f>
        <v>0.4366812227074236</v>
      </c>
    </row>
    <row r="617" spans="1:8" ht="13.5" thickBot="1" x14ac:dyDescent="0.25">
      <c r="A617" s="38">
        <v>26</v>
      </c>
      <c r="B617" s="39">
        <v>716</v>
      </c>
      <c r="C617" s="40" t="s">
        <v>145</v>
      </c>
      <c r="D617" s="46">
        <v>38</v>
      </c>
      <c r="E617" s="2">
        <v>5</v>
      </c>
      <c r="F617" s="2">
        <f>65-(D617+E617)</f>
        <v>22</v>
      </c>
      <c r="G617" s="2">
        <f t="shared" si="128"/>
        <v>65</v>
      </c>
      <c r="H617" s="43">
        <f t="shared" si="129"/>
        <v>0.66153846153846152</v>
      </c>
    </row>
    <row r="618" spans="1:8" ht="13.5" thickBot="1" x14ac:dyDescent="0.25">
      <c r="A618" s="34"/>
      <c r="B618" s="35">
        <f>COUNTA(B606:B617)</f>
        <v>12</v>
      </c>
      <c r="C618" s="36" t="s">
        <v>20</v>
      </c>
      <c r="D618" s="4">
        <f>SUM(D606:D617)</f>
        <v>1685</v>
      </c>
      <c r="E618" s="3">
        <f>SUM(E606:E617)</f>
        <v>587</v>
      </c>
      <c r="F618" s="80">
        <f>SUM(F606:F617)</f>
        <v>2430</v>
      </c>
      <c r="G618" s="3">
        <f>SUM(D618:F618)</f>
        <v>4702</v>
      </c>
      <c r="H618" s="37">
        <f>+(D618+E618)/G618</f>
        <v>0.48319863887707359</v>
      </c>
    </row>
    <row r="619" spans="1:8" x14ac:dyDescent="0.2">
      <c r="A619" s="38"/>
      <c r="B619" s="39"/>
      <c r="C619" s="40"/>
      <c r="D619" s="5"/>
      <c r="E619" s="42"/>
      <c r="F619" s="41"/>
      <c r="G619" s="42"/>
      <c r="H619" s="43"/>
    </row>
    <row r="620" spans="1:8" x14ac:dyDescent="0.2">
      <c r="A620" s="38"/>
      <c r="B620" s="39"/>
      <c r="C620" s="45" t="s">
        <v>146</v>
      </c>
      <c r="D620" s="5"/>
      <c r="E620" s="42"/>
      <c r="F620" s="41"/>
      <c r="G620" s="42"/>
      <c r="H620" s="43"/>
    </row>
    <row r="621" spans="1:8" x14ac:dyDescent="0.2">
      <c r="A621" s="30">
        <v>27</v>
      </c>
      <c r="B621" s="31">
        <v>108</v>
      </c>
      <c r="C621" s="62" t="s">
        <v>754</v>
      </c>
      <c r="D621" s="46">
        <v>189</v>
      </c>
      <c r="E621" s="2">
        <v>93</v>
      </c>
      <c r="F621" s="2">
        <f>507-(D621+E621)</f>
        <v>225</v>
      </c>
      <c r="G621" s="2">
        <f t="shared" ref="G621:G627" si="132">SUM(D621:F621)</f>
        <v>507</v>
      </c>
      <c r="H621" s="33">
        <f t="shared" ref="H621:H627" si="133">+(D621+E621)/G621</f>
        <v>0.55621301775147924</v>
      </c>
    </row>
    <row r="622" spans="1:8" x14ac:dyDescent="0.2">
      <c r="A622" s="30">
        <v>27</v>
      </c>
      <c r="B622" s="31">
        <v>112</v>
      </c>
      <c r="C622" s="62" t="s">
        <v>441</v>
      </c>
      <c r="D622" s="90">
        <v>218</v>
      </c>
      <c r="E622" s="102">
        <v>95</v>
      </c>
      <c r="F622" s="2">
        <f>482-(D622+E622)</f>
        <v>169</v>
      </c>
      <c r="G622" s="2">
        <f t="shared" si="132"/>
        <v>482</v>
      </c>
      <c r="H622" s="33">
        <f t="shared" si="133"/>
        <v>0.64937759336099588</v>
      </c>
    </row>
    <row r="623" spans="1:8" x14ac:dyDescent="0.2">
      <c r="A623" s="30">
        <v>27</v>
      </c>
      <c r="B623" s="31">
        <v>116</v>
      </c>
      <c r="C623" s="62" t="s">
        <v>755</v>
      </c>
      <c r="D623" s="90">
        <v>152</v>
      </c>
      <c r="E623" s="102">
        <v>65</v>
      </c>
      <c r="F623" s="2">
        <f>369-(D623+E623)</f>
        <v>152</v>
      </c>
      <c r="G623" s="2">
        <f t="shared" si="132"/>
        <v>369</v>
      </c>
      <c r="H623" s="33">
        <f t="shared" si="133"/>
        <v>0.58807588075880757</v>
      </c>
    </row>
    <row r="624" spans="1:8" x14ac:dyDescent="0.2">
      <c r="A624" s="30">
        <v>27</v>
      </c>
      <c r="B624" s="31">
        <v>302</v>
      </c>
      <c r="C624" s="32" t="s">
        <v>147</v>
      </c>
      <c r="D624" s="90">
        <v>94</v>
      </c>
      <c r="E624" s="102">
        <v>52</v>
      </c>
      <c r="F624" s="2">
        <f>271-(D624+E624)</f>
        <v>125</v>
      </c>
      <c r="G624" s="2">
        <f t="shared" si="132"/>
        <v>271</v>
      </c>
      <c r="H624" s="33">
        <f t="shared" si="133"/>
        <v>0.53874538745387457</v>
      </c>
    </row>
    <row r="625" spans="1:8" x14ac:dyDescent="0.2">
      <c r="A625" s="30">
        <v>27</v>
      </c>
      <c r="B625" s="31">
        <v>304</v>
      </c>
      <c r="C625" s="32" t="s">
        <v>148</v>
      </c>
      <c r="D625" s="90">
        <v>159</v>
      </c>
      <c r="E625" s="102">
        <v>63</v>
      </c>
      <c r="F625" s="2">
        <f>455-(D625+E625)</f>
        <v>233</v>
      </c>
      <c r="G625" s="2">
        <f t="shared" si="132"/>
        <v>455</v>
      </c>
      <c r="H625" s="33">
        <f t="shared" si="133"/>
        <v>0.4879120879120879</v>
      </c>
    </row>
    <row r="626" spans="1:8" x14ac:dyDescent="0.2">
      <c r="A626" s="30">
        <v>27</v>
      </c>
      <c r="B626" s="31">
        <v>704</v>
      </c>
      <c r="C626" s="32" t="s">
        <v>149</v>
      </c>
      <c r="D626" s="90">
        <v>104</v>
      </c>
      <c r="E626" s="102">
        <v>61</v>
      </c>
      <c r="F626" s="2">
        <f>335-(D626+E626)</f>
        <v>170</v>
      </c>
      <c r="G626" s="2">
        <f t="shared" si="132"/>
        <v>335</v>
      </c>
      <c r="H626" s="33">
        <f t="shared" si="133"/>
        <v>0.4925373134328358</v>
      </c>
    </row>
    <row r="627" spans="1:8" ht="13.5" thickBot="1" x14ac:dyDescent="0.25">
      <c r="A627" s="38">
        <v>27</v>
      </c>
      <c r="B627" s="39">
        <v>708</v>
      </c>
      <c r="C627" s="40" t="s">
        <v>150</v>
      </c>
      <c r="D627" s="90">
        <v>179</v>
      </c>
      <c r="E627" s="102">
        <v>70</v>
      </c>
      <c r="F627" s="2">
        <f>590-(D627+E627)</f>
        <v>341</v>
      </c>
      <c r="G627" s="2">
        <f t="shared" si="132"/>
        <v>590</v>
      </c>
      <c r="H627" s="43">
        <f t="shared" si="133"/>
        <v>0.42203389830508475</v>
      </c>
    </row>
    <row r="628" spans="1:8" ht="13.5" thickBot="1" x14ac:dyDescent="0.25">
      <c r="A628" s="34"/>
      <c r="B628" s="35">
        <f>COUNTA(B621:B627)</f>
        <v>7</v>
      </c>
      <c r="C628" s="36" t="s">
        <v>20</v>
      </c>
      <c r="D628" s="4">
        <f>SUM(D621:D627)</f>
        <v>1095</v>
      </c>
      <c r="E628" s="3">
        <f>SUM(E621:E627)</f>
        <v>499</v>
      </c>
      <c r="F628" s="80">
        <f>SUM(F621:F627)</f>
        <v>1415</v>
      </c>
      <c r="G628" s="3">
        <f>SUM(D628:F628)</f>
        <v>3009</v>
      </c>
      <c r="H628" s="37">
        <f>+(D628+E628)/G628</f>
        <v>0.52974410103024261</v>
      </c>
    </row>
    <row r="629" spans="1:8" x14ac:dyDescent="0.2">
      <c r="A629" s="38"/>
      <c r="B629" s="39"/>
      <c r="C629" s="40"/>
      <c r="D629" s="5"/>
      <c r="E629" s="42"/>
      <c r="F629" s="41"/>
      <c r="G629" s="42"/>
      <c r="H629" s="43"/>
    </row>
    <row r="630" spans="1:8" x14ac:dyDescent="0.2">
      <c r="A630" s="38"/>
      <c r="B630" s="39"/>
      <c r="C630" s="45" t="s">
        <v>151</v>
      </c>
      <c r="D630" s="5"/>
      <c r="E630" s="42"/>
      <c r="F630" s="41"/>
      <c r="G630" s="42"/>
      <c r="H630" s="43"/>
    </row>
    <row r="631" spans="1:8" x14ac:dyDescent="0.2">
      <c r="A631" s="30">
        <v>28</v>
      </c>
      <c r="B631" s="31">
        <v>104</v>
      </c>
      <c r="C631" s="32" t="s">
        <v>152</v>
      </c>
      <c r="D631" s="46">
        <v>135</v>
      </c>
      <c r="E631" s="2">
        <v>36</v>
      </c>
      <c r="F631" s="2">
        <f>596-(D631+E631)</f>
        <v>425</v>
      </c>
      <c r="G631" s="2">
        <f>SUM(D631:F631)</f>
        <v>596</v>
      </c>
      <c r="H631" s="33">
        <f>+(D631+E631)/G631</f>
        <v>0.28691275167785235</v>
      </c>
    </row>
    <row r="632" spans="1:8" x14ac:dyDescent="0.2">
      <c r="A632" s="30">
        <v>28</v>
      </c>
      <c r="B632" s="31">
        <v>304</v>
      </c>
      <c r="C632" s="32" t="s">
        <v>153</v>
      </c>
      <c r="D632" s="46">
        <v>94</v>
      </c>
      <c r="E632" s="2">
        <v>26</v>
      </c>
      <c r="F632" s="2">
        <f>444-(D632+E632)</f>
        <v>324</v>
      </c>
      <c r="G632" s="2">
        <f>SUM(D632:F632)</f>
        <v>444</v>
      </c>
      <c r="H632" s="33">
        <f>+(D632+E632)/G632</f>
        <v>0.27027027027027029</v>
      </c>
    </row>
    <row r="633" spans="1:8" ht="13.5" thickBot="1" x14ac:dyDescent="0.25">
      <c r="A633" s="38">
        <v>28</v>
      </c>
      <c r="B633" s="39">
        <v>704</v>
      </c>
      <c r="C633" s="40" t="s">
        <v>154</v>
      </c>
      <c r="D633" s="46">
        <v>54</v>
      </c>
      <c r="E633" s="2">
        <v>24</v>
      </c>
      <c r="F633" s="2">
        <f>440-(D633+E633)</f>
        <v>362</v>
      </c>
      <c r="G633" s="2">
        <f>SUM(D633:F633)</f>
        <v>440</v>
      </c>
      <c r="H633" s="43">
        <f>+(D633+E633)/G633</f>
        <v>0.17727272727272728</v>
      </c>
    </row>
    <row r="634" spans="1:8" ht="13.5" thickBot="1" x14ac:dyDescent="0.25">
      <c r="A634" s="34"/>
      <c r="B634" s="35">
        <f>COUNTA(B631:B633)</f>
        <v>3</v>
      </c>
      <c r="C634" s="36" t="s">
        <v>20</v>
      </c>
      <c r="D634" s="4">
        <f>SUM(D631:D633)</f>
        <v>283</v>
      </c>
      <c r="E634" s="3">
        <f>SUM(E631:E633)</f>
        <v>86</v>
      </c>
      <c r="F634" s="80">
        <f>SUM(F631:F633)</f>
        <v>1111</v>
      </c>
      <c r="G634" s="3">
        <f>SUM(D634:F634)</f>
        <v>1480</v>
      </c>
      <c r="H634" s="37">
        <f>+(D634+E634)/G634</f>
        <v>0.24932432432432433</v>
      </c>
    </row>
    <row r="635" spans="1:8" x14ac:dyDescent="0.2">
      <c r="A635" s="38"/>
      <c r="B635" s="39"/>
      <c r="C635" s="40"/>
      <c r="D635" s="5"/>
      <c r="E635" s="42"/>
      <c r="F635" s="41"/>
      <c r="G635" s="42"/>
      <c r="H635" s="43"/>
    </row>
    <row r="636" spans="1:8" x14ac:dyDescent="0.2">
      <c r="A636" s="38"/>
      <c r="B636" s="39"/>
      <c r="C636" s="45" t="s">
        <v>155</v>
      </c>
      <c r="D636" s="5"/>
      <c r="E636" s="42"/>
      <c r="F636" s="41"/>
      <c r="G636" s="42"/>
      <c r="H636" s="43"/>
    </row>
    <row r="637" spans="1:8" ht="13.5" thickBot="1" x14ac:dyDescent="0.25">
      <c r="A637" s="30">
        <v>29</v>
      </c>
      <c r="B637" s="31">
        <v>108</v>
      </c>
      <c r="C637" s="32" t="s">
        <v>213</v>
      </c>
      <c r="D637" s="46">
        <v>78</v>
      </c>
      <c r="E637" s="2">
        <v>30</v>
      </c>
      <c r="F637" s="2">
        <f>210-(D637+E637)</f>
        <v>102</v>
      </c>
      <c r="G637" s="2">
        <f>SUM(D637:F637)</f>
        <v>210</v>
      </c>
      <c r="H637" s="33">
        <f>+(D637+E637)/G637</f>
        <v>0.51428571428571423</v>
      </c>
    </row>
    <row r="638" spans="1:8" ht="13.5" thickBot="1" x14ac:dyDescent="0.25">
      <c r="A638" s="34"/>
      <c r="B638" s="35">
        <f>COUNTA(B637:B637)</f>
        <v>1</v>
      </c>
      <c r="C638" s="36" t="s">
        <v>20</v>
      </c>
      <c r="D638" s="4">
        <f>SUM(D637:D637)</f>
        <v>78</v>
      </c>
      <c r="E638" s="3">
        <f>SUM(E637:E637)</f>
        <v>30</v>
      </c>
      <c r="F638" s="80">
        <f>SUM(F637:F637)</f>
        <v>102</v>
      </c>
      <c r="G638" s="3">
        <f>SUM(D638:F638)</f>
        <v>210</v>
      </c>
      <c r="H638" s="37">
        <f>+(D638+E638)/G638</f>
        <v>0.51428571428571423</v>
      </c>
    </row>
    <row r="639" spans="1:8" x14ac:dyDescent="0.2">
      <c r="A639" s="38"/>
      <c r="B639" s="39"/>
      <c r="C639" s="40"/>
      <c r="D639" s="5"/>
      <c r="E639" s="42"/>
      <c r="F639" s="41"/>
      <c r="G639" s="42"/>
      <c r="H639" s="43"/>
    </row>
    <row r="640" spans="1:8" x14ac:dyDescent="0.2">
      <c r="A640" s="38"/>
      <c r="B640" s="39"/>
      <c r="C640" s="45" t="s">
        <v>156</v>
      </c>
      <c r="D640" s="5"/>
      <c r="E640" s="42"/>
      <c r="F640" s="41"/>
      <c r="G640" s="42"/>
      <c r="H640" s="43"/>
    </row>
    <row r="641" spans="1:8" x14ac:dyDescent="0.2">
      <c r="A641" s="30">
        <v>30</v>
      </c>
      <c r="B641" s="31">
        <v>102</v>
      </c>
      <c r="C641" s="62" t="s">
        <v>672</v>
      </c>
      <c r="D641" s="46">
        <v>197</v>
      </c>
      <c r="E641" s="2">
        <v>81</v>
      </c>
      <c r="F641" s="2">
        <f>656-(D641+E641)</f>
        <v>378</v>
      </c>
      <c r="G641" s="2">
        <f t="shared" ref="G641:G664" si="134">SUM(D641:F641)</f>
        <v>656</v>
      </c>
      <c r="H641" s="33">
        <f t="shared" ref="H641:H664" si="135">+(D641+E641)/G641</f>
        <v>0.42378048780487804</v>
      </c>
    </row>
    <row r="642" spans="1:8" x14ac:dyDescent="0.2">
      <c r="A642" s="30">
        <v>30</v>
      </c>
      <c r="B642" s="31">
        <v>104</v>
      </c>
      <c r="C642" s="62" t="s">
        <v>758</v>
      </c>
      <c r="D642" s="46">
        <v>41</v>
      </c>
      <c r="E642" s="2">
        <v>25</v>
      </c>
      <c r="F642" s="2">
        <f>202-(D642+E642)</f>
        <v>136</v>
      </c>
      <c r="G642" s="2">
        <f>SUM(D642:F642)</f>
        <v>202</v>
      </c>
      <c r="H642" s="33">
        <f>+(D642+E642)/G642</f>
        <v>0.32673267326732675</v>
      </c>
    </row>
    <row r="643" spans="1:8" x14ac:dyDescent="0.2">
      <c r="A643" s="30">
        <v>30</v>
      </c>
      <c r="B643" s="31">
        <v>106</v>
      </c>
      <c r="C643" s="62" t="s">
        <v>567</v>
      </c>
      <c r="D643" s="46">
        <v>186</v>
      </c>
      <c r="E643" s="2">
        <v>41</v>
      </c>
      <c r="F643" s="2">
        <f>510-(D643+E643)</f>
        <v>283</v>
      </c>
      <c r="G643" s="2">
        <f t="shared" si="134"/>
        <v>510</v>
      </c>
      <c r="H643" s="33">
        <f t="shared" si="135"/>
        <v>0.44509803921568625</v>
      </c>
    </row>
    <row r="644" spans="1:8" x14ac:dyDescent="0.2">
      <c r="A644" s="30">
        <v>30</v>
      </c>
      <c r="B644" s="31">
        <v>108</v>
      </c>
      <c r="C644" s="62" t="s">
        <v>1013</v>
      </c>
      <c r="D644" s="46">
        <v>266</v>
      </c>
      <c r="E644" s="2">
        <v>73</v>
      </c>
      <c r="F644" s="2">
        <f>814-(D644+E644)</f>
        <v>475</v>
      </c>
      <c r="G644" s="2">
        <f t="shared" ref="G644" si="136">SUM(D644:F644)</f>
        <v>814</v>
      </c>
      <c r="H644" s="33">
        <f t="shared" ref="H644" si="137">+(D644+E644)/G644</f>
        <v>0.41646191646191644</v>
      </c>
    </row>
    <row r="645" spans="1:8" x14ac:dyDescent="0.2">
      <c r="A645" s="30">
        <v>30</v>
      </c>
      <c r="B645" s="31">
        <v>112</v>
      </c>
      <c r="C645" s="62" t="s">
        <v>759</v>
      </c>
      <c r="D645" s="46">
        <v>234</v>
      </c>
      <c r="E645" s="2">
        <v>77</v>
      </c>
      <c r="F645" s="2">
        <f>455-(D645+E645)</f>
        <v>144</v>
      </c>
      <c r="G645" s="2">
        <f t="shared" si="134"/>
        <v>455</v>
      </c>
      <c r="H645" s="33">
        <f t="shared" si="135"/>
        <v>0.68351648351648353</v>
      </c>
    </row>
    <row r="646" spans="1:8" x14ac:dyDescent="0.2">
      <c r="A646" s="30">
        <v>30</v>
      </c>
      <c r="B646" s="31">
        <v>116</v>
      </c>
      <c r="C646" s="62" t="s">
        <v>760</v>
      </c>
      <c r="D646" s="46">
        <v>15</v>
      </c>
      <c r="E646" s="2">
        <v>5</v>
      </c>
      <c r="F646" s="2">
        <f>21-(D646+E646)</f>
        <v>1</v>
      </c>
      <c r="G646" s="2">
        <f t="shared" si="134"/>
        <v>21</v>
      </c>
      <c r="H646" s="33">
        <f t="shared" si="135"/>
        <v>0.95238095238095233</v>
      </c>
    </row>
    <row r="647" spans="1:8" x14ac:dyDescent="0.2">
      <c r="A647" s="30">
        <v>30</v>
      </c>
      <c r="B647" s="31">
        <v>120</v>
      </c>
      <c r="C647" s="62" t="s">
        <v>639</v>
      </c>
      <c r="D647" s="46">
        <v>170</v>
      </c>
      <c r="E647" s="2">
        <v>52</v>
      </c>
      <c r="F647" s="2">
        <f>837-(D647+E647)</f>
        <v>615</v>
      </c>
      <c r="G647" s="2">
        <f t="shared" si="134"/>
        <v>837</v>
      </c>
      <c r="H647" s="33">
        <f t="shared" si="135"/>
        <v>0.26523297491039427</v>
      </c>
    </row>
    <row r="648" spans="1:8" x14ac:dyDescent="0.2">
      <c r="A648" s="30">
        <v>30</v>
      </c>
      <c r="B648" s="31">
        <v>124</v>
      </c>
      <c r="C648" s="62" t="s">
        <v>764</v>
      </c>
      <c r="D648" s="46">
        <v>142</v>
      </c>
      <c r="E648" s="2">
        <v>63</v>
      </c>
      <c r="F648" s="2">
        <f>844-(D648+E648)</f>
        <v>639</v>
      </c>
      <c r="G648" s="2">
        <f>SUM(D648:F648)</f>
        <v>844</v>
      </c>
      <c r="H648" s="33">
        <f>+(D648+E648)/G648</f>
        <v>0.24289099526066352</v>
      </c>
    </row>
    <row r="649" spans="1:8" x14ac:dyDescent="0.2">
      <c r="A649" s="30">
        <v>30</v>
      </c>
      <c r="B649" s="31">
        <v>128</v>
      </c>
      <c r="C649" s="62" t="s">
        <v>761</v>
      </c>
      <c r="D649" s="46">
        <v>123</v>
      </c>
      <c r="E649" s="2">
        <v>71</v>
      </c>
      <c r="F649" s="2">
        <f>497-(D649+E649)</f>
        <v>303</v>
      </c>
      <c r="G649" s="2">
        <f t="shared" si="134"/>
        <v>497</v>
      </c>
      <c r="H649" s="33">
        <f>+(D649+E649)/G649</f>
        <v>0.3903420523138833</v>
      </c>
    </row>
    <row r="650" spans="1:8" x14ac:dyDescent="0.2">
      <c r="A650" s="30">
        <v>30</v>
      </c>
      <c r="B650" s="31">
        <v>132</v>
      </c>
      <c r="C650" s="62" t="s">
        <v>762</v>
      </c>
      <c r="D650" s="46">
        <v>364</v>
      </c>
      <c r="E650" s="2">
        <v>70</v>
      </c>
      <c r="F650" s="2">
        <f>647-(D650+E650)</f>
        <v>213</v>
      </c>
      <c r="G650" s="2">
        <f t="shared" si="134"/>
        <v>647</v>
      </c>
      <c r="H650" s="33">
        <f t="shared" si="135"/>
        <v>0.67078825347758886</v>
      </c>
    </row>
    <row r="651" spans="1:8" x14ac:dyDescent="0.2">
      <c r="A651" s="30">
        <v>30</v>
      </c>
      <c r="B651" s="31">
        <v>134</v>
      </c>
      <c r="C651" s="62" t="s">
        <v>763</v>
      </c>
      <c r="D651" s="46">
        <v>119</v>
      </c>
      <c r="E651" s="2">
        <v>40</v>
      </c>
      <c r="F651" s="2">
        <f>557-(D651+E651)</f>
        <v>398</v>
      </c>
      <c r="G651" s="2">
        <f t="shared" si="134"/>
        <v>557</v>
      </c>
      <c r="H651" s="33">
        <f>+(D651+E651)/G651</f>
        <v>0.28545780969479356</v>
      </c>
    </row>
    <row r="652" spans="1:8" x14ac:dyDescent="0.2">
      <c r="A652" s="30">
        <v>30</v>
      </c>
      <c r="B652" s="31">
        <v>136</v>
      </c>
      <c r="C652" s="62" t="s">
        <v>768</v>
      </c>
      <c r="D652" s="46">
        <v>9</v>
      </c>
      <c r="E652" s="2">
        <v>3</v>
      </c>
      <c r="F652" s="2">
        <f>33-(D652+E652)</f>
        <v>21</v>
      </c>
      <c r="G652" s="2">
        <f t="shared" si="134"/>
        <v>33</v>
      </c>
      <c r="H652" s="33">
        <f t="shared" si="135"/>
        <v>0.36363636363636365</v>
      </c>
    </row>
    <row r="653" spans="1:8" x14ac:dyDescent="0.2">
      <c r="A653" s="30">
        <v>30</v>
      </c>
      <c r="B653" s="31">
        <v>138</v>
      </c>
      <c r="C653" s="62" t="s">
        <v>765</v>
      </c>
      <c r="D653" s="46">
        <v>171</v>
      </c>
      <c r="E653" s="2">
        <v>105</v>
      </c>
      <c r="F653" s="2">
        <f>633-(D653+E653)</f>
        <v>357</v>
      </c>
      <c r="G653" s="2">
        <f t="shared" ref="G653" si="138">SUM(D653:F653)</f>
        <v>633</v>
      </c>
      <c r="H653" s="33">
        <f t="shared" ref="H653" si="139">+(D653+E653)/G653</f>
        <v>0.43601895734597157</v>
      </c>
    </row>
    <row r="654" spans="1:8" x14ac:dyDescent="0.2">
      <c r="A654" s="30">
        <v>30</v>
      </c>
      <c r="B654" s="31">
        <v>140</v>
      </c>
      <c r="C654" s="62" t="s">
        <v>756</v>
      </c>
      <c r="D654" s="46">
        <v>285</v>
      </c>
      <c r="E654" s="2">
        <v>25</v>
      </c>
      <c r="F654" s="2">
        <f>320-(D654+E654)</f>
        <v>10</v>
      </c>
      <c r="G654" s="2">
        <f t="shared" si="134"/>
        <v>320</v>
      </c>
      <c r="H654" s="33">
        <f t="shared" si="135"/>
        <v>0.96875</v>
      </c>
    </row>
    <row r="655" spans="1:8" x14ac:dyDescent="0.2">
      <c r="A655" s="30">
        <v>30</v>
      </c>
      <c r="B655" s="31">
        <v>142</v>
      </c>
      <c r="C655" s="62" t="s">
        <v>769</v>
      </c>
      <c r="D655" s="46">
        <v>133</v>
      </c>
      <c r="E655" s="2">
        <v>43</v>
      </c>
      <c r="F655" s="2">
        <f>397-(D655+E655)</f>
        <v>221</v>
      </c>
      <c r="G655" s="2">
        <f t="shared" si="134"/>
        <v>397</v>
      </c>
      <c r="H655" s="33">
        <f t="shared" si="135"/>
        <v>0.44332493702770781</v>
      </c>
    </row>
    <row r="656" spans="1:8" x14ac:dyDescent="0.2">
      <c r="A656" s="30">
        <v>30</v>
      </c>
      <c r="B656" s="31">
        <v>146</v>
      </c>
      <c r="C656" s="62" t="s">
        <v>770</v>
      </c>
      <c r="D656" s="46">
        <v>130</v>
      </c>
      <c r="E656" s="2">
        <v>59</v>
      </c>
      <c r="F656" s="2">
        <f>671-(D656+E656)</f>
        <v>482</v>
      </c>
      <c r="G656" s="2">
        <f t="shared" si="134"/>
        <v>671</v>
      </c>
      <c r="H656" s="33">
        <f>+(D656+E656)/G656</f>
        <v>0.28166915052160951</v>
      </c>
    </row>
    <row r="657" spans="1:8" x14ac:dyDescent="0.2">
      <c r="A657" s="30">
        <v>30</v>
      </c>
      <c r="B657" s="31">
        <v>308</v>
      </c>
      <c r="C657" s="62" t="s">
        <v>444</v>
      </c>
      <c r="D657" s="46">
        <v>85</v>
      </c>
      <c r="E657" s="2">
        <v>29</v>
      </c>
      <c r="F657" s="2">
        <f>378-(D657+E657)</f>
        <v>264</v>
      </c>
      <c r="G657" s="2">
        <f t="shared" si="134"/>
        <v>378</v>
      </c>
      <c r="H657" s="33">
        <f t="shared" si="135"/>
        <v>0.30158730158730157</v>
      </c>
    </row>
    <row r="658" spans="1:8" x14ac:dyDescent="0.2">
      <c r="A658" s="30">
        <v>30</v>
      </c>
      <c r="B658" s="31">
        <v>404</v>
      </c>
      <c r="C658" s="62" t="s">
        <v>767</v>
      </c>
      <c r="D658" s="46">
        <v>274</v>
      </c>
      <c r="E658" s="2">
        <v>101</v>
      </c>
      <c r="F658" s="2">
        <f>854-(D658+E658)</f>
        <v>479</v>
      </c>
      <c r="G658" s="2">
        <f t="shared" si="134"/>
        <v>854</v>
      </c>
      <c r="H658" s="33">
        <f t="shared" si="135"/>
        <v>0.43911007025761123</v>
      </c>
    </row>
    <row r="659" spans="1:8" x14ac:dyDescent="0.2">
      <c r="A659" s="30">
        <v>30</v>
      </c>
      <c r="B659" s="31">
        <v>412</v>
      </c>
      <c r="C659" s="62" t="s">
        <v>757</v>
      </c>
      <c r="D659" s="46">
        <v>180</v>
      </c>
      <c r="E659" s="2">
        <v>65</v>
      </c>
      <c r="F659" s="2">
        <f>837-(D659+E659)</f>
        <v>592</v>
      </c>
      <c r="G659" s="2">
        <f>SUM(D659:F659)</f>
        <v>837</v>
      </c>
      <c r="H659" s="33">
        <f>+(D659+E659)/G659</f>
        <v>0.2927120669056153</v>
      </c>
    </row>
    <row r="660" spans="1:8" x14ac:dyDescent="0.2">
      <c r="A660" s="30">
        <v>30</v>
      </c>
      <c r="B660" s="31">
        <v>708</v>
      </c>
      <c r="C660" s="32" t="s">
        <v>157</v>
      </c>
      <c r="D660" s="46">
        <v>135</v>
      </c>
      <c r="E660" s="2">
        <v>53</v>
      </c>
      <c r="F660" s="2">
        <f>777-(D660+E660)</f>
        <v>589</v>
      </c>
      <c r="G660" s="2">
        <f t="shared" si="134"/>
        <v>777</v>
      </c>
      <c r="H660" s="33">
        <f t="shared" si="135"/>
        <v>0.24195624195624196</v>
      </c>
    </row>
    <row r="661" spans="1:8" x14ac:dyDescent="0.2">
      <c r="A661" s="30">
        <v>30</v>
      </c>
      <c r="B661" s="31">
        <v>712</v>
      </c>
      <c r="C661" s="32" t="s">
        <v>158</v>
      </c>
      <c r="D661" s="46">
        <v>429</v>
      </c>
      <c r="E661" s="2">
        <v>116</v>
      </c>
      <c r="F661" s="2">
        <f>1476-(D661+E661)</f>
        <v>931</v>
      </c>
      <c r="G661" s="2">
        <f t="shared" si="134"/>
        <v>1476</v>
      </c>
      <c r="H661" s="33">
        <f t="shared" si="135"/>
        <v>0.3692411924119241</v>
      </c>
    </row>
    <row r="662" spans="1:8" x14ac:dyDescent="0.2">
      <c r="A662" s="30">
        <v>30</v>
      </c>
      <c r="B662" s="84">
        <v>720</v>
      </c>
      <c r="C662" s="62" t="s">
        <v>766</v>
      </c>
      <c r="D662" s="46">
        <v>272</v>
      </c>
      <c r="E662" s="2">
        <v>95</v>
      </c>
      <c r="F662" s="2">
        <f>1558-(D662+E662)</f>
        <v>1191</v>
      </c>
      <c r="G662" s="2">
        <f t="shared" ref="G662" si="140">SUM(D662:F662)</f>
        <v>1558</v>
      </c>
      <c r="H662" s="33">
        <f t="shared" ref="H662" si="141">+(D662+E662)/G662</f>
        <v>0.2355584082156611</v>
      </c>
    </row>
    <row r="663" spans="1:8" x14ac:dyDescent="0.2">
      <c r="A663" s="30">
        <v>30</v>
      </c>
      <c r="B663" s="31">
        <v>714</v>
      </c>
      <c r="C663" s="32" t="s">
        <v>159</v>
      </c>
      <c r="D663" s="46">
        <v>169</v>
      </c>
      <c r="E663" s="2">
        <v>15</v>
      </c>
      <c r="F663" s="2">
        <f>196-(D663+E663)</f>
        <v>12</v>
      </c>
      <c r="G663" s="2">
        <f t="shared" si="134"/>
        <v>196</v>
      </c>
      <c r="H663" s="33">
        <f t="shared" si="135"/>
        <v>0.93877551020408168</v>
      </c>
    </row>
    <row r="664" spans="1:8" ht="13.5" thickBot="1" x14ac:dyDescent="0.25">
      <c r="A664" s="38">
        <v>30</v>
      </c>
      <c r="B664" s="39">
        <v>740</v>
      </c>
      <c r="C664" s="70" t="s">
        <v>976</v>
      </c>
      <c r="D664" s="46">
        <v>31</v>
      </c>
      <c r="E664" s="2">
        <v>3</v>
      </c>
      <c r="F664" s="2">
        <f>76-(D664+E664)</f>
        <v>42</v>
      </c>
      <c r="G664" s="2">
        <f t="shared" si="134"/>
        <v>76</v>
      </c>
      <c r="H664" s="43">
        <f t="shared" si="135"/>
        <v>0.44736842105263158</v>
      </c>
    </row>
    <row r="665" spans="1:8" ht="13.5" thickBot="1" x14ac:dyDescent="0.25">
      <c r="A665" s="34"/>
      <c r="B665" s="35">
        <f>COUNTA(B641:B664)</f>
        <v>24</v>
      </c>
      <c r="C665" s="36" t="s">
        <v>20</v>
      </c>
      <c r="D665" s="4">
        <f>SUM(D641:D664)</f>
        <v>4160</v>
      </c>
      <c r="E665" s="3">
        <f>SUM(E641:E664)</f>
        <v>1310</v>
      </c>
      <c r="F665" s="80">
        <f>SUM(F641:F664)</f>
        <v>8776</v>
      </c>
      <c r="G665" s="3">
        <f>SUM(D665:F665)</f>
        <v>14246</v>
      </c>
      <c r="H665" s="37">
        <f>+(D665+E665)/G665</f>
        <v>0.38396742945388179</v>
      </c>
    </row>
    <row r="666" spans="1:8" x14ac:dyDescent="0.2">
      <c r="A666" s="38"/>
      <c r="B666" s="39"/>
      <c r="C666" s="40"/>
      <c r="D666" s="5"/>
      <c r="E666" s="42"/>
      <c r="F666" s="41"/>
      <c r="G666" s="42"/>
      <c r="H666" s="43"/>
    </row>
    <row r="667" spans="1:8" x14ac:dyDescent="0.2">
      <c r="A667" s="38"/>
      <c r="B667" s="39"/>
      <c r="C667" s="45" t="s">
        <v>160</v>
      </c>
      <c r="D667" s="135"/>
      <c r="E667" s="136"/>
      <c r="F667" s="116"/>
      <c r="G667" s="42"/>
      <c r="H667" s="43"/>
    </row>
    <row r="668" spans="1:8" x14ac:dyDescent="0.2">
      <c r="A668" s="30">
        <v>31</v>
      </c>
      <c r="B668" s="31">
        <v>100</v>
      </c>
      <c r="C668" s="62" t="s">
        <v>771</v>
      </c>
      <c r="D668" s="46">
        <v>225</v>
      </c>
      <c r="E668" s="2">
        <v>80</v>
      </c>
      <c r="F668" s="2">
        <f>624-(D668+E668)</f>
        <v>319</v>
      </c>
      <c r="G668" s="2">
        <f t="shared" ref="G668:G678" si="142">SUM(D668:F668)</f>
        <v>624</v>
      </c>
      <c r="H668" s="33">
        <f t="shared" ref="H668:H678" si="143">+(D668+E668)/G668</f>
        <v>0.48878205128205127</v>
      </c>
    </row>
    <row r="669" spans="1:8" x14ac:dyDescent="0.2">
      <c r="A669" s="30">
        <v>31</v>
      </c>
      <c r="B669" s="31">
        <v>110</v>
      </c>
      <c r="C669" s="62" t="s">
        <v>773</v>
      </c>
      <c r="D669" s="46">
        <v>123</v>
      </c>
      <c r="E669" s="2">
        <v>83</v>
      </c>
      <c r="F669" s="2">
        <f>507-(D669+E669)</f>
        <v>301</v>
      </c>
      <c r="G669" s="2">
        <f t="shared" si="142"/>
        <v>507</v>
      </c>
      <c r="H669" s="33">
        <f t="shared" si="143"/>
        <v>0.40631163708086787</v>
      </c>
    </row>
    <row r="670" spans="1:8" x14ac:dyDescent="0.2">
      <c r="A670" s="30">
        <v>31</v>
      </c>
      <c r="B670" s="31">
        <v>114</v>
      </c>
      <c r="C670" s="62" t="s">
        <v>456</v>
      </c>
      <c r="D670" s="46">
        <v>87</v>
      </c>
      <c r="E670" s="2">
        <v>50</v>
      </c>
      <c r="F670" s="2">
        <f>480-(D670+E670)</f>
        <v>343</v>
      </c>
      <c r="G670" s="2">
        <f t="shared" si="142"/>
        <v>480</v>
      </c>
      <c r="H670" s="33">
        <f t="shared" si="143"/>
        <v>0.28541666666666665</v>
      </c>
    </row>
    <row r="671" spans="1:8" x14ac:dyDescent="0.2">
      <c r="A671" s="30">
        <v>31</v>
      </c>
      <c r="B671" s="31">
        <v>116</v>
      </c>
      <c r="C671" s="62" t="s">
        <v>774</v>
      </c>
      <c r="D671" s="46">
        <v>102</v>
      </c>
      <c r="E671" s="2">
        <v>35</v>
      </c>
      <c r="F671" s="2">
        <f>263-(D671+E671)</f>
        <v>126</v>
      </c>
      <c r="G671" s="2">
        <f t="shared" si="142"/>
        <v>263</v>
      </c>
      <c r="H671" s="33">
        <f t="shared" si="143"/>
        <v>0.52091254752851712</v>
      </c>
    </row>
    <row r="672" spans="1:8" x14ac:dyDescent="0.2">
      <c r="A672" s="30">
        <v>31</v>
      </c>
      <c r="B672" s="31">
        <v>120</v>
      </c>
      <c r="C672" s="62" t="s">
        <v>775</v>
      </c>
      <c r="D672" s="46">
        <v>127</v>
      </c>
      <c r="E672" s="2">
        <v>70</v>
      </c>
      <c r="F672" s="2">
        <f>601-(D672+E672)</f>
        <v>404</v>
      </c>
      <c r="G672" s="2">
        <f t="shared" si="142"/>
        <v>601</v>
      </c>
      <c r="H672" s="33">
        <f t="shared" si="143"/>
        <v>0.32778702163061563</v>
      </c>
    </row>
    <row r="673" spans="1:8" x14ac:dyDescent="0.2">
      <c r="A673" s="30">
        <v>31</v>
      </c>
      <c r="B673" s="31">
        <v>124</v>
      </c>
      <c r="C673" s="62" t="s">
        <v>776</v>
      </c>
      <c r="D673" s="46">
        <v>163</v>
      </c>
      <c r="E673" s="2">
        <v>57</v>
      </c>
      <c r="F673" s="2">
        <f>553-(D673+E673)</f>
        <v>333</v>
      </c>
      <c r="G673" s="2">
        <f t="shared" si="142"/>
        <v>553</v>
      </c>
      <c r="H673" s="33">
        <f t="shared" si="143"/>
        <v>0.39783001808318263</v>
      </c>
    </row>
    <row r="674" spans="1:8" x14ac:dyDescent="0.2">
      <c r="A674" s="30">
        <v>31</v>
      </c>
      <c r="B674" s="31">
        <v>128</v>
      </c>
      <c r="C674" s="62" t="s">
        <v>351</v>
      </c>
      <c r="D674" s="46">
        <v>237</v>
      </c>
      <c r="E674" s="2">
        <v>53</v>
      </c>
      <c r="F674" s="2">
        <f>462-(D674+E674)</f>
        <v>172</v>
      </c>
      <c r="G674" s="2">
        <f t="shared" si="142"/>
        <v>462</v>
      </c>
      <c r="H674" s="33">
        <f t="shared" si="143"/>
        <v>0.62770562770562766</v>
      </c>
    </row>
    <row r="675" spans="1:8" x14ac:dyDescent="0.2">
      <c r="A675" s="30">
        <v>31</v>
      </c>
      <c r="B675" s="31">
        <v>250</v>
      </c>
      <c r="C675" s="62" t="s">
        <v>772</v>
      </c>
      <c r="D675" s="46">
        <v>28</v>
      </c>
      <c r="E675" s="2">
        <v>10</v>
      </c>
      <c r="F675" s="2">
        <f>95-(D675+E675)</f>
        <v>57</v>
      </c>
      <c r="G675" s="2">
        <f>SUM(D675:F675)</f>
        <v>95</v>
      </c>
      <c r="H675" s="33">
        <f>+(D675+E675)/G675</f>
        <v>0.4</v>
      </c>
    </row>
    <row r="676" spans="1:8" x14ac:dyDescent="0.2">
      <c r="A676" s="30">
        <v>31</v>
      </c>
      <c r="B676" s="31">
        <v>310</v>
      </c>
      <c r="C676" s="32" t="s">
        <v>161</v>
      </c>
      <c r="D676" s="46">
        <v>239</v>
      </c>
      <c r="E676" s="2">
        <v>123</v>
      </c>
      <c r="F676" s="2">
        <f>977-(D676+E676)</f>
        <v>615</v>
      </c>
      <c r="G676" s="2">
        <f t="shared" si="142"/>
        <v>977</v>
      </c>
      <c r="H676" s="33">
        <f t="shared" si="143"/>
        <v>0.37052200614124869</v>
      </c>
    </row>
    <row r="677" spans="1:8" x14ac:dyDescent="0.2">
      <c r="A677" s="30">
        <v>31</v>
      </c>
      <c r="B677" s="31">
        <v>408</v>
      </c>
      <c r="C677" s="32" t="s">
        <v>162</v>
      </c>
      <c r="D677" s="46">
        <v>215</v>
      </c>
      <c r="E677" s="2">
        <v>109</v>
      </c>
      <c r="F677" s="2">
        <f>945-(D677+E677)</f>
        <v>621</v>
      </c>
      <c r="G677" s="2">
        <f t="shared" si="142"/>
        <v>945</v>
      </c>
      <c r="H677" s="33">
        <f t="shared" si="143"/>
        <v>0.34285714285714286</v>
      </c>
    </row>
    <row r="678" spans="1:8" x14ac:dyDescent="0.2">
      <c r="A678" s="30">
        <v>31</v>
      </c>
      <c r="B678" s="31">
        <v>704</v>
      </c>
      <c r="C678" s="32" t="s">
        <v>163</v>
      </c>
      <c r="D678" s="46">
        <v>161</v>
      </c>
      <c r="E678" s="2">
        <v>90</v>
      </c>
      <c r="F678" s="2">
        <f>1080-(D678+E678)</f>
        <v>829</v>
      </c>
      <c r="G678" s="2">
        <f t="shared" si="142"/>
        <v>1080</v>
      </c>
      <c r="H678" s="33">
        <f t="shared" si="143"/>
        <v>0.2324074074074074</v>
      </c>
    </row>
    <row r="679" spans="1:8" ht="13.5" thickBot="1" x14ac:dyDescent="0.25">
      <c r="A679" s="30">
        <v>31</v>
      </c>
      <c r="B679" s="31">
        <v>998</v>
      </c>
      <c r="C679" s="62" t="s">
        <v>971</v>
      </c>
      <c r="D679" s="46">
        <v>2</v>
      </c>
      <c r="E679" s="2">
        <v>1</v>
      </c>
      <c r="F679" s="2">
        <f>8-(D679+E679)</f>
        <v>5</v>
      </c>
      <c r="G679" s="2">
        <f>SUM(D679:F679)</f>
        <v>8</v>
      </c>
      <c r="H679" s="33">
        <f>+(D679+E679)/G679</f>
        <v>0.375</v>
      </c>
    </row>
    <row r="680" spans="1:8" ht="13.5" thickBot="1" x14ac:dyDescent="0.25">
      <c r="A680" s="34"/>
      <c r="B680" s="35">
        <f>COUNTA(B668:B679)</f>
        <v>12</v>
      </c>
      <c r="C680" s="36" t="s">
        <v>20</v>
      </c>
      <c r="D680" s="4">
        <f>SUM(D668:D679)</f>
        <v>1709</v>
      </c>
      <c r="E680" s="3">
        <f>SUM(E668:E679)</f>
        <v>761</v>
      </c>
      <c r="F680" s="80">
        <f>SUM(F668:F679)</f>
        <v>4125</v>
      </c>
      <c r="G680" s="3">
        <f>SUM(D680:F680)</f>
        <v>6595</v>
      </c>
      <c r="H680" s="37">
        <f>+(D680+E680)/G680</f>
        <v>0.37452615617892343</v>
      </c>
    </row>
    <row r="681" spans="1:8" x14ac:dyDescent="0.2">
      <c r="A681" s="38"/>
      <c r="B681" s="39"/>
      <c r="C681" s="40"/>
      <c r="D681" s="5"/>
      <c r="E681" s="42"/>
      <c r="F681" s="41"/>
      <c r="G681" s="42"/>
      <c r="H681" s="43"/>
    </row>
    <row r="682" spans="1:8" x14ac:dyDescent="0.2">
      <c r="A682" s="38"/>
      <c r="B682" s="39"/>
      <c r="C682" s="45" t="s">
        <v>43</v>
      </c>
      <c r="D682" s="5"/>
      <c r="E682" s="42"/>
      <c r="F682" s="41"/>
      <c r="G682" s="42"/>
      <c r="H682" s="43"/>
    </row>
    <row r="683" spans="1:8" x14ac:dyDescent="0.2">
      <c r="A683" s="30">
        <v>32</v>
      </c>
      <c r="B683" s="31">
        <v>106</v>
      </c>
      <c r="C683" s="62" t="s">
        <v>777</v>
      </c>
      <c r="D683" s="46">
        <v>221</v>
      </c>
      <c r="E683" s="2">
        <v>71</v>
      </c>
      <c r="F683" s="2">
        <f>532-(D683+E683)</f>
        <v>240</v>
      </c>
      <c r="G683" s="2">
        <f t="shared" ref="G683:G689" si="144">SUM(D683:F683)</f>
        <v>532</v>
      </c>
      <c r="H683" s="33">
        <f t="shared" ref="H683:H690" si="145">+(D683+E683)/G683</f>
        <v>0.54887218045112784</v>
      </c>
    </row>
    <row r="684" spans="1:8" x14ac:dyDescent="0.2">
      <c r="A684" s="30">
        <v>32</v>
      </c>
      <c r="B684" s="31">
        <v>108</v>
      </c>
      <c r="C684" s="62" t="s">
        <v>779</v>
      </c>
      <c r="D684" s="46">
        <v>129</v>
      </c>
      <c r="E684" s="2">
        <v>33</v>
      </c>
      <c r="F684" s="2">
        <f>335-(D684+E684)</f>
        <v>173</v>
      </c>
      <c r="G684" s="2">
        <f t="shared" si="144"/>
        <v>335</v>
      </c>
      <c r="H684" s="33">
        <f t="shared" si="145"/>
        <v>0.4835820895522388</v>
      </c>
    </row>
    <row r="685" spans="1:8" x14ac:dyDescent="0.2">
      <c r="A685" s="30">
        <v>32</v>
      </c>
      <c r="B685" s="31">
        <v>110</v>
      </c>
      <c r="C685" s="62" t="s">
        <v>778</v>
      </c>
      <c r="D685" s="46">
        <v>127</v>
      </c>
      <c r="E685" s="2">
        <v>54</v>
      </c>
      <c r="F685" s="2">
        <f>386-(D685+E685)</f>
        <v>205</v>
      </c>
      <c r="G685" s="2">
        <f t="shared" si="144"/>
        <v>386</v>
      </c>
      <c r="H685" s="33">
        <f t="shared" si="145"/>
        <v>0.4689119170984456</v>
      </c>
    </row>
    <row r="686" spans="1:8" x14ac:dyDescent="0.2">
      <c r="A686" s="30">
        <v>32</v>
      </c>
      <c r="B686" s="31">
        <v>114</v>
      </c>
      <c r="C686" s="62" t="s">
        <v>780</v>
      </c>
      <c r="D686" s="46">
        <v>98</v>
      </c>
      <c r="E686" s="2">
        <v>32</v>
      </c>
      <c r="F686" s="2">
        <f>477-(D686+E686)</f>
        <v>347</v>
      </c>
      <c r="G686" s="2">
        <f>SUM(D686:F686)</f>
        <v>477</v>
      </c>
      <c r="H686" s="33">
        <f>+(D686+E686)/G686</f>
        <v>0.27253668763102723</v>
      </c>
    </row>
    <row r="687" spans="1:8" x14ac:dyDescent="0.2">
      <c r="A687" s="30">
        <v>32</v>
      </c>
      <c r="B687" s="31">
        <v>312</v>
      </c>
      <c r="C687" s="62" t="s">
        <v>781</v>
      </c>
      <c r="D687" s="46">
        <v>243</v>
      </c>
      <c r="E687" s="2">
        <v>73</v>
      </c>
      <c r="F687" s="2">
        <f>849-(D687+E687)</f>
        <v>533</v>
      </c>
      <c r="G687" s="2">
        <f t="shared" si="144"/>
        <v>849</v>
      </c>
      <c r="H687" s="33">
        <f>+(D687+E687)/G687</f>
        <v>0.37220259128386335</v>
      </c>
    </row>
    <row r="688" spans="1:8" x14ac:dyDescent="0.2">
      <c r="A688" s="30">
        <v>32</v>
      </c>
      <c r="B688" s="31">
        <v>212</v>
      </c>
      <c r="C688" s="62" t="s">
        <v>782</v>
      </c>
      <c r="D688" s="46">
        <v>242</v>
      </c>
      <c r="E688" s="2">
        <v>72</v>
      </c>
      <c r="F688" s="2">
        <f>842-(D688+E688)</f>
        <v>528</v>
      </c>
      <c r="G688" s="2">
        <f t="shared" si="144"/>
        <v>842</v>
      </c>
      <c r="H688" s="33">
        <f t="shared" si="145"/>
        <v>0.37292161520190026</v>
      </c>
    </row>
    <row r="689" spans="1:8" ht="13.5" thickBot="1" x14ac:dyDescent="0.25">
      <c r="A689" s="38">
        <v>32</v>
      </c>
      <c r="B689" s="39">
        <v>704</v>
      </c>
      <c r="C689" s="40" t="s">
        <v>164</v>
      </c>
      <c r="D689" s="46">
        <v>372</v>
      </c>
      <c r="E689" s="2">
        <v>99</v>
      </c>
      <c r="F689" s="2">
        <f>1663-(D689+E689)</f>
        <v>1192</v>
      </c>
      <c r="G689" s="2">
        <f t="shared" si="144"/>
        <v>1663</v>
      </c>
      <c r="H689" s="43">
        <f t="shared" si="145"/>
        <v>0.28322309079975949</v>
      </c>
    </row>
    <row r="690" spans="1:8" ht="13.5" thickBot="1" x14ac:dyDescent="0.25">
      <c r="A690" s="34"/>
      <c r="B690" s="35">
        <f>COUNTA(B683:B689)</f>
        <v>7</v>
      </c>
      <c r="C690" s="36" t="s">
        <v>20</v>
      </c>
      <c r="D690" s="4">
        <f>SUM(D683:D689)</f>
        <v>1432</v>
      </c>
      <c r="E690" s="3">
        <f>SUM(E683:E689)</f>
        <v>434</v>
      </c>
      <c r="F690" s="80">
        <f>SUM(F683:F689)</f>
        <v>3218</v>
      </c>
      <c r="G690" s="3">
        <f>SUM(D690:F690)</f>
        <v>5084</v>
      </c>
      <c r="H690" s="37">
        <f t="shared" si="145"/>
        <v>0.36703383162863884</v>
      </c>
    </row>
    <row r="691" spans="1:8" x14ac:dyDescent="0.2">
      <c r="A691" s="38"/>
      <c r="B691" s="39"/>
      <c r="C691" s="40"/>
      <c r="D691" s="5"/>
      <c r="E691" s="42"/>
      <c r="F691" s="41"/>
      <c r="G691" s="42"/>
      <c r="H691" s="43"/>
    </row>
    <row r="692" spans="1:8" x14ac:dyDescent="0.2">
      <c r="A692" s="38"/>
      <c r="B692" s="39"/>
      <c r="C692" s="45" t="s">
        <v>44</v>
      </c>
      <c r="D692" s="5"/>
      <c r="E692" s="42"/>
      <c r="F692" s="41"/>
      <c r="G692" s="42"/>
      <c r="H692" s="43"/>
    </row>
    <row r="693" spans="1:8" x14ac:dyDescent="0.2">
      <c r="A693" s="30">
        <v>33</v>
      </c>
      <c r="B693" s="31">
        <v>102</v>
      </c>
      <c r="C693" s="62" t="s">
        <v>784</v>
      </c>
      <c r="D693" s="46">
        <v>152</v>
      </c>
      <c r="E693" s="2">
        <v>53</v>
      </c>
      <c r="F693" s="2">
        <f>708-(D693+E693)</f>
        <v>503</v>
      </c>
      <c r="G693" s="2">
        <f t="shared" ref="G693:G728" si="146">SUM(D693:F693)</f>
        <v>708</v>
      </c>
      <c r="H693" s="33">
        <f>+(D693+E693)/G693</f>
        <v>0.28954802259887008</v>
      </c>
    </row>
    <row r="694" spans="1:8" x14ac:dyDescent="0.2">
      <c r="A694" s="30">
        <v>33</v>
      </c>
      <c r="B694" s="31">
        <v>103</v>
      </c>
      <c r="C694" s="62" t="s">
        <v>789</v>
      </c>
      <c r="D694" s="46">
        <v>466</v>
      </c>
      <c r="E694" s="2">
        <v>65</v>
      </c>
      <c r="F694" s="2">
        <f>737-(D694+E694)</f>
        <v>206</v>
      </c>
      <c r="G694" s="2">
        <f t="shared" si="146"/>
        <v>737</v>
      </c>
      <c r="H694" s="33">
        <f t="shared" ref="H694:H727" si="147">+(D694+E694)/G694</f>
        <v>0.72048846675712352</v>
      </c>
    </row>
    <row r="695" spans="1:8" x14ac:dyDescent="0.2">
      <c r="A695" s="30">
        <v>33</v>
      </c>
      <c r="B695" s="31">
        <v>104</v>
      </c>
      <c r="C695" s="62" t="s">
        <v>790</v>
      </c>
      <c r="D695" s="46">
        <v>129</v>
      </c>
      <c r="E695" s="2">
        <v>73</v>
      </c>
      <c r="F695" s="2">
        <f>463-(D695+E695)</f>
        <v>261</v>
      </c>
      <c r="G695" s="2">
        <f t="shared" si="146"/>
        <v>463</v>
      </c>
      <c r="H695" s="33">
        <f t="shared" si="147"/>
        <v>0.43628509719222464</v>
      </c>
    </row>
    <row r="696" spans="1:8" x14ac:dyDescent="0.2">
      <c r="A696" s="30">
        <v>33</v>
      </c>
      <c r="B696" s="31">
        <v>105</v>
      </c>
      <c r="C696" s="62" t="s">
        <v>785</v>
      </c>
      <c r="D696" s="46">
        <v>198</v>
      </c>
      <c r="E696" s="2">
        <v>55</v>
      </c>
      <c r="F696" s="2">
        <f>620-(D696+E696)</f>
        <v>367</v>
      </c>
      <c r="G696" s="2">
        <f t="shared" si="146"/>
        <v>620</v>
      </c>
      <c r="H696" s="33">
        <f t="shared" si="147"/>
        <v>0.40806451612903227</v>
      </c>
    </row>
    <row r="697" spans="1:8" x14ac:dyDescent="0.2">
      <c r="A697" s="30">
        <v>33</v>
      </c>
      <c r="B697" s="31">
        <v>107</v>
      </c>
      <c r="C697" s="62" t="s">
        <v>786</v>
      </c>
      <c r="D697" s="46">
        <v>362</v>
      </c>
      <c r="E697" s="2">
        <v>70</v>
      </c>
      <c r="F697" s="2">
        <f>804-(D697+E697)</f>
        <v>372</v>
      </c>
      <c r="G697" s="2">
        <f>SUM(D697:F697)</f>
        <v>804</v>
      </c>
      <c r="H697" s="33">
        <f>+(D697+E697)/G697</f>
        <v>0.53731343283582089</v>
      </c>
    </row>
    <row r="698" spans="1:8" x14ac:dyDescent="0.2">
      <c r="A698" s="30">
        <v>33</v>
      </c>
      <c r="B698" s="31">
        <v>108</v>
      </c>
      <c r="C698" s="62" t="s">
        <v>788</v>
      </c>
      <c r="D698" s="46">
        <v>66</v>
      </c>
      <c r="E698" s="2">
        <v>33</v>
      </c>
      <c r="F698" s="2">
        <f>394-(D698+E698)</f>
        <v>295</v>
      </c>
      <c r="G698" s="2">
        <f t="shared" si="146"/>
        <v>394</v>
      </c>
      <c r="H698" s="33">
        <f t="shared" si="147"/>
        <v>0.2512690355329949</v>
      </c>
    </row>
    <row r="699" spans="1:8" x14ac:dyDescent="0.2">
      <c r="A699" s="30">
        <v>33</v>
      </c>
      <c r="B699" s="31">
        <v>110</v>
      </c>
      <c r="C699" s="62" t="s">
        <v>787</v>
      </c>
      <c r="D699" s="46">
        <v>329</v>
      </c>
      <c r="E699" s="2">
        <v>91</v>
      </c>
      <c r="F699" s="2">
        <f>757-(D699+E699)</f>
        <v>337</v>
      </c>
      <c r="G699" s="2">
        <f t="shared" si="146"/>
        <v>757</v>
      </c>
      <c r="H699" s="33">
        <f t="shared" si="147"/>
        <v>0.55482166446499337</v>
      </c>
    </row>
    <row r="700" spans="1:8" x14ac:dyDescent="0.2">
      <c r="A700" s="30">
        <v>33</v>
      </c>
      <c r="B700" s="31">
        <v>111</v>
      </c>
      <c r="C700" s="62" t="s">
        <v>783</v>
      </c>
      <c r="D700" s="46">
        <v>174</v>
      </c>
      <c r="E700" s="2">
        <v>52</v>
      </c>
      <c r="F700" s="2">
        <f>775-(D700+E700)</f>
        <v>549</v>
      </c>
      <c r="G700" s="2">
        <f>SUM(D700:F700)</f>
        <v>775</v>
      </c>
      <c r="H700" s="33">
        <f>+(D700+E700)/G700</f>
        <v>0.29161290322580646</v>
      </c>
    </row>
    <row r="701" spans="1:8" x14ac:dyDescent="0.2">
      <c r="A701" s="30">
        <v>33</v>
      </c>
      <c r="B701" s="31">
        <v>112</v>
      </c>
      <c r="C701" s="62" t="s">
        <v>793</v>
      </c>
      <c r="D701" s="46">
        <v>268</v>
      </c>
      <c r="E701" s="2">
        <v>98</v>
      </c>
      <c r="F701" s="2">
        <f>619-(D701+E701)</f>
        <v>253</v>
      </c>
      <c r="G701" s="2">
        <f t="shared" si="146"/>
        <v>619</v>
      </c>
      <c r="H701" s="33">
        <f t="shared" si="147"/>
        <v>0.59127625201938616</v>
      </c>
    </row>
    <row r="702" spans="1:8" x14ac:dyDescent="0.2">
      <c r="A702" s="30">
        <v>33</v>
      </c>
      <c r="B702" s="31">
        <v>114</v>
      </c>
      <c r="C702" s="62" t="s">
        <v>794</v>
      </c>
      <c r="D702" s="46">
        <v>268</v>
      </c>
      <c r="E702" s="2">
        <v>115</v>
      </c>
      <c r="F702" s="2">
        <f>698-(D702+E702)</f>
        <v>315</v>
      </c>
      <c r="G702" s="2">
        <f t="shared" si="146"/>
        <v>698</v>
      </c>
      <c r="H702" s="33">
        <f t="shared" si="147"/>
        <v>0.54871060171919772</v>
      </c>
    </row>
    <row r="703" spans="1:8" x14ac:dyDescent="0.2">
      <c r="A703" s="30">
        <v>33</v>
      </c>
      <c r="B703" s="31">
        <v>116</v>
      </c>
      <c r="C703" s="62" t="s">
        <v>567</v>
      </c>
      <c r="D703" s="46">
        <v>394</v>
      </c>
      <c r="E703" s="2">
        <v>56</v>
      </c>
      <c r="F703" s="2">
        <f>607-(D703+E703)</f>
        <v>157</v>
      </c>
      <c r="G703" s="2">
        <f t="shared" si="146"/>
        <v>607</v>
      </c>
      <c r="H703" s="33">
        <f t="shared" si="147"/>
        <v>0.74135090609555188</v>
      </c>
    </row>
    <row r="704" spans="1:8" x14ac:dyDescent="0.2">
      <c r="A704" s="30">
        <v>33</v>
      </c>
      <c r="B704" s="31">
        <v>120</v>
      </c>
      <c r="C704" s="62" t="s">
        <v>516</v>
      </c>
      <c r="D704" s="46">
        <v>379</v>
      </c>
      <c r="E704" s="2">
        <v>70</v>
      </c>
      <c r="F704" s="2">
        <f>743-(D704+E704)</f>
        <v>294</v>
      </c>
      <c r="G704" s="2">
        <f t="shared" si="146"/>
        <v>743</v>
      </c>
      <c r="H704" s="33">
        <f t="shared" si="147"/>
        <v>0.60430686406460299</v>
      </c>
    </row>
    <row r="705" spans="1:8" x14ac:dyDescent="0.2">
      <c r="A705" s="30">
        <v>33</v>
      </c>
      <c r="B705" s="31">
        <v>121</v>
      </c>
      <c r="C705" s="62" t="s">
        <v>796</v>
      </c>
      <c r="D705" s="46">
        <v>161</v>
      </c>
      <c r="E705" s="2">
        <v>63</v>
      </c>
      <c r="F705" s="2">
        <f>502-(D705+E705)</f>
        <v>278</v>
      </c>
      <c r="G705" s="2">
        <f t="shared" si="146"/>
        <v>502</v>
      </c>
      <c r="H705" s="33">
        <f t="shared" si="147"/>
        <v>0.44621513944223107</v>
      </c>
    </row>
    <row r="706" spans="1:8" x14ac:dyDescent="0.2">
      <c r="A706" s="30">
        <v>33</v>
      </c>
      <c r="B706" s="31">
        <v>122</v>
      </c>
      <c r="C706" s="62" t="s">
        <v>798</v>
      </c>
      <c r="D706" s="46">
        <v>337</v>
      </c>
      <c r="E706" s="2">
        <v>58</v>
      </c>
      <c r="F706" s="2">
        <f>778-(D706+E706)</f>
        <v>383</v>
      </c>
      <c r="G706" s="2">
        <f t="shared" si="146"/>
        <v>778</v>
      </c>
      <c r="H706" s="33">
        <f>+(D706+E706)/G706</f>
        <v>0.50771208226221076</v>
      </c>
    </row>
    <row r="707" spans="1:8" x14ac:dyDescent="0.2">
      <c r="A707" s="30">
        <v>33</v>
      </c>
      <c r="B707" s="31">
        <v>123</v>
      </c>
      <c r="C707" s="62" t="s">
        <v>797</v>
      </c>
      <c r="D707" s="46">
        <v>232</v>
      </c>
      <c r="E707" s="2">
        <v>93</v>
      </c>
      <c r="F707" s="2">
        <f>571-(D707+E707)</f>
        <v>246</v>
      </c>
      <c r="G707" s="2">
        <f t="shared" si="146"/>
        <v>571</v>
      </c>
      <c r="H707" s="33">
        <f t="shared" si="147"/>
        <v>0.56917688266199651</v>
      </c>
    </row>
    <row r="708" spans="1:8" x14ac:dyDescent="0.2">
      <c r="A708" s="30">
        <v>33</v>
      </c>
      <c r="B708" s="31">
        <v>124</v>
      </c>
      <c r="C708" s="62" t="s">
        <v>799</v>
      </c>
      <c r="D708" s="46">
        <v>104</v>
      </c>
      <c r="E708" s="2">
        <v>45</v>
      </c>
      <c r="F708" s="2">
        <f>478-(D708+E708)</f>
        <v>329</v>
      </c>
      <c r="G708" s="2">
        <f t="shared" si="146"/>
        <v>478</v>
      </c>
      <c r="H708" s="33">
        <f t="shared" si="147"/>
        <v>0.31171548117154813</v>
      </c>
    </row>
    <row r="709" spans="1:8" x14ac:dyDescent="0.2">
      <c r="A709" s="30">
        <v>33</v>
      </c>
      <c r="B709" s="31">
        <v>128</v>
      </c>
      <c r="C709" s="62" t="s">
        <v>800</v>
      </c>
      <c r="D709" s="46">
        <v>8</v>
      </c>
      <c r="E709" s="2">
        <v>5</v>
      </c>
      <c r="F709" s="2">
        <f>26-(D709+E709)</f>
        <v>13</v>
      </c>
      <c r="G709" s="2">
        <f t="shared" ref="G709" si="148">SUM(D709:F709)</f>
        <v>26</v>
      </c>
      <c r="H709" s="33">
        <f t="shared" ref="H709" si="149">+(D709+E709)/G709</f>
        <v>0.5</v>
      </c>
    </row>
    <row r="710" spans="1:8" x14ac:dyDescent="0.2">
      <c r="A710" s="30">
        <v>33</v>
      </c>
      <c r="B710" s="31">
        <v>130</v>
      </c>
      <c r="C710" s="62" t="s">
        <v>546</v>
      </c>
      <c r="D710" s="46">
        <v>268</v>
      </c>
      <c r="E710" s="2">
        <v>80</v>
      </c>
      <c r="F710" s="2">
        <f>653-(D710+E710)</f>
        <v>305</v>
      </c>
      <c r="G710" s="2">
        <f t="shared" si="146"/>
        <v>653</v>
      </c>
      <c r="H710" s="33">
        <f t="shared" si="147"/>
        <v>0.53292496171516079</v>
      </c>
    </row>
    <row r="711" spans="1:8" x14ac:dyDescent="0.2">
      <c r="A711" s="30">
        <v>33</v>
      </c>
      <c r="B711" s="31">
        <v>134</v>
      </c>
      <c r="C711" s="62" t="s">
        <v>802</v>
      </c>
      <c r="D711" s="46">
        <v>207</v>
      </c>
      <c r="E711" s="2">
        <v>87</v>
      </c>
      <c r="F711" s="2">
        <f>688-(D711+E711)</f>
        <v>394</v>
      </c>
      <c r="G711" s="2">
        <f t="shared" si="146"/>
        <v>688</v>
      </c>
      <c r="H711" s="33">
        <f t="shared" si="147"/>
        <v>0.42732558139534882</v>
      </c>
    </row>
    <row r="712" spans="1:8" x14ac:dyDescent="0.2">
      <c r="A712" s="30">
        <v>33</v>
      </c>
      <c r="B712" s="31">
        <v>140</v>
      </c>
      <c r="C712" s="62" t="s">
        <v>559</v>
      </c>
      <c r="D712" s="46">
        <v>269</v>
      </c>
      <c r="E712" s="2">
        <v>69</v>
      </c>
      <c r="F712" s="2">
        <f>617-(D712+E712)</f>
        <v>279</v>
      </c>
      <c r="G712" s="2">
        <f t="shared" si="146"/>
        <v>617</v>
      </c>
      <c r="H712" s="33">
        <f t="shared" si="147"/>
        <v>0.54781199351701781</v>
      </c>
    </row>
    <row r="713" spans="1:8" x14ac:dyDescent="0.2">
      <c r="A713" s="30">
        <v>33</v>
      </c>
      <c r="B713" s="31">
        <v>144</v>
      </c>
      <c r="C713" s="62" t="s">
        <v>693</v>
      </c>
      <c r="D713" s="46">
        <v>177</v>
      </c>
      <c r="E713" s="2">
        <v>47</v>
      </c>
      <c r="F713" s="2">
        <f>816-(D713+E713)</f>
        <v>592</v>
      </c>
      <c r="G713" s="2">
        <f>SUM(D713:F713)</f>
        <v>816</v>
      </c>
      <c r="H713" s="33">
        <f>+(D713+E713)/G713</f>
        <v>0.27450980392156865</v>
      </c>
    </row>
    <row r="714" spans="1:8" x14ac:dyDescent="0.2">
      <c r="A714" s="30">
        <v>33</v>
      </c>
      <c r="B714" s="31">
        <v>145</v>
      </c>
      <c r="C714" s="62" t="s">
        <v>792</v>
      </c>
      <c r="D714" s="46">
        <v>149</v>
      </c>
      <c r="E714" s="2">
        <v>76</v>
      </c>
      <c r="F714" s="2">
        <f>739-(D714+E714)</f>
        <v>514</v>
      </c>
      <c r="G714" s="2">
        <f>SUM(D714:F714)</f>
        <v>739</v>
      </c>
      <c r="H714" s="33">
        <f>+(D714+E714)/G714</f>
        <v>0.30446549391069011</v>
      </c>
    </row>
    <row r="715" spans="1:8" x14ac:dyDescent="0.2">
      <c r="A715" s="30">
        <v>33</v>
      </c>
      <c r="B715" s="31">
        <v>146</v>
      </c>
      <c r="C715" s="62" t="s">
        <v>795</v>
      </c>
      <c r="D715" s="46">
        <v>70</v>
      </c>
      <c r="E715" s="2">
        <v>43</v>
      </c>
      <c r="F715" s="2">
        <f>864-(D715+E715)</f>
        <v>751</v>
      </c>
      <c r="G715" s="2">
        <f>SUM(D715:F715)</f>
        <v>864</v>
      </c>
      <c r="H715" s="33">
        <f>+(D715+E715)/G715</f>
        <v>0.13078703703703703</v>
      </c>
    </row>
    <row r="716" spans="1:8" x14ac:dyDescent="0.2">
      <c r="A716" s="30">
        <v>33</v>
      </c>
      <c r="B716" s="31">
        <v>303</v>
      </c>
      <c r="C716" s="62" t="s">
        <v>801</v>
      </c>
      <c r="D716" s="46">
        <v>159</v>
      </c>
      <c r="E716" s="2">
        <v>70</v>
      </c>
      <c r="F716" s="2">
        <f>841-(D716+E716)</f>
        <v>612</v>
      </c>
      <c r="G716" s="2">
        <f t="shared" ref="G716" si="150">SUM(D716:F716)</f>
        <v>841</v>
      </c>
      <c r="H716" s="33">
        <f t="shared" ref="H716" si="151">+(D716+E716)/G716</f>
        <v>0.27229488703923899</v>
      </c>
    </row>
    <row r="717" spans="1:8" x14ac:dyDescent="0.2">
      <c r="A717" s="30">
        <v>33</v>
      </c>
      <c r="B717" s="31">
        <v>305</v>
      </c>
      <c r="C717" s="62" t="s">
        <v>447</v>
      </c>
      <c r="D717" s="46">
        <v>319</v>
      </c>
      <c r="E717" s="2">
        <v>80</v>
      </c>
      <c r="F717" s="2">
        <f>841-(D717+E717)</f>
        <v>442</v>
      </c>
      <c r="G717" s="2">
        <f t="shared" si="146"/>
        <v>841</v>
      </c>
      <c r="H717" s="33">
        <f t="shared" si="147"/>
        <v>0.47443519619500596</v>
      </c>
    </row>
    <row r="718" spans="1:8" x14ac:dyDescent="0.2">
      <c r="A718" s="30">
        <v>33</v>
      </c>
      <c r="B718" s="31">
        <v>308</v>
      </c>
      <c r="C718" s="62" t="s">
        <v>448</v>
      </c>
      <c r="D718" s="46">
        <v>270</v>
      </c>
      <c r="E718" s="2">
        <v>102</v>
      </c>
      <c r="F718" s="2">
        <f>728-(D718+E718)</f>
        <v>356</v>
      </c>
      <c r="G718" s="2">
        <f>SUM(D718:F718)</f>
        <v>728</v>
      </c>
      <c r="H718" s="33">
        <f>+(D718+E718)/G718</f>
        <v>0.51098901098901095</v>
      </c>
    </row>
    <row r="719" spans="1:8" x14ac:dyDescent="0.2">
      <c r="A719" s="30">
        <v>33</v>
      </c>
      <c r="B719" s="31">
        <v>320</v>
      </c>
      <c r="C719" s="62" t="s">
        <v>791</v>
      </c>
      <c r="D719" s="46">
        <v>350</v>
      </c>
      <c r="E719" s="2">
        <v>89</v>
      </c>
      <c r="F719" s="2">
        <f>916-(D719+E719)</f>
        <v>477</v>
      </c>
      <c r="G719" s="2">
        <f>SUM(D719:F719)</f>
        <v>916</v>
      </c>
      <c r="H719" s="33">
        <f>+(D719+E719)/G719</f>
        <v>0.47925764192139736</v>
      </c>
    </row>
    <row r="720" spans="1:8" x14ac:dyDescent="0.2">
      <c r="A720" s="30">
        <v>33</v>
      </c>
      <c r="B720" s="31">
        <v>325</v>
      </c>
      <c r="C720" s="62" t="s">
        <v>446</v>
      </c>
      <c r="D720" s="46">
        <v>345</v>
      </c>
      <c r="E720" s="2">
        <v>98</v>
      </c>
      <c r="F720" s="2">
        <f>962-(D720+E720)</f>
        <v>519</v>
      </c>
      <c r="G720" s="2">
        <f t="shared" si="146"/>
        <v>962</v>
      </c>
      <c r="H720" s="33">
        <f>+(D720+E720)/G720</f>
        <v>0.4604989604989605</v>
      </c>
    </row>
    <row r="721" spans="1:8" x14ac:dyDescent="0.2">
      <c r="A721" s="30">
        <v>33</v>
      </c>
      <c r="B721" s="31">
        <v>403</v>
      </c>
      <c r="C721" s="32" t="s">
        <v>281</v>
      </c>
      <c r="D721" s="46">
        <v>153</v>
      </c>
      <c r="E721" s="2">
        <v>69</v>
      </c>
      <c r="F721" s="2">
        <f>933-(D721+E721)</f>
        <v>711</v>
      </c>
      <c r="G721" s="2">
        <f>SUM(D721:F721)</f>
        <v>933</v>
      </c>
      <c r="H721" s="33">
        <f>+(D721+E721)/G721</f>
        <v>0.23794212218649519</v>
      </c>
    </row>
    <row r="722" spans="1:8" x14ac:dyDescent="0.2">
      <c r="A722" s="30">
        <v>33</v>
      </c>
      <c r="B722" s="31">
        <v>404</v>
      </c>
      <c r="C722" s="32" t="s">
        <v>165</v>
      </c>
      <c r="D722" s="46">
        <v>294</v>
      </c>
      <c r="E722" s="2">
        <v>60</v>
      </c>
      <c r="F722" s="2">
        <f>840-(D722+E722)</f>
        <v>486</v>
      </c>
      <c r="G722" s="2">
        <f t="shared" si="146"/>
        <v>840</v>
      </c>
      <c r="H722" s="33">
        <f t="shared" si="147"/>
        <v>0.42142857142857143</v>
      </c>
    </row>
    <row r="723" spans="1:8" x14ac:dyDescent="0.2">
      <c r="A723" s="30">
        <v>33</v>
      </c>
      <c r="B723" s="31">
        <v>408</v>
      </c>
      <c r="C723" s="32" t="s">
        <v>166</v>
      </c>
      <c r="D723" s="46">
        <v>256</v>
      </c>
      <c r="E723" s="2">
        <v>105</v>
      </c>
      <c r="F723" s="2">
        <f>739-(D723+E723)</f>
        <v>378</v>
      </c>
      <c r="G723" s="2">
        <f t="shared" si="146"/>
        <v>739</v>
      </c>
      <c r="H723" s="33">
        <f t="shared" si="147"/>
        <v>0.4884979702300406</v>
      </c>
    </row>
    <row r="724" spans="1:8" x14ac:dyDescent="0.2">
      <c r="A724" s="30">
        <v>33</v>
      </c>
      <c r="B724" s="31">
        <v>420</v>
      </c>
      <c r="C724" s="32" t="s">
        <v>167</v>
      </c>
      <c r="D724" s="46">
        <v>340</v>
      </c>
      <c r="E724" s="2">
        <v>71</v>
      </c>
      <c r="F724" s="2">
        <f>997-(D724+E724)</f>
        <v>586</v>
      </c>
      <c r="G724" s="2">
        <f t="shared" si="146"/>
        <v>997</v>
      </c>
      <c r="H724" s="33">
        <f t="shared" si="147"/>
        <v>0.41223671013039115</v>
      </c>
    </row>
    <row r="725" spans="1:8" x14ac:dyDescent="0.2">
      <c r="A725" s="30">
        <v>33</v>
      </c>
      <c r="B725" s="31">
        <v>425</v>
      </c>
      <c r="C725" s="32" t="s">
        <v>168</v>
      </c>
      <c r="D725" s="46">
        <v>337</v>
      </c>
      <c r="E725" s="2">
        <v>81</v>
      </c>
      <c r="F725" s="2">
        <f>994-(D725+E725)</f>
        <v>576</v>
      </c>
      <c r="G725" s="2">
        <f t="shared" si="146"/>
        <v>994</v>
      </c>
      <c r="H725" s="33">
        <f t="shared" si="147"/>
        <v>0.42052313883299797</v>
      </c>
    </row>
    <row r="726" spans="1:8" x14ac:dyDescent="0.2">
      <c r="A726" s="30">
        <v>33</v>
      </c>
      <c r="B726" s="31">
        <v>703</v>
      </c>
      <c r="C726" s="62" t="s">
        <v>445</v>
      </c>
      <c r="D726" s="46">
        <v>177</v>
      </c>
      <c r="E726" s="2">
        <v>56</v>
      </c>
      <c r="F726" s="2">
        <f>1188-(D726+E726)</f>
        <v>955</v>
      </c>
      <c r="G726" s="2">
        <f t="shared" ref="G726" si="152">SUM(D726:F726)</f>
        <v>1188</v>
      </c>
      <c r="H726" s="33">
        <f t="shared" ref="H726" si="153">+(D726+E726)/G726</f>
        <v>0.19612794612794612</v>
      </c>
    </row>
    <row r="727" spans="1:8" x14ac:dyDescent="0.2">
      <c r="A727" s="30">
        <v>33</v>
      </c>
      <c r="B727" s="31">
        <v>704</v>
      </c>
      <c r="C727" s="32" t="s">
        <v>169</v>
      </c>
      <c r="D727" s="46">
        <v>340</v>
      </c>
      <c r="E727" s="2">
        <v>77</v>
      </c>
      <c r="F727" s="2">
        <f>1216-(D727+E727)</f>
        <v>799</v>
      </c>
      <c r="G727" s="2">
        <f t="shared" si="146"/>
        <v>1216</v>
      </c>
      <c r="H727" s="33">
        <f t="shared" si="147"/>
        <v>0.34292763157894735</v>
      </c>
    </row>
    <row r="728" spans="1:8" x14ac:dyDescent="0.2">
      <c r="A728" s="30">
        <v>33</v>
      </c>
      <c r="B728" s="31">
        <v>712</v>
      </c>
      <c r="C728" s="32" t="s">
        <v>170</v>
      </c>
      <c r="D728" s="46">
        <v>133</v>
      </c>
      <c r="E728" s="2">
        <v>39</v>
      </c>
      <c r="F728" s="2">
        <f>495-(D728+E728)</f>
        <v>323</v>
      </c>
      <c r="G728" s="2">
        <f t="shared" si="146"/>
        <v>495</v>
      </c>
      <c r="H728" s="33">
        <f t="shared" ref="H728:H733" si="154">+(D728+E728)/G728</f>
        <v>0.34747474747474749</v>
      </c>
    </row>
    <row r="729" spans="1:8" x14ac:dyDescent="0.2">
      <c r="A729" s="30">
        <v>33</v>
      </c>
      <c r="B729" s="31">
        <v>716</v>
      </c>
      <c r="C729" s="32" t="s">
        <v>216</v>
      </c>
      <c r="D729" s="46">
        <v>290</v>
      </c>
      <c r="E729" s="2">
        <v>93</v>
      </c>
      <c r="F729" s="2">
        <f>1054-(D729+E729)</f>
        <v>671</v>
      </c>
      <c r="G729" s="2">
        <f>SUM(D729:F729)</f>
        <v>1054</v>
      </c>
      <c r="H729" s="33">
        <f t="shared" si="154"/>
        <v>0.36337760910815942</v>
      </c>
    </row>
    <row r="730" spans="1:8" x14ac:dyDescent="0.2">
      <c r="A730" s="30">
        <v>33</v>
      </c>
      <c r="B730" s="31">
        <v>718</v>
      </c>
      <c r="C730" s="32" t="s">
        <v>241</v>
      </c>
      <c r="D730" s="46">
        <v>145</v>
      </c>
      <c r="E730" s="2">
        <v>18</v>
      </c>
      <c r="F730" s="2">
        <f>292-(D730+E730)</f>
        <v>129</v>
      </c>
      <c r="G730" s="2">
        <f>SUM(D730:F730)</f>
        <v>292</v>
      </c>
      <c r="H730" s="33">
        <f t="shared" si="154"/>
        <v>0.55821917808219179</v>
      </c>
    </row>
    <row r="731" spans="1:8" x14ac:dyDescent="0.2">
      <c r="A731" s="30">
        <v>33</v>
      </c>
      <c r="B731" s="31">
        <v>720</v>
      </c>
      <c r="C731" s="62" t="s">
        <v>975</v>
      </c>
      <c r="D731" s="46">
        <v>327</v>
      </c>
      <c r="E731" s="2">
        <v>61</v>
      </c>
      <c r="F731" s="2">
        <f>1183-(D731+E731)</f>
        <v>795</v>
      </c>
      <c r="G731" s="2">
        <f>SUM(D731:F731)</f>
        <v>1183</v>
      </c>
      <c r="H731" s="33">
        <f t="shared" si="154"/>
        <v>0.32797971259509723</v>
      </c>
    </row>
    <row r="732" spans="1:8" ht="13.5" thickBot="1" x14ac:dyDescent="0.25">
      <c r="A732" s="30">
        <v>33</v>
      </c>
      <c r="B732" s="31">
        <v>725</v>
      </c>
      <c r="C732" s="62" t="s">
        <v>1017</v>
      </c>
      <c r="D732" s="46">
        <v>306</v>
      </c>
      <c r="E732" s="2">
        <v>99</v>
      </c>
      <c r="F732" s="2">
        <f>1261-(D732+E732)</f>
        <v>856</v>
      </c>
      <c r="G732" s="2">
        <f>SUM(D732:F732)</f>
        <v>1261</v>
      </c>
      <c r="H732" s="33">
        <f t="shared" si="154"/>
        <v>0.32117367168913563</v>
      </c>
    </row>
    <row r="733" spans="1:8" ht="13.5" thickBot="1" x14ac:dyDescent="0.25">
      <c r="A733" s="34"/>
      <c r="B733" s="35">
        <f>COUNTA(B693:B732)</f>
        <v>40</v>
      </c>
      <c r="C733" s="36" t="s">
        <v>20</v>
      </c>
      <c r="D733" s="4">
        <f>SUM(D693:D732)</f>
        <v>9708</v>
      </c>
      <c r="E733" s="3">
        <f>SUM(E693:E732)</f>
        <v>2765</v>
      </c>
      <c r="F733" s="80">
        <f>SUM(F693:F732)</f>
        <v>17664</v>
      </c>
      <c r="G733" s="3">
        <f>SUM(D733:F733)</f>
        <v>30137</v>
      </c>
      <c r="H733" s="37">
        <f t="shared" si="154"/>
        <v>0.41387663005607722</v>
      </c>
    </row>
    <row r="734" spans="1:8" x14ac:dyDescent="0.2">
      <c r="A734" s="38"/>
      <c r="B734" s="39"/>
      <c r="C734" s="40"/>
      <c r="D734" s="5"/>
      <c r="E734" s="42"/>
      <c r="F734" s="41"/>
      <c r="G734" s="42"/>
      <c r="H734" s="43"/>
    </row>
    <row r="735" spans="1:8" x14ac:dyDescent="0.2">
      <c r="A735" s="38"/>
      <c r="B735" s="39"/>
      <c r="C735" s="45" t="s">
        <v>171</v>
      </c>
      <c r="D735" s="5"/>
      <c r="E735" s="42"/>
      <c r="F735" s="41"/>
      <c r="G735" s="42"/>
      <c r="H735" s="43"/>
    </row>
    <row r="736" spans="1:8" x14ac:dyDescent="0.2">
      <c r="A736" s="30">
        <v>34</v>
      </c>
      <c r="B736" s="31">
        <v>108</v>
      </c>
      <c r="C736" s="62" t="s">
        <v>803</v>
      </c>
      <c r="D736" s="46">
        <v>9</v>
      </c>
      <c r="E736" s="2">
        <v>9</v>
      </c>
      <c r="F736" s="2">
        <f>23-(D736+E736)</f>
        <v>5</v>
      </c>
      <c r="G736" s="2">
        <f>SUM(D736:F736)</f>
        <v>23</v>
      </c>
      <c r="H736" s="33">
        <f>+(D736+E736)/G736</f>
        <v>0.78260869565217395</v>
      </c>
    </row>
    <row r="737" spans="1:8" x14ac:dyDescent="0.2">
      <c r="A737" s="30">
        <v>34</v>
      </c>
      <c r="B737" s="31">
        <v>112</v>
      </c>
      <c r="C737" s="62" t="s">
        <v>804</v>
      </c>
      <c r="D737" s="46">
        <v>52</v>
      </c>
      <c r="E737" s="2">
        <v>51</v>
      </c>
      <c r="F737" s="2">
        <f>195-(D737+E737)</f>
        <v>92</v>
      </c>
      <c r="G737" s="2">
        <f>SUM(D737:F737)</f>
        <v>195</v>
      </c>
      <c r="H737" s="33">
        <f>+(D737+E737)/G737</f>
        <v>0.52820512820512822</v>
      </c>
    </row>
    <row r="738" spans="1:8" x14ac:dyDescent="0.2">
      <c r="A738" s="30">
        <v>34</v>
      </c>
      <c r="B738" s="31">
        <v>302</v>
      </c>
      <c r="C738" s="32" t="s">
        <v>172</v>
      </c>
      <c r="D738" s="46">
        <v>40</v>
      </c>
      <c r="E738" s="2">
        <v>29</v>
      </c>
      <c r="F738" s="2">
        <f>122-(D738+E738)</f>
        <v>53</v>
      </c>
      <c r="G738" s="2">
        <f>SUM(D738:F738)</f>
        <v>122</v>
      </c>
      <c r="H738" s="33">
        <f>+(D738+E738)/G738</f>
        <v>0.56557377049180324</v>
      </c>
    </row>
    <row r="739" spans="1:8" ht="13.5" thickBot="1" x14ac:dyDescent="0.25">
      <c r="A739" s="38">
        <v>34</v>
      </c>
      <c r="B739" s="39">
        <v>704</v>
      </c>
      <c r="C739" s="40" t="s">
        <v>173</v>
      </c>
      <c r="D739" s="46">
        <v>33</v>
      </c>
      <c r="E739" s="2">
        <v>34</v>
      </c>
      <c r="F739" s="2">
        <f>153-(D739+E739)</f>
        <v>86</v>
      </c>
      <c r="G739" s="2">
        <f>SUM(D739:F739)</f>
        <v>153</v>
      </c>
      <c r="H739" s="43">
        <f>+(D739+E739)/G739</f>
        <v>0.43790849673202614</v>
      </c>
    </row>
    <row r="740" spans="1:8" ht="13.5" thickBot="1" x14ac:dyDescent="0.25">
      <c r="A740" s="34"/>
      <c r="B740" s="35">
        <f>COUNTA(B736:B739)</f>
        <v>4</v>
      </c>
      <c r="C740" s="36" t="s">
        <v>20</v>
      </c>
      <c r="D740" s="4">
        <f>SUM(D736:D739)</f>
        <v>134</v>
      </c>
      <c r="E740" s="3">
        <f>SUM(E736:E739)</f>
        <v>123</v>
      </c>
      <c r="F740" s="80">
        <f>SUM(F736:F739)</f>
        <v>236</v>
      </c>
      <c r="G740" s="3">
        <f>SUM(D740:F740)</f>
        <v>493</v>
      </c>
      <c r="H740" s="37">
        <f>+(D740+E740)/G740</f>
        <v>0.52129817444219062</v>
      </c>
    </row>
    <row r="741" spans="1:8" x14ac:dyDescent="0.2">
      <c r="A741" s="38"/>
      <c r="B741" s="39"/>
      <c r="C741" s="40"/>
      <c r="D741" s="5"/>
      <c r="E741" s="42"/>
      <c r="F741" s="41"/>
      <c r="G741" s="42"/>
      <c r="H741" s="43"/>
    </row>
    <row r="742" spans="1:8" x14ac:dyDescent="0.2">
      <c r="A742" s="38"/>
      <c r="B742" s="39"/>
      <c r="C742" s="45" t="s">
        <v>174</v>
      </c>
      <c r="D742" s="5"/>
      <c r="E742" s="42"/>
      <c r="F742" s="41"/>
      <c r="G742" s="42"/>
      <c r="H742" s="43"/>
    </row>
    <row r="743" spans="1:8" x14ac:dyDescent="0.2">
      <c r="A743" s="30">
        <v>35</v>
      </c>
      <c r="B743" s="31">
        <v>100</v>
      </c>
      <c r="C743" s="62" t="s">
        <v>805</v>
      </c>
      <c r="D743" s="46">
        <v>85</v>
      </c>
      <c r="E743" s="2">
        <v>40</v>
      </c>
      <c r="F743" s="2">
        <f>597-(D743+E743)</f>
        <v>472</v>
      </c>
      <c r="G743" s="2">
        <f t="shared" ref="G743:G785" si="155">SUM(D743:F743)</f>
        <v>597</v>
      </c>
      <c r="H743" s="33">
        <f t="shared" ref="H743:H785" si="156">+(D743+E743)/G743</f>
        <v>0.20938023450586266</v>
      </c>
    </row>
    <row r="744" spans="1:8" x14ac:dyDescent="0.2">
      <c r="A744" s="30">
        <v>35</v>
      </c>
      <c r="B744" s="31">
        <v>108</v>
      </c>
      <c r="C744" s="62" t="s">
        <v>806</v>
      </c>
      <c r="D744" s="46">
        <v>242</v>
      </c>
      <c r="E744" s="2">
        <v>48</v>
      </c>
      <c r="F744" s="2">
        <f>361-(D744+E744)</f>
        <v>71</v>
      </c>
      <c r="G744" s="2">
        <f t="shared" si="155"/>
        <v>361</v>
      </c>
      <c r="H744" s="33">
        <f t="shared" si="156"/>
        <v>0.80332409972299168</v>
      </c>
    </row>
    <row r="745" spans="1:8" x14ac:dyDescent="0.2">
      <c r="A745" s="30">
        <v>35</v>
      </c>
      <c r="B745" s="31">
        <v>109</v>
      </c>
      <c r="C745" s="62" t="s">
        <v>807</v>
      </c>
      <c r="D745" s="46">
        <v>165</v>
      </c>
      <c r="E745" s="2">
        <v>52</v>
      </c>
      <c r="F745" s="2">
        <f>500-(D745+E745)</f>
        <v>283</v>
      </c>
      <c r="G745" s="2">
        <f t="shared" si="155"/>
        <v>500</v>
      </c>
      <c r="H745" s="33">
        <f t="shared" si="156"/>
        <v>0.434</v>
      </c>
    </row>
    <row r="746" spans="1:8" x14ac:dyDescent="0.2">
      <c r="A746" s="30">
        <v>35</v>
      </c>
      <c r="B746" s="31">
        <v>110</v>
      </c>
      <c r="C746" s="62" t="s">
        <v>810</v>
      </c>
      <c r="D746" s="46">
        <v>112</v>
      </c>
      <c r="E746" s="2">
        <v>27</v>
      </c>
      <c r="F746" s="2">
        <f>404-(D746+E746)</f>
        <v>265</v>
      </c>
      <c r="G746" s="2">
        <f t="shared" si="155"/>
        <v>404</v>
      </c>
      <c r="H746" s="33">
        <f t="shared" si="156"/>
        <v>0.34405940594059403</v>
      </c>
    </row>
    <row r="747" spans="1:8" x14ac:dyDescent="0.2">
      <c r="A747" s="30">
        <v>35</v>
      </c>
      <c r="B747" s="31">
        <v>111</v>
      </c>
      <c r="C747" s="62" t="s">
        <v>809</v>
      </c>
      <c r="D747" s="46">
        <v>204</v>
      </c>
      <c r="E747" s="2">
        <v>97</v>
      </c>
      <c r="F747" s="2">
        <f>466-(D747+E747)</f>
        <v>165</v>
      </c>
      <c r="G747" s="2">
        <f t="shared" si="155"/>
        <v>466</v>
      </c>
      <c r="H747" s="33">
        <f t="shared" si="156"/>
        <v>0.64592274678111583</v>
      </c>
    </row>
    <row r="748" spans="1:8" x14ac:dyDescent="0.2">
      <c r="A748" s="30">
        <v>35</v>
      </c>
      <c r="B748" s="31">
        <v>112</v>
      </c>
      <c r="C748" s="62" t="s">
        <v>811</v>
      </c>
      <c r="D748" s="46">
        <v>79</v>
      </c>
      <c r="E748" s="2">
        <v>82</v>
      </c>
      <c r="F748" s="2">
        <f>558-(D748+E748)</f>
        <v>397</v>
      </c>
      <c r="G748" s="2">
        <f t="shared" si="155"/>
        <v>558</v>
      </c>
      <c r="H748" s="33">
        <f t="shared" si="156"/>
        <v>0.28853046594982079</v>
      </c>
    </row>
    <row r="749" spans="1:8" x14ac:dyDescent="0.2">
      <c r="A749" s="30">
        <v>35</v>
      </c>
      <c r="B749" s="31">
        <v>113</v>
      </c>
      <c r="C749" s="62" t="s">
        <v>808</v>
      </c>
      <c r="D749" s="46">
        <v>124</v>
      </c>
      <c r="E749" s="2">
        <v>69</v>
      </c>
      <c r="F749" s="2">
        <f>727-(D749+E749)</f>
        <v>534</v>
      </c>
      <c r="G749" s="2">
        <f t="shared" si="155"/>
        <v>727</v>
      </c>
      <c r="H749" s="33">
        <f t="shared" si="156"/>
        <v>0.265474552957359</v>
      </c>
    </row>
    <row r="750" spans="1:8" x14ac:dyDescent="0.2">
      <c r="A750" s="30">
        <v>35</v>
      </c>
      <c r="B750" s="31">
        <v>114</v>
      </c>
      <c r="C750" s="62" t="s">
        <v>812</v>
      </c>
      <c r="D750" s="46">
        <v>117</v>
      </c>
      <c r="E750" s="2">
        <v>42</v>
      </c>
      <c r="F750" s="2">
        <f>636-(D750+E750)</f>
        <v>477</v>
      </c>
      <c r="G750" s="2">
        <f t="shared" si="155"/>
        <v>636</v>
      </c>
      <c r="H750" s="33">
        <f t="shared" si="156"/>
        <v>0.25</v>
      </c>
    </row>
    <row r="751" spans="1:8" x14ac:dyDescent="0.2">
      <c r="A751" s="30">
        <v>35</v>
      </c>
      <c r="B751" s="31">
        <v>115</v>
      </c>
      <c r="C751" s="62" t="s">
        <v>378</v>
      </c>
      <c r="D751" s="46">
        <v>142</v>
      </c>
      <c r="E751" s="2">
        <v>126</v>
      </c>
      <c r="F751" s="2">
        <f>659-(D751+E751)</f>
        <v>391</v>
      </c>
      <c r="G751" s="2">
        <f t="shared" si="155"/>
        <v>659</v>
      </c>
      <c r="H751" s="33">
        <f>+(D751+E751)/G751</f>
        <v>0.40667678300455234</v>
      </c>
    </row>
    <row r="752" spans="1:8" x14ac:dyDescent="0.2">
      <c r="A752" s="30">
        <v>35</v>
      </c>
      <c r="B752" s="31">
        <v>116</v>
      </c>
      <c r="C752" s="62" t="s">
        <v>813</v>
      </c>
      <c r="D752" s="46">
        <v>226</v>
      </c>
      <c r="E752" s="2">
        <v>95</v>
      </c>
      <c r="F752" s="2">
        <f>489-(D752+E752)</f>
        <v>168</v>
      </c>
      <c r="G752" s="2">
        <f t="shared" si="155"/>
        <v>489</v>
      </c>
      <c r="H752" s="33">
        <f t="shared" si="156"/>
        <v>0.65644171779141103</v>
      </c>
    </row>
    <row r="753" spans="1:8" x14ac:dyDescent="0.2">
      <c r="A753" s="30">
        <v>35</v>
      </c>
      <c r="B753" s="31">
        <v>120</v>
      </c>
      <c r="C753" s="62" t="s">
        <v>814</v>
      </c>
      <c r="D753" s="46">
        <v>76</v>
      </c>
      <c r="E753" s="2">
        <v>37</v>
      </c>
      <c r="F753" s="2">
        <f>498-(D753+E753)</f>
        <v>385</v>
      </c>
      <c r="G753" s="2">
        <f t="shared" si="155"/>
        <v>498</v>
      </c>
      <c r="H753" s="33">
        <f t="shared" si="156"/>
        <v>0.22690763052208834</v>
      </c>
    </row>
    <row r="754" spans="1:8" x14ac:dyDescent="0.2">
      <c r="A754" s="30">
        <v>35</v>
      </c>
      <c r="B754" s="31">
        <v>121</v>
      </c>
      <c r="C754" s="62" t="s">
        <v>687</v>
      </c>
      <c r="D754" s="46">
        <v>162</v>
      </c>
      <c r="E754" s="2">
        <v>131</v>
      </c>
      <c r="F754" s="2">
        <f>732-(D754+E754)</f>
        <v>439</v>
      </c>
      <c r="G754" s="2">
        <f t="shared" si="155"/>
        <v>732</v>
      </c>
      <c r="H754" s="33">
        <f t="shared" si="156"/>
        <v>0.40027322404371585</v>
      </c>
    </row>
    <row r="755" spans="1:8" x14ac:dyDescent="0.2">
      <c r="A755" s="30">
        <v>35</v>
      </c>
      <c r="B755" s="31">
        <v>122</v>
      </c>
      <c r="C755" s="62" t="s">
        <v>815</v>
      </c>
      <c r="D755" s="46">
        <v>144</v>
      </c>
      <c r="E755" s="2">
        <v>24</v>
      </c>
      <c r="F755" s="2">
        <f>295-(D755+E755)</f>
        <v>127</v>
      </c>
      <c r="G755" s="2">
        <f t="shared" si="155"/>
        <v>295</v>
      </c>
      <c r="H755" s="33">
        <f t="shared" si="156"/>
        <v>0.56949152542372883</v>
      </c>
    </row>
    <row r="756" spans="1:8" x14ac:dyDescent="0.2">
      <c r="A756" s="30">
        <v>35</v>
      </c>
      <c r="B756" s="31">
        <v>123</v>
      </c>
      <c r="C756" s="62" t="s">
        <v>816</v>
      </c>
      <c r="D756" s="46">
        <v>158</v>
      </c>
      <c r="E756" s="2">
        <v>102</v>
      </c>
      <c r="F756" s="2">
        <f>602-(D756+E756)</f>
        <v>342</v>
      </c>
      <c r="G756" s="2">
        <f t="shared" si="155"/>
        <v>602</v>
      </c>
      <c r="H756" s="33">
        <f t="shared" si="156"/>
        <v>0.43189368770764119</v>
      </c>
    </row>
    <row r="757" spans="1:8" x14ac:dyDescent="0.2">
      <c r="A757" s="30">
        <v>35</v>
      </c>
      <c r="B757" s="31">
        <v>124</v>
      </c>
      <c r="C757" s="62" t="s">
        <v>817</v>
      </c>
      <c r="D757" s="46">
        <v>149</v>
      </c>
      <c r="E757" s="2">
        <v>63</v>
      </c>
      <c r="F757" s="2">
        <f>336-(D757+E757)</f>
        <v>124</v>
      </c>
      <c r="G757" s="2">
        <f t="shared" si="155"/>
        <v>336</v>
      </c>
      <c r="H757" s="33">
        <f t="shared" si="156"/>
        <v>0.63095238095238093</v>
      </c>
    </row>
    <row r="758" spans="1:8" x14ac:dyDescent="0.2">
      <c r="A758" s="30">
        <v>35</v>
      </c>
      <c r="B758" s="31">
        <v>128</v>
      </c>
      <c r="C758" s="62" t="s">
        <v>818</v>
      </c>
      <c r="D758" s="46">
        <v>177</v>
      </c>
      <c r="E758" s="2">
        <v>104</v>
      </c>
      <c r="F758" s="2">
        <f>544-(D758+E758)</f>
        <v>263</v>
      </c>
      <c r="G758" s="2">
        <f t="shared" si="155"/>
        <v>544</v>
      </c>
      <c r="H758" s="33">
        <f t="shared" si="156"/>
        <v>0.51654411764705888</v>
      </c>
    </row>
    <row r="759" spans="1:8" x14ac:dyDescent="0.2">
      <c r="A759" s="30">
        <v>35</v>
      </c>
      <c r="B759" s="31">
        <v>132</v>
      </c>
      <c r="C759" s="62" t="s">
        <v>464</v>
      </c>
      <c r="D759" s="46">
        <v>183</v>
      </c>
      <c r="E759" s="2">
        <v>69</v>
      </c>
      <c r="F759" s="2">
        <f>416-(D759+E759)</f>
        <v>164</v>
      </c>
      <c r="G759" s="2">
        <f t="shared" si="155"/>
        <v>416</v>
      </c>
      <c r="H759" s="33">
        <f t="shared" si="156"/>
        <v>0.60576923076923073</v>
      </c>
    </row>
    <row r="760" spans="1:8" x14ac:dyDescent="0.2">
      <c r="A760" s="30">
        <v>35</v>
      </c>
      <c r="B760" s="31">
        <v>138</v>
      </c>
      <c r="C760" s="62" t="s">
        <v>628</v>
      </c>
      <c r="D760" s="46">
        <v>165</v>
      </c>
      <c r="E760" s="2">
        <v>50</v>
      </c>
      <c r="F760" s="2">
        <f>456-(D760+E760)</f>
        <v>241</v>
      </c>
      <c r="G760" s="2">
        <f t="shared" si="155"/>
        <v>456</v>
      </c>
      <c r="H760" s="33">
        <f t="shared" si="156"/>
        <v>0.47149122807017546</v>
      </c>
    </row>
    <row r="761" spans="1:8" x14ac:dyDescent="0.2">
      <c r="A761" s="30">
        <v>35</v>
      </c>
      <c r="B761" s="31">
        <v>140</v>
      </c>
      <c r="C761" s="62" t="s">
        <v>821</v>
      </c>
      <c r="D761" s="46">
        <v>126</v>
      </c>
      <c r="E761" s="2">
        <v>63</v>
      </c>
      <c r="F761" s="2">
        <f>674-(D761+E761)</f>
        <v>485</v>
      </c>
      <c r="G761" s="2">
        <f t="shared" si="155"/>
        <v>674</v>
      </c>
      <c r="H761" s="33">
        <f t="shared" si="156"/>
        <v>0.28041543026706234</v>
      </c>
    </row>
    <row r="762" spans="1:8" x14ac:dyDescent="0.2">
      <c r="A762" s="30">
        <v>35</v>
      </c>
      <c r="B762" s="31">
        <v>144</v>
      </c>
      <c r="C762" s="62" t="s">
        <v>822</v>
      </c>
      <c r="D762" s="46">
        <v>205</v>
      </c>
      <c r="E762" s="2">
        <v>74</v>
      </c>
      <c r="F762" s="2">
        <f>486-(D762+E762)</f>
        <v>207</v>
      </c>
      <c r="G762" s="2">
        <f t="shared" si="155"/>
        <v>486</v>
      </c>
      <c r="H762" s="33">
        <f t="shared" si="156"/>
        <v>0.57407407407407407</v>
      </c>
    </row>
    <row r="763" spans="1:8" x14ac:dyDescent="0.2">
      <c r="A763" s="30">
        <v>35</v>
      </c>
      <c r="B763" s="31">
        <v>148</v>
      </c>
      <c r="C763" s="62" t="s">
        <v>634</v>
      </c>
      <c r="D763" s="46">
        <v>241</v>
      </c>
      <c r="E763" s="2">
        <v>64</v>
      </c>
      <c r="F763" s="2">
        <f>519-(D763+E763)</f>
        <v>214</v>
      </c>
      <c r="G763" s="2">
        <f t="shared" si="155"/>
        <v>519</v>
      </c>
      <c r="H763" s="33">
        <f t="shared" si="156"/>
        <v>0.58766859344894029</v>
      </c>
    </row>
    <row r="764" spans="1:8" x14ac:dyDescent="0.2">
      <c r="A764" s="30">
        <v>35</v>
      </c>
      <c r="B764" s="31">
        <v>152</v>
      </c>
      <c r="C764" s="62" t="s">
        <v>824</v>
      </c>
      <c r="D764" s="46">
        <v>268</v>
      </c>
      <c r="E764" s="2">
        <v>91</v>
      </c>
      <c r="F764" s="2">
        <f>571-(D764+E764)</f>
        <v>212</v>
      </c>
      <c r="G764" s="2">
        <f t="shared" si="155"/>
        <v>571</v>
      </c>
      <c r="H764" s="33">
        <f t="shared" si="156"/>
        <v>0.62872154115586687</v>
      </c>
    </row>
    <row r="765" spans="1:8" x14ac:dyDescent="0.2">
      <c r="A765" s="30">
        <v>35</v>
      </c>
      <c r="B765" s="31">
        <v>154</v>
      </c>
      <c r="C765" s="62" t="s">
        <v>830</v>
      </c>
      <c r="D765" s="46">
        <v>140</v>
      </c>
      <c r="E765" s="2">
        <v>59</v>
      </c>
      <c r="F765" s="2">
        <f>630-(D765+E765)</f>
        <v>431</v>
      </c>
      <c r="G765" s="2">
        <f t="shared" si="155"/>
        <v>630</v>
      </c>
      <c r="H765" s="33">
        <f t="shared" si="156"/>
        <v>0.31587301587301586</v>
      </c>
    </row>
    <row r="766" spans="1:8" x14ac:dyDescent="0.2">
      <c r="A766" s="30">
        <v>35</v>
      </c>
      <c r="B766" s="31">
        <v>156</v>
      </c>
      <c r="C766" s="62" t="s">
        <v>106</v>
      </c>
      <c r="D766" s="46">
        <v>85</v>
      </c>
      <c r="E766" s="2">
        <v>36</v>
      </c>
      <c r="F766" s="2">
        <f>553-(D766+E766)</f>
        <v>432</v>
      </c>
      <c r="G766" s="2">
        <f t="shared" si="155"/>
        <v>553</v>
      </c>
      <c r="H766" s="33">
        <f t="shared" si="156"/>
        <v>0.21880650994575046</v>
      </c>
    </row>
    <row r="767" spans="1:8" x14ac:dyDescent="0.2">
      <c r="A767" s="30">
        <v>35</v>
      </c>
      <c r="B767" s="31">
        <v>158</v>
      </c>
      <c r="C767" s="62" t="s">
        <v>404</v>
      </c>
      <c r="D767" s="46">
        <v>175</v>
      </c>
      <c r="E767" s="2">
        <v>88</v>
      </c>
      <c r="F767" s="2">
        <f>487-(D767+E767)</f>
        <v>224</v>
      </c>
      <c r="G767" s="2">
        <f t="shared" si="155"/>
        <v>487</v>
      </c>
      <c r="H767" s="33">
        <f t="shared" si="156"/>
        <v>0.54004106776180694</v>
      </c>
    </row>
    <row r="768" spans="1:8" x14ac:dyDescent="0.2">
      <c r="A768" s="30">
        <v>35</v>
      </c>
      <c r="B768" s="31">
        <v>160</v>
      </c>
      <c r="C768" s="62" t="s">
        <v>832</v>
      </c>
      <c r="D768" s="46">
        <v>244</v>
      </c>
      <c r="E768" s="2">
        <v>75</v>
      </c>
      <c r="F768" s="2">
        <f>530-(D768+E768)</f>
        <v>211</v>
      </c>
      <c r="G768" s="2">
        <f t="shared" si="155"/>
        <v>530</v>
      </c>
      <c r="H768" s="33">
        <f t="shared" si="156"/>
        <v>0.60188679245283017</v>
      </c>
    </row>
    <row r="769" spans="1:8" x14ac:dyDescent="0.2">
      <c r="A769" s="30">
        <v>35</v>
      </c>
      <c r="B769" s="31">
        <v>162</v>
      </c>
      <c r="C769" s="62" t="s">
        <v>833</v>
      </c>
      <c r="D769" s="46">
        <v>175</v>
      </c>
      <c r="E769" s="2">
        <v>73</v>
      </c>
      <c r="F769" s="2">
        <f>635-(D769+E769)</f>
        <v>387</v>
      </c>
      <c r="G769" s="2">
        <f>SUM(D769:F769)</f>
        <v>635</v>
      </c>
      <c r="H769" s="33">
        <f>+(D769+E769)/G769</f>
        <v>0.3905511811023622</v>
      </c>
    </row>
    <row r="770" spans="1:8" x14ac:dyDescent="0.2">
      <c r="A770" s="30">
        <v>35</v>
      </c>
      <c r="B770" s="31">
        <v>164</v>
      </c>
      <c r="C770" s="62" t="s">
        <v>834</v>
      </c>
      <c r="D770" s="46">
        <v>90</v>
      </c>
      <c r="E770" s="2">
        <v>47</v>
      </c>
      <c r="F770" s="2">
        <f>413-(D770+E770)</f>
        <v>276</v>
      </c>
      <c r="G770" s="2">
        <f t="shared" si="155"/>
        <v>413</v>
      </c>
      <c r="H770" s="33">
        <f t="shared" si="156"/>
        <v>0.33171912832929784</v>
      </c>
    </row>
    <row r="771" spans="1:8" x14ac:dyDescent="0.2">
      <c r="A771" s="30">
        <v>35</v>
      </c>
      <c r="B771" s="31">
        <v>402</v>
      </c>
      <c r="C771" s="62" t="s">
        <v>819</v>
      </c>
      <c r="D771" s="46">
        <v>131</v>
      </c>
      <c r="E771" s="2">
        <v>64</v>
      </c>
      <c r="F771" s="2">
        <f>707-(D771+E771)</f>
        <v>512</v>
      </c>
      <c r="G771" s="2">
        <f t="shared" si="155"/>
        <v>707</v>
      </c>
      <c r="H771" s="33">
        <f t="shared" si="156"/>
        <v>0.27581329561527579</v>
      </c>
    </row>
    <row r="772" spans="1:8" x14ac:dyDescent="0.2">
      <c r="A772" s="30">
        <v>35</v>
      </c>
      <c r="B772" s="31">
        <v>403</v>
      </c>
      <c r="C772" s="62" t="s">
        <v>823</v>
      </c>
      <c r="D772" s="46">
        <v>166</v>
      </c>
      <c r="E772" s="2">
        <v>97</v>
      </c>
      <c r="F772" s="2">
        <f>1054-(D772+E772)</f>
        <v>791</v>
      </c>
      <c r="G772" s="2">
        <f t="shared" si="155"/>
        <v>1054</v>
      </c>
      <c r="H772" s="33">
        <f t="shared" si="156"/>
        <v>0.24952561669829221</v>
      </c>
    </row>
    <row r="773" spans="1:8" x14ac:dyDescent="0.2">
      <c r="A773" s="30">
        <v>35</v>
      </c>
      <c r="B773" s="31">
        <v>404</v>
      </c>
      <c r="C773" s="62" t="s">
        <v>825</v>
      </c>
      <c r="D773" s="46">
        <v>324</v>
      </c>
      <c r="E773" s="2">
        <v>107</v>
      </c>
      <c r="F773" s="2">
        <f>967-(D773+E773)</f>
        <v>536</v>
      </c>
      <c r="G773" s="2">
        <f t="shared" si="155"/>
        <v>967</v>
      </c>
      <c r="H773" s="33">
        <f t="shared" si="156"/>
        <v>0.44570837642192346</v>
      </c>
    </row>
    <row r="774" spans="1:8" x14ac:dyDescent="0.2">
      <c r="A774" s="30">
        <v>35</v>
      </c>
      <c r="B774" s="31">
        <v>405</v>
      </c>
      <c r="C774" s="62" t="s">
        <v>820</v>
      </c>
      <c r="D774" s="46">
        <v>174</v>
      </c>
      <c r="E774" s="2">
        <v>109</v>
      </c>
      <c r="F774" s="2">
        <f>958-(D774+E774)</f>
        <v>675</v>
      </c>
      <c r="G774" s="2">
        <f>SUM(D774:F774)</f>
        <v>958</v>
      </c>
      <c r="H774" s="33">
        <f>+(D774+E774)/G774</f>
        <v>0.29540709812108562</v>
      </c>
    </row>
    <row r="775" spans="1:8" x14ac:dyDescent="0.2">
      <c r="A775" s="30">
        <v>35</v>
      </c>
      <c r="B775" s="31">
        <v>406</v>
      </c>
      <c r="C775" s="62" t="s">
        <v>826</v>
      </c>
      <c r="D775" s="46">
        <v>275</v>
      </c>
      <c r="E775" s="2">
        <v>94</v>
      </c>
      <c r="F775" s="2">
        <f>824-(D775+E775)</f>
        <v>455</v>
      </c>
      <c r="G775" s="2">
        <f t="shared" si="155"/>
        <v>824</v>
      </c>
      <c r="H775" s="33">
        <f t="shared" si="156"/>
        <v>0.44781553398058255</v>
      </c>
    </row>
    <row r="776" spans="1:8" x14ac:dyDescent="0.2">
      <c r="A776" s="30">
        <v>35</v>
      </c>
      <c r="B776" s="31">
        <v>408</v>
      </c>
      <c r="C776" s="62" t="s">
        <v>828</v>
      </c>
      <c r="D776" s="46">
        <v>242</v>
      </c>
      <c r="E776" s="2">
        <v>62</v>
      </c>
      <c r="F776" s="2">
        <f>869-(D776+E776)</f>
        <v>565</v>
      </c>
      <c r="G776" s="2">
        <f t="shared" si="155"/>
        <v>869</v>
      </c>
      <c r="H776" s="33">
        <f t="shared" si="156"/>
        <v>0.34982738780207134</v>
      </c>
    </row>
    <row r="777" spans="1:8" x14ac:dyDescent="0.2">
      <c r="A777" s="30">
        <v>35</v>
      </c>
      <c r="B777" s="31">
        <v>410</v>
      </c>
      <c r="C777" s="62" t="s">
        <v>829</v>
      </c>
      <c r="D777" s="46">
        <v>265</v>
      </c>
      <c r="E777" s="2">
        <v>72</v>
      </c>
      <c r="F777" s="2">
        <f>645-(D777+E777)</f>
        <v>308</v>
      </c>
      <c r="G777" s="2">
        <f t="shared" si="155"/>
        <v>645</v>
      </c>
      <c r="H777" s="33">
        <f t="shared" si="156"/>
        <v>0.52248062015503871</v>
      </c>
    </row>
    <row r="778" spans="1:8" x14ac:dyDescent="0.2">
      <c r="A778" s="30">
        <v>35</v>
      </c>
      <c r="B778" s="31">
        <v>412</v>
      </c>
      <c r="C778" s="62" t="s">
        <v>827</v>
      </c>
      <c r="D778" s="46">
        <v>29</v>
      </c>
      <c r="E778" s="2">
        <v>19</v>
      </c>
      <c r="F778" s="2">
        <f>345-(D778+E778)</f>
        <v>297</v>
      </c>
      <c r="G778" s="2">
        <f t="shared" si="155"/>
        <v>345</v>
      </c>
      <c r="H778" s="33">
        <f t="shared" si="156"/>
        <v>0.1391304347826087</v>
      </c>
    </row>
    <row r="779" spans="1:8" x14ac:dyDescent="0.2">
      <c r="A779" s="30">
        <v>35</v>
      </c>
      <c r="B779" s="31">
        <v>416</v>
      </c>
      <c r="C779" s="62" t="s">
        <v>831</v>
      </c>
      <c r="D779" s="46">
        <v>165</v>
      </c>
      <c r="E779" s="2">
        <v>100</v>
      </c>
      <c r="F779" s="2">
        <f>1007-(D779+E779)</f>
        <v>742</v>
      </c>
      <c r="G779" s="2">
        <f t="shared" si="155"/>
        <v>1007</v>
      </c>
      <c r="H779" s="33">
        <f t="shared" si="156"/>
        <v>0.26315789473684209</v>
      </c>
    </row>
    <row r="780" spans="1:8" x14ac:dyDescent="0.2">
      <c r="A780" s="30">
        <v>35</v>
      </c>
      <c r="B780" s="31">
        <v>701</v>
      </c>
      <c r="C780" s="32" t="s">
        <v>175</v>
      </c>
      <c r="D780" s="46">
        <v>325</v>
      </c>
      <c r="E780" s="2">
        <v>111</v>
      </c>
      <c r="F780" s="2">
        <f>1317-(D780+E780)</f>
        <v>881</v>
      </c>
      <c r="G780" s="2">
        <f t="shared" si="155"/>
        <v>1317</v>
      </c>
      <c r="H780" s="33">
        <f t="shared" si="156"/>
        <v>0.33105542900531509</v>
      </c>
    </row>
    <row r="781" spans="1:8" x14ac:dyDescent="0.2">
      <c r="A781" s="30">
        <v>35</v>
      </c>
      <c r="B781" s="31">
        <v>704</v>
      </c>
      <c r="C781" s="32" t="s">
        <v>176</v>
      </c>
      <c r="D781" s="46">
        <v>247</v>
      </c>
      <c r="E781" s="2">
        <v>123</v>
      </c>
      <c r="F781" s="2">
        <f>1844-(D781+E781)</f>
        <v>1474</v>
      </c>
      <c r="G781" s="2">
        <f t="shared" si="155"/>
        <v>1844</v>
      </c>
      <c r="H781" s="33">
        <f t="shared" si="156"/>
        <v>0.20065075921908893</v>
      </c>
    </row>
    <row r="782" spans="1:8" x14ac:dyDescent="0.2">
      <c r="A782" s="30">
        <v>35</v>
      </c>
      <c r="B782" s="31">
        <v>706</v>
      </c>
      <c r="C782" s="32" t="s">
        <v>177</v>
      </c>
      <c r="D782" s="46">
        <v>215</v>
      </c>
      <c r="E782" s="2">
        <v>150</v>
      </c>
      <c r="F782" s="2">
        <f>1849-(D782+E782)</f>
        <v>1484</v>
      </c>
      <c r="G782" s="2">
        <f t="shared" si="155"/>
        <v>1849</v>
      </c>
      <c r="H782" s="33">
        <f t="shared" si="156"/>
        <v>0.19740400216333154</v>
      </c>
    </row>
    <row r="783" spans="1:8" x14ac:dyDescent="0.2">
      <c r="A783" s="30">
        <v>35</v>
      </c>
      <c r="B783" s="31">
        <v>708</v>
      </c>
      <c r="C783" s="32" t="s">
        <v>178</v>
      </c>
      <c r="D783" s="46">
        <v>403</v>
      </c>
      <c r="E783" s="2">
        <v>157</v>
      </c>
      <c r="F783" s="2">
        <f>1526-(D783+E783)</f>
        <v>966</v>
      </c>
      <c r="G783" s="2">
        <f t="shared" si="155"/>
        <v>1526</v>
      </c>
      <c r="H783" s="33">
        <f t="shared" si="156"/>
        <v>0.3669724770642202</v>
      </c>
    </row>
    <row r="784" spans="1:8" x14ac:dyDescent="0.2">
      <c r="A784" s="30">
        <v>35</v>
      </c>
      <c r="B784" s="31">
        <v>730</v>
      </c>
      <c r="C784" s="32" t="s">
        <v>242</v>
      </c>
      <c r="D784" s="46">
        <v>64</v>
      </c>
      <c r="E784" s="2">
        <v>11</v>
      </c>
      <c r="F784" s="2">
        <f>146-(D784+E784)</f>
        <v>71</v>
      </c>
      <c r="G784" s="2">
        <f>SUM(D784:F784)</f>
        <v>146</v>
      </c>
      <c r="H784" s="33">
        <f>+(D784+E784)/G784</f>
        <v>0.51369863013698636</v>
      </c>
    </row>
    <row r="785" spans="1:8" ht="13.5" thickBot="1" x14ac:dyDescent="0.25">
      <c r="A785" s="38">
        <v>35</v>
      </c>
      <c r="B785" s="39">
        <v>810</v>
      </c>
      <c r="C785" s="40" t="s">
        <v>179</v>
      </c>
      <c r="D785" s="46">
        <v>130</v>
      </c>
      <c r="E785" s="2">
        <v>20</v>
      </c>
      <c r="F785" s="2">
        <f>219-(D785+E785)</f>
        <v>69</v>
      </c>
      <c r="G785" s="2">
        <f t="shared" si="155"/>
        <v>219</v>
      </c>
      <c r="H785" s="43">
        <f t="shared" si="156"/>
        <v>0.68493150684931503</v>
      </c>
    </row>
    <row r="786" spans="1:8" ht="13.5" thickBot="1" x14ac:dyDescent="0.25">
      <c r="A786" s="34"/>
      <c r="B786" s="35">
        <f>COUNTA(B743:B785)</f>
        <v>43</v>
      </c>
      <c r="C786" s="36" t="s">
        <v>20</v>
      </c>
      <c r="D786" s="4">
        <f>SUM(D743:D785)</f>
        <v>7614</v>
      </c>
      <c r="E786" s="3">
        <f>SUM(E743:E785)</f>
        <v>3224</v>
      </c>
      <c r="F786" s="80">
        <f>SUM(F743:F785)</f>
        <v>18213</v>
      </c>
      <c r="G786" s="3">
        <f>SUM(D786:F786)</f>
        <v>29051</v>
      </c>
      <c r="H786" s="37">
        <f>+(D786+E786)/G786</f>
        <v>0.37306805273484561</v>
      </c>
    </row>
    <row r="787" spans="1:8" x14ac:dyDescent="0.2">
      <c r="A787" s="38"/>
      <c r="B787" s="39"/>
      <c r="C787" s="40"/>
      <c r="D787" s="5"/>
      <c r="E787" s="42"/>
      <c r="F787" s="41"/>
      <c r="G787" s="42"/>
      <c r="H787" s="43"/>
    </row>
    <row r="788" spans="1:8" x14ac:dyDescent="0.2">
      <c r="A788" s="38"/>
      <c r="B788" s="39"/>
      <c r="C788" s="45" t="s">
        <v>180</v>
      </c>
      <c r="D788" s="5"/>
      <c r="E788" s="42"/>
      <c r="F788" s="41"/>
      <c r="G788" s="42"/>
      <c r="H788" s="43"/>
    </row>
    <row r="789" spans="1:8" x14ac:dyDescent="0.2">
      <c r="A789" s="30">
        <v>36</v>
      </c>
      <c r="B789" s="31">
        <v>100</v>
      </c>
      <c r="C789" s="62" t="s">
        <v>439</v>
      </c>
      <c r="D789" s="46">
        <v>20</v>
      </c>
      <c r="E789" s="2">
        <v>0</v>
      </c>
      <c r="F789" s="2">
        <f>22-(D789+E789)</f>
        <v>2</v>
      </c>
      <c r="G789" s="2">
        <f>SUM(D789:F789)</f>
        <v>22</v>
      </c>
      <c r="H789" s="33">
        <f>+(D789+E789)/G789</f>
        <v>0.90909090909090906</v>
      </c>
    </row>
    <row r="790" spans="1:8" x14ac:dyDescent="0.2">
      <c r="A790" s="30">
        <v>36</v>
      </c>
      <c r="B790" s="31">
        <v>104</v>
      </c>
      <c r="C790" s="62" t="s">
        <v>842</v>
      </c>
      <c r="D790" s="46">
        <v>523</v>
      </c>
      <c r="E790" s="2">
        <v>43</v>
      </c>
      <c r="F790" s="2">
        <f>610-(D790+E790)</f>
        <v>44</v>
      </c>
      <c r="G790" s="2">
        <f>SUM(D790:F790)</f>
        <v>610</v>
      </c>
      <c r="H790" s="33">
        <f>+(D790+E790)/G790</f>
        <v>0.9278688524590164</v>
      </c>
    </row>
    <row r="791" spans="1:8" x14ac:dyDescent="0.2">
      <c r="A791" s="30">
        <v>36</v>
      </c>
      <c r="B791" s="31">
        <v>108</v>
      </c>
      <c r="C791" s="62" t="s">
        <v>843</v>
      </c>
      <c r="D791" s="46">
        <v>117</v>
      </c>
      <c r="E791" s="2">
        <v>33</v>
      </c>
      <c r="F791" s="2">
        <f>508-(D791+E791)</f>
        <v>358</v>
      </c>
      <c r="G791" s="2">
        <f t="shared" ref="G791:G834" si="157">SUM(D791:F791)</f>
        <v>508</v>
      </c>
      <c r="H791" s="33">
        <f t="shared" ref="H791:H834" si="158">+(D791+E791)/G791</f>
        <v>0.29527559055118108</v>
      </c>
    </row>
    <row r="792" spans="1:8" x14ac:dyDescent="0.2">
      <c r="A792" s="30">
        <v>36</v>
      </c>
      <c r="B792" s="31">
        <v>112</v>
      </c>
      <c r="C792" s="62" t="s">
        <v>387</v>
      </c>
      <c r="D792" s="46">
        <v>50</v>
      </c>
      <c r="E792" s="2">
        <v>16</v>
      </c>
      <c r="F792" s="2">
        <f>568-(D792+E792)</f>
        <v>502</v>
      </c>
      <c r="G792" s="2">
        <f t="shared" si="157"/>
        <v>568</v>
      </c>
      <c r="H792" s="33">
        <f t="shared" si="158"/>
        <v>0.11619718309859155</v>
      </c>
    </row>
    <row r="793" spans="1:8" x14ac:dyDescent="0.2">
      <c r="A793" s="30">
        <v>36</v>
      </c>
      <c r="B793" s="31">
        <v>124</v>
      </c>
      <c r="C793" s="62" t="s">
        <v>845</v>
      </c>
      <c r="D793" s="46">
        <v>110</v>
      </c>
      <c r="E793" s="2">
        <v>22</v>
      </c>
      <c r="F793" s="2">
        <f>617-(D793+E793)</f>
        <v>485</v>
      </c>
      <c r="G793" s="2">
        <f t="shared" si="157"/>
        <v>617</v>
      </c>
      <c r="H793" s="33">
        <f t="shared" si="158"/>
        <v>0.21393841166936792</v>
      </c>
    </row>
    <row r="794" spans="1:8" x14ac:dyDescent="0.2">
      <c r="A794" s="30">
        <v>36</v>
      </c>
      <c r="B794" s="31">
        <v>132</v>
      </c>
      <c r="C794" s="62" t="s">
        <v>846</v>
      </c>
      <c r="D794" s="46">
        <v>536</v>
      </c>
      <c r="E794" s="2">
        <v>50</v>
      </c>
      <c r="F794" s="2">
        <f>644-(D794+E794)</f>
        <v>58</v>
      </c>
      <c r="G794" s="2">
        <f t="shared" si="157"/>
        <v>644</v>
      </c>
      <c r="H794" s="33">
        <f t="shared" si="158"/>
        <v>0.90993788819875776</v>
      </c>
    </row>
    <row r="795" spans="1:8" x14ac:dyDescent="0.2">
      <c r="A795" s="30">
        <v>36</v>
      </c>
      <c r="B795" s="31">
        <v>136</v>
      </c>
      <c r="C795" s="62" t="s">
        <v>847</v>
      </c>
      <c r="D795" s="46">
        <v>194</v>
      </c>
      <c r="E795" s="2">
        <v>42</v>
      </c>
      <c r="F795" s="2">
        <f>562-(D795+E795)</f>
        <v>326</v>
      </c>
      <c r="G795" s="2">
        <f t="shared" si="157"/>
        <v>562</v>
      </c>
      <c r="H795" s="33">
        <f t="shared" si="158"/>
        <v>0.41992882562277578</v>
      </c>
    </row>
    <row r="796" spans="1:8" x14ac:dyDescent="0.2">
      <c r="A796" s="30">
        <v>36</v>
      </c>
      <c r="B796" s="31">
        <v>140</v>
      </c>
      <c r="C796" s="62" t="s">
        <v>859</v>
      </c>
      <c r="D796" s="46">
        <v>477</v>
      </c>
      <c r="E796" s="2">
        <v>96</v>
      </c>
      <c r="F796" s="2">
        <f>688-(D796+E796)</f>
        <v>115</v>
      </c>
      <c r="G796" s="2">
        <f t="shared" si="157"/>
        <v>688</v>
      </c>
      <c r="H796" s="33">
        <f t="shared" si="158"/>
        <v>0.83284883720930236</v>
      </c>
    </row>
    <row r="797" spans="1:8" x14ac:dyDescent="0.2">
      <c r="A797" s="30">
        <v>36</v>
      </c>
      <c r="B797" s="31">
        <v>144</v>
      </c>
      <c r="C797" s="62" t="s">
        <v>848</v>
      </c>
      <c r="D797" s="46">
        <v>81</v>
      </c>
      <c r="E797" s="2">
        <v>20</v>
      </c>
      <c r="F797" s="2">
        <f>397-(D797+E797)</f>
        <v>296</v>
      </c>
      <c r="G797" s="2">
        <f t="shared" si="157"/>
        <v>397</v>
      </c>
      <c r="H797" s="33">
        <f t="shared" si="158"/>
        <v>0.25440806045340053</v>
      </c>
    </row>
    <row r="798" spans="1:8" x14ac:dyDescent="0.2">
      <c r="A798" s="30">
        <v>36</v>
      </c>
      <c r="B798" s="31">
        <v>148</v>
      </c>
      <c r="C798" s="62" t="s">
        <v>849</v>
      </c>
      <c r="D798" s="46">
        <v>460</v>
      </c>
      <c r="E798" s="2">
        <v>49</v>
      </c>
      <c r="F798" s="2">
        <f>562-(D798+E798)</f>
        <v>53</v>
      </c>
      <c r="G798" s="2">
        <f t="shared" si="157"/>
        <v>562</v>
      </c>
      <c r="H798" s="33">
        <f t="shared" si="158"/>
        <v>0.90569395017793597</v>
      </c>
    </row>
    <row r="799" spans="1:8" x14ac:dyDescent="0.2">
      <c r="A799" s="30">
        <v>36</v>
      </c>
      <c r="B799" s="31">
        <v>160</v>
      </c>
      <c r="C799" s="62" t="s">
        <v>531</v>
      </c>
      <c r="D799" s="46">
        <v>501</v>
      </c>
      <c r="E799" s="2">
        <v>64</v>
      </c>
      <c r="F799" s="2">
        <f>635-(D799+E799)</f>
        <v>70</v>
      </c>
      <c r="G799" s="2">
        <f t="shared" si="157"/>
        <v>635</v>
      </c>
      <c r="H799" s="33">
        <f t="shared" si="158"/>
        <v>0.88976377952755903</v>
      </c>
    </row>
    <row r="800" spans="1:8" x14ac:dyDescent="0.2">
      <c r="A800" s="30">
        <v>36</v>
      </c>
      <c r="B800" s="31">
        <v>176</v>
      </c>
      <c r="C800" s="62" t="s">
        <v>850</v>
      </c>
      <c r="D800" s="46">
        <v>145</v>
      </c>
      <c r="E800" s="2">
        <v>27</v>
      </c>
      <c r="F800" s="2">
        <f>461-(D800+E800)</f>
        <v>289</v>
      </c>
      <c r="G800" s="2">
        <f t="shared" si="157"/>
        <v>461</v>
      </c>
      <c r="H800" s="33">
        <f t="shared" si="158"/>
        <v>0.37310195227765725</v>
      </c>
    </row>
    <row r="801" spans="1:8" x14ac:dyDescent="0.2">
      <c r="A801" s="30">
        <v>36</v>
      </c>
      <c r="B801" s="31">
        <v>180</v>
      </c>
      <c r="C801" s="62" t="s">
        <v>851</v>
      </c>
      <c r="D801" s="46">
        <v>162</v>
      </c>
      <c r="E801" s="2">
        <v>38</v>
      </c>
      <c r="F801" s="2">
        <f>647-(D801+E801)</f>
        <v>447</v>
      </c>
      <c r="G801" s="2">
        <f t="shared" si="157"/>
        <v>647</v>
      </c>
      <c r="H801" s="33">
        <f t="shared" si="158"/>
        <v>0.30911901081916537</v>
      </c>
    </row>
    <row r="802" spans="1:8" x14ac:dyDescent="0.2">
      <c r="A802" s="30">
        <v>36</v>
      </c>
      <c r="B802" s="31">
        <v>184</v>
      </c>
      <c r="C802" s="62" t="s">
        <v>853</v>
      </c>
      <c r="D802" s="46">
        <v>75</v>
      </c>
      <c r="E802" s="2">
        <v>25</v>
      </c>
      <c r="F802" s="2">
        <f>453-(D802+E802)</f>
        <v>353</v>
      </c>
      <c r="G802" s="2">
        <f t="shared" si="157"/>
        <v>453</v>
      </c>
      <c r="H802" s="33">
        <f t="shared" si="158"/>
        <v>0.22075055187637968</v>
      </c>
    </row>
    <row r="803" spans="1:8" x14ac:dyDescent="0.2">
      <c r="A803" s="30">
        <v>36</v>
      </c>
      <c r="B803" s="31">
        <v>188</v>
      </c>
      <c r="C803" s="62" t="s">
        <v>854</v>
      </c>
      <c r="D803" s="46">
        <v>364</v>
      </c>
      <c r="E803" s="2">
        <v>48</v>
      </c>
      <c r="F803" s="2">
        <f>483-(D803+E803)</f>
        <v>71</v>
      </c>
      <c r="G803" s="2">
        <f t="shared" si="157"/>
        <v>483</v>
      </c>
      <c r="H803" s="33">
        <f t="shared" si="158"/>
        <v>0.85300207039337472</v>
      </c>
    </row>
    <row r="804" spans="1:8" x14ac:dyDescent="0.2">
      <c r="A804" s="30">
        <v>36</v>
      </c>
      <c r="B804" s="31">
        <v>196</v>
      </c>
      <c r="C804" s="62" t="s">
        <v>470</v>
      </c>
      <c r="D804" s="46">
        <v>468</v>
      </c>
      <c r="E804" s="2">
        <v>43</v>
      </c>
      <c r="F804" s="2">
        <f>581-(D804+E804)</f>
        <v>70</v>
      </c>
      <c r="G804" s="2">
        <f t="shared" si="157"/>
        <v>581</v>
      </c>
      <c r="H804" s="33">
        <f t="shared" si="158"/>
        <v>0.87951807228915657</v>
      </c>
    </row>
    <row r="805" spans="1:8" x14ac:dyDescent="0.2">
      <c r="A805" s="30">
        <v>36</v>
      </c>
      <c r="B805" s="31">
        <v>204</v>
      </c>
      <c r="C805" s="62" t="s">
        <v>855</v>
      </c>
      <c r="D805" s="46">
        <v>219</v>
      </c>
      <c r="E805" s="2">
        <v>36</v>
      </c>
      <c r="F805" s="2">
        <f>298-(D805+E805)</f>
        <v>43</v>
      </c>
      <c r="G805" s="2">
        <f t="shared" si="157"/>
        <v>298</v>
      </c>
      <c r="H805" s="33">
        <f t="shared" si="158"/>
        <v>0.85570469798657722</v>
      </c>
    </row>
    <row r="806" spans="1:8" x14ac:dyDescent="0.2">
      <c r="A806" s="30">
        <v>36</v>
      </c>
      <c r="B806" s="31">
        <v>216</v>
      </c>
      <c r="C806" s="62" t="s">
        <v>856</v>
      </c>
      <c r="D806" s="46">
        <v>457</v>
      </c>
      <c r="E806" s="2">
        <v>57</v>
      </c>
      <c r="F806" s="2">
        <f>560-(D806+E806)</f>
        <v>46</v>
      </c>
      <c r="G806" s="2">
        <f t="shared" si="157"/>
        <v>560</v>
      </c>
      <c r="H806" s="33">
        <f t="shared" si="158"/>
        <v>0.91785714285714282</v>
      </c>
    </row>
    <row r="807" spans="1:8" x14ac:dyDescent="0.2">
      <c r="A807" s="30">
        <v>36</v>
      </c>
      <c r="B807" s="31">
        <v>220</v>
      </c>
      <c r="C807" s="62" t="s">
        <v>857</v>
      </c>
      <c r="D807" s="46">
        <v>299</v>
      </c>
      <c r="E807" s="2">
        <v>77</v>
      </c>
      <c r="F807" s="2">
        <f>477-(D807+E807)</f>
        <v>101</v>
      </c>
      <c r="G807" s="2">
        <f t="shared" si="157"/>
        <v>477</v>
      </c>
      <c r="H807" s="33">
        <f t="shared" si="158"/>
        <v>0.7882599580712788</v>
      </c>
    </row>
    <row r="808" spans="1:8" x14ac:dyDescent="0.2">
      <c r="A808" s="30">
        <v>36</v>
      </c>
      <c r="B808" s="31">
        <v>224</v>
      </c>
      <c r="C808" s="62" t="s">
        <v>858</v>
      </c>
      <c r="D808" s="46">
        <v>271</v>
      </c>
      <c r="E808" s="2">
        <v>74</v>
      </c>
      <c r="F808" s="2">
        <f>518-(D808+E808)</f>
        <v>173</v>
      </c>
      <c r="G808" s="2">
        <f t="shared" si="157"/>
        <v>518</v>
      </c>
      <c r="H808" s="33">
        <f t="shared" si="158"/>
        <v>0.66602316602316602</v>
      </c>
    </row>
    <row r="809" spans="1:8" x14ac:dyDescent="0.2">
      <c r="A809" s="30">
        <v>36</v>
      </c>
      <c r="B809" s="31">
        <v>242</v>
      </c>
      <c r="C809" s="62" t="s">
        <v>719</v>
      </c>
      <c r="D809" s="46">
        <v>373</v>
      </c>
      <c r="E809" s="2">
        <v>65</v>
      </c>
      <c r="F809" s="2">
        <f>510-(D809+E809)</f>
        <v>72</v>
      </c>
      <c r="G809" s="2">
        <f t="shared" si="157"/>
        <v>510</v>
      </c>
      <c r="H809" s="33">
        <f t="shared" si="158"/>
        <v>0.85882352941176465</v>
      </c>
    </row>
    <row r="810" spans="1:8" x14ac:dyDescent="0.2">
      <c r="A810" s="30">
        <v>36</v>
      </c>
      <c r="B810" s="31">
        <v>244</v>
      </c>
      <c r="C810" s="62" t="s">
        <v>860</v>
      </c>
      <c r="D810" s="46">
        <v>325</v>
      </c>
      <c r="E810" s="2">
        <v>68</v>
      </c>
      <c r="F810" s="2">
        <f>425-(D810+E810)</f>
        <v>32</v>
      </c>
      <c r="G810" s="2">
        <f t="shared" si="157"/>
        <v>425</v>
      </c>
      <c r="H810" s="33">
        <f t="shared" si="158"/>
        <v>0.92470588235294116</v>
      </c>
    </row>
    <row r="811" spans="1:8" x14ac:dyDescent="0.2">
      <c r="A811" s="30">
        <v>36</v>
      </c>
      <c r="B811" s="31">
        <v>252</v>
      </c>
      <c r="C811" s="62" t="s">
        <v>861</v>
      </c>
      <c r="D811" s="46">
        <v>343</v>
      </c>
      <c r="E811" s="2">
        <v>71</v>
      </c>
      <c r="F811" s="2">
        <f>495-(D811+E811)</f>
        <v>81</v>
      </c>
      <c r="G811" s="2">
        <f t="shared" si="157"/>
        <v>495</v>
      </c>
      <c r="H811" s="33">
        <f t="shared" si="158"/>
        <v>0.83636363636363631</v>
      </c>
    </row>
    <row r="812" spans="1:8" x14ac:dyDescent="0.2">
      <c r="A812" s="30">
        <v>36</v>
      </c>
      <c r="B812" s="31">
        <v>262</v>
      </c>
      <c r="C812" s="62" t="s">
        <v>581</v>
      </c>
      <c r="D812" s="46">
        <v>371</v>
      </c>
      <c r="E812" s="2">
        <v>60</v>
      </c>
      <c r="F812" s="2">
        <f>527-(D812+E812)</f>
        <v>96</v>
      </c>
      <c r="G812" s="2">
        <f t="shared" si="157"/>
        <v>527</v>
      </c>
      <c r="H812" s="33">
        <f>+(D812+E812)/G812</f>
        <v>0.81783681214421255</v>
      </c>
    </row>
    <row r="813" spans="1:8" x14ac:dyDescent="0.2">
      <c r="A813" s="30">
        <v>36</v>
      </c>
      <c r="B813" s="31">
        <v>268</v>
      </c>
      <c r="C813" s="62" t="s">
        <v>830</v>
      </c>
      <c r="D813" s="46">
        <v>55</v>
      </c>
      <c r="E813" s="2">
        <v>17</v>
      </c>
      <c r="F813" s="2">
        <f>547-(D813+E813)</f>
        <v>475</v>
      </c>
      <c r="G813" s="2">
        <f t="shared" si="157"/>
        <v>547</v>
      </c>
      <c r="H813" s="33">
        <f t="shared" si="158"/>
        <v>0.13162705667276051</v>
      </c>
    </row>
    <row r="814" spans="1:8" x14ac:dyDescent="0.2">
      <c r="A814" s="30">
        <v>36</v>
      </c>
      <c r="B814" s="31">
        <v>272</v>
      </c>
      <c r="C814" s="62" t="s">
        <v>560</v>
      </c>
      <c r="D814" s="46">
        <v>120</v>
      </c>
      <c r="E814" s="2">
        <v>18</v>
      </c>
      <c r="F814" s="2">
        <f>505-(D814+E814)</f>
        <v>367</v>
      </c>
      <c r="G814" s="2">
        <f t="shared" si="157"/>
        <v>505</v>
      </c>
      <c r="H814" s="33">
        <f t="shared" si="158"/>
        <v>0.27326732673267329</v>
      </c>
    </row>
    <row r="815" spans="1:8" x14ac:dyDescent="0.2">
      <c r="A815" s="30">
        <v>36</v>
      </c>
      <c r="B815" s="31">
        <v>276</v>
      </c>
      <c r="C815" s="62" t="s">
        <v>559</v>
      </c>
      <c r="D815" s="46">
        <v>288</v>
      </c>
      <c r="E815" s="2">
        <v>51</v>
      </c>
      <c r="F815" s="2">
        <f>421-(D815+E815)</f>
        <v>82</v>
      </c>
      <c r="G815" s="2">
        <f t="shared" si="157"/>
        <v>421</v>
      </c>
      <c r="H815" s="33">
        <f t="shared" si="158"/>
        <v>0.80522565320665085</v>
      </c>
    </row>
    <row r="816" spans="1:8" x14ac:dyDescent="0.2">
      <c r="A816" s="30">
        <v>36</v>
      </c>
      <c r="B816" s="31">
        <v>288</v>
      </c>
      <c r="C816" s="62" t="s">
        <v>653</v>
      </c>
      <c r="D816" s="46">
        <v>385</v>
      </c>
      <c r="E816" s="2">
        <v>70</v>
      </c>
      <c r="F816" s="2">
        <f>704-(D816+E816)</f>
        <v>249</v>
      </c>
      <c r="G816" s="2">
        <f t="shared" si="157"/>
        <v>704</v>
      </c>
      <c r="H816" s="33">
        <f t="shared" si="158"/>
        <v>0.64630681818181823</v>
      </c>
    </row>
    <row r="817" spans="1:8" x14ac:dyDescent="0.2">
      <c r="A817" s="30">
        <v>36</v>
      </c>
      <c r="B817" s="31">
        <v>404</v>
      </c>
      <c r="C817" s="62" t="s">
        <v>844</v>
      </c>
      <c r="D817" s="46">
        <v>362</v>
      </c>
      <c r="E817" s="2">
        <v>50</v>
      </c>
      <c r="F817" s="2">
        <f>488-(D817+E817)</f>
        <v>76</v>
      </c>
      <c r="G817" s="2">
        <f t="shared" si="157"/>
        <v>488</v>
      </c>
      <c r="H817" s="33">
        <f t="shared" si="158"/>
        <v>0.84426229508196726</v>
      </c>
    </row>
    <row r="818" spans="1:8" x14ac:dyDescent="0.2">
      <c r="A818" s="30">
        <v>36</v>
      </c>
      <c r="B818" s="31">
        <v>408</v>
      </c>
      <c r="C818" s="62" t="s">
        <v>433</v>
      </c>
      <c r="D818" s="46">
        <v>207</v>
      </c>
      <c r="E818" s="2">
        <v>45</v>
      </c>
      <c r="F818" s="2">
        <f>678-(D818+E818)</f>
        <v>426</v>
      </c>
      <c r="G818" s="2">
        <f t="shared" si="157"/>
        <v>678</v>
      </c>
      <c r="H818" s="33">
        <f t="shared" si="158"/>
        <v>0.37168141592920356</v>
      </c>
    </row>
    <row r="819" spans="1:8" x14ac:dyDescent="0.2">
      <c r="A819" s="30">
        <v>36</v>
      </c>
      <c r="B819" s="31">
        <v>412</v>
      </c>
      <c r="C819" s="62" t="s">
        <v>435</v>
      </c>
      <c r="D819" s="46">
        <v>653</v>
      </c>
      <c r="E819" s="2">
        <v>86</v>
      </c>
      <c r="F819" s="2">
        <f>762-(D819+E819)</f>
        <v>23</v>
      </c>
      <c r="G819" s="2">
        <f t="shared" si="157"/>
        <v>762</v>
      </c>
      <c r="H819" s="33">
        <f t="shared" si="158"/>
        <v>0.96981627296587924</v>
      </c>
    </row>
    <row r="820" spans="1:8" x14ac:dyDescent="0.2">
      <c r="A820" s="30">
        <v>36</v>
      </c>
      <c r="B820" s="31">
        <v>416</v>
      </c>
      <c r="C820" s="62" t="s">
        <v>437</v>
      </c>
      <c r="D820" s="46">
        <v>180</v>
      </c>
      <c r="E820" s="2">
        <v>45</v>
      </c>
      <c r="F820" s="2">
        <f>542-(D820+E820)</f>
        <v>317</v>
      </c>
      <c r="G820" s="2">
        <f t="shared" si="157"/>
        <v>542</v>
      </c>
      <c r="H820" s="33">
        <f t="shared" si="158"/>
        <v>0.4151291512915129</v>
      </c>
    </row>
    <row r="821" spans="1:8" x14ac:dyDescent="0.2">
      <c r="A821" s="30">
        <v>36</v>
      </c>
      <c r="B821" s="31">
        <v>440</v>
      </c>
      <c r="C821" s="62" t="s">
        <v>438</v>
      </c>
      <c r="D821" s="46">
        <v>544</v>
      </c>
      <c r="E821" s="2">
        <v>87</v>
      </c>
      <c r="F821" s="2">
        <f>691-(D821+E821)</f>
        <v>60</v>
      </c>
      <c r="G821" s="2">
        <f t="shared" si="157"/>
        <v>691</v>
      </c>
      <c r="H821" s="33">
        <f t="shared" si="158"/>
        <v>0.91316931982633864</v>
      </c>
    </row>
    <row r="822" spans="1:8" x14ac:dyDescent="0.2">
      <c r="A822" s="30">
        <v>36</v>
      </c>
      <c r="B822" s="31">
        <v>704</v>
      </c>
      <c r="C822" s="114" t="s">
        <v>434</v>
      </c>
      <c r="D822" s="46">
        <v>1064</v>
      </c>
      <c r="E822" s="2">
        <v>195</v>
      </c>
      <c r="F822" s="2">
        <f>1954-(D822+E822)</f>
        <v>695</v>
      </c>
      <c r="G822" s="2">
        <f t="shared" si="157"/>
        <v>1954</v>
      </c>
      <c r="H822" s="33">
        <f t="shared" si="158"/>
        <v>0.64431934493346976</v>
      </c>
    </row>
    <row r="823" spans="1:8" x14ac:dyDescent="0.2">
      <c r="A823" s="30">
        <v>36</v>
      </c>
      <c r="B823" s="31">
        <v>708</v>
      </c>
      <c r="C823" s="62" t="s">
        <v>436</v>
      </c>
      <c r="D823" s="46">
        <v>690</v>
      </c>
      <c r="E823" s="2">
        <v>113</v>
      </c>
      <c r="F823" s="2">
        <f>1756-(D823+E823)</f>
        <v>953</v>
      </c>
      <c r="G823" s="2">
        <f t="shared" si="157"/>
        <v>1756</v>
      </c>
      <c r="H823" s="33">
        <f t="shared" si="158"/>
        <v>0.45728929384965833</v>
      </c>
    </row>
    <row r="824" spans="1:8" x14ac:dyDescent="0.2">
      <c r="A824" s="30">
        <v>36</v>
      </c>
      <c r="B824" s="31">
        <v>716</v>
      </c>
      <c r="C824" s="32" t="s">
        <v>230</v>
      </c>
      <c r="D824" s="46">
        <v>1244</v>
      </c>
      <c r="E824" s="2">
        <v>296</v>
      </c>
      <c r="F824" s="2">
        <f>2437-(D824+E824)</f>
        <v>897</v>
      </c>
      <c r="G824" s="2">
        <f>SUM(D824:F824)</f>
        <v>2437</v>
      </c>
      <c r="H824" s="33">
        <f>+(D824+E824)/G824</f>
        <v>0.63192449733278622</v>
      </c>
    </row>
    <row r="825" spans="1:8" x14ac:dyDescent="0.2">
      <c r="A825" s="30">
        <v>36</v>
      </c>
      <c r="B825" s="31">
        <v>748</v>
      </c>
      <c r="C825" s="62" t="s">
        <v>1047</v>
      </c>
      <c r="D825" s="46">
        <v>66</v>
      </c>
      <c r="E825" s="2">
        <v>18</v>
      </c>
      <c r="F825" s="2">
        <f>170-(D825+E825)</f>
        <v>86</v>
      </c>
      <c r="G825" s="2">
        <f>SUM(D825:F825)</f>
        <v>170</v>
      </c>
      <c r="H825" s="33">
        <f>+(D825+E825)/G825</f>
        <v>0.49411764705882355</v>
      </c>
    </row>
    <row r="826" spans="1:8" x14ac:dyDescent="0.2">
      <c r="A826" s="30">
        <v>36</v>
      </c>
      <c r="B826" s="31">
        <v>750</v>
      </c>
      <c r="C826" s="32" t="s">
        <v>227</v>
      </c>
      <c r="D826" s="46">
        <v>755</v>
      </c>
      <c r="E826" s="2">
        <v>86</v>
      </c>
      <c r="F826" s="2">
        <f>1262-(D826+E826)</f>
        <v>421</v>
      </c>
      <c r="G826" s="2">
        <f t="shared" si="157"/>
        <v>1262</v>
      </c>
      <c r="H826" s="33">
        <f t="shared" si="158"/>
        <v>0.66640253565768626</v>
      </c>
    </row>
    <row r="827" spans="1:8" x14ac:dyDescent="0.2">
      <c r="A827" s="30">
        <v>36</v>
      </c>
      <c r="B827" s="31">
        <v>751</v>
      </c>
      <c r="C827" s="62" t="s">
        <v>852</v>
      </c>
      <c r="D827" s="46">
        <v>77</v>
      </c>
      <c r="E827" s="2">
        <v>11</v>
      </c>
      <c r="F827" s="2">
        <f>96-(D827+E827)</f>
        <v>8</v>
      </c>
      <c r="G827" s="2">
        <f t="shared" ref="G827" si="159">SUM(D827:F827)</f>
        <v>96</v>
      </c>
      <c r="H827" s="33">
        <f t="shared" ref="H827" si="160">+(D827+E827)/G827</f>
        <v>0.91666666666666663</v>
      </c>
    </row>
    <row r="828" spans="1:8" x14ac:dyDescent="0.2">
      <c r="A828" s="30">
        <v>36</v>
      </c>
      <c r="B828" s="84" t="s">
        <v>1044</v>
      </c>
      <c r="C828" s="62" t="s">
        <v>1045</v>
      </c>
      <c r="D828" s="46">
        <v>27</v>
      </c>
      <c r="E828" s="2">
        <v>1</v>
      </c>
      <c r="F828" s="2">
        <f>37-(D828+E828)</f>
        <v>9</v>
      </c>
      <c r="G828" s="2">
        <f t="shared" ref="G828" si="161">SUM(D828:F828)</f>
        <v>37</v>
      </c>
      <c r="H828" s="33">
        <f t="shared" ref="H828" si="162">+(D828+E828)/G828</f>
        <v>0.7567567567567568</v>
      </c>
    </row>
    <row r="829" spans="1:8" x14ac:dyDescent="0.2">
      <c r="A829" s="30">
        <v>36</v>
      </c>
      <c r="B829" s="31">
        <v>821</v>
      </c>
      <c r="C829" s="32" t="s">
        <v>218</v>
      </c>
      <c r="D829" s="46">
        <v>27</v>
      </c>
      <c r="E829" s="2">
        <v>1</v>
      </c>
      <c r="F829" s="2">
        <f>32-(D829+E829)</f>
        <v>4</v>
      </c>
      <c r="G829" s="2">
        <f t="shared" si="157"/>
        <v>32</v>
      </c>
      <c r="H829" s="33">
        <f t="shared" ref="H829:H832" si="163">+(D829+E829)/G829</f>
        <v>0.875</v>
      </c>
    </row>
    <row r="830" spans="1:8" x14ac:dyDescent="0.2">
      <c r="A830" s="30">
        <v>36</v>
      </c>
      <c r="B830" s="31">
        <v>986</v>
      </c>
      <c r="C830" s="62" t="s">
        <v>1046</v>
      </c>
      <c r="D830" s="46">
        <v>9</v>
      </c>
      <c r="E830" s="2">
        <v>0</v>
      </c>
      <c r="F830" s="2">
        <f>9-(D830+E830)</f>
        <v>0</v>
      </c>
      <c r="G830" s="2">
        <f t="shared" ref="G830" si="164">SUM(D830:F830)</f>
        <v>9</v>
      </c>
      <c r="H830" s="33">
        <f t="shared" ref="H830" si="165">+(D830+E830)/G830</f>
        <v>1</v>
      </c>
    </row>
    <row r="831" spans="1:8" x14ac:dyDescent="0.2">
      <c r="A831" s="30">
        <v>36</v>
      </c>
      <c r="B831" s="31">
        <v>987</v>
      </c>
      <c r="C831" s="32" t="s">
        <v>214</v>
      </c>
      <c r="D831" s="46">
        <v>29</v>
      </c>
      <c r="E831" s="2">
        <v>5</v>
      </c>
      <c r="F831" s="2">
        <f>37-(D831+E831)</f>
        <v>3</v>
      </c>
      <c r="G831" s="2">
        <f t="shared" ref="G831" si="166">SUM(D831:F831)</f>
        <v>37</v>
      </c>
      <c r="H831" s="33">
        <f t="shared" si="163"/>
        <v>0.91891891891891897</v>
      </c>
    </row>
    <row r="832" spans="1:8" x14ac:dyDescent="0.2">
      <c r="A832" s="30">
        <v>36</v>
      </c>
      <c r="B832" s="31">
        <v>997</v>
      </c>
      <c r="C832" s="62" t="s">
        <v>440</v>
      </c>
      <c r="D832" s="46">
        <v>1</v>
      </c>
      <c r="E832" s="2">
        <v>0</v>
      </c>
      <c r="F832" s="2">
        <f>17-(D832+E832)</f>
        <v>16</v>
      </c>
      <c r="G832" s="2">
        <f t="shared" ref="G832:G833" si="167">SUM(D832:F832)</f>
        <v>17</v>
      </c>
      <c r="H832" s="33">
        <f t="shared" si="163"/>
        <v>5.8823529411764705E-2</v>
      </c>
    </row>
    <row r="833" spans="1:8" x14ac:dyDescent="0.2">
      <c r="A833" s="38">
        <v>36</v>
      </c>
      <c r="B833" s="39">
        <v>998</v>
      </c>
      <c r="C833" s="40" t="s">
        <v>228</v>
      </c>
      <c r="D833" s="74">
        <v>43</v>
      </c>
      <c r="E833" s="75">
        <v>9</v>
      </c>
      <c r="F833" s="2">
        <f>62-(D833+E833)</f>
        <v>10</v>
      </c>
      <c r="G833" s="75">
        <f t="shared" si="167"/>
        <v>62</v>
      </c>
      <c r="H833" s="43">
        <f t="shared" ref="H833" si="168">+(D833+E833)/G833</f>
        <v>0.83870967741935487</v>
      </c>
    </row>
    <row r="834" spans="1:8" ht="13.5" thickBot="1" x14ac:dyDescent="0.25">
      <c r="A834" s="64" t="s">
        <v>432</v>
      </c>
      <c r="B834" s="73">
        <v>300</v>
      </c>
      <c r="C834" s="65" t="s">
        <v>1011</v>
      </c>
      <c r="D834" s="141">
        <v>152</v>
      </c>
      <c r="E834" s="141">
        <v>46</v>
      </c>
      <c r="F834" s="2">
        <f>348-(D834+E834)</f>
        <v>150</v>
      </c>
      <c r="G834" s="141">
        <f t="shared" si="157"/>
        <v>348</v>
      </c>
      <c r="H834" s="49">
        <f t="shared" si="158"/>
        <v>0.56896551724137934</v>
      </c>
    </row>
    <row r="835" spans="1:8" ht="13.5" thickBot="1" x14ac:dyDescent="0.25">
      <c r="A835" s="34"/>
      <c r="B835" s="35">
        <f>COUNTA(B789:B834)</f>
        <v>46</v>
      </c>
      <c r="C835" s="36" t="s">
        <v>20</v>
      </c>
      <c r="D835" s="4">
        <f>SUM(D789:D834)</f>
        <v>13919</v>
      </c>
      <c r="E835" s="3">
        <f>SUM(E789:E834)</f>
        <v>2374</v>
      </c>
      <c r="F835" s="80">
        <f>SUM(F789:F834)</f>
        <v>9510</v>
      </c>
      <c r="G835" s="3">
        <f>SUM(D835:F835)</f>
        <v>25803</v>
      </c>
      <c r="H835" s="37">
        <f>+(D835+E835)/G835</f>
        <v>0.63143820485989999</v>
      </c>
    </row>
    <row r="836" spans="1:8" x14ac:dyDescent="0.2">
      <c r="A836" s="38"/>
      <c r="B836" s="39"/>
      <c r="C836" s="40"/>
      <c r="D836" s="5"/>
      <c r="E836" s="42"/>
      <c r="F836" s="41"/>
      <c r="G836" s="42"/>
      <c r="H836" s="43"/>
    </row>
    <row r="837" spans="1:8" x14ac:dyDescent="0.2">
      <c r="A837" s="38"/>
      <c r="B837" s="39"/>
      <c r="C837" s="45" t="s">
        <v>181</v>
      </c>
      <c r="D837" s="5"/>
      <c r="E837" s="42"/>
      <c r="F837" s="41"/>
      <c r="G837" s="42"/>
      <c r="H837" s="43"/>
    </row>
    <row r="838" spans="1:8" x14ac:dyDescent="0.2">
      <c r="A838" s="30">
        <v>37</v>
      </c>
      <c r="B838" s="31">
        <v>103</v>
      </c>
      <c r="C838" s="62" t="s">
        <v>387</v>
      </c>
      <c r="D838" s="46">
        <v>401</v>
      </c>
      <c r="E838" s="2">
        <v>35</v>
      </c>
      <c r="F838" s="2">
        <f>512-(D838+E838)</f>
        <v>76</v>
      </c>
      <c r="G838" s="2">
        <f t="shared" ref="G838:G846" si="169">SUM(D838:F838)</f>
        <v>512</v>
      </c>
      <c r="H838" s="33">
        <f t="shared" ref="H838:H846" si="170">+(D838+E838)/G838</f>
        <v>0.8515625</v>
      </c>
    </row>
    <row r="839" spans="1:8" x14ac:dyDescent="0.2">
      <c r="A839" s="30">
        <v>37</v>
      </c>
      <c r="B839" s="31">
        <v>107</v>
      </c>
      <c r="C839" s="62" t="s">
        <v>862</v>
      </c>
      <c r="D839" s="46">
        <v>352</v>
      </c>
      <c r="E839" s="2">
        <v>29</v>
      </c>
      <c r="F839" s="2">
        <f>407-(D839+E839)</f>
        <v>26</v>
      </c>
      <c r="G839" s="2">
        <f t="shared" si="169"/>
        <v>407</v>
      </c>
      <c r="H839" s="33">
        <f t="shared" si="170"/>
        <v>0.93611793611793614</v>
      </c>
    </row>
    <row r="840" spans="1:8" x14ac:dyDescent="0.2">
      <c r="A840" s="30">
        <v>37</v>
      </c>
      <c r="B840" s="31">
        <v>111</v>
      </c>
      <c r="C840" s="62" t="s">
        <v>863</v>
      </c>
      <c r="D840" s="46">
        <v>381</v>
      </c>
      <c r="E840" s="2">
        <v>29</v>
      </c>
      <c r="F840" s="2">
        <f>470-(D840+E840)</f>
        <v>60</v>
      </c>
      <c r="G840" s="2">
        <f t="shared" si="169"/>
        <v>470</v>
      </c>
      <c r="H840" s="33">
        <f t="shared" si="170"/>
        <v>0.87234042553191493</v>
      </c>
    </row>
    <row r="841" spans="1:8" x14ac:dyDescent="0.2">
      <c r="A841" s="30">
        <v>37</v>
      </c>
      <c r="B841" s="31">
        <v>119</v>
      </c>
      <c r="C841" s="62" t="s">
        <v>864</v>
      </c>
      <c r="D841" s="46">
        <v>558</v>
      </c>
      <c r="E841" s="2">
        <v>71</v>
      </c>
      <c r="F841" s="2">
        <f>798-(D841+E841)</f>
        <v>169</v>
      </c>
      <c r="G841" s="2">
        <f t="shared" ref="G841" si="171">SUM(D841:F841)</f>
        <v>798</v>
      </c>
      <c r="H841" s="33">
        <f t="shared" ref="H841" si="172">+(D841+E841)/G841</f>
        <v>0.78822055137844615</v>
      </c>
    </row>
    <row r="842" spans="1:8" x14ac:dyDescent="0.2">
      <c r="A842" s="30">
        <v>37</v>
      </c>
      <c r="B842" s="31">
        <v>123</v>
      </c>
      <c r="C842" s="62" t="s">
        <v>367</v>
      </c>
      <c r="D842" s="46">
        <v>315</v>
      </c>
      <c r="E842" s="2">
        <v>42</v>
      </c>
      <c r="F842" s="2">
        <f>464-(D842+E842)</f>
        <v>107</v>
      </c>
      <c r="G842" s="2">
        <f t="shared" si="169"/>
        <v>464</v>
      </c>
      <c r="H842" s="33">
        <f t="shared" si="170"/>
        <v>0.7693965517241379</v>
      </c>
    </row>
    <row r="843" spans="1:8" x14ac:dyDescent="0.2">
      <c r="A843" s="30">
        <v>37</v>
      </c>
      <c r="B843" s="31">
        <v>131</v>
      </c>
      <c r="C843" s="62" t="s">
        <v>865</v>
      </c>
      <c r="D843" s="46">
        <v>285</v>
      </c>
      <c r="E843" s="2">
        <v>63</v>
      </c>
      <c r="F843" s="2">
        <f>483-(D843+E843)</f>
        <v>135</v>
      </c>
      <c r="G843" s="2">
        <f t="shared" si="169"/>
        <v>483</v>
      </c>
      <c r="H843" s="33">
        <f t="shared" si="170"/>
        <v>0.72049689440993792</v>
      </c>
    </row>
    <row r="844" spans="1:8" x14ac:dyDescent="0.2">
      <c r="A844" s="30">
        <v>37</v>
      </c>
      <c r="B844" s="31">
        <v>139</v>
      </c>
      <c r="C844" s="62" t="s">
        <v>470</v>
      </c>
      <c r="D844" s="46">
        <v>376</v>
      </c>
      <c r="E844" s="2">
        <v>64</v>
      </c>
      <c r="F844" s="2">
        <f>534-(D844+E844)</f>
        <v>94</v>
      </c>
      <c r="G844" s="2">
        <f t="shared" si="169"/>
        <v>534</v>
      </c>
      <c r="H844" s="33">
        <f t="shared" si="170"/>
        <v>0.82397003745318353</v>
      </c>
    </row>
    <row r="845" spans="1:8" x14ac:dyDescent="0.2">
      <c r="A845" s="30">
        <v>37</v>
      </c>
      <c r="B845" s="31">
        <v>151</v>
      </c>
      <c r="C845" s="62" t="s">
        <v>866</v>
      </c>
      <c r="D845" s="46">
        <v>556</v>
      </c>
      <c r="E845" s="2">
        <v>26</v>
      </c>
      <c r="F845" s="2">
        <f>600-(D845+E845)</f>
        <v>18</v>
      </c>
      <c r="G845" s="2">
        <f t="shared" si="169"/>
        <v>600</v>
      </c>
      <c r="H845" s="33">
        <f t="shared" si="170"/>
        <v>0.97</v>
      </c>
    </row>
    <row r="846" spans="1:8" x14ac:dyDescent="0.2">
      <c r="A846" s="30">
        <v>37</v>
      </c>
      <c r="B846" s="31">
        <v>163</v>
      </c>
      <c r="C846" s="62" t="s">
        <v>869</v>
      </c>
      <c r="D846" s="46">
        <v>563</v>
      </c>
      <c r="E846" s="2">
        <v>44</v>
      </c>
      <c r="F846" s="2">
        <f>637-(D846+E846)</f>
        <v>30</v>
      </c>
      <c r="G846" s="2">
        <f t="shared" si="169"/>
        <v>637</v>
      </c>
      <c r="H846" s="33">
        <f t="shared" si="170"/>
        <v>0.95290423861852436</v>
      </c>
    </row>
    <row r="847" spans="1:8" x14ac:dyDescent="0.2">
      <c r="A847" s="30">
        <v>37</v>
      </c>
      <c r="B847" s="31">
        <v>167</v>
      </c>
      <c r="C847" s="62" t="s">
        <v>870</v>
      </c>
      <c r="D847" s="46">
        <v>245</v>
      </c>
      <c r="E847" s="2">
        <v>39</v>
      </c>
      <c r="F847" s="2">
        <f>440-(D847+E847)</f>
        <v>156</v>
      </c>
      <c r="G847" s="2">
        <f t="shared" ref="G847:G857" si="173">SUM(D847:F847)</f>
        <v>440</v>
      </c>
      <c r="H847" s="33">
        <f t="shared" ref="H847:H857" si="174">+(D847+E847)/G847</f>
        <v>0.6454545454545455</v>
      </c>
    </row>
    <row r="848" spans="1:8" x14ac:dyDescent="0.2">
      <c r="A848" s="30">
        <v>37</v>
      </c>
      <c r="B848" s="31">
        <v>174</v>
      </c>
      <c r="C848" s="62" t="s">
        <v>872</v>
      </c>
      <c r="D848" s="46">
        <v>182</v>
      </c>
      <c r="E848" s="2">
        <v>24</v>
      </c>
      <c r="F848" s="2">
        <f>601-(D848+E848)</f>
        <v>395</v>
      </c>
      <c r="G848" s="2">
        <f t="shared" ref="G848:G849" si="175">SUM(D848:F848)</f>
        <v>601</v>
      </c>
      <c r="H848" s="33">
        <f t="shared" ref="H848:H849" si="176">+(D848+E848)/G848</f>
        <v>0.34276206322795338</v>
      </c>
    </row>
    <row r="849" spans="1:8" x14ac:dyDescent="0.2">
      <c r="A849" s="30">
        <v>37</v>
      </c>
      <c r="B849" s="31">
        <v>176</v>
      </c>
      <c r="C849" s="62" t="s">
        <v>960</v>
      </c>
      <c r="D849" s="46">
        <v>238</v>
      </c>
      <c r="E849" s="2">
        <v>49</v>
      </c>
      <c r="F849" s="2">
        <f>464-(D849+E849)</f>
        <v>177</v>
      </c>
      <c r="G849" s="2">
        <f t="shared" si="175"/>
        <v>464</v>
      </c>
      <c r="H849" s="33">
        <f t="shared" si="176"/>
        <v>0.61853448275862066</v>
      </c>
    </row>
    <row r="850" spans="1:8" x14ac:dyDescent="0.2">
      <c r="A850" s="30">
        <v>37</v>
      </c>
      <c r="B850" s="31">
        <v>179</v>
      </c>
      <c r="C850" s="62" t="s">
        <v>871</v>
      </c>
      <c r="D850" s="46">
        <v>440</v>
      </c>
      <c r="E850" s="2">
        <v>47</v>
      </c>
      <c r="F850" s="2">
        <f>544-(D850+E850)</f>
        <v>57</v>
      </c>
      <c r="G850" s="2">
        <f t="shared" si="173"/>
        <v>544</v>
      </c>
      <c r="H850" s="33">
        <f t="shared" si="174"/>
        <v>0.89522058823529416</v>
      </c>
    </row>
    <row r="851" spans="1:8" x14ac:dyDescent="0.2">
      <c r="A851" s="30">
        <v>37</v>
      </c>
      <c r="B851" s="31">
        <v>183</v>
      </c>
      <c r="C851" s="62" t="s">
        <v>560</v>
      </c>
      <c r="D851" s="46">
        <v>193</v>
      </c>
      <c r="E851" s="2">
        <v>45</v>
      </c>
      <c r="F851" s="2">
        <f>395-(D851+E851)</f>
        <v>157</v>
      </c>
      <c r="G851" s="2">
        <f t="shared" si="173"/>
        <v>395</v>
      </c>
      <c r="H851" s="33">
        <f t="shared" si="174"/>
        <v>0.60253164556962024</v>
      </c>
    </row>
    <row r="852" spans="1:8" x14ac:dyDescent="0.2">
      <c r="A852" s="30">
        <v>37</v>
      </c>
      <c r="B852" s="31">
        <v>409</v>
      </c>
      <c r="C852" s="62" t="s">
        <v>431</v>
      </c>
      <c r="D852" s="46">
        <v>649</v>
      </c>
      <c r="E852" s="2">
        <v>83</v>
      </c>
      <c r="F852" s="2">
        <f>899-(D852+E852)</f>
        <v>167</v>
      </c>
      <c r="G852" s="2">
        <f t="shared" ref="G852" si="177">SUM(D852:F852)</f>
        <v>899</v>
      </c>
      <c r="H852" s="33">
        <f t="shared" ref="H852" si="178">+(D852+E852)/G852</f>
        <v>0.81423804226918794</v>
      </c>
    </row>
    <row r="853" spans="1:8" x14ac:dyDescent="0.2">
      <c r="A853" s="30">
        <v>37</v>
      </c>
      <c r="B853" s="31">
        <v>411</v>
      </c>
      <c r="C853" s="62" t="s">
        <v>867</v>
      </c>
      <c r="D853" s="46">
        <v>626</v>
      </c>
      <c r="E853" s="2">
        <v>50</v>
      </c>
      <c r="F853" s="2">
        <f>764-(D853+E853)</f>
        <v>88</v>
      </c>
      <c r="G853" s="2">
        <f t="shared" si="173"/>
        <v>764</v>
      </c>
      <c r="H853" s="33">
        <f t="shared" si="174"/>
        <v>0.88481675392670156</v>
      </c>
    </row>
    <row r="854" spans="1:8" x14ac:dyDescent="0.2">
      <c r="A854" s="30">
        <v>37</v>
      </c>
      <c r="B854" s="31">
        <v>415</v>
      </c>
      <c r="C854" s="62" t="s">
        <v>868</v>
      </c>
      <c r="D854" s="46">
        <v>506</v>
      </c>
      <c r="E854" s="2">
        <v>45</v>
      </c>
      <c r="F854" s="2">
        <f>923-(D854+E854)</f>
        <v>372</v>
      </c>
      <c r="G854" s="2">
        <f t="shared" si="173"/>
        <v>923</v>
      </c>
      <c r="H854" s="33">
        <f t="shared" si="174"/>
        <v>0.59696641386782234</v>
      </c>
    </row>
    <row r="855" spans="1:8" x14ac:dyDescent="0.2">
      <c r="A855" s="30">
        <v>37</v>
      </c>
      <c r="B855" s="31">
        <v>703</v>
      </c>
      <c r="C855" s="32" t="s">
        <v>182</v>
      </c>
      <c r="D855" s="46">
        <v>690</v>
      </c>
      <c r="E855" s="2">
        <v>88</v>
      </c>
      <c r="F855" s="2">
        <f>1076-(D855+E855)</f>
        <v>298</v>
      </c>
      <c r="G855" s="2">
        <f t="shared" si="173"/>
        <v>1076</v>
      </c>
      <c r="H855" s="33">
        <f t="shared" si="174"/>
        <v>0.72304832713754652</v>
      </c>
    </row>
    <row r="856" spans="1:8" x14ac:dyDescent="0.2">
      <c r="A856" s="30">
        <v>37</v>
      </c>
      <c r="B856" s="31">
        <v>707</v>
      </c>
      <c r="C856" s="32" t="s">
        <v>183</v>
      </c>
      <c r="D856" s="46">
        <v>665</v>
      </c>
      <c r="E856" s="2">
        <v>53</v>
      </c>
      <c r="F856" s="2">
        <f>1244-(D856+E856)</f>
        <v>526</v>
      </c>
      <c r="G856" s="2">
        <f t="shared" si="173"/>
        <v>1244</v>
      </c>
      <c r="H856" s="33">
        <f t="shared" si="174"/>
        <v>0.57717041800643087</v>
      </c>
    </row>
    <row r="857" spans="1:8" ht="13.5" thickBot="1" x14ac:dyDescent="0.25">
      <c r="A857" s="30">
        <v>37</v>
      </c>
      <c r="B857" s="31">
        <v>729</v>
      </c>
      <c r="C857" s="32" t="s">
        <v>184</v>
      </c>
      <c r="D857" s="46">
        <v>254</v>
      </c>
      <c r="E857" s="2">
        <v>9</v>
      </c>
      <c r="F857" s="2">
        <f>276-(D857+E857)</f>
        <v>13</v>
      </c>
      <c r="G857" s="2">
        <f t="shared" si="173"/>
        <v>276</v>
      </c>
      <c r="H857" s="33">
        <f t="shared" si="174"/>
        <v>0.95289855072463769</v>
      </c>
    </row>
    <row r="858" spans="1:8" ht="13.5" thickBot="1" x14ac:dyDescent="0.25">
      <c r="A858" s="34"/>
      <c r="B858" s="35">
        <f>COUNTA(B838:B857)</f>
        <v>20</v>
      </c>
      <c r="C858" s="36" t="s">
        <v>20</v>
      </c>
      <c r="D858" s="4">
        <f>SUM(D838:D857)</f>
        <v>8475</v>
      </c>
      <c r="E858" s="3">
        <f>SUM(E838:E857)</f>
        <v>935</v>
      </c>
      <c r="F858" s="80">
        <f>SUM(F838:F857)</f>
        <v>3121</v>
      </c>
      <c r="G858" s="3">
        <f>SUM(D858:F858)</f>
        <v>12531</v>
      </c>
      <c r="H858" s="37">
        <f>+(D858+E858)/G858</f>
        <v>0.75093767456707361</v>
      </c>
    </row>
    <row r="859" spans="1:8" x14ac:dyDescent="0.2">
      <c r="A859" s="38"/>
      <c r="B859" s="39"/>
      <c r="C859" s="40"/>
      <c r="D859" s="5"/>
      <c r="E859" s="42"/>
      <c r="F859" s="41"/>
      <c r="G859" s="42"/>
      <c r="H859" s="43"/>
    </row>
    <row r="860" spans="1:8" x14ac:dyDescent="0.2">
      <c r="A860" s="38"/>
      <c r="B860" s="39"/>
      <c r="C860" s="45" t="s">
        <v>185</v>
      </c>
      <c r="D860" s="5"/>
      <c r="E860" s="42"/>
      <c r="F860" s="41"/>
      <c r="G860" s="42"/>
      <c r="H860" s="43"/>
    </row>
    <row r="861" spans="1:8" x14ac:dyDescent="0.2">
      <c r="A861" s="30">
        <v>38</v>
      </c>
      <c r="B861" s="31">
        <v>100</v>
      </c>
      <c r="C861" s="62" t="s">
        <v>873</v>
      </c>
      <c r="D861" s="46">
        <v>277</v>
      </c>
      <c r="E861" s="2">
        <v>83</v>
      </c>
      <c r="F861" s="2">
        <f>573-(D861+E861)</f>
        <v>213</v>
      </c>
      <c r="G861" s="2">
        <f t="shared" ref="G861:G877" si="179">SUM(D861:F861)</f>
        <v>573</v>
      </c>
      <c r="H861" s="33">
        <f t="shared" ref="H861:H877" si="180">+(D861+E861)/G861</f>
        <v>0.62827225130890052</v>
      </c>
    </row>
    <row r="862" spans="1:8" x14ac:dyDescent="0.2">
      <c r="A862" s="30">
        <v>38</v>
      </c>
      <c r="B862" s="31">
        <v>101</v>
      </c>
      <c r="C862" s="62" t="s">
        <v>874</v>
      </c>
      <c r="D862" s="46">
        <v>86</v>
      </c>
      <c r="E862" s="2">
        <v>25</v>
      </c>
      <c r="F862" s="2">
        <f>528-(D862+E862)</f>
        <v>417</v>
      </c>
      <c r="G862" s="2">
        <f>SUM(D862:F862)</f>
        <v>528</v>
      </c>
      <c r="H862" s="33">
        <f>+(D862+E862)/G862</f>
        <v>0.21022727272727273</v>
      </c>
    </row>
    <row r="863" spans="1:8" x14ac:dyDescent="0.2">
      <c r="A863" s="30">
        <v>38</v>
      </c>
      <c r="B863" s="31">
        <v>102</v>
      </c>
      <c r="C863" s="62" t="s">
        <v>875</v>
      </c>
      <c r="D863" s="46">
        <v>149</v>
      </c>
      <c r="E863" s="2">
        <v>38</v>
      </c>
      <c r="F863" s="2">
        <f>575-(D863+E863)</f>
        <v>388</v>
      </c>
      <c r="G863" s="2">
        <f t="shared" si="179"/>
        <v>575</v>
      </c>
      <c r="H863" s="33">
        <f t="shared" si="180"/>
        <v>0.32521739130434785</v>
      </c>
    </row>
    <row r="864" spans="1:8" x14ac:dyDescent="0.2">
      <c r="A864" s="30">
        <v>38</v>
      </c>
      <c r="B864" s="31">
        <v>103</v>
      </c>
      <c r="C864" s="62" t="s">
        <v>1008</v>
      </c>
      <c r="D864" s="46">
        <v>339</v>
      </c>
      <c r="E864" s="2">
        <v>54</v>
      </c>
      <c r="F864" s="2">
        <f>511-(D864+E864)</f>
        <v>118</v>
      </c>
      <c r="G864" s="2">
        <f>SUM(D864:F864)</f>
        <v>511</v>
      </c>
      <c r="H864" s="33">
        <f>+(D864+E864)/G864</f>
        <v>0.7690802348336595</v>
      </c>
    </row>
    <row r="865" spans="1:8" x14ac:dyDescent="0.2">
      <c r="A865" s="30">
        <v>38</v>
      </c>
      <c r="B865" s="31">
        <v>104</v>
      </c>
      <c r="C865" s="62" t="s">
        <v>849</v>
      </c>
      <c r="D865" s="46">
        <v>353</v>
      </c>
      <c r="E865" s="2">
        <v>62</v>
      </c>
      <c r="F865" s="2">
        <f>505-(D865+E865)</f>
        <v>90</v>
      </c>
      <c r="G865" s="2">
        <f t="shared" si="179"/>
        <v>505</v>
      </c>
      <c r="H865" s="33">
        <f t="shared" si="180"/>
        <v>0.82178217821782173</v>
      </c>
    </row>
    <row r="866" spans="1:8" x14ac:dyDescent="0.2">
      <c r="A866" s="30">
        <v>38</v>
      </c>
      <c r="B866" s="84">
        <v>118</v>
      </c>
      <c r="C866" s="62" t="s">
        <v>813</v>
      </c>
      <c r="D866" s="46">
        <v>204</v>
      </c>
      <c r="E866" s="2">
        <v>106</v>
      </c>
      <c r="F866" s="2">
        <f>673-(D866+E866)</f>
        <v>363</v>
      </c>
      <c r="G866" s="2">
        <f t="shared" ref="G866" si="181">SUM(D866:F866)</f>
        <v>673</v>
      </c>
      <c r="H866" s="33">
        <f t="shared" ref="H866" si="182">+(D866+E866)/G866</f>
        <v>0.46062407132243682</v>
      </c>
    </row>
    <row r="867" spans="1:8" x14ac:dyDescent="0.2">
      <c r="A867" s="30">
        <v>38</v>
      </c>
      <c r="B867" s="31">
        <v>120</v>
      </c>
      <c r="C867" s="62" t="s">
        <v>876</v>
      </c>
      <c r="D867" s="46">
        <v>213</v>
      </c>
      <c r="E867" s="2">
        <v>38</v>
      </c>
      <c r="F867" s="2">
        <f>444-(D867+E867)</f>
        <v>193</v>
      </c>
      <c r="G867" s="2">
        <f t="shared" si="179"/>
        <v>444</v>
      </c>
      <c r="H867" s="33">
        <f t="shared" si="180"/>
        <v>0.56531531531531531</v>
      </c>
    </row>
    <row r="868" spans="1:8" x14ac:dyDescent="0.2">
      <c r="A868" s="30">
        <v>38</v>
      </c>
      <c r="B868" s="31">
        <v>122</v>
      </c>
      <c r="C868" s="62" t="s">
        <v>877</v>
      </c>
      <c r="D868" s="46">
        <v>173</v>
      </c>
      <c r="E868" s="2">
        <v>59</v>
      </c>
      <c r="F868" s="2">
        <f>632-(D868+E868)</f>
        <v>400</v>
      </c>
      <c r="G868" s="2">
        <f t="shared" si="179"/>
        <v>632</v>
      </c>
      <c r="H868" s="33">
        <f t="shared" si="180"/>
        <v>0.36708860759493672</v>
      </c>
    </row>
    <row r="869" spans="1:8" x14ac:dyDescent="0.2">
      <c r="A869" s="30">
        <v>38</v>
      </c>
      <c r="B869" s="31">
        <v>123</v>
      </c>
      <c r="C869" s="62" t="s">
        <v>878</v>
      </c>
      <c r="D869" s="46">
        <v>385</v>
      </c>
      <c r="E869" s="2">
        <v>77</v>
      </c>
      <c r="F869" s="2">
        <f>570-(D869+E869)</f>
        <v>108</v>
      </c>
      <c r="G869" s="2">
        <f t="shared" si="179"/>
        <v>570</v>
      </c>
      <c r="H869" s="33">
        <f>+(D869+E869)/G869</f>
        <v>0.81052631578947365</v>
      </c>
    </row>
    <row r="870" spans="1:8" x14ac:dyDescent="0.2">
      <c r="A870" s="30">
        <v>38</v>
      </c>
      <c r="B870" s="31">
        <v>124</v>
      </c>
      <c r="C870" s="62" t="s">
        <v>879</v>
      </c>
      <c r="D870" s="46">
        <v>282</v>
      </c>
      <c r="E870" s="2">
        <v>72</v>
      </c>
      <c r="F870" s="2">
        <f>528-(D870+E870)</f>
        <v>174</v>
      </c>
      <c r="G870" s="2">
        <f t="shared" si="179"/>
        <v>528</v>
      </c>
      <c r="H870" s="33">
        <f t="shared" si="180"/>
        <v>0.67045454545454541</v>
      </c>
    </row>
    <row r="871" spans="1:8" x14ac:dyDescent="0.2">
      <c r="A871" s="30">
        <v>38</v>
      </c>
      <c r="B871" s="31">
        <v>128</v>
      </c>
      <c r="C871" s="62" t="s">
        <v>880</v>
      </c>
      <c r="D871" s="46">
        <v>444</v>
      </c>
      <c r="E871" s="2">
        <v>89</v>
      </c>
      <c r="F871" s="2">
        <f>679-(D871+E871)</f>
        <v>146</v>
      </c>
      <c r="G871" s="2">
        <f t="shared" si="179"/>
        <v>679</v>
      </c>
      <c r="H871" s="33">
        <f t="shared" si="180"/>
        <v>0.78497790868924888</v>
      </c>
    </row>
    <row r="872" spans="1:8" x14ac:dyDescent="0.2">
      <c r="A872" s="30">
        <v>38</v>
      </c>
      <c r="B872" s="31">
        <v>132</v>
      </c>
      <c r="C872" s="62" t="s">
        <v>560</v>
      </c>
      <c r="D872" s="46">
        <v>202</v>
      </c>
      <c r="E872" s="2">
        <v>65</v>
      </c>
      <c r="F872" s="2">
        <f>859-(D872+E872)</f>
        <v>592</v>
      </c>
      <c r="G872" s="2">
        <f t="shared" si="179"/>
        <v>859</v>
      </c>
      <c r="H872" s="33">
        <f t="shared" si="180"/>
        <v>0.3108265424912689</v>
      </c>
    </row>
    <row r="873" spans="1:8" x14ac:dyDescent="0.2">
      <c r="A873" s="30">
        <v>38</v>
      </c>
      <c r="B873" s="31">
        <v>134</v>
      </c>
      <c r="C873" s="62" t="s">
        <v>881</v>
      </c>
      <c r="D873" s="46">
        <v>258</v>
      </c>
      <c r="E873" s="2">
        <v>109</v>
      </c>
      <c r="F873" s="2">
        <f>899-(D873+E873)</f>
        <v>532</v>
      </c>
      <c r="G873" s="2">
        <f t="shared" si="179"/>
        <v>899</v>
      </c>
      <c r="H873" s="33">
        <f t="shared" si="180"/>
        <v>0.40823136818687428</v>
      </c>
    </row>
    <row r="874" spans="1:8" x14ac:dyDescent="0.2">
      <c r="A874" s="30">
        <v>38</v>
      </c>
      <c r="B874" s="31">
        <v>404</v>
      </c>
      <c r="C874" s="32" t="s">
        <v>186</v>
      </c>
      <c r="D874" s="46">
        <v>385</v>
      </c>
      <c r="E874" s="2">
        <v>90</v>
      </c>
      <c r="F874" s="2">
        <f>1036-(D874+E874)</f>
        <v>561</v>
      </c>
      <c r="G874" s="2">
        <f t="shared" si="179"/>
        <v>1036</v>
      </c>
      <c r="H874" s="33">
        <f t="shared" si="180"/>
        <v>0.45849420849420852</v>
      </c>
    </row>
    <row r="875" spans="1:8" x14ac:dyDescent="0.2">
      <c r="A875" s="30">
        <v>38</v>
      </c>
      <c r="B875" s="31">
        <v>408</v>
      </c>
      <c r="C875" s="32" t="s">
        <v>187</v>
      </c>
      <c r="D875" s="46">
        <v>399</v>
      </c>
      <c r="E875" s="2">
        <v>94</v>
      </c>
      <c r="F875" s="2">
        <f>833-(D875+E875)</f>
        <v>340</v>
      </c>
      <c r="G875" s="2">
        <f t="shared" si="179"/>
        <v>833</v>
      </c>
      <c r="H875" s="33">
        <f t="shared" si="180"/>
        <v>0.59183673469387754</v>
      </c>
    </row>
    <row r="876" spans="1:8" x14ac:dyDescent="0.2">
      <c r="A876" s="30">
        <v>38</v>
      </c>
      <c r="B876" s="31">
        <v>704</v>
      </c>
      <c r="C876" s="32" t="s">
        <v>188</v>
      </c>
      <c r="D876" s="46">
        <v>596</v>
      </c>
      <c r="E876" s="2">
        <v>193</v>
      </c>
      <c r="F876" s="2">
        <f>1787-(D876+E876)</f>
        <v>998</v>
      </c>
      <c r="G876" s="2">
        <f t="shared" si="179"/>
        <v>1787</v>
      </c>
      <c r="H876" s="33">
        <f t="shared" si="180"/>
        <v>0.44152210408505876</v>
      </c>
    </row>
    <row r="877" spans="1:8" x14ac:dyDescent="0.2">
      <c r="A877" s="30">
        <v>38</v>
      </c>
      <c r="B877" s="31">
        <v>712</v>
      </c>
      <c r="C877" s="32" t="s">
        <v>189</v>
      </c>
      <c r="D877" s="46">
        <v>546</v>
      </c>
      <c r="E877" s="2">
        <v>109</v>
      </c>
      <c r="F877" s="2">
        <f>2045-(D877+E877)</f>
        <v>1390</v>
      </c>
      <c r="G877" s="2">
        <f t="shared" si="179"/>
        <v>2045</v>
      </c>
      <c r="H877" s="33">
        <f t="shared" si="180"/>
        <v>0.32029339853300731</v>
      </c>
    </row>
    <row r="878" spans="1:8" ht="13.5" thickBot="1" x14ac:dyDescent="0.25">
      <c r="A878" s="30">
        <v>38</v>
      </c>
      <c r="B878" s="31">
        <v>730</v>
      </c>
      <c r="C878" s="32" t="s">
        <v>190</v>
      </c>
      <c r="D878" s="46">
        <v>202</v>
      </c>
      <c r="E878" s="2">
        <v>22</v>
      </c>
      <c r="F878" s="2">
        <f>286-(D878+E878)</f>
        <v>62</v>
      </c>
      <c r="G878" s="2">
        <f t="shared" ref="G878" si="183">SUM(D878:F878)</f>
        <v>286</v>
      </c>
      <c r="H878" s="33">
        <f t="shared" ref="H878" si="184">+(D878+E878)/G878</f>
        <v>0.78321678321678323</v>
      </c>
    </row>
    <row r="879" spans="1:8" ht="13.5" thickBot="1" x14ac:dyDescent="0.25">
      <c r="A879" s="34"/>
      <c r="B879" s="35">
        <f>COUNTA(B861:B878)</f>
        <v>18</v>
      </c>
      <c r="C879" s="36" t="s">
        <v>20</v>
      </c>
      <c r="D879" s="4">
        <f>SUM(D861:D878)</f>
        <v>5493</v>
      </c>
      <c r="E879" s="3">
        <f>SUM(E861:E878)</f>
        <v>1385</v>
      </c>
      <c r="F879" s="80">
        <f>SUM(F861:F878)</f>
        <v>7085</v>
      </c>
      <c r="G879" s="3">
        <f>SUM(D879:F879)</f>
        <v>13963</v>
      </c>
      <c r="H879" s="37">
        <f>+(D879+E879)/G879</f>
        <v>0.4925875528181623</v>
      </c>
    </row>
    <row r="880" spans="1:8" x14ac:dyDescent="0.2">
      <c r="A880" s="38"/>
      <c r="B880" s="39"/>
      <c r="C880" s="40"/>
      <c r="D880" s="5"/>
      <c r="E880" s="42"/>
      <c r="F880" s="41"/>
      <c r="G880" s="42"/>
      <c r="H880" s="43"/>
    </row>
    <row r="881" spans="1:8" x14ac:dyDescent="0.2">
      <c r="A881" s="38"/>
      <c r="B881" s="39"/>
      <c r="C881" s="45" t="s">
        <v>191</v>
      </c>
      <c r="D881" s="5"/>
      <c r="E881" s="42"/>
      <c r="F881" s="41"/>
      <c r="G881" s="42"/>
      <c r="H881" s="43"/>
    </row>
    <row r="882" spans="1:8" x14ac:dyDescent="0.2">
      <c r="A882" s="30">
        <v>39</v>
      </c>
      <c r="B882" s="31">
        <v>104</v>
      </c>
      <c r="C882" s="62" t="s">
        <v>487</v>
      </c>
      <c r="D882" s="46">
        <v>228</v>
      </c>
      <c r="E882" s="2">
        <v>44</v>
      </c>
      <c r="F882" s="2">
        <f>363-(D882+E882)</f>
        <v>91</v>
      </c>
      <c r="G882" s="2">
        <f t="shared" ref="G882:G890" si="185">SUM(D882:F882)</f>
        <v>363</v>
      </c>
      <c r="H882" s="33">
        <f t="shared" ref="H882:H890" si="186">+(D882+E882)/G882</f>
        <v>0.74931129476584024</v>
      </c>
    </row>
    <row r="883" spans="1:8" x14ac:dyDescent="0.2">
      <c r="A883" s="30">
        <v>39</v>
      </c>
      <c r="B883" s="31">
        <v>110</v>
      </c>
      <c r="C883" s="62" t="s">
        <v>882</v>
      </c>
      <c r="D883" s="46">
        <v>373</v>
      </c>
      <c r="E883" s="2">
        <v>65</v>
      </c>
      <c r="F883" s="2">
        <f>570-(D883+E883)</f>
        <v>132</v>
      </c>
      <c r="G883" s="2">
        <f>SUM(D883:F883)</f>
        <v>570</v>
      </c>
      <c r="H883" s="33">
        <f>+(D883+E883)/G883</f>
        <v>0.76842105263157889</v>
      </c>
    </row>
    <row r="884" spans="1:8" x14ac:dyDescent="0.2">
      <c r="A884" s="30">
        <v>39</v>
      </c>
      <c r="B884" s="31">
        <v>112</v>
      </c>
      <c r="C884" s="62" t="s">
        <v>883</v>
      </c>
      <c r="D884" s="46">
        <v>220</v>
      </c>
      <c r="E884" s="2">
        <v>69</v>
      </c>
      <c r="F884" s="2">
        <f>390-(D884+E884)</f>
        <v>101</v>
      </c>
      <c r="G884" s="2">
        <f t="shared" si="185"/>
        <v>390</v>
      </c>
      <c r="H884" s="33">
        <f t="shared" si="186"/>
        <v>0.74102564102564106</v>
      </c>
    </row>
    <row r="885" spans="1:8" x14ac:dyDescent="0.2">
      <c r="A885" s="30">
        <v>39</v>
      </c>
      <c r="B885" s="31">
        <v>116</v>
      </c>
      <c r="C885" s="62" t="s">
        <v>731</v>
      </c>
      <c r="D885" s="46">
        <v>183</v>
      </c>
      <c r="E885" s="2">
        <v>52</v>
      </c>
      <c r="F885" s="2">
        <f>530-(D885+E885)</f>
        <v>295</v>
      </c>
      <c r="G885" s="2">
        <f t="shared" si="185"/>
        <v>530</v>
      </c>
      <c r="H885" s="33">
        <f t="shared" si="186"/>
        <v>0.44339622641509435</v>
      </c>
    </row>
    <row r="886" spans="1:8" x14ac:dyDescent="0.2">
      <c r="A886" s="30">
        <v>39</v>
      </c>
      <c r="B886" s="31">
        <v>120</v>
      </c>
      <c r="C886" s="62" t="s">
        <v>884</v>
      </c>
      <c r="D886" s="46">
        <v>391</v>
      </c>
      <c r="E886" s="2">
        <v>113</v>
      </c>
      <c r="F886" s="2">
        <f>747-(D886+E886)</f>
        <v>243</v>
      </c>
      <c r="G886" s="2">
        <f t="shared" si="185"/>
        <v>747</v>
      </c>
      <c r="H886" s="33">
        <f t="shared" si="186"/>
        <v>0.67469879518072284</v>
      </c>
    </row>
    <row r="887" spans="1:8" x14ac:dyDescent="0.2">
      <c r="A887" s="30">
        <v>39</v>
      </c>
      <c r="B887" s="31">
        <v>124</v>
      </c>
      <c r="C887" s="62" t="s">
        <v>367</v>
      </c>
      <c r="D887" s="46">
        <v>203</v>
      </c>
      <c r="E887" s="2">
        <v>55</v>
      </c>
      <c r="F887" s="2">
        <f>456-(D887+E887)</f>
        <v>198</v>
      </c>
      <c r="G887" s="2">
        <f t="shared" si="185"/>
        <v>456</v>
      </c>
      <c r="H887" s="33">
        <f t="shared" si="186"/>
        <v>0.56578947368421051</v>
      </c>
    </row>
    <row r="888" spans="1:8" x14ac:dyDescent="0.2">
      <c r="A888" s="30">
        <v>39</v>
      </c>
      <c r="B888" s="31">
        <v>404</v>
      </c>
      <c r="C888" s="32" t="s">
        <v>192</v>
      </c>
      <c r="D888" s="46">
        <v>587</v>
      </c>
      <c r="E888" s="2">
        <v>160</v>
      </c>
      <c r="F888" s="2">
        <f>1305-(D888+E888)</f>
        <v>558</v>
      </c>
      <c r="G888" s="2">
        <f t="shared" si="185"/>
        <v>1305</v>
      </c>
      <c r="H888" s="33">
        <f t="shared" si="186"/>
        <v>0.57241379310344831</v>
      </c>
    </row>
    <row r="889" spans="1:8" x14ac:dyDescent="0.2">
      <c r="A889" s="30">
        <v>39</v>
      </c>
      <c r="B889" s="31">
        <v>704</v>
      </c>
      <c r="C889" s="32" t="s">
        <v>193</v>
      </c>
      <c r="D889" s="46">
        <v>518</v>
      </c>
      <c r="E889" s="2">
        <v>170</v>
      </c>
      <c r="F889" s="2">
        <f>1627-(D889+E889)</f>
        <v>939</v>
      </c>
      <c r="G889" s="2">
        <f t="shared" si="185"/>
        <v>1627</v>
      </c>
      <c r="H889" s="33">
        <f>+(D889+E889)/G889</f>
        <v>0.42286416717885678</v>
      </c>
    </row>
    <row r="890" spans="1:8" ht="13.5" thickBot="1" x14ac:dyDescent="0.25">
      <c r="A890" s="38">
        <v>39</v>
      </c>
      <c r="B890" s="39">
        <v>710</v>
      </c>
      <c r="C890" s="40" t="s">
        <v>219</v>
      </c>
      <c r="D890" s="46">
        <v>53</v>
      </c>
      <c r="E890" s="2">
        <v>5</v>
      </c>
      <c r="F890" s="2">
        <f>80-(D890+E890)</f>
        <v>22</v>
      </c>
      <c r="G890" s="2">
        <f t="shared" si="185"/>
        <v>80</v>
      </c>
      <c r="H890" s="43">
        <f t="shared" si="186"/>
        <v>0.72499999999999998</v>
      </c>
    </row>
    <row r="891" spans="1:8" ht="13.5" thickBot="1" x14ac:dyDescent="0.25">
      <c r="A891" s="34"/>
      <c r="B891" s="35">
        <f>COUNTA(B882:B890)</f>
        <v>9</v>
      </c>
      <c r="C891" s="36" t="s">
        <v>20</v>
      </c>
      <c r="D891" s="4">
        <f>SUM(D882:D890)</f>
        <v>2756</v>
      </c>
      <c r="E891" s="3">
        <f>SUM(E882:E890)</f>
        <v>733</v>
      </c>
      <c r="F891" s="80">
        <f>SUM(F882:F890)</f>
        <v>2579</v>
      </c>
      <c r="G891" s="3">
        <f>SUM(D891:F891)</f>
        <v>6068</v>
      </c>
      <c r="H891" s="37">
        <f>+(D891+E891)/G891</f>
        <v>0.57498352010547138</v>
      </c>
    </row>
    <row r="892" spans="1:8" x14ac:dyDescent="0.2">
      <c r="A892" s="38"/>
      <c r="B892" s="39"/>
      <c r="C892" s="40"/>
      <c r="D892" s="5"/>
      <c r="E892" s="42"/>
      <c r="F892" s="41"/>
      <c r="G892" s="42"/>
      <c r="H892" s="43"/>
    </row>
    <row r="893" spans="1:8" x14ac:dyDescent="0.2">
      <c r="A893" s="38"/>
      <c r="B893" s="39"/>
      <c r="C893" s="45" t="s">
        <v>194</v>
      </c>
      <c r="D893" s="5"/>
      <c r="E893" s="42"/>
      <c r="F893" s="41"/>
      <c r="G893" s="42"/>
      <c r="H893" s="43"/>
    </row>
    <row r="894" spans="1:8" x14ac:dyDescent="0.2">
      <c r="A894" s="30">
        <v>40</v>
      </c>
      <c r="B894" s="31">
        <v>112</v>
      </c>
      <c r="C894" s="62" t="s">
        <v>835</v>
      </c>
      <c r="D894" s="46">
        <v>94</v>
      </c>
      <c r="E894" s="2">
        <v>32</v>
      </c>
      <c r="F894" s="2">
        <f>450-(D894+E894)</f>
        <v>324</v>
      </c>
      <c r="G894" s="2">
        <f t="shared" ref="G894:G903" si="187">SUM(D894:F894)</f>
        <v>450</v>
      </c>
      <c r="H894" s="33">
        <f t="shared" ref="H894:H903" si="188">+(D894+E894)/G894</f>
        <v>0.28000000000000003</v>
      </c>
    </row>
    <row r="895" spans="1:8" x14ac:dyDescent="0.2">
      <c r="A895" s="30">
        <v>40</v>
      </c>
      <c r="B895" s="31">
        <v>116</v>
      </c>
      <c r="C895" s="62" t="s">
        <v>792</v>
      </c>
      <c r="D895" s="46">
        <v>233</v>
      </c>
      <c r="E895" s="2">
        <v>50</v>
      </c>
      <c r="F895" s="2">
        <f>643-(D895+E895)</f>
        <v>360</v>
      </c>
      <c r="G895" s="2">
        <f t="shared" si="187"/>
        <v>643</v>
      </c>
      <c r="H895" s="33">
        <f t="shared" si="188"/>
        <v>0.44012441679626751</v>
      </c>
    </row>
    <row r="896" spans="1:8" x14ac:dyDescent="0.2">
      <c r="A896" s="30">
        <v>40</v>
      </c>
      <c r="B896" s="31">
        <v>120</v>
      </c>
      <c r="C896" s="62" t="s">
        <v>837</v>
      </c>
      <c r="D896" s="46">
        <v>122</v>
      </c>
      <c r="E896" s="2">
        <v>42</v>
      </c>
      <c r="F896" s="2">
        <f>384-(D896+E896)</f>
        <v>220</v>
      </c>
      <c r="G896" s="2">
        <f t="shared" si="187"/>
        <v>384</v>
      </c>
      <c r="H896" s="33">
        <f t="shared" si="188"/>
        <v>0.42708333333333331</v>
      </c>
    </row>
    <row r="897" spans="1:8" x14ac:dyDescent="0.2">
      <c r="A897" s="30">
        <v>40</v>
      </c>
      <c r="B897" s="31">
        <v>124</v>
      </c>
      <c r="C897" s="62" t="s">
        <v>839</v>
      </c>
      <c r="D897" s="46">
        <v>117</v>
      </c>
      <c r="E897" s="2">
        <v>26</v>
      </c>
      <c r="F897" s="2">
        <f>459-(D897+E897)</f>
        <v>316</v>
      </c>
      <c r="G897" s="2">
        <f t="shared" si="187"/>
        <v>459</v>
      </c>
      <c r="H897" s="33">
        <f t="shared" si="188"/>
        <v>0.31154684095860569</v>
      </c>
    </row>
    <row r="898" spans="1:8" x14ac:dyDescent="0.2">
      <c r="A898" s="30">
        <v>40</v>
      </c>
      <c r="B898" s="31">
        <v>128</v>
      </c>
      <c r="C898" s="62" t="s">
        <v>838</v>
      </c>
      <c r="D898" s="46">
        <v>74</v>
      </c>
      <c r="E898" s="2">
        <v>28</v>
      </c>
      <c r="F898" s="2">
        <f>419-(D898+E898)</f>
        <v>317</v>
      </c>
      <c r="G898" s="2">
        <f t="shared" si="187"/>
        <v>419</v>
      </c>
      <c r="H898" s="33">
        <f t="shared" si="188"/>
        <v>0.24343675417661098</v>
      </c>
    </row>
    <row r="899" spans="1:8" x14ac:dyDescent="0.2">
      <c r="A899" s="30">
        <v>40</v>
      </c>
      <c r="B899" s="31">
        <v>129</v>
      </c>
      <c r="C899" s="62" t="s">
        <v>538</v>
      </c>
      <c r="D899" s="46">
        <v>247</v>
      </c>
      <c r="E899" s="2">
        <v>37</v>
      </c>
      <c r="F899" s="2">
        <f>550-(D899+E899)</f>
        <v>266</v>
      </c>
      <c r="G899" s="2">
        <f t="shared" si="187"/>
        <v>550</v>
      </c>
      <c r="H899" s="33">
        <f t="shared" si="188"/>
        <v>0.51636363636363636</v>
      </c>
    </row>
    <row r="900" spans="1:8" x14ac:dyDescent="0.2">
      <c r="A900" s="30">
        <v>40</v>
      </c>
      <c r="B900" s="31">
        <v>130</v>
      </c>
      <c r="C900" s="62" t="s">
        <v>841</v>
      </c>
      <c r="D900" s="46">
        <v>110</v>
      </c>
      <c r="E900" s="2">
        <v>31</v>
      </c>
      <c r="F900" s="2">
        <f>526-(D900+E900)</f>
        <v>385</v>
      </c>
      <c r="G900" s="2">
        <f t="shared" si="187"/>
        <v>526</v>
      </c>
      <c r="H900" s="33">
        <f t="shared" si="188"/>
        <v>0.26806083650190116</v>
      </c>
    </row>
    <row r="901" spans="1:8" x14ac:dyDescent="0.2">
      <c r="A901" s="30">
        <v>40</v>
      </c>
      <c r="B901" s="31">
        <v>404</v>
      </c>
      <c r="C901" s="62" t="s">
        <v>836</v>
      </c>
      <c r="D901" s="46">
        <v>244</v>
      </c>
      <c r="E901" s="2">
        <v>55</v>
      </c>
      <c r="F901" s="2">
        <f>753-(D901+E901)</f>
        <v>454</v>
      </c>
      <c r="G901" s="2">
        <f t="shared" si="187"/>
        <v>753</v>
      </c>
      <c r="H901" s="33">
        <f t="shared" si="188"/>
        <v>0.39707835325365204</v>
      </c>
    </row>
    <row r="902" spans="1:8" x14ac:dyDescent="0.2">
      <c r="A902" s="30">
        <v>40</v>
      </c>
      <c r="B902" s="31">
        <v>412</v>
      </c>
      <c r="C902" s="62" t="s">
        <v>840</v>
      </c>
      <c r="D902" s="46">
        <v>189</v>
      </c>
      <c r="E902" s="2">
        <v>43</v>
      </c>
      <c r="F902" s="2">
        <f>773-(D902+E902)</f>
        <v>541</v>
      </c>
      <c r="G902" s="2">
        <f t="shared" si="187"/>
        <v>773</v>
      </c>
      <c r="H902" s="33">
        <f t="shared" si="188"/>
        <v>0.30012936610608021</v>
      </c>
    </row>
    <row r="903" spans="1:8" x14ac:dyDescent="0.2">
      <c r="A903" s="30">
        <v>40</v>
      </c>
      <c r="B903" s="31">
        <v>704</v>
      </c>
      <c r="C903" s="32" t="s">
        <v>195</v>
      </c>
      <c r="D903" s="46">
        <v>273</v>
      </c>
      <c r="E903" s="2">
        <v>61</v>
      </c>
      <c r="F903" s="2">
        <f>1468-(D903+E903)</f>
        <v>1134</v>
      </c>
      <c r="G903" s="2">
        <f t="shared" si="187"/>
        <v>1468</v>
      </c>
      <c r="H903" s="33">
        <f t="shared" si="188"/>
        <v>0.22752043596730245</v>
      </c>
    </row>
    <row r="904" spans="1:8" x14ac:dyDescent="0.2">
      <c r="A904" s="38">
        <v>40</v>
      </c>
      <c r="B904" s="122">
        <v>902</v>
      </c>
      <c r="C904" s="40" t="s">
        <v>196</v>
      </c>
      <c r="D904" s="74">
        <v>7</v>
      </c>
      <c r="E904" s="75">
        <v>3</v>
      </c>
      <c r="F904" s="2">
        <f>81-(D904+E904)</f>
        <v>71</v>
      </c>
      <c r="G904" s="75">
        <f t="shared" ref="G904:G905" si="189">SUM(D904:F904)</f>
        <v>81</v>
      </c>
      <c r="H904" s="43">
        <f t="shared" ref="H904:H905" si="190">+(D904+E904)/G904</f>
        <v>0.12345679012345678</v>
      </c>
    </row>
    <row r="905" spans="1:8" ht="13.5" thickBot="1" x14ac:dyDescent="0.25">
      <c r="A905" s="133">
        <v>40</v>
      </c>
      <c r="B905" s="83">
        <v>903</v>
      </c>
      <c r="C905" s="69" t="s">
        <v>951</v>
      </c>
      <c r="D905" s="74">
        <v>8</v>
      </c>
      <c r="E905" s="75">
        <v>0</v>
      </c>
      <c r="F905" s="2">
        <f>8-(D905+E905)</f>
        <v>0</v>
      </c>
      <c r="G905" s="75">
        <f t="shared" si="189"/>
        <v>8</v>
      </c>
      <c r="H905" s="58">
        <f t="shared" si="190"/>
        <v>1</v>
      </c>
    </row>
    <row r="906" spans="1:8" ht="13.5" thickBot="1" x14ac:dyDescent="0.25">
      <c r="A906" s="34"/>
      <c r="B906" s="35">
        <f>COUNTA(B894:B905)</f>
        <v>12</v>
      </c>
      <c r="C906" s="36" t="s">
        <v>20</v>
      </c>
      <c r="D906" s="4">
        <f>SUM(D894:D905)</f>
        <v>1718</v>
      </c>
      <c r="E906" s="4">
        <f>SUM(E894:E905)</f>
        <v>408</v>
      </c>
      <c r="F906" s="4">
        <f>SUM(F894:F905)</f>
        <v>4388</v>
      </c>
      <c r="G906" s="3">
        <f>SUM(D906:F906)</f>
        <v>6514</v>
      </c>
      <c r="H906" s="37">
        <f>+(D906+E906)/G906</f>
        <v>0.32637396377034078</v>
      </c>
    </row>
    <row r="907" spans="1:8" x14ac:dyDescent="0.2">
      <c r="A907" s="38"/>
      <c r="B907" s="39"/>
      <c r="C907" s="40"/>
      <c r="D907" s="5"/>
      <c r="E907" s="42"/>
      <c r="F907" s="41"/>
      <c r="G907" s="42"/>
      <c r="H907" s="43"/>
    </row>
    <row r="908" spans="1:8" x14ac:dyDescent="0.2">
      <c r="A908" s="38"/>
      <c r="B908" s="39"/>
      <c r="C908" s="45" t="s">
        <v>454</v>
      </c>
      <c r="D908" s="5"/>
      <c r="E908" s="42"/>
      <c r="F908" s="41"/>
      <c r="G908" s="42"/>
      <c r="H908" s="43"/>
    </row>
    <row r="909" spans="1:8" x14ac:dyDescent="0.2">
      <c r="A909" s="30">
        <v>42</v>
      </c>
      <c r="B909" s="31">
        <v>103</v>
      </c>
      <c r="C909" s="62" t="s">
        <v>956</v>
      </c>
      <c r="D909" s="46">
        <v>104</v>
      </c>
      <c r="E909" s="2">
        <v>59</v>
      </c>
      <c r="F909" s="2">
        <f>701-(D909+E909)</f>
        <v>538</v>
      </c>
      <c r="G909" s="2">
        <f t="shared" ref="G909:G916" si="191">SUM(D909:F909)</f>
        <v>701</v>
      </c>
      <c r="H909" s="33">
        <f>+(D909+E909)/G909</f>
        <v>0.23252496433666192</v>
      </c>
    </row>
    <row r="910" spans="1:8" x14ac:dyDescent="0.2">
      <c r="A910" s="30">
        <v>42</v>
      </c>
      <c r="B910" s="31">
        <v>104</v>
      </c>
      <c r="C910" s="62" t="s">
        <v>885</v>
      </c>
      <c r="D910" s="46">
        <v>119</v>
      </c>
      <c r="E910" s="2">
        <v>37</v>
      </c>
      <c r="F910" s="2">
        <f>519-(D910+E910)</f>
        <v>363</v>
      </c>
      <c r="G910" s="2">
        <f t="shared" si="191"/>
        <v>519</v>
      </c>
      <c r="H910" s="33">
        <f t="shared" ref="H910:H916" si="192">+(D910+E910)/G910</f>
        <v>0.30057803468208094</v>
      </c>
    </row>
    <row r="911" spans="1:8" x14ac:dyDescent="0.2">
      <c r="A911" s="30">
        <v>42</v>
      </c>
      <c r="B911" s="31">
        <v>105</v>
      </c>
      <c r="C911" s="62" t="s">
        <v>886</v>
      </c>
      <c r="D911" s="46">
        <v>136</v>
      </c>
      <c r="E911" s="2">
        <v>46</v>
      </c>
      <c r="F911" s="2">
        <f>452-(D911+E911)</f>
        <v>270</v>
      </c>
      <c r="G911" s="2">
        <f t="shared" si="191"/>
        <v>452</v>
      </c>
      <c r="H911" s="33">
        <f t="shared" si="192"/>
        <v>0.40265486725663718</v>
      </c>
    </row>
    <row r="912" spans="1:8" x14ac:dyDescent="0.2">
      <c r="A912" s="30">
        <v>42</v>
      </c>
      <c r="B912" s="31">
        <v>106</v>
      </c>
      <c r="C912" s="62" t="s">
        <v>887</v>
      </c>
      <c r="D912" s="46">
        <v>140</v>
      </c>
      <c r="E912" s="2">
        <v>34</v>
      </c>
      <c r="F912" s="2">
        <f>501-(D912+E912)</f>
        <v>327</v>
      </c>
      <c r="G912" s="2">
        <f t="shared" si="191"/>
        <v>501</v>
      </c>
      <c r="H912" s="33">
        <f t="shared" si="192"/>
        <v>0.3473053892215569</v>
      </c>
    </row>
    <row r="913" spans="1:8" x14ac:dyDescent="0.2">
      <c r="A913" s="30">
        <v>42</v>
      </c>
      <c r="B913" s="31">
        <v>107</v>
      </c>
      <c r="C913" s="62" t="s">
        <v>888</v>
      </c>
      <c r="D913" s="46">
        <v>60</v>
      </c>
      <c r="E913" s="2">
        <v>12</v>
      </c>
      <c r="F913" s="2">
        <f>562-(D913+E913)</f>
        <v>490</v>
      </c>
      <c r="G913" s="2">
        <f t="shared" si="191"/>
        <v>562</v>
      </c>
      <c r="H913" s="33">
        <f t="shared" si="192"/>
        <v>0.12811387900355872</v>
      </c>
    </row>
    <row r="914" spans="1:8" x14ac:dyDescent="0.2">
      <c r="A914" s="30">
        <v>42</v>
      </c>
      <c r="B914" s="31">
        <v>108</v>
      </c>
      <c r="C914" s="62" t="s">
        <v>889</v>
      </c>
      <c r="D914" s="46">
        <v>74</v>
      </c>
      <c r="E914" s="2">
        <v>11</v>
      </c>
      <c r="F914" s="2">
        <f>523-(D914+E914)</f>
        <v>438</v>
      </c>
      <c r="G914" s="2">
        <f t="shared" si="191"/>
        <v>523</v>
      </c>
      <c r="H914" s="33">
        <f t="shared" si="192"/>
        <v>0.16252390057361377</v>
      </c>
    </row>
    <row r="915" spans="1:8" x14ac:dyDescent="0.2">
      <c r="A915" s="30">
        <v>42</v>
      </c>
      <c r="B915" s="31">
        <v>110</v>
      </c>
      <c r="C915" s="62" t="s">
        <v>890</v>
      </c>
      <c r="D915" s="46">
        <v>108</v>
      </c>
      <c r="E915" s="2">
        <v>17</v>
      </c>
      <c r="F915" s="2">
        <f>556-(D915+E915)</f>
        <v>431</v>
      </c>
      <c r="G915" s="2">
        <f t="shared" si="191"/>
        <v>556</v>
      </c>
      <c r="H915" s="33">
        <f t="shared" si="192"/>
        <v>0.22482014388489208</v>
      </c>
    </row>
    <row r="916" spans="1:8" x14ac:dyDescent="0.2">
      <c r="A916" s="30">
        <v>42</v>
      </c>
      <c r="B916" s="31">
        <v>112</v>
      </c>
      <c r="C916" s="62" t="s">
        <v>673</v>
      </c>
      <c r="D916" s="46">
        <v>471</v>
      </c>
      <c r="E916" s="2">
        <v>37</v>
      </c>
      <c r="F916" s="2">
        <f>611-(D916+E916)</f>
        <v>103</v>
      </c>
      <c r="G916" s="2">
        <f t="shared" si="191"/>
        <v>611</v>
      </c>
      <c r="H916" s="33">
        <f t="shared" si="192"/>
        <v>0.83142389525368243</v>
      </c>
    </row>
    <row r="917" spans="1:8" x14ac:dyDescent="0.2">
      <c r="A917" s="30">
        <v>42</v>
      </c>
      <c r="B917" s="31">
        <v>116</v>
      </c>
      <c r="C917" s="62" t="s">
        <v>674</v>
      </c>
      <c r="D917" s="46">
        <v>186</v>
      </c>
      <c r="E917" s="2">
        <v>45</v>
      </c>
      <c r="F917" s="2">
        <f>718-(D917+E917)</f>
        <v>487</v>
      </c>
      <c r="G917" s="2">
        <f t="shared" ref="G917" si="193">SUM(D917:F917)</f>
        <v>718</v>
      </c>
      <c r="H917" s="33">
        <f t="shared" ref="H917" si="194">+(D917+E917)/G917</f>
        <v>0.32172701949860727</v>
      </c>
    </row>
    <row r="918" spans="1:8" x14ac:dyDescent="0.2">
      <c r="A918" s="30">
        <v>42</v>
      </c>
      <c r="B918" s="31">
        <v>120</v>
      </c>
      <c r="C918" s="62" t="s">
        <v>891</v>
      </c>
      <c r="D918" s="46">
        <v>64</v>
      </c>
      <c r="E918" s="2">
        <v>25</v>
      </c>
      <c r="F918" s="2">
        <f>728-(D918+E918)</f>
        <v>639</v>
      </c>
      <c r="G918" s="2">
        <f t="shared" ref="G918:G921" si="195">SUM(D918:F918)</f>
        <v>728</v>
      </c>
      <c r="H918" s="33">
        <f t="shared" ref="H918:H936" si="196">+(D918+E918)/G918</f>
        <v>0.12225274725274725</v>
      </c>
    </row>
    <row r="919" spans="1:8" x14ac:dyDescent="0.2">
      <c r="A919" s="30">
        <v>42</v>
      </c>
      <c r="B919" s="31">
        <v>122</v>
      </c>
      <c r="C919" s="62" t="s">
        <v>892</v>
      </c>
      <c r="D919" s="46">
        <v>480</v>
      </c>
      <c r="E919" s="2">
        <v>70</v>
      </c>
      <c r="F919" s="2">
        <f>741-(D919+E919)</f>
        <v>191</v>
      </c>
      <c r="G919" s="2">
        <f t="shared" si="195"/>
        <v>741</v>
      </c>
      <c r="H919" s="33">
        <f t="shared" si="196"/>
        <v>0.74224021592442646</v>
      </c>
    </row>
    <row r="920" spans="1:8" x14ac:dyDescent="0.2">
      <c r="A920" s="30">
        <v>42</v>
      </c>
      <c r="B920" s="31">
        <v>123</v>
      </c>
      <c r="C920" s="62" t="s">
        <v>893</v>
      </c>
      <c r="D920" s="46">
        <v>167</v>
      </c>
      <c r="E920" s="2">
        <v>32</v>
      </c>
      <c r="F920" s="2">
        <f>651-(D920+E920)</f>
        <v>452</v>
      </c>
      <c r="G920" s="2">
        <f t="shared" si="195"/>
        <v>651</v>
      </c>
      <c r="H920" s="33">
        <f t="shared" si="196"/>
        <v>0.30568356374807987</v>
      </c>
    </row>
    <row r="921" spans="1:8" x14ac:dyDescent="0.2">
      <c r="A921" s="30">
        <v>42</v>
      </c>
      <c r="B921" s="31">
        <v>124</v>
      </c>
      <c r="C921" s="62" t="s">
        <v>875</v>
      </c>
      <c r="D921" s="46">
        <v>167</v>
      </c>
      <c r="E921" s="2">
        <v>49</v>
      </c>
      <c r="F921" s="2">
        <f>538-(D921+E921)</f>
        <v>322</v>
      </c>
      <c r="G921" s="2">
        <f t="shared" si="195"/>
        <v>538</v>
      </c>
      <c r="H921" s="33">
        <f t="shared" si="196"/>
        <v>0.40148698884758366</v>
      </c>
    </row>
    <row r="922" spans="1:8" x14ac:dyDescent="0.2">
      <c r="A922" s="30">
        <v>42</v>
      </c>
      <c r="B922" s="31">
        <v>130</v>
      </c>
      <c r="C922" s="62" t="s">
        <v>894</v>
      </c>
      <c r="D922" s="46">
        <v>72</v>
      </c>
      <c r="E922" s="2">
        <v>11</v>
      </c>
      <c r="F922" s="2">
        <f>524-(D922+E922)</f>
        <v>441</v>
      </c>
      <c r="G922" s="2">
        <f t="shared" ref="G922:G936" si="197">SUM(D922:F922)</f>
        <v>524</v>
      </c>
      <c r="H922" s="33">
        <f t="shared" si="196"/>
        <v>0.15839694656488548</v>
      </c>
    </row>
    <row r="923" spans="1:8" x14ac:dyDescent="0.2">
      <c r="A923" s="30">
        <v>42</v>
      </c>
      <c r="B923" s="31">
        <v>135</v>
      </c>
      <c r="C923" s="62" t="s">
        <v>897</v>
      </c>
      <c r="D923" s="46">
        <v>80</v>
      </c>
      <c r="E923" s="2">
        <v>10</v>
      </c>
      <c r="F923" s="2">
        <f>830-(D923+E923)</f>
        <v>740</v>
      </c>
      <c r="G923" s="2">
        <f t="shared" si="197"/>
        <v>830</v>
      </c>
      <c r="H923" s="33">
        <f t="shared" si="196"/>
        <v>0.10843373493975904</v>
      </c>
    </row>
    <row r="924" spans="1:8" x14ac:dyDescent="0.2">
      <c r="A924" s="30">
        <v>42</v>
      </c>
      <c r="B924" s="31">
        <v>140</v>
      </c>
      <c r="C924" s="62" t="s">
        <v>898</v>
      </c>
      <c r="D924" s="46">
        <v>694</v>
      </c>
      <c r="E924" s="2">
        <v>45</v>
      </c>
      <c r="F924" s="2">
        <f>851-(D924+E924)</f>
        <v>112</v>
      </c>
      <c r="G924" s="2">
        <f t="shared" si="197"/>
        <v>851</v>
      </c>
      <c r="H924" s="33">
        <f t="shared" si="196"/>
        <v>0.8683901292596945</v>
      </c>
    </row>
    <row r="925" spans="1:8" x14ac:dyDescent="0.2">
      <c r="A925" s="30">
        <v>42</v>
      </c>
      <c r="B925" s="31">
        <v>143</v>
      </c>
      <c r="C925" s="62" t="s">
        <v>900</v>
      </c>
      <c r="D925" s="46">
        <v>73</v>
      </c>
      <c r="E925" s="2">
        <v>20</v>
      </c>
      <c r="F925" s="2">
        <f>865-(D925+E925)</f>
        <v>772</v>
      </c>
      <c r="G925" s="2">
        <f t="shared" si="197"/>
        <v>865</v>
      </c>
      <c r="H925" s="33">
        <f t="shared" si="196"/>
        <v>0.10751445086705202</v>
      </c>
    </row>
    <row r="926" spans="1:8" x14ac:dyDescent="0.2">
      <c r="A926" s="30">
        <v>42</v>
      </c>
      <c r="B926" s="31">
        <v>144</v>
      </c>
      <c r="C926" s="62" t="s">
        <v>899</v>
      </c>
      <c r="D926" s="46">
        <v>220</v>
      </c>
      <c r="E926" s="2">
        <v>49</v>
      </c>
      <c r="F926" s="2">
        <f>543-(D926+E926)</f>
        <v>274</v>
      </c>
      <c r="G926" s="2">
        <f t="shared" si="197"/>
        <v>543</v>
      </c>
      <c r="H926" s="33">
        <f t="shared" si="196"/>
        <v>0.49539594843462248</v>
      </c>
    </row>
    <row r="927" spans="1:8" x14ac:dyDescent="0.2">
      <c r="A927" s="30">
        <v>42</v>
      </c>
      <c r="B927" s="31">
        <v>149</v>
      </c>
      <c r="C927" s="62" t="s">
        <v>901</v>
      </c>
      <c r="D927" s="46">
        <v>124</v>
      </c>
      <c r="E927" s="2">
        <v>23</v>
      </c>
      <c r="F927" s="2">
        <f>508-(D927+E927)</f>
        <v>361</v>
      </c>
      <c r="G927" s="2">
        <f t="shared" si="197"/>
        <v>508</v>
      </c>
      <c r="H927" s="33">
        <f t="shared" si="196"/>
        <v>0.28937007874015747</v>
      </c>
    </row>
    <row r="928" spans="1:8" x14ac:dyDescent="0.2">
      <c r="A928" s="30">
        <v>42</v>
      </c>
      <c r="B928" s="31">
        <v>150</v>
      </c>
      <c r="C928" s="62" t="s">
        <v>903</v>
      </c>
      <c r="D928" s="46">
        <v>84</v>
      </c>
      <c r="E928" s="2">
        <v>31</v>
      </c>
      <c r="F928" s="2">
        <f>523-(D928+E928)</f>
        <v>408</v>
      </c>
      <c r="G928" s="2">
        <f t="shared" si="197"/>
        <v>523</v>
      </c>
      <c r="H928" s="33">
        <f t="shared" si="196"/>
        <v>0.21988527724665391</v>
      </c>
    </row>
    <row r="929" spans="1:8" x14ac:dyDescent="0.2">
      <c r="A929" s="30">
        <v>42</v>
      </c>
      <c r="B929" s="31">
        <v>151</v>
      </c>
      <c r="C929" s="62" t="s">
        <v>905</v>
      </c>
      <c r="D929" s="46">
        <v>123</v>
      </c>
      <c r="E929" s="2">
        <v>36</v>
      </c>
      <c r="F929" s="2">
        <f>595-(D929+E929)</f>
        <v>436</v>
      </c>
      <c r="G929" s="2">
        <f t="shared" si="197"/>
        <v>595</v>
      </c>
      <c r="H929" s="33">
        <f t="shared" si="196"/>
        <v>0.26722689075630252</v>
      </c>
    </row>
    <row r="930" spans="1:8" x14ac:dyDescent="0.2">
      <c r="A930" s="30">
        <v>42</v>
      </c>
      <c r="B930" s="31">
        <v>154</v>
      </c>
      <c r="C930" s="62" t="s">
        <v>904</v>
      </c>
      <c r="D930" s="46">
        <v>50</v>
      </c>
      <c r="E930" s="2">
        <v>25</v>
      </c>
      <c r="F930" s="2">
        <f>558-(D930+E930)</f>
        <v>483</v>
      </c>
      <c r="G930" s="2">
        <f t="shared" si="197"/>
        <v>558</v>
      </c>
      <c r="H930" s="33">
        <f t="shared" si="196"/>
        <v>0.13440860215053763</v>
      </c>
    </row>
    <row r="931" spans="1:8" x14ac:dyDescent="0.2">
      <c r="A931" s="30">
        <v>42</v>
      </c>
      <c r="B931" s="31">
        <v>155</v>
      </c>
      <c r="C931" s="62" t="s">
        <v>902</v>
      </c>
      <c r="D931" s="46">
        <v>55</v>
      </c>
      <c r="E931" s="2">
        <v>28</v>
      </c>
      <c r="F931" s="2">
        <f>537-(D931+E931)</f>
        <v>454</v>
      </c>
      <c r="G931" s="2">
        <f t="shared" si="197"/>
        <v>537</v>
      </c>
      <c r="H931" s="33">
        <f t="shared" si="196"/>
        <v>0.15456238361266295</v>
      </c>
    </row>
    <row r="932" spans="1:8" x14ac:dyDescent="0.2">
      <c r="A932" s="30">
        <v>42</v>
      </c>
      <c r="B932" s="31">
        <v>156</v>
      </c>
      <c r="C932" s="62" t="s">
        <v>906</v>
      </c>
      <c r="D932" s="46">
        <v>404</v>
      </c>
      <c r="E932" s="2">
        <v>69</v>
      </c>
      <c r="F932" s="2">
        <f>734-(D932+E932)</f>
        <v>261</v>
      </c>
      <c r="G932" s="2">
        <f t="shared" si="197"/>
        <v>734</v>
      </c>
      <c r="H932" s="33">
        <f t="shared" si="196"/>
        <v>0.64441416893732972</v>
      </c>
    </row>
    <row r="933" spans="1:8" x14ac:dyDescent="0.2">
      <c r="A933" s="30">
        <v>42</v>
      </c>
      <c r="B933" s="31">
        <v>158</v>
      </c>
      <c r="C933" s="62" t="s">
        <v>907</v>
      </c>
      <c r="D933" s="46">
        <v>139</v>
      </c>
      <c r="E933" s="2">
        <v>29</v>
      </c>
      <c r="F933" s="2">
        <f>590-(D933+E933)</f>
        <v>422</v>
      </c>
      <c r="G933" s="2">
        <f t="shared" si="197"/>
        <v>590</v>
      </c>
      <c r="H933" s="33">
        <f t="shared" si="196"/>
        <v>0.28474576271186441</v>
      </c>
    </row>
    <row r="934" spans="1:8" x14ac:dyDescent="0.2">
      <c r="A934" s="30">
        <v>42</v>
      </c>
      <c r="B934" s="31">
        <v>159</v>
      </c>
      <c r="C934" s="62" t="s">
        <v>478</v>
      </c>
      <c r="D934" s="46">
        <v>87</v>
      </c>
      <c r="E934" s="2">
        <v>30</v>
      </c>
      <c r="F934" s="2">
        <f>735-(D934+E934)</f>
        <v>618</v>
      </c>
      <c r="G934" s="2">
        <f t="shared" si="197"/>
        <v>735</v>
      </c>
      <c r="H934" s="33">
        <f t="shared" si="196"/>
        <v>0.15918367346938775</v>
      </c>
    </row>
    <row r="935" spans="1:8" x14ac:dyDescent="0.2">
      <c r="A935" s="30">
        <v>42</v>
      </c>
      <c r="B935" s="31">
        <v>164</v>
      </c>
      <c r="C935" s="62" t="s">
        <v>908</v>
      </c>
      <c r="D935" s="46">
        <v>140</v>
      </c>
      <c r="E935" s="2">
        <v>46</v>
      </c>
      <c r="F935" s="2">
        <f>873-(D935+E935)</f>
        <v>687</v>
      </c>
      <c r="G935" s="2">
        <f t="shared" si="197"/>
        <v>873</v>
      </c>
      <c r="H935" s="33">
        <f t="shared" si="196"/>
        <v>0.21305841924398625</v>
      </c>
    </row>
    <row r="936" spans="1:8" x14ac:dyDescent="0.2">
      <c r="A936" s="30">
        <v>42</v>
      </c>
      <c r="B936" s="31">
        <v>174</v>
      </c>
      <c r="C936" s="62" t="s">
        <v>909</v>
      </c>
      <c r="D936" s="46">
        <v>98</v>
      </c>
      <c r="E936" s="2">
        <v>23</v>
      </c>
      <c r="F936" s="2">
        <f>523-(D936+E936)</f>
        <v>402</v>
      </c>
      <c r="G936" s="2">
        <f t="shared" si="197"/>
        <v>523</v>
      </c>
      <c r="H936" s="33">
        <f t="shared" si="196"/>
        <v>0.23135755258126195</v>
      </c>
    </row>
    <row r="937" spans="1:8" x14ac:dyDescent="0.2">
      <c r="A937" s="30">
        <v>42</v>
      </c>
      <c r="B937" s="31">
        <v>178</v>
      </c>
      <c r="C937" s="62" t="s">
        <v>910</v>
      </c>
      <c r="D937" s="46">
        <v>85</v>
      </c>
      <c r="E937" s="2">
        <v>50</v>
      </c>
      <c r="F937" s="2">
        <f>910-(D937+E937)</f>
        <v>775</v>
      </c>
      <c r="G937" s="2">
        <f>SUM(D937:F937)</f>
        <v>910</v>
      </c>
      <c r="H937" s="33">
        <f>+(D937+E937)/G937</f>
        <v>0.14835164835164835</v>
      </c>
    </row>
    <row r="938" spans="1:8" x14ac:dyDescent="0.2">
      <c r="A938" s="30">
        <v>42</v>
      </c>
      <c r="B938" s="31">
        <v>401</v>
      </c>
      <c r="C938" s="32" t="s">
        <v>80</v>
      </c>
      <c r="D938" s="46">
        <v>114</v>
      </c>
      <c r="E938" s="2">
        <v>22</v>
      </c>
      <c r="F938" s="2">
        <f>889-(D938+E938)</f>
        <v>753</v>
      </c>
      <c r="G938" s="2">
        <f t="shared" ref="G938:G945" si="198">SUM(D938:F938)</f>
        <v>889</v>
      </c>
      <c r="H938" s="33">
        <f t="shared" ref="H938:H945" si="199">+(D938+E938)/G938</f>
        <v>0.1529808773903262</v>
      </c>
    </row>
    <row r="939" spans="1:8" x14ac:dyDescent="0.2">
      <c r="A939" s="30">
        <v>42</v>
      </c>
      <c r="B939" s="31">
        <v>402</v>
      </c>
      <c r="C939" s="32" t="s">
        <v>81</v>
      </c>
      <c r="D939" s="46">
        <v>175</v>
      </c>
      <c r="E939" s="2">
        <v>37</v>
      </c>
      <c r="F939" s="2">
        <f>826-(D939+E939)</f>
        <v>614</v>
      </c>
      <c r="G939" s="2">
        <f t="shared" si="198"/>
        <v>826</v>
      </c>
      <c r="H939" s="33">
        <f t="shared" si="199"/>
        <v>0.2566585956416465</v>
      </c>
    </row>
    <row r="940" spans="1:8" x14ac:dyDescent="0.2">
      <c r="A940" s="30">
        <v>42</v>
      </c>
      <c r="B940" s="31">
        <v>403</v>
      </c>
      <c r="C940" s="32" t="s">
        <v>82</v>
      </c>
      <c r="D940" s="46">
        <v>202</v>
      </c>
      <c r="E940" s="2">
        <v>67</v>
      </c>
      <c r="F940" s="2">
        <f>964-(D940+E940)</f>
        <v>695</v>
      </c>
      <c r="G940" s="2">
        <f t="shared" si="198"/>
        <v>964</v>
      </c>
      <c r="H940" s="33">
        <f t="shared" si="199"/>
        <v>0.27904564315352698</v>
      </c>
    </row>
    <row r="941" spans="1:8" x14ac:dyDescent="0.2">
      <c r="A941" s="30">
        <v>42</v>
      </c>
      <c r="B941" s="31">
        <v>404</v>
      </c>
      <c r="C941" s="32" t="s">
        <v>83</v>
      </c>
      <c r="D941" s="46">
        <v>441</v>
      </c>
      <c r="E941" s="2">
        <v>41</v>
      </c>
      <c r="F941" s="2">
        <f>817-(D941+E941)</f>
        <v>335</v>
      </c>
      <c r="G941" s="2">
        <f t="shared" si="198"/>
        <v>817</v>
      </c>
      <c r="H941" s="33">
        <f t="shared" si="199"/>
        <v>0.58996328029375766</v>
      </c>
    </row>
    <row r="942" spans="1:8" x14ac:dyDescent="0.2">
      <c r="A942" s="30">
        <v>42</v>
      </c>
      <c r="B942" s="31">
        <v>405</v>
      </c>
      <c r="C942" s="32" t="s">
        <v>84</v>
      </c>
      <c r="D942" s="46">
        <v>100</v>
      </c>
      <c r="E942" s="2">
        <v>39</v>
      </c>
      <c r="F942" s="2">
        <f>1092-(D942+E942)</f>
        <v>953</v>
      </c>
      <c r="G942" s="2">
        <f t="shared" si="198"/>
        <v>1092</v>
      </c>
      <c r="H942" s="33">
        <f t="shared" si="199"/>
        <v>0.12728937728937728</v>
      </c>
    </row>
    <row r="943" spans="1:8" x14ac:dyDescent="0.2">
      <c r="A943" s="30">
        <v>42</v>
      </c>
      <c r="B943" s="31">
        <v>407</v>
      </c>
      <c r="C943" s="32" t="s">
        <v>85</v>
      </c>
      <c r="D943" s="46">
        <v>198</v>
      </c>
      <c r="E943" s="2">
        <v>55</v>
      </c>
      <c r="F943" s="2">
        <f>1426-(D943+E943)</f>
        <v>1173</v>
      </c>
      <c r="G943" s="2">
        <f t="shared" si="198"/>
        <v>1426</v>
      </c>
      <c r="H943" s="33">
        <f t="shared" si="199"/>
        <v>0.17741935483870969</v>
      </c>
    </row>
    <row r="944" spans="1:8" x14ac:dyDescent="0.2">
      <c r="A944" s="30">
        <v>42</v>
      </c>
      <c r="B944" s="31">
        <v>408</v>
      </c>
      <c r="C944" s="32" t="s">
        <v>237</v>
      </c>
      <c r="D944" s="46">
        <v>285</v>
      </c>
      <c r="E944" s="2">
        <v>55</v>
      </c>
      <c r="F944" s="2">
        <f>637-(D944+E944)</f>
        <v>297</v>
      </c>
      <c r="G944" s="2">
        <f t="shared" si="198"/>
        <v>637</v>
      </c>
      <c r="H944" s="33">
        <f t="shared" si="199"/>
        <v>0.53375196232339095</v>
      </c>
    </row>
    <row r="945" spans="1:8" x14ac:dyDescent="0.2">
      <c r="A945" s="30">
        <v>42</v>
      </c>
      <c r="B945" s="31">
        <v>410</v>
      </c>
      <c r="C945" s="32" t="s">
        <v>87</v>
      </c>
      <c r="D945" s="46">
        <v>303</v>
      </c>
      <c r="E945" s="2">
        <v>69</v>
      </c>
      <c r="F945" s="2">
        <f>861-(D945+E945)</f>
        <v>489</v>
      </c>
      <c r="G945" s="2">
        <f t="shared" si="198"/>
        <v>861</v>
      </c>
      <c r="H945" s="33">
        <f t="shared" si="199"/>
        <v>0.43205574912891986</v>
      </c>
    </row>
    <row r="946" spans="1:8" x14ac:dyDescent="0.2">
      <c r="A946" s="30">
        <v>42</v>
      </c>
      <c r="B946" s="31">
        <v>702</v>
      </c>
      <c r="C946" s="32" t="s">
        <v>93</v>
      </c>
      <c r="D946" s="46">
        <v>205</v>
      </c>
      <c r="E946" s="2">
        <v>79</v>
      </c>
      <c r="F946" s="2">
        <f>2400-(D946+E946)</f>
        <v>2116</v>
      </c>
      <c r="G946" s="2">
        <f t="shared" ref="G946:G949" si="200">SUM(D946:F946)</f>
        <v>2400</v>
      </c>
      <c r="H946" s="33">
        <f t="shared" ref="H946:H949" si="201">+(D946+E946)/G946</f>
        <v>0.11833333333333333</v>
      </c>
    </row>
    <row r="947" spans="1:8" x14ac:dyDescent="0.2">
      <c r="A947" s="30">
        <v>42</v>
      </c>
      <c r="B947" s="31">
        <v>705</v>
      </c>
      <c r="C947" s="32" t="s">
        <v>96</v>
      </c>
      <c r="D947" s="46">
        <v>186</v>
      </c>
      <c r="E947" s="2">
        <v>41</v>
      </c>
      <c r="F947" s="2">
        <f>1669-(D947+E947)</f>
        <v>1442</v>
      </c>
      <c r="G947" s="2">
        <f t="shared" si="200"/>
        <v>1669</v>
      </c>
      <c r="H947" s="33">
        <f t="shared" si="201"/>
        <v>0.1360095865787897</v>
      </c>
    </row>
    <row r="948" spans="1:8" x14ac:dyDescent="0.2">
      <c r="A948" s="30">
        <v>42</v>
      </c>
      <c r="B948" s="31">
        <v>706</v>
      </c>
      <c r="C948" s="32" t="s">
        <v>97</v>
      </c>
      <c r="D948" s="46">
        <v>484</v>
      </c>
      <c r="E948" s="2">
        <v>88</v>
      </c>
      <c r="F948" s="2">
        <f>1702-(D948+E948)</f>
        <v>1130</v>
      </c>
      <c r="G948" s="2">
        <f t="shared" si="200"/>
        <v>1702</v>
      </c>
      <c r="H948" s="33">
        <f t="shared" si="201"/>
        <v>0.33607520564042304</v>
      </c>
    </row>
    <row r="949" spans="1:8" x14ac:dyDescent="0.2">
      <c r="A949" s="30">
        <v>42</v>
      </c>
      <c r="B949" s="31">
        <v>708</v>
      </c>
      <c r="C949" s="32" t="s">
        <v>98</v>
      </c>
      <c r="D949" s="46">
        <v>409</v>
      </c>
      <c r="E949" s="2">
        <v>98</v>
      </c>
      <c r="F949" s="2">
        <f>1713-(D949+E949)</f>
        <v>1206</v>
      </c>
      <c r="G949" s="2">
        <f t="shared" si="200"/>
        <v>1713</v>
      </c>
      <c r="H949" s="33">
        <f t="shared" si="201"/>
        <v>0.29597197898423816</v>
      </c>
    </row>
    <row r="950" spans="1:8" x14ac:dyDescent="0.2">
      <c r="A950" s="30">
        <v>42</v>
      </c>
      <c r="B950" s="31">
        <v>740</v>
      </c>
      <c r="C950" s="62" t="s">
        <v>895</v>
      </c>
      <c r="D950" s="46">
        <v>6</v>
      </c>
      <c r="E950" s="2">
        <v>2</v>
      </c>
      <c r="F950" s="2">
        <f>255-(D950+E950)</f>
        <v>247</v>
      </c>
      <c r="G950" s="2">
        <f t="shared" ref="G950" si="202">SUM(D950:F950)</f>
        <v>255</v>
      </c>
      <c r="H950" s="33">
        <f t="shared" ref="H950" si="203">+(D950+E950)/G950</f>
        <v>3.1372549019607843E-2</v>
      </c>
    </row>
    <row r="951" spans="1:8" ht="13.5" thickBot="1" x14ac:dyDescent="0.25">
      <c r="A951" s="30">
        <v>42</v>
      </c>
      <c r="B951" s="31">
        <v>810</v>
      </c>
      <c r="C951" s="62" t="s">
        <v>896</v>
      </c>
      <c r="D951" s="46">
        <v>28</v>
      </c>
      <c r="E951" s="2">
        <v>4</v>
      </c>
      <c r="F951" s="2">
        <f>103-(D951+E951)</f>
        <v>71</v>
      </c>
      <c r="G951" s="2">
        <f t="shared" ref="G951" si="204">SUM(D951:F951)</f>
        <v>103</v>
      </c>
      <c r="H951" s="33">
        <f>+(D951+E951)/G951</f>
        <v>0.31067961165048541</v>
      </c>
    </row>
    <row r="952" spans="1:8" ht="13.5" thickBot="1" x14ac:dyDescent="0.25">
      <c r="A952" s="34"/>
      <c r="B952" s="35">
        <f>COUNTA(B909:B951)</f>
        <v>43</v>
      </c>
      <c r="C952" s="36" t="s">
        <v>20</v>
      </c>
      <c r="D952" s="4">
        <f>SUM(D909:D951)</f>
        <v>7940</v>
      </c>
      <c r="E952" s="3">
        <f>SUM(E909:E951)</f>
        <v>1696</v>
      </c>
      <c r="F952" s="80">
        <f>SUM(F909:F951)</f>
        <v>24218</v>
      </c>
      <c r="G952" s="3">
        <f>SUM(D952:F952)</f>
        <v>33854</v>
      </c>
      <c r="H952" s="37">
        <f>+(D952+E952)/G952</f>
        <v>0.28463401665977434</v>
      </c>
    </row>
    <row r="953" spans="1:8" x14ac:dyDescent="0.2">
      <c r="A953" s="38"/>
      <c r="B953" s="39"/>
      <c r="C953" s="40"/>
      <c r="D953" s="5"/>
      <c r="E953" s="42"/>
      <c r="F953" s="41"/>
      <c r="G953" s="42"/>
      <c r="H953" s="43"/>
    </row>
    <row r="954" spans="1:8" x14ac:dyDescent="0.2">
      <c r="A954" s="38"/>
      <c r="B954" s="39"/>
      <c r="C954" s="45" t="s">
        <v>234</v>
      </c>
      <c r="D954" s="5"/>
      <c r="E954" s="42"/>
      <c r="F954" s="41"/>
      <c r="G954" s="42"/>
      <c r="H954" s="43"/>
    </row>
    <row r="955" spans="1:8" ht="13.5" thickBot="1" x14ac:dyDescent="0.25">
      <c r="A955" s="133">
        <v>68</v>
      </c>
      <c r="B955" s="83">
        <v>700</v>
      </c>
      <c r="C955" s="69" t="s">
        <v>959</v>
      </c>
      <c r="D955" s="46">
        <v>474</v>
      </c>
      <c r="E955" s="2">
        <v>127</v>
      </c>
      <c r="F955" s="2">
        <f>1016-(D955+E955)</f>
        <v>415</v>
      </c>
      <c r="G955" s="2">
        <f>SUM(D955:F955)</f>
        <v>1016</v>
      </c>
      <c r="H955" s="58">
        <f>+(D955+E955)/G955</f>
        <v>0.59153543307086609</v>
      </c>
    </row>
    <row r="956" spans="1:8" ht="13.5" thickBot="1" x14ac:dyDescent="0.25">
      <c r="A956" s="34"/>
      <c r="B956" s="35">
        <f>COUNT(B955:B955)</f>
        <v>1</v>
      </c>
      <c r="C956" s="36" t="s">
        <v>20</v>
      </c>
      <c r="D956" s="3">
        <f>SUM(D955:D955)</f>
        <v>474</v>
      </c>
      <c r="E956" s="3">
        <f>SUM(E955:E955)</f>
        <v>127</v>
      </c>
      <c r="F956" s="3">
        <f>SUM(F955:F955)</f>
        <v>415</v>
      </c>
      <c r="G956" s="3">
        <f>SUM(D956:F956)</f>
        <v>1016</v>
      </c>
      <c r="H956" s="37">
        <f>+(D956+E956)/G956</f>
        <v>0.59153543307086609</v>
      </c>
    </row>
    <row r="957" spans="1:8" x14ac:dyDescent="0.2">
      <c r="A957" s="38"/>
      <c r="B957" s="39"/>
      <c r="C957" s="40"/>
      <c r="D957" s="5"/>
      <c r="E957" s="42"/>
      <c r="F957" s="41"/>
      <c r="G957" s="42"/>
      <c r="H957" s="43"/>
    </row>
    <row r="958" spans="1:8" x14ac:dyDescent="0.2">
      <c r="A958" s="38"/>
      <c r="B958" s="39"/>
      <c r="C958" s="45" t="s">
        <v>912</v>
      </c>
      <c r="D958" s="5"/>
      <c r="E958" s="42"/>
      <c r="F958" s="41"/>
      <c r="G958" s="42"/>
      <c r="H958" s="43"/>
    </row>
    <row r="959" spans="1:8" x14ac:dyDescent="0.2">
      <c r="A959" s="82">
        <v>74</v>
      </c>
      <c r="B959" s="83">
        <v>102</v>
      </c>
      <c r="C959" s="69" t="s">
        <v>980</v>
      </c>
      <c r="D959" s="46">
        <v>685</v>
      </c>
      <c r="E959" s="2">
        <v>151</v>
      </c>
      <c r="F959" s="2">
        <f>1142-(D959+E959)</f>
        <v>306</v>
      </c>
      <c r="G959" s="2">
        <f>SUM(D959:F959)</f>
        <v>1142</v>
      </c>
      <c r="H959" s="58">
        <f>+(D959+E959)/G959</f>
        <v>0.73204903677758315</v>
      </c>
    </row>
    <row r="960" spans="1:8" x14ac:dyDescent="0.2">
      <c r="A960" s="82">
        <v>74</v>
      </c>
      <c r="B960" s="83">
        <v>100</v>
      </c>
      <c r="C960" s="69" t="s">
        <v>912</v>
      </c>
      <c r="D960" s="46">
        <v>0</v>
      </c>
      <c r="E960" s="2">
        <v>0</v>
      </c>
      <c r="F960" s="2">
        <v>0</v>
      </c>
      <c r="G960" s="2">
        <f>SUM(D960:F960)</f>
        <v>0</v>
      </c>
      <c r="H960" s="58" t="e">
        <f>+(D960+E960)/G960</f>
        <v>#DIV/0!</v>
      </c>
    </row>
    <row r="961" spans="1:8" ht="13.5" thickBot="1" x14ac:dyDescent="0.25">
      <c r="A961" s="57">
        <v>74</v>
      </c>
      <c r="B961" s="48">
        <v>101</v>
      </c>
      <c r="C961" s="65" t="s">
        <v>913</v>
      </c>
      <c r="D961" s="46">
        <v>348</v>
      </c>
      <c r="E961" s="2">
        <v>86</v>
      </c>
      <c r="F961" s="2">
        <f>574-(D961+E961)</f>
        <v>140</v>
      </c>
      <c r="G961" s="2">
        <f>SUM(D961:F961)</f>
        <v>574</v>
      </c>
      <c r="H961" s="49">
        <f>+(D961+E961)/G961</f>
        <v>0.75609756097560976</v>
      </c>
    </row>
    <row r="962" spans="1:8" ht="13.5" thickBot="1" x14ac:dyDescent="0.25">
      <c r="A962" s="34"/>
      <c r="B962" s="35">
        <f>COUNTA(B959:B961)</f>
        <v>3</v>
      </c>
      <c r="C962" s="36" t="s">
        <v>20</v>
      </c>
      <c r="D962" s="3">
        <f>SUM(D959:D961)</f>
        <v>1033</v>
      </c>
      <c r="E962" s="3">
        <f>SUM(E959:E961)</f>
        <v>237</v>
      </c>
      <c r="F962" s="3">
        <f>SUM(F959:F961)</f>
        <v>446</v>
      </c>
      <c r="G962" s="3">
        <f>SUM(D962:F962)</f>
        <v>1716</v>
      </c>
      <c r="H962" s="37">
        <f>+(D962+E962)/G962</f>
        <v>0.74009324009324007</v>
      </c>
    </row>
    <row r="963" spans="1:8" x14ac:dyDescent="0.2">
      <c r="A963" s="38"/>
      <c r="B963" s="39"/>
      <c r="C963" s="40"/>
      <c r="D963" s="5"/>
      <c r="E963" s="42"/>
      <c r="F963" s="41"/>
      <c r="G963" s="42"/>
      <c r="H963" s="43"/>
    </row>
    <row r="964" spans="1:8" x14ac:dyDescent="0.2">
      <c r="A964" s="38"/>
      <c r="B964" s="39"/>
      <c r="C964" s="45" t="s">
        <v>232</v>
      </c>
      <c r="D964" s="5"/>
      <c r="E964" s="42"/>
      <c r="F964" s="41"/>
      <c r="G964" s="42"/>
      <c r="H964" s="43"/>
    </row>
    <row r="965" spans="1:8" ht="13.5" thickBot="1" x14ac:dyDescent="0.25">
      <c r="A965" s="73">
        <v>82</v>
      </c>
      <c r="B965" s="48">
        <v>100</v>
      </c>
      <c r="C965" s="72" t="s">
        <v>232</v>
      </c>
      <c r="D965" s="46">
        <v>220</v>
      </c>
      <c r="E965" s="2">
        <v>102</v>
      </c>
      <c r="F965" s="2">
        <f>761-(D965+E965)</f>
        <v>439</v>
      </c>
      <c r="G965" s="2">
        <f>SUM(D965:F965)</f>
        <v>761</v>
      </c>
      <c r="H965" s="49">
        <f>+(D965+E965)/G965</f>
        <v>0.42312746386333772</v>
      </c>
    </row>
    <row r="966" spans="1:8" ht="13.5" thickBot="1" x14ac:dyDescent="0.25">
      <c r="A966" s="34"/>
      <c r="B966" s="35">
        <f>COUNTA(B965)</f>
        <v>1</v>
      </c>
      <c r="C966" s="36" t="s">
        <v>20</v>
      </c>
      <c r="D966" s="3">
        <f>SUM(D965)</f>
        <v>220</v>
      </c>
      <c r="E966" s="3">
        <f>SUM(E965)</f>
        <v>102</v>
      </c>
      <c r="F966" s="3">
        <f>SUM(F965)</f>
        <v>439</v>
      </c>
      <c r="G966" s="3">
        <f>SUM(D966:F966)</f>
        <v>761</v>
      </c>
      <c r="H966" s="37">
        <f>+(D966+E966)/G966</f>
        <v>0.42312746386333772</v>
      </c>
    </row>
    <row r="967" spans="1:8" x14ac:dyDescent="0.2">
      <c r="A967" s="38"/>
      <c r="B967" s="39"/>
      <c r="C967" s="40"/>
      <c r="D967" s="5"/>
      <c r="E967" s="42"/>
      <c r="F967" s="41"/>
      <c r="G967" s="42"/>
      <c r="H967" s="43"/>
    </row>
    <row r="968" spans="1:8" x14ac:dyDescent="0.2">
      <c r="A968" s="38"/>
      <c r="B968" s="39"/>
      <c r="C968" s="45" t="s">
        <v>229</v>
      </c>
      <c r="D968" s="5"/>
      <c r="E968" s="42"/>
      <c r="F968" s="41"/>
      <c r="G968" s="42"/>
      <c r="H968" s="43"/>
    </row>
    <row r="969" spans="1:8" ht="13.5" thickBot="1" x14ac:dyDescent="0.25">
      <c r="A969" s="73">
        <v>86</v>
      </c>
      <c r="B969" s="48">
        <v>100</v>
      </c>
      <c r="C969" s="72" t="s">
        <v>229</v>
      </c>
      <c r="D969" s="46">
        <v>276</v>
      </c>
      <c r="E969" s="2">
        <v>32</v>
      </c>
      <c r="F969" s="2">
        <f>531-(D969+E969)</f>
        <v>223</v>
      </c>
      <c r="G969" s="2">
        <f>SUM(D969:F969)</f>
        <v>531</v>
      </c>
      <c r="H969" s="49">
        <f>+(D969+E969)/G969</f>
        <v>0.58003766478342744</v>
      </c>
    </row>
    <row r="970" spans="1:8" ht="13.5" thickBot="1" x14ac:dyDescent="0.25">
      <c r="A970" s="34"/>
      <c r="B970" s="35">
        <f>COUNTA(B969)</f>
        <v>1</v>
      </c>
      <c r="C970" s="36" t="s">
        <v>20</v>
      </c>
      <c r="D970" s="3">
        <f>SUM(D969)</f>
        <v>276</v>
      </c>
      <c r="E970" s="3">
        <f>SUM(E969)</f>
        <v>32</v>
      </c>
      <c r="F970" s="3">
        <f>SUM(F969)</f>
        <v>223</v>
      </c>
      <c r="G970" s="3">
        <f>SUM(D970:F970)</f>
        <v>531</v>
      </c>
      <c r="H970" s="37">
        <f>+(D970+E970)/G970</f>
        <v>0.58003766478342744</v>
      </c>
    </row>
    <row r="971" spans="1:8" x14ac:dyDescent="0.2">
      <c r="A971" s="38"/>
      <c r="B971" s="39"/>
      <c r="C971" s="40"/>
      <c r="D971" s="5"/>
      <c r="E971" s="42"/>
      <c r="F971" s="41"/>
      <c r="G971" s="42"/>
      <c r="H971" s="43"/>
    </row>
    <row r="972" spans="1:8" x14ac:dyDescent="0.2">
      <c r="A972" s="38"/>
      <c r="B972" s="39"/>
      <c r="C972" s="45" t="s">
        <v>235</v>
      </c>
      <c r="D972" s="5"/>
      <c r="E972" s="42"/>
      <c r="F972" s="41"/>
      <c r="G972" s="42"/>
      <c r="H972" s="43"/>
    </row>
    <row r="973" spans="1:8" ht="13.5" thickBot="1" x14ac:dyDescent="0.25">
      <c r="A973" s="73">
        <v>87</v>
      </c>
      <c r="B973" s="48">
        <v>700</v>
      </c>
      <c r="C973" s="72" t="s">
        <v>235</v>
      </c>
      <c r="D973" s="46">
        <v>59</v>
      </c>
      <c r="E973" s="2">
        <v>9</v>
      </c>
      <c r="F973" s="2">
        <f>215-(D973+E973)</f>
        <v>147</v>
      </c>
      <c r="G973" s="2">
        <f>SUM(D973:F973)</f>
        <v>215</v>
      </c>
      <c r="H973" s="49">
        <f>+(D973+E973)/G973</f>
        <v>0.31627906976744186</v>
      </c>
    </row>
    <row r="974" spans="1:8" ht="13.5" thickBot="1" x14ac:dyDescent="0.25">
      <c r="A974" s="34"/>
      <c r="B974" s="35">
        <f>COUNTA(B973)</f>
        <v>1</v>
      </c>
      <c r="C974" s="36" t="s">
        <v>20</v>
      </c>
      <c r="D974" s="3">
        <f>SUM(D973)</f>
        <v>59</v>
      </c>
      <c r="E974" s="3">
        <f>SUM(E973)</f>
        <v>9</v>
      </c>
      <c r="F974" s="3">
        <f>SUM(F973)</f>
        <v>147</v>
      </c>
      <c r="G974" s="3">
        <f>SUM(D974:F974)</f>
        <v>215</v>
      </c>
      <c r="H974" s="37">
        <f>+(D974+E974)/G974</f>
        <v>0.31627906976744186</v>
      </c>
    </row>
    <row r="975" spans="1:8" x14ac:dyDescent="0.2">
      <c r="A975" s="38"/>
      <c r="B975" s="39"/>
      <c r="C975" s="40"/>
      <c r="D975" s="5"/>
      <c r="E975" s="42"/>
      <c r="F975" s="41"/>
      <c r="G975" s="42"/>
      <c r="H975" s="43"/>
    </row>
    <row r="976" spans="1:8" x14ac:dyDescent="0.2">
      <c r="A976" s="38"/>
      <c r="B976" s="39"/>
      <c r="C976" s="45" t="s">
        <v>952</v>
      </c>
      <c r="D976" s="5"/>
      <c r="E976" s="42"/>
      <c r="F976" s="41"/>
      <c r="G976" s="42"/>
      <c r="H976" s="43"/>
    </row>
    <row r="977" spans="1:8" ht="13.5" thickBot="1" x14ac:dyDescent="0.25">
      <c r="A977" s="73">
        <v>98</v>
      </c>
      <c r="B977" s="48">
        <v>700</v>
      </c>
      <c r="C977" s="65" t="s">
        <v>952</v>
      </c>
      <c r="D977" s="46">
        <v>117</v>
      </c>
      <c r="E977" s="2">
        <v>26</v>
      </c>
      <c r="F977" s="2">
        <f>227-(D977+E977)</f>
        <v>84</v>
      </c>
      <c r="G977" s="2">
        <f>SUM(D977:F977)</f>
        <v>227</v>
      </c>
      <c r="H977" s="49">
        <f>+(D977+E977)/G977</f>
        <v>0.62995594713656389</v>
      </c>
    </row>
    <row r="978" spans="1:8" ht="13.5" thickBot="1" x14ac:dyDescent="0.25">
      <c r="A978" s="34"/>
      <c r="B978" s="35">
        <f>COUNTA(B977)</f>
        <v>1</v>
      </c>
      <c r="C978" s="36" t="s">
        <v>20</v>
      </c>
      <c r="D978" s="3">
        <f>SUM(D977)</f>
        <v>117</v>
      </c>
      <c r="E978" s="3">
        <f>SUM(E977)</f>
        <v>26</v>
      </c>
      <c r="F978" s="3">
        <f>SUM(F977)</f>
        <v>84</v>
      </c>
      <c r="G978" s="3">
        <f>SUM(D978:F978)</f>
        <v>227</v>
      </c>
      <c r="H978" s="37">
        <f>+(D978+E978)/G978</f>
        <v>0.62995594713656389</v>
      </c>
    </row>
    <row r="979" spans="1:8" x14ac:dyDescent="0.2">
      <c r="A979" s="38"/>
      <c r="B979" s="39"/>
      <c r="C979" s="40"/>
      <c r="D979" s="5"/>
      <c r="E979" s="42"/>
      <c r="F979" s="41"/>
      <c r="G979" s="42"/>
      <c r="H979" s="43"/>
    </row>
    <row r="980" spans="1:8" x14ac:dyDescent="0.2">
      <c r="A980" s="38"/>
      <c r="B980" s="39"/>
      <c r="C980" s="45" t="s">
        <v>244</v>
      </c>
      <c r="D980" s="5"/>
      <c r="E980" s="42"/>
      <c r="F980" s="41"/>
      <c r="G980" s="42"/>
      <c r="H980" s="43"/>
    </row>
    <row r="981" spans="1:8" ht="13.5" thickBot="1" x14ac:dyDescent="0.25">
      <c r="A981" s="142" t="s">
        <v>243</v>
      </c>
      <c r="B981" s="48">
        <v>100</v>
      </c>
      <c r="C981" s="72" t="s">
        <v>244</v>
      </c>
      <c r="D981" s="46">
        <v>43</v>
      </c>
      <c r="E981" s="2">
        <v>29</v>
      </c>
      <c r="F981" s="2">
        <f>401-(D981+E981)</f>
        <v>329</v>
      </c>
      <c r="G981" s="2">
        <f>SUM(D981:F981)</f>
        <v>401</v>
      </c>
      <c r="H981" s="49">
        <f>+(D981+E981)/G981</f>
        <v>0.17955112219451372</v>
      </c>
    </row>
    <row r="982" spans="1:8" ht="13.5" thickBot="1" x14ac:dyDescent="0.25">
      <c r="A982" s="34"/>
      <c r="B982" s="35">
        <f>COUNTA(B981)</f>
        <v>1</v>
      </c>
      <c r="C982" s="36" t="s">
        <v>20</v>
      </c>
      <c r="D982" s="3">
        <f>SUM(D981)</f>
        <v>43</v>
      </c>
      <c r="E982" s="3">
        <f>SUM(E981)</f>
        <v>29</v>
      </c>
      <c r="F982" s="3">
        <f>SUM(F981)</f>
        <v>329</v>
      </c>
      <c r="G982" s="3">
        <f>SUM(D982:F982)</f>
        <v>401</v>
      </c>
      <c r="H982" s="37">
        <f>+(D982+E982)/G982</f>
        <v>0.17955112219451372</v>
      </c>
    </row>
    <row r="983" spans="1:8" x14ac:dyDescent="0.2">
      <c r="A983" s="38"/>
      <c r="B983" s="39"/>
      <c r="C983" s="40"/>
      <c r="D983" s="5"/>
      <c r="E983" s="42"/>
      <c r="F983" s="41"/>
      <c r="G983" s="42"/>
      <c r="H983" s="43"/>
    </row>
    <row r="984" spans="1:8" x14ac:dyDescent="0.2">
      <c r="A984" s="38"/>
      <c r="B984" s="39"/>
      <c r="C984" s="45" t="s">
        <v>932</v>
      </c>
      <c r="D984" s="5"/>
      <c r="E984" s="42"/>
      <c r="F984" s="41"/>
      <c r="G984" s="42"/>
      <c r="H984" s="43"/>
    </row>
    <row r="985" spans="1:8" ht="13.5" thickBot="1" x14ac:dyDescent="0.25">
      <c r="A985" s="64" t="s">
        <v>931</v>
      </c>
      <c r="B985" s="48">
        <v>100</v>
      </c>
      <c r="C985" s="65" t="s">
        <v>932</v>
      </c>
      <c r="D985" s="46">
        <v>73</v>
      </c>
      <c r="E985" s="2">
        <v>38</v>
      </c>
      <c r="F985" s="2">
        <f>534-(D985+E985)</f>
        <v>423</v>
      </c>
      <c r="G985" s="2">
        <f>SUM(D985:F985)</f>
        <v>534</v>
      </c>
      <c r="H985" s="49">
        <f>+(D985+E985)/G985</f>
        <v>0.20786516853932585</v>
      </c>
    </row>
    <row r="986" spans="1:8" ht="13.5" thickBot="1" x14ac:dyDescent="0.25">
      <c r="A986" s="34"/>
      <c r="B986" s="35">
        <f>COUNTA(B985)</f>
        <v>1</v>
      </c>
      <c r="C986" s="36" t="s">
        <v>20</v>
      </c>
      <c r="D986" s="3">
        <f>SUM(D985)</f>
        <v>73</v>
      </c>
      <c r="E986" s="3">
        <f>SUM(E985)</f>
        <v>38</v>
      </c>
      <c r="F986" s="3">
        <f>SUM(F985)</f>
        <v>423</v>
      </c>
      <c r="G986" s="3">
        <f>SUM(D986:F986)</f>
        <v>534</v>
      </c>
      <c r="H986" s="37">
        <f>+(D986+E986)/G986</f>
        <v>0.20786516853932585</v>
      </c>
    </row>
    <row r="988" spans="1:8" x14ac:dyDescent="0.2">
      <c r="A988" s="38"/>
      <c r="B988" s="39"/>
      <c r="C988" s="40"/>
      <c r="D988" s="5"/>
      <c r="E988" s="42"/>
      <c r="F988" s="41"/>
      <c r="G988" s="42"/>
      <c r="H988" s="43"/>
    </row>
    <row r="989" spans="1:8" x14ac:dyDescent="0.2">
      <c r="A989" s="38"/>
      <c r="B989" s="39"/>
      <c r="C989" s="45" t="s">
        <v>1010</v>
      </c>
      <c r="D989" s="5"/>
      <c r="E989" s="42"/>
      <c r="F989" s="41"/>
      <c r="G989" s="42"/>
      <c r="H989" s="43"/>
    </row>
    <row r="990" spans="1:8" ht="13.5" thickBot="1" x14ac:dyDescent="0.25">
      <c r="A990" s="64" t="s">
        <v>1009</v>
      </c>
      <c r="B990" s="48">
        <v>100</v>
      </c>
      <c r="C990" s="65" t="s">
        <v>1010</v>
      </c>
      <c r="D990" s="46">
        <v>58</v>
      </c>
      <c r="E990" s="2">
        <v>23</v>
      </c>
      <c r="F990" s="2">
        <f>678-(D990+E990)</f>
        <v>597</v>
      </c>
      <c r="G990" s="2">
        <f>SUM(D990:F990)</f>
        <v>678</v>
      </c>
      <c r="H990" s="49">
        <f>+(D990+E990)/G990</f>
        <v>0.11946902654867257</v>
      </c>
    </row>
    <row r="991" spans="1:8" ht="13.5" thickBot="1" x14ac:dyDescent="0.25">
      <c r="A991" s="34"/>
      <c r="B991" s="35">
        <f>COUNTA(B990)</f>
        <v>1</v>
      </c>
      <c r="C991" s="36" t="s">
        <v>20</v>
      </c>
      <c r="D991" s="3">
        <f>SUM(D990)</f>
        <v>58</v>
      </c>
      <c r="E991" s="3">
        <f>SUM(E990)</f>
        <v>23</v>
      </c>
      <c r="F991" s="3">
        <f>SUM(F990)</f>
        <v>597</v>
      </c>
      <c r="G991" s="3">
        <f>SUM(D991:F991)</f>
        <v>678</v>
      </c>
      <c r="H991" s="37">
        <f>+(D991+E991)/G991</f>
        <v>0.11946902654867257</v>
      </c>
    </row>
    <row r="992" spans="1:8" x14ac:dyDescent="0.2">
      <c r="A992" s="38"/>
      <c r="B992" s="39"/>
      <c r="C992" s="45" t="s">
        <v>220</v>
      </c>
      <c r="D992" s="5"/>
      <c r="E992" s="42"/>
      <c r="F992" s="41"/>
      <c r="G992" s="42"/>
      <c r="H992" s="43"/>
    </row>
    <row r="993" spans="1:8" ht="13.5" thickBot="1" x14ac:dyDescent="0.25">
      <c r="A993" s="57" t="s">
        <v>266</v>
      </c>
      <c r="B993" s="132" t="s">
        <v>267</v>
      </c>
      <c r="C993" s="72" t="s">
        <v>220</v>
      </c>
      <c r="D993" s="46">
        <v>167</v>
      </c>
      <c r="E993" s="2">
        <v>5</v>
      </c>
      <c r="F993" s="2">
        <f>174-(D993+E993)</f>
        <v>2</v>
      </c>
      <c r="G993" s="2">
        <f>SUM(D993:F993)</f>
        <v>174</v>
      </c>
      <c r="H993" s="49">
        <f>+(D993+E993)/G993</f>
        <v>0.9885057471264368</v>
      </c>
    </row>
    <row r="994" spans="1:8" ht="13.5" thickBot="1" x14ac:dyDescent="0.25">
      <c r="A994" s="34"/>
      <c r="B994" s="35">
        <f>COUNTA(B993)</f>
        <v>1</v>
      </c>
      <c r="C994" s="36" t="s">
        <v>20</v>
      </c>
      <c r="D994" s="3">
        <f>SUM(D993)</f>
        <v>167</v>
      </c>
      <c r="E994" s="3">
        <f>SUM(E993)</f>
        <v>5</v>
      </c>
      <c r="F994" s="3">
        <f>SUM(F993)</f>
        <v>2</v>
      </c>
      <c r="G994" s="3">
        <f>SUM(D994:F994)</f>
        <v>174</v>
      </c>
      <c r="H994" s="37">
        <f>+(D994+E994)/G994</f>
        <v>0.9885057471264368</v>
      </c>
    </row>
    <row r="995" spans="1:8" x14ac:dyDescent="0.2">
      <c r="A995" s="38"/>
      <c r="B995" s="39"/>
      <c r="C995" s="40"/>
      <c r="D995" s="5"/>
      <c r="E995" s="42"/>
      <c r="F995" s="41"/>
      <c r="G995" s="42"/>
      <c r="H995" s="43"/>
    </row>
    <row r="996" spans="1:8" x14ac:dyDescent="0.2">
      <c r="A996" s="38"/>
      <c r="B996" s="39"/>
      <c r="C996" s="45" t="s">
        <v>925</v>
      </c>
      <c r="D996" s="5"/>
      <c r="E996" s="42"/>
      <c r="F996" s="41"/>
      <c r="G996" s="42"/>
      <c r="H996" s="43"/>
    </row>
    <row r="997" spans="1:8" ht="13.5" thickBot="1" x14ac:dyDescent="0.25">
      <c r="A997" s="64" t="s">
        <v>926</v>
      </c>
      <c r="B997" s="48">
        <v>100</v>
      </c>
      <c r="C997" s="65" t="s">
        <v>925</v>
      </c>
      <c r="D997" s="46">
        <v>160</v>
      </c>
      <c r="E997" s="2">
        <v>83</v>
      </c>
      <c r="F997" s="2">
        <f>939-(D997+E997)</f>
        <v>696</v>
      </c>
      <c r="G997" s="2">
        <f>SUM(D997:F997)</f>
        <v>939</v>
      </c>
      <c r="H997" s="49">
        <f>+(D997+E997)/G997</f>
        <v>0.25878594249201275</v>
      </c>
    </row>
    <row r="998" spans="1:8" ht="13.5" thickBot="1" x14ac:dyDescent="0.25">
      <c r="A998" s="34"/>
      <c r="B998" s="35">
        <f>COUNTA(B997)</f>
        <v>1</v>
      </c>
      <c r="C998" s="36" t="s">
        <v>20</v>
      </c>
      <c r="D998" s="3">
        <f>SUM(D997)</f>
        <v>160</v>
      </c>
      <c r="E998" s="3">
        <f>SUM(E997)</f>
        <v>83</v>
      </c>
      <c r="F998" s="3">
        <f>SUM(F997)</f>
        <v>696</v>
      </c>
      <c r="G998" s="3">
        <f>SUM(D998:F998)</f>
        <v>939</v>
      </c>
      <c r="H998" s="37">
        <f>+(D998+E998)/G998</f>
        <v>0.25878594249201275</v>
      </c>
    </row>
    <row r="999" spans="1:8" x14ac:dyDescent="0.2">
      <c r="A999" s="38"/>
      <c r="B999" s="39"/>
      <c r="C999" s="40"/>
      <c r="D999" s="5"/>
      <c r="E999" s="42"/>
      <c r="F999" s="41"/>
      <c r="G999" s="42"/>
      <c r="H999" s="43"/>
    </row>
    <row r="1000" spans="1:8" x14ac:dyDescent="0.2">
      <c r="A1000" s="38"/>
      <c r="B1000" s="39"/>
      <c r="C1000" s="45" t="s">
        <v>1035</v>
      </c>
      <c r="D1000" s="5"/>
      <c r="E1000" s="42"/>
      <c r="F1000" s="41"/>
      <c r="G1000" s="42"/>
      <c r="H1000" s="43"/>
    </row>
    <row r="1001" spans="1:8" ht="13.5" thickBot="1" x14ac:dyDescent="0.25">
      <c r="A1001" s="64" t="s">
        <v>1034</v>
      </c>
      <c r="B1001" s="48">
        <v>100</v>
      </c>
      <c r="C1001" s="65" t="s">
        <v>1035</v>
      </c>
      <c r="D1001" s="46">
        <v>94</v>
      </c>
      <c r="E1001" s="2">
        <v>43</v>
      </c>
      <c r="F1001" s="2">
        <f>777-(D1001+E1001)</f>
        <v>640</v>
      </c>
      <c r="G1001" s="2">
        <f>SUM(D1001:F1001)</f>
        <v>777</v>
      </c>
      <c r="H1001" s="49">
        <f>+(D1001+E1001)/G1001</f>
        <v>0.17631917631917632</v>
      </c>
    </row>
    <row r="1002" spans="1:8" ht="13.5" thickBot="1" x14ac:dyDescent="0.25">
      <c r="A1002" s="34"/>
      <c r="B1002" s="35">
        <f>COUNTA(B1001)</f>
        <v>1</v>
      </c>
      <c r="C1002" s="36" t="s">
        <v>20</v>
      </c>
      <c r="D1002" s="3">
        <f>SUM(D1001)</f>
        <v>94</v>
      </c>
      <c r="E1002" s="3">
        <f>SUM(E1001)</f>
        <v>43</v>
      </c>
      <c r="F1002" s="3">
        <f>SUM(F1001)</f>
        <v>640</v>
      </c>
      <c r="G1002" s="3">
        <f>SUM(D1002:F1002)</f>
        <v>777</v>
      </c>
      <c r="H1002" s="37">
        <f>+(D1002+E1002)/G1002</f>
        <v>0.17631917631917632</v>
      </c>
    </row>
    <row r="1003" spans="1:8" x14ac:dyDescent="0.2">
      <c r="A1003" s="38"/>
      <c r="B1003" s="39"/>
      <c r="C1003" s="40"/>
      <c r="D1003" s="5"/>
      <c r="E1003" s="42"/>
      <c r="F1003" s="41"/>
      <c r="G1003" s="42"/>
      <c r="H1003" s="43"/>
    </row>
    <row r="1004" spans="1:8" x14ac:dyDescent="0.2">
      <c r="A1004" s="38"/>
      <c r="B1004" s="39"/>
      <c r="C1004" s="45" t="s">
        <v>1002</v>
      </c>
      <c r="D1004" s="5"/>
      <c r="E1004" s="42"/>
      <c r="F1004" s="41"/>
      <c r="G1004" s="42"/>
      <c r="H1004" s="43"/>
    </row>
    <row r="1005" spans="1:8" ht="13.5" thickBot="1" x14ac:dyDescent="0.25">
      <c r="A1005" s="64" t="s">
        <v>1001</v>
      </c>
      <c r="B1005" s="48">
        <v>100</v>
      </c>
      <c r="C1005" s="65" t="s">
        <v>1002</v>
      </c>
      <c r="D1005" s="46">
        <v>71</v>
      </c>
      <c r="E1005" s="2">
        <v>32</v>
      </c>
      <c r="F1005" s="2">
        <f>646-(D1005+E1005)</f>
        <v>543</v>
      </c>
      <c r="G1005" s="2">
        <f>SUM(D1005:F1005)</f>
        <v>646</v>
      </c>
      <c r="H1005" s="49">
        <f>+(D1005+E1005)/G1005</f>
        <v>0.15944272445820434</v>
      </c>
    </row>
    <row r="1006" spans="1:8" ht="13.5" thickBot="1" x14ac:dyDescent="0.25">
      <c r="A1006" s="34"/>
      <c r="B1006" s="35">
        <f>COUNTA(B1005)</f>
        <v>1</v>
      </c>
      <c r="C1006" s="36" t="s">
        <v>20</v>
      </c>
      <c r="D1006" s="3">
        <f>SUM(D1005)</f>
        <v>71</v>
      </c>
      <c r="E1006" s="3">
        <f>SUM(E1005)</f>
        <v>32</v>
      </c>
      <c r="F1006" s="3">
        <f>SUM(F1005)</f>
        <v>543</v>
      </c>
      <c r="G1006" s="3">
        <f>SUM(D1006:F1006)</f>
        <v>646</v>
      </c>
      <c r="H1006" s="37">
        <f>+(D1006+E1006)/G1006</f>
        <v>0.15944272445820434</v>
      </c>
    </row>
    <row r="1007" spans="1:8" x14ac:dyDescent="0.2">
      <c r="A1007" s="38"/>
      <c r="B1007" s="39"/>
      <c r="C1007" s="40"/>
      <c r="D1007" s="5"/>
      <c r="E1007" s="42"/>
      <c r="F1007" s="41"/>
      <c r="G1007" s="42"/>
      <c r="H1007" s="43"/>
    </row>
    <row r="1008" spans="1:8" x14ac:dyDescent="0.2">
      <c r="A1008" s="38"/>
      <c r="B1008" s="39"/>
      <c r="C1008" s="45" t="s">
        <v>256</v>
      </c>
      <c r="D1008" s="5"/>
      <c r="E1008" s="42"/>
      <c r="F1008" s="41"/>
      <c r="G1008" s="42"/>
      <c r="H1008" s="43"/>
    </row>
    <row r="1009" spans="1:8" ht="13.5" thickBot="1" x14ac:dyDescent="0.25">
      <c r="A1009" s="57" t="s">
        <v>255</v>
      </c>
      <c r="B1009" s="48">
        <v>100</v>
      </c>
      <c r="C1009" s="72" t="s">
        <v>256</v>
      </c>
      <c r="D1009" s="46">
        <v>38</v>
      </c>
      <c r="E1009" s="2">
        <v>12</v>
      </c>
      <c r="F1009" s="2">
        <f>160-(D1009+E1009)</f>
        <v>110</v>
      </c>
      <c r="G1009" s="2">
        <f>SUM(D1009:F1009)</f>
        <v>160</v>
      </c>
      <c r="H1009" s="49">
        <f>+(D1009+E1009)/G1009</f>
        <v>0.3125</v>
      </c>
    </row>
    <row r="1010" spans="1:8" ht="13.5" thickBot="1" x14ac:dyDescent="0.25">
      <c r="A1010" s="34"/>
      <c r="B1010" s="35">
        <f>COUNTA(B1009)</f>
        <v>1</v>
      </c>
      <c r="C1010" s="36" t="s">
        <v>20</v>
      </c>
      <c r="D1010" s="3">
        <f>SUM(D1009)</f>
        <v>38</v>
      </c>
      <c r="E1010" s="3">
        <f>SUM(E1009)</f>
        <v>12</v>
      </c>
      <c r="F1010" s="3">
        <f>SUM(F1009)</f>
        <v>110</v>
      </c>
      <c r="G1010" s="3">
        <f>SUM(D1010:F1010)</f>
        <v>160</v>
      </c>
      <c r="H1010" s="37">
        <f>+(D1010+E1010)/G1010</f>
        <v>0.3125</v>
      </c>
    </row>
    <row r="1011" spans="1:8" x14ac:dyDescent="0.2">
      <c r="A1011" s="38"/>
      <c r="B1011" s="39"/>
      <c r="C1011" s="40"/>
      <c r="D1011" s="5"/>
      <c r="E1011" s="42"/>
      <c r="F1011" s="41"/>
      <c r="G1011" s="42"/>
      <c r="H1011" s="43"/>
    </row>
    <row r="1012" spans="1:8" x14ac:dyDescent="0.2">
      <c r="A1012" s="38"/>
      <c r="B1012" s="39"/>
      <c r="C1012" s="45" t="s">
        <v>275</v>
      </c>
      <c r="D1012" s="5"/>
      <c r="E1012" s="42"/>
      <c r="F1012" s="41"/>
      <c r="G1012" s="42"/>
      <c r="H1012" s="43"/>
    </row>
    <row r="1013" spans="1:8" ht="13.5" thickBot="1" x14ac:dyDescent="0.25">
      <c r="A1013" s="57" t="s">
        <v>274</v>
      </c>
      <c r="B1013" s="48">
        <v>100</v>
      </c>
      <c r="C1013" s="72" t="s">
        <v>275</v>
      </c>
      <c r="D1013" s="46">
        <v>63</v>
      </c>
      <c r="E1013" s="2">
        <v>37</v>
      </c>
      <c r="F1013" s="2">
        <f>670-(D1013+E1013)</f>
        <v>570</v>
      </c>
      <c r="G1013" s="2">
        <f>SUM(D1013:F1013)</f>
        <v>670</v>
      </c>
      <c r="H1013" s="49">
        <f>+(D1013+E1013)/G1013</f>
        <v>0.14925373134328357</v>
      </c>
    </row>
    <row r="1014" spans="1:8" ht="13.5" thickBot="1" x14ac:dyDescent="0.25">
      <c r="A1014" s="34"/>
      <c r="B1014" s="35">
        <f>COUNTA(B1013)</f>
        <v>1</v>
      </c>
      <c r="C1014" s="36" t="s">
        <v>20</v>
      </c>
      <c r="D1014" s="3">
        <f>SUM(D1013)</f>
        <v>63</v>
      </c>
      <c r="E1014" s="3">
        <f>SUM(E1013)</f>
        <v>37</v>
      </c>
      <c r="F1014" s="3">
        <f>SUM(F1013)</f>
        <v>570</v>
      </c>
      <c r="G1014" s="3">
        <f>SUM(D1014:F1014)</f>
        <v>670</v>
      </c>
      <c r="H1014" s="37">
        <f>+(D1014+E1014)/G1014</f>
        <v>0.14925373134328357</v>
      </c>
    </row>
    <row r="1015" spans="1:8" x14ac:dyDescent="0.2">
      <c r="A1015" s="38"/>
      <c r="B1015" s="39"/>
      <c r="C1015" s="40"/>
      <c r="D1015" s="5"/>
      <c r="E1015" s="42"/>
      <c r="F1015" s="41"/>
      <c r="G1015" s="42"/>
      <c r="H1015" s="43"/>
    </row>
    <row r="1016" spans="1:8" x14ac:dyDescent="0.2">
      <c r="A1016" s="38"/>
      <c r="B1016" s="39"/>
      <c r="C1016" s="45" t="s">
        <v>1023</v>
      </c>
      <c r="D1016" s="5"/>
      <c r="E1016" s="42"/>
      <c r="F1016" s="41"/>
      <c r="G1016" s="42"/>
      <c r="H1016" s="43"/>
    </row>
    <row r="1017" spans="1:8" ht="13.5" thickBot="1" x14ac:dyDescent="0.25">
      <c r="A1017" s="64" t="s">
        <v>1022</v>
      </c>
      <c r="B1017" s="48">
        <v>700</v>
      </c>
      <c r="C1017" s="65" t="s">
        <v>1023</v>
      </c>
      <c r="D1017" s="46">
        <v>100</v>
      </c>
      <c r="E1017" s="2">
        <v>29</v>
      </c>
      <c r="F1017" s="2">
        <f>705-(D1017+E1017)</f>
        <v>576</v>
      </c>
      <c r="G1017" s="2">
        <f>SUM(D1017:F1017)</f>
        <v>705</v>
      </c>
      <c r="H1017" s="49">
        <f>+(D1017+E1017)/G1017</f>
        <v>0.18297872340425531</v>
      </c>
    </row>
    <row r="1018" spans="1:8" ht="13.5" thickBot="1" x14ac:dyDescent="0.25">
      <c r="A1018" s="34"/>
      <c r="B1018" s="35">
        <f>COUNTA(B1017)</f>
        <v>1</v>
      </c>
      <c r="C1018" s="36" t="s">
        <v>20</v>
      </c>
      <c r="D1018" s="3">
        <f>SUM(D1017)</f>
        <v>100</v>
      </c>
      <c r="E1018" s="3">
        <f>SUM(E1017)</f>
        <v>29</v>
      </c>
      <c r="F1018" s="3">
        <f>SUM(F1017)</f>
        <v>576</v>
      </c>
      <c r="G1018" s="3">
        <f>SUM(D1018:F1018)</f>
        <v>705</v>
      </c>
      <c r="H1018" s="37">
        <f>+(D1018+E1018)/G1018</f>
        <v>0.18297872340425531</v>
      </c>
    </row>
    <row r="1019" spans="1:8" x14ac:dyDescent="0.2">
      <c r="A1019" s="38"/>
      <c r="B1019" s="39"/>
      <c r="C1019" s="40"/>
      <c r="D1019" s="5"/>
      <c r="E1019" s="42"/>
      <c r="F1019" s="41"/>
      <c r="G1019" s="42"/>
      <c r="H1019" s="43"/>
    </row>
    <row r="1020" spans="1:8" x14ac:dyDescent="0.2">
      <c r="A1020" s="38"/>
      <c r="B1020" s="39"/>
      <c r="C1020" s="45" t="s">
        <v>1054</v>
      </c>
      <c r="D1020" s="5"/>
      <c r="E1020" s="42"/>
      <c r="F1020" s="41"/>
      <c r="G1020" s="42"/>
      <c r="H1020" s="43"/>
    </row>
    <row r="1021" spans="1:8" ht="13.5" thickBot="1" x14ac:dyDescent="0.25">
      <c r="A1021" s="64" t="s">
        <v>1053</v>
      </c>
      <c r="B1021" s="48">
        <v>700</v>
      </c>
      <c r="C1021" s="65" t="s">
        <v>1054</v>
      </c>
      <c r="D1021" s="46">
        <v>40</v>
      </c>
      <c r="E1021" s="2">
        <v>8</v>
      </c>
      <c r="F1021" s="2">
        <f>224-(D1021+E1021)</f>
        <v>176</v>
      </c>
      <c r="G1021" s="2">
        <f>SUM(D1021:F1021)</f>
        <v>224</v>
      </c>
      <c r="H1021" s="49">
        <f>+(D1021+E1021)/G1021</f>
        <v>0.21428571428571427</v>
      </c>
    </row>
    <row r="1022" spans="1:8" ht="13.5" thickBot="1" x14ac:dyDescent="0.25">
      <c r="A1022" s="34"/>
      <c r="B1022" s="35">
        <f>COUNTA(B1021)</f>
        <v>1</v>
      </c>
      <c r="C1022" s="36" t="s">
        <v>20</v>
      </c>
      <c r="D1022" s="3">
        <f>SUM(D1021)</f>
        <v>40</v>
      </c>
      <c r="E1022" s="3">
        <f>SUM(E1021)</f>
        <v>8</v>
      </c>
      <c r="F1022" s="3">
        <f>SUM(F1021)</f>
        <v>176</v>
      </c>
      <c r="G1022" s="3">
        <f>SUM(D1022:F1022)</f>
        <v>224</v>
      </c>
      <c r="H1022" s="37">
        <f>+(D1022+E1022)/G1022</f>
        <v>0.21428571428571427</v>
      </c>
    </row>
    <row r="1023" spans="1:8" x14ac:dyDescent="0.2">
      <c r="A1023" s="38"/>
      <c r="B1023" s="39"/>
      <c r="C1023" s="40"/>
      <c r="D1023" s="5"/>
      <c r="E1023" s="42"/>
      <c r="F1023" s="41"/>
      <c r="G1023" s="42"/>
      <c r="H1023" s="43"/>
    </row>
    <row r="1024" spans="1:8" x14ac:dyDescent="0.2">
      <c r="A1024" s="38"/>
      <c r="B1024" s="39"/>
      <c r="C1024" s="45" t="s">
        <v>261</v>
      </c>
      <c r="D1024" s="5"/>
      <c r="E1024" s="42"/>
      <c r="F1024" s="41"/>
      <c r="G1024" s="42"/>
      <c r="H1024" s="43"/>
    </row>
    <row r="1025" spans="1:8" ht="13.5" thickBot="1" x14ac:dyDescent="0.25">
      <c r="A1025" s="57" t="s">
        <v>260</v>
      </c>
      <c r="B1025" s="48">
        <v>100</v>
      </c>
      <c r="C1025" s="72" t="s">
        <v>261</v>
      </c>
      <c r="D1025" s="46">
        <v>358</v>
      </c>
      <c r="E1025" s="2">
        <v>158</v>
      </c>
      <c r="F1025" s="2">
        <f>1008-(D1025+E1025)</f>
        <v>492</v>
      </c>
      <c r="G1025" s="2">
        <f>SUM(D1025:F1025)</f>
        <v>1008</v>
      </c>
      <c r="H1025" s="49">
        <f>+(D1025+E1025)/G1025</f>
        <v>0.51190476190476186</v>
      </c>
    </row>
    <row r="1026" spans="1:8" ht="13.5" thickBot="1" x14ac:dyDescent="0.25">
      <c r="A1026" s="34"/>
      <c r="B1026" s="35">
        <f>COUNTA(B1025)</f>
        <v>1</v>
      </c>
      <c r="C1026" s="36" t="s">
        <v>20</v>
      </c>
      <c r="D1026" s="3">
        <f>SUM(D1025)</f>
        <v>358</v>
      </c>
      <c r="E1026" s="3">
        <f>SUM(E1025)</f>
        <v>158</v>
      </c>
      <c r="F1026" s="3">
        <f>SUM(F1025)</f>
        <v>492</v>
      </c>
      <c r="G1026" s="3">
        <f>SUM(D1026:F1026)</f>
        <v>1008</v>
      </c>
      <c r="H1026" s="37">
        <f>+(D1026+E1026)/G1026</f>
        <v>0.51190476190476186</v>
      </c>
    </row>
    <row r="1027" spans="1:8" x14ac:dyDescent="0.2">
      <c r="A1027" s="38"/>
      <c r="B1027" s="39"/>
      <c r="C1027" s="40"/>
      <c r="D1027" s="5"/>
      <c r="E1027" s="42"/>
      <c r="F1027" s="41"/>
      <c r="G1027" s="42"/>
      <c r="H1027" s="43"/>
    </row>
    <row r="1028" spans="1:8" x14ac:dyDescent="0.2">
      <c r="A1028" s="38"/>
      <c r="B1028" s="39"/>
      <c r="C1028" s="45" t="s">
        <v>966</v>
      </c>
      <c r="D1028" s="5"/>
      <c r="E1028" s="42"/>
      <c r="F1028" s="41"/>
      <c r="G1028" s="42"/>
      <c r="H1028" s="43"/>
    </row>
    <row r="1029" spans="1:8" ht="13.5" thickBot="1" x14ac:dyDescent="0.25">
      <c r="A1029" s="68" t="s">
        <v>964</v>
      </c>
      <c r="B1029" s="83">
        <v>100</v>
      </c>
      <c r="C1029" s="69" t="s">
        <v>965</v>
      </c>
      <c r="D1029" s="46">
        <v>91</v>
      </c>
      <c r="E1029" s="2">
        <v>36</v>
      </c>
      <c r="F1029" s="2">
        <f>486-(D1029+E1029)</f>
        <v>359</v>
      </c>
      <c r="G1029" s="2">
        <f>SUM(D1029:F1029)</f>
        <v>486</v>
      </c>
      <c r="H1029" s="58">
        <f>+(D1029+E1029)/G1029</f>
        <v>0.26131687242798352</v>
      </c>
    </row>
    <row r="1030" spans="1:8" ht="13.5" thickBot="1" x14ac:dyDescent="0.25">
      <c r="A1030" s="34"/>
      <c r="B1030" s="35">
        <f>COUNTA(B1029:B1029)</f>
        <v>1</v>
      </c>
      <c r="C1030" s="36" t="s">
        <v>20</v>
      </c>
      <c r="D1030" s="3">
        <f>SUM(D1029:D1029)</f>
        <v>91</v>
      </c>
      <c r="E1030" s="3">
        <f>SUM(E1029:E1029)</f>
        <v>36</v>
      </c>
      <c r="F1030" s="3">
        <f>SUM(F1029:F1029)</f>
        <v>359</v>
      </c>
      <c r="G1030" s="3">
        <f>SUM(D1030:F1030)</f>
        <v>486</v>
      </c>
      <c r="H1030" s="37">
        <f>+(D1030+E1030)/G1030</f>
        <v>0.26131687242798352</v>
      </c>
    </row>
    <row r="1031" spans="1:8" x14ac:dyDescent="0.2">
      <c r="A1031" s="38"/>
      <c r="B1031" s="39"/>
      <c r="C1031" s="40"/>
      <c r="D1031" s="5"/>
      <c r="E1031" s="42"/>
      <c r="F1031" s="41"/>
      <c r="G1031" s="42"/>
      <c r="H1031" s="43"/>
    </row>
    <row r="1032" spans="1:8" x14ac:dyDescent="0.2">
      <c r="A1032" s="38"/>
      <c r="B1032" s="39"/>
      <c r="C1032" s="45" t="s">
        <v>947</v>
      </c>
      <c r="D1032" s="5"/>
      <c r="E1032" s="42"/>
      <c r="F1032" s="41"/>
      <c r="G1032" s="42"/>
      <c r="H1032" s="43"/>
    </row>
    <row r="1033" spans="1:8" ht="13.5" thickBot="1" x14ac:dyDescent="0.25">
      <c r="A1033" s="64" t="s">
        <v>946</v>
      </c>
      <c r="B1033" s="48">
        <v>100</v>
      </c>
      <c r="C1033" s="65" t="s">
        <v>947</v>
      </c>
      <c r="D1033" s="46">
        <v>127</v>
      </c>
      <c r="E1033" s="2">
        <v>30</v>
      </c>
      <c r="F1033" s="2">
        <f>457-(D1033+E1033)</f>
        <v>300</v>
      </c>
      <c r="G1033" s="2">
        <f>SUM(D1033:F1033)</f>
        <v>457</v>
      </c>
      <c r="H1033" s="49">
        <f>+(D1033+E1033)/G1033</f>
        <v>0.34354485776805249</v>
      </c>
    </row>
    <row r="1034" spans="1:8" ht="13.5" thickBot="1" x14ac:dyDescent="0.25">
      <c r="A1034" s="34"/>
      <c r="B1034" s="35">
        <f>COUNTA(B1033)</f>
        <v>1</v>
      </c>
      <c r="C1034" s="36" t="s">
        <v>20</v>
      </c>
      <c r="D1034" s="3">
        <f>SUM(D1033)</f>
        <v>127</v>
      </c>
      <c r="E1034" s="3">
        <f>SUM(E1033)</f>
        <v>30</v>
      </c>
      <c r="F1034" s="3">
        <f>SUM(F1033)</f>
        <v>300</v>
      </c>
      <c r="G1034" s="3">
        <f>SUM(D1034:F1034)</f>
        <v>457</v>
      </c>
      <c r="H1034" s="37">
        <f>+(D1034+E1034)/G1034</f>
        <v>0.34354485776805249</v>
      </c>
    </row>
    <row r="1035" spans="1:8" x14ac:dyDescent="0.2">
      <c r="A1035" s="38"/>
      <c r="B1035" s="39"/>
      <c r="C1035" s="40"/>
      <c r="D1035" s="5"/>
      <c r="E1035" s="42"/>
      <c r="F1035" s="41"/>
      <c r="G1035" s="42"/>
      <c r="H1035" s="43"/>
    </row>
    <row r="1036" spans="1:8" x14ac:dyDescent="0.2">
      <c r="A1036" s="38"/>
      <c r="B1036" s="39"/>
      <c r="C1036" s="45" t="s">
        <v>922</v>
      </c>
      <c r="D1036" s="5"/>
      <c r="E1036" s="42"/>
      <c r="F1036" s="41"/>
      <c r="G1036" s="42"/>
      <c r="H1036" s="43"/>
    </row>
    <row r="1037" spans="1:8" ht="13.5" thickBot="1" x14ac:dyDescent="0.25">
      <c r="A1037" s="64" t="s">
        <v>921</v>
      </c>
      <c r="B1037" s="48">
        <v>100</v>
      </c>
      <c r="C1037" s="65" t="s">
        <v>922</v>
      </c>
      <c r="D1037" s="46">
        <v>142</v>
      </c>
      <c r="E1037" s="2">
        <v>77</v>
      </c>
      <c r="F1037" s="2">
        <f>596-(D1037+E1037)</f>
        <v>377</v>
      </c>
      <c r="G1037" s="2">
        <f>SUM(D1037:F1037)</f>
        <v>596</v>
      </c>
      <c r="H1037" s="49">
        <f>+(D1037+E1037)/G1037</f>
        <v>0.3674496644295302</v>
      </c>
    </row>
    <row r="1038" spans="1:8" ht="13.5" thickBot="1" x14ac:dyDescent="0.25">
      <c r="A1038" s="34"/>
      <c r="B1038" s="35">
        <f>COUNTA(B1037)</f>
        <v>1</v>
      </c>
      <c r="C1038" s="36" t="s">
        <v>20</v>
      </c>
      <c r="D1038" s="3">
        <f>SUM(D1037)</f>
        <v>142</v>
      </c>
      <c r="E1038" s="3">
        <f>SUM(E1037)</f>
        <v>77</v>
      </c>
      <c r="F1038" s="3">
        <f>SUM(F1037)</f>
        <v>377</v>
      </c>
      <c r="G1038" s="3">
        <f>SUM(D1038:F1038)</f>
        <v>596</v>
      </c>
      <c r="H1038" s="37">
        <f>+(D1038+E1038)/G1038</f>
        <v>0.3674496644295302</v>
      </c>
    </row>
    <row r="1039" spans="1:8" x14ac:dyDescent="0.2">
      <c r="A1039" s="38"/>
      <c r="B1039" s="39"/>
      <c r="C1039" s="40"/>
      <c r="D1039" s="5"/>
      <c r="E1039" s="42"/>
      <c r="F1039" s="41"/>
      <c r="G1039" s="42"/>
      <c r="H1039" s="43"/>
    </row>
    <row r="1040" spans="1:8" x14ac:dyDescent="0.2">
      <c r="A1040" s="38"/>
      <c r="B1040" s="39"/>
      <c r="C1040" s="45" t="s">
        <v>1028</v>
      </c>
      <c r="D1040" s="5"/>
      <c r="E1040" s="42"/>
      <c r="F1040" s="41"/>
      <c r="G1040" s="42"/>
      <c r="H1040" s="43"/>
    </row>
    <row r="1041" spans="1:8" ht="13.5" thickBot="1" x14ac:dyDescent="0.25">
      <c r="A1041" s="64" t="s">
        <v>1027</v>
      </c>
      <c r="B1041" s="48">
        <v>100</v>
      </c>
      <c r="C1041" s="65" t="s">
        <v>1028</v>
      </c>
      <c r="D1041" s="46">
        <v>175</v>
      </c>
      <c r="E1041" s="2">
        <v>55</v>
      </c>
      <c r="F1041" s="2">
        <f>574-(D1041+E1041)</f>
        <v>344</v>
      </c>
      <c r="G1041" s="2">
        <f>SUM(D1041:F1041)</f>
        <v>574</v>
      </c>
      <c r="H1041" s="49">
        <f>+(D1041+E1041)/G1041</f>
        <v>0.40069686411149824</v>
      </c>
    </row>
    <row r="1042" spans="1:8" ht="13.5" thickBot="1" x14ac:dyDescent="0.25">
      <c r="A1042" s="34"/>
      <c r="B1042" s="35">
        <f>COUNTA(B1041)</f>
        <v>1</v>
      </c>
      <c r="C1042" s="36" t="s">
        <v>20</v>
      </c>
      <c r="D1042" s="3">
        <f>SUM(D1041)</f>
        <v>175</v>
      </c>
      <c r="E1042" s="3">
        <f>SUM(E1041)</f>
        <v>55</v>
      </c>
      <c r="F1042" s="3">
        <f>SUM(F1041)</f>
        <v>344</v>
      </c>
      <c r="G1042" s="3">
        <f>SUM(D1042:F1042)</f>
        <v>574</v>
      </c>
      <c r="H1042" s="37">
        <f>+(D1042+E1042)/G1042</f>
        <v>0.40069686411149824</v>
      </c>
    </row>
    <row r="1043" spans="1:8" x14ac:dyDescent="0.2">
      <c r="A1043" s="38"/>
      <c r="B1043" s="39"/>
      <c r="C1043" s="40"/>
      <c r="D1043" s="5"/>
      <c r="E1043" s="42"/>
      <c r="F1043" s="41"/>
      <c r="G1043" s="42"/>
      <c r="H1043" s="43"/>
    </row>
    <row r="1044" spans="1:8" x14ac:dyDescent="0.2">
      <c r="A1044" s="38"/>
      <c r="B1044" s="39"/>
      <c r="C1044" s="45" t="s">
        <v>245</v>
      </c>
      <c r="D1044" s="5"/>
      <c r="E1044" s="42"/>
      <c r="F1044" s="41"/>
      <c r="G1044" s="42"/>
      <c r="H1044" s="43"/>
    </row>
    <row r="1045" spans="1:8" ht="13.5" thickBot="1" x14ac:dyDescent="0.25">
      <c r="A1045" s="57" t="s">
        <v>246</v>
      </c>
      <c r="B1045" s="137" t="s">
        <v>920</v>
      </c>
      <c r="C1045" s="72" t="s">
        <v>245</v>
      </c>
      <c r="D1045" s="46">
        <v>51</v>
      </c>
      <c r="E1045" s="2">
        <v>22</v>
      </c>
      <c r="F1045" s="2">
        <f>374-(D1045+E1045)</f>
        <v>301</v>
      </c>
      <c r="G1045" s="2">
        <f>SUM(D1045:F1045)</f>
        <v>374</v>
      </c>
      <c r="H1045" s="49">
        <f>+(D1045+E1045)/G1045</f>
        <v>0.19518716577540107</v>
      </c>
    </row>
    <row r="1046" spans="1:8" ht="13.5" thickBot="1" x14ac:dyDescent="0.25">
      <c r="A1046" s="34"/>
      <c r="B1046" s="35">
        <f>COUNTA(B1045)</f>
        <v>1</v>
      </c>
      <c r="C1046" s="36" t="s">
        <v>20</v>
      </c>
      <c r="D1046" s="3">
        <f>SUM(D1045)</f>
        <v>51</v>
      </c>
      <c r="E1046" s="3">
        <f>SUM(E1045)</f>
        <v>22</v>
      </c>
      <c r="F1046" s="3">
        <f>SUM(F1045)</f>
        <v>301</v>
      </c>
      <c r="G1046" s="3">
        <f>SUM(D1046:F1046)</f>
        <v>374</v>
      </c>
      <c r="H1046" s="37">
        <f>+(D1046+E1046)/G1046</f>
        <v>0.19518716577540107</v>
      </c>
    </row>
    <row r="1047" spans="1:8" x14ac:dyDescent="0.2">
      <c r="A1047" s="38"/>
      <c r="B1047" s="39"/>
      <c r="C1047" s="40"/>
      <c r="D1047" s="5"/>
      <c r="E1047" s="42"/>
      <c r="F1047" s="41"/>
      <c r="G1047" s="42"/>
      <c r="H1047" s="43"/>
    </row>
    <row r="1048" spans="1:8" x14ac:dyDescent="0.2">
      <c r="A1048" s="38"/>
      <c r="B1048" s="39"/>
      <c r="C1048" s="45" t="s">
        <v>271</v>
      </c>
      <c r="D1048" s="5"/>
      <c r="E1048" s="42"/>
      <c r="F1048" s="41"/>
      <c r="G1048" s="42"/>
      <c r="H1048" s="43"/>
    </row>
    <row r="1049" spans="1:8" ht="13.5" thickBot="1" x14ac:dyDescent="0.25">
      <c r="A1049" s="57" t="s">
        <v>270</v>
      </c>
      <c r="B1049" s="48">
        <v>100</v>
      </c>
      <c r="C1049" s="126" t="s">
        <v>271</v>
      </c>
      <c r="D1049" s="46">
        <v>96</v>
      </c>
      <c r="E1049" s="2">
        <v>71</v>
      </c>
      <c r="F1049" s="2">
        <f>833-(D1049+E1049)</f>
        <v>666</v>
      </c>
      <c r="G1049" s="2">
        <f>SUM(D1049:F1049)</f>
        <v>833</v>
      </c>
      <c r="H1049" s="49">
        <f>+(D1049+E1049)/G1049</f>
        <v>0.20048019207683074</v>
      </c>
    </row>
    <row r="1050" spans="1:8" ht="13.5" thickBot="1" x14ac:dyDescent="0.25">
      <c r="A1050" s="34"/>
      <c r="B1050" s="35">
        <f>COUNTA(B1049)</f>
        <v>1</v>
      </c>
      <c r="C1050" s="36" t="s">
        <v>20</v>
      </c>
      <c r="D1050" s="3">
        <f>SUM(D1049)</f>
        <v>96</v>
      </c>
      <c r="E1050" s="3">
        <f>SUM(E1049)</f>
        <v>71</v>
      </c>
      <c r="F1050" s="3">
        <f>SUM(F1049)</f>
        <v>666</v>
      </c>
      <c r="G1050" s="3">
        <f>SUM(D1050:F1050)</f>
        <v>833</v>
      </c>
      <c r="H1050" s="37">
        <f>+(D1050+E1050)/G1050</f>
        <v>0.20048019207683074</v>
      </c>
    </row>
    <row r="1051" spans="1:8" x14ac:dyDescent="0.2">
      <c r="A1051" s="38"/>
      <c r="B1051" s="39"/>
      <c r="C1051" s="40"/>
      <c r="D1051" s="5"/>
      <c r="E1051" s="42"/>
      <c r="F1051" s="41"/>
      <c r="G1051" s="42"/>
      <c r="H1051" s="43"/>
    </row>
    <row r="1052" spans="1:8" x14ac:dyDescent="0.2">
      <c r="A1052" s="38"/>
      <c r="B1052" s="39"/>
      <c r="C1052" s="45" t="s">
        <v>923</v>
      </c>
      <c r="D1052" s="5"/>
      <c r="E1052" s="42"/>
      <c r="F1052" s="41"/>
      <c r="G1052" s="42"/>
      <c r="H1052" s="43"/>
    </row>
    <row r="1053" spans="1:8" ht="13.5" thickBot="1" x14ac:dyDescent="0.25">
      <c r="A1053" s="57" t="s">
        <v>262</v>
      </c>
      <c r="B1053" s="108" t="s">
        <v>924</v>
      </c>
      <c r="C1053" s="65" t="s">
        <v>923</v>
      </c>
      <c r="D1053" s="46">
        <v>143</v>
      </c>
      <c r="E1053" s="2">
        <v>82</v>
      </c>
      <c r="F1053" s="2">
        <f>1019-(D1053+E1053)</f>
        <v>794</v>
      </c>
      <c r="G1053" s="2">
        <f>SUM(D1053:F1053)</f>
        <v>1019</v>
      </c>
      <c r="H1053" s="49">
        <f>+(D1053+E1053)/G1053</f>
        <v>0.22080471050049066</v>
      </c>
    </row>
    <row r="1054" spans="1:8" ht="13.5" thickBot="1" x14ac:dyDescent="0.25">
      <c r="A1054" s="34"/>
      <c r="B1054" s="35">
        <f>COUNTA(B1053)</f>
        <v>1</v>
      </c>
      <c r="C1054" s="36" t="s">
        <v>20</v>
      </c>
      <c r="D1054" s="3">
        <f>SUM(D1053)</f>
        <v>143</v>
      </c>
      <c r="E1054" s="3">
        <f>SUM(E1053)</f>
        <v>82</v>
      </c>
      <c r="F1054" s="3">
        <f>SUM(F1053)</f>
        <v>794</v>
      </c>
      <c r="G1054" s="3">
        <f>SUM(D1054:F1054)</f>
        <v>1019</v>
      </c>
      <c r="H1054" s="37">
        <f>+(D1054+E1054)/G1054</f>
        <v>0.22080471050049066</v>
      </c>
    </row>
    <row r="1055" spans="1:8" x14ac:dyDescent="0.2">
      <c r="A1055" s="38"/>
      <c r="B1055" s="39"/>
      <c r="C1055" s="40"/>
      <c r="D1055" s="5"/>
      <c r="E1055" s="42"/>
      <c r="F1055" s="41"/>
      <c r="G1055" s="42"/>
      <c r="H1055" s="43"/>
    </row>
    <row r="1056" spans="1:8" x14ac:dyDescent="0.2">
      <c r="A1056" s="38"/>
      <c r="B1056" s="39"/>
      <c r="C1056" s="45" t="s">
        <v>277</v>
      </c>
      <c r="D1056" s="5"/>
      <c r="E1056" s="42"/>
      <c r="F1056" s="41"/>
      <c r="G1056" s="42"/>
      <c r="H1056" s="43"/>
    </row>
    <row r="1057" spans="1:8" ht="13.5" thickBot="1" x14ac:dyDescent="0.25">
      <c r="A1057" s="57" t="s">
        <v>276</v>
      </c>
      <c r="B1057" s="48">
        <v>100</v>
      </c>
      <c r="C1057" s="72" t="s">
        <v>277</v>
      </c>
      <c r="D1057" s="46">
        <v>310</v>
      </c>
      <c r="E1057" s="2">
        <v>37</v>
      </c>
      <c r="F1057" s="2">
        <f>428-(D1057+E1057)</f>
        <v>81</v>
      </c>
      <c r="G1057" s="2">
        <f>SUM(D1057:F1057)</f>
        <v>428</v>
      </c>
      <c r="H1057" s="49">
        <f>+(D1057+E1057)/G1057</f>
        <v>0.81074766355140182</v>
      </c>
    </row>
    <row r="1058" spans="1:8" ht="13.5" thickBot="1" x14ac:dyDescent="0.25">
      <c r="A1058" s="34"/>
      <c r="B1058" s="35">
        <f>COUNTA(B1057)</f>
        <v>1</v>
      </c>
      <c r="C1058" s="36" t="s">
        <v>20</v>
      </c>
      <c r="D1058" s="3">
        <f>SUM(D1057)</f>
        <v>310</v>
      </c>
      <c r="E1058" s="3">
        <f>SUM(E1057)</f>
        <v>37</v>
      </c>
      <c r="F1058" s="3">
        <f>SUM(F1057)</f>
        <v>81</v>
      </c>
      <c r="G1058" s="3">
        <f>SUM(D1058:F1058)</f>
        <v>428</v>
      </c>
      <c r="H1058" s="37">
        <f>+(D1058+E1058)/G1058</f>
        <v>0.81074766355140182</v>
      </c>
    </row>
    <row r="1059" spans="1:8" x14ac:dyDescent="0.2">
      <c r="A1059" s="38"/>
      <c r="B1059" s="39"/>
      <c r="C1059" s="40"/>
      <c r="D1059" s="5"/>
      <c r="E1059" s="42"/>
      <c r="F1059" s="41"/>
      <c r="G1059" s="42"/>
      <c r="H1059" s="43"/>
    </row>
    <row r="1060" spans="1:8" x14ac:dyDescent="0.2">
      <c r="A1060" s="38"/>
      <c r="B1060" s="39"/>
      <c r="C1060" s="45" t="s">
        <v>1026</v>
      </c>
      <c r="D1060" s="5"/>
      <c r="E1060" s="42"/>
      <c r="F1060" s="41"/>
      <c r="G1060" s="42"/>
      <c r="H1060" s="43"/>
    </row>
    <row r="1061" spans="1:8" ht="13.5" thickBot="1" x14ac:dyDescent="0.25">
      <c r="A1061" s="64" t="s">
        <v>1025</v>
      </c>
      <c r="B1061" s="48">
        <v>100</v>
      </c>
      <c r="C1061" s="65" t="s">
        <v>1026</v>
      </c>
      <c r="D1061" s="46">
        <v>102</v>
      </c>
      <c r="E1061" s="2">
        <v>26</v>
      </c>
      <c r="F1061" s="2">
        <f>248-(D1061+E1061)</f>
        <v>120</v>
      </c>
      <c r="G1061" s="2">
        <f>SUM(D1061:F1061)</f>
        <v>248</v>
      </c>
      <c r="H1061" s="49">
        <f>+(D1061+E1061)/G1061</f>
        <v>0.5161290322580645</v>
      </c>
    </row>
    <row r="1062" spans="1:8" ht="13.5" thickBot="1" x14ac:dyDescent="0.25">
      <c r="A1062" s="34"/>
      <c r="B1062" s="35">
        <f>COUNTA(B1061)</f>
        <v>1</v>
      </c>
      <c r="C1062" s="36" t="s">
        <v>20</v>
      </c>
      <c r="D1062" s="3">
        <f>SUM(D1061)</f>
        <v>102</v>
      </c>
      <c r="E1062" s="3">
        <f>SUM(E1061)</f>
        <v>26</v>
      </c>
      <c r="F1062" s="3">
        <f>SUM(F1061)</f>
        <v>120</v>
      </c>
      <c r="G1062" s="3">
        <f>SUM(D1062:F1062)</f>
        <v>248</v>
      </c>
      <c r="H1062" s="37">
        <f>+(D1062+E1062)/G1062</f>
        <v>0.5161290322580645</v>
      </c>
    </row>
    <row r="1063" spans="1:8" x14ac:dyDescent="0.2">
      <c r="A1063" s="38"/>
      <c r="B1063" s="39"/>
      <c r="C1063" s="40"/>
      <c r="D1063" s="5"/>
      <c r="E1063" s="42"/>
      <c r="F1063" s="41"/>
      <c r="G1063" s="42"/>
      <c r="H1063" s="43"/>
    </row>
    <row r="1064" spans="1:8" x14ac:dyDescent="0.2">
      <c r="A1064" s="38"/>
      <c r="B1064" s="39"/>
      <c r="C1064" s="45" t="s">
        <v>258</v>
      </c>
      <c r="D1064" s="5"/>
      <c r="E1064" s="42"/>
      <c r="F1064" s="41"/>
      <c r="G1064" s="42"/>
      <c r="H1064" s="43"/>
    </row>
    <row r="1065" spans="1:8" ht="13.5" thickBot="1" x14ac:dyDescent="0.25">
      <c r="A1065" s="57" t="s">
        <v>257</v>
      </c>
      <c r="B1065" s="48">
        <v>100</v>
      </c>
      <c r="C1065" s="72" t="s">
        <v>258</v>
      </c>
      <c r="D1065" s="46">
        <v>49</v>
      </c>
      <c r="E1065" s="2">
        <v>26</v>
      </c>
      <c r="F1065" s="2">
        <f>509-(D1065+E1065)</f>
        <v>434</v>
      </c>
      <c r="G1065" s="2">
        <f>SUM(D1065:F1065)</f>
        <v>509</v>
      </c>
      <c r="H1065" s="49">
        <f>+(D1065+E1065)/G1065</f>
        <v>0.14734774066797643</v>
      </c>
    </row>
    <row r="1066" spans="1:8" ht="13.5" thickBot="1" x14ac:dyDescent="0.25">
      <c r="A1066" s="34"/>
      <c r="B1066" s="35">
        <f>COUNTA(B1065)</f>
        <v>1</v>
      </c>
      <c r="C1066" s="36" t="s">
        <v>20</v>
      </c>
      <c r="D1066" s="3">
        <f>SUM(D1065)</f>
        <v>49</v>
      </c>
      <c r="E1066" s="3">
        <f>SUM(E1065)</f>
        <v>26</v>
      </c>
      <c r="F1066" s="3">
        <f>SUM(F1065)</f>
        <v>434</v>
      </c>
      <c r="G1066" s="3">
        <f>SUM(D1066:F1066)</f>
        <v>509</v>
      </c>
      <c r="H1066" s="37">
        <f>+(D1066+E1066)/G1066</f>
        <v>0.14734774066797643</v>
      </c>
    </row>
    <row r="1067" spans="1:8" x14ac:dyDescent="0.2">
      <c r="A1067" s="38"/>
      <c r="B1067" s="39"/>
      <c r="C1067" s="40"/>
      <c r="D1067" s="5"/>
      <c r="E1067" s="42"/>
      <c r="F1067" s="41"/>
      <c r="G1067" s="42"/>
      <c r="H1067" s="43"/>
    </row>
    <row r="1068" spans="1:8" x14ac:dyDescent="0.2">
      <c r="A1068" s="38"/>
      <c r="B1068" s="39"/>
      <c r="C1068" s="45" t="s">
        <v>995</v>
      </c>
      <c r="D1068" s="5"/>
      <c r="E1068" s="42"/>
      <c r="F1068" s="41"/>
      <c r="G1068" s="42"/>
      <c r="H1068" s="43"/>
    </row>
    <row r="1069" spans="1:8" ht="13.5" thickBot="1" x14ac:dyDescent="0.25">
      <c r="A1069" s="68" t="s">
        <v>996</v>
      </c>
      <c r="B1069" s="83">
        <v>100</v>
      </c>
      <c r="C1069" s="69" t="s">
        <v>997</v>
      </c>
      <c r="D1069" s="46">
        <v>62</v>
      </c>
      <c r="E1069" s="2">
        <v>32</v>
      </c>
      <c r="F1069" s="2">
        <f>1106-(D1069+E1069)</f>
        <v>1012</v>
      </c>
      <c r="G1069" s="2">
        <f>SUM(D1069:F1069)</f>
        <v>1106</v>
      </c>
      <c r="H1069" s="58">
        <f>+(D1069+E1069)/G1069</f>
        <v>8.4990958408679929E-2</v>
      </c>
    </row>
    <row r="1070" spans="1:8" ht="13.5" thickBot="1" x14ac:dyDescent="0.25">
      <c r="A1070" s="34"/>
      <c r="B1070" s="35">
        <f>COUNTA(B1069:B1069)</f>
        <v>1</v>
      </c>
      <c r="C1070" s="36" t="s">
        <v>20</v>
      </c>
      <c r="D1070" s="3">
        <f>SUM(D1069:D1069)</f>
        <v>62</v>
      </c>
      <c r="E1070" s="3">
        <f>SUM(E1069:E1069)</f>
        <v>32</v>
      </c>
      <c r="F1070" s="3">
        <f>SUM(F1069:F1069)</f>
        <v>1012</v>
      </c>
      <c r="G1070" s="3">
        <f>SUM(D1070:F1070)</f>
        <v>1106</v>
      </c>
      <c r="H1070" s="37">
        <f>+(D1070+E1070)/G1070</f>
        <v>8.4990958408679929E-2</v>
      </c>
    </row>
    <row r="1071" spans="1:8" x14ac:dyDescent="0.2">
      <c r="A1071" s="38"/>
      <c r="B1071" s="39"/>
      <c r="C1071" s="40"/>
      <c r="D1071" s="5"/>
      <c r="E1071" s="42"/>
      <c r="F1071" s="41"/>
      <c r="G1071" s="42"/>
      <c r="H1071" s="43"/>
    </row>
    <row r="1072" spans="1:8" x14ac:dyDescent="0.2">
      <c r="A1072" s="38"/>
      <c r="B1072" s="39"/>
      <c r="C1072" s="45" t="s">
        <v>197</v>
      </c>
      <c r="D1072" s="5"/>
      <c r="E1072" s="42"/>
      <c r="F1072" s="41"/>
      <c r="G1072" s="42"/>
      <c r="H1072" s="43"/>
    </row>
    <row r="1073" spans="1:8" ht="13.5" thickBot="1" x14ac:dyDescent="0.25">
      <c r="A1073" s="64" t="s">
        <v>911</v>
      </c>
      <c r="B1073" s="48">
        <v>108</v>
      </c>
      <c r="C1073" s="72" t="s">
        <v>197</v>
      </c>
      <c r="D1073" s="46">
        <v>66</v>
      </c>
      <c r="E1073" s="2">
        <v>23</v>
      </c>
      <c r="F1073" s="2">
        <f>303-(D1073+E1073)</f>
        <v>214</v>
      </c>
      <c r="G1073" s="2">
        <f>SUM(D1073:F1073)</f>
        <v>303</v>
      </c>
      <c r="H1073" s="49">
        <f>+(D1073+E1073)/G1073</f>
        <v>0.29372937293729373</v>
      </c>
    </row>
    <row r="1074" spans="1:8" ht="13.5" thickBot="1" x14ac:dyDescent="0.25">
      <c r="A1074" s="34"/>
      <c r="B1074" s="35">
        <f>COUNTA(B1073)</f>
        <v>1</v>
      </c>
      <c r="C1074" s="36" t="s">
        <v>20</v>
      </c>
      <c r="D1074" s="3">
        <f>SUM(D1073)</f>
        <v>66</v>
      </c>
      <c r="E1074" s="3">
        <f>SUM(E1073)</f>
        <v>23</v>
      </c>
      <c r="F1074" s="3">
        <f>SUM(F1073)</f>
        <v>214</v>
      </c>
      <c r="G1074" s="3">
        <f>SUM(D1074:F1074)</f>
        <v>303</v>
      </c>
      <c r="H1074" s="37">
        <f>+(D1074+E1074)/G1074</f>
        <v>0.29372937293729373</v>
      </c>
    </row>
    <row r="1075" spans="1:8" x14ac:dyDescent="0.2">
      <c r="A1075" s="38"/>
      <c r="B1075" s="39"/>
      <c r="C1075" s="40"/>
      <c r="D1075" s="5"/>
      <c r="E1075" s="42"/>
      <c r="F1075" s="41"/>
      <c r="G1075" s="42"/>
      <c r="H1075" s="43"/>
    </row>
    <row r="1076" spans="1:8" x14ac:dyDescent="0.2">
      <c r="A1076" s="38"/>
      <c r="B1076" s="39"/>
      <c r="C1076" s="45" t="s">
        <v>963</v>
      </c>
      <c r="D1076" s="5"/>
      <c r="E1076" s="42"/>
      <c r="F1076" s="41"/>
      <c r="G1076" s="42"/>
      <c r="H1076" s="43"/>
    </row>
    <row r="1077" spans="1:8" ht="13.5" thickBot="1" x14ac:dyDescent="0.25">
      <c r="A1077" s="64" t="s">
        <v>961</v>
      </c>
      <c r="B1077" s="48">
        <v>100</v>
      </c>
      <c r="C1077" s="65" t="s">
        <v>962</v>
      </c>
      <c r="D1077" s="46">
        <v>91</v>
      </c>
      <c r="E1077" s="2">
        <v>43</v>
      </c>
      <c r="F1077" s="2">
        <f>288-(D1077+E1077)</f>
        <v>154</v>
      </c>
      <c r="G1077" s="2">
        <f>SUM(D1077:F1077)</f>
        <v>288</v>
      </c>
      <c r="H1077" s="49">
        <f>+(D1077+E1077)/G1077</f>
        <v>0.46527777777777779</v>
      </c>
    </row>
    <row r="1078" spans="1:8" ht="13.5" thickBot="1" x14ac:dyDescent="0.25">
      <c r="A1078" s="34"/>
      <c r="B1078" s="35">
        <f>COUNTA(B1077)</f>
        <v>1</v>
      </c>
      <c r="C1078" s="36" t="s">
        <v>20</v>
      </c>
      <c r="D1078" s="3">
        <f>SUM(D1077)</f>
        <v>91</v>
      </c>
      <c r="E1078" s="3">
        <f>SUM(E1077)</f>
        <v>43</v>
      </c>
      <c r="F1078" s="3">
        <f>SUM(F1077)</f>
        <v>154</v>
      </c>
      <c r="G1078" s="3">
        <f>SUM(D1078:F1078)</f>
        <v>288</v>
      </c>
      <c r="H1078" s="37">
        <f>+(D1078+E1078)/G1078</f>
        <v>0.46527777777777779</v>
      </c>
    </row>
    <row r="1079" spans="1:8" x14ac:dyDescent="0.2">
      <c r="A1079" s="38"/>
      <c r="B1079" s="39"/>
      <c r="C1079" s="40"/>
      <c r="D1079" s="5"/>
      <c r="E1079" s="42"/>
      <c r="F1079" s="41"/>
      <c r="G1079" s="42"/>
      <c r="H1079" s="43"/>
    </row>
    <row r="1080" spans="1:8" x14ac:dyDescent="0.2">
      <c r="A1080" s="38"/>
      <c r="B1080" s="39"/>
      <c r="C1080" s="45" t="s">
        <v>1000</v>
      </c>
      <c r="D1080" s="5"/>
      <c r="E1080" s="42"/>
      <c r="F1080" s="41"/>
      <c r="G1080" s="42"/>
      <c r="H1080" s="43"/>
    </row>
    <row r="1081" spans="1:8" ht="13.5" thickBot="1" x14ac:dyDescent="0.25">
      <c r="A1081" s="64" t="s">
        <v>999</v>
      </c>
      <c r="B1081" s="48">
        <v>100</v>
      </c>
      <c r="C1081" s="65" t="s">
        <v>1000</v>
      </c>
      <c r="D1081" s="46">
        <v>120</v>
      </c>
      <c r="E1081" s="2">
        <v>32</v>
      </c>
      <c r="F1081" s="2">
        <f>424-(D1081+E1081)</f>
        <v>272</v>
      </c>
      <c r="G1081" s="2">
        <f>SUM(D1081:F1081)</f>
        <v>424</v>
      </c>
      <c r="H1081" s="49">
        <f>+(D1081+E1081)/G1081</f>
        <v>0.35849056603773582</v>
      </c>
    </row>
    <row r="1082" spans="1:8" ht="13.5" thickBot="1" x14ac:dyDescent="0.25">
      <c r="A1082" s="34"/>
      <c r="B1082" s="35">
        <f>COUNTA(B1081)</f>
        <v>1</v>
      </c>
      <c r="C1082" s="36" t="s">
        <v>20</v>
      </c>
      <c r="D1082" s="3">
        <f>SUM(D1081)</f>
        <v>120</v>
      </c>
      <c r="E1082" s="3">
        <f>SUM(E1081)</f>
        <v>32</v>
      </c>
      <c r="F1082" s="3">
        <f>SUM(F1081)</f>
        <v>272</v>
      </c>
      <c r="G1082" s="3">
        <f>SUM(D1082:F1082)</f>
        <v>424</v>
      </c>
      <c r="H1082" s="37">
        <f>+(D1082+E1082)/G1082</f>
        <v>0.35849056603773582</v>
      </c>
    </row>
    <row r="1083" spans="1:8" x14ac:dyDescent="0.2">
      <c r="A1083" s="38"/>
      <c r="B1083" s="39"/>
      <c r="C1083" s="40"/>
      <c r="D1083" s="5"/>
      <c r="E1083" s="42"/>
      <c r="F1083" s="41"/>
      <c r="G1083" s="42"/>
      <c r="H1083" s="43"/>
    </row>
    <row r="1084" spans="1:8" x14ac:dyDescent="0.2">
      <c r="A1084" s="38"/>
      <c r="B1084" s="39"/>
      <c r="C1084" s="45" t="s">
        <v>930</v>
      </c>
      <c r="D1084" s="5"/>
      <c r="E1084" s="42"/>
      <c r="F1084" s="41"/>
      <c r="G1084" s="42"/>
      <c r="H1084" s="43"/>
    </row>
    <row r="1085" spans="1:8" ht="13.5" thickBot="1" x14ac:dyDescent="0.25">
      <c r="A1085" s="64" t="s">
        <v>929</v>
      </c>
      <c r="B1085" s="48">
        <v>100</v>
      </c>
      <c r="C1085" s="65" t="s">
        <v>930</v>
      </c>
      <c r="D1085" s="46">
        <v>112</v>
      </c>
      <c r="E1085" s="2">
        <v>37</v>
      </c>
      <c r="F1085" s="2">
        <f>583-(D1085+E1085)</f>
        <v>434</v>
      </c>
      <c r="G1085" s="2">
        <f>SUM(D1085:F1085)</f>
        <v>583</v>
      </c>
      <c r="H1085" s="49">
        <f>+(D1085+E1085)/G1085</f>
        <v>0.25557461406518012</v>
      </c>
    </row>
    <row r="1086" spans="1:8" ht="13.5" thickBot="1" x14ac:dyDescent="0.25">
      <c r="A1086" s="34"/>
      <c r="B1086" s="35">
        <f>COUNTA(B1085)</f>
        <v>1</v>
      </c>
      <c r="C1086" s="36" t="s">
        <v>20</v>
      </c>
      <c r="D1086" s="3">
        <f>SUM(D1085)</f>
        <v>112</v>
      </c>
      <c r="E1086" s="3">
        <f>SUM(E1085)</f>
        <v>37</v>
      </c>
      <c r="F1086" s="3">
        <f>SUM(F1085)</f>
        <v>434</v>
      </c>
      <c r="G1086" s="3">
        <f>SUM(D1086:F1086)</f>
        <v>583</v>
      </c>
      <c r="H1086" s="37">
        <f>+(D1086+E1086)/G1086</f>
        <v>0.25557461406518012</v>
      </c>
    </row>
    <row r="1087" spans="1:8" x14ac:dyDescent="0.2">
      <c r="A1087" s="38"/>
      <c r="B1087" s="39"/>
      <c r="C1087" s="40"/>
      <c r="D1087" s="5"/>
      <c r="E1087" s="42"/>
      <c r="F1087" s="41"/>
      <c r="G1087" s="42"/>
      <c r="H1087" s="43"/>
    </row>
    <row r="1088" spans="1:8" x14ac:dyDescent="0.2">
      <c r="A1088" s="38"/>
      <c r="B1088" s="39"/>
      <c r="C1088" s="45" t="s">
        <v>983</v>
      </c>
      <c r="D1088" s="5"/>
      <c r="E1088" s="42"/>
      <c r="F1088" s="41"/>
      <c r="G1088" s="42"/>
      <c r="H1088" s="43"/>
    </row>
    <row r="1089" spans="1:8" ht="13.5" thickBot="1" x14ac:dyDescent="0.25">
      <c r="A1089" s="64" t="s">
        <v>1020</v>
      </c>
      <c r="B1089" s="48">
        <v>300</v>
      </c>
      <c r="C1089" s="65" t="s">
        <v>983</v>
      </c>
      <c r="D1089" s="46">
        <v>65</v>
      </c>
      <c r="E1089" s="2">
        <v>24</v>
      </c>
      <c r="F1089" s="2">
        <f>748-(D1089+E1089)</f>
        <v>659</v>
      </c>
      <c r="G1089" s="2">
        <f>SUM(D1089:F1089)</f>
        <v>748</v>
      </c>
      <c r="H1089" s="49">
        <f>+(D1089+E1089)/G1089</f>
        <v>0.11898395721925134</v>
      </c>
    </row>
    <row r="1090" spans="1:8" ht="13.5" thickBot="1" x14ac:dyDescent="0.25">
      <c r="A1090" s="34"/>
      <c r="B1090" s="35">
        <f>COUNTA(B1089)</f>
        <v>1</v>
      </c>
      <c r="C1090" s="36" t="s">
        <v>20</v>
      </c>
      <c r="D1090" s="3">
        <f>SUM(D1089)</f>
        <v>65</v>
      </c>
      <c r="E1090" s="3">
        <f>SUM(E1089)</f>
        <v>24</v>
      </c>
      <c r="F1090" s="3">
        <f>SUM(F1089)</f>
        <v>659</v>
      </c>
      <c r="G1090" s="3">
        <f>SUM(D1090:F1090)</f>
        <v>748</v>
      </c>
      <c r="H1090" s="37">
        <f>+(D1090+E1090)/G1090</f>
        <v>0.11898395721925134</v>
      </c>
    </row>
    <row r="1091" spans="1:8" x14ac:dyDescent="0.2">
      <c r="A1091" s="38"/>
      <c r="B1091" s="39"/>
      <c r="C1091" s="40"/>
      <c r="D1091" s="5"/>
      <c r="E1091" s="42"/>
      <c r="F1091" s="41"/>
      <c r="G1091" s="42"/>
      <c r="H1091" s="43"/>
    </row>
    <row r="1092" spans="1:8" x14ac:dyDescent="0.2">
      <c r="A1092" s="38"/>
      <c r="B1092" s="39"/>
      <c r="C1092" s="45" t="s">
        <v>1043</v>
      </c>
      <c r="D1092" s="5"/>
      <c r="E1092" s="42"/>
      <c r="F1092" s="41"/>
      <c r="G1092" s="42"/>
      <c r="H1092" s="43"/>
    </row>
    <row r="1093" spans="1:8" ht="13.5" thickBot="1" x14ac:dyDescent="0.25">
      <c r="A1093" s="64" t="s">
        <v>1042</v>
      </c>
      <c r="B1093" s="48">
        <v>100</v>
      </c>
      <c r="C1093" s="65" t="s">
        <v>1043</v>
      </c>
      <c r="D1093" s="46">
        <v>75</v>
      </c>
      <c r="E1093" s="2">
        <v>51</v>
      </c>
      <c r="F1093" s="2">
        <f>452-(D1093+E1093)</f>
        <v>326</v>
      </c>
      <c r="G1093" s="2">
        <f>SUM(D1093:F1093)</f>
        <v>452</v>
      </c>
      <c r="H1093" s="49">
        <f>+(D1093+E1093)/G1093</f>
        <v>0.27876106194690264</v>
      </c>
    </row>
    <row r="1094" spans="1:8" ht="13.5" thickBot="1" x14ac:dyDescent="0.25">
      <c r="A1094" s="34"/>
      <c r="B1094" s="35">
        <f>COUNTA(B1093)</f>
        <v>1</v>
      </c>
      <c r="C1094" s="36" t="s">
        <v>20</v>
      </c>
      <c r="D1094" s="3">
        <f>SUM(D1093)</f>
        <v>75</v>
      </c>
      <c r="E1094" s="3">
        <f>SUM(E1093)</f>
        <v>51</v>
      </c>
      <c r="F1094" s="3">
        <f>SUM(F1093)</f>
        <v>326</v>
      </c>
      <c r="G1094" s="3">
        <f>SUM(D1094:F1094)</f>
        <v>452</v>
      </c>
      <c r="H1094" s="37">
        <f>+(D1094+E1094)/G1094</f>
        <v>0.27876106194690264</v>
      </c>
    </row>
    <row r="1095" spans="1:8" x14ac:dyDescent="0.2">
      <c r="A1095" s="38"/>
      <c r="B1095" s="39"/>
      <c r="C1095" s="40"/>
      <c r="D1095" s="5"/>
      <c r="E1095" s="42"/>
      <c r="F1095" s="41"/>
      <c r="G1095" s="42"/>
      <c r="H1095" s="43"/>
    </row>
    <row r="1096" spans="1:8" x14ac:dyDescent="0.2">
      <c r="A1096" s="38"/>
      <c r="B1096" s="39"/>
      <c r="C1096" s="45" t="s">
        <v>247</v>
      </c>
      <c r="D1096" s="5"/>
      <c r="E1096" s="42"/>
      <c r="F1096" s="41"/>
      <c r="G1096" s="42"/>
      <c r="H1096" s="43"/>
    </row>
    <row r="1097" spans="1:8" ht="13.5" thickBot="1" x14ac:dyDescent="0.25">
      <c r="A1097" s="57" t="s">
        <v>248</v>
      </c>
      <c r="B1097" s="48">
        <v>100</v>
      </c>
      <c r="C1097" s="72" t="s">
        <v>247</v>
      </c>
      <c r="D1097" s="46">
        <v>160</v>
      </c>
      <c r="E1097" s="2">
        <v>101</v>
      </c>
      <c r="F1097" s="2">
        <f>675-(D1097+E1097)</f>
        <v>414</v>
      </c>
      <c r="G1097" s="2">
        <f>SUM(D1097:F1097)</f>
        <v>675</v>
      </c>
      <c r="H1097" s="49">
        <f>+(D1097+E1097)/G1097</f>
        <v>0.38666666666666666</v>
      </c>
    </row>
    <row r="1098" spans="1:8" ht="13.5" thickBot="1" x14ac:dyDescent="0.25">
      <c r="A1098" s="34"/>
      <c r="B1098" s="35">
        <f>COUNTA(B1097)</f>
        <v>1</v>
      </c>
      <c r="C1098" s="36" t="s">
        <v>20</v>
      </c>
      <c r="D1098" s="3">
        <f>SUM(D1097)</f>
        <v>160</v>
      </c>
      <c r="E1098" s="3">
        <f>SUM(E1097)</f>
        <v>101</v>
      </c>
      <c r="F1098" s="3">
        <f>SUM(F1097)</f>
        <v>414</v>
      </c>
      <c r="G1098" s="3">
        <f>SUM(D1098:F1098)</f>
        <v>675</v>
      </c>
      <c r="H1098" s="37">
        <f>+(D1098+E1098)/G1098</f>
        <v>0.38666666666666666</v>
      </c>
    </row>
    <row r="1099" spans="1:8" x14ac:dyDescent="0.2">
      <c r="A1099" s="38"/>
      <c r="B1099" s="39"/>
      <c r="C1099" s="40"/>
      <c r="D1099" s="5"/>
      <c r="E1099" s="42"/>
      <c r="F1099" s="41"/>
      <c r="G1099" s="42"/>
      <c r="H1099" s="43"/>
    </row>
    <row r="1100" spans="1:8" x14ac:dyDescent="0.2">
      <c r="A1100" s="38"/>
      <c r="B1100" s="39"/>
      <c r="C1100" s="45" t="s">
        <v>428</v>
      </c>
      <c r="D1100" s="5"/>
      <c r="E1100" s="42"/>
      <c r="F1100" s="41"/>
      <c r="G1100" s="42"/>
      <c r="H1100" s="43"/>
    </row>
    <row r="1101" spans="1:8" ht="13.5" thickBot="1" x14ac:dyDescent="0.25">
      <c r="A1101" s="64" t="s">
        <v>427</v>
      </c>
      <c r="B1101" s="48">
        <v>100</v>
      </c>
      <c r="C1101" s="65" t="s">
        <v>428</v>
      </c>
      <c r="D1101" s="46">
        <v>183</v>
      </c>
      <c r="E1101" s="2">
        <v>63</v>
      </c>
      <c r="F1101" s="2">
        <f>750-(D1101+E1101)</f>
        <v>504</v>
      </c>
      <c r="G1101" s="2">
        <f>SUM(D1101:F1101)</f>
        <v>750</v>
      </c>
      <c r="H1101" s="49">
        <f>+(D1101+E1101)/G1101</f>
        <v>0.32800000000000001</v>
      </c>
    </row>
    <row r="1102" spans="1:8" ht="13.5" thickBot="1" x14ac:dyDescent="0.25">
      <c r="A1102" s="34"/>
      <c r="B1102" s="35">
        <f>COUNTA(B1101)</f>
        <v>1</v>
      </c>
      <c r="C1102" s="36" t="s">
        <v>20</v>
      </c>
      <c r="D1102" s="3">
        <f>SUM(D1101)</f>
        <v>183</v>
      </c>
      <c r="E1102" s="3">
        <f>SUM(E1101)</f>
        <v>63</v>
      </c>
      <c r="F1102" s="3">
        <f>SUM(F1101)</f>
        <v>504</v>
      </c>
      <c r="G1102" s="3">
        <f>SUM(D1102:F1102)</f>
        <v>750</v>
      </c>
      <c r="H1102" s="37">
        <f>+(D1102+E1102)/G1102</f>
        <v>0.32800000000000001</v>
      </c>
    </row>
    <row r="1103" spans="1:8" x14ac:dyDescent="0.2">
      <c r="A1103" s="38"/>
      <c r="B1103" s="39"/>
      <c r="C1103" s="40"/>
      <c r="D1103" s="5"/>
      <c r="E1103" s="42"/>
      <c r="F1103" s="41"/>
      <c r="G1103" s="42"/>
      <c r="H1103" s="43"/>
    </row>
    <row r="1104" spans="1:8" x14ac:dyDescent="0.2">
      <c r="A1104" s="38"/>
      <c r="B1104" s="39"/>
      <c r="C1104" s="45" t="s">
        <v>916</v>
      </c>
      <c r="D1104" s="5"/>
      <c r="E1104" s="42"/>
      <c r="F1104" s="41"/>
      <c r="G1104" s="42"/>
      <c r="H1104" s="43"/>
    </row>
    <row r="1105" spans="1:8" ht="13.5" thickBot="1" x14ac:dyDescent="0.25">
      <c r="A1105" s="64" t="s">
        <v>915</v>
      </c>
      <c r="B1105" s="48">
        <v>100</v>
      </c>
      <c r="C1105" s="65" t="s">
        <v>916</v>
      </c>
      <c r="D1105" s="46">
        <v>112</v>
      </c>
      <c r="E1105" s="2">
        <v>114</v>
      </c>
      <c r="F1105" s="2">
        <f>669-(D1105+E1105)</f>
        <v>443</v>
      </c>
      <c r="G1105" s="2">
        <f>SUM(D1105:F1105)</f>
        <v>669</v>
      </c>
      <c r="H1105" s="49">
        <f>+(D1105+E1105)/G1105</f>
        <v>0.33781763826606875</v>
      </c>
    </row>
    <row r="1106" spans="1:8" ht="13.5" thickBot="1" x14ac:dyDescent="0.25">
      <c r="A1106" s="34"/>
      <c r="B1106" s="35">
        <f>COUNTA(B1105)</f>
        <v>1</v>
      </c>
      <c r="C1106" s="36" t="s">
        <v>20</v>
      </c>
      <c r="D1106" s="3">
        <f>SUM(D1105)</f>
        <v>112</v>
      </c>
      <c r="E1106" s="3">
        <f>SUM(E1105)</f>
        <v>114</v>
      </c>
      <c r="F1106" s="3">
        <f>SUM(F1105)</f>
        <v>443</v>
      </c>
      <c r="G1106" s="3">
        <f>SUM(D1106:F1106)</f>
        <v>669</v>
      </c>
      <c r="H1106" s="37">
        <f>+(D1106+E1106)/G1106</f>
        <v>0.33781763826606875</v>
      </c>
    </row>
    <row r="1107" spans="1:8" x14ac:dyDescent="0.2">
      <c r="A1107" s="38"/>
      <c r="B1107" s="39"/>
      <c r="C1107" s="40"/>
      <c r="D1107" s="5"/>
      <c r="E1107" s="42"/>
      <c r="F1107" s="41"/>
      <c r="G1107" s="42"/>
      <c r="H1107" s="43"/>
    </row>
    <row r="1108" spans="1:8" x14ac:dyDescent="0.2">
      <c r="A1108" s="38"/>
      <c r="B1108" s="39"/>
      <c r="C1108" s="45" t="s">
        <v>968</v>
      </c>
      <c r="D1108" s="5"/>
      <c r="E1108" s="42"/>
      <c r="F1108" s="41"/>
      <c r="G1108" s="42"/>
      <c r="H1108" s="43"/>
    </row>
    <row r="1109" spans="1:8" ht="13.5" thickBot="1" x14ac:dyDescent="0.25">
      <c r="A1109" s="64" t="s">
        <v>967</v>
      </c>
      <c r="B1109" s="48">
        <v>700</v>
      </c>
      <c r="C1109" s="65" t="s">
        <v>968</v>
      </c>
      <c r="D1109" s="46">
        <v>48</v>
      </c>
      <c r="E1109" s="2">
        <v>32</v>
      </c>
      <c r="F1109" s="2">
        <f>613-(D1109+E1109)</f>
        <v>533</v>
      </c>
      <c r="G1109" s="2">
        <f>SUM(D1109:F1109)</f>
        <v>613</v>
      </c>
      <c r="H1109" s="49">
        <f>+(D1109+E1109)/G1109</f>
        <v>0.13050570962479607</v>
      </c>
    </row>
    <row r="1110" spans="1:8" ht="13.5" thickBot="1" x14ac:dyDescent="0.25">
      <c r="A1110" s="34"/>
      <c r="B1110" s="35">
        <f>COUNTA(B1109)</f>
        <v>1</v>
      </c>
      <c r="C1110" s="36" t="s">
        <v>20</v>
      </c>
      <c r="D1110" s="3">
        <f>SUM(D1109)</f>
        <v>48</v>
      </c>
      <c r="E1110" s="3">
        <f>SUM(E1109)</f>
        <v>32</v>
      </c>
      <c r="F1110" s="3">
        <f>SUM(F1109)</f>
        <v>533</v>
      </c>
      <c r="G1110" s="3">
        <f>SUM(D1110:F1110)</f>
        <v>613</v>
      </c>
      <c r="H1110" s="37">
        <f>+(D1110+E1110)/G1110</f>
        <v>0.13050570962479607</v>
      </c>
    </row>
    <row r="1111" spans="1:8" x14ac:dyDescent="0.2">
      <c r="A1111" s="38"/>
      <c r="B1111" s="39"/>
      <c r="C1111" s="40"/>
      <c r="D1111" s="5"/>
      <c r="E1111" s="42"/>
      <c r="F1111" s="41"/>
      <c r="G1111" s="42"/>
      <c r="H1111" s="43"/>
    </row>
    <row r="1112" spans="1:8" x14ac:dyDescent="0.2">
      <c r="A1112" s="38"/>
      <c r="B1112" s="39"/>
      <c r="C1112" s="45" t="s">
        <v>934</v>
      </c>
      <c r="D1112" s="5"/>
      <c r="E1112" s="42"/>
      <c r="F1112" s="41"/>
      <c r="G1112" s="42"/>
      <c r="H1112" s="43"/>
    </row>
    <row r="1113" spans="1:8" ht="13.5" thickBot="1" x14ac:dyDescent="0.25">
      <c r="A1113" s="64" t="s">
        <v>259</v>
      </c>
      <c r="B1113" s="108">
        <v>100</v>
      </c>
      <c r="C1113" s="65" t="s">
        <v>934</v>
      </c>
      <c r="D1113" s="46">
        <v>340</v>
      </c>
      <c r="E1113" s="2">
        <v>144</v>
      </c>
      <c r="F1113" s="2">
        <f>1722-(D1113+E1113)</f>
        <v>1238</v>
      </c>
      <c r="G1113" s="2">
        <f>SUM(D1113:F1113)</f>
        <v>1722</v>
      </c>
      <c r="H1113" s="49">
        <f>+(D1113+E1113)/G1113</f>
        <v>0.28106852497096402</v>
      </c>
    </row>
    <row r="1114" spans="1:8" ht="13.5" thickBot="1" x14ac:dyDescent="0.25">
      <c r="A1114" s="34"/>
      <c r="B1114" s="35">
        <f>COUNTA(B1113)</f>
        <v>1</v>
      </c>
      <c r="C1114" s="36" t="s">
        <v>20</v>
      </c>
      <c r="D1114" s="3">
        <f>SUM(D1113)</f>
        <v>340</v>
      </c>
      <c r="E1114" s="3">
        <f>SUM(E1113)</f>
        <v>144</v>
      </c>
      <c r="F1114" s="3">
        <f>SUM(F1113)</f>
        <v>1238</v>
      </c>
      <c r="G1114" s="3">
        <f>SUM(D1114:F1114)</f>
        <v>1722</v>
      </c>
      <c r="H1114" s="37">
        <f>+(D1114+E1114)/G1114</f>
        <v>0.28106852497096402</v>
      </c>
    </row>
    <row r="1115" spans="1:8" x14ac:dyDescent="0.2">
      <c r="A1115" s="38"/>
      <c r="B1115" s="39"/>
      <c r="C1115" s="40"/>
      <c r="D1115" s="5"/>
      <c r="E1115" s="42"/>
      <c r="F1115" s="41"/>
      <c r="G1115" s="42"/>
      <c r="H1115" s="43"/>
    </row>
    <row r="1116" spans="1:8" x14ac:dyDescent="0.2">
      <c r="A1116" s="38"/>
      <c r="B1116" s="39"/>
      <c r="C1116" s="45" t="s">
        <v>928</v>
      </c>
      <c r="D1116" s="5"/>
      <c r="E1116" s="42"/>
      <c r="F1116" s="41"/>
      <c r="G1116" s="42"/>
      <c r="H1116" s="43"/>
    </row>
    <row r="1117" spans="1:8" ht="13.5" thickBot="1" x14ac:dyDescent="0.25">
      <c r="A1117" s="64" t="s">
        <v>927</v>
      </c>
      <c r="B1117" s="48">
        <v>240</v>
      </c>
      <c r="C1117" s="65" t="s">
        <v>928</v>
      </c>
      <c r="D1117" s="46">
        <v>86</v>
      </c>
      <c r="E1117" s="2">
        <v>36</v>
      </c>
      <c r="F1117" s="2">
        <f>416-(D1117+E1117)</f>
        <v>294</v>
      </c>
      <c r="G1117" s="2">
        <f>SUM(D1117:F1117)</f>
        <v>416</v>
      </c>
      <c r="H1117" s="49">
        <f>+(D1117+E1117)/G1117</f>
        <v>0.29326923076923078</v>
      </c>
    </row>
    <row r="1118" spans="1:8" ht="13.5" thickBot="1" x14ac:dyDescent="0.25">
      <c r="A1118" s="34"/>
      <c r="B1118" s="35">
        <f>COUNTA(B1117)</f>
        <v>1</v>
      </c>
      <c r="C1118" s="36" t="s">
        <v>20</v>
      </c>
      <c r="D1118" s="3">
        <f>SUM(D1117)</f>
        <v>86</v>
      </c>
      <c r="E1118" s="3">
        <f>SUM(E1117)</f>
        <v>36</v>
      </c>
      <c r="F1118" s="3">
        <f>SUM(F1117)</f>
        <v>294</v>
      </c>
      <c r="G1118" s="3">
        <f>SUM(D1118:F1118)</f>
        <v>416</v>
      </c>
      <c r="H1118" s="37">
        <f>+(D1118+E1118)/G1118</f>
        <v>0.29326923076923078</v>
      </c>
    </row>
    <row r="1119" spans="1:8" x14ac:dyDescent="0.2">
      <c r="A1119" s="38"/>
      <c r="B1119" s="39"/>
      <c r="C1119" s="40"/>
      <c r="D1119" s="5"/>
      <c r="E1119" s="42"/>
      <c r="F1119" s="41"/>
      <c r="G1119" s="42"/>
      <c r="H1119" s="43"/>
    </row>
    <row r="1120" spans="1:8" x14ac:dyDescent="0.2">
      <c r="A1120" s="38"/>
      <c r="B1120" s="39"/>
      <c r="C1120" s="45" t="s">
        <v>919</v>
      </c>
      <c r="D1120" s="5"/>
      <c r="E1120" s="42"/>
      <c r="F1120" s="41"/>
      <c r="G1120" s="42"/>
      <c r="H1120" s="43"/>
    </row>
    <row r="1121" spans="1:8" ht="13.5" thickBot="1" x14ac:dyDescent="0.25">
      <c r="A1121" s="64" t="s">
        <v>918</v>
      </c>
      <c r="B1121" s="48">
        <v>700</v>
      </c>
      <c r="C1121" s="65" t="s">
        <v>919</v>
      </c>
      <c r="D1121" s="46">
        <v>133</v>
      </c>
      <c r="E1121" s="2">
        <v>32</v>
      </c>
      <c r="F1121" s="2">
        <f>619-(D1121+E1121)</f>
        <v>454</v>
      </c>
      <c r="G1121" s="2">
        <f>SUM(D1121:F1121)</f>
        <v>619</v>
      </c>
      <c r="H1121" s="49">
        <f>+(D1121+E1121)/G1121</f>
        <v>0.2665589660743134</v>
      </c>
    </row>
    <row r="1122" spans="1:8" ht="13.5" thickBot="1" x14ac:dyDescent="0.25">
      <c r="A1122" s="34"/>
      <c r="B1122" s="35">
        <f>COUNTA(B1121)</f>
        <v>1</v>
      </c>
      <c r="C1122" s="36" t="s">
        <v>20</v>
      </c>
      <c r="D1122" s="3">
        <f>SUM(D1121)</f>
        <v>133</v>
      </c>
      <c r="E1122" s="3">
        <f>SUM(E1121)</f>
        <v>32</v>
      </c>
      <c r="F1122" s="3">
        <f>SUM(F1121)</f>
        <v>454</v>
      </c>
      <c r="G1122" s="3">
        <f>SUM(D1122:F1122)</f>
        <v>619</v>
      </c>
      <c r="H1122" s="37">
        <f>+(D1122+E1122)/G1122</f>
        <v>0.2665589660743134</v>
      </c>
    </row>
    <row r="1123" spans="1:8" x14ac:dyDescent="0.2">
      <c r="A1123" s="38"/>
      <c r="B1123" s="39"/>
      <c r="C1123" s="40"/>
      <c r="D1123" s="5"/>
      <c r="E1123" s="42"/>
      <c r="F1123" s="41"/>
      <c r="G1123" s="42"/>
      <c r="H1123" s="43"/>
    </row>
    <row r="1124" spans="1:8" x14ac:dyDescent="0.2">
      <c r="A1124" s="38"/>
      <c r="B1124" s="39"/>
      <c r="C1124" s="45" t="s">
        <v>1030</v>
      </c>
      <c r="D1124" s="5"/>
      <c r="E1124" s="42"/>
      <c r="F1124" s="41"/>
      <c r="G1124" s="42"/>
      <c r="H1124" s="43"/>
    </row>
    <row r="1125" spans="1:8" ht="13.5" thickBot="1" x14ac:dyDescent="0.25">
      <c r="A1125" s="64" t="s">
        <v>1029</v>
      </c>
      <c r="B1125" s="48">
        <v>100</v>
      </c>
      <c r="C1125" s="65" t="s">
        <v>1030</v>
      </c>
      <c r="D1125" s="46">
        <v>82</v>
      </c>
      <c r="E1125" s="2">
        <v>95</v>
      </c>
      <c r="F1125" s="2">
        <f>808-(D1125+E1125)</f>
        <v>631</v>
      </c>
      <c r="G1125" s="2">
        <f>SUM(D1125:F1125)</f>
        <v>808</v>
      </c>
      <c r="H1125" s="49">
        <f>+(D1125+E1125)/G1125</f>
        <v>0.21905940594059406</v>
      </c>
    </row>
    <row r="1126" spans="1:8" ht="13.5" thickBot="1" x14ac:dyDescent="0.25">
      <c r="A1126" s="34"/>
      <c r="B1126" s="35">
        <f>COUNTA(B1125)</f>
        <v>1</v>
      </c>
      <c r="C1126" s="36" t="s">
        <v>20</v>
      </c>
      <c r="D1126" s="3">
        <f>SUM(D1125)</f>
        <v>82</v>
      </c>
      <c r="E1126" s="3">
        <f>SUM(E1125)</f>
        <v>95</v>
      </c>
      <c r="F1126" s="3">
        <f>SUM(F1125)</f>
        <v>631</v>
      </c>
      <c r="G1126" s="3">
        <f>SUM(D1126:F1126)</f>
        <v>808</v>
      </c>
      <c r="H1126" s="37">
        <f>+(D1126+E1126)/G1126</f>
        <v>0.21905940594059406</v>
      </c>
    </row>
    <row r="1127" spans="1:8" x14ac:dyDescent="0.2">
      <c r="A1127" s="38"/>
      <c r="B1127" s="39"/>
      <c r="C1127" s="40"/>
      <c r="D1127" s="5"/>
      <c r="E1127" s="42"/>
      <c r="F1127" s="41"/>
      <c r="G1127" s="42"/>
      <c r="H1127" s="43"/>
    </row>
    <row r="1128" spans="1:8" x14ac:dyDescent="0.2">
      <c r="A1128" s="38"/>
      <c r="B1128" s="39"/>
      <c r="C1128" s="45" t="s">
        <v>954</v>
      </c>
      <c r="D1128" s="5"/>
      <c r="E1128" s="42"/>
      <c r="F1128" s="41"/>
      <c r="G1128" s="42"/>
      <c r="H1128" s="43"/>
    </row>
    <row r="1129" spans="1:8" ht="13.5" thickBot="1" x14ac:dyDescent="0.25">
      <c r="A1129" s="64" t="s">
        <v>953</v>
      </c>
      <c r="B1129" s="48">
        <v>700</v>
      </c>
      <c r="C1129" s="65" t="s">
        <v>954</v>
      </c>
      <c r="D1129" s="46">
        <v>68</v>
      </c>
      <c r="E1129" s="2">
        <v>33</v>
      </c>
      <c r="F1129" s="2">
        <f>438-(D1129+E1129)</f>
        <v>337</v>
      </c>
      <c r="G1129" s="2">
        <f>SUM(D1129:F1129)</f>
        <v>438</v>
      </c>
      <c r="H1129" s="49">
        <f>+(D1129+E1129)/G1129</f>
        <v>0.23059360730593606</v>
      </c>
    </row>
    <row r="1130" spans="1:8" ht="13.5" thickBot="1" x14ac:dyDescent="0.25">
      <c r="A1130" s="34"/>
      <c r="B1130" s="35">
        <f>COUNTA(B1129)</f>
        <v>1</v>
      </c>
      <c r="C1130" s="36" t="s">
        <v>20</v>
      </c>
      <c r="D1130" s="3">
        <f>SUM(D1129)</f>
        <v>68</v>
      </c>
      <c r="E1130" s="3">
        <f>SUM(E1129)</f>
        <v>33</v>
      </c>
      <c r="F1130" s="3">
        <f>SUM(F1129)</f>
        <v>337</v>
      </c>
      <c r="G1130" s="3">
        <f>SUM(D1130:F1130)</f>
        <v>438</v>
      </c>
      <c r="H1130" s="37">
        <f>+(D1130+E1130)/G1130</f>
        <v>0.23059360730593606</v>
      </c>
    </row>
    <row r="1131" spans="1:8" x14ac:dyDescent="0.2">
      <c r="A1131" s="38"/>
      <c r="B1131" s="39"/>
      <c r="C1131" s="40"/>
      <c r="D1131" s="5"/>
      <c r="E1131" s="42"/>
      <c r="F1131" s="41"/>
      <c r="G1131" s="42"/>
      <c r="H1131" s="43"/>
    </row>
    <row r="1132" spans="1:8" x14ac:dyDescent="0.2">
      <c r="A1132" s="38"/>
      <c r="B1132" s="39"/>
      <c r="C1132" s="45" t="s">
        <v>280</v>
      </c>
      <c r="D1132" s="5"/>
      <c r="E1132" s="42"/>
      <c r="F1132" s="41"/>
      <c r="G1132" s="42"/>
      <c r="H1132" s="43"/>
    </row>
    <row r="1133" spans="1:8" ht="13.5" thickBot="1" x14ac:dyDescent="0.25">
      <c r="A1133" s="57" t="s">
        <v>279</v>
      </c>
      <c r="B1133" s="71" t="s">
        <v>914</v>
      </c>
      <c r="C1133" s="72" t="s">
        <v>280</v>
      </c>
      <c r="D1133" s="46">
        <v>49</v>
      </c>
      <c r="E1133" s="2">
        <v>47</v>
      </c>
      <c r="F1133" s="2">
        <f>528-(D1133+E1133)</f>
        <v>432</v>
      </c>
      <c r="G1133" s="2">
        <f>SUM(D1133:F1133)</f>
        <v>528</v>
      </c>
      <c r="H1133" s="49">
        <f>+(D1133+E1133)/G1133</f>
        <v>0.18181818181818182</v>
      </c>
    </row>
    <row r="1134" spans="1:8" ht="13.5" thickBot="1" x14ac:dyDescent="0.25">
      <c r="A1134" s="34"/>
      <c r="B1134" s="35">
        <f>COUNTA(B1133)</f>
        <v>1</v>
      </c>
      <c r="C1134" s="36" t="s">
        <v>20</v>
      </c>
      <c r="D1134" s="3">
        <f>SUM(D1133)</f>
        <v>49</v>
      </c>
      <c r="E1134" s="3">
        <f>SUM(E1133)</f>
        <v>47</v>
      </c>
      <c r="F1134" s="3">
        <f>SUM(F1133)</f>
        <v>432</v>
      </c>
      <c r="G1134" s="3">
        <f>SUM(D1134:F1134)</f>
        <v>528</v>
      </c>
      <c r="H1134" s="37">
        <f>+(D1134+E1134)/G1134</f>
        <v>0.18181818181818182</v>
      </c>
    </row>
    <row r="1135" spans="1:8" x14ac:dyDescent="0.2">
      <c r="A1135" s="38"/>
      <c r="B1135" s="39"/>
      <c r="C1135" s="40"/>
      <c r="D1135" s="5"/>
      <c r="E1135" s="42"/>
      <c r="F1135" s="41"/>
      <c r="G1135" s="42"/>
      <c r="H1135" s="43"/>
    </row>
    <row r="1136" spans="1:8" x14ac:dyDescent="0.2">
      <c r="A1136" s="38"/>
      <c r="B1136" s="39"/>
      <c r="C1136" s="45" t="s">
        <v>1006</v>
      </c>
      <c r="D1136" s="5"/>
      <c r="E1136" s="42"/>
      <c r="F1136" s="41"/>
      <c r="G1136" s="42"/>
      <c r="H1136" s="43"/>
    </row>
    <row r="1137" spans="1:8" ht="13.5" thickBot="1" x14ac:dyDescent="0.25">
      <c r="A1137" s="68" t="s">
        <v>1007</v>
      </c>
      <c r="B1137" s="76">
        <v>100</v>
      </c>
      <c r="C1137" s="69" t="s">
        <v>1006</v>
      </c>
      <c r="D1137" s="74">
        <v>128</v>
      </c>
      <c r="E1137" s="75">
        <v>68</v>
      </c>
      <c r="F1137" s="2">
        <f>1462-(D1137+E1137)</f>
        <v>1266</v>
      </c>
      <c r="G1137" s="75">
        <f>SUM(D1137:F1137)</f>
        <v>1462</v>
      </c>
      <c r="H1137" s="58">
        <f>+(D1137+E1137)/G1137</f>
        <v>0.13406292749658003</v>
      </c>
    </row>
    <row r="1138" spans="1:8" s="60" customFormat="1" ht="13.5" thickBot="1" x14ac:dyDescent="0.25">
      <c r="A1138" s="77"/>
      <c r="B1138" s="78">
        <f>COUNTA(B1137:B1137)</f>
        <v>1</v>
      </c>
      <c r="C1138" s="79" t="s">
        <v>20</v>
      </c>
      <c r="D1138" s="3">
        <f>SUM(D1137:D1137)</f>
        <v>128</v>
      </c>
      <c r="E1138" s="3">
        <f>SUM(E1137:E1137)</f>
        <v>68</v>
      </c>
      <c r="F1138" s="3">
        <f>SUM(F1137:F1137)</f>
        <v>1266</v>
      </c>
      <c r="G1138" s="3">
        <f>SUM(D1138:F1138)</f>
        <v>1462</v>
      </c>
      <c r="H1138" s="37">
        <f>+(D1138+E1138)/G1138</f>
        <v>0.13406292749658003</v>
      </c>
    </row>
    <row r="1139" spans="1:8" x14ac:dyDescent="0.2">
      <c r="A1139" s="38"/>
      <c r="B1139" s="39"/>
      <c r="C1139" s="40"/>
      <c r="D1139" s="5"/>
      <c r="E1139" s="42"/>
      <c r="F1139" s="41"/>
      <c r="G1139" s="42"/>
      <c r="H1139" s="43"/>
    </row>
    <row r="1140" spans="1:8" x14ac:dyDescent="0.2">
      <c r="A1140" s="38"/>
      <c r="B1140" s="39"/>
      <c r="C1140" s="45" t="s">
        <v>979</v>
      </c>
      <c r="D1140" s="5"/>
      <c r="E1140" s="42"/>
      <c r="F1140" s="41"/>
      <c r="G1140" s="42"/>
      <c r="H1140" s="43"/>
    </row>
    <row r="1141" spans="1:8" ht="13.5" thickBot="1" x14ac:dyDescent="0.25">
      <c r="A1141" s="68" t="s">
        <v>978</v>
      </c>
      <c r="B1141" s="76">
        <v>100</v>
      </c>
      <c r="C1141" s="69" t="s">
        <v>979</v>
      </c>
      <c r="D1141" s="74">
        <v>192</v>
      </c>
      <c r="E1141" s="75">
        <v>67</v>
      </c>
      <c r="F1141" s="75">
        <f>492-(D1141+E1141)</f>
        <v>233</v>
      </c>
      <c r="G1141" s="75">
        <f>SUM(D1141:F1141)</f>
        <v>492</v>
      </c>
      <c r="H1141" s="58">
        <f>+(D1141+E1141)/G1141</f>
        <v>0.52642276422764223</v>
      </c>
    </row>
    <row r="1142" spans="1:8" s="60" customFormat="1" ht="13.5" thickBot="1" x14ac:dyDescent="0.25">
      <c r="A1142" s="77"/>
      <c r="B1142" s="78">
        <f>COUNTA(B1141:B1141)</f>
        <v>1</v>
      </c>
      <c r="C1142" s="79" t="s">
        <v>20</v>
      </c>
      <c r="D1142" s="3">
        <f>SUM(D1141:D1141)</f>
        <v>192</v>
      </c>
      <c r="E1142" s="3">
        <f>SUM(E1141:E1141)</f>
        <v>67</v>
      </c>
      <c r="F1142" s="3">
        <f>SUM(F1141:F1141)</f>
        <v>233</v>
      </c>
      <c r="G1142" s="3">
        <f>SUM(D1142:F1142)</f>
        <v>492</v>
      </c>
      <c r="H1142" s="37">
        <f>+(D1142+E1142)/G1142</f>
        <v>0.52642276422764223</v>
      </c>
    </row>
    <row r="1143" spans="1:8" x14ac:dyDescent="0.2">
      <c r="A1143" s="38"/>
      <c r="B1143" s="39"/>
      <c r="C1143" s="40"/>
      <c r="D1143" s="5"/>
      <c r="E1143" s="42"/>
      <c r="F1143" s="41"/>
      <c r="G1143" s="42"/>
      <c r="H1143" s="43"/>
    </row>
    <row r="1144" spans="1:8" x14ac:dyDescent="0.2">
      <c r="A1144" s="38"/>
      <c r="B1144" s="39"/>
      <c r="C1144" s="45" t="s">
        <v>970</v>
      </c>
      <c r="D1144" s="5"/>
      <c r="E1144" s="42"/>
      <c r="F1144" s="41"/>
      <c r="G1144" s="42"/>
      <c r="H1144" s="43"/>
    </row>
    <row r="1145" spans="1:8" ht="13.5" thickBot="1" x14ac:dyDescent="0.25">
      <c r="A1145" s="64" t="s">
        <v>969</v>
      </c>
      <c r="B1145" s="71">
        <v>100</v>
      </c>
      <c r="C1145" s="65" t="s">
        <v>970</v>
      </c>
      <c r="D1145" s="46">
        <v>24</v>
      </c>
      <c r="E1145" s="2">
        <v>13</v>
      </c>
      <c r="F1145" s="75">
        <f>364-(D1145+E1145)</f>
        <v>327</v>
      </c>
      <c r="G1145" s="2">
        <f>SUM(D1145:F1145)</f>
        <v>364</v>
      </c>
      <c r="H1145" s="49">
        <f>+(D1145+E1145)/G1145</f>
        <v>0.10164835164835165</v>
      </c>
    </row>
    <row r="1146" spans="1:8" ht="13.5" thickBot="1" x14ac:dyDescent="0.25">
      <c r="A1146" s="34"/>
      <c r="B1146" s="35">
        <f>COUNTA(B1145)</f>
        <v>1</v>
      </c>
      <c r="C1146" s="36" t="s">
        <v>20</v>
      </c>
      <c r="D1146" s="3">
        <f>SUM(D1145)</f>
        <v>24</v>
      </c>
      <c r="E1146" s="3">
        <f>SUM(E1145)</f>
        <v>13</v>
      </c>
      <c r="F1146" s="3">
        <f>SUM(F1145)</f>
        <v>327</v>
      </c>
      <c r="G1146" s="3">
        <f>SUM(D1146:F1146)</f>
        <v>364</v>
      </c>
      <c r="H1146" s="37">
        <f>+(D1146+E1146)/G1146</f>
        <v>0.10164835164835165</v>
      </c>
    </row>
    <row r="1147" spans="1:8" x14ac:dyDescent="0.2">
      <c r="A1147" s="38"/>
      <c r="B1147" s="39"/>
      <c r="C1147" s="40"/>
      <c r="D1147" s="5"/>
      <c r="E1147" s="42"/>
      <c r="F1147" s="41"/>
      <c r="G1147" s="42"/>
      <c r="H1147" s="43"/>
    </row>
    <row r="1148" spans="1:8" x14ac:dyDescent="0.2">
      <c r="A1148" s="38"/>
      <c r="B1148" s="39"/>
      <c r="C1148" s="45" t="s">
        <v>233</v>
      </c>
      <c r="D1148" s="5"/>
      <c r="E1148" s="42"/>
      <c r="F1148" s="41"/>
      <c r="G1148" s="42"/>
      <c r="H1148" s="43"/>
    </row>
    <row r="1149" spans="1:8" ht="13.5" thickBot="1" x14ac:dyDescent="0.25">
      <c r="A1149" s="57" t="s">
        <v>221</v>
      </c>
      <c r="B1149" s="48">
        <v>700</v>
      </c>
      <c r="C1149" s="72" t="s">
        <v>233</v>
      </c>
      <c r="D1149" s="46">
        <v>231</v>
      </c>
      <c r="E1149" s="2">
        <v>34</v>
      </c>
      <c r="F1149" s="2">
        <f>1053-(D1149+E1149)</f>
        <v>788</v>
      </c>
      <c r="G1149" s="2">
        <f>SUM(D1149:F1149)</f>
        <v>1053</v>
      </c>
      <c r="H1149" s="49">
        <f>+(D1149+E1149)/G1149</f>
        <v>0.25166191832858498</v>
      </c>
    </row>
    <row r="1150" spans="1:8" ht="13.5" thickBot="1" x14ac:dyDescent="0.25">
      <c r="A1150" s="34"/>
      <c r="B1150" s="35">
        <f>COUNTA(B1149)</f>
        <v>1</v>
      </c>
      <c r="C1150" s="36" t="s">
        <v>20</v>
      </c>
      <c r="D1150" s="3">
        <f>SUM(D1149)</f>
        <v>231</v>
      </c>
      <c r="E1150" s="3">
        <f>SUM(E1149)</f>
        <v>34</v>
      </c>
      <c r="F1150" s="3">
        <f>SUM(F1149)</f>
        <v>788</v>
      </c>
      <c r="G1150" s="3">
        <f>SUM(D1150:F1150)</f>
        <v>1053</v>
      </c>
      <c r="H1150" s="37">
        <f>+(D1150+E1150)/G1150</f>
        <v>0.25166191832858498</v>
      </c>
    </row>
    <row r="1151" spans="1:8" x14ac:dyDescent="0.2">
      <c r="A1151" s="38"/>
      <c r="B1151" s="39"/>
      <c r="C1151" s="40"/>
      <c r="D1151" s="5"/>
      <c r="E1151" s="42"/>
      <c r="F1151" s="41"/>
      <c r="G1151" s="42"/>
      <c r="H1151" s="43"/>
    </row>
    <row r="1152" spans="1:8" x14ac:dyDescent="0.2">
      <c r="A1152" s="38"/>
      <c r="B1152" s="39"/>
      <c r="C1152" s="45" t="s">
        <v>443</v>
      </c>
      <c r="D1152" s="5"/>
      <c r="E1152" s="42"/>
      <c r="F1152" s="41"/>
      <c r="G1152" s="42"/>
      <c r="H1152" s="43"/>
    </row>
    <row r="1153" spans="1:8" ht="13.5" thickBot="1" x14ac:dyDescent="0.25">
      <c r="A1153" s="64" t="s">
        <v>442</v>
      </c>
      <c r="B1153" s="48">
        <v>100</v>
      </c>
      <c r="C1153" s="65" t="s">
        <v>443</v>
      </c>
      <c r="D1153" s="46">
        <v>65</v>
      </c>
      <c r="E1153" s="2">
        <v>29</v>
      </c>
      <c r="F1153" s="2">
        <f>1001-(D1153+E1153)</f>
        <v>907</v>
      </c>
      <c r="G1153" s="2">
        <f>SUM(D1153:F1153)</f>
        <v>1001</v>
      </c>
      <c r="H1153" s="49">
        <f>+(D1153+E1153)/G1153</f>
        <v>9.3906093906093904E-2</v>
      </c>
    </row>
    <row r="1154" spans="1:8" ht="13.5" thickBot="1" x14ac:dyDescent="0.25">
      <c r="A1154" s="34"/>
      <c r="B1154" s="35">
        <f>COUNTA(B1153)</f>
        <v>1</v>
      </c>
      <c r="C1154" s="36" t="s">
        <v>20</v>
      </c>
      <c r="D1154" s="3">
        <f>SUM(D1153)</f>
        <v>65</v>
      </c>
      <c r="E1154" s="3">
        <f>SUM(E1153)</f>
        <v>29</v>
      </c>
      <c r="F1154" s="3">
        <f>SUM(F1153)</f>
        <v>907</v>
      </c>
      <c r="G1154" s="3">
        <f>SUM(D1154:F1154)</f>
        <v>1001</v>
      </c>
      <c r="H1154" s="37">
        <f>+(D1154+E1154)/G1154</f>
        <v>9.3906093906093904E-2</v>
      </c>
    </row>
    <row r="1155" spans="1:8" x14ac:dyDescent="0.2">
      <c r="A1155" s="38"/>
      <c r="B1155" s="39"/>
      <c r="C1155" s="40"/>
      <c r="D1155" s="5"/>
      <c r="E1155" s="42"/>
      <c r="F1155" s="41"/>
      <c r="G1155" s="42"/>
      <c r="H1155" s="43"/>
    </row>
    <row r="1156" spans="1:8" x14ac:dyDescent="0.2">
      <c r="A1156" s="38"/>
      <c r="B1156" s="39"/>
      <c r="C1156" s="45" t="s">
        <v>426</v>
      </c>
      <c r="D1156" s="5"/>
      <c r="E1156" s="42"/>
      <c r="F1156" s="41"/>
      <c r="G1156" s="42"/>
      <c r="H1156" s="43"/>
    </row>
    <row r="1157" spans="1:8" ht="13.5" thickBot="1" x14ac:dyDescent="0.25">
      <c r="A1157" s="64" t="s">
        <v>425</v>
      </c>
      <c r="B1157" s="48">
        <v>100</v>
      </c>
      <c r="C1157" s="65" t="s">
        <v>426</v>
      </c>
      <c r="D1157" s="46">
        <v>28</v>
      </c>
      <c r="E1157" s="2">
        <v>5</v>
      </c>
      <c r="F1157" s="2">
        <f>105-(D1157+E1157)</f>
        <v>72</v>
      </c>
      <c r="G1157" s="2">
        <f>SUM(D1157:F1157)</f>
        <v>105</v>
      </c>
      <c r="H1157" s="49">
        <f>+(D1157+E1157)/G1157</f>
        <v>0.31428571428571428</v>
      </c>
    </row>
    <row r="1158" spans="1:8" ht="13.5" thickBot="1" x14ac:dyDescent="0.25">
      <c r="A1158" s="34"/>
      <c r="B1158" s="35">
        <f>COUNTA(B1157)</f>
        <v>1</v>
      </c>
      <c r="C1158" s="36" t="s">
        <v>20</v>
      </c>
      <c r="D1158" s="3">
        <f>SUM(D1157)</f>
        <v>28</v>
      </c>
      <c r="E1158" s="3">
        <f>SUM(E1157)</f>
        <v>5</v>
      </c>
      <c r="F1158" s="3">
        <f>SUM(F1157)</f>
        <v>72</v>
      </c>
      <c r="G1158" s="3">
        <f>SUM(D1158:F1158)</f>
        <v>105</v>
      </c>
      <c r="H1158" s="37">
        <f>+(D1158+E1158)/G1158</f>
        <v>0.31428571428571428</v>
      </c>
    </row>
    <row r="1159" spans="1:8" x14ac:dyDescent="0.2">
      <c r="A1159" s="38"/>
      <c r="B1159" s="39"/>
      <c r="C1159" s="40"/>
      <c r="D1159" s="5"/>
      <c r="E1159" s="42"/>
      <c r="F1159" s="41"/>
      <c r="G1159" s="42"/>
      <c r="H1159" s="43"/>
    </row>
    <row r="1160" spans="1:8" x14ac:dyDescent="0.2">
      <c r="A1160" s="38"/>
      <c r="B1160" s="39"/>
      <c r="C1160" s="45" t="s">
        <v>222</v>
      </c>
      <c r="D1160" s="5"/>
      <c r="E1160" s="42"/>
      <c r="F1160" s="41"/>
      <c r="G1160" s="42"/>
      <c r="H1160" s="43"/>
    </row>
    <row r="1161" spans="1:8" ht="13.5" thickBot="1" x14ac:dyDescent="0.25">
      <c r="A1161" s="73" t="s">
        <v>223</v>
      </c>
      <c r="B1161" s="134" t="s">
        <v>224</v>
      </c>
      <c r="C1161" s="72" t="s">
        <v>222</v>
      </c>
      <c r="D1161" s="46">
        <v>91</v>
      </c>
      <c r="E1161" s="2">
        <v>14</v>
      </c>
      <c r="F1161" s="2">
        <f>252-(D1161+E1161)</f>
        <v>147</v>
      </c>
      <c r="G1161" s="2">
        <f>SUM(D1161:F1161)</f>
        <v>252</v>
      </c>
      <c r="H1161" s="49">
        <f>+(D1161+E1161)/G1161</f>
        <v>0.41666666666666669</v>
      </c>
    </row>
    <row r="1162" spans="1:8" ht="13.5" thickBot="1" x14ac:dyDescent="0.25">
      <c r="A1162" s="34"/>
      <c r="B1162" s="35">
        <f>COUNTA(B1161)</f>
        <v>1</v>
      </c>
      <c r="C1162" s="36" t="s">
        <v>20</v>
      </c>
      <c r="D1162" s="3">
        <f>SUM(D1161)</f>
        <v>91</v>
      </c>
      <c r="E1162" s="3">
        <f>SUM(E1161)</f>
        <v>14</v>
      </c>
      <c r="F1162" s="3">
        <f>SUM(F1161)</f>
        <v>147</v>
      </c>
      <c r="G1162" s="3">
        <f>SUM(D1162:F1162)</f>
        <v>252</v>
      </c>
      <c r="H1162" s="37">
        <f>+(D1162+E1162)/G1162</f>
        <v>0.41666666666666669</v>
      </c>
    </row>
    <row r="1163" spans="1:8" x14ac:dyDescent="0.2">
      <c r="A1163" s="38"/>
      <c r="B1163" s="39"/>
      <c r="C1163" s="40"/>
      <c r="D1163" s="5"/>
      <c r="E1163" s="42"/>
      <c r="F1163" s="41"/>
      <c r="G1163" s="42"/>
      <c r="H1163" s="43"/>
    </row>
    <row r="1164" spans="1:8" x14ac:dyDescent="0.2">
      <c r="A1164" s="38"/>
      <c r="B1164" s="39"/>
      <c r="C1164" s="45" t="s">
        <v>1040</v>
      </c>
      <c r="D1164" s="5"/>
      <c r="E1164" s="42"/>
      <c r="F1164" s="41"/>
      <c r="G1164" s="42"/>
      <c r="H1164" s="43"/>
    </row>
    <row r="1165" spans="1:8" ht="13.5" thickBot="1" x14ac:dyDescent="0.25">
      <c r="A1165" s="121" t="s">
        <v>1039</v>
      </c>
      <c r="B1165" s="137" t="s">
        <v>1041</v>
      </c>
      <c r="C1165" s="65" t="s">
        <v>1040</v>
      </c>
      <c r="D1165" s="46">
        <v>120</v>
      </c>
      <c r="E1165" s="2">
        <v>8</v>
      </c>
      <c r="F1165" s="2">
        <f>135-(D1165+E1165)</f>
        <v>7</v>
      </c>
      <c r="G1165" s="2">
        <f>SUM(D1165:F1165)</f>
        <v>135</v>
      </c>
      <c r="H1165" s="49">
        <f>+(D1165+E1165)/G1165</f>
        <v>0.94814814814814818</v>
      </c>
    </row>
    <row r="1166" spans="1:8" ht="13.5" thickBot="1" x14ac:dyDescent="0.25">
      <c r="A1166" s="34"/>
      <c r="B1166" s="35">
        <f>COUNTA(B1165)</f>
        <v>1</v>
      </c>
      <c r="C1166" s="36" t="s">
        <v>20</v>
      </c>
      <c r="D1166" s="3">
        <f>SUM(D1165)</f>
        <v>120</v>
      </c>
      <c r="E1166" s="3">
        <f>SUM(E1165)</f>
        <v>8</v>
      </c>
      <c r="F1166" s="3">
        <f>SUM(F1165)</f>
        <v>7</v>
      </c>
      <c r="G1166" s="3">
        <f>SUM(D1166:F1166)</f>
        <v>135</v>
      </c>
      <c r="H1166" s="37">
        <f>+(D1166+E1166)/G1166</f>
        <v>0.94814814814814818</v>
      </c>
    </row>
    <row r="1167" spans="1:8" x14ac:dyDescent="0.2">
      <c r="A1167" s="38"/>
      <c r="B1167" s="39"/>
      <c r="C1167" s="40"/>
      <c r="D1167" s="5"/>
      <c r="E1167" s="42"/>
      <c r="F1167" s="41"/>
      <c r="G1167" s="42"/>
      <c r="H1167" s="43"/>
    </row>
    <row r="1168" spans="1:8" x14ac:dyDescent="0.2">
      <c r="A1168" s="38"/>
      <c r="B1168" s="39"/>
      <c r="C1168" s="45" t="s">
        <v>936</v>
      </c>
      <c r="D1168" s="5"/>
      <c r="E1168" s="42"/>
      <c r="F1168" s="41"/>
      <c r="G1168" s="42"/>
      <c r="H1168" s="43"/>
    </row>
    <row r="1169" spans="1:8" x14ac:dyDescent="0.2">
      <c r="A1169" s="30" t="s">
        <v>282</v>
      </c>
      <c r="B1169" s="31" t="s">
        <v>283</v>
      </c>
      <c r="C1169" s="62" t="s">
        <v>974</v>
      </c>
      <c r="D1169" s="46">
        <v>15</v>
      </c>
      <c r="E1169" s="2">
        <v>0</v>
      </c>
      <c r="F1169" s="2">
        <f>15-(D1169+E1169)</f>
        <v>0</v>
      </c>
      <c r="G1169" s="2">
        <f>SUM(D1169:F1169)</f>
        <v>15</v>
      </c>
      <c r="H1169" s="33">
        <f t="shared" ref="H1169:H1174" si="205">+(D1169+E1169)/G1169</f>
        <v>1</v>
      </c>
    </row>
    <row r="1170" spans="1:8" x14ac:dyDescent="0.2">
      <c r="A1170" s="30" t="s">
        <v>282</v>
      </c>
      <c r="B1170" s="31" t="s">
        <v>284</v>
      </c>
      <c r="C1170" s="32" t="s">
        <v>285</v>
      </c>
      <c r="D1170" s="46">
        <v>7</v>
      </c>
      <c r="E1170" s="2">
        <v>0</v>
      </c>
      <c r="F1170" s="2">
        <f>12-(D1170+E1170)</f>
        <v>5</v>
      </c>
      <c r="G1170" s="2">
        <f>SUM(D1170:F1170)</f>
        <v>12</v>
      </c>
      <c r="H1170" s="33">
        <f t="shared" si="205"/>
        <v>0.58333333333333337</v>
      </c>
    </row>
    <row r="1171" spans="1:8" x14ac:dyDescent="0.2">
      <c r="A1171" s="38" t="s">
        <v>282</v>
      </c>
      <c r="B1171" s="125" t="s">
        <v>352</v>
      </c>
      <c r="C1171" s="40" t="s">
        <v>286</v>
      </c>
      <c r="D1171" s="74">
        <v>27</v>
      </c>
      <c r="E1171" s="75">
        <v>0</v>
      </c>
      <c r="F1171" s="2">
        <f>37-(D1171+E1171)</f>
        <v>10</v>
      </c>
      <c r="G1171" s="75">
        <f>SUM(D1171:F1171)</f>
        <v>37</v>
      </c>
      <c r="H1171" s="43">
        <f t="shared" si="205"/>
        <v>0.72972972972972971</v>
      </c>
    </row>
    <row r="1172" spans="1:8" x14ac:dyDescent="0.2">
      <c r="A1172" s="133" t="s">
        <v>282</v>
      </c>
      <c r="B1172" s="76" t="s">
        <v>972</v>
      </c>
      <c r="C1172" s="69" t="s">
        <v>973</v>
      </c>
      <c r="D1172" s="74">
        <v>46</v>
      </c>
      <c r="E1172" s="75">
        <v>11</v>
      </c>
      <c r="F1172" s="2">
        <f>168-(D1172+E1172)</f>
        <v>111</v>
      </c>
      <c r="G1172" s="75">
        <f>SUM(D1172:F1172)</f>
        <v>168</v>
      </c>
      <c r="H1172" s="58">
        <f t="shared" si="205"/>
        <v>0.3392857142857143</v>
      </c>
    </row>
    <row r="1173" spans="1:8" ht="13.5" thickBot="1" x14ac:dyDescent="0.25">
      <c r="A1173" s="133" t="s">
        <v>282</v>
      </c>
      <c r="B1173" s="143" t="s">
        <v>1016</v>
      </c>
      <c r="C1173" s="69" t="s">
        <v>1015</v>
      </c>
      <c r="D1173" s="75">
        <v>20</v>
      </c>
      <c r="E1173" s="75">
        <v>0</v>
      </c>
      <c r="F1173" s="2">
        <f>37-(D1173+E1173)</f>
        <v>17</v>
      </c>
      <c r="G1173" s="75">
        <f>SUM(D1173:F1173)</f>
        <v>37</v>
      </c>
      <c r="H1173" s="58">
        <f t="shared" si="205"/>
        <v>0.54054054054054057</v>
      </c>
    </row>
    <row r="1174" spans="1:8" ht="13.5" thickBot="1" x14ac:dyDescent="0.25">
      <c r="A1174" s="34"/>
      <c r="B1174" s="35">
        <f>COUNTA(B1169:B1173)</f>
        <v>5</v>
      </c>
      <c r="C1174" s="36" t="s">
        <v>20</v>
      </c>
      <c r="D1174" s="3">
        <f>SUM(D1169:D1173)</f>
        <v>115</v>
      </c>
      <c r="E1174" s="3">
        <f>SUM(E1169:E1173)</f>
        <v>11</v>
      </c>
      <c r="F1174" s="3">
        <f>SUM(F1169:F1173)</f>
        <v>143</v>
      </c>
      <c r="G1174" s="3">
        <f>SUM(G1169:G1173)</f>
        <v>269</v>
      </c>
      <c r="H1174" s="37">
        <f t="shared" si="205"/>
        <v>0.46840148698884759</v>
      </c>
    </row>
    <row r="1175" spans="1:8" x14ac:dyDescent="0.2">
      <c r="A1175" s="38"/>
      <c r="B1175" s="39"/>
      <c r="C1175" s="40"/>
      <c r="D1175" s="5"/>
      <c r="E1175" s="42"/>
      <c r="F1175" s="41"/>
      <c r="G1175" s="42"/>
      <c r="H1175" s="43"/>
    </row>
    <row r="1176" spans="1:8" x14ac:dyDescent="0.2">
      <c r="A1176" s="38"/>
      <c r="B1176" s="39"/>
      <c r="C1176" s="45" t="s">
        <v>1014</v>
      </c>
      <c r="D1176" s="5"/>
      <c r="E1176" s="42"/>
      <c r="F1176" s="41"/>
      <c r="G1176" s="42"/>
      <c r="H1176" s="43"/>
    </row>
    <row r="1177" spans="1:8" x14ac:dyDescent="0.2">
      <c r="A1177" s="133" t="s">
        <v>287</v>
      </c>
      <c r="B1177" s="83" t="s">
        <v>288</v>
      </c>
      <c r="C1177" s="69" t="s">
        <v>1050</v>
      </c>
      <c r="D1177" s="46">
        <v>21</v>
      </c>
      <c r="E1177" s="2">
        <v>0</v>
      </c>
      <c r="F1177" s="2">
        <f>21-(D1177+E1177)</f>
        <v>0</v>
      </c>
      <c r="G1177" s="2">
        <f>SUM(D1177:F1177)</f>
        <v>21</v>
      </c>
      <c r="H1177" s="58">
        <f>+(D1177+E1177)/G1177</f>
        <v>1</v>
      </c>
    </row>
    <row r="1178" spans="1:8" ht="13.5" thickBot="1" x14ac:dyDescent="0.25">
      <c r="A1178" s="73" t="s">
        <v>287</v>
      </c>
      <c r="B1178" s="71" t="s">
        <v>1052</v>
      </c>
      <c r="C1178" s="69" t="s">
        <v>1051</v>
      </c>
      <c r="D1178" s="46">
        <v>41</v>
      </c>
      <c r="E1178" s="2">
        <v>0</v>
      </c>
      <c r="F1178" s="2">
        <f>41-(D1178+E1178)</f>
        <v>0</v>
      </c>
      <c r="G1178" s="2">
        <f>SUM(D1178:F1178)</f>
        <v>41</v>
      </c>
      <c r="H1178" s="49">
        <f>+(D1178+E1178)/G1178</f>
        <v>1</v>
      </c>
    </row>
    <row r="1179" spans="1:8" ht="13.5" thickBot="1" x14ac:dyDescent="0.25">
      <c r="A1179" s="34"/>
      <c r="B1179" s="35">
        <f>COUNTA(B1177:B1178)</f>
        <v>2</v>
      </c>
      <c r="C1179" s="36" t="s">
        <v>20</v>
      </c>
      <c r="D1179" s="3">
        <f>SUM(D1177:D1178)</f>
        <v>62</v>
      </c>
      <c r="E1179" s="3">
        <f>SUM(E1177:E1178)</f>
        <v>0</v>
      </c>
      <c r="F1179" s="3">
        <f>SUM(F1177:F1178)</f>
        <v>0</v>
      </c>
      <c r="G1179" s="3">
        <f>SUM(D1179:F1179)</f>
        <v>62</v>
      </c>
      <c r="H1179" s="37">
        <f>+(D1179+E1179)/G1179</f>
        <v>1</v>
      </c>
    </row>
    <row r="1180" spans="1:8" x14ac:dyDescent="0.2">
      <c r="A1180" s="38"/>
      <c r="B1180" s="39"/>
      <c r="C1180" s="40"/>
      <c r="D1180" s="5"/>
      <c r="E1180" s="42"/>
      <c r="F1180" s="41"/>
      <c r="G1180" s="42"/>
      <c r="H1180" s="43"/>
    </row>
    <row r="1181" spans="1:8" x14ac:dyDescent="0.2">
      <c r="A1181" s="38"/>
      <c r="B1181" s="39"/>
      <c r="C1181" s="45" t="s">
        <v>347</v>
      </c>
      <c r="D1181" s="5"/>
      <c r="E1181" s="42"/>
      <c r="F1181" s="41"/>
      <c r="G1181" s="42"/>
      <c r="H1181" s="43"/>
    </row>
    <row r="1182" spans="1:8" x14ac:dyDescent="0.2">
      <c r="A1182" s="30" t="s">
        <v>289</v>
      </c>
      <c r="B1182" s="31" t="s">
        <v>290</v>
      </c>
      <c r="C1182" s="32" t="s">
        <v>291</v>
      </c>
      <c r="D1182" s="46">
        <v>15</v>
      </c>
      <c r="E1182" s="2">
        <v>0</v>
      </c>
      <c r="F1182" s="2">
        <f>27-(D1182+E1182)</f>
        <v>12</v>
      </c>
      <c r="G1182" s="2">
        <f>SUM(D1182:F1182)</f>
        <v>27</v>
      </c>
      <c r="H1182" s="33">
        <f>+(D1182+E1182)/G1182</f>
        <v>0.55555555555555558</v>
      </c>
    </row>
    <row r="1183" spans="1:8" ht="13.5" thickBot="1" x14ac:dyDescent="0.25">
      <c r="A1183" s="144" t="s">
        <v>289</v>
      </c>
      <c r="B1183" s="145" t="s">
        <v>292</v>
      </c>
      <c r="C1183" s="146" t="s">
        <v>293</v>
      </c>
      <c r="D1183" s="46">
        <v>19</v>
      </c>
      <c r="E1183" s="2">
        <v>0</v>
      </c>
      <c r="F1183" s="2">
        <f>37-(D1183+E1183)</f>
        <v>18</v>
      </c>
      <c r="G1183" s="2">
        <f>SUM(D1183:F1183)</f>
        <v>37</v>
      </c>
      <c r="H1183" s="131">
        <f>+(D1183+E1183)/G1183</f>
        <v>0.51351351351351349</v>
      </c>
    </row>
    <row r="1184" spans="1:8" ht="13.5" thickBot="1" x14ac:dyDescent="0.25">
      <c r="A1184" s="34"/>
      <c r="B1184" s="35">
        <f>COUNTA(B1182:B1183)</f>
        <v>2</v>
      </c>
      <c r="C1184" s="36" t="s">
        <v>20</v>
      </c>
      <c r="D1184" s="3">
        <f>SUM(D1182:D1183)</f>
        <v>34</v>
      </c>
      <c r="E1184" s="3">
        <f>SUM(E1182:E1183)</f>
        <v>0</v>
      </c>
      <c r="F1184" s="3">
        <f>SUM(F1182:F1183)</f>
        <v>30</v>
      </c>
      <c r="G1184" s="3">
        <f>SUM(D1184:F1184)</f>
        <v>64</v>
      </c>
      <c r="H1184" s="37">
        <f>+(D1184+E1184)/G1184</f>
        <v>0.53125</v>
      </c>
    </row>
    <row r="1185" spans="1:8" x14ac:dyDescent="0.2">
      <c r="A1185" s="38"/>
      <c r="B1185" s="39"/>
      <c r="C1185" s="40"/>
      <c r="D1185" s="5"/>
      <c r="E1185" s="42"/>
      <c r="F1185" s="41"/>
      <c r="G1185" s="42"/>
      <c r="H1185" s="43"/>
    </row>
    <row r="1186" spans="1:8" x14ac:dyDescent="0.2">
      <c r="A1186" s="38"/>
      <c r="B1186" s="39"/>
      <c r="C1186" s="45" t="s">
        <v>301</v>
      </c>
      <c r="D1186" s="5"/>
      <c r="E1186" s="42"/>
      <c r="F1186" s="41"/>
      <c r="G1186" s="42"/>
      <c r="H1186" s="43"/>
    </row>
    <row r="1187" spans="1:8" ht="13.5" thickBot="1" x14ac:dyDescent="0.25">
      <c r="A1187" s="73" t="s">
        <v>302</v>
      </c>
      <c r="B1187" s="48" t="s">
        <v>303</v>
      </c>
      <c r="C1187" s="72" t="s">
        <v>301</v>
      </c>
      <c r="D1187" s="46">
        <v>126</v>
      </c>
      <c r="E1187" s="2">
        <v>0</v>
      </c>
      <c r="F1187" s="2">
        <f>126-(D1187+E1187)</f>
        <v>0</v>
      </c>
      <c r="G1187" s="2">
        <f>SUM(D1187:F1187)</f>
        <v>126</v>
      </c>
      <c r="H1187" s="49">
        <f>+(D1187+E1187)/G1187</f>
        <v>1</v>
      </c>
    </row>
    <row r="1188" spans="1:8" ht="13.5" thickBot="1" x14ac:dyDescent="0.25">
      <c r="A1188" s="34"/>
      <c r="B1188" s="35">
        <f>COUNTA(B1187)</f>
        <v>1</v>
      </c>
      <c r="C1188" s="36" t="s">
        <v>20</v>
      </c>
      <c r="D1188" s="3">
        <f>SUM(D1187)</f>
        <v>126</v>
      </c>
      <c r="E1188" s="3">
        <f>SUM(E1187)</f>
        <v>0</v>
      </c>
      <c r="F1188" s="3">
        <f>SUM(F1187)</f>
        <v>0</v>
      </c>
      <c r="G1188" s="3">
        <f>SUM(D1188:F1188)</f>
        <v>126</v>
      </c>
      <c r="H1188" s="37">
        <f>+(D1188+E1188)/G1188</f>
        <v>1</v>
      </c>
    </row>
    <row r="1189" spans="1:8" x14ac:dyDescent="0.2">
      <c r="A1189" s="38"/>
      <c r="B1189" s="39"/>
      <c r="C1189" s="40"/>
      <c r="D1189" s="5"/>
      <c r="E1189" s="42"/>
      <c r="F1189" s="41"/>
      <c r="G1189" s="42"/>
      <c r="H1189" s="43"/>
    </row>
    <row r="1190" spans="1:8" x14ac:dyDescent="0.2">
      <c r="A1190" s="38"/>
      <c r="B1190" s="39"/>
      <c r="C1190" s="45" t="s">
        <v>304</v>
      </c>
      <c r="D1190" s="5"/>
      <c r="E1190" s="42"/>
      <c r="F1190" s="41"/>
      <c r="G1190" s="42"/>
      <c r="H1190" s="43"/>
    </row>
    <row r="1191" spans="1:8" ht="13.5" thickBot="1" x14ac:dyDescent="0.25">
      <c r="A1191" s="73" t="s">
        <v>305</v>
      </c>
      <c r="B1191" s="48" t="s">
        <v>306</v>
      </c>
      <c r="C1191" s="72" t="s">
        <v>304</v>
      </c>
      <c r="D1191" s="46">
        <v>59</v>
      </c>
      <c r="E1191" s="2">
        <v>0</v>
      </c>
      <c r="F1191" s="2">
        <f>59-(D1191+E1191)</f>
        <v>0</v>
      </c>
      <c r="G1191" s="2">
        <f>SUM(D1191:F1191)</f>
        <v>59</v>
      </c>
      <c r="H1191" s="49">
        <f>+(D1191+E1191)/G1191</f>
        <v>1</v>
      </c>
    </row>
    <row r="1192" spans="1:8" ht="13.5" thickBot="1" x14ac:dyDescent="0.25">
      <c r="A1192" s="34"/>
      <c r="B1192" s="35">
        <f>COUNTA(B1191)</f>
        <v>1</v>
      </c>
      <c r="C1192" s="36" t="s">
        <v>20</v>
      </c>
      <c r="D1192" s="3">
        <f>SUM(D1191)</f>
        <v>59</v>
      </c>
      <c r="E1192" s="3">
        <f>SUM(E1191)</f>
        <v>0</v>
      </c>
      <c r="F1192" s="3">
        <f>SUM(F1191)</f>
        <v>0</v>
      </c>
      <c r="G1192" s="3">
        <f>SUM(D1192:F1192)</f>
        <v>59</v>
      </c>
      <c r="H1192" s="37">
        <f>+(D1192+E1192)/G1192</f>
        <v>1</v>
      </c>
    </row>
    <row r="1193" spans="1:8" x14ac:dyDescent="0.2">
      <c r="A1193" s="38"/>
      <c r="B1193" s="39"/>
      <c r="C1193" s="40"/>
      <c r="D1193" s="5"/>
      <c r="E1193" s="42"/>
      <c r="F1193" s="41"/>
      <c r="G1193" s="42"/>
      <c r="H1193" s="43"/>
    </row>
    <row r="1194" spans="1:8" x14ac:dyDescent="0.2">
      <c r="A1194" s="38"/>
      <c r="B1194" s="39"/>
      <c r="C1194" s="45" t="s">
        <v>307</v>
      </c>
      <c r="D1194" s="5"/>
      <c r="E1194" s="42"/>
      <c r="F1194" s="41"/>
      <c r="G1194" s="42"/>
      <c r="H1194" s="43"/>
    </row>
    <row r="1195" spans="1:8" x14ac:dyDescent="0.2">
      <c r="A1195" s="30" t="s">
        <v>308</v>
      </c>
      <c r="B1195" s="84" t="s">
        <v>1048</v>
      </c>
      <c r="C1195" s="62" t="s">
        <v>1049</v>
      </c>
      <c r="D1195" s="46">
        <v>16</v>
      </c>
      <c r="E1195" s="2">
        <v>0</v>
      </c>
      <c r="F1195" s="2">
        <f>16-(D1195+E1195)</f>
        <v>0</v>
      </c>
      <c r="G1195" s="2">
        <f>SUM(D1195:F1195)</f>
        <v>16</v>
      </c>
      <c r="H1195" s="33">
        <f>+(D1195+E1195)/G1195</f>
        <v>1</v>
      </c>
    </row>
    <row r="1196" spans="1:8" x14ac:dyDescent="0.2">
      <c r="A1196" s="30" t="s">
        <v>308</v>
      </c>
      <c r="B1196" s="31" t="s">
        <v>309</v>
      </c>
      <c r="C1196" s="32" t="s">
        <v>307</v>
      </c>
      <c r="D1196" s="46">
        <v>16</v>
      </c>
      <c r="E1196" s="2">
        <v>0</v>
      </c>
      <c r="F1196" s="2">
        <f>16-(D1196+E1196)</f>
        <v>0</v>
      </c>
      <c r="G1196" s="2">
        <f>SUM(D1196:F1196)</f>
        <v>16</v>
      </c>
      <c r="H1196" s="33">
        <f>+(D1196+E1196)/G1196</f>
        <v>1</v>
      </c>
    </row>
    <row r="1197" spans="1:8" ht="13.5" thickBot="1" x14ac:dyDescent="0.25">
      <c r="A1197" s="73" t="s">
        <v>308</v>
      </c>
      <c r="B1197" s="48" t="s">
        <v>310</v>
      </c>
      <c r="C1197" s="72" t="s">
        <v>311</v>
      </c>
      <c r="D1197" s="46">
        <v>18</v>
      </c>
      <c r="E1197" s="2">
        <v>0</v>
      </c>
      <c r="F1197" s="2">
        <f>18-(D1197+E1197)</f>
        <v>0</v>
      </c>
      <c r="G1197" s="2">
        <f>SUM(D1197:F1197)</f>
        <v>18</v>
      </c>
      <c r="H1197" s="49">
        <f>+(D1197+E1197)/G1197</f>
        <v>1</v>
      </c>
    </row>
    <row r="1198" spans="1:8" ht="13.5" thickBot="1" x14ac:dyDescent="0.25">
      <c r="A1198" s="34"/>
      <c r="B1198" s="35">
        <f>COUNTA(B1195:B1197)</f>
        <v>3</v>
      </c>
      <c r="C1198" s="36" t="s">
        <v>20</v>
      </c>
      <c r="D1198" s="3">
        <f>SUM(D1195:D1197)</f>
        <v>50</v>
      </c>
      <c r="E1198" s="3">
        <f>SUM(E1195:E1197)</f>
        <v>0</v>
      </c>
      <c r="F1198" s="3">
        <f>SUM(F1195:F1197)</f>
        <v>0</v>
      </c>
      <c r="G1198" s="3">
        <f>SUM(D1198:F1198)</f>
        <v>50</v>
      </c>
      <c r="H1198" s="37">
        <f>+(D1198+E1198)/G1198</f>
        <v>1</v>
      </c>
    </row>
    <row r="1199" spans="1:8" x14ac:dyDescent="0.2">
      <c r="A1199" s="38"/>
      <c r="B1199" s="122"/>
      <c r="C1199" s="123"/>
      <c r="D1199" s="41"/>
      <c r="E1199" s="42"/>
      <c r="F1199" s="41"/>
      <c r="G1199" s="42"/>
      <c r="H1199" s="43"/>
    </row>
    <row r="1200" spans="1:8" x14ac:dyDescent="0.2">
      <c r="A1200" s="38"/>
      <c r="B1200" s="39"/>
      <c r="C1200" s="45" t="s">
        <v>419</v>
      </c>
      <c r="D1200" s="5"/>
      <c r="E1200" s="42"/>
      <c r="F1200" s="41"/>
      <c r="G1200" s="42"/>
      <c r="H1200" s="43"/>
    </row>
    <row r="1201" spans="1:8" x14ac:dyDescent="0.2">
      <c r="A1201" s="63" t="s">
        <v>420</v>
      </c>
      <c r="B1201" s="31" t="s">
        <v>312</v>
      </c>
      <c r="C1201" s="32" t="s">
        <v>313</v>
      </c>
      <c r="D1201" s="46">
        <v>32</v>
      </c>
      <c r="E1201" s="2">
        <v>0</v>
      </c>
      <c r="F1201" s="2">
        <f>32-(D1201+E1201)</f>
        <v>0</v>
      </c>
      <c r="G1201" s="2">
        <f>SUM(D1201:F1201)</f>
        <v>32</v>
      </c>
      <c r="H1201" s="33">
        <f t="shared" ref="H1201:H1220" si="206">+(D1201+E1201)/G1201</f>
        <v>1</v>
      </c>
    </row>
    <row r="1202" spans="1:8" x14ac:dyDescent="0.2">
      <c r="A1202" s="63" t="s">
        <v>420</v>
      </c>
      <c r="B1202" s="84" t="s">
        <v>315</v>
      </c>
      <c r="C1202" s="32" t="s">
        <v>314</v>
      </c>
      <c r="D1202" s="46">
        <v>35</v>
      </c>
      <c r="E1202" s="2">
        <v>0</v>
      </c>
      <c r="F1202" s="2">
        <f>35-(D1202+E1202)</f>
        <v>0</v>
      </c>
      <c r="G1202" s="2">
        <f>SUM(D1202:F1202)</f>
        <v>35</v>
      </c>
      <c r="H1202" s="33">
        <f t="shared" si="206"/>
        <v>1</v>
      </c>
    </row>
    <row r="1203" spans="1:8" x14ac:dyDescent="0.2">
      <c r="A1203" s="63" t="s">
        <v>420</v>
      </c>
      <c r="B1203" s="31" t="s">
        <v>316</v>
      </c>
      <c r="C1203" s="62" t="s">
        <v>994</v>
      </c>
      <c r="D1203" s="46">
        <v>17</v>
      </c>
      <c r="E1203" s="2">
        <v>0</v>
      </c>
      <c r="F1203" s="2">
        <f t="shared" ref="F1203:F1218" si="207">17-(D1203+E1203)</f>
        <v>0</v>
      </c>
      <c r="G1203" s="2">
        <f>SUM(D1203:F1203)</f>
        <v>17</v>
      </c>
      <c r="H1203" s="33">
        <f>+(D1203+E1203)/G1203</f>
        <v>1</v>
      </c>
    </row>
    <row r="1204" spans="1:8" x14ac:dyDescent="0.2">
      <c r="A1204" s="63" t="s">
        <v>420</v>
      </c>
      <c r="B1204" s="84" t="s">
        <v>317</v>
      </c>
      <c r="C1204" s="62" t="s">
        <v>424</v>
      </c>
      <c r="D1204" s="46">
        <v>43</v>
      </c>
      <c r="E1204" s="2">
        <v>0</v>
      </c>
      <c r="F1204" s="2">
        <f>43-(D1204+E1204)</f>
        <v>0</v>
      </c>
      <c r="G1204" s="2">
        <f>SUM(D1204:F1204)</f>
        <v>43</v>
      </c>
      <c r="H1204" s="33">
        <f t="shared" si="206"/>
        <v>1</v>
      </c>
    </row>
    <row r="1205" spans="1:8" x14ac:dyDescent="0.2">
      <c r="A1205" s="63" t="s">
        <v>420</v>
      </c>
      <c r="B1205" s="125" t="s">
        <v>423</v>
      </c>
      <c r="C1205" s="40" t="s">
        <v>318</v>
      </c>
      <c r="D1205" s="46">
        <v>84</v>
      </c>
      <c r="E1205" s="2">
        <v>0</v>
      </c>
      <c r="F1205" s="2">
        <f>84-(D1205+E1205)</f>
        <v>0</v>
      </c>
      <c r="G1205" s="2">
        <f>SUM(D1205:F1205)</f>
        <v>84</v>
      </c>
      <c r="H1205" s="43">
        <f t="shared" si="206"/>
        <v>1</v>
      </c>
    </row>
    <row r="1206" spans="1:8" x14ac:dyDescent="0.2">
      <c r="A1206" s="63" t="s">
        <v>420</v>
      </c>
      <c r="B1206" s="31" t="s">
        <v>294</v>
      </c>
      <c r="C1206" s="62" t="s">
        <v>991</v>
      </c>
      <c r="D1206" s="46">
        <v>17</v>
      </c>
      <c r="E1206" s="2">
        <v>0</v>
      </c>
      <c r="F1206" s="2">
        <f t="shared" si="207"/>
        <v>0</v>
      </c>
      <c r="G1206" s="2">
        <f t="shared" ref="G1206:G1210" si="208">SUM(D1206:F1206)</f>
        <v>17</v>
      </c>
      <c r="H1206" s="33">
        <f t="shared" ref="H1206:H1219" si="209">+(D1206+E1206)/G1206</f>
        <v>1</v>
      </c>
    </row>
    <row r="1207" spans="1:8" x14ac:dyDescent="0.2">
      <c r="A1207" s="63" t="s">
        <v>420</v>
      </c>
      <c r="B1207" s="31" t="s">
        <v>295</v>
      </c>
      <c r="C1207" s="32" t="s">
        <v>296</v>
      </c>
      <c r="D1207" s="46">
        <v>83</v>
      </c>
      <c r="E1207" s="2">
        <v>0</v>
      </c>
      <c r="F1207" s="2">
        <f>83-(D1207+E1207)</f>
        <v>0</v>
      </c>
      <c r="G1207" s="2">
        <f t="shared" si="208"/>
        <v>83</v>
      </c>
      <c r="H1207" s="33">
        <f t="shared" si="209"/>
        <v>1</v>
      </c>
    </row>
    <row r="1208" spans="1:8" x14ac:dyDescent="0.2">
      <c r="A1208" s="63" t="s">
        <v>420</v>
      </c>
      <c r="B1208" s="31" t="s">
        <v>297</v>
      </c>
      <c r="C1208" s="32" t="s">
        <v>298</v>
      </c>
      <c r="D1208" s="46">
        <v>19</v>
      </c>
      <c r="E1208" s="2">
        <v>0</v>
      </c>
      <c r="F1208" s="2">
        <f>19-(D1208+E1208)</f>
        <v>0</v>
      </c>
      <c r="G1208" s="2">
        <f t="shared" si="208"/>
        <v>19</v>
      </c>
      <c r="H1208" s="33">
        <f t="shared" si="209"/>
        <v>1</v>
      </c>
    </row>
    <row r="1209" spans="1:8" x14ac:dyDescent="0.2">
      <c r="A1209" s="63" t="s">
        <v>420</v>
      </c>
      <c r="B1209" s="31" t="s">
        <v>299</v>
      </c>
      <c r="C1209" s="62" t="s">
        <v>993</v>
      </c>
      <c r="D1209" s="46">
        <v>10</v>
      </c>
      <c r="E1209" s="2">
        <v>0</v>
      </c>
      <c r="F1209" s="2">
        <f>10-(D1209+E1209)</f>
        <v>0</v>
      </c>
      <c r="G1209" s="2">
        <f t="shared" si="208"/>
        <v>10</v>
      </c>
      <c r="H1209" s="33">
        <f t="shared" si="209"/>
        <v>1</v>
      </c>
    </row>
    <row r="1210" spans="1:8" x14ac:dyDescent="0.2">
      <c r="A1210" s="63" t="s">
        <v>420</v>
      </c>
      <c r="B1210" s="31" t="s">
        <v>300</v>
      </c>
      <c r="C1210" s="62" t="s">
        <v>939</v>
      </c>
      <c r="D1210" s="46">
        <v>48</v>
      </c>
      <c r="E1210" s="2">
        <v>0</v>
      </c>
      <c r="F1210" s="2">
        <f>48-(D1210+E1210)</f>
        <v>0</v>
      </c>
      <c r="G1210" s="2">
        <f t="shared" si="208"/>
        <v>48</v>
      </c>
      <c r="H1210" s="33">
        <f t="shared" si="209"/>
        <v>1</v>
      </c>
    </row>
    <row r="1211" spans="1:8" x14ac:dyDescent="0.2">
      <c r="A1211" s="63" t="s">
        <v>420</v>
      </c>
      <c r="B1211" s="124" t="s">
        <v>421</v>
      </c>
      <c r="C1211" s="62" t="s">
        <v>422</v>
      </c>
      <c r="D1211" s="46">
        <v>13</v>
      </c>
      <c r="E1211" s="2">
        <v>0</v>
      </c>
      <c r="F1211" s="2">
        <f>13-(D1211+E1211)</f>
        <v>0</v>
      </c>
      <c r="G1211" s="2">
        <f>SUM(D1211:F1211)</f>
        <v>13</v>
      </c>
      <c r="H1211" s="33">
        <f t="shared" si="209"/>
        <v>1</v>
      </c>
    </row>
    <row r="1212" spans="1:8" x14ac:dyDescent="0.2">
      <c r="A1212" s="63" t="s">
        <v>420</v>
      </c>
      <c r="B1212" s="31" t="s">
        <v>331</v>
      </c>
      <c r="C1212" s="62" t="s">
        <v>992</v>
      </c>
      <c r="D1212" s="46">
        <v>5</v>
      </c>
      <c r="E1212" s="2">
        <v>0</v>
      </c>
      <c r="F1212" s="2">
        <f>5-(D1212+E1212)</f>
        <v>0</v>
      </c>
      <c r="G1212" s="2">
        <f t="shared" ref="G1212:G1219" si="210">SUM(D1212:F1212)</f>
        <v>5</v>
      </c>
      <c r="H1212" s="33">
        <f t="shared" si="209"/>
        <v>1</v>
      </c>
    </row>
    <row r="1213" spans="1:8" x14ac:dyDescent="0.2">
      <c r="A1213" s="63" t="s">
        <v>420</v>
      </c>
      <c r="B1213" s="31" t="s">
        <v>332</v>
      </c>
      <c r="C1213" s="62" t="s">
        <v>938</v>
      </c>
      <c r="D1213" s="46">
        <v>13</v>
      </c>
      <c r="E1213" s="2">
        <v>0</v>
      </c>
      <c r="F1213" s="2">
        <f>13-(D1213+E1213)</f>
        <v>0</v>
      </c>
      <c r="G1213" s="2">
        <f t="shared" si="210"/>
        <v>13</v>
      </c>
      <c r="H1213" s="33">
        <f t="shared" si="209"/>
        <v>1</v>
      </c>
    </row>
    <row r="1214" spans="1:8" x14ac:dyDescent="0.2">
      <c r="A1214" s="63" t="s">
        <v>420</v>
      </c>
      <c r="B1214" s="31" t="s">
        <v>333</v>
      </c>
      <c r="C1214" s="32" t="s">
        <v>334</v>
      </c>
      <c r="D1214" s="46">
        <v>8</v>
      </c>
      <c r="E1214" s="2">
        <v>0</v>
      </c>
      <c r="F1214" s="2">
        <f>8-(D1214+E1214)</f>
        <v>0</v>
      </c>
      <c r="G1214" s="2">
        <f t="shared" si="210"/>
        <v>8</v>
      </c>
      <c r="H1214" s="33">
        <f t="shared" si="209"/>
        <v>1</v>
      </c>
    </row>
    <row r="1215" spans="1:8" x14ac:dyDescent="0.2">
      <c r="A1215" s="63" t="s">
        <v>420</v>
      </c>
      <c r="B1215" s="31" t="s">
        <v>335</v>
      </c>
      <c r="C1215" s="32" t="s">
        <v>336</v>
      </c>
      <c r="D1215" s="46">
        <v>63</v>
      </c>
      <c r="E1215" s="2">
        <v>0</v>
      </c>
      <c r="F1215" s="2">
        <f>63-(D1215+E1215)</f>
        <v>0</v>
      </c>
      <c r="G1215" s="2">
        <f t="shared" si="210"/>
        <v>63</v>
      </c>
      <c r="H1215" s="33">
        <f t="shared" si="209"/>
        <v>1</v>
      </c>
    </row>
    <row r="1216" spans="1:8" x14ac:dyDescent="0.2">
      <c r="A1216" s="63" t="s">
        <v>420</v>
      </c>
      <c r="B1216" s="31" t="s">
        <v>337</v>
      </c>
      <c r="C1216" s="32" t="s">
        <v>338</v>
      </c>
      <c r="D1216" s="46">
        <v>5</v>
      </c>
      <c r="E1216" s="2">
        <v>0</v>
      </c>
      <c r="F1216" s="2">
        <f>5-(D1216+E1216)</f>
        <v>0</v>
      </c>
      <c r="G1216" s="2">
        <f t="shared" si="210"/>
        <v>5</v>
      </c>
      <c r="H1216" s="33">
        <f t="shared" si="209"/>
        <v>1</v>
      </c>
    </row>
    <row r="1217" spans="1:8" x14ac:dyDescent="0.2">
      <c r="A1217" s="63" t="s">
        <v>420</v>
      </c>
      <c r="B1217" s="31" t="s">
        <v>339</v>
      </c>
      <c r="C1217" s="32" t="s">
        <v>340</v>
      </c>
      <c r="D1217" s="46">
        <v>31</v>
      </c>
      <c r="E1217" s="2">
        <v>0</v>
      </c>
      <c r="F1217" s="2">
        <f>31-(D1217+E1217)</f>
        <v>0</v>
      </c>
      <c r="G1217" s="2">
        <f t="shared" si="210"/>
        <v>31</v>
      </c>
      <c r="H1217" s="33">
        <f t="shared" si="209"/>
        <v>1</v>
      </c>
    </row>
    <row r="1218" spans="1:8" x14ac:dyDescent="0.2">
      <c r="A1218" s="63" t="s">
        <v>420</v>
      </c>
      <c r="B1218" s="31" t="s">
        <v>341</v>
      </c>
      <c r="C1218" s="62" t="s">
        <v>958</v>
      </c>
      <c r="D1218" s="46">
        <v>17</v>
      </c>
      <c r="E1218" s="2">
        <v>0</v>
      </c>
      <c r="F1218" s="2">
        <f t="shared" si="207"/>
        <v>0</v>
      </c>
      <c r="G1218" s="2">
        <f t="shared" si="210"/>
        <v>17</v>
      </c>
      <c r="H1218" s="33">
        <f t="shared" si="209"/>
        <v>1</v>
      </c>
    </row>
    <row r="1219" spans="1:8" ht="13.5" thickBot="1" x14ac:dyDescent="0.25">
      <c r="A1219" s="63" t="s">
        <v>420</v>
      </c>
      <c r="B1219" s="122" t="s">
        <v>342</v>
      </c>
      <c r="C1219" s="40" t="s">
        <v>343</v>
      </c>
      <c r="D1219" s="46">
        <v>8</v>
      </c>
      <c r="E1219" s="2">
        <v>0</v>
      </c>
      <c r="F1219" s="2">
        <f>8-(D1219+E1219)</f>
        <v>0</v>
      </c>
      <c r="G1219" s="2">
        <f t="shared" si="210"/>
        <v>8</v>
      </c>
      <c r="H1219" s="43">
        <f t="shared" si="209"/>
        <v>1</v>
      </c>
    </row>
    <row r="1220" spans="1:8" ht="13.5" thickBot="1" x14ac:dyDescent="0.25">
      <c r="A1220" s="34"/>
      <c r="B1220" s="35">
        <f>COUNTA(B1201:B1219)</f>
        <v>19</v>
      </c>
      <c r="C1220" s="36" t="s">
        <v>20</v>
      </c>
      <c r="D1220" s="3">
        <f>SUM(D1201:D1219)</f>
        <v>551</v>
      </c>
      <c r="E1220" s="3">
        <f>SUM(E1201:E1219)</f>
        <v>0</v>
      </c>
      <c r="F1220" s="3">
        <f>SUM(F1201:F1219)</f>
        <v>0</v>
      </c>
      <c r="G1220" s="3">
        <f>SUM(G1201:G1219)</f>
        <v>551</v>
      </c>
      <c r="H1220" s="37">
        <f t="shared" si="206"/>
        <v>1</v>
      </c>
    </row>
    <row r="1221" spans="1:8" x14ac:dyDescent="0.2">
      <c r="A1221" s="38"/>
      <c r="B1221" s="39"/>
      <c r="C1221" s="40"/>
      <c r="D1221" s="5"/>
      <c r="E1221" s="42"/>
      <c r="F1221" s="41"/>
      <c r="G1221" s="42"/>
      <c r="H1221" s="43"/>
    </row>
    <row r="1222" spans="1:8" x14ac:dyDescent="0.2">
      <c r="A1222" s="38"/>
      <c r="B1222" s="39"/>
      <c r="C1222" s="45" t="s">
        <v>990</v>
      </c>
      <c r="D1222" s="5"/>
      <c r="E1222" s="42"/>
      <c r="F1222" s="41"/>
      <c r="G1222" s="42"/>
      <c r="H1222" s="43"/>
    </row>
    <row r="1223" spans="1:8" ht="13.5" thickBot="1" x14ac:dyDescent="0.25">
      <c r="A1223" s="121" t="s">
        <v>988</v>
      </c>
      <c r="B1223" s="71" t="s">
        <v>989</v>
      </c>
      <c r="C1223" s="65" t="s">
        <v>990</v>
      </c>
      <c r="D1223" s="46">
        <v>17</v>
      </c>
      <c r="E1223" s="2">
        <v>0</v>
      </c>
      <c r="F1223" s="2">
        <f>17-(D1223+E1223)</f>
        <v>0</v>
      </c>
      <c r="G1223" s="2">
        <f>SUM(D1223:F1223)</f>
        <v>17</v>
      </c>
      <c r="H1223" s="49">
        <f>+(D1223+E1223)/G1223</f>
        <v>1</v>
      </c>
    </row>
    <row r="1224" spans="1:8" ht="13.5" thickBot="1" x14ac:dyDescent="0.25">
      <c r="A1224" s="34"/>
      <c r="B1224" s="35">
        <f>COUNTA(B1223)</f>
        <v>1</v>
      </c>
      <c r="C1224" s="36" t="s">
        <v>20</v>
      </c>
      <c r="D1224" s="3">
        <f>SUM(D1223)</f>
        <v>17</v>
      </c>
      <c r="E1224" s="3">
        <f>SUM(E1223)</f>
        <v>0</v>
      </c>
      <c r="F1224" s="3">
        <f>SUM(F1223)</f>
        <v>0</v>
      </c>
      <c r="G1224" s="3">
        <f>SUM(D1224:F1224)</f>
        <v>17</v>
      </c>
      <c r="H1224" s="37">
        <f>+(D1224+E1224)/G1224</f>
        <v>1</v>
      </c>
    </row>
    <row r="1225" spans="1:8" x14ac:dyDescent="0.2">
      <c r="A1225" s="38"/>
      <c r="B1225" s="39"/>
      <c r="C1225" s="40"/>
      <c r="D1225" s="5"/>
      <c r="E1225" s="42"/>
      <c r="F1225" s="41"/>
      <c r="G1225" s="42"/>
      <c r="H1225" s="43"/>
    </row>
    <row r="1226" spans="1:8" x14ac:dyDescent="0.2">
      <c r="A1226" s="38"/>
      <c r="B1226" s="39"/>
      <c r="C1226" s="45" t="s">
        <v>319</v>
      </c>
      <c r="D1226" s="5"/>
      <c r="E1226" s="42"/>
      <c r="F1226" s="41"/>
      <c r="G1226" s="42"/>
      <c r="H1226" s="43"/>
    </row>
    <row r="1227" spans="1:8" ht="13.5" thickBot="1" x14ac:dyDescent="0.25">
      <c r="A1227" s="73" t="s">
        <v>320</v>
      </c>
      <c r="B1227" s="71" t="s">
        <v>937</v>
      </c>
      <c r="C1227" s="72" t="s">
        <v>319</v>
      </c>
      <c r="D1227" s="46">
        <v>76</v>
      </c>
      <c r="E1227" s="2">
        <v>0</v>
      </c>
      <c r="F1227" s="2">
        <f>76-(D1227+E1227)</f>
        <v>0</v>
      </c>
      <c r="G1227" s="2">
        <f>SUM(D1227:F1227)</f>
        <v>76</v>
      </c>
      <c r="H1227" s="49">
        <f>+(D1227+E1227)/G1227</f>
        <v>1</v>
      </c>
    </row>
    <row r="1228" spans="1:8" ht="13.5" thickBot="1" x14ac:dyDescent="0.25">
      <c r="A1228" s="34"/>
      <c r="B1228" s="35">
        <f>COUNTA(B1227)</f>
        <v>1</v>
      </c>
      <c r="C1228" s="36" t="s">
        <v>20</v>
      </c>
      <c r="D1228" s="3">
        <f>SUM(D1227)</f>
        <v>76</v>
      </c>
      <c r="E1228" s="3">
        <f>SUM(E1227)</f>
        <v>0</v>
      </c>
      <c r="F1228" s="3">
        <f>SUM(F1227)</f>
        <v>0</v>
      </c>
      <c r="G1228" s="3">
        <f>SUM(D1228:F1228)</f>
        <v>76</v>
      </c>
      <c r="H1228" s="37">
        <f>+(D1228+E1228)/G1228</f>
        <v>1</v>
      </c>
    </row>
    <row r="1229" spans="1:8" x14ac:dyDescent="0.2">
      <c r="A1229" s="38"/>
      <c r="B1229" s="39"/>
      <c r="C1229" s="40"/>
      <c r="D1229" s="5"/>
      <c r="E1229" s="42"/>
      <c r="F1229" s="41"/>
      <c r="G1229" s="42"/>
      <c r="H1229" s="43"/>
    </row>
    <row r="1230" spans="1:8" x14ac:dyDescent="0.2">
      <c r="A1230" s="38"/>
      <c r="B1230" s="39"/>
      <c r="C1230" s="45" t="s">
        <v>321</v>
      </c>
      <c r="D1230" s="5"/>
      <c r="E1230" s="42"/>
      <c r="F1230" s="41"/>
      <c r="G1230" s="42"/>
      <c r="H1230" s="43"/>
    </row>
    <row r="1231" spans="1:8" x14ac:dyDescent="0.2">
      <c r="A1231" s="30" t="s">
        <v>322</v>
      </c>
      <c r="B1231" s="31" t="s">
        <v>323</v>
      </c>
      <c r="C1231" s="32" t="s">
        <v>324</v>
      </c>
      <c r="D1231" s="46">
        <v>10</v>
      </c>
      <c r="E1231" s="2">
        <v>0</v>
      </c>
      <c r="F1231" s="2">
        <f>10-(D1231+E1231)</f>
        <v>0</v>
      </c>
      <c r="G1231" s="2">
        <f>SUM(D1231:F1231)</f>
        <v>10</v>
      </c>
      <c r="H1231" s="33">
        <f>+(D1231+E1231)/G1231</f>
        <v>1</v>
      </c>
    </row>
    <row r="1232" spans="1:8" x14ac:dyDescent="0.2">
      <c r="A1232" s="30" t="s">
        <v>322</v>
      </c>
      <c r="B1232" s="31" t="s">
        <v>325</v>
      </c>
      <c r="C1232" s="32" t="s">
        <v>326</v>
      </c>
      <c r="D1232" s="46">
        <v>9</v>
      </c>
      <c r="E1232" s="2">
        <v>0</v>
      </c>
      <c r="F1232" s="2">
        <f>9-(D1232+E1232)</f>
        <v>0</v>
      </c>
      <c r="G1232" s="2">
        <f>SUM(D1232:F1232)</f>
        <v>9</v>
      </c>
      <c r="H1232" s="33">
        <f>+(D1232+E1232)/G1232</f>
        <v>1</v>
      </c>
    </row>
    <row r="1233" spans="1:22" x14ac:dyDescent="0.2">
      <c r="A1233" s="30" t="s">
        <v>322</v>
      </c>
      <c r="B1233" s="31" t="s">
        <v>327</v>
      </c>
      <c r="C1233" s="32" t="s">
        <v>328</v>
      </c>
      <c r="D1233" s="46">
        <v>3</v>
      </c>
      <c r="E1233" s="2">
        <v>0</v>
      </c>
      <c r="F1233" s="2">
        <f>3-(D1233+E1233)</f>
        <v>0</v>
      </c>
      <c r="G1233" s="2">
        <f>SUM(D1233:F1233)</f>
        <v>3</v>
      </c>
      <c r="H1233" s="33">
        <f>+(D1233+E1233)/G1233</f>
        <v>1</v>
      </c>
    </row>
    <row r="1234" spans="1:22" ht="13.5" thickBot="1" x14ac:dyDescent="0.25">
      <c r="A1234" s="38" t="s">
        <v>322</v>
      </c>
      <c r="B1234" s="122" t="s">
        <v>329</v>
      </c>
      <c r="C1234" s="40" t="s">
        <v>330</v>
      </c>
      <c r="D1234" s="46">
        <v>9</v>
      </c>
      <c r="E1234" s="2">
        <v>0</v>
      </c>
      <c r="F1234" s="2">
        <f>9-(D1234+E1234)</f>
        <v>0</v>
      </c>
      <c r="G1234" s="2">
        <f>SUM(D1234:F1234)</f>
        <v>9</v>
      </c>
      <c r="H1234" s="43">
        <f>+(D1234+E1234)/G1234</f>
        <v>1</v>
      </c>
    </row>
    <row r="1235" spans="1:22" ht="13.5" thickBot="1" x14ac:dyDescent="0.25">
      <c r="A1235" s="34"/>
      <c r="B1235" s="35">
        <f>COUNTA(B1231:B1234)</f>
        <v>4</v>
      </c>
      <c r="C1235" s="36" t="s">
        <v>20</v>
      </c>
      <c r="D1235" s="3">
        <f>SUM(D1231:D1234)</f>
        <v>31</v>
      </c>
      <c r="E1235" s="3">
        <f>SUM(E1231:E1234)</f>
        <v>0</v>
      </c>
      <c r="F1235" s="3">
        <f>SUM(F1231:F1234)</f>
        <v>0</v>
      </c>
      <c r="G1235" s="3">
        <f>SUM(G1231:G1234)</f>
        <v>31</v>
      </c>
      <c r="H1235" s="37">
        <f>+(D1235+E1235)/G1235</f>
        <v>1</v>
      </c>
    </row>
    <row r="1236" spans="1:22" x14ac:dyDescent="0.2">
      <c r="D1236" s="60"/>
      <c r="E1236" s="60"/>
      <c r="F1236" s="60"/>
      <c r="G1236" s="60"/>
      <c r="H1236" s="61"/>
      <c r="I1236" s="44"/>
      <c r="J1236" s="44"/>
      <c r="K1236" s="44"/>
      <c r="L1236" s="44"/>
      <c r="M1236" s="44"/>
      <c r="N1236" s="44"/>
      <c r="O1236" s="44"/>
      <c r="P1236" s="44"/>
      <c r="Q1236" s="44"/>
      <c r="R1236" s="44"/>
      <c r="S1236" s="44"/>
      <c r="T1236" s="44"/>
      <c r="U1236" s="44"/>
      <c r="V1236" s="44"/>
    </row>
    <row r="1237" spans="1:22" ht="13.5" thickBot="1" x14ac:dyDescent="0.25">
      <c r="D1237" s="51"/>
      <c r="E1237" s="6"/>
      <c r="F1237" s="6"/>
      <c r="G1237" s="6"/>
      <c r="H1237" s="7"/>
      <c r="I1237" s="44"/>
      <c r="J1237" s="44"/>
      <c r="K1237" s="44"/>
      <c r="L1237" s="44"/>
      <c r="M1237" s="44"/>
      <c r="N1237" s="44"/>
      <c r="O1237" s="44"/>
      <c r="P1237" s="44"/>
      <c r="Q1237" s="44"/>
      <c r="R1237" s="44"/>
      <c r="S1237" s="44"/>
      <c r="T1237" s="44"/>
      <c r="U1237" s="44"/>
      <c r="V1237" s="44"/>
    </row>
    <row r="1238" spans="1:22" s="53" customFormat="1" ht="13.5" thickBot="1" x14ac:dyDescent="0.25">
      <c r="A1238" s="16" t="s">
        <v>265</v>
      </c>
      <c r="B1238" s="17" t="s">
        <v>4</v>
      </c>
      <c r="C1238" s="18"/>
      <c r="D1238" s="19" t="s">
        <v>1</v>
      </c>
      <c r="E1238" s="20"/>
      <c r="F1238" s="21"/>
      <c r="G1238" s="22" t="s">
        <v>2</v>
      </c>
      <c r="H1238" s="52" t="s">
        <v>2</v>
      </c>
    </row>
    <row r="1239" spans="1:22" s="53" customFormat="1" ht="13.5" thickBot="1" x14ac:dyDescent="0.25">
      <c r="A1239" s="24" t="s">
        <v>4</v>
      </c>
      <c r="B1239" s="25" t="s">
        <v>225</v>
      </c>
      <c r="C1239" s="24" t="s">
        <v>198</v>
      </c>
      <c r="D1239" s="26" t="s">
        <v>7</v>
      </c>
      <c r="E1239" s="27" t="s">
        <v>8</v>
      </c>
      <c r="F1239" s="26" t="s">
        <v>9</v>
      </c>
      <c r="G1239" s="27" t="s">
        <v>10</v>
      </c>
      <c r="H1239" s="54" t="s">
        <v>10</v>
      </c>
    </row>
    <row r="1240" spans="1:22" ht="12.6" customHeight="1" x14ac:dyDescent="0.2">
      <c r="A1240" s="103">
        <v>1</v>
      </c>
      <c r="B1240" s="104">
        <f>+B84</f>
        <v>75</v>
      </c>
      <c r="C1240" s="105" t="s">
        <v>199</v>
      </c>
      <c r="D1240" s="106">
        <f>+D84</f>
        <v>14016</v>
      </c>
      <c r="E1240" s="106">
        <f>+E84</f>
        <v>4615</v>
      </c>
      <c r="F1240" s="106">
        <f>+F84</f>
        <v>51455</v>
      </c>
      <c r="G1240" s="106">
        <f>+G84</f>
        <v>70086</v>
      </c>
      <c r="H1240" s="107">
        <f>+(D1240+E1240)/G1240</f>
        <v>0.26583055103729702</v>
      </c>
    </row>
    <row r="1241" spans="1:22" ht="12.6" customHeight="1" x14ac:dyDescent="0.2">
      <c r="A1241" s="30">
        <v>2</v>
      </c>
      <c r="B1241" s="31">
        <f>+B92</f>
        <v>5</v>
      </c>
      <c r="C1241" s="32" t="s">
        <v>200</v>
      </c>
      <c r="D1241" s="2">
        <f>+D92</f>
        <v>465</v>
      </c>
      <c r="E1241" s="2">
        <f>+E92</f>
        <v>271</v>
      </c>
      <c r="F1241" s="2">
        <f>+F92</f>
        <v>817</v>
      </c>
      <c r="G1241" s="2">
        <f>+G92</f>
        <v>1553</v>
      </c>
      <c r="H1241" s="33">
        <f t="shared" ref="H1241:H1331" si="211">+(D1241+E1241)/G1241</f>
        <v>0.4739214423696072</v>
      </c>
    </row>
    <row r="1242" spans="1:22" ht="12.6" customHeight="1" x14ac:dyDescent="0.2">
      <c r="A1242" s="30">
        <v>3</v>
      </c>
      <c r="B1242" s="31">
        <f>+B116</f>
        <v>21</v>
      </c>
      <c r="C1242" s="32" t="s">
        <v>201</v>
      </c>
      <c r="D1242" s="2">
        <f>+D116</f>
        <v>3122</v>
      </c>
      <c r="E1242" s="2">
        <f>+E116</f>
        <v>1422</v>
      </c>
      <c r="F1242" s="2">
        <f>+F116</f>
        <v>6450</v>
      </c>
      <c r="G1242" s="2">
        <f>+G116</f>
        <v>10994</v>
      </c>
      <c r="H1242" s="33">
        <f t="shared" si="211"/>
        <v>0.41331635437511371</v>
      </c>
    </row>
    <row r="1243" spans="1:22" ht="12.6" customHeight="1" x14ac:dyDescent="0.2">
      <c r="A1243" s="30">
        <v>4</v>
      </c>
      <c r="B1243" s="31">
        <f>+B144</f>
        <v>25</v>
      </c>
      <c r="C1243" s="32" t="s">
        <v>202</v>
      </c>
      <c r="D1243" s="2">
        <f>+D144</f>
        <v>3380</v>
      </c>
      <c r="E1243" s="2">
        <f>+E144</f>
        <v>1887</v>
      </c>
      <c r="F1243" s="2">
        <f>+F144</f>
        <v>10482</v>
      </c>
      <c r="G1243" s="2">
        <f>+G144</f>
        <v>15749</v>
      </c>
      <c r="H1243" s="33">
        <f t="shared" si="211"/>
        <v>0.33443393231316276</v>
      </c>
    </row>
    <row r="1244" spans="1:22" ht="12.6" customHeight="1" x14ac:dyDescent="0.2">
      <c r="A1244" s="30">
        <v>5</v>
      </c>
      <c r="B1244" s="31">
        <f>+B157</f>
        <v>10</v>
      </c>
      <c r="C1244" s="32" t="s">
        <v>203</v>
      </c>
      <c r="D1244" s="2">
        <f>+D157</f>
        <v>1201</v>
      </c>
      <c r="E1244" s="2">
        <f>+E157</f>
        <v>349</v>
      </c>
      <c r="F1244" s="2">
        <f>+F157</f>
        <v>2021</v>
      </c>
      <c r="G1244" s="2">
        <f>+G157</f>
        <v>3571</v>
      </c>
      <c r="H1244" s="33">
        <f t="shared" si="211"/>
        <v>0.43405208625035002</v>
      </c>
    </row>
    <row r="1245" spans="1:22" ht="12.6" customHeight="1" x14ac:dyDescent="0.2">
      <c r="A1245" s="30">
        <v>6</v>
      </c>
      <c r="B1245" s="31">
        <f>+B162</f>
        <v>2</v>
      </c>
      <c r="C1245" s="32" t="s">
        <v>204</v>
      </c>
      <c r="D1245" s="2">
        <f>+D162</f>
        <v>29</v>
      </c>
      <c r="E1245" s="2">
        <f>+E162</f>
        <v>19</v>
      </c>
      <c r="F1245" s="2">
        <f>+F162</f>
        <v>138</v>
      </c>
      <c r="G1245" s="2">
        <f>+G162</f>
        <v>186</v>
      </c>
      <c r="H1245" s="33">
        <f t="shared" si="211"/>
        <v>0.25806451612903225</v>
      </c>
    </row>
    <row r="1246" spans="1:22" ht="12.6" customHeight="1" x14ac:dyDescent="0.2">
      <c r="A1246" s="30">
        <v>7</v>
      </c>
      <c r="B1246" s="31">
        <f>+B253</f>
        <v>88</v>
      </c>
      <c r="C1246" s="32" t="s">
        <v>45</v>
      </c>
      <c r="D1246" s="2">
        <f>+D253</f>
        <v>13368</v>
      </c>
      <c r="E1246" s="2">
        <f>+E253</f>
        <v>5093</v>
      </c>
      <c r="F1246" s="2">
        <f>+F253</f>
        <v>53028</v>
      </c>
      <c r="G1246" s="2">
        <f>+G253</f>
        <v>71489</v>
      </c>
      <c r="H1246" s="33">
        <f t="shared" si="211"/>
        <v>0.25823553273930255</v>
      </c>
    </row>
    <row r="1247" spans="1:22" ht="12.6" customHeight="1" x14ac:dyDescent="0.2">
      <c r="A1247" s="30">
        <v>8</v>
      </c>
      <c r="B1247" s="31">
        <f>+B270</f>
        <v>14</v>
      </c>
      <c r="C1247" s="32" t="s">
        <v>48</v>
      </c>
      <c r="D1247" s="2">
        <f>+D270</f>
        <v>1098</v>
      </c>
      <c r="E1247" s="2">
        <f>+E270</f>
        <v>458</v>
      </c>
      <c r="F1247" s="2">
        <f>+F270</f>
        <v>3368</v>
      </c>
      <c r="G1247" s="2">
        <f>+G270</f>
        <v>4924</v>
      </c>
      <c r="H1247" s="33">
        <f t="shared" si="211"/>
        <v>0.31600324939073926</v>
      </c>
    </row>
    <row r="1248" spans="1:22" ht="12.6" customHeight="1" x14ac:dyDescent="0.2">
      <c r="A1248" s="30">
        <v>9</v>
      </c>
      <c r="B1248" s="31">
        <f>+B283</f>
        <v>10</v>
      </c>
      <c r="C1248" s="32" t="s">
        <v>55</v>
      </c>
      <c r="D1248" s="2">
        <f>+D283</f>
        <v>781</v>
      </c>
      <c r="E1248" s="2">
        <f>+E283</f>
        <v>343</v>
      </c>
      <c r="F1248" s="2">
        <f>+F283</f>
        <v>1270</v>
      </c>
      <c r="G1248" s="2">
        <f>+G283</f>
        <v>2394</v>
      </c>
      <c r="H1248" s="33">
        <f t="shared" si="211"/>
        <v>0.46950710108604843</v>
      </c>
    </row>
    <row r="1249" spans="1:8" ht="12.6" customHeight="1" x14ac:dyDescent="0.2">
      <c r="A1249" s="30">
        <v>10</v>
      </c>
      <c r="B1249" s="31">
        <f>+B295</f>
        <v>9</v>
      </c>
      <c r="C1249" s="32" t="s">
        <v>58</v>
      </c>
      <c r="D1249" s="2">
        <f>+D295</f>
        <v>271</v>
      </c>
      <c r="E1249" s="2">
        <f>+E295</f>
        <v>150</v>
      </c>
      <c r="F1249" s="2">
        <f>+F295</f>
        <v>580</v>
      </c>
      <c r="G1249" s="2">
        <f>+G295</f>
        <v>1001</v>
      </c>
      <c r="H1249" s="33">
        <f t="shared" si="211"/>
        <v>0.4205794205794206</v>
      </c>
    </row>
    <row r="1250" spans="1:8" ht="12.6" customHeight="1" x14ac:dyDescent="0.2">
      <c r="A1250" s="30">
        <v>11</v>
      </c>
      <c r="B1250" s="31">
        <f>+B301</f>
        <v>3</v>
      </c>
      <c r="C1250" s="32" t="s">
        <v>60</v>
      </c>
      <c r="D1250" s="2">
        <f>+D301</f>
        <v>534</v>
      </c>
      <c r="E1250" s="2">
        <f>+E301</f>
        <v>150</v>
      </c>
      <c r="F1250" s="2">
        <f>+F301</f>
        <v>768</v>
      </c>
      <c r="G1250" s="2">
        <f>+G301</f>
        <v>1452</v>
      </c>
      <c r="H1250" s="33">
        <f t="shared" si="211"/>
        <v>0.47107438016528924</v>
      </c>
    </row>
    <row r="1251" spans="1:8" ht="12.6" customHeight="1" x14ac:dyDescent="0.2">
      <c r="A1251" s="30">
        <v>12</v>
      </c>
      <c r="B1251" s="31">
        <f>+B396</f>
        <v>92</v>
      </c>
      <c r="C1251" s="32" t="s">
        <v>62</v>
      </c>
      <c r="D1251" s="2">
        <f>+D396</f>
        <v>29414</v>
      </c>
      <c r="E1251" s="2">
        <f>+E396</f>
        <v>5258</v>
      </c>
      <c r="F1251" s="2">
        <f>+F396</f>
        <v>33658</v>
      </c>
      <c r="G1251" s="2">
        <f>+G396</f>
        <v>68330</v>
      </c>
      <c r="H1251" s="33">
        <f t="shared" si="211"/>
        <v>0.50741987414020195</v>
      </c>
    </row>
    <row r="1252" spans="1:8" ht="12.6" customHeight="1" x14ac:dyDescent="0.2">
      <c r="A1252" s="30">
        <v>13</v>
      </c>
      <c r="B1252" s="31">
        <f>+B414</f>
        <v>15</v>
      </c>
      <c r="C1252" s="32" t="s">
        <v>71</v>
      </c>
      <c r="D1252" s="2">
        <f>+D414</f>
        <v>3342</v>
      </c>
      <c r="E1252" s="2">
        <f>+E414</f>
        <v>1139</v>
      </c>
      <c r="F1252" s="2">
        <f>+F414</f>
        <v>4765</v>
      </c>
      <c r="G1252" s="2">
        <f>+G414</f>
        <v>9246</v>
      </c>
      <c r="H1252" s="33">
        <f t="shared" si="211"/>
        <v>0.48464200735453167</v>
      </c>
    </row>
    <row r="1253" spans="1:8" ht="12.6" customHeight="1" x14ac:dyDescent="0.2">
      <c r="A1253" s="30">
        <v>14</v>
      </c>
      <c r="B1253" s="31">
        <f>+B469</f>
        <v>52</v>
      </c>
      <c r="C1253" s="32" t="s">
        <v>79</v>
      </c>
      <c r="D1253" s="2">
        <f>+D469</f>
        <v>9236</v>
      </c>
      <c r="E1253" s="2">
        <f>+E469</f>
        <v>2859</v>
      </c>
      <c r="F1253" s="2">
        <f>+F469</f>
        <v>37794</v>
      </c>
      <c r="G1253" s="2">
        <f>+G469</f>
        <v>49889</v>
      </c>
      <c r="H1253" s="33">
        <f t="shared" si="211"/>
        <v>0.24243821283248812</v>
      </c>
    </row>
    <row r="1254" spans="1:8" ht="12.6" customHeight="1" x14ac:dyDescent="0.2">
      <c r="A1254" s="30">
        <v>15</v>
      </c>
      <c r="B1254" s="31">
        <f>+B477</f>
        <v>5</v>
      </c>
      <c r="C1254" s="32" t="s">
        <v>102</v>
      </c>
      <c r="D1254" s="2">
        <f>+D477</f>
        <v>616</v>
      </c>
      <c r="E1254" s="2">
        <f>+E477</f>
        <v>285</v>
      </c>
      <c r="F1254" s="2">
        <f>+F477</f>
        <v>1248</v>
      </c>
      <c r="G1254" s="2">
        <f>+G477</f>
        <v>2149</v>
      </c>
      <c r="H1254" s="33">
        <f t="shared" si="211"/>
        <v>0.41926477431363424</v>
      </c>
    </row>
    <row r="1255" spans="1:8" ht="12.6" customHeight="1" x14ac:dyDescent="0.2">
      <c r="A1255" s="30">
        <v>16</v>
      </c>
      <c r="B1255" s="31">
        <f>+B488</f>
        <v>8</v>
      </c>
      <c r="C1255" s="32" t="s">
        <v>104</v>
      </c>
      <c r="D1255" s="2">
        <f>+D488</f>
        <v>450</v>
      </c>
      <c r="E1255" s="2">
        <f>+E488</f>
        <v>175</v>
      </c>
      <c r="F1255" s="2">
        <f>+F488</f>
        <v>608</v>
      </c>
      <c r="G1255" s="2">
        <f>+G488</f>
        <v>1233</v>
      </c>
      <c r="H1255" s="33">
        <f t="shared" si="211"/>
        <v>0.50689375506893752</v>
      </c>
    </row>
    <row r="1256" spans="1:8" ht="12.6" customHeight="1" x14ac:dyDescent="0.2">
      <c r="A1256" s="30">
        <v>17</v>
      </c>
      <c r="B1256" s="31">
        <f>+B498</f>
        <v>7</v>
      </c>
      <c r="C1256" s="32" t="s">
        <v>110</v>
      </c>
      <c r="D1256" s="2">
        <f>+D498</f>
        <v>1090</v>
      </c>
      <c r="E1256" s="2">
        <f>+E498</f>
        <v>498</v>
      </c>
      <c r="F1256" s="2">
        <f>+F498</f>
        <v>1336</v>
      </c>
      <c r="G1256" s="2">
        <f>+G498</f>
        <v>2924</v>
      </c>
      <c r="H1256" s="33">
        <f t="shared" si="211"/>
        <v>0.54309165526675784</v>
      </c>
    </row>
    <row r="1257" spans="1:8" ht="12.6" customHeight="1" x14ac:dyDescent="0.2">
      <c r="A1257" s="30">
        <v>18</v>
      </c>
      <c r="B1257" s="31">
        <f>+B505</f>
        <v>4</v>
      </c>
      <c r="C1257" s="32" t="s">
        <v>42</v>
      </c>
      <c r="D1257" s="2">
        <f>+D505</f>
        <v>267</v>
      </c>
      <c r="E1257" s="2">
        <f>+E505</f>
        <v>196</v>
      </c>
      <c r="F1257" s="2">
        <f>+F505</f>
        <v>2120</v>
      </c>
      <c r="G1257" s="2">
        <f>+G505</f>
        <v>2583</v>
      </c>
      <c r="H1257" s="33">
        <f t="shared" si="211"/>
        <v>0.17924893534649633</v>
      </c>
    </row>
    <row r="1258" spans="1:8" ht="12.6" customHeight="1" x14ac:dyDescent="0.2">
      <c r="A1258" s="30">
        <v>19</v>
      </c>
      <c r="B1258" s="31">
        <f>+B549</f>
        <v>41</v>
      </c>
      <c r="C1258" s="32" t="s">
        <v>117</v>
      </c>
      <c r="D1258" s="2">
        <f>+D549</f>
        <v>8306</v>
      </c>
      <c r="E1258" s="2">
        <f>+E549</f>
        <v>3139</v>
      </c>
      <c r="F1258" s="2">
        <f>+F549</f>
        <v>19877</v>
      </c>
      <c r="G1258" s="2">
        <f>+G549</f>
        <v>31322</v>
      </c>
      <c r="H1258" s="33">
        <f t="shared" si="211"/>
        <v>0.36539812272524103</v>
      </c>
    </row>
    <row r="1259" spans="1:8" ht="12.6" customHeight="1" x14ac:dyDescent="0.2">
      <c r="A1259" s="30">
        <v>20</v>
      </c>
      <c r="B1259" s="31">
        <f>+B559</f>
        <v>7</v>
      </c>
      <c r="C1259" s="32" t="s">
        <v>120</v>
      </c>
      <c r="D1259" s="2">
        <f>+D559</f>
        <v>904</v>
      </c>
      <c r="E1259" s="2">
        <f>+E559</f>
        <v>286</v>
      </c>
      <c r="F1259" s="2">
        <f>+F559</f>
        <v>1142</v>
      </c>
      <c r="G1259" s="2">
        <f>+G559</f>
        <v>2332</v>
      </c>
      <c r="H1259" s="33">
        <f t="shared" si="211"/>
        <v>0.51029159519725553</v>
      </c>
    </row>
    <row r="1260" spans="1:8" ht="12.6" customHeight="1" x14ac:dyDescent="0.2">
      <c r="A1260" s="30">
        <v>21</v>
      </c>
      <c r="B1260" s="31">
        <f>+B565</f>
        <v>3</v>
      </c>
      <c r="C1260" s="32" t="s">
        <v>122</v>
      </c>
      <c r="D1260" s="2">
        <f>+D565</f>
        <v>297</v>
      </c>
      <c r="E1260" s="2">
        <f>+E565</f>
        <v>80</v>
      </c>
      <c r="F1260" s="2">
        <f>+F565</f>
        <v>532</v>
      </c>
      <c r="G1260" s="2">
        <f>+G565</f>
        <v>909</v>
      </c>
      <c r="H1260" s="33">
        <f t="shared" si="211"/>
        <v>0.41474147414741475</v>
      </c>
    </row>
    <row r="1261" spans="1:8" ht="12.6" customHeight="1" x14ac:dyDescent="0.2">
      <c r="A1261" s="30">
        <v>22</v>
      </c>
      <c r="B1261" s="31">
        <f>+B575</f>
        <v>7</v>
      </c>
      <c r="C1261" s="32" t="s">
        <v>126</v>
      </c>
      <c r="D1261" s="2">
        <f>+D575</f>
        <v>856</v>
      </c>
      <c r="E1261" s="2">
        <f>+E575</f>
        <v>134</v>
      </c>
      <c r="F1261" s="2">
        <f>+F575</f>
        <v>3765</v>
      </c>
      <c r="G1261" s="2">
        <f>+G575</f>
        <v>4755</v>
      </c>
      <c r="H1261" s="33">
        <f t="shared" si="211"/>
        <v>0.20820189274447951</v>
      </c>
    </row>
    <row r="1262" spans="1:8" ht="12.6" customHeight="1" x14ac:dyDescent="0.2">
      <c r="A1262" s="30">
        <v>23</v>
      </c>
      <c r="B1262" s="31">
        <f>+B581</f>
        <v>3</v>
      </c>
      <c r="C1262" s="32" t="s">
        <v>129</v>
      </c>
      <c r="D1262" s="2">
        <f>+D581</f>
        <v>166</v>
      </c>
      <c r="E1262" s="2">
        <f>+E581</f>
        <v>86</v>
      </c>
      <c r="F1262" s="2">
        <f>+F581</f>
        <v>100</v>
      </c>
      <c r="G1262" s="2">
        <f>+G581</f>
        <v>352</v>
      </c>
      <c r="H1262" s="33">
        <f t="shared" si="211"/>
        <v>0.71590909090909094</v>
      </c>
    </row>
    <row r="1263" spans="1:8" ht="12.6" customHeight="1" x14ac:dyDescent="0.2">
      <c r="A1263" s="30">
        <v>24</v>
      </c>
      <c r="B1263" s="31">
        <f>+B588</f>
        <v>4</v>
      </c>
      <c r="C1263" s="32" t="s">
        <v>131</v>
      </c>
      <c r="D1263" s="2">
        <f>+D588</f>
        <v>250</v>
      </c>
      <c r="E1263" s="2">
        <f>+E588</f>
        <v>38</v>
      </c>
      <c r="F1263" s="2">
        <f>+F588</f>
        <v>195</v>
      </c>
      <c r="G1263" s="2">
        <f>+G588</f>
        <v>483</v>
      </c>
      <c r="H1263" s="33">
        <f t="shared" si="211"/>
        <v>0.59627329192546585</v>
      </c>
    </row>
    <row r="1264" spans="1:8" ht="12.6" customHeight="1" x14ac:dyDescent="0.2">
      <c r="A1264" s="30">
        <v>25</v>
      </c>
      <c r="B1264" s="31">
        <f>+B603</f>
        <v>12</v>
      </c>
      <c r="C1264" s="32" t="s">
        <v>132</v>
      </c>
      <c r="D1264" s="2">
        <f>+D603</f>
        <v>1860</v>
      </c>
      <c r="E1264" s="2">
        <f>+E603</f>
        <v>305</v>
      </c>
      <c r="F1264" s="2">
        <f>+F603</f>
        <v>1006</v>
      </c>
      <c r="G1264" s="2">
        <f>+G603</f>
        <v>3171</v>
      </c>
      <c r="H1264" s="33">
        <f t="shared" si="211"/>
        <v>0.68274992116051714</v>
      </c>
    </row>
    <row r="1265" spans="1:8" ht="12.6" customHeight="1" x14ac:dyDescent="0.2">
      <c r="A1265" s="30">
        <v>26</v>
      </c>
      <c r="B1265" s="31">
        <f>+B618</f>
        <v>12</v>
      </c>
      <c r="C1265" s="32" t="s">
        <v>139</v>
      </c>
      <c r="D1265" s="2">
        <f>+D618</f>
        <v>1685</v>
      </c>
      <c r="E1265" s="2">
        <f>+E618</f>
        <v>587</v>
      </c>
      <c r="F1265" s="2">
        <f>+F618</f>
        <v>2430</v>
      </c>
      <c r="G1265" s="2">
        <f>+G618</f>
        <v>4702</v>
      </c>
      <c r="H1265" s="33">
        <f t="shared" si="211"/>
        <v>0.48319863887707359</v>
      </c>
    </row>
    <row r="1266" spans="1:8" ht="12.6" customHeight="1" x14ac:dyDescent="0.2">
      <c r="A1266" s="30">
        <v>27</v>
      </c>
      <c r="B1266" s="31">
        <f>+B628</f>
        <v>7</v>
      </c>
      <c r="C1266" s="32" t="s">
        <v>146</v>
      </c>
      <c r="D1266" s="2">
        <f>+D628</f>
        <v>1095</v>
      </c>
      <c r="E1266" s="2">
        <f>+E628</f>
        <v>499</v>
      </c>
      <c r="F1266" s="2">
        <f>+F628</f>
        <v>1415</v>
      </c>
      <c r="G1266" s="2">
        <f>+G628</f>
        <v>3009</v>
      </c>
      <c r="H1266" s="33">
        <f t="shared" si="211"/>
        <v>0.52974410103024261</v>
      </c>
    </row>
    <row r="1267" spans="1:8" ht="12.6" customHeight="1" x14ac:dyDescent="0.2">
      <c r="A1267" s="30">
        <v>28</v>
      </c>
      <c r="B1267" s="31">
        <f>+B634</f>
        <v>3</v>
      </c>
      <c r="C1267" s="32" t="s">
        <v>151</v>
      </c>
      <c r="D1267" s="2">
        <f>+D634</f>
        <v>283</v>
      </c>
      <c r="E1267" s="2">
        <f>+E634</f>
        <v>86</v>
      </c>
      <c r="F1267" s="2">
        <f>+F634</f>
        <v>1111</v>
      </c>
      <c r="G1267" s="2">
        <f>+G634</f>
        <v>1480</v>
      </c>
      <c r="H1267" s="33">
        <f t="shared" si="211"/>
        <v>0.24932432432432433</v>
      </c>
    </row>
    <row r="1268" spans="1:8" ht="12.6" customHeight="1" x14ac:dyDescent="0.2">
      <c r="A1268" s="30">
        <v>29</v>
      </c>
      <c r="B1268" s="31">
        <f>+B638</f>
        <v>1</v>
      </c>
      <c r="C1268" s="32" t="s">
        <v>155</v>
      </c>
      <c r="D1268" s="2">
        <f>+D638</f>
        <v>78</v>
      </c>
      <c r="E1268" s="2">
        <f>+E638</f>
        <v>30</v>
      </c>
      <c r="F1268" s="2">
        <f>+F638</f>
        <v>102</v>
      </c>
      <c r="G1268" s="2">
        <f>+G638</f>
        <v>210</v>
      </c>
      <c r="H1268" s="33">
        <f t="shared" si="211"/>
        <v>0.51428571428571423</v>
      </c>
    </row>
    <row r="1269" spans="1:8" ht="12.6" customHeight="1" x14ac:dyDescent="0.2">
      <c r="A1269" s="30">
        <v>30</v>
      </c>
      <c r="B1269" s="31">
        <f>+B665</f>
        <v>24</v>
      </c>
      <c r="C1269" s="32" t="s">
        <v>156</v>
      </c>
      <c r="D1269" s="2">
        <f>+D665</f>
        <v>4160</v>
      </c>
      <c r="E1269" s="2">
        <f>+E665</f>
        <v>1310</v>
      </c>
      <c r="F1269" s="2">
        <f>+F665</f>
        <v>8776</v>
      </c>
      <c r="G1269" s="2">
        <f>+G665</f>
        <v>14246</v>
      </c>
      <c r="H1269" s="33">
        <f t="shared" si="211"/>
        <v>0.38396742945388179</v>
      </c>
    </row>
    <row r="1270" spans="1:8" ht="12.6" customHeight="1" x14ac:dyDescent="0.2">
      <c r="A1270" s="30">
        <v>31</v>
      </c>
      <c r="B1270" s="31">
        <f>+B680</f>
        <v>12</v>
      </c>
      <c r="C1270" s="32" t="s">
        <v>160</v>
      </c>
      <c r="D1270" s="2">
        <f>+D680</f>
        <v>1709</v>
      </c>
      <c r="E1270" s="2">
        <f>+E680</f>
        <v>761</v>
      </c>
      <c r="F1270" s="2">
        <f>+F680</f>
        <v>4125</v>
      </c>
      <c r="G1270" s="2">
        <f>+G680</f>
        <v>6595</v>
      </c>
      <c r="H1270" s="33">
        <f t="shared" si="211"/>
        <v>0.37452615617892343</v>
      </c>
    </row>
    <row r="1271" spans="1:8" ht="12.6" customHeight="1" x14ac:dyDescent="0.2">
      <c r="A1271" s="30">
        <v>32</v>
      </c>
      <c r="B1271" s="31">
        <f>+B690</f>
        <v>7</v>
      </c>
      <c r="C1271" s="32" t="s">
        <v>43</v>
      </c>
      <c r="D1271" s="2">
        <f>+D690</f>
        <v>1432</v>
      </c>
      <c r="E1271" s="2">
        <f>+E690</f>
        <v>434</v>
      </c>
      <c r="F1271" s="2">
        <f>+F690</f>
        <v>3218</v>
      </c>
      <c r="G1271" s="2">
        <f>+G690</f>
        <v>5084</v>
      </c>
      <c r="H1271" s="33">
        <f t="shared" si="211"/>
        <v>0.36703383162863884</v>
      </c>
    </row>
    <row r="1272" spans="1:8" ht="12.6" customHeight="1" x14ac:dyDescent="0.2">
      <c r="A1272" s="30">
        <v>33</v>
      </c>
      <c r="B1272" s="31">
        <f>+B733</f>
        <v>40</v>
      </c>
      <c r="C1272" s="32" t="s">
        <v>44</v>
      </c>
      <c r="D1272" s="2">
        <f>+D733</f>
        <v>9708</v>
      </c>
      <c r="E1272" s="2">
        <f>+E733</f>
        <v>2765</v>
      </c>
      <c r="F1272" s="2">
        <f>+F733</f>
        <v>17664</v>
      </c>
      <c r="G1272" s="2">
        <f>+G733</f>
        <v>30137</v>
      </c>
      <c r="H1272" s="33">
        <f t="shared" si="211"/>
        <v>0.41387663005607722</v>
      </c>
    </row>
    <row r="1273" spans="1:8" ht="12.6" customHeight="1" x14ac:dyDescent="0.2">
      <c r="A1273" s="30">
        <v>34</v>
      </c>
      <c r="B1273" s="31">
        <f>+B740</f>
        <v>4</v>
      </c>
      <c r="C1273" s="32" t="s">
        <v>171</v>
      </c>
      <c r="D1273" s="2">
        <f>+D740</f>
        <v>134</v>
      </c>
      <c r="E1273" s="2">
        <f>+E740</f>
        <v>123</v>
      </c>
      <c r="F1273" s="2">
        <f>+F740</f>
        <v>236</v>
      </c>
      <c r="G1273" s="2">
        <f>+G740</f>
        <v>493</v>
      </c>
      <c r="H1273" s="33">
        <f t="shared" si="211"/>
        <v>0.52129817444219062</v>
      </c>
    </row>
    <row r="1274" spans="1:8" ht="12.6" customHeight="1" x14ac:dyDescent="0.2">
      <c r="A1274" s="30">
        <v>35</v>
      </c>
      <c r="B1274" s="31">
        <f>+B786</f>
        <v>43</v>
      </c>
      <c r="C1274" s="32" t="s">
        <v>174</v>
      </c>
      <c r="D1274" s="2">
        <f>+D786</f>
        <v>7614</v>
      </c>
      <c r="E1274" s="2">
        <f>+E786</f>
        <v>3224</v>
      </c>
      <c r="F1274" s="2">
        <f>+F786</f>
        <v>18213</v>
      </c>
      <c r="G1274" s="2">
        <f>+G786</f>
        <v>29051</v>
      </c>
      <c r="H1274" s="33">
        <f t="shared" si="211"/>
        <v>0.37306805273484561</v>
      </c>
    </row>
    <row r="1275" spans="1:8" ht="12.6" customHeight="1" x14ac:dyDescent="0.2">
      <c r="A1275" s="30">
        <v>36</v>
      </c>
      <c r="B1275" s="31">
        <f>+B835</f>
        <v>46</v>
      </c>
      <c r="C1275" s="32" t="s">
        <v>180</v>
      </c>
      <c r="D1275" s="2">
        <f>+D835</f>
        <v>13919</v>
      </c>
      <c r="E1275" s="2">
        <f>+E835</f>
        <v>2374</v>
      </c>
      <c r="F1275" s="2">
        <f>+F835</f>
        <v>9510</v>
      </c>
      <c r="G1275" s="2">
        <f>+G835</f>
        <v>25803</v>
      </c>
      <c r="H1275" s="33">
        <f t="shared" si="211"/>
        <v>0.63143820485989999</v>
      </c>
    </row>
    <row r="1276" spans="1:8" ht="12.6" customHeight="1" x14ac:dyDescent="0.2">
      <c r="A1276" s="30">
        <v>37</v>
      </c>
      <c r="B1276" s="31">
        <f>+B858</f>
        <v>20</v>
      </c>
      <c r="C1276" s="32" t="s">
        <v>181</v>
      </c>
      <c r="D1276" s="2">
        <f>+D858</f>
        <v>8475</v>
      </c>
      <c r="E1276" s="2">
        <f>+E858</f>
        <v>935</v>
      </c>
      <c r="F1276" s="2">
        <f>+F858</f>
        <v>3121</v>
      </c>
      <c r="G1276" s="2">
        <f>+G858</f>
        <v>12531</v>
      </c>
      <c r="H1276" s="33">
        <f t="shared" si="211"/>
        <v>0.75093767456707361</v>
      </c>
    </row>
    <row r="1277" spans="1:8" ht="12.6" customHeight="1" x14ac:dyDescent="0.2">
      <c r="A1277" s="30">
        <v>38</v>
      </c>
      <c r="B1277" s="31">
        <f>+B879</f>
        <v>18</v>
      </c>
      <c r="C1277" s="32" t="s">
        <v>185</v>
      </c>
      <c r="D1277" s="2">
        <f>+D879</f>
        <v>5493</v>
      </c>
      <c r="E1277" s="2">
        <f>+E879</f>
        <v>1385</v>
      </c>
      <c r="F1277" s="2">
        <f>+F879</f>
        <v>7085</v>
      </c>
      <c r="G1277" s="2">
        <f>+G879</f>
        <v>13963</v>
      </c>
      <c r="H1277" s="33">
        <f t="shared" si="211"/>
        <v>0.4925875528181623</v>
      </c>
    </row>
    <row r="1278" spans="1:8" ht="12.6" customHeight="1" x14ac:dyDescent="0.2">
      <c r="A1278" s="30">
        <v>39</v>
      </c>
      <c r="B1278" s="31">
        <f>+B891</f>
        <v>9</v>
      </c>
      <c r="C1278" s="32" t="s">
        <v>191</v>
      </c>
      <c r="D1278" s="2">
        <f>+D891</f>
        <v>2756</v>
      </c>
      <c r="E1278" s="2">
        <f>+E891</f>
        <v>733</v>
      </c>
      <c r="F1278" s="2">
        <f>+F891</f>
        <v>2579</v>
      </c>
      <c r="G1278" s="2">
        <f>+G891</f>
        <v>6068</v>
      </c>
      <c r="H1278" s="33">
        <f t="shared" si="211"/>
        <v>0.57498352010547138</v>
      </c>
    </row>
    <row r="1279" spans="1:8" ht="12.6" customHeight="1" x14ac:dyDescent="0.2">
      <c r="A1279" s="30">
        <v>40</v>
      </c>
      <c r="B1279" s="31">
        <f>+B906</f>
        <v>12</v>
      </c>
      <c r="C1279" s="32" t="s">
        <v>194</v>
      </c>
      <c r="D1279" s="2">
        <f>+D906</f>
        <v>1718</v>
      </c>
      <c r="E1279" s="2">
        <f>+E906</f>
        <v>408</v>
      </c>
      <c r="F1279" s="2">
        <f>+F906</f>
        <v>4388</v>
      </c>
      <c r="G1279" s="2">
        <f>+G906</f>
        <v>6514</v>
      </c>
      <c r="H1279" s="33">
        <f t="shared" si="211"/>
        <v>0.32637396377034078</v>
      </c>
    </row>
    <row r="1280" spans="1:8" ht="12.6" customHeight="1" x14ac:dyDescent="0.2">
      <c r="A1280" s="30">
        <v>42</v>
      </c>
      <c r="B1280" s="31">
        <f>B952</f>
        <v>43</v>
      </c>
      <c r="C1280" s="62" t="s">
        <v>454</v>
      </c>
      <c r="D1280" s="30">
        <f>D952</f>
        <v>7940</v>
      </c>
      <c r="E1280" s="30">
        <f>E952</f>
        <v>1696</v>
      </c>
      <c r="F1280" s="81">
        <f>F952</f>
        <v>24218</v>
      </c>
      <c r="G1280" s="81">
        <f>G952</f>
        <v>33854</v>
      </c>
      <c r="H1280" s="33">
        <f t="shared" ref="H1280" si="212">+(D1280+E1280)/G1280</f>
        <v>0.28463401665977434</v>
      </c>
    </row>
    <row r="1281" spans="1:93" ht="12.6" customHeight="1" x14ac:dyDescent="0.2">
      <c r="A1281" s="30">
        <v>68</v>
      </c>
      <c r="B1281" s="31">
        <f>+B956</f>
        <v>1</v>
      </c>
      <c r="C1281" s="32" t="s">
        <v>234</v>
      </c>
      <c r="D1281" s="30">
        <f>+D956</f>
        <v>474</v>
      </c>
      <c r="E1281" s="30">
        <f>+E956</f>
        <v>127</v>
      </c>
      <c r="F1281" s="30">
        <f>+F956</f>
        <v>415</v>
      </c>
      <c r="G1281" s="30">
        <f>+G956</f>
        <v>1016</v>
      </c>
      <c r="H1281" s="33">
        <f t="shared" ref="H1281:H1286" si="213">+(D1281+E1281)/G1281</f>
        <v>0.59153543307086609</v>
      </c>
    </row>
    <row r="1282" spans="1:93" ht="12.6" customHeight="1" x14ac:dyDescent="0.2">
      <c r="A1282" s="30">
        <v>74</v>
      </c>
      <c r="B1282" s="30">
        <f>B962</f>
        <v>3</v>
      </c>
      <c r="C1282" s="84" t="s">
        <v>933</v>
      </c>
      <c r="D1282" s="56">
        <f>+D962</f>
        <v>1033</v>
      </c>
      <c r="E1282" s="56">
        <f>+E962</f>
        <v>237</v>
      </c>
      <c r="F1282" s="56">
        <f>+F962</f>
        <v>446</v>
      </c>
      <c r="G1282" s="56">
        <f>+G962</f>
        <v>1716</v>
      </c>
      <c r="H1282" s="33">
        <f t="shared" si="213"/>
        <v>0.74009324009324007</v>
      </c>
    </row>
    <row r="1283" spans="1:93" ht="12.6" customHeight="1" x14ac:dyDescent="0.2">
      <c r="A1283" s="30">
        <v>82</v>
      </c>
      <c r="B1283" s="30">
        <f>+B966</f>
        <v>1</v>
      </c>
      <c r="C1283" s="31" t="s">
        <v>232</v>
      </c>
      <c r="D1283" s="30">
        <f>+D966</f>
        <v>220</v>
      </c>
      <c r="E1283" s="30">
        <f>+E966</f>
        <v>102</v>
      </c>
      <c r="F1283" s="30">
        <f>+F966</f>
        <v>439</v>
      </c>
      <c r="G1283" s="30">
        <f>+G966</f>
        <v>761</v>
      </c>
      <c r="H1283" s="33">
        <f t="shared" si="213"/>
        <v>0.42312746386333772</v>
      </c>
    </row>
    <row r="1284" spans="1:93" ht="12.6" customHeight="1" x14ac:dyDescent="0.2">
      <c r="A1284" s="30">
        <v>86</v>
      </c>
      <c r="B1284" s="30">
        <f>+B970</f>
        <v>1</v>
      </c>
      <c r="C1284" s="31" t="s">
        <v>229</v>
      </c>
      <c r="D1284" s="30">
        <f>+D970</f>
        <v>276</v>
      </c>
      <c r="E1284" s="30">
        <f>+E970</f>
        <v>32</v>
      </c>
      <c r="F1284" s="30">
        <f>+F970</f>
        <v>223</v>
      </c>
      <c r="G1284" s="30">
        <f>+G970</f>
        <v>531</v>
      </c>
      <c r="H1284" s="33">
        <f t="shared" si="213"/>
        <v>0.58003766478342744</v>
      </c>
    </row>
    <row r="1285" spans="1:93" ht="12.6" customHeight="1" x14ac:dyDescent="0.2">
      <c r="A1285" s="30">
        <v>87</v>
      </c>
      <c r="B1285" s="30">
        <f>+B974</f>
        <v>1</v>
      </c>
      <c r="C1285" s="31" t="s">
        <v>235</v>
      </c>
      <c r="D1285" s="30">
        <f>+D974</f>
        <v>59</v>
      </c>
      <c r="E1285" s="30">
        <f>+E974</f>
        <v>9</v>
      </c>
      <c r="F1285" s="30">
        <f>+F974</f>
        <v>147</v>
      </c>
      <c r="G1285" s="30">
        <f>+G974</f>
        <v>215</v>
      </c>
      <c r="H1285" s="33">
        <f t="shared" si="213"/>
        <v>0.31627906976744186</v>
      </c>
    </row>
    <row r="1286" spans="1:93" ht="12.6" customHeight="1" x14ac:dyDescent="0.2">
      <c r="A1286" s="55">
        <v>98</v>
      </c>
      <c r="B1286" s="30">
        <f>+B978</f>
        <v>1</v>
      </c>
      <c r="C1286" s="84" t="s">
        <v>952</v>
      </c>
      <c r="D1286" s="30">
        <f>+D978</f>
        <v>117</v>
      </c>
      <c r="E1286" s="30">
        <f>+E978</f>
        <v>26</v>
      </c>
      <c r="F1286" s="30">
        <f>+F978</f>
        <v>84</v>
      </c>
      <c r="G1286" s="30">
        <f>+G978</f>
        <v>227</v>
      </c>
      <c r="H1286" s="33">
        <f t="shared" si="213"/>
        <v>0.62995594713656389</v>
      </c>
    </row>
    <row r="1287" spans="1:93" ht="12.6" customHeight="1" x14ac:dyDescent="0.2">
      <c r="A1287" s="82" t="s">
        <v>243</v>
      </c>
      <c r="B1287" s="83">
        <f>+B982</f>
        <v>1</v>
      </c>
      <c r="C1287" s="139" t="s">
        <v>244</v>
      </c>
      <c r="D1287" s="133">
        <f>+D982</f>
        <v>43</v>
      </c>
      <c r="E1287" s="133">
        <f>+E982</f>
        <v>29</v>
      </c>
      <c r="F1287" s="133">
        <f>+F982</f>
        <v>329</v>
      </c>
      <c r="G1287" s="133">
        <f>+G982</f>
        <v>401</v>
      </c>
      <c r="H1287" s="58">
        <f t="shared" si="211"/>
        <v>0.17955112219451372</v>
      </c>
    </row>
    <row r="1288" spans="1:93" ht="12.6" customHeight="1" x14ac:dyDescent="0.2">
      <c r="A1288" s="68" t="s">
        <v>931</v>
      </c>
      <c r="B1288" s="83">
        <f>B986</f>
        <v>1</v>
      </c>
      <c r="C1288" s="69" t="s">
        <v>932</v>
      </c>
      <c r="D1288" s="138">
        <f>+D986</f>
        <v>73</v>
      </c>
      <c r="E1288" s="138">
        <f>+E986</f>
        <v>38</v>
      </c>
      <c r="F1288" s="138">
        <f>+F986</f>
        <v>423</v>
      </c>
      <c r="G1288" s="138">
        <f>+G986</f>
        <v>534</v>
      </c>
      <c r="H1288" s="58">
        <f t="shared" ref="H1288" si="214">+(D1288+E1288)/G1288</f>
        <v>0.20786516853932585</v>
      </c>
    </row>
    <row r="1289" spans="1:93" ht="12.6" customHeight="1" x14ac:dyDescent="0.2">
      <c r="A1289" s="68" t="s">
        <v>1009</v>
      </c>
      <c r="B1289" s="83">
        <f>B991</f>
        <v>1</v>
      </c>
      <c r="C1289" s="69" t="s">
        <v>1010</v>
      </c>
      <c r="D1289" s="138">
        <f>+D991</f>
        <v>58</v>
      </c>
      <c r="E1289" s="138">
        <f>+E991</f>
        <v>23</v>
      </c>
      <c r="F1289" s="138">
        <f>+F991</f>
        <v>597</v>
      </c>
      <c r="G1289" s="138">
        <f>+G991</f>
        <v>678</v>
      </c>
      <c r="H1289" s="58">
        <f t="shared" ref="H1289" si="215">+(D1289+E1289)/G1289</f>
        <v>0.11946902654867257</v>
      </c>
    </row>
    <row r="1290" spans="1:93" s="59" customFormat="1" ht="12.6" customHeight="1" x14ac:dyDescent="0.2">
      <c r="A1290" s="55" t="s">
        <v>266</v>
      </c>
      <c r="B1290" s="55">
        <f>+B994</f>
        <v>1</v>
      </c>
      <c r="C1290" s="30" t="s">
        <v>220</v>
      </c>
      <c r="D1290" s="109">
        <f>+D994</f>
        <v>167</v>
      </c>
      <c r="E1290" s="109">
        <f>+E994</f>
        <v>5</v>
      </c>
      <c r="F1290" s="109">
        <f>+F994</f>
        <v>2</v>
      </c>
      <c r="G1290" s="109">
        <f>+G994</f>
        <v>174</v>
      </c>
      <c r="H1290" s="33">
        <f t="shared" ref="H1290:H1301" si="216">+(D1290+E1290)/G1290</f>
        <v>0.9885057471264368</v>
      </c>
      <c r="I1290" s="44"/>
      <c r="J1290" s="44"/>
      <c r="K1290" s="44"/>
      <c r="L1290" s="44"/>
      <c r="M1290" s="4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</row>
    <row r="1291" spans="1:93" s="59" customFormat="1" ht="12.6" customHeight="1" x14ac:dyDescent="0.2">
      <c r="A1291" s="66" t="s">
        <v>926</v>
      </c>
      <c r="B1291" s="55">
        <f>B998</f>
        <v>1</v>
      </c>
      <c r="C1291" s="63" t="s">
        <v>925</v>
      </c>
      <c r="D1291" s="109">
        <f>D998</f>
        <v>160</v>
      </c>
      <c r="E1291" s="109">
        <f>E998</f>
        <v>83</v>
      </c>
      <c r="F1291" s="109">
        <f>F998</f>
        <v>696</v>
      </c>
      <c r="G1291" s="109">
        <f>G998</f>
        <v>939</v>
      </c>
      <c r="H1291" s="33">
        <f t="shared" si="216"/>
        <v>0.25878594249201275</v>
      </c>
      <c r="I1291" s="44"/>
      <c r="J1291" s="44"/>
      <c r="K1291" s="44"/>
      <c r="L1291" s="44"/>
      <c r="M1291" s="4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</row>
    <row r="1292" spans="1:93" s="59" customFormat="1" ht="12.6" customHeight="1" x14ac:dyDescent="0.2">
      <c r="A1292" s="66" t="s">
        <v>1034</v>
      </c>
      <c r="B1292" s="55">
        <f>B1002</f>
        <v>1</v>
      </c>
      <c r="C1292" s="63" t="s">
        <v>1035</v>
      </c>
      <c r="D1292" s="55">
        <f>D1002</f>
        <v>94</v>
      </c>
      <c r="E1292" s="55">
        <f>E1002</f>
        <v>43</v>
      </c>
      <c r="F1292" s="55">
        <f>F1002</f>
        <v>640</v>
      </c>
      <c r="G1292" s="55">
        <f>G1002</f>
        <v>777</v>
      </c>
      <c r="H1292" s="33">
        <f t="shared" ref="H1292" si="217">+(D1292+E1292)/G1292</f>
        <v>0.17631917631917632</v>
      </c>
      <c r="I1292" s="44"/>
      <c r="J1292" s="44"/>
      <c r="K1292" s="44"/>
      <c r="L1292" s="44"/>
      <c r="M1292" s="4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</row>
    <row r="1293" spans="1:93" s="59" customFormat="1" ht="12.6" customHeight="1" x14ac:dyDescent="0.2">
      <c r="A1293" s="66" t="s">
        <v>1001</v>
      </c>
      <c r="B1293" s="55">
        <f>B1006</f>
        <v>1</v>
      </c>
      <c r="C1293" s="63" t="s">
        <v>1002</v>
      </c>
      <c r="D1293" s="109">
        <f>D1006</f>
        <v>71</v>
      </c>
      <c r="E1293" s="109">
        <f>E1006</f>
        <v>32</v>
      </c>
      <c r="F1293" s="109">
        <f>F1006</f>
        <v>543</v>
      </c>
      <c r="G1293" s="109">
        <f>G1006</f>
        <v>646</v>
      </c>
      <c r="H1293" s="33">
        <f t="shared" ref="H1293" si="218">+(D1293+E1293)/G1293</f>
        <v>0.15944272445820434</v>
      </c>
      <c r="I1293" s="44"/>
      <c r="J1293" s="44"/>
      <c r="K1293" s="44"/>
      <c r="L1293" s="44"/>
      <c r="M1293" s="4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</row>
    <row r="1294" spans="1:93" s="59" customFormat="1" ht="12.6" customHeight="1" x14ac:dyDescent="0.2">
      <c r="A1294" s="55" t="s">
        <v>255</v>
      </c>
      <c r="B1294" s="55">
        <f>B1010</f>
        <v>1</v>
      </c>
      <c r="C1294" s="30" t="s">
        <v>256</v>
      </c>
      <c r="D1294" s="109">
        <f>D1010</f>
        <v>38</v>
      </c>
      <c r="E1294" s="109">
        <f>E1010</f>
        <v>12</v>
      </c>
      <c r="F1294" s="109">
        <f>F1010</f>
        <v>110</v>
      </c>
      <c r="G1294" s="109">
        <f>G1010</f>
        <v>160</v>
      </c>
      <c r="H1294" s="33">
        <f t="shared" si="216"/>
        <v>0.3125</v>
      </c>
      <c r="I1294" s="44"/>
      <c r="J1294" s="44"/>
      <c r="K1294" s="44"/>
      <c r="L1294" s="44"/>
      <c r="M1294" s="4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</row>
    <row r="1295" spans="1:93" s="59" customFormat="1" ht="12.6" customHeight="1" x14ac:dyDescent="0.2">
      <c r="A1295" s="55" t="s">
        <v>274</v>
      </c>
      <c r="B1295" s="55">
        <f>B1014</f>
        <v>1</v>
      </c>
      <c r="C1295" s="30" t="s">
        <v>275</v>
      </c>
      <c r="D1295" s="55">
        <f>D1014</f>
        <v>63</v>
      </c>
      <c r="E1295" s="55">
        <f>E1014</f>
        <v>37</v>
      </c>
      <c r="F1295" s="55">
        <f>F1014</f>
        <v>570</v>
      </c>
      <c r="G1295" s="55">
        <f>G1014</f>
        <v>670</v>
      </c>
      <c r="H1295" s="33">
        <f t="shared" si="216"/>
        <v>0.14925373134328357</v>
      </c>
      <c r="I1295" s="44"/>
      <c r="J1295" s="44"/>
      <c r="K1295" s="44"/>
      <c r="L1295" s="44"/>
      <c r="M1295" s="4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</row>
    <row r="1296" spans="1:93" s="59" customFormat="1" ht="12.6" customHeight="1" x14ac:dyDescent="0.2">
      <c r="A1296" s="66" t="s">
        <v>1022</v>
      </c>
      <c r="B1296" s="55">
        <f>B1018</f>
        <v>1</v>
      </c>
      <c r="C1296" s="63" t="s">
        <v>1023</v>
      </c>
      <c r="D1296" s="29">
        <f>D1018</f>
        <v>100</v>
      </c>
      <c r="E1296" s="29">
        <f>E1018</f>
        <v>29</v>
      </c>
      <c r="F1296" s="29">
        <f>F1018</f>
        <v>576</v>
      </c>
      <c r="G1296" s="29">
        <f>G1018</f>
        <v>705</v>
      </c>
      <c r="H1296" s="33">
        <f t="shared" si="216"/>
        <v>0.18297872340425531</v>
      </c>
      <c r="I1296" s="44"/>
      <c r="J1296" s="44"/>
      <c r="K1296" s="44"/>
      <c r="L1296" s="44"/>
      <c r="M1296" s="4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</row>
    <row r="1297" spans="1:93" s="59" customFormat="1" ht="12.6" customHeight="1" x14ac:dyDescent="0.2">
      <c r="A1297" s="66" t="s">
        <v>1053</v>
      </c>
      <c r="B1297" s="55">
        <f>B1022</f>
        <v>1</v>
      </c>
      <c r="C1297" s="63" t="s">
        <v>1054</v>
      </c>
      <c r="D1297" s="29">
        <f>D1022</f>
        <v>40</v>
      </c>
      <c r="E1297" s="29">
        <f>E1022</f>
        <v>8</v>
      </c>
      <c r="F1297" s="29">
        <f>F1022</f>
        <v>176</v>
      </c>
      <c r="G1297" s="29">
        <f>G1022</f>
        <v>224</v>
      </c>
      <c r="H1297" s="33">
        <f t="shared" ref="H1297" si="219">+(D1297+E1297)/G1297</f>
        <v>0.21428571428571427</v>
      </c>
      <c r="I1297" s="44"/>
      <c r="J1297" s="44"/>
      <c r="K1297" s="44"/>
      <c r="L1297" s="44"/>
      <c r="M1297" s="4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</row>
    <row r="1298" spans="1:93" s="59" customFormat="1" ht="12.6" customHeight="1" x14ac:dyDescent="0.2">
      <c r="A1298" s="55" t="s">
        <v>260</v>
      </c>
      <c r="B1298" s="55">
        <f>B1026</f>
        <v>1</v>
      </c>
      <c r="C1298" s="30" t="s">
        <v>261</v>
      </c>
      <c r="D1298" s="109">
        <f>D1026</f>
        <v>358</v>
      </c>
      <c r="E1298" s="109">
        <f>E1026</f>
        <v>158</v>
      </c>
      <c r="F1298" s="109">
        <f>F1026</f>
        <v>492</v>
      </c>
      <c r="G1298" s="109">
        <f>G1026</f>
        <v>1008</v>
      </c>
      <c r="H1298" s="33">
        <f t="shared" si="216"/>
        <v>0.51190476190476186</v>
      </c>
      <c r="I1298" s="44"/>
      <c r="J1298" s="44"/>
      <c r="K1298" s="44"/>
      <c r="L1298" s="44"/>
      <c r="M1298" s="4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</row>
    <row r="1299" spans="1:93" s="59" customFormat="1" ht="12.6" customHeight="1" x14ac:dyDescent="0.2">
      <c r="A1299" s="66" t="s">
        <v>964</v>
      </c>
      <c r="B1299" s="55">
        <f>B1030</f>
        <v>1</v>
      </c>
      <c r="C1299" s="63" t="s">
        <v>966</v>
      </c>
      <c r="D1299" s="55">
        <f>D1030</f>
        <v>91</v>
      </c>
      <c r="E1299" s="55">
        <f>E1030</f>
        <v>36</v>
      </c>
      <c r="F1299" s="55">
        <f>F1030</f>
        <v>359</v>
      </c>
      <c r="G1299" s="55">
        <f>G1030</f>
        <v>486</v>
      </c>
      <c r="H1299" s="33">
        <f t="shared" ref="H1299" si="220">+(D1299+E1299)/G1299</f>
        <v>0.26131687242798352</v>
      </c>
      <c r="I1299" s="44"/>
      <c r="J1299" s="44"/>
      <c r="K1299" s="44"/>
      <c r="L1299" s="44"/>
      <c r="M1299" s="4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</row>
    <row r="1300" spans="1:93" s="59" customFormat="1" ht="12.6" customHeight="1" x14ac:dyDescent="0.2">
      <c r="A1300" s="66" t="s">
        <v>946</v>
      </c>
      <c r="B1300" s="55">
        <f>B1034</f>
        <v>1</v>
      </c>
      <c r="C1300" s="63" t="s">
        <v>947</v>
      </c>
      <c r="D1300" s="55">
        <f>D1034</f>
        <v>127</v>
      </c>
      <c r="E1300" s="55">
        <f>E1034</f>
        <v>30</v>
      </c>
      <c r="F1300" s="55">
        <f>F1034</f>
        <v>300</v>
      </c>
      <c r="G1300" s="55">
        <f>G1034</f>
        <v>457</v>
      </c>
      <c r="H1300" s="33">
        <f t="shared" si="216"/>
        <v>0.34354485776805249</v>
      </c>
      <c r="I1300" s="44"/>
      <c r="J1300" s="44"/>
      <c r="K1300" s="44"/>
      <c r="L1300" s="44"/>
      <c r="M1300" s="44"/>
      <c r="N1300" s="44"/>
      <c r="O1300" s="44"/>
      <c r="P1300" s="44"/>
      <c r="Q1300" s="44"/>
      <c r="R1300" s="44"/>
      <c r="S1300" s="44"/>
      <c r="T1300" s="44"/>
      <c r="U1300" s="44"/>
      <c r="V1300" s="44"/>
      <c r="W1300" s="44"/>
      <c r="X1300" s="44"/>
      <c r="Y1300" s="44"/>
      <c r="Z1300" s="44"/>
      <c r="AA1300" s="44"/>
      <c r="AB1300" s="44"/>
      <c r="AC1300" s="44"/>
      <c r="AD1300" s="44"/>
      <c r="AE1300" s="44"/>
      <c r="AF1300" s="44"/>
      <c r="AG1300" s="44"/>
      <c r="AH1300" s="44"/>
      <c r="AI1300" s="44"/>
      <c r="AJ1300" s="44"/>
      <c r="AK1300" s="44"/>
      <c r="AL1300" s="44"/>
      <c r="AM1300" s="44"/>
      <c r="AN1300" s="44"/>
      <c r="AO1300" s="44"/>
      <c r="AP1300" s="44"/>
      <c r="AQ1300" s="44"/>
      <c r="AR1300" s="44"/>
      <c r="AS1300" s="44"/>
      <c r="AT1300" s="44"/>
      <c r="AU1300" s="44"/>
      <c r="AV1300" s="44"/>
      <c r="AW1300" s="44"/>
      <c r="AX1300" s="44"/>
      <c r="AY1300" s="44"/>
      <c r="AZ1300" s="44"/>
      <c r="BA1300" s="44"/>
      <c r="BB1300" s="44"/>
      <c r="BC1300" s="44"/>
      <c r="BD1300" s="44"/>
      <c r="BE1300" s="44"/>
      <c r="BF1300" s="44"/>
      <c r="BG1300" s="44"/>
      <c r="BH1300" s="44"/>
      <c r="BI1300" s="44"/>
      <c r="BJ1300" s="44"/>
      <c r="BK1300" s="44"/>
      <c r="BL1300" s="44"/>
      <c r="BM1300" s="44"/>
      <c r="BN1300" s="44"/>
      <c r="BO1300" s="44"/>
      <c r="BP1300" s="44"/>
      <c r="BQ1300" s="44"/>
      <c r="BR1300" s="44"/>
      <c r="BS1300" s="44"/>
      <c r="BT1300" s="44"/>
      <c r="BU1300" s="44"/>
      <c r="BV1300" s="44"/>
      <c r="BW1300" s="44"/>
      <c r="BX1300" s="44"/>
      <c r="BY1300" s="44"/>
      <c r="BZ1300" s="44"/>
      <c r="CA1300" s="44"/>
      <c r="CB1300" s="44"/>
      <c r="CC1300" s="44"/>
      <c r="CD1300" s="44"/>
      <c r="CE1300" s="44"/>
      <c r="CF1300" s="44"/>
      <c r="CG1300" s="44"/>
      <c r="CH1300" s="44"/>
      <c r="CI1300" s="44"/>
      <c r="CJ1300" s="44"/>
      <c r="CK1300" s="44"/>
      <c r="CL1300" s="44"/>
      <c r="CM1300" s="44"/>
      <c r="CN1300" s="44"/>
      <c r="CO1300" s="44"/>
    </row>
    <row r="1301" spans="1:93" s="59" customFormat="1" ht="12.6" customHeight="1" x14ac:dyDescent="0.2">
      <c r="A1301" s="66" t="s">
        <v>921</v>
      </c>
      <c r="B1301" s="55">
        <f>B1038</f>
        <v>1</v>
      </c>
      <c r="C1301" s="63" t="s">
        <v>922</v>
      </c>
      <c r="D1301" s="109">
        <f>D1038</f>
        <v>142</v>
      </c>
      <c r="E1301" s="109">
        <f>E1038</f>
        <v>77</v>
      </c>
      <c r="F1301" s="109">
        <f>F1038</f>
        <v>377</v>
      </c>
      <c r="G1301" s="109">
        <f>G1038</f>
        <v>596</v>
      </c>
      <c r="H1301" s="33">
        <f t="shared" si="216"/>
        <v>0.3674496644295302</v>
      </c>
      <c r="I1301" s="44"/>
      <c r="J1301" s="44"/>
      <c r="K1301" s="44"/>
      <c r="L1301" s="44"/>
      <c r="M1301" s="44"/>
      <c r="N1301" s="44"/>
      <c r="O1301" s="44"/>
      <c r="P1301" s="44"/>
      <c r="Q1301" s="44"/>
      <c r="R1301" s="44"/>
      <c r="S1301" s="44"/>
      <c r="T1301" s="44"/>
      <c r="U1301" s="44"/>
      <c r="V1301" s="44"/>
      <c r="W1301" s="44"/>
      <c r="X1301" s="44"/>
      <c r="Y1301" s="44"/>
      <c r="Z1301" s="44"/>
      <c r="AA1301" s="44"/>
      <c r="AB1301" s="44"/>
      <c r="AC1301" s="44"/>
      <c r="AD1301" s="44"/>
      <c r="AE1301" s="44"/>
      <c r="AF1301" s="44"/>
      <c r="AG1301" s="44"/>
      <c r="AH1301" s="44"/>
      <c r="AI1301" s="44"/>
      <c r="AJ1301" s="44"/>
      <c r="AK1301" s="44"/>
      <c r="AL1301" s="44"/>
      <c r="AM1301" s="44"/>
      <c r="AN1301" s="44"/>
      <c r="AO1301" s="44"/>
      <c r="AP1301" s="44"/>
      <c r="AQ1301" s="44"/>
      <c r="AR1301" s="44"/>
      <c r="AS1301" s="44"/>
      <c r="AT1301" s="44"/>
      <c r="AU1301" s="44"/>
      <c r="AV1301" s="44"/>
      <c r="AW1301" s="44"/>
      <c r="AX1301" s="44"/>
      <c r="AY1301" s="44"/>
      <c r="AZ1301" s="44"/>
      <c r="BA1301" s="44"/>
      <c r="BB1301" s="44"/>
      <c r="BC1301" s="44"/>
      <c r="BD1301" s="44"/>
      <c r="BE1301" s="44"/>
      <c r="BF1301" s="44"/>
      <c r="BG1301" s="44"/>
      <c r="BH1301" s="44"/>
      <c r="BI1301" s="44"/>
      <c r="BJ1301" s="44"/>
      <c r="BK1301" s="44"/>
      <c r="BL1301" s="44"/>
      <c r="BM1301" s="44"/>
      <c r="BN1301" s="44"/>
      <c r="BO1301" s="44"/>
      <c r="BP1301" s="44"/>
      <c r="BQ1301" s="44"/>
      <c r="BR1301" s="44"/>
      <c r="BS1301" s="44"/>
      <c r="BT1301" s="44"/>
      <c r="BU1301" s="44"/>
      <c r="BV1301" s="44"/>
      <c r="BW1301" s="44"/>
      <c r="BX1301" s="44"/>
      <c r="BY1301" s="44"/>
      <c r="BZ1301" s="44"/>
      <c r="CA1301" s="44"/>
      <c r="CB1301" s="44"/>
      <c r="CC1301" s="44"/>
      <c r="CD1301" s="44"/>
      <c r="CE1301" s="44"/>
      <c r="CF1301" s="44"/>
      <c r="CG1301" s="44"/>
      <c r="CH1301" s="44"/>
      <c r="CI1301" s="44"/>
      <c r="CJ1301" s="44"/>
      <c r="CK1301" s="44"/>
      <c r="CL1301" s="44"/>
      <c r="CM1301" s="44"/>
      <c r="CN1301" s="44"/>
      <c r="CO1301" s="44"/>
    </row>
    <row r="1302" spans="1:93" s="59" customFormat="1" ht="12.6" customHeight="1" x14ac:dyDescent="0.2">
      <c r="A1302" s="66" t="s">
        <v>921</v>
      </c>
      <c r="B1302" s="55">
        <f>B1042</f>
        <v>1</v>
      </c>
      <c r="C1302" s="63" t="s">
        <v>1028</v>
      </c>
      <c r="D1302" s="109">
        <f>D1042</f>
        <v>175</v>
      </c>
      <c r="E1302" s="109">
        <f>E1042</f>
        <v>55</v>
      </c>
      <c r="F1302" s="109">
        <f>F1042</f>
        <v>344</v>
      </c>
      <c r="G1302" s="109">
        <f>G1042</f>
        <v>574</v>
      </c>
      <c r="H1302" s="33">
        <f t="shared" ref="H1302" si="221">+(D1302+E1302)/G1302</f>
        <v>0.40069686411149824</v>
      </c>
      <c r="I1302" s="44"/>
      <c r="J1302" s="44"/>
      <c r="K1302" s="44"/>
      <c r="L1302" s="44"/>
      <c r="M1302" s="44"/>
      <c r="N1302" s="44"/>
      <c r="O1302" s="44"/>
      <c r="P1302" s="44"/>
      <c r="Q1302" s="44"/>
      <c r="R1302" s="44"/>
      <c r="S1302" s="44"/>
      <c r="T1302" s="44"/>
      <c r="U1302" s="44"/>
      <c r="V1302" s="44"/>
      <c r="W1302" s="44"/>
      <c r="X1302" s="44"/>
      <c r="Y1302" s="44"/>
      <c r="Z1302" s="44"/>
      <c r="AA1302" s="44"/>
      <c r="AB1302" s="44"/>
      <c r="AC1302" s="44"/>
      <c r="AD1302" s="44"/>
      <c r="AE1302" s="44"/>
      <c r="AF1302" s="44"/>
      <c r="AG1302" s="44"/>
      <c r="AH1302" s="44"/>
      <c r="AI1302" s="44"/>
      <c r="AJ1302" s="44"/>
      <c r="AK1302" s="44"/>
      <c r="AL1302" s="44"/>
      <c r="AM1302" s="44"/>
      <c r="AN1302" s="44"/>
      <c r="AO1302" s="44"/>
      <c r="AP1302" s="44"/>
      <c r="AQ1302" s="44"/>
      <c r="AR1302" s="44"/>
      <c r="AS1302" s="44"/>
      <c r="AT1302" s="44"/>
      <c r="AU1302" s="44"/>
      <c r="AV1302" s="44"/>
      <c r="AW1302" s="44"/>
      <c r="AX1302" s="44"/>
      <c r="AY1302" s="44"/>
      <c r="AZ1302" s="44"/>
      <c r="BA1302" s="44"/>
      <c r="BB1302" s="44"/>
      <c r="BC1302" s="44"/>
      <c r="BD1302" s="44"/>
      <c r="BE1302" s="44"/>
      <c r="BF1302" s="44"/>
      <c r="BG1302" s="44"/>
      <c r="BH1302" s="44"/>
      <c r="BI1302" s="44"/>
      <c r="BJ1302" s="44"/>
      <c r="BK1302" s="44"/>
      <c r="BL1302" s="44"/>
      <c r="BM1302" s="44"/>
      <c r="BN1302" s="44"/>
      <c r="BO1302" s="44"/>
      <c r="BP1302" s="44"/>
      <c r="BQ1302" s="44"/>
      <c r="BR1302" s="44"/>
      <c r="BS1302" s="44"/>
      <c r="BT1302" s="44"/>
      <c r="BU1302" s="44"/>
      <c r="BV1302" s="44"/>
      <c r="BW1302" s="44"/>
      <c r="BX1302" s="44"/>
      <c r="BY1302" s="44"/>
      <c r="BZ1302" s="44"/>
      <c r="CA1302" s="44"/>
      <c r="CB1302" s="44"/>
      <c r="CC1302" s="44"/>
      <c r="CD1302" s="44"/>
      <c r="CE1302" s="44"/>
      <c r="CF1302" s="44"/>
      <c r="CG1302" s="44"/>
      <c r="CH1302" s="44"/>
      <c r="CI1302" s="44"/>
      <c r="CJ1302" s="44"/>
      <c r="CK1302" s="44"/>
      <c r="CL1302" s="44"/>
      <c r="CM1302" s="44"/>
      <c r="CN1302" s="44"/>
      <c r="CO1302" s="44"/>
    </row>
    <row r="1303" spans="1:93" ht="12.6" customHeight="1" x14ac:dyDescent="0.2">
      <c r="A1303" s="112" t="s">
        <v>246</v>
      </c>
      <c r="B1303" s="102">
        <f>+B1046</f>
        <v>1</v>
      </c>
      <c r="C1303" s="113" t="s">
        <v>249</v>
      </c>
      <c r="D1303" s="102">
        <f>+D1046</f>
        <v>51</v>
      </c>
      <c r="E1303" s="102">
        <f>+E1046</f>
        <v>22</v>
      </c>
      <c r="F1303" s="102">
        <f>+F1046</f>
        <v>301</v>
      </c>
      <c r="G1303" s="102">
        <f>+G1046</f>
        <v>374</v>
      </c>
      <c r="H1303" s="92">
        <f t="shared" si="211"/>
        <v>0.19518716577540107</v>
      </c>
    </row>
    <row r="1304" spans="1:93" ht="12.6" customHeight="1" x14ac:dyDescent="0.2">
      <c r="A1304" s="112" t="s">
        <v>270</v>
      </c>
      <c r="B1304" s="102">
        <f>B1050</f>
        <v>1</v>
      </c>
      <c r="C1304" s="113" t="s">
        <v>271</v>
      </c>
      <c r="D1304" s="102">
        <f>D1050</f>
        <v>96</v>
      </c>
      <c r="E1304" s="102">
        <f>E1050</f>
        <v>71</v>
      </c>
      <c r="F1304" s="102">
        <f>F1050</f>
        <v>666</v>
      </c>
      <c r="G1304" s="102">
        <f>G1050</f>
        <v>833</v>
      </c>
      <c r="H1304" s="92">
        <f>+(D1304+E1304)/G1304</f>
        <v>0.20048019207683074</v>
      </c>
    </row>
    <row r="1305" spans="1:93" ht="12.6" customHeight="1" x14ac:dyDescent="0.2">
      <c r="A1305" s="112" t="s">
        <v>262</v>
      </c>
      <c r="B1305" s="90">
        <f>B1054</f>
        <v>1</v>
      </c>
      <c r="C1305" s="113" t="s">
        <v>263</v>
      </c>
      <c r="D1305" s="102">
        <f>D1054</f>
        <v>143</v>
      </c>
      <c r="E1305" s="102">
        <f>E1054</f>
        <v>82</v>
      </c>
      <c r="F1305" s="102">
        <f>F1054</f>
        <v>794</v>
      </c>
      <c r="G1305" s="102">
        <f>G1054</f>
        <v>1019</v>
      </c>
      <c r="H1305" s="92">
        <f t="shared" si="211"/>
        <v>0.22080471050049066</v>
      </c>
    </row>
    <row r="1306" spans="1:93" ht="12.6" customHeight="1" x14ac:dyDescent="0.2">
      <c r="A1306" s="112" t="s">
        <v>276</v>
      </c>
      <c r="B1306" s="90">
        <f>B1058</f>
        <v>1</v>
      </c>
      <c r="C1306" s="113" t="s">
        <v>278</v>
      </c>
      <c r="D1306" s="2">
        <f>D1058</f>
        <v>310</v>
      </c>
      <c r="E1306" s="2">
        <f>E1058</f>
        <v>37</v>
      </c>
      <c r="F1306" s="2">
        <f>F1058</f>
        <v>81</v>
      </c>
      <c r="G1306" s="2">
        <f>G1058</f>
        <v>428</v>
      </c>
      <c r="H1306" s="92">
        <f t="shared" si="211"/>
        <v>0.81074766355140182</v>
      </c>
    </row>
    <row r="1307" spans="1:93" ht="12.6" customHeight="1" x14ac:dyDescent="0.2">
      <c r="A1307" s="89" t="s">
        <v>1025</v>
      </c>
      <c r="B1307" s="90">
        <f>B1062</f>
        <v>1</v>
      </c>
      <c r="C1307" s="91" t="s">
        <v>1026</v>
      </c>
      <c r="D1307" s="2">
        <f>D1062</f>
        <v>102</v>
      </c>
      <c r="E1307" s="2">
        <f>E1062</f>
        <v>26</v>
      </c>
      <c r="F1307" s="2">
        <f>F1062</f>
        <v>120</v>
      </c>
      <c r="G1307" s="2">
        <f>G1062</f>
        <v>248</v>
      </c>
      <c r="H1307" s="92">
        <f t="shared" ref="H1307" si="222">+(D1307+E1307)/G1307</f>
        <v>0.5161290322580645</v>
      </c>
    </row>
    <row r="1308" spans="1:93" ht="12.6" customHeight="1" x14ac:dyDescent="0.2">
      <c r="A1308" s="112" t="s">
        <v>257</v>
      </c>
      <c r="B1308" s="90">
        <f>B1066</f>
        <v>1</v>
      </c>
      <c r="C1308" s="113" t="s">
        <v>258</v>
      </c>
      <c r="D1308" s="102">
        <f>D1066</f>
        <v>49</v>
      </c>
      <c r="E1308" s="102">
        <f>E1066</f>
        <v>26</v>
      </c>
      <c r="F1308" s="102">
        <f>F1066</f>
        <v>434</v>
      </c>
      <c r="G1308" s="102">
        <f>G1066</f>
        <v>509</v>
      </c>
      <c r="H1308" s="92">
        <f t="shared" ref="H1308:H1314" si="223">+(D1308+E1308)/G1308</f>
        <v>0.14734774066797643</v>
      </c>
    </row>
    <row r="1309" spans="1:93" ht="12.6" customHeight="1" x14ac:dyDescent="0.2">
      <c r="A1309" s="66" t="s">
        <v>996</v>
      </c>
      <c r="B1309" s="31">
        <f>B1070</f>
        <v>1</v>
      </c>
      <c r="C1309" s="62" t="s">
        <v>998</v>
      </c>
      <c r="D1309" s="2">
        <f>D1070</f>
        <v>62</v>
      </c>
      <c r="E1309" s="2">
        <f>E1070</f>
        <v>32</v>
      </c>
      <c r="F1309" s="2">
        <f>F1070</f>
        <v>1012</v>
      </c>
      <c r="G1309" s="2">
        <f>G1070</f>
        <v>1106</v>
      </c>
      <c r="H1309" s="33">
        <f t="shared" si="223"/>
        <v>8.4990958408679929E-2</v>
      </c>
    </row>
    <row r="1310" spans="1:93" ht="12.6" customHeight="1" x14ac:dyDescent="0.2">
      <c r="A1310" s="66" t="s">
        <v>911</v>
      </c>
      <c r="B1310" s="31">
        <f>+B1074</f>
        <v>1</v>
      </c>
      <c r="C1310" s="32" t="s">
        <v>197</v>
      </c>
      <c r="D1310" s="2">
        <f>+D1074</f>
        <v>66</v>
      </c>
      <c r="E1310" s="2">
        <f>+E1074</f>
        <v>23</v>
      </c>
      <c r="F1310" s="2">
        <f>+F1074</f>
        <v>214</v>
      </c>
      <c r="G1310" s="2">
        <f>+G1074</f>
        <v>303</v>
      </c>
      <c r="H1310" s="33">
        <f t="shared" si="223"/>
        <v>0.29372937293729373</v>
      </c>
    </row>
    <row r="1311" spans="1:93" ht="12.6" customHeight="1" x14ac:dyDescent="0.2">
      <c r="A1311" s="66" t="s">
        <v>961</v>
      </c>
      <c r="B1311" s="31">
        <f>B1078</f>
        <v>1</v>
      </c>
      <c r="C1311" s="62" t="s">
        <v>963</v>
      </c>
      <c r="D1311" s="2">
        <f>+D1078</f>
        <v>91</v>
      </c>
      <c r="E1311" s="2">
        <f>+E1078</f>
        <v>43</v>
      </c>
      <c r="F1311" s="2">
        <f>+F1078</f>
        <v>154</v>
      </c>
      <c r="G1311" s="2">
        <f>+G1078</f>
        <v>288</v>
      </c>
      <c r="H1311" s="33">
        <f t="shared" si="223"/>
        <v>0.46527777777777779</v>
      </c>
    </row>
    <row r="1312" spans="1:93" ht="12.6" customHeight="1" x14ac:dyDescent="0.2">
      <c r="A1312" s="66" t="s">
        <v>999</v>
      </c>
      <c r="B1312" s="31">
        <f>B1082</f>
        <v>1</v>
      </c>
      <c r="C1312" s="62" t="s">
        <v>1000</v>
      </c>
      <c r="D1312" s="2">
        <f>+D1082</f>
        <v>120</v>
      </c>
      <c r="E1312" s="2">
        <f>+E1082</f>
        <v>32</v>
      </c>
      <c r="F1312" s="2">
        <f>+F1082</f>
        <v>272</v>
      </c>
      <c r="G1312" s="2">
        <f>+G1082</f>
        <v>424</v>
      </c>
      <c r="H1312" s="33">
        <f t="shared" si="223"/>
        <v>0.35849056603773582</v>
      </c>
    </row>
    <row r="1313" spans="1:8" ht="12.6" customHeight="1" x14ac:dyDescent="0.2">
      <c r="A1313" s="66" t="s">
        <v>929</v>
      </c>
      <c r="B1313" s="31">
        <f>B1086</f>
        <v>1</v>
      </c>
      <c r="C1313" s="62" t="s">
        <v>930</v>
      </c>
      <c r="D1313" s="2">
        <f>+D1086</f>
        <v>112</v>
      </c>
      <c r="E1313" s="2">
        <f>+E1086</f>
        <v>37</v>
      </c>
      <c r="F1313" s="2">
        <f>+F1086</f>
        <v>434</v>
      </c>
      <c r="G1313" s="2">
        <f>+G1086</f>
        <v>583</v>
      </c>
      <c r="H1313" s="33">
        <f t="shared" si="223"/>
        <v>0.25557461406518012</v>
      </c>
    </row>
    <row r="1314" spans="1:8" ht="12.6" customHeight="1" x14ac:dyDescent="0.2">
      <c r="A1314" s="66" t="s">
        <v>1020</v>
      </c>
      <c r="B1314" s="31">
        <f>B1090</f>
        <v>1</v>
      </c>
      <c r="C1314" s="62" t="s">
        <v>983</v>
      </c>
      <c r="D1314" s="2">
        <f>+D1090</f>
        <v>65</v>
      </c>
      <c r="E1314" s="2">
        <f>+E1090</f>
        <v>24</v>
      </c>
      <c r="F1314" s="2">
        <f>F1090</f>
        <v>659</v>
      </c>
      <c r="G1314" s="2">
        <f>G1090</f>
        <v>748</v>
      </c>
      <c r="H1314" s="33">
        <f t="shared" si="223"/>
        <v>0.11898395721925134</v>
      </c>
    </row>
    <row r="1315" spans="1:8" ht="12.6" customHeight="1" x14ac:dyDescent="0.2">
      <c r="A1315" s="66" t="s">
        <v>1042</v>
      </c>
      <c r="B1315" s="31">
        <f>B1094</f>
        <v>1</v>
      </c>
      <c r="C1315" s="62" t="s">
        <v>1043</v>
      </c>
      <c r="D1315" s="2">
        <f>D1094</f>
        <v>75</v>
      </c>
      <c r="E1315" s="2">
        <f>E1094</f>
        <v>51</v>
      </c>
      <c r="F1315" s="2">
        <f>F1094</f>
        <v>326</v>
      </c>
      <c r="G1315" s="2">
        <f>G1094</f>
        <v>452</v>
      </c>
      <c r="H1315" s="33">
        <f t="shared" ref="H1315" si="224">+(D1315+E1315)/G1315</f>
        <v>0.27876106194690264</v>
      </c>
    </row>
    <row r="1316" spans="1:8" ht="12.6" customHeight="1" x14ac:dyDescent="0.2">
      <c r="A1316" s="55" t="s">
        <v>248</v>
      </c>
      <c r="B1316" s="31">
        <f>+B1098</f>
        <v>1</v>
      </c>
      <c r="C1316" s="62" t="s">
        <v>247</v>
      </c>
      <c r="D1316" s="30">
        <f>+D1098</f>
        <v>160</v>
      </c>
      <c r="E1316" s="30">
        <f>+E1098</f>
        <v>101</v>
      </c>
      <c r="F1316" s="30">
        <f>+F1098</f>
        <v>414</v>
      </c>
      <c r="G1316" s="30">
        <f>+G1098</f>
        <v>675</v>
      </c>
      <c r="H1316" s="33">
        <f t="shared" si="211"/>
        <v>0.38666666666666666</v>
      </c>
    </row>
    <row r="1317" spans="1:8" ht="12.6" customHeight="1" x14ac:dyDescent="0.2">
      <c r="A1317" s="66" t="s">
        <v>427</v>
      </c>
      <c r="B1317" s="31">
        <f>B1102</f>
        <v>1</v>
      </c>
      <c r="C1317" s="62" t="s">
        <v>428</v>
      </c>
      <c r="D1317" s="30">
        <f>D1102</f>
        <v>183</v>
      </c>
      <c r="E1317" s="30">
        <f>E1102</f>
        <v>63</v>
      </c>
      <c r="F1317" s="30">
        <f>F1102</f>
        <v>504</v>
      </c>
      <c r="G1317" s="30">
        <f>G1102</f>
        <v>750</v>
      </c>
      <c r="H1317" s="33">
        <f t="shared" ref="H1317" si="225">+(D1317+E1317)/G1317</f>
        <v>0.32800000000000001</v>
      </c>
    </row>
    <row r="1318" spans="1:8" ht="12.6" customHeight="1" x14ac:dyDescent="0.2">
      <c r="A1318" s="66" t="s">
        <v>915</v>
      </c>
      <c r="B1318" s="31">
        <f>B1106</f>
        <v>1</v>
      </c>
      <c r="C1318" s="62" t="s">
        <v>916</v>
      </c>
      <c r="D1318" s="56">
        <f>D1106</f>
        <v>112</v>
      </c>
      <c r="E1318" s="56">
        <f>E1106</f>
        <v>114</v>
      </c>
      <c r="F1318" s="56">
        <f>F1106</f>
        <v>443</v>
      </c>
      <c r="G1318" s="56">
        <f>G1106</f>
        <v>669</v>
      </c>
      <c r="H1318" s="33">
        <f t="shared" ref="H1318" si="226">+(D1318+E1318)/G1318</f>
        <v>0.33781763826606875</v>
      </c>
    </row>
    <row r="1319" spans="1:8" ht="12.6" customHeight="1" x14ac:dyDescent="0.2">
      <c r="A1319" s="66" t="s">
        <v>967</v>
      </c>
      <c r="B1319" s="31">
        <f>B1110</f>
        <v>1</v>
      </c>
      <c r="C1319" s="62" t="s">
        <v>968</v>
      </c>
      <c r="D1319" s="30">
        <f>D1110</f>
        <v>48</v>
      </c>
      <c r="E1319" s="30">
        <f>E1110</f>
        <v>32</v>
      </c>
      <c r="F1319" s="30">
        <f>F1110</f>
        <v>533</v>
      </c>
      <c r="G1319" s="30">
        <f>G1110</f>
        <v>613</v>
      </c>
      <c r="H1319" s="33">
        <f t="shared" ref="H1319" si="227">+(D1319+E1319)/G1319</f>
        <v>0.13050570962479607</v>
      </c>
    </row>
    <row r="1320" spans="1:8" ht="12.6" customHeight="1" x14ac:dyDescent="0.2">
      <c r="A1320" s="55" t="s">
        <v>259</v>
      </c>
      <c r="B1320" s="31">
        <f>B1114</f>
        <v>1</v>
      </c>
      <c r="C1320" s="32" t="s">
        <v>268</v>
      </c>
      <c r="D1320" s="56">
        <f>D1114</f>
        <v>340</v>
      </c>
      <c r="E1320" s="56">
        <f>E1114</f>
        <v>144</v>
      </c>
      <c r="F1320" s="56">
        <f>F1114</f>
        <v>1238</v>
      </c>
      <c r="G1320" s="56">
        <f>G1114</f>
        <v>1722</v>
      </c>
      <c r="H1320" s="33">
        <f>+(D1320+E1320)/G1320</f>
        <v>0.28106852497096402</v>
      </c>
    </row>
    <row r="1321" spans="1:8" ht="12.6" customHeight="1" x14ac:dyDescent="0.2">
      <c r="A1321" s="66" t="s">
        <v>927</v>
      </c>
      <c r="B1321" s="31">
        <f>B1118</f>
        <v>1</v>
      </c>
      <c r="C1321" s="62" t="s">
        <v>928</v>
      </c>
      <c r="D1321" s="56">
        <f>D1118</f>
        <v>86</v>
      </c>
      <c r="E1321" s="56">
        <f>E1118</f>
        <v>36</v>
      </c>
      <c r="F1321" s="56">
        <f>F1118</f>
        <v>294</v>
      </c>
      <c r="G1321" s="56">
        <f>G1118</f>
        <v>416</v>
      </c>
      <c r="H1321" s="33">
        <f t="shared" ref="H1321:H1322" si="228">+(D1321+E1321)/G1321</f>
        <v>0.29326923076923078</v>
      </c>
    </row>
    <row r="1322" spans="1:8" ht="12.6" customHeight="1" x14ac:dyDescent="0.2">
      <c r="A1322" s="66" t="s">
        <v>918</v>
      </c>
      <c r="B1322" s="31">
        <f>B1122</f>
        <v>1</v>
      </c>
      <c r="C1322" s="62" t="s">
        <v>935</v>
      </c>
      <c r="D1322" s="56">
        <f>D1122</f>
        <v>133</v>
      </c>
      <c r="E1322" s="56">
        <f>E1122</f>
        <v>32</v>
      </c>
      <c r="F1322" s="56">
        <f>F1122</f>
        <v>454</v>
      </c>
      <c r="G1322" s="56">
        <f>G1122</f>
        <v>619</v>
      </c>
      <c r="H1322" s="33">
        <f t="shared" si="228"/>
        <v>0.2665589660743134</v>
      </c>
    </row>
    <row r="1323" spans="1:8" ht="12.6" customHeight="1" x14ac:dyDescent="0.2">
      <c r="A1323" s="66" t="s">
        <v>1029</v>
      </c>
      <c r="B1323" s="31">
        <f>B1126</f>
        <v>1</v>
      </c>
      <c r="C1323" s="62" t="s">
        <v>1030</v>
      </c>
      <c r="D1323" s="56">
        <f>D1126</f>
        <v>82</v>
      </c>
      <c r="E1323" s="56">
        <f>E1126</f>
        <v>95</v>
      </c>
      <c r="F1323" s="56">
        <f>F1126</f>
        <v>631</v>
      </c>
      <c r="G1323" s="56">
        <f>G1126</f>
        <v>808</v>
      </c>
      <c r="H1323" s="33">
        <f t="shared" ref="H1323" si="229">+(D1323+E1323)/G1323</f>
        <v>0.21905940594059406</v>
      </c>
    </row>
    <row r="1324" spans="1:8" ht="12.6" customHeight="1" x14ac:dyDescent="0.2">
      <c r="A1324" s="66" t="s">
        <v>953</v>
      </c>
      <c r="B1324" s="31">
        <f>B1130</f>
        <v>1</v>
      </c>
      <c r="C1324" s="62" t="s">
        <v>954</v>
      </c>
      <c r="D1324" s="30">
        <f>D1130</f>
        <v>68</v>
      </c>
      <c r="E1324" s="30">
        <f>E1130</f>
        <v>33</v>
      </c>
      <c r="F1324" s="30">
        <f>F1130</f>
        <v>337</v>
      </c>
      <c r="G1324" s="30">
        <f>G1130</f>
        <v>438</v>
      </c>
      <c r="H1324" s="33">
        <f t="shared" ref="H1324" si="230">+(D1324+E1324)/G1324</f>
        <v>0.23059360730593606</v>
      </c>
    </row>
    <row r="1325" spans="1:8" ht="12.6" customHeight="1" x14ac:dyDescent="0.2">
      <c r="A1325" s="55" t="s">
        <v>279</v>
      </c>
      <c r="B1325" s="30">
        <f>B1134</f>
        <v>1</v>
      </c>
      <c r="C1325" s="32" t="s">
        <v>280</v>
      </c>
      <c r="D1325" s="30">
        <f>D1134</f>
        <v>49</v>
      </c>
      <c r="E1325" s="30">
        <f>E1134</f>
        <v>47</v>
      </c>
      <c r="F1325" s="30">
        <f>F1134</f>
        <v>432</v>
      </c>
      <c r="G1325" s="30">
        <f>G1134</f>
        <v>528</v>
      </c>
      <c r="H1325" s="33">
        <f>+(D1325+E1325)/G1325</f>
        <v>0.18181818181818182</v>
      </c>
    </row>
    <row r="1326" spans="1:8" ht="12.6" customHeight="1" x14ac:dyDescent="0.2">
      <c r="A1326" s="66" t="s">
        <v>1007</v>
      </c>
      <c r="B1326" s="31">
        <f>B1138</f>
        <v>1</v>
      </c>
      <c r="C1326" s="62" t="s">
        <v>1006</v>
      </c>
      <c r="D1326" s="56">
        <f>D1138</f>
        <v>128</v>
      </c>
      <c r="E1326" s="56">
        <f>E1138</f>
        <v>68</v>
      </c>
      <c r="F1326" s="56">
        <f>F1138</f>
        <v>1266</v>
      </c>
      <c r="G1326" s="56">
        <f>G1138</f>
        <v>1462</v>
      </c>
      <c r="H1326" s="33">
        <f t="shared" ref="H1326" si="231">+(D1326+E1326)/G1326</f>
        <v>0.13406292749658003</v>
      </c>
    </row>
    <row r="1327" spans="1:8" ht="12.6" customHeight="1" x14ac:dyDescent="0.2">
      <c r="A1327" s="66" t="s">
        <v>978</v>
      </c>
      <c r="B1327" s="31">
        <f>B1142</f>
        <v>1</v>
      </c>
      <c r="C1327" s="62" t="s">
        <v>979</v>
      </c>
      <c r="D1327" s="30">
        <f>D1142</f>
        <v>192</v>
      </c>
      <c r="E1327" s="30">
        <f>E1142</f>
        <v>67</v>
      </c>
      <c r="F1327" s="30">
        <f>F1142</f>
        <v>233</v>
      </c>
      <c r="G1327" s="30">
        <f>G1142</f>
        <v>492</v>
      </c>
      <c r="H1327" s="33">
        <f t="shared" ref="H1327" si="232">+(D1327+E1327)/G1327</f>
        <v>0.52642276422764223</v>
      </c>
    </row>
    <row r="1328" spans="1:8" ht="12.6" customHeight="1" x14ac:dyDescent="0.2">
      <c r="A1328" s="66" t="s">
        <v>969</v>
      </c>
      <c r="B1328" s="31">
        <f>B1146</f>
        <v>1</v>
      </c>
      <c r="C1328" s="62" t="s">
        <v>970</v>
      </c>
      <c r="D1328" s="30">
        <f>D1146</f>
        <v>24</v>
      </c>
      <c r="E1328" s="30">
        <f>E1146</f>
        <v>13</v>
      </c>
      <c r="F1328" s="30">
        <f>F1146</f>
        <v>327</v>
      </c>
      <c r="G1328" s="30">
        <f>G1146</f>
        <v>364</v>
      </c>
      <c r="H1328" s="33">
        <f>+(D1328+E1328)/G1328</f>
        <v>0.10164835164835165</v>
      </c>
    </row>
    <row r="1329" spans="1:8" ht="12.6" customHeight="1" x14ac:dyDescent="0.2">
      <c r="A1329" s="87" t="s">
        <v>221</v>
      </c>
      <c r="B1329" s="39">
        <f>B1150</f>
        <v>1</v>
      </c>
      <c r="C1329" s="40" t="s">
        <v>233</v>
      </c>
      <c r="D1329" s="88">
        <f>D1150</f>
        <v>231</v>
      </c>
      <c r="E1329" s="88">
        <f>E1150</f>
        <v>34</v>
      </c>
      <c r="F1329" s="88">
        <f>F1150</f>
        <v>788</v>
      </c>
      <c r="G1329" s="88">
        <f>G1150</f>
        <v>1053</v>
      </c>
      <c r="H1329" s="43">
        <f t="shared" ref="H1329" si="233">+(D1329+E1329)/G1329</f>
        <v>0.25166191832858498</v>
      </c>
    </row>
    <row r="1330" spans="1:8" ht="12.6" customHeight="1" x14ac:dyDescent="0.2">
      <c r="A1330" s="66" t="s">
        <v>442</v>
      </c>
      <c r="B1330" s="30">
        <f>B1154</f>
        <v>1</v>
      </c>
      <c r="C1330" s="62" t="s">
        <v>443</v>
      </c>
      <c r="D1330" s="56">
        <f>D1154</f>
        <v>65</v>
      </c>
      <c r="E1330" s="56">
        <f>E1154</f>
        <v>29</v>
      </c>
      <c r="F1330" s="56">
        <f>F1154</f>
        <v>907</v>
      </c>
      <c r="G1330" s="56">
        <f>G1154</f>
        <v>1001</v>
      </c>
      <c r="H1330" s="33">
        <f t="shared" ref="H1330" si="234">+(D1330+E1330)/G1330</f>
        <v>9.3906093906093904E-2</v>
      </c>
    </row>
    <row r="1331" spans="1:8" ht="12.6" customHeight="1" thickBot="1" x14ac:dyDescent="0.25">
      <c r="A1331" s="127" t="s">
        <v>425</v>
      </c>
      <c r="B1331" s="128">
        <f>B1158</f>
        <v>1</v>
      </c>
      <c r="C1331" s="129" t="s">
        <v>426</v>
      </c>
      <c r="D1331" s="130">
        <f>D1158</f>
        <v>28</v>
      </c>
      <c r="E1331" s="130">
        <f>E1158</f>
        <v>5</v>
      </c>
      <c r="F1331" s="130">
        <f>F1158</f>
        <v>72</v>
      </c>
      <c r="G1331" s="130">
        <f>G1158</f>
        <v>105</v>
      </c>
      <c r="H1331" s="131">
        <f t="shared" si="211"/>
        <v>0.31428571428571428</v>
      </c>
    </row>
    <row r="1332" spans="1:8" ht="13.5" customHeight="1" thickBot="1" x14ac:dyDescent="0.25">
      <c r="A1332" s="34"/>
      <c r="B1332" s="35">
        <f>SUM(B1240:B1331)</f>
        <v>876</v>
      </c>
      <c r="C1332" s="36" t="s">
        <v>20</v>
      </c>
      <c r="D1332" s="4">
        <f>SUM(D1240:D1331)</f>
        <v>170768</v>
      </c>
      <c r="E1332" s="3">
        <f>SUM(E1240:E1331)</f>
        <v>49232</v>
      </c>
      <c r="F1332" s="3">
        <f>SUM(F1240:F1331)</f>
        <v>369342</v>
      </c>
      <c r="G1332" s="3">
        <f>SUM(G1240:G1331)</f>
        <v>589342</v>
      </c>
      <c r="H1332" s="37">
        <f>+(D1332+E1332)/G1332</f>
        <v>0.3732976777490829</v>
      </c>
    </row>
    <row r="1333" spans="1:8" ht="13.5" thickBot="1" x14ac:dyDescent="0.25">
      <c r="D1333" s="60"/>
      <c r="E1333" s="60"/>
      <c r="F1333" s="60"/>
      <c r="G1333" s="60"/>
      <c r="H1333" s="61"/>
    </row>
    <row r="1334" spans="1:8" s="53" customFormat="1" ht="13.5" thickBot="1" x14ac:dyDescent="0.25">
      <c r="A1334" s="16" t="s">
        <v>344</v>
      </c>
      <c r="B1334" s="17" t="s">
        <v>4</v>
      </c>
      <c r="C1334" s="18"/>
      <c r="D1334" s="19" t="s">
        <v>1</v>
      </c>
      <c r="E1334" s="20"/>
      <c r="F1334" s="21"/>
      <c r="G1334" s="22" t="s">
        <v>2</v>
      </c>
      <c r="H1334" s="52" t="s">
        <v>2</v>
      </c>
    </row>
    <row r="1335" spans="1:8" s="53" customFormat="1" ht="13.5" thickBot="1" x14ac:dyDescent="0.25">
      <c r="A1335" s="24" t="s">
        <v>4</v>
      </c>
      <c r="B1335" s="25" t="s">
        <v>225</v>
      </c>
      <c r="C1335" s="24" t="s">
        <v>345</v>
      </c>
      <c r="D1335" s="26" t="s">
        <v>7</v>
      </c>
      <c r="E1335" s="27" t="s">
        <v>8</v>
      </c>
      <c r="F1335" s="26" t="s">
        <v>9</v>
      </c>
      <c r="G1335" s="27" t="s">
        <v>10</v>
      </c>
      <c r="H1335" s="54" t="s">
        <v>10</v>
      </c>
    </row>
    <row r="1336" spans="1:8" x14ac:dyDescent="0.2">
      <c r="A1336" s="30" t="s">
        <v>223</v>
      </c>
      <c r="B1336" s="31">
        <f>+B1162</f>
        <v>1</v>
      </c>
      <c r="C1336" s="32" t="s">
        <v>222</v>
      </c>
      <c r="D1336" s="2">
        <f>+D1162</f>
        <v>91</v>
      </c>
      <c r="E1336" s="2">
        <f>+E1162</f>
        <v>14</v>
      </c>
      <c r="F1336" s="2">
        <f>+F1162</f>
        <v>147</v>
      </c>
      <c r="G1336" s="2">
        <f>+G1162</f>
        <v>252</v>
      </c>
      <c r="H1336" s="33">
        <f t="shared" ref="H1336:H1348" si="235">+(D1336+E1336)/G1336</f>
        <v>0.41666666666666669</v>
      </c>
    </row>
    <row r="1337" spans="1:8" x14ac:dyDescent="0.2">
      <c r="A1337" s="63" t="s">
        <v>1039</v>
      </c>
      <c r="B1337" s="31">
        <f>B1166</f>
        <v>1</v>
      </c>
      <c r="C1337" s="62" t="s">
        <v>1040</v>
      </c>
      <c r="D1337" s="2">
        <f>D1166</f>
        <v>120</v>
      </c>
      <c r="E1337" s="2">
        <f>E1166</f>
        <v>8</v>
      </c>
      <c r="F1337" s="2">
        <f>F1166</f>
        <v>7</v>
      </c>
      <c r="G1337" s="2">
        <f>G1166</f>
        <v>135</v>
      </c>
      <c r="H1337" s="33">
        <f t="shared" ref="H1337" si="236">+(D1337+E1337)/G1337</f>
        <v>0.94814814814814818</v>
      </c>
    </row>
    <row r="1338" spans="1:8" x14ac:dyDescent="0.2">
      <c r="A1338" s="30" t="s">
        <v>282</v>
      </c>
      <c r="B1338" s="31">
        <f>+B1174</f>
        <v>5</v>
      </c>
      <c r="C1338" s="62" t="s">
        <v>936</v>
      </c>
      <c r="D1338" s="2">
        <f>+D1174</f>
        <v>115</v>
      </c>
      <c r="E1338" s="2">
        <f>+E1174</f>
        <v>11</v>
      </c>
      <c r="F1338" s="2">
        <f>+F1174</f>
        <v>143</v>
      </c>
      <c r="G1338" s="2">
        <f>+G1174</f>
        <v>269</v>
      </c>
      <c r="H1338" s="33">
        <f t="shared" si="235"/>
        <v>0.46840148698884759</v>
      </c>
    </row>
    <row r="1339" spans="1:8" x14ac:dyDescent="0.2">
      <c r="A1339" s="30" t="s">
        <v>287</v>
      </c>
      <c r="B1339" s="31">
        <f>+B1179</f>
        <v>2</v>
      </c>
      <c r="C1339" s="62" t="s">
        <v>1014</v>
      </c>
      <c r="D1339" s="2">
        <f>+D1179</f>
        <v>62</v>
      </c>
      <c r="E1339" s="2">
        <f>+E1179</f>
        <v>0</v>
      </c>
      <c r="F1339" s="2">
        <f>+F1179</f>
        <v>0</v>
      </c>
      <c r="G1339" s="2">
        <f>+G1179</f>
        <v>62</v>
      </c>
      <c r="H1339" s="33">
        <f t="shared" si="235"/>
        <v>1</v>
      </c>
    </row>
    <row r="1340" spans="1:8" x14ac:dyDescent="0.2">
      <c r="A1340" s="63" t="s">
        <v>289</v>
      </c>
      <c r="B1340" s="31">
        <f>B1184</f>
        <v>2</v>
      </c>
      <c r="C1340" s="62" t="s">
        <v>1005</v>
      </c>
      <c r="D1340" s="2">
        <f>D1184</f>
        <v>34</v>
      </c>
      <c r="E1340" s="2">
        <f>E1184</f>
        <v>0</v>
      </c>
      <c r="F1340" s="2">
        <f>F1184</f>
        <v>30</v>
      </c>
      <c r="G1340" s="2">
        <f>G1184</f>
        <v>64</v>
      </c>
      <c r="H1340" s="33">
        <f t="shared" ref="H1340" si="237">+(D1340+E1340)/G1340</f>
        <v>0.53125</v>
      </c>
    </row>
    <row r="1341" spans="1:8" x14ac:dyDescent="0.2">
      <c r="A1341" s="30" t="s">
        <v>302</v>
      </c>
      <c r="B1341" s="31">
        <f>+B1188</f>
        <v>1</v>
      </c>
      <c r="C1341" s="32" t="s">
        <v>301</v>
      </c>
      <c r="D1341" s="2">
        <f>+D1188</f>
        <v>126</v>
      </c>
      <c r="E1341" s="2">
        <f>+E1188</f>
        <v>0</v>
      </c>
      <c r="F1341" s="2">
        <f>+F1188</f>
        <v>0</v>
      </c>
      <c r="G1341" s="2">
        <f>+G1188</f>
        <v>126</v>
      </c>
      <c r="H1341" s="33">
        <f t="shared" si="235"/>
        <v>1</v>
      </c>
    </row>
    <row r="1342" spans="1:8" x14ac:dyDescent="0.2">
      <c r="A1342" s="30" t="s">
        <v>305</v>
      </c>
      <c r="B1342" s="31">
        <f>+B1192</f>
        <v>1</v>
      </c>
      <c r="C1342" s="32" t="s">
        <v>304</v>
      </c>
      <c r="D1342" s="2">
        <f>+D1192</f>
        <v>59</v>
      </c>
      <c r="E1342" s="2">
        <f>+E1192</f>
        <v>0</v>
      </c>
      <c r="F1342" s="2">
        <f>+F1192</f>
        <v>0</v>
      </c>
      <c r="G1342" s="2">
        <f>+G1192</f>
        <v>59</v>
      </c>
      <c r="H1342" s="33">
        <f t="shared" si="235"/>
        <v>1</v>
      </c>
    </row>
    <row r="1343" spans="1:8" x14ac:dyDescent="0.2">
      <c r="A1343" s="30" t="s">
        <v>308</v>
      </c>
      <c r="B1343" s="31">
        <f>+B1198</f>
        <v>3</v>
      </c>
      <c r="C1343" s="32" t="s">
        <v>307</v>
      </c>
      <c r="D1343" s="2">
        <f>+D1198</f>
        <v>50</v>
      </c>
      <c r="E1343" s="2">
        <f>+E1198</f>
        <v>0</v>
      </c>
      <c r="F1343" s="2">
        <f>+F1198</f>
        <v>0</v>
      </c>
      <c r="G1343" s="2">
        <f>+G1198</f>
        <v>50</v>
      </c>
      <c r="H1343" s="33">
        <f t="shared" si="235"/>
        <v>1</v>
      </c>
    </row>
    <row r="1344" spans="1:8" x14ac:dyDescent="0.2">
      <c r="A1344" s="63" t="s">
        <v>420</v>
      </c>
      <c r="B1344" s="31">
        <f>+B1220</f>
        <v>19</v>
      </c>
      <c r="C1344" s="62" t="s">
        <v>419</v>
      </c>
      <c r="D1344" s="2">
        <f>+D1220</f>
        <v>551</v>
      </c>
      <c r="E1344" s="2">
        <f>+E1220</f>
        <v>0</v>
      </c>
      <c r="F1344" s="2">
        <f>+F1220</f>
        <v>0</v>
      </c>
      <c r="G1344" s="2">
        <f>+G1220</f>
        <v>551</v>
      </c>
      <c r="H1344" s="33">
        <f t="shared" si="235"/>
        <v>1</v>
      </c>
    </row>
    <row r="1345" spans="1:8" x14ac:dyDescent="0.2">
      <c r="A1345" s="63" t="s">
        <v>988</v>
      </c>
      <c r="B1345" s="31">
        <f>B1224</f>
        <v>1</v>
      </c>
      <c r="C1345" s="62" t="s">
        <v>990</v>
      </c>
      <c r="D1345" s="30">
        <f>D1224</f>
        <v>17</v>
      </c>
      <c r="E1345" s="30">
        <f>E1224</f>
        <v>0</v>
      </c>
      <c r="F1345" s="30">
        <f>F1224</f>
        <v>0</v>
      </c>
      <c r="G1345" s="30">
        <f>G1224</f>
        <v>17</v>
      </c>
      <c r="H1345" s="33">
        <f>+(D1345+E1345)/G1345</f>
        <v>1</v>
      </c>
    </row>
    <row r="1346" spans="1:8" x14ac:dyDescent="0.2">
      <c r="A1346" s="30" t="s">
        <v>320</v>
      </c>
      <c r="B1346" s="31">
        <f>+B1228</f>
        <v>1</v>
      </c>
      <c r="C1346" s="32" t="s">
        <v>319</v>
      </c>
      <c r="D1346" s="56">
        <f>+D1228</f>
        <v>76</v>
      </c>
      <c r="E1346" s="56">
        <f>+E1228</f>
        <v>0</v>
      </c>
      <c r="F1346" s="56">
        <f>+F1228</f>
        <v>0</v>
      </c>
      <c r="G1346" s="56">
        <f>+G1228</f>
        <v>76</v>
      </c>
      <c r="H1346" s="33">
        <f>+(D1346+E1346)/G1346</f>
        <v>1</v>
      </c>
    </row>
    <row r="1347" spans="1:8" ht="13.5" thickBot="1" x14ac:dyDescent="0.25">
      <c r="A1347" s="30" t="s">
        <v>322</v>
      </c>
      <c r="B1347" s="31">
        <f>+B1235</f>
        <v>4</v>
      </c>
      <c r="C1347" s="32" t="s">
        <v>321</v>
      </c>
      <c r="D1347" s="2">
        <f>+D1235</f>
        <v>31</v>
      </c>
      <c r="E1347" s="2">
        <f>+E1235</f>
        <v>0</v>
      </c>
      <c r="F1347" s="2">
        <f>+F1235</f>
        <v>0</v>
      </c>
      <c r="G1347" s="2">
        <f>+G1235</f>
        <v>31</v>
      </c>
      <c r="H1347" s="33">
        <f t="shared" si="235"/>
        <v>1</v>
      </c>
    </row>
    <row r="1348" spans="1:8" ht="13.5" thickBot="1" x14ac:dyDescent="0.25">
      <c r="A1348" s="34"/>
      <c r="B1348" s="35">
        <f>SUM(B1336:B1347)</f>
        <v>41</v>
      </c>
      <c r="C1348" s="36" t="s">
        <v>20</v>
      </c>
      <c r="D1348" s="147">
        <f>SUM(D1336:D1347)</f>
        <v>1332</v>
      </c>
      <c r="E1348" s="147">
        <f>SUM(E1336:E1347)</f>
        <v>33</v>
      </c>
      <c r="F1348" s="147">
        <f>SUM(F1336:F1347)</f>
        <v>327</v>
      </c>
      <c r="G1348" s="147">
        <f>SUM(G1336:G1347)</f>
        <v>1692</v>
      </c>
      <c r="H1348" s="37">
        <f t="shared" si="235"/>
        <v>0.80673758865248224</v>
      </c>
    </row>
    <row r="1349" spans="1:8" s="6" customFormat="1" ht="12" x14ac:dyDescent="0.2">
      <c r="H1349" s="7"/>
    </row>
    <row r="1350" spans="1:8" x14ac:dyDescent="0.2">
      <c r="D1350" s="50"/>
      <c r="E1350" s="50"/>
      <c r="F1350" s="50"/>
      <c r="G1350" s="50"/>
      <c r="H1350" s="8"/>
    </row>
    <row r="1351" spans="1:8" x14ac:dyDescent="0.2">
      <c r="D1351" s="50"/>
      <c r="E1351" s="50"/>
      <c r="F1351" s="50"/>
      <c r="G1351" s="50"/>
      <c r="H1351" s="8"/>
    </row>
    <row r="1352" spans="1:8" x14ac:dyDescent="0.2">
      <c r="D1352" s="50"/>
      <c r="E1352" s="50"/>
      <c r="F1352" s="50"/>
      <c r="G1352" s="50"/>
      <c r="H1352" s="8"/>
    </row>
    <row r="1353" spans="1:8" x14ac:dyDescent="0.2">
      <c r="D1353" s="50"/>
      <c r="E1353" s="50"/>
      <c r="F1353" s="50"/>
      <c r="G1353" s="50"/>
      <c r="H1353" s="8"/>
    </row>
    <row r="1354" spans="1:8" x14ac:dyDescent="0.2">
      <c r="D1354" s="50"/>
      <c r="E1354" s="50"/>
      <c r="F1354" s="50"/>
      <c r="G1354" s="50"/>
      <c r="H1354" s="8"/>
    </row>
    <row r="1355" spans="1:8" x14ac:dyDescent="0.2">
      <c r="D1355" s="50"/>
      <c r="E1355" s="50"/>
      <c r="F1355" s="50"/>
      <c r="G1355" s="50"/>
      <c r="H1355" s="8"/>
    </row>
    <row r="1356" spans="1:8" x14ac:dyDescent="0.2">
      <c r="D1356" s="50"/>
      <c r="E1356" s="50"/>
      <c r="F1356" s="50"/>
      <c r="G1356" s="50"/>
      <c r="H1356" s="8"/>
    </row>
    <row r="1357" spans="1:8" x14ac:dyDescent="0.2">
      <c r="D1357" s="50"/>
      <c r="E1357" s="50"/>
      <c r="F1357" s="50"/>
      <c r="G1357" s="50"/>
      <c r="H1357" s="8"/>
    </row>
    <row r="1358" spans="1:8" x14ac:dyDescent="0.2">
      <c r="D1358" s="50"/>
      <c r="E1358" s="50"/>
      <c r="F1358" s="50"/>
      <c r="G1358" s="50"/>
      <c r="H1358" s="8"/>
    </row>
    <row r="1359" spans="1:8" x14ac:dyDescent="0.2">
      <c r="D1359" s="50"/>
      <c r="E1359" s="50"/>
      <c r="F1359" s="50"/>
      <c r="G1359" s="50"/>
      <c r="H1359" s="8"/>
    </row>
    <row r="1360" spans="1:8" x14ac:dyDescent="0.2">
      <c r="D1360" s="50"/>
      <c r="E1360" s="50"/>
      <c r="F1360" s="50"/>
      <c r="G1360" s="50"/>
      <c r="H1360" s="8"/>
    </row>
    <row r="1361" spans="4:8" x14ac:dyDescent="0.2">
      <c r="D1361" s="50"/>
      <c r="E1361" s="50"/>
      <c r="F1361" s="50"/>
      <c r="G1361" s="50"/>
      <c r="H1361" s="8"/>
    </row>
    <row r="1362" spans="4:8" x14ac:dyDescent="0.2">
      <c r="D1362" s="50"/>
      <c r="E1362" s="50"/>
      <c r="F1362" s="50"/>
      <c r="G1362" s="50"/>
      <c r="H1362" s="8"/>
    </row>
    <row r="1363" spans="4:8" x14ac:dyDescent="0.2">
      <c r="D1363" s="50"/>
      <c r="E1363" s="50"/>
      <c r="F1363" s="50"/>
      <c r="G1363" s="50"/>
      <c r="H1363" s="8"/>
    </row>
    <row r="1364" spans="4:8" x14ac:dyDescent="0.2">
      <c r="D1364" s="50"/>
      <c r="E1364" s="50"/>
      <c r="F1364" s="50"/>
      <c r="G1364" s="50"/>
      <c r="H1364" s="8"/>
    </row>
    <row r="1365" spans="4:8" x14ac:dyDescent="0.2">
      <c r="D1365" s="50"/>
      <c r="E1365" s="50"/>
      <c r="F1365" s="50"/>
      <c r="G1365" s="50"/>
      <c r="H1365" s="8"/>
    </row>
    <row r="1366" spans="4:8" x14ac:dyDescent="0.2">
      <c r="D1366" s="50"/>
      <c r="E1366" s="50"/>
      <c r="F1366" s="50"/>
      <c r="G1366" s="50"/>
      <c r="H1366" s="8"/>
    </row>
    <row r="1367" spans="4:8" x14ac:dyDescent="0.2">
      <c r="D1367" s="50"/>
      <c r="E1367" s="50"/>
      <c r="F1367" s="50"/>
      <c r="G1367" s="50"/>
      <c r="H1367" s="8"/>
    </row>
    <row r="1368" spans="4:8" x14ac:dyDescent="0.2">
      <c r="D1368" s="50"/>
      <c r="E1368" s="50"/>
      <c r="F1368" s="50"/>
      <c r="G1368" s="50"/>
      <c r="H1368" s="8"/>
    </row>
    <row r="1369" spans="4:8" x14ac:dyDescent="0.2">
      <c r="D1369" s="50"/>
      <c r="E1369" s="50"/>
      <c r="F1369" s="50"/>
      <c r="G1369" s="50"/>
      <c r="H1369" s="8"/>
    </row>
    <row r="1370" spans="4:8" x14ac:dyDescent="0.2">
      <c r="D1370" s="50"/>
      <c r="E1370" s="50"/>
      <c r="F1370" s="50"/>
      <c r="G1370" s="50"/>
      <c r="H1370" s="8"/>
    </row>
    <row r="1371" spans="4:8" x14ac:dyDescent="0.2">
      <c r="D1371" s="50"/>
      <c r="E1371" s="50"/>
      <c r="F1371" s="50"/>
      <c r="G1371" s="50"/>
      <c r="H1371" s="8"/>
    </row>
    <row r="1372" spans="4:8" x14ac:dyDescent="0.2">
      <c r="D1372" s="50"/>
      <c r="E1372" s="50"/>
      <c r="F1372" s="50"/>
      <c r="G1372" s="50"/>
      <c r="H1372" s="8"/>
    </row>
    <row r="1373" spans="4:8" x14ac:dyDescent="0.2">
      <c r="D1373" s="50"/>
      <c r="E1373" s="50"/>
      <c r="F1373" s="50"/>
      <c r="G1373" s="50"/>
      <c r="H1373" s="8"/>
    </row>
    <row r="1374" spans="4:8" x14ac:dyDescent="0.2">
      <c r="D1374" s="50"/>
      <c r="E1374" s="50"/>
      <c r="F1374" s="50"/>
      <c r="G1374" s="50"/>
      <c r="H1374" s="8"/>
    </row>
    <row r="1375" spans="4:8" x14ac:dyDescent="0.2">
      <c r="D1375" s="50"/>
      <c r="E1375" s="50"/>
      <c r="F1375" s="50"/>
      <c r="G1375" s="50"/>
      <c r="H1375" s="8"/>
    </row>
    <row r="1376" spans="4:8" x14ac:dyDescent="0.2">
      <c r="D1376" s="50"/>
      <c r="E1376" s="50"/>
      <c r="F1376" s="50"/>
      <c r="G1376" s="50"/>
      <c r="H1376" s="8"/>
    </row>
    <row r="1377" spans="4:8" x14ac:dyDescent="0.2">
      <c r="D1377" s="50"/>
      <c r="E1377" s="50"/>
      <c r="F1377" s="50"/>
      <c r="G1377" s="50"/>
      <c r="H1377" s="8"/>
    </row>
    <row r="1378" spans="4:8" x14ac:dyDescent="0.2">
      <c r="D1378" s="50"/>
      <c r="E1378" s="50"/>
      <c r="F1378" s="50"/>
      <c r="G1378" s="50"/>
      <c r="H1378" s="8"/>
    </row>
    <row r="1379" spans="4:8" x14ac:dyDescent="0.2">
      <c r="D1379" s="50"/>
      <c r="E1379" s="50"/>
      <c r="F1379" s="50"/>
      <c r="G1379" s="50"/>
      <c r="H1379" s="8"/>
    </row>
    <row r="1380" spans="4:8" x14ac:dyDescent="0.2">
      <c r="D1380" s="50"/>
      <c r="E1380" s="50"/>
      <c r="F1380" s="50"/>
      <c r="G1380" s="50"/>
      <c r="H1380" s="8"/>
    </row>
    <row r="1381" spans="4:8" x14ac:dyDescent="0.2">
      <c r="D1381" s="50"/>
      <c r="E1381" s="50"/>
      <c r="F1381" s="50"/>
      <c r="G1381" s="50"/>
      <c r="H1381" s="8"/>
    </row>
    <row r="1382" spans="4:8" x14ac:dyDescent="0.2">
      <c r="D1382" s="50"/>
      <c r="E1382" s="50"/>
      <c r="F1382" s="50"/>
      <c r="G1382" s="50"/>
      <c r="H1382" s="8"/>
    </row>
    <row r="1383" spans="4:8" x14ac:dyDescent="0.2">
      <c r="D1383" s="50"/>
      <c r="E1383" s="50"/>
      <c r="F1383" s="50"/>
      <c r="G1383" s="50"/>
      <c r="H1383" s="8"/>
    </row>
    <row r="1384" spans="4:8" x14ac:dyDescent="0.2">
      <c r="D1384" s="50"/>
      <c r="E1384" s="50"/>
      <c r="F1384" s="50"/>
      <c r="G1384" s="50"/>
      <c r="H1384" s="8"/>
    </row>
    <row r="1385" spans="4:8" x14ac:dyDescent="0.2">
      <c r="D1385" s="50"/>
      <c r="E1385" s="50"/>
      <c r="F1385" s="50"/>
      <c r="G1385" s="50"/>
      <c r="H1385" s="8"/>
    </row>
    <row r="1386" spans="4:8" x14ac:dyDescent="0.2">
      <c r="D1386" s="50"/>
      <c r="E1386" s="50"/>
      <c r="F1386" s="50"/>
      <c r="G1386" s="50"/>
      <c r="H1386" s="8"/>
    </row>
    <row r="1387" spans="4:8" x14ac:dyDescent="0.2">
      <c r="D1387" s="50"/>
      <c r="E1387" s="50"/>
      <c r="F1387" s="50"/>
      <c r="G1387" s="50"/>
      <c r="H1387" s="8"/>
    </row>
    <row r="1388" spans="4:8" x14ac:dyDescent="0.2">
      <c r="D1388" s="50"/>
      <c r="E1388" s="50"/>
      <c r="F1388" s="50"/>
      <c r="G1388" s="50"/>
      <c r="H1388" s="8"/>
    </row>
    <row r="1389" spans="4:8" x14ac:dyDescent="0.2">
      <c r="D1389" s="50"/>
      <c r="E1389" s="50"/>
      <c r="F1389" s="50"/>
      <c r="G1389" s="50"/>
      <c r="H1389" s="8"/>
    </row>
    <row r="1390" spans="4:8" x14ac:dyDescent="0.2">
      <c r="D1390" s="50"/>
      <c r="E1390" s="50"/>
      <c r="F1390" s="50"/>
      <c r="G1390" s="50"/>
      <c r="H1390" s="8"/>
    </row>
    <row r="1391" spans="4:8" x14ac:dyDescent="0.2">
      <c r="D1391" s="50"/>
      <c r="E1391" s="50"/>
      <c r="F1391" s="50"/>
      <c r="G1391" s="50"/>
      <c r="H1391" s="8"/>
    </row>
    <row r="1392" spans="4:8" x14ac:dyDescent="0.2">
      <c r="D1392" s="50"/>
      <c r="E1392" s="50"/>
      <c r="F1392" s="50"/>
      <c r="G1392" s="50"/>
      <c r="H1392" s="8"/>
    </row>
    <row r="1393" spans="4:8" x14ac:dyDescent="0.2">
      <c r="D1393" s="50"/>
      <c r="E1393" s="50"/>
      <c r="F1393" s="50"/>
      <c r="G1393" s="50"/>
      <c r="H1393" s="8"/>
    </row>
    <row r="1394" spans="4:8" x14ac:dyDescent="0.2">
      <c r="D1394" s="50"/>
      <c r="E1394" s="50"/>
      <c r="F1394" s="50"/>
      <c r="G1394" s="50"/>
      <c r="H1394" s="8"/>
    </row>
    <row r="1395" spans="4:8" x14ac:dyDescent="0.2">
      <c r="D1395" s="50"/>
      <c r="E1395" s="50"/>
      <c r="F1395" s="50"/>
      <c r="G1395" s="50"/>
      <c r="H1395" s="8"/>
    </row>
    <row r="1396" spans="4:8" x14ac:dyDescent="0.2">
      <c r="D1396" s="50"/>
      <c r="E1396" s="50"/>
      <c r="F1396" s="50"/>
      <c r="G1396" s="50"/>
      <c r="H1396" s="8"/>
    </row>
    <row r="1397" spans="4:8" x14ac:dyDescent="0.2">
      <c r="D1397" s="50"/>
      <c r="E1397" s="50"/>
      <c r="F1397" s="50"/>
      <c r="G1397" s="50"/>
      <c r="H1397" s="8"/>
    </row>
    <row r="1398" spans="4:8" x14ac:dyDescent="0.2">
      <c r="D1398" s="50"/>
      <c r="E1398" s="50"/>
      <c r="F1398" s="50"/>
      <c r="G1398" s="50"/>
      <c r="H1398" s="8"/>
    </row>
    <row r="1399" spans="4:8" x14ac:dyDescent="0.2">
      <c r="D1399" s="50"/>
      <c r="E1399" s="50"/>
      <c r="F1399" s="50"/>
      <c r="G1399" s="50"/>
      <c r="H1399" s="8"/>
    </row>
    <row r="1400" spans="4:8" x14ac:dyDescent="0.2">
      <c r="D1400" s="50"/>
      <c r="E1400" s="50"/>
      <c r="F1400" s="50"/>
      <c r="G1400" s="50"/>
      <c r="H1400" s="8"/>
    </row>
    <row r="1401" spans="4:8" x14ac:dyDescent="0.2">
      <c r="D1401" s="50"/>
      <c r="E1401" s="50"/>
      <c r="F1401" s="50"/>
      <c r="G1401" s="50"/>
      <c r="H1401" s="8"/>
    </row>
    <row r="1402" spans="4:8" x14ac:dyDescent="0.2">
      <c r="D1402" s="50"/>
      <c r="E1402" s="50"/>
      <c r="F1402" s="50"/>
      <c r="G1402" s="50"/>
      <c r="H1402" s="8"/>
    </row>
    <row r="1403" spans="4:8" x14ac:dyDescent="0.2">
      <c r="D1403" s="50"/>
      <c r="E1403" s="50"/>
      <c r="F1403" s="50"/>
      <c r="G1403" s="50"/>
      <c r="H1403" s="8"/>
    </row>
    <row r="1404" spans="4:8" x14ac:dyDescent="0.2">
      <c r="D1404" s="50"/>
      <c r="E1404" s="50"/>
      <c r="F1404" s="50"/>
      <c r="G1404" s="50"/>
      <c r="H1404" s="8"/>
    </row>
    <row r="1405" spans="4:8" x14ac:dyDescent="0.2">
      <c r="D1405" s="50"/>
      <c r="E1405" s="50"/>
      <c r="F1405" s="50"/>
      <c r="G1405" s="50"/>
      <c r="H1405" s="8"/>
    </row>
    <row r="1406" spans="4:8" x14ac:dyDescent="0.2">
      <c r="D1406" s="50"/>
      <c r="E1406" s="50"/>
      <c r="F1406" s="50"/>
      <c r="G1406" s="50"/>
      <c r="H1406" s="8"/>
    </row>
    <row r="1407" spans="4:8" x14ac:dyDescent="0.2">
      <c r="D1407" s="50"/>
      <c r="E1407" s="50"/>
      <c r="F1407" s="50"/>
      <c r="G1407" s="50"/>
      <c r="H1407" s="8"/>
    </row>
    <row r="1408" spans="4:8" x14ac:dyDescent="0.2">
      <c r="D1408" s="50"/>
      <c r="E1408" s="50"/>
      <c r="F1408" s="50"/>
      <c r="G1408" s="50"/>
      <c r="H1408" s="8"/>
    </row>
    <row r="1409" spans="4:8" x14ac:dyDescent="0.2">
      <c r="D1409" s="50"/>
      <c r="E1409" s="50"/>
      <c r="F1409" s="50"/>
      <c r="G1409" s="50"/>
      <c r="H1409" s="8"/>
    </row>
    <row r="1410" spans="4:8" x14ac:dyDescent="0.2">
      <c r="D1410" s="50"/>
      <c r="E1410" s="50"/>
      <c r="F1410" s="50"/>
      <c r="G1410" s="50"/>
      <c r="H1410" s="8"/>
    </row>
    <row r="1411" spans="4:8" x14ac:dyDescent="0.2">
      <c r="D1411" s="50"/>
      <c r="E1411" s="50"/>
      <c r="F1411" s="50"/>
      <c r="G1411" s="50"/>
      <c r="H1411" s="8"/>
    </row>
    <row r="1412" spans="4:8" x14ac:dyDescent="0.2">
      <c r="D1412" s="50"/>
      <c r="E1412" s="50"/>
      <c r="F1412" s="50"/>
      <c r="G1412" s="50"/>
      <c r="H1412" s="8"/>
    </row>
    <row r="1413" spans="4:8" x14ac:dyDescent="0.2">
      <c r="D1413" s="50"/>
      <c r="E1413" s="50"/>
      <c r="F1413" s="50"/>
      <c r="G1413" s="50"/>
      <c r="H1413" s="8"/>
    </row>
    <row r="1414" spans="4:8" x14ac:dyDescent="0.2">
      <c r="D1414" s="50"/>
      <c r="E1414" s="50"/>
      <c r="F1414" s="50"/>
      <c r="G1414" s="50"/>
      <c r="H1414" s="8"/>
    </row>
    <row r="1415" spans="4:8" x14ac:dyDescent="0.2">
      <c r="D1415" s="50"/>
      <c r="E1415" s="50"/>
      <c r="F1415" s="50"/>
      <c r="G1415" s="50"/>
      <c r="H1415" s="8"/>
    </row>
    <row r="1416" spans="4:8" x14ac:dyDescent="0.2">
      <c r="D1416" s="50"/>
      <c r="E1416" s="50"/>
      <c r="F1416" s="50"/>
      <c r="G1416" s="50"/>
      <c r="H1416" s="8"/>
    </row>
    <row r="1417" spans="4:8" x14ac:dyDescent="0.2">
      <c r="D1417" s="50"/>
      <c r="E1417" s="50"/>
      <c r="F1417" s="50"/>
      <c r="G1417" s="50"/>
      <c r="H1417" s="8"/>
    </row>
    <row r="1418" spans="4:8" x14ac:dyDescent="0.2">
      <c r="D1418" s="50"/>
      <c r="E1418" s="50"/>
      <c r="F1418" s="50"/>
      <c r="G1418" s="50"/>
      <c r="H1418" s="8"/>
    </row>
    <row r="1419" spans="4:8" x14ac:dyDescent="0.2">
      <c r="D1419" s="50"/>
      <c r="E1419" s="50"/>
      <c r="F1419" s="50"/>
      <c r="G1419" s="50"/>
      <c r="H1419" s="8"/>
    </row>
    <row r="1420" spans="4:8" x14ac:dyDescent="0.2">
      <c r="D1420" s="50"/>
      <c r="E1420" s="50"/>
      <c r="F1420" s="50"/>
      <c r="G1420" s="50"/>
      <c r="H1420" s="8"/>
    </row>
    <row r="1421" spans="4:8" x14ac:dyDescent="0.2">
      <c r="D1421" s="50"/>
      <c r="E1421" s="50"/>
      <c r="F1421" s="50"/>
      <c r="G1421" s="50"/>
      <c r="H1421" s="8"/>
    </row>
    <row r="1422" spans="4:8" x14ac:dyDescent="0.2">
      <c r="D1422" s="50"/>
      <c r="E1422" s="50"/>
      <c r="F1422" s="50"/>
      <c r="G1422" s="50"/>
      <c r="H1422" s="8"/>
    </row>
    <row r="1423" spans="4:8" x14ac:dyDescent="0.2">
      <c r="D1423" s="50"/>
      <c r="E1423" s="50"/>
      <c r="F1423" s="50"/>
      <c r="G1423" s="50"/>
      <c r="H1423" s="8"/>
    </row>
    <row r="1424" spans="4:8" x14ac:dyDescent="0.2">
      <c r="D1424" s="50"/>
      <c r="E1424" s="50"/>
      <c r="F1424" s="50"/>
      <c r="G1424" s="50"/>
      <c r="H1424" s="8"/>
    </row>
    <row r="1425" spans="4:8" x14ac:dyDescent="0.2">
      <c r="D1425" s="50"/>
      <c r="E1425" s="50"/>
      <c r="F1425" s="50"/>
      <c r="G1425" s="50"/>
      <c r="H1425" s="8"/>
    </row>
    <row r="1426" spans="4:8" x14ac:dyDescent="0.2">
      <c r="D1426" s="50"/>
      <c r="E1426" s="50"/>
      <c r="F1426" s="50"/>
      <c r="G1426" s="50"/>
      <c r="H1426" s="8"/>
    </row>
    <row r="1427" spans="4:8" x14ac:dyDescent="0.2">
      <c r="D1427" s="50"/>
      <c r="E1427" s="50"/>
      <c r="F1427" s="50"/>
      <c r="G1427" s="50"/>
      <c r="H1427" s="8"/>
    </row>
    <row r="1428" spans="4:8" x14ac:dyDescent="0.2">
      <c r="D1428" s="50"/>
      <c r="E1428" s="50"/>
      <c r="F1428" s="50"/>
      <c r="G1428" s="50"/>
      <c r="H1428" s="8"/>
    </row>
    <row r="1429" spans="4:8" x14ac:dyDescent="0.2">
      <c r="D1429" s="50"/>
      <c r="E1429" s="50"/>
      <c r="F1429" s="50"/>
      <c r="G1429" s="50"/>
      <c r="H1429" s="8"/>
    </row>
    <row r="1430" spans="4:8" x14ac:dyDescent="0.2">
      <c r="D1430" s="50"/>
      <c r="E1430" s="50"/>
      <c r="F1430" s="50"/>
      <c r="G1430" s="50"/>
      <c r="H1430" s="8"/>
    </row>
    <row r="1431" spans="4:8" x14ac:dyDescent="0.2">
      <c r="D1431" s="50"/>
      <c r="E1431" s="50"/>
      <c r="F1431" s="50"/>
      <c r="G1431" s="50"/>
      <c r="H1431" s="8"/>
    </row>
    <row r="1432" spans="4:8" x14ac:dyDescent="0.2">
      <c r="D1432" s="50"/>
      <c r="E1432" s="50"/>
      <c r="F1432" s="50"/>
      <c r="G1432" s="50"/>
      <c r="H1432" s="8"/>
    </row>
    <row r="1433" spans="4:8" x14ac:dyDescent="0.2">
      <c r="D1433" s="50"/>
      <c r="E1433" s="50"/>
      <c r="F1433" s="50"/>
      <c r="G1433" s="50"/>
      <c r="H1433" s="8"/>
    </row>
    <row r="1434" spans="4:8" x14ac:dyDescent="0.2">
      <c r="D1434" s="50"/>
      <c r="E1434" s="50"/>
      <c r="F1434" s="50"/>
      <c r="G1434" s="50"/>
      <c r="H1434" s="8"/>
    </row>
    <row r="1435" spans="4:8" x14ac:dyDescent="0.2">
      <c r="D1435" s="50"/>
      <c r="E1435" s="50"/>
      <c r="F1435" s="50"/>
      <c r="G1435" s="50"/>
      <c r="H1435" s="8"/>
    </row>
    <row r="1436" spans="4:8" x14ac:dyDescent="0.2">
      <c r="D1436" s="50"/>
      <c r="E1436" s="50"/>
      <c r="F1436" s="50"/>
      <c r="G1436" s="50"/>
      <c r="H1436" s="8"/>
    </row>
    <row r="1437" spans="4:8" x14ac:dyDescent="0.2">
      <c r="D1437" s="50"/>
      <c r="E1437" s="50"/>
      <c r="F1437" s="50"/>
      <c r="G1437" s="50"/>
      <c r="H1437" s="8"/>
    </row>
    <row r="1438" spans="4:8" x14ac:dyDescent="0.2">
      <c r="D1438" s="50"/>
      <c r="E1438" s="50"/>
      <c r="F1438" s="50"/>
      <c r="G1438" s="50"/>
      <c r="H1438" s="8"/>
    </row>
    <row r="1439" spans="4:8" x14ac:dyDescent="0.2">
      <c r="D1439" s="50"/>
      <c r="E1439" s="50"/>
      <c r="F1439" s="50"/>
      <c r="G1439" s="50"/>
      <c r="H1439" s="8"/>
    </row>
    <row r="1440" spans="4:8" x14ac:dyDescent="0.2">
      <c r="D1440" s="50"/>
      <c r="E1440" s="50"/>
      <c r="F1440" s="50"/>
      <c r="G1440" s="50"/>
      <c r="H1440" s="8"/>
    </row>
    <row r="1441" spans="4:8" x14ac:dyDescent="0.2">
      <c r="D1441" s="50"/>
      <c r="E1441" s="50"/>
      <c r="F1441" s="50"/>
      <c r="G1441" s="50"/>
      <c r="H1441" s="8"/>
    </row>
    <row r="1442" spans="4:8" x14ac:dyDescent="0.2">
      <c r="D1442" s="50"/>
      <c r="E1442" s="50"/>
      <c r="F1442" s="50"/>
      <c r="G1442" s="50"/>
      <c r="H1442" s="8"/>
    </row>
    <row r="1443" spans="4:8" x14ac:dyDescent="0.2">
      <c r="D1443" s="50"/>
      <c r="E1443" s="50"/>
      <c r="F1443" s="50"/>
      <c r="G1443" s="50"/>
      <c r="H1443" s="8"/>
    </row>
    <row r="1444" spans="4:8" x14ac:dyDescent="0.2">
      <c r="D1444" s="50"/>
      <c r="E1444" s="50"/>
      <c r="F1444" s="50"/>
      <c r="G1444" s="50"/>
      <c r="H1444" s="8"/>
    </row>
    <row r="1445" spans="4:8" x14ac:dyDescent="0.2">
      <c r="D1445" s="50"/>
      <c r="E1445" s="50"/>
      <c r="F1445" s="50"/>
      <c r="G1445" s="50"/>
      <c r="H1445" s="8"/>
    </row>
    <row r="1446" spans="4:8" x14ac:dyDescent="0.2">
      <c r="D1446" s="50"/>
      <c r="E1446" s="50"/>
      <c r="F1446" s="50"/>
      <c r="G1446" s="50"/>
      <c r="H1446" s="8"/>
    </row>
    <row r="1447" spans="4:8" x14ac:dyDescent="0.2">
      <c r="D1447" s="50"/>
      <c r="E1447" s="50"/>
      <c r="F1447" s="50"/>
      <c r="G1447" s="50"/>
      <c r="H1447" s="8"/>
    </row>
    <row r="1448" spans="4:8" x14ac:dyDescent="0.2">
      <c r="D1448" s="50"/>
      <c r="E1448" s="50"/>
      <c r="F1448" s="50"/>
      <c r="G1448" s="50"/>
      <c r="H1448" s="8"/>
    </row>
    <row r="1449" spans="4:8" x14ac:dyDescent="0.2">
      <c r="D1449" s="50"/>
      <c r="E1449" s="50"/>
      <c r="F1449" s="50"/>
      <c r="G1449" s="50"/>
      <c r="H1449" s="8"/>
    </row>
    <row r="1450" spans="4:8" x14ac:dyDescent="0.2">
      <c r="D1450" s="50"/>
      <c r="E1450" s="50"/>
      <c r="F1450" s="50"/>
      <c r="G1450" s="50"/>
      <c r="H1450" s="8"/>
    </row>
    <row r="1451" spans="4:8" x14ac:dyDescent="0.2">
      <c r="D1451" s="50"/>
      <c r="E1451" s="50"/>
      <c r="F1451" s="50"/>
      <c r="G1451" s="50"/>
      <c r="H1451" s="8"/>
    </row>
    <row r="1452" spans="4:8" x14ac:dyDescent="0.2">
      <c r="D1452" s="50"/>
      <c r="E1452" s="50"/>
      <c r="F1452" s="50"/>
      <c r="G1452" s="50"/>
      <c r="H1452" s="8"/>
    </row>
    <row r="1453" spans="4:8" x14ac:dyDescent="0.2">
      <c r="D1453" s="50"/>
      <c r="E1453" s="50"/>
      <c r="F1453" s="50"/>
      <c r="G1453" s="50"/>
      <c r="H1453" s="8"/>
    </row>
    <row r="1454" spans="4:8" x14ac:dyDescent="0.2">
      <c r="D1454" s="50"/>
      <c r="E1454" s="50"/>
      <c r="F1454" s="50"/>
      <c r="G1454" s="50"/>
      <c r="H1454" s="8"/>
    </row>
    <row r="1455" spans="4:8" x14ac:dyDescent="0.2">
      <c r="D1455" s="50"/>
      <c r="E1455" s="50"/>
      <c r="F1455" s="50"/>
      <c r="G1455" s="50"/>
      <c r="H1455" s="8"/>
    </row>
    <row r="1456" spans="4:8" x14ac:dyDescent="0.2">
      <c r="D1456" s="50"/>
      <c r="E1456" s="50"/>
      <c r="F1456" s="50"/>
      <c r="G1456" s="50"/>
      <c r="H1456" s="8"/>
    </row>
    <row r="1457" spans="4:8" x14ac:dyDescent="0.2">
      <c r="D1457" s="50"/>
      <c r="E1457" s="50"/>
      <c r="F1457" s="50"/>
      <c r="G1457" s="50"/>
      <c r="H1457" s="8"/>
    </row>
    <row r="1458" spans="4:8" x14ac:dyDescent="0.2">
      <c r="D1458" s="50"/>
      <c r="E1458" s="50"/>
      <c r="F1458" s="50"/>
      <c r="G1458" s="50"/>
      <c r="H1458" s="8"/>
    </row>
    <row r="1459" spans="4:8" x14ac:dyDescent="0.2">
      <c r="D1459" s="50"/>
      <c r="E1459" s="50"/>
      <c r="F1459" s="50"/>
      <c r="G1459" s="50"/>
      <c r="H1459" s="8"/>
    </row>
    <row r="1460" spans="4:8" x14ac:dyDescent="0.2">
      <c r="D1460" s="50"/>
      <c r="E1460" s="50"/>
      <c r="F1460" s="50"/>
      <c r="G1460" s="50"/>
      <c r="H1460" s="8"/>
    </row>
    <row r="1461" spans="4:8" x14ac:dyDescent="0.2">
      <c r="D1461" s="50"/>
      <c r="E1461" s="50"/>
      <c r="F1461" s="50"/>
      <c r="G1461" s="50"/>
      <c r="H1461" s="8"/>
    </row>
    <row r="1462" spans="4:8" x14ac:dyDescent="0.2">
      <c r="D1462" s="50"/>
      <c r="E1462" s="50"/>
      <c r="F1462" s="50"/>
      <c r="G1462" s="50"/>
      <c r="H1462" s="8"/>
    </row>
    <row r="1463" spans="4:8" x14ac:dyDescent="0.2">
      <c r="D1463" s="50"/>
      <c r="E1463" s="50"/>
      <c r="F1463" s="50"/>
      <c r="G1463" s="50"/>
      <c r="H1463" s="8"/>
    </row>
    <row r="1464" spans="4:8" x14ac:dyDescent="0.2">
      <c r="D1464" s="50"/>
      <c r="E1464" s="50"/>
      <c r="F1464" s="50"/>
      <c r="G1464" s="50"/>
      <c r="H1464" s="8"/>
    </row>
    <row r="1465" spans="4:8" x14ac:dyDescent="0.2">
      <c r="D1465" s="50"/>
      <c r="E1465" s="50"/>
      <c r="F1465" s="50"/>
      <c r="G1465" s="50"/>
      <c r="H1465" s="8"/>
    </row>
    <row r="1466" spans="4:8" x14ac:dyDescent="0.2">
      <c r="D1466" s="50"/>
      <c r="E1466" s="50"/>
      <c r="F1466" s="50"/>
      <c r="G1466" s="50"/>
      <c r="H1466" s="8"/>
    </row>
    <row r="1467" spans="4:8" x14ac:dyDescent="0.2">
      <c r="D1467" s="50"/>
      <c r="E1467" s="50"/>
      <c r="F1467" s="50"/>
      <c r="G1467" s="50"/>
      <c r="H1467" s="8"/>
    </row>
    <row r="1468" spans="4:8" x14ac:dyDescent="0.2">
      <c r="D1468" s="50"/>
      <c r="E1468" s="50"/>
      <c r="F1468" s="50"/>
      <c r="G1468" s="50"/>
      <c r="H1468" s="8"/>
    </row>
    <row r="1469" spans="4:8" x14ac:dyDescent="0.2">
      <c r="D1469" s="50"/>
      <c r="E1469" s="50"/>
      <c r="F1469" s="50"/>
      <c r="G1469" s="50"/>
      <c r="H1469" s="8"/>
    </row>
    <row r="1470" spans="4:8" x14ac:dyDescent="0.2">
      <c r="D1470" s="50"/>
      <c r="E1470" s="50"/>
      <c r="F1470" s="50"/>
      <c r="G1470" s="50"/>
      <c r="H1470" s="8"/>
    </row>
    <row r="1471" spans="4:8" x14ac:dyDescent="0.2">
      <c r="D1471" s="50"/>
      <c r="E1471" s="50"/>
      <c r="F1471" s="50"/>
      <c r="G1471" s="50"/>
      <c r="H1471" s="8"/>
    </row>
    <row r="1472" spans="4:8" x14ac:dyDescent="0.2">
      <c r="D1472" s="50"/>
      <c r="E1472" s="50"/>
      <c r="F1472" s="50"/>
      <c r="G1472" s="50"/>
      <c r="H1472" s="8"/>
    </row>
    <row r="1473" spans="4:8" x14ac:dyDescent="0.2">
      <c r="D1473" s="50"/>
      <c r="E1473" s="50"/>
      <c r="F1473" s="50"/>
      <c r="G1473" s="50"/>
      <c r="H1473" s="8"/>
    </row>
    <row r="1474" spans="4:8" x14ac:dyDescent="0.2">
      <c r="D1474" s="50"/>
      <c r="E1474" s="50"/>
      <c r="F1474" s="50"/>
      <c r="G1474" s="50"/>
      <c r="H1474" s="8"/>
    </row>
    <row r="1475" spans="4:8" x14ac:dyDescent="0.2">
      <c r="D1475" s="50"/>
      <c r="E1475" s="50"/>
      <c r="F1475" s="50"/>
      <c r="G1475" s="50"/>
      <c r="H1475" s="8"/>
    </row>
    <row r="1476" spans="4:8" x14ac:dyDescent="0.2">
      <c r="D1476" s="50"/>
      <c r="E1476" s="50"/>
      <c r="F1476" s="50"/>
      <c r="G1476" s="50"/>
      <c r="H1476" s="8"/>
    </row>
    <row r="1477" spans="4:8" x14ac:dyDescent="0.2">
      <c r="D1477" s="50"/>
      <c r="E1477" s="50"/>
      <c r="F1477" s="50"/>
      <c r="G1477" s="50"/>
      <c r="H1477" s="8"/>
    </row>
    <row r="1478" spans="4:8" x14ac:dyDescent="0.2">
      <c r="D1478" s="50"/>
      <c r="E1478" s="50"/>
      <c r="F1478" s="50"/>
      <c r="G1478" s="50"/>
      <c r="H1478" s="8"/>
    </row>
    <row r="1479" spans="4:8" x14ac:dyDescent="0.2">
      <c r="D1479" s="50"/>
      <c r="E1479" s="50"/>
      <c r="F1479" s="50"/>
      <c r="G1479" s="50"/>
      <c r="H1479" s="8"/>
    </row>
    <row r="1480" spans="4:8" x14ac:dyDescent="0.2">
      <c r="D1480" s="50"/>
      <c r="E1480" s="50"/>
      <c r="F1480" s="50"/>
      <c r="G1480" s="50"/>
      <c r="H1480" s="8"/>
    </row>
    <row r="1481" spans="4:8" x14ac:dyDescent="0.2">
      <c r="D1481" s="50"/>
      <c r="E1481" s="50"/>
      <c r="F1481" s="50"/>
      <c r="G1481" s="50"/>
      <c r="H1481" s="8"/>
    </row>
    <row r="1482" spans="4:8" x14ac:dyDescent="0.2">
      <c r="D1482" s="50"/>
      <c r="E1482" s="50"/>
      <c r="F1482" s="50"/>
      <c r="G1482" s="50"/>
      <c r="H1482" s="8"/>
    </row>
    <row r="1483" spans="4:8" x14ac:dyDescent="0.2">
      <c r="D1483" s="50"/>
      <c r="E1483" s="50"/>
      <c r="F1483" s="50"/>
      <c r="G1483" s="50"/>
      <c r="H1483" s="8"/>
    </row>
    <row r="1484" spans="4:8" x14ac:dyDescent="0.2">
      <c r="D1484" s="50"/>
      <c r="E1484" s="50"/>
      <c r="F1484" s="50"/>
      <c r="G1484" s="50"/>
      <c r="H1484" s="8"/>
    </row>
    <row r="1485" spans="4:8" x14ac:dyDescent="0.2">
      <c r="D1485" s="50"/>
      <c r="E1485" s="50"/>
      <c r="F1485" s="50"/>
      <c r="G1485" s="50"/>
      <c r="H1485" s="8"/>
    </row>
    <row r="1486" spans="4:8" x14ac:dyDescent="0.2">
      <c r="D1486" s="50"/>
      <c r="E1486" s="50"/>
      <c r="F1486" s="50"/>
      <c r="G1486" s="50"/>
      <c r="H1486" s="8"/>
    </row>
    <row r="1487" spans="4:8" x14ac:dyDescent="0.2">
      <c r="D1487" s="50"/>
      <c r="E1487" s="50"/>
      <c r="F1487" s="50"/>
      <c r="G1487" s="50"/>
      <c r="H1487" s="8"/>
    </row>
    <row r="1488" spans="4:8" x14ac:dyDescent="0.2">
      <c r="D1488" s="50"/>
      <c r="E1488" s="50"/>
      <c r="F1488" s="50"/>
      <c r="G1488" s="50"/>
      <c r="H1488" s="8"/>
    </row>
    <row r="1489" spans="4:8" x14ac:dyDescent="0.2">
      <c r="D1489" s="50"/>
      <c r="E1489" s="50"/>
      <c r="F1489" s="50"/>
      <c r="G1489" s="50"/>
      <c r="H1489" s="8"/>
    </row>
    <row r="1490" spans="4:8" x14ac:dyDescent="0.2">
      <c r="D1490" s="50"/>
      <c r="E1490" s="50"/>
      <c r="F1490" s="50"/>
      <c r="G1490" s="50"/>
      <c r="H1490" s="8"/>
    </row>
    <row r="1491" spans="4:8" x14ac:dyDescent="0.2">
      <c r="D1491" s="50"/>
      <c r="E1491" s="50"/>
      <c r="F1491" s="50"/>
      <c r="G1491" s="50"/>
      <c r="H1491" s="8"/>
    </row>
    <row r="1492" spans="4:8" x14ac:dyDescent="0.2">
      <c r="D1492" s="50"/>
      <c r="E1492" s="50"/>
      <c r="F1492" s="50"/>
      <c r="G1492" s="50"/>
      <c r="H1492" s="8"/>
    </row>
    <row r="1493" spans="4:8" x14ac:dyDescent="0.2">
      <c r="D1493" s="50"/>
      <c r="E1493" s="50"/>
      <c r="F1493" s="50"/>
      <c r="G1493" s="50"/>
      <c r="H1493" s="8"/>
    </row>
    <row r="1494" spans="4:8" x14ac:dyDescent="0.2">
      <c r="D1494" s="50"/>
      <c r="E1494" s="50"/>
      <c r="F1494" s="50"/>
      <c r="G1494" s="50"/>
      <c r="H1494" s="8"/>
    </row>
    <row r="1495" spans="4:8" x14ac:dyDescent="0.2">
      <c r="D1495" s="50"/>
      <c r="E1495" s="50"/>
      <c r="F1495" s="50"/>
      <c r="G1495" s="50"/>
      <c r="H1495" s="8"/>
    </row>
    <row r="1496" spans="4:8" x14ac:dyDescent="0.2">
      <c r="D1496" s="50"/>
      <c r="E1496" s="50"/>
      <c r="F1496" s="50"/>
      <c r="G1496" s="50"/>
      <c r="H1496" s="8"/>
    </row>
    <row r="1497" spans="4:8" x14ac:dyDescent="0.2">
      <c r="D1497" s="50"/>
      <c r="E1497" s="50"/>
      <c r="F1497" s="50"/>
      <c r="G1497" s="50"/>
      <c r="H1497" s="8"/>
    </row>
    <row r="1498" spans="4:8" x14ac:dyDescent="0.2">
      <c r="D1498" s="50"/>
      <c r="E1498" s="50"/>
      <c r="F1498" s="50"/>
      <c r="G1498" s="50"/>
      <c r="H1498" s="8"/>
    </row>
    <row r="1499" spans="4:8" x14ac:dyDescent="0.2">
      <c r="D1499" s="50"/>
      <c r="E1499" s="50"/>
      <c r="F1499" s="50"/>
      <c r="G1499" s="50"/>
      <c r="H1499" s="8"/>
    </row>
    <row r="1500" spans="4:8" x14ac:dyDescent="0.2">
      <c r="D1500" s="50"/>
      <c r="E1500" s="50"/>
      <c r="F1500" s="50"/>
      <c r="G1500" s="50"/>
      <c r="H1500" s="8"/>
    </row>
    <row r="1501" spans="4:8" x14ac:dyDescent="0.2">
      <c r="D1501" s="50"/>
      <c r="E1501" s="50"/>
      <c r="F1501" s="50"/>
      <c r="G1501" s="50"/>
      <c r="H1501" s="8"/>
    </row>
    <row r="1502" spans="4:8" x14ac:dyDescent="0.2">
      <c r="D1502" s="50"/>
      <c r="E1502" s="50"/>
      <c r="F1502" s="50"/>
      <c r="G1502" s="50"/>
      <c r="H1502" s="8"/>
    </row>
    <row r="1503" spans="4:8" x14ac:dyDescent="0.2">
      <c r="D1503" s="50"/>
      <c r="E1503" s="50"/>
      <c r="F1503" s="50"/>
      <c r="G1503" s="50"/>
      <c r="H1503" s="8"/>
    </row>
    <row r="1504" spans="4:8" x14ac:dyDescent="0.2">
      <c r="D1504" s="50"/>
      <c r="E1504" s="50"/>
      <c r="F1504" s="50"/>
      <c r="G1504" s="50"/>
      <c r="H1504" s="8"/>
    </row>
    <row r="1505" spans="4:8" x14ac:dyDescent="0.2">
      <c r="D1505" s="50"/>
      <c r="E1505" s="50"/>
      <c r="F1505" s="50"/>
      <c r="G1505" s="50"/>
      <c r="H1505" s="8"/>
    </row>
    <row r="1506" spans="4:8" x14ac:dyDescent="0.2">
      <c r="D1506" s="50"/>
      <c r="E1506" s="50"/>
      <c r="F1506" s="50"/>
      <c r="G1506" s="50"/>
      <c r="H1506" s="8"/>
    </row>
    <row r="1507" spans="4:8" x14ac:dyDescent="0.2">
      <c r="D1507" s="50"/>
      <c r="E1507" s="50"/>
      <c r="F1507" s="50"/>
      <c r="G1507" s="50"/>
      <c r="H1507" s="8"/>
    </row>
    <row r="1508" spans="4:8" x14ac:dyDescent="0.2">
      <c r="D1508" s="50"/>
      <c r="E1508" s="50"/>
      <c r="F1508" s="50"/>
      <c r="G1508" s="50"/>
      <c r="H1508" s="8"/>
    </row>
    <row r="1509" spans="4:8" x14ac:dyDescent="0.2">
      <c r="D1509" s="50"/>
      <c r="E1509" s="50"/>
      <c r="F1509" s="50"/>
      <c r="G1509" s="50"/>
      <c r="H1509" s="8"/>
    </row>
    <row r="1510" spans="4:8" x14ac:dyDescent="0.2">
      <c r="D1510" s="50"/>
      <c r="E1510" s="50"/>
      <c r="F1510" s="50"/>
      <c r="G1510" s="50"/>
      <c r="H1510" s="8"/>
    </row>
    <row r="1511" spans="4:8" x14ac:dyDescent="0.2">
      <c r="D1511" s="50"/>
      <c r="E1511" s="50"/>
      <c r="F1511" s="50"/>
      <c r="G1511" s="50"/>
      <c r="H1511" s="8"/>
    </row>
    <row r="1512" spans="4:8" x14ac:dyDescent="0.2">
      <c r="D1512" s="50"/>
      <c r="E1512" s="50"/>
      <c r="F1512" s="50"/>
      <c r="G1512" s="50"/>
      <c r="H1512" s="8"/>
    </row>
    <row r="1513" spans="4:8" x14ac:dyDescent="0.2">
      <c r="D1513" s="50"/>
      <c r="E1513" s="50"/>
      <c r="F1513" s="50"/>
      <c r="G1513" s="50"/>
      <c r="H1513" s="8"/>
    </row>
    <row r="1514" spans="4:8" x14ac:dyDescent="0.2">
      <c r="D1514" s="50"/>
      <c r="E1514" s="50"/>
      <c r="F1514" s="50"/>
      <c r="G1514" s="50"/>
      <c r="H1514" s="8"/>
    </row>
    <row r="1515" spans="4:8" x14ac:dyDescent="0.2">
      <c r="D1515" s="50"/>
      <c r="E1515" s="50"/>
      <c r="F1515" s="50"/>
      <c r="G1515" s="50"/>
      <c r="H1515" s="8"/>
    </row>
    <row r="1516" spans="4:8" x14ac:dyDescent="0.2">
      <c r="D1516" s="50"/>
      <c r="E1516" s="50"/>
      <c r="F1516" s="50"/>
      <c r="G1516" s="50"/>
      <c r="H1516" s="8"/>
    </row>
    <row r="1517" spans="4:8" x14ac:dyDescent="0.2">
      <c r="D1517" s="50"/>
      <c r="E1517" s="50"/>
      <c r="F1517" s="50"/>
      <c r="G1517" s="50"/>
      <c r="H1517" s="8"/>
    </row>
    <row r="1518" spans="4:8" x14ac:dyDescent="0.2">
      <c r="D1518" s="50"/>
      <c r="E1518" s="50"/>
      <c r="F1518" s="50"/>
      <c r="G1518" s="50"/>
      <c r="H1518" s="8"/>
    </row>
    <row r="1519" spans="4:8" x14ac:dyDescent="0.2">
      <c r="D1519" s="50"/>
      <c r="E1519" s="50"/>
      <c r="F1519" s="50"/>
      <c r="G1519" s="50"/>
      <c r="H1519" s="8"/>
    </row>
    <row r="1520" spans="4:8" x14ac:dyDescent="0.2">
      <c r="D1520" s="50"/>
      <c r="E1520" s="50"/>
      <c r="F1520" s="50"/>
      <c r="G1520" s="50"/>
      <c r="H1520" s="8"/>
    </row>
    <row r="1521" spans="4:8" x14ac:dyDescent="0.2">
      <c r="D1521" s="50"/>
      <c r="E1521" s="50"/>
      <c r="F1521" s="50"/>
      <c r="G1521" s="50"/>
      <c r="H1521" s="8"/>
    </row>
    <row r="1522" spans="4:8" x14ac:dyDescent="0.2">
      <c r="D1522" s="50"/>
      <c r="E1522" s="50"/>
      <c r="F1522" s="50"/>
      <c r="G1522" s="50"/>
      <c r="H1522" s="8"/>
    </row>
    <row r="1523" spans="4:8" x14ac:dyDescent="0.2">
      <c r="D1523" s="50"/>
      <c r="E1523" s="50"/>
      <c r="F1523" s="50"/>
      <c r="G1523" s="50"/>
      <c r="H1523" s="8"/>
    </row>
    <row r="1524" spans="4:8" x14ac:dyDescent="0.2">
      <c r="D1524" s="50"/>
      <c r="E1524" s="50"/>
      <c r="F1524" s="50"/>
      <c r="G1524" s="50"/>
      <c r="H1524" s="8"/>
    </row>
    <row r="1525" spans="4:8" x14ac:dyDescent="0.2">
      <c r="D1525" s="50"/>
      <c r="E1525" s="50"/>
      <c r="F1525" s="50"/>
      <c r="G1525" s="50"/>
      <c r="H1525" s="8"/>
    </row>
    <row r="1526" spans="4:8" x14ac:dyDescent="0.2">
      <c r="D1526" s="50"/>
      <c r="E1526" s="50"/>
      <c r="F1526" s="50"/>
      <c r="G1526" s="50"/>
      <c r="H1526" s="8"/>
    </row>
    <row r="1527" spans="4:8" x14ac:dyDescent="0.2">
      <c r="D1527" s="50"/>
      <c r="E1527" s="50"/>
      <c r="F1527" s="50"/>
      <c r="G1527" s="50"/>
      <c r="H1527" s="8"/>
    </row>
    <row r="1528" spans="4:8" x14ac:dyDescent="0.2">
      <c r="D1528" s="50"/>
      <c r="E1528" s="50"/>
      <c r="F1528" s="50"/>
      <c r="G1528" s="50"/>
      <c r="H1528" s="8"/>
    </row>
    <row r="1529" spans="4:8" x14ac:dyDescent="0.2">
      <c r="D1529" s="50"/>
      <c r="E1529" s="50"/>
      <c r="F1529" s="50"/>
      <c r="G1529" s="50"/>
      <c r="H1529" s="8"/>
    </row>
    <row r="1530" spans="4:8" x14ac:dyDescent="0.2">
      <c r="D1530" s="50"/>
      <c r="E1530" s="50"/>
      <c r="F1530" s="50"/>
      <c r="G1530" s="50"/>
      <c r="H1530" s="8"/>
    </row>
    <row r="1531" spans="4:8" x14ac:dyDescent="0.2">
      <c r="D1531" s="50"/>
      <c r="E1531" s="50"/>
      <c r="F1531" s="50"/>
      <c r="G1531" s="50"/>
      <c r="H1531" s="8"/>
    </row>
    <row r="1532" spans="4:8" x14ac:dyDescent="0.2">
      <c r="D1532" s="50"/>
      <c r="E1532" s="50"/>
      <c r="F1532" s="50"/>
      <c r="G1532" s="50"/>
      <c r="H1532" s="8"/>
    </row>
    <row r="1533" spans="4:8" x14ac:dyDescent="0.2">
      <c r="D1533" s="50"/>
      <c r="E1533" s="50"/>
      <c r="F1533" s="50"/>
      <c r="G1533" s="50"/>
      <c r="H1533" s="8"/>
    </row>
    <row r="1534" spans="4:8" x14ac:dyDescent="0.2">
      <c r="D1534" s="50"/>
      <c r="E1534" s="50"/>
      <c r="F1534" s="50"/>
      <c r="G1534" s="50"/>
      <c r="H1534" s="8"/>
    </row>
    <row r="1535" spans="4:8" x14ac:dyDescent="0.2">
      <c r="D1535" s="50"/>
      <c r="E1535" s="50"/>
      <c r="F1535" s="50"/>
      <c r="G1535" s="50"/>
      <c r="H1535" s="8"/>
    </row>
    <row r="1536" spans="4:8" x14ac:dyDescent="0.2">
      <c r="D1536" s="50"/>
      <c r="E1536" s="50"/>
      <c r="F1536" s="50"/>
      <c r="G1536" s="50"/>
      <c r="H1536" s="8"/>
    </row>
    <row r="1537" spans="4:8" x14ac:dyDescent="0.2">
      <c r="D1537" s="50"/>
      <c r="E1537" s="50"/>
      <c r="F1537" s="50"/>
      <c r="G1537" s="50"/>
      <c r="H1537" s="8"/>
    </row>
    <row r="1538" spans="4:8" x14ac:dyDescent="0.2">
      <c r="D1538" s="50"/>
      <c r="E1538" s="50"/>
      <c r="F1538" s="50"/>
      <c r="G1538" s="50"/>
      <c r="H1538" s="8"/>
    </row>
    <row r="1539" spans="4:8" x14ac:dyDescent="0.2">
      <c r="D1539" s="50"/>
      <c r="E1539" s="50"/>
      <c r="F1539" s="50"/>
      <c r="G1539" s="50"/>
      <c r="H1539" s="8"/>
    </row>
    <row r="1540" spans="4:8" x14ac:dyDescent="0.2">
      <c r="D1540" s="50"/>
      <c r="E1540" s="50"/>
      <c r="F1540" s="50"/>
      <c r="G1540" s="50"/>
      <c r="H1540" s="8"/>
    </row>
    <row r="1541" spans="4:8" x14ac:dyDescent="0.2">
      <c r="D1541" s="50"/>
      <c r="E1541" s="50"/>
      <c r="F1541" s="50"/>
      <c r="G1541" s="50"/>
      <c r="H1541" s="8"/>
    </row>
    <row r="1542" spans="4:8" x14ac:dyDescent="0.2">
      <c r="D1542" s="50"/>
      <c r="E1542" s="50"/>
      <c r="F1542" s="50"/>
      <c r="G1542" s="50"/>
      <c r="H1542" s="8"/>
    </row>
    <row r="1543" spans="4:8" x14ac:dyDescent="0.2">
      <c r="D1543" s="50"/>
      <c r="E1543" s="50"/>
      <c r="F1543" s="50"/>
      <c r="G1543" s="50"/>
      <c r="H1543" s="8"/>
    </row>
    <row r="1544" spans="4:8" x14ac:dyDescent="0.2">
      <c r="D1544" s="50"/>
      <c r="E1544" s="50"/>
      <c r="F1544" s="50"/>
      <c r="G1544" s="50"/>
      <c r="H1544" s="8"/>
    </row>
    <row r="1545" spans="4:8" x14ac:dyDescent="0.2">
      <c r="D1545" s="50"/>
      <c r="E1545" s="50"/>
      <c r="F1545" s="50"/>
      <c r="G1545" s="50"/>
      <c r="H1545" s="8"/>
    </row>
    <row r="1546" spans="4:8" x14ac:dyDescent="0.2">
      <c r="D1546" s="50"/>
      <c r="E1546" s="50"/>
      <c r="F1546" s="50"/>
      <c r="G1546" s="50"/>
      <c r="H1546" s="8"/>
    </row>
    <row r="1547" spans="4:8" x14ac:dyDescent="0.2">
      <c r="D1547" s="50"/>
      <c r="E1547" s="50"/>
      <c r="F1547" s="50"/>
      <c r="G1547" s="50"/>
      <c r="H1547" s="8"/>
    </row>
    <row r="1548" spans="4:8" x14ac:dyDescent="0.2">
      <c r="D1548" s="50"/>
      <c r="E1548" s="50"/>
      <c r="F1548" s="50"/>
      <c r="G1548" s="50"/>
      <c r="H1548" s="8"/>
    </row>
    <row r="1549" spans="4:8" x14ac:dyDescent="0.2">
      <c r="D1549" s="50"/>
      <c r="E1549" s="50"/>
      <c r="F1549" s="50"/>
      <c r="G1549" s="50"/>
      <c r="H1549" s="8"/>
    </row>
    <row r="1550" spans="4:8" x14ac:dyDescent="0.2">
      <c r="D1550" s="50"/>
      <c r="E1550" s="50"/>
      <c r="F1550" s="50"/>
      <c r="G1550" s="50"/>
      <c r="H1550" s="8"/>
    </row>
    <row r="1551" spans="4:8" x14ac:dyDescent="0.2">
      <c r="D1551" s="50"/>
      <c r="E1551" s="50"/>
      <c r="F1551" s="50"/>
      <c r="G1551" s="50"/>
      <c r="H1551" s="8"/>
    </row>
    <row r="1552" spans="4:8" x14ac:dyDescent="0.2">
      <c r="D1552" s="50"/>
      <c r="E1552" s="50"/>
      <c r="F1552" s="50"/>
      <c r="G1552" s="50"/>
      <c r="H1552" s="8"/>
    </row>
    <row r="1553" spans="4:8" x14ac:dyDescent="0.2">
      <c r="D1553" s="50"/>
      <c r="E1553" s="50"/>
      <c r="F1553" s="50"/>
      <c r="G1553" s="50"/>
      <c r="H1553" s="8"/>
    </row>
    <row r="1554" spans="4:8" x14ac:dyDescent="0.2">
      <c r="D1554" s="50"/>
      <c r="E1554" s="50"/>
      <c r="F1554" s="50"/>
      <c r="G1554" s="50"/>
      <c r="H1554" s="8"/>
    </row>
    <row r="1555" spans="4:8" x14ac:dyDescent="0.2">
      <c r="D1555" s="50"/>
      <c r="E1555" s="50"/>
      <c r="F1555" s="50"/>
      <c r="G1555" s="50"/>
      <c r="H1555" s="8"/>
    </row>
    <row r="1556" spans="4:8" x14ac:dyDescent="0.2">
      <c r="D1556" s="50"/>
      <c r="E1556" s="50"/>
      <c r="F1556" s="50"/>
      <c r="G1556" s="50"/>
      <c r="H1556" s="8"/>
    </row>
    <row r="1557" spans="4:8" x14ac:dyDescent="0.2">
      <c r="D1557" s="50"/>
      <c r="E1557" s="50"/>
      <c r="F1557" s="50"/>
      <c r="G1557" s="50"/>
      <c r="H1557" s="8"/>
    </row>
    <row r="1558" spans="4:8" x14ac:dyDescent="0.2">
      <c r="D1558" s="50"/>
      <c r="E1558" s="50"/>
      <c r="F1558" s="50"/>
      <c r="G1558" s="50"/>
      <c r="H1558" s="8"/>
    </row>
    <row r="1559" spans="4:8" x14ac:dyDescent="0.2">
      <c r="D1559" s="50"/>
      <c r="E1559" s="50"/>
      <c r="F1559" s="50"/>
      <c r="G1559" s="50"/>
      <c r="H1559" s="8"/>
    </row>
    <row r="1560" spans="4:8" x14ac:dyDescent="0.2">
      <c r="D1560" s="50"/>
      <c r="E1560" s="50"/>
      <c r="F1560" s="50"/>
      <c r="G1560" s="50"/>
      <c r="H1560" s="8"/>
    </row>
    <row r="1561" spans="4:8" x14ac:dyDescent="0.2">
      <c r="D1561" s="50"/>
      <c r="E1561" s="50"/>
      <c r="F1561" s="50"/>
      <c r="G1561" s="50"/>
      <c r="H1561" s="8"/>
    </row>
    <row r="1562" spans="4:8" x14ac:dyDescent="0.2">
      <c r="D1562" s="50"/>
      <c r="E1562" s="50"/>
      <c r="F1562" s="50"/>
      <c r="G1562" s="50"/>
      <c r="H1562" s="8"/>
    </row>
    <row r="1563" spans="4:8" x14ac:dyDescent="0.2">
      <c r="D1563" s="50"/>
      <c r="E1563" s="50"/>
      <c r="F1563" s="50"/>
      <c r="G1563" s="50"/>
      <c r="H1563" s="8"/>
    </row>
    <row r="1564" spans="4:8" x14ac:dyDescent="0.2">
      <c r="D1564" s="50"/>
      <c r="E1564" s="50"/>
      <c r="F1564" s="50"/>
      <c r="G1564" s="50"/>
      <c r="H1564" s="8"/>
    </row>
    <row r="1565" spans="4:8" x14ac:dyDescent="0.2">
      <c r="D1565" s="50"/>
      <c r="E1565" s="50"/>
      <c r="F1565" s="50"/>
      <c r="G1565" s="50"/>
      <c r="H1565" s="8"/>
    </row>
    <row r="1566" spans="4:8" x14ac:dyDescent="0.2">
      <c r="D1566" s="50"/>
      <c r="E1566" s="50"/>
      <c r="F1566" s="50"/>
      <c r="G1566" s="50"/>
      <c r="H1566" s="8"/>
    </row>
    <row r="1567" spans="4:8" x14ac:dyDescent="0.2">
      <c r="D1567" s="50"/>
      <c r="E1567" s="50"/>
      <c r="F1567" s="50"/>
      <c r="G1567" s="50"/>
      <c r="H1567" s="8"/>
    </row>
    <row r="1568" spans="4:8" x14ac:dyDescent="0.2">
      <c r="D1568" s="50"/>
      <c r="E1568" s="50"/>
      <c r="F1568" s="50"/>
      <c r="G1568" s="50"/>
      <c r="H1568" s="8"/>
    </row>
    <row r="1569" spans="4:8" x14ac:dyDescent="0.2">
      <c r="D1569" s="50"/>
      <c r="E1569" s="50"/>
      <c r="F1569" s="50"/>
      <c r="G1569" s="50"/>
      <c r="H1569" s="8"/>
    </row>
    <row r="1570" spans="4:8" x14ac:dyDescent="0.2">
      <c r="D1570" s="50"/>
      <c r="E1570" s="50"/>
      <c r="F1570" s="50"/>
      <c r="G1570" s="50"/>
      <c r="H1570" s="8"/>
    </row>
    <row r="1571" spans="4:8" x14ac:dyDescent="0.2">
      <c r="D1571" s="50"/>
      <c r="E1571" s="50"/>
      <c r="F1571" s="50"/>
      <c r="G1571" s="50"/>
      <c r="H1571" s="8"/>
    </row>
    <row r="1572" spans="4:8" x14ac:dyDescent="0.2">
      <c r="D1572" s="50"/>
      <c r="E1572" s="50"/>
      <c r="F1572" s="50"/>
      <c r="G1572" s="50"/>
      <c r="H1572" s="8"/>
    </row>
    <row r="1573" spans="4:8" x14ac:dyDescent="0.2">
      <c r="D1573" s="50"/>
      <c r="E1573" s="50"/>
      <c r="F1573" s="50"/>
      <c r="G1573" s="50"/>
      <c r="H1573" s="8"/>
    </row>
    <row r="1574" spans="4:8" x14ac:dyDescent="0.2">
      <c r="D1574" s="50"/>
      <c r="E1574" s="50"/>
      <c r="F1574" s="50"/>
      <c r="G1574" s="50"/>
      <c r="H1574" s="8"/>
    </row>
    <row r="1575" spans="4:8" x14ac:dyDescent="0.2">
      <c r="D1575" s="50"/>
      <c r="E1575" s="50"/>
      <c r="F1575" s="50"/>
      <c r="G1575" s="50"/>
      <c r="H1575" s="8"/>
    </row>
    <row r="1576" spans="4:8" x14ac:dyDescent="0.2">
      <c r="D1576" s="50"/>
      <c r="E1576" s="50"/>
      <c r="F1576" s="50"/>
      <c r="G1576" s="50"/>
      <c r="H1576" s="8"/>
    </row>
    <row r="1577" spans="4:8" x14ac:dyDescent="0.2">
      <c r="D1577" s="50"/>
      <c r="E1577" s="50"/>
      <c r="F1577" s="50"/>
      <c r="G1577" s="50"/>
      <c r="H1577" s="8"/>
    </row>
    <row r="1578" spans="4:8" x14ac:dyDescent="0.2">
      <c r="D1578" s="50"/>
      <c r="E1578" s="50"/>
      <c r="F1578" s="50"/>
      <c r="G1578" s="50"/>
      <c r="H1578" s="8"/>
    </row>
    <row r="1579" spans="4:8" x14ac:dyDescent="0.2">
      <c r="D1579" s="50"/>
      <c r="E1579" s="50"/>
      <c r="F1579" s="50"/>
      <c r="G1579" s="50"/>
      <c r="H1579" s="8"/>
    </row>
    <row r="1580" spans="4:8" x14ac:dyDescent="0.2">
      <c r="D1580" s="50"/>
      <c r="E1580" s="50"/>
      <c r="F1580" s="50"/>
      <c r="G1580" s="50"/>
      <c r="H1580" s="8"/>
    </row>
    <row r="1581" spans="4:8" x14ac:dyDescent="0.2">
      <c r="D1581" s="50"/>
      <c r="E1581" s="50"/>
      <c r="F1581" s="50"/>
      <c r="G1581" s="50"/>
      <c r="H1581" s="8"/>
    </row>
    <row r="1582" spans="4:8" x14ac:dyDescent="0.2">
      <c r="D1582" s="50"/>
      <c r="E1582" s="50"/>
      <c r="F1582" s="50"/>
      <c r="G1582" s="50"/>
      <c r="H1582" s="8"/>
    </row>
    <row r="1583" spans="4:8" x14ac:dyDescent="0.2">
      <c r="D1583" s="50"/>
      <c r="E1583" s="50"/>
      <c r="F1583" s="50"/>
      <c r="G1583" s="50"/>
      <c r="H1583" s="8"/>
    </row>
    <row r="1584" spans="4:8" x14ac:dyDescent="0.2">
      <c r="D1584" s="50"/>
      <c r="E1584" s="50"/>
      <c r="F1584" s="50"/>
      <c r="G1584" s="50"/>
      <c r="H1584" s="8"/>
    </row>
    <row r="1585" spans="4:8" x14ac:dyDescent="0.2">
      <c r="D1585" s="50"/>
      <c r="E1585" s="50"/>
      <c r="F1585" s="50"/>
      <c r="G1585" s="50"/>
      <c r="H1585" s="8"/>
    </row>
    <row r="1586" spans="4:8" x14ac:dyDescent="0.2">
      <c r="D1586" s="50"/>
      <c r="E1586" s="50"/>
      <c r="F1586" s="50"/>
      <c r="G1586" s="50"/>
      <c r="H1586" s="8"/>
    </row>
    <row r="1587" spans="4:8" x14ac:dyDescent="0.2">
      <c r="D1587" s="50"/>
      <c r="E1587" s="50"/>
      <c r="F1587" s="50"/>
      <c r="G1587" s="50"/>
      <c r="H1587" s="8"/>
    </row>
    <row r="1588" spans="4:8" x14ac:dyDescent="0.2">
      <c r="D1588" s="50"/>
      <c r="E1588" s="50"/>
      <c r="F1588" s="50"/>
      <c r="G1588" s="50"/>
      <c r="H1588" s="8"/>
    </row>
    <row r="1589" spans="4:8" x14ac:dyDescent="0.2">
      <c r="D1589" s="50"/>
      <c r="E1589" s="50"/>
      <c r="F1589" s="50"/>
      <c r="G1589" s="50"/>
      <c r="H1589" s="8"/>
    </row>
    <row r="1590" spans="4:8" x14ac:dyDescent="0.2">
      <c r="D1590" s="50"/>
      <c r="E1590" s="50"/>
      <c r="F1590" s="50"/>
      <c r="G1590" s="50"/>
      <c r="H1590" s="8"/>
    </row>
    <row r="1591" spans="4:8" x14ac:dyDescent="0.2">
      <c r="D1591" s="50"/>
      <c r="E1591" s="50"/>
      <c r="F1591" s="50"/>
      <c r="G1591" s="50"/>
      <c r="H1591" s="8"/>
    </row>
    <row r="1592" spans="4:8" x14ac:dyDescent="0.2">
      <c r="D1592" s="50"/>
      <c r="E1592" s="50"/>
      <c r="F1592" s="50"/>
      <c r="G1592" s="50"/>
      <c r="H1592" s="8"/>
    </row>
    <row r="1593" spans="4:8" x14ac:dyDescent="0.2">
      <c r="D1593" s="50"/>
      <c r="E1593" s="50"/>
      <c r="F1593" s="50"/>
      <c r="G1593" s="50"/>
      <c r="H1593" s="8"/>
    </row>
    <row r="1594" spans="4:8" x14ac:dyDescent="0.2">
      <c r="D1594" s="50"/>
      <c r="E1594" s="50"/>
      <c r="F1594" s="50"/>
      <c r="G1594" s="50"/>
      <c r="H1594" s="8"/>
    </row>
    <row r="1595" spans="4:8" x14ac:dyDescent="0.2">
      <c r="D1595" s="50"/>
      <c r="E1595" s="50"/>
      <c r="F1595" s="50"/>
      <c r="G1595" s="50"/>
      <c r="H1595" s="8"/>
    </row>
    <row r="1596" spans="4:8" x14ac:dyDescent="0.2">
      <c r="D1596" s="50"/>
      <c r="E1596" s="50"/>
      <c r="F1596" s="50"/>
      <c r="G1596" s="50"/>
      <c r="H1596" s="8"/>
    </row>
    <row r="1597" spans="4:8" x14ac:dyDescent="0.2">
      <c r="D1597" s="50"/>
      <c r="E1597" s="50"/>
      <c r="F1597" s="50"/>
      <c r="G1597" s="50"/>
      <c r="H1597" s="8"/>
    </row>
    <row r="1598" spans="4:8" x14ac:dyDescent="0.2">
      <c r="D1598" s="50"/>
      <c r="E1598" s="50"/>
      <c r="F1598" s="50"/>
      <c r="G1598" s="50"/>
      <c r="H1598" s="8"/>
    </row>
    <row r="1599" spans="4:8" x14ac:dyDescent="0.2">
      <c r="D1599" s="50"/>
      <c r="E1599" s="50"/>
      <c r="F1599" s="50"/>
      <c r="G1599" s="50"/>
      <c r="H1599" s="8"/>
    </row>
    <row r="1600" spans="4:8" x14ac:dyDescent="0.2">
      <c r="D1600" s="50"/>
      <c r="E1600" s="50"/>
      <c r="F1600" s="50"/>
      <c r="G1600" s="50"/>
      <c r="H1600" s="8"/>
    </row>
    <row r="1601" spans="4:8" x14ac:dyDescent="0.2">
      <c r="D1601" s="50"/>
      <c r="E1601" s="50"/>
      <c r="F1601" s="50"/>
      <c r="G1601" s="50"/>
      <c r="H1601" s="8"/>
    </row>
    <row r="1602" spans="4:8" x14ac:dyDescent="0.2">
      <c r="D1602" s="50"/>
      <c r="E1602" s="50"/>
      <c r="F1602" s="50"/>
      <c r="G1602" s="50"/>
      <c r="H1602" s="8"/>
    </row>
    <row r="1603" spans="4:8" x14ac:dyDescent="0.2">
      <c r="D1603" s="50"/>
      <c r="E1603" s="50"/>
      <c r="F1603" s="50"/>
      <c r="G1603" s="50"/>
      <c r="H1603" s="8"/>
    </row>
    <row r="1604" spans="4:8" x14ac:dyDescent="0.2">
      <c r="D1604" s="50"/>
      <c r="E1604" s="50"/>
      <c r="F1604" s="50"/>
      <c r="G1604" s="50"/>
      <c r="H1604" s="8"/>
    </row>
    <row r="1605" spans="4:8" x14ac:dyDescent="0.2">
      <c r="D1605" s="50"/>
      <c r="E1605" s="50"/>
      <c r="F1605" s="50"/>
      <c r="G1605" s="50"/>
      <c r="H1605" s="8"/>
    </row>
    <row r="1606" spans="4:8" x14ac:dyDescent="0.2">
      <c r="D1606" s="50"/>
      <c r="E1606" s="50"/>
      <c r="F1606" s="50"/>
      <c r="G1606" s="50"/>
      <c r="H1606" s="8"/>
    </row>
    <row r="1607" spans="4:8" x14ac:dyDescent="0.2">
      <c r="D1607" s="50"/>
      <c r="E1607" s="50"/>
      <c r="F1607" s="50"/>
      <c r="G1607" s="50"/>
      <c r="H1607" s="8"/>
    </row>
    <row r="1608" spans="4:8" x14ac:dyDescent="0.2">
      <c r="D1608" s="50"/>
      <c r="E1608" s="50"/>
      <c r="F1608" s="50"/>
      <c r="G1608" s="50"/>
      <c r="H1608" s="8"/>
    </row>
    <row r="1609" spans="4:8" x14ac:dyDescent="0.2">
      <c r="D1609" s="50"/>
      <c r="E1609" s="50"/>
      <c r="F1609" s="50"/>
      <c r="G1609" s="50"/>
      <c r="H1609" s="8"/>
    </row>
    <row r="1610" spans="4:8" x14ac:dyDescent="0.2">
      <c r="D1610" s="50"/>
      <c r="E1610" s="50"/>
      <c r="F1610" s="50"/>
      <c r="G1610" s="50"/>
      <c r="H1610" s="8"/>
    </row>
    <row r="1611" spans="4:8" x14ac:dyDescent="0.2">
      <c r="D1611" s="50"/>
      <c r="E1611" s="50"/>
      <c r="F1611" s="50"/>
      <c r="G1611" s="50"/>
      <c r="H1611" s="8"/>
    </row>
    <row r="1612" spans="4:8" x14ac:dyDescent="0.2">
      <c r="D1612" s="50"/>
      <c r="E1612" s="50"/>
      <c r="F1612" s="50"/>
      <c r="G1612" s="50"/>
      <c r="H1612" s="8"/>
    </row>
    <row r="1613" spans="4:8" x14ac:dyDescent="0.2">
      <c r="D1613" s="50"/>
      <c r="E1613" s="50"/>
      <c r="F1613" s="50"/>
      <c r="G1613" s="50"/>
      <c r="H1613" s="8"/>
    </row>
    <row r="1614" spans="4:8" x14ac:dyDescent="0.2">
      <c r="D1614" s="50"/>
      <c r="E1614" s="50"/>
      <c r="F1614" s="50"/>
      <c r="G1614" s="50"/>
      <c r="H1614" s="8"/>
    </row>
    <row r="1615" spans="4:8" x14ac:dyDescent="0.2">
      <c r="D1615" s="50"/>
      <c r="E1615" s="50"/>
      <c r="F1615" s="50"/>
      <c r="G1615" s="50"/>
      <c r="H1615" s="8"/>
    </row>
    <row r="1616" spans="4:8" x14ac:dyDescent="0.2">
      <c r="D1616" s="50"/>
      <c r="E1616" s="50"/>
      <c r="F1616" s="50"/>
      <c r="G1616" s="50"/>
      <c r="H1616" s="8"/>
    </row>
    <row r="1617" spans="4:8" x14ac:dyDescent="0.2">
      <c r="D1617" s="50"/>
      <c r="E1617" s="50"/>
      <c r="F1617" s="50"/>
      <c r="G1617" s="50"/>
      <c r="H1617" s="8"/>
    </row>
    <row r="1618" spans="4:8" x14ac:dyDescent="0.2">
      <c r="D1618" s="50"/>
      <c r="E1618" s="50"/>
      <c r="F1618" s="50"/>
      <c r="G1618" s="50"/>
      <c r="H1618" s="8"/>
    </row>
    <row r="1619" spans="4:8" x14ac:dyDescent="0.2">
      <c r="D1619" s="50"/>
      <c r="E1619" s="50"/>
      <c r="F1619" s="50"/>
      <c r="G1619" s="50"/>
      <c r="H1619" s="8"/>
    </row>
    <row r="1620" spans="4:8" x14ac:dyDescent="0.2">
      <c r="D1620" s="50"/>
      <c r="E1620" s="50"/>
      <c r="F1620" s="50"/>
      <c r="G1620" s="50"/>
      <c r="H1620" s="8"/>
    </row>
    <row r="1621" spans="4:8" x14ac:dyDescent="0.2">
      <c r="D1621" s="50"/>
      <c r="E1621" s="50"/>
      <c r="F1621" s="50"/>
      <c r="G1621" s="50"/>
      <c r="H1621" s="8"/>
    </row>
    <row r="1622" spans="4:8" x14ac:dyDescent="0.2">
      <c r="D1622" s="50"/>
      <c r="E1622" s="50"/>
      <c r="F1622" s="50"/>
      <c r="G1622" s="50"/>
      <c r="H1622" s="8"/>
    </row>
    <row r="1623" spans="4:8" x14ac:dyDescent="0.2">
      <c r="D1623" s="50"/>
      <c r="E1623" s="50"/>
      <c r="F1623" s="50"/>
      <c r="G1623" s="50"/>
      <c r="H1623" s="8"/>
    </row>
    <row r="1624" spans="4:8" x14ac:dyDescent="0.2">
      <c r="D1624" s="50"/>
      <c r="E1624" s="50"/>
      <c r="F1624" s="50"/>
      <c r="G1624" s="50"/>
      <c r="H1624" s="8"/>
    </row>
    <row r="1625" spans="4:8" x14ac:dyDescent="0.2">
      <c r="D1625" s="50"/>
      <c r="E1625" s="50"/>
      <c r="F1625" s="50"/>
      <c r="G1625" s="50"/>
      <c r="H1625" s="8"/>
    </row>
    <row r="1626" spans="4:8" x14ac:dyDescent="0.2">
      <c r="D1626" s="50"/>
      <c r="E1626" s="50"/>
      <c r="F1626" s="50"/>
      <c r="G1626" s="50"/>
      <c r="H1626" s="8"/>
    </row>
    <row r="1627" spans="4:8" x14ac:dyDescent="0.2">
      <c r="D1627" s="50"/>
      <c r="E1627" s="50"/>
      <c r="F1627" s="50"/>
      <c r="G1627" s="50"/>
      <c r="H1627" s="8"/>
    </row>
    <row r="1628" spans="4:8" x14ac:dyDescent="0.2">
      <c r="D1628" s="50"/>
      <c r="E1628" s="50"/>
      <c r="F1628" s="50"/>
      <c r="G1628" s="50"/>
      <c r="H1628" s="8"/>
    </row>
    <row r="1629" spans="4:8" x14ac:dyDescent="0.2">
      <c r="D1629" s="50"/>
      <c r="E1629" s="50"/>
      <c r="F1629" s="50"/>
      <c r="G1629" s="50"/>
      <c r="H1629" s="8"/>
    </row>
    <row r="1630" spans="4:8" x14ac:dyDescent="0.2">
      <c r="D1630" s="50"/>
      <c r="E1630" s="50"/>
      <c r="F1630" s="50"/>
      <c r="G1630" s="50"/>
      <c r="H1630" s="8"/>
    </row>
    <row r="1631" spans="4:8" x14ac:dyDescent="0.2">
      <c r="D1631" s="50"/>
      <c r="E1631" s="50"/>
      <c r="F1631" s="50"/>
      <c r="G1631" s="50"/>
      <c r="H1631" s="8"/>
    </row>
    <row r="1632" spans="4:8" x14ac:dyDescent="0.2">
      <c r="D1632" s="50"/>
      <c r="E1632" s="50"/>
      <c r="F1632" s="50"/>
      <c r="G1632" s="50"/>
      <c r="H1632" s="8"/>
    </row>
    <row r="1633" spans="4:8" x14ac:dyDescent="0.2">
      <c r="D1633" s="50"/>
      <c r="E1633" s="50"/>
      <c r="F1633" s="50"/>
      <c r="G1633" s="50"/>
      <c r="H1633" s="8"/>
    </row>
    <row r="1634" spans="4:8" x14ac:dyDescent="0.2">
      <c r="D1634" s="50"/>
      <c r="E1634" s="50"/>
      <c r="F1634" s="50"/>
      <c r="G1634" s="50"/>
      <c r="H1634" s="8"/>
    </row>
    <row r="1635" spans="4:8" x14ac:dyDescent="0.2">
      <c r="D1635" s="50"/>
      <c r="E1635" s="50"/>
      <c r="F1635" s="50"/>
      <c r="G1635" s="50"/>
      <c r="H1635" s="8"/>
    </row>
    <row r="1636" spans="4:8" x14ac:dyDescent="0.2">
      <c r="D1636" s="50"/>
      <c r="E1636" s="50"/>
      <c r="F1636" s="50"/>
      <c r="G1636" s="50"/>
      <c r="H1636" s="8"/>
    </row>
    <row r="1637" spans="4:8" x14ac:dyDescent="0.2">
      <c r="D1637" s="50"/>
      <c r="E1637" s="50"/>
      <c r="F1637" s="50"/>
      <c r="G1637" s="50"/>
      <c r="H1637" s="8"/>
    </row>
    <row r="1638" spans="4:8" x14ac:dyDescent="0.2">
      <c r="D1638" s="50"/>
      <c r="E1638" s="50"/>
      <c r="F1638" s="50"/>
      <c r="G1638" s="50"/>
      <c r="H1638" s="8"/>
    </row>
    <row r="1639" spans="4:8" x14ac:dyDescent="0.2">
      <c r="D1639" s="50"/>
      <c r="E1639" s="50"/>
      <c r="F1639" s="50"/>
      <c r="G1639" s="50"/>
      <c r="H1639" s="8"/>
    </row>
    <row r="1640" spans="4:8" x14ac:dyDescent="0.2">
      <c r="D1640" s="50"/>
      <c r="E1640" s="50"/>
      <c r="F1640" s="50"/>
      <c r="G1640" s="50"/>
      <c r="H1640" s="8"/>
    </row>
    <row r="1641" spans="4:8" x14ac:dyDescent="0.2">
      <c r="D1641" s="50"/>
      <c r="E1641" s="50"/>
      <c r="F1641" s="50"/>
      <c r="G1641" s="50"/>
      <c r="H1641" s="8"/>
    </row>
    <row r="1642" spans="4:8" x14ac:dyDescent="0.2">
      <c r="D1642" s="50"/>
      <c r="E1642" s="50"/>
      <c r="F1642" s="50"/>
      <c r="G1642" s="50"/>
      <c r="H1642" s="8"/>
    </row>
    <row r="1643" spans="4:8" x14ac:dyDescent="0.2">
      <c r="D1643" s="50"/>
      <c r="E1643" s="50"/>
      <c r="F1643" s="50"/>
      <c r="G1643" s="50"/>
      <c r="H1643" s="8"/>
    </row>
    <row r="1644" spans="4:8" x14ac:dyDescent="0.2">
      <c r="D1644" s="50"/>
      <c r="E1644" s="50"/>
      <c r="F1644" s="50"/>
      <c r="G1644" s="50"/>
      <c r="H1644" s="8"/>
    </row>
    <row r="1645" spans="4:8" x14ac:dyDescent="0.2">
      <c r="D1645" s="50"/>
      <c r="E1645" s="50"/>
      <c r="F1645" s="50"/>
      <c r="G1645" s="50"/>
      <c r="H1645" s="8"/>
    </row>
    <row r="1646" spans="4:8" x14ac:dyDescent="0.2">
      <c r="D1646" s="50"/>
      <c r="E1646" s="50"/>
      <c r="F1646" s="50"/>
      <c r="G1646" s="50"/>
      <c r="H1646" s="8"/>
    </row>
    <row r="1647" spans="4:8" x14ac:dyDescent="0.2">
      <c r="D1647" s="50"/>
      <c r="E1647" s="50"/>
      <c r="F1647" s="50"/>
      <c r="G1647" s="50"/>
      <c r="H1647" s="8"/>
    </row>
    <row r="1648" spans="4:8" x14ac:dyDescent="0.2">
      <c r="D1648" s="50"/>
      <c r="E1648" s="50"/>
      <c r="F1648" s="50"/>
      <c r="G1648" s="50"/>
      <c r="H1648" s="8"/>
    </row>
    <row r="1649" spans="4:8" x14ac:dyDescent="0.2">
      <c r="D1649" s="50"/>
      <c r="E1649" s="50"/>
      <c r="F1649" s="50"/>
      <c r="G1649" s="50"/>
      <c r="H1649" s="8"/>
    </row>
    <row r="1650" spans="4:8" x14ac:dyDescent="0.2">
      <c r="D1650" s="50"/>
      <c r="E1650" s="50"/>
      <c r="F1650" s="50"/>
      <c r="G1650" s="50"/>
      <c r="H1650" s="8"/>
    </row>
    <row r="1651" spans="4:8" x14ac:dyDescent="0.2">
      <c r="D1651" s="50"/>
      <c r="E1651" s="50"/>
      <c r="F1651" s="50"/>
      <c r="G1651" s="50"/>
      <c r="H1651" s="8"/>
    </row>
    <row r="1652" spans="4:8" x14ac:dyDescent="0.2">
      <c r="D1652" s="50"/>
      <c r="E1652" s="50"/>
      <c r="F1652" s="50"/>
      <c r="G1652" s="50"/>
      <c r="H1652" s="8"/>
    </row>
    <row r="1653" spans="4:8" x14ac:dyDescent="0.2">
      <c r="D1653" s="50"/>
      <c r="E1653" s="50"/>
      <c r="F1653" s="50"/>
      <c r="G1653" s="50"/>
      <c r="H1653" s="8"/>
    </row>
    <row r="1654" spans="4:8" x14ac:dyDescent="0.2">
      <c r="D1654" s="50"/>
      <c r="E1654" s="50"/>
      <c r="F1654" s="50"/>
      <c r="G1654" s="50"/>
      <c r="H1654" s="8"/>
    </row>
    <row r="1655" spans="4:8" x14ac:dyDescent="0.2">
      <c r="D1655" s="50"/>
      <c r="E1655" s="50"/>
      <c r="F1655" s="50"/>
      <c r="G1655" s="50"/>
      <c r="H1655" s="8"/>
    </row>
    <row r="1656" spans="4:8" x14ac:dyDescent="0.2">
      <c r="D1656" s="50"/>
      <c r="E1656" s="50"/>
      <c r="F1656" s="50"/>
      <c r="G1656" s="50"/>
      <c r="H1656" s="8"/>
    </row>
    <row r="1657" spans="4:8" x14ac:dyDescent="0.2">
      <c r="D1657" s="50"/>
      <c r="E1657" s="50"/>
      <c r="F1657" s="50"/>
      <c r="G1657" s="50"/>
      <c r="H1657" s="8"/>
    </row>
    <row r="1658" spans="4:8" x14ac:dyDescent="0.2">
      <c r="D1658" s="50"/>
      <c r="E1658" s="50"/>
      <c r="F1658" s="50"/>
      <c r="G1658" s="50"/>
      <c r="H1658" s="8"/>
    </row>
    <row r="1659" spans="4:8" x14ac:dyDescent="0.2">
      <c r="D1659" s="50"/>
      <c r="E1659" s="50"/>
      <c r="F1659" s="50"/>
      <c r="G1659" s="50"/>
      <c r="H1659" s="8"/>
    </row>
    <row r="1660" spans="4:8" x14ac:dyDescent="0.2">
      <c r="D1660" s="50"/>
      <c r="E1660" s="50"/>
      <c r="F1660" s="50"/>
      <c r="G1660" s="50"/>
      <c r="H1660" s="8"/>
    </row>
    <row r="1661" spans="4:8" x14ac:dyDescent="0.2">
      <c r="D1661" s="50"/>
      <c r="E1661" s="50"/>
      <c r="F1661" s="50"/>
      <c r="G1661" s="50"/>
      <c r="H1661" s="8"/>
    </row>
    <row r="1662" spans="4:8" x14ac:dyDescent="0.2">
      <c r="D1662" s="50"/>
      <c r="E1662" s="50"/>
      <c r="F1662" s="50"/>
      <c r="G1662" s="50"/>
      <c r="H1662" s="8"/>
    </row>
    <row r="1663" spans="4:8" x14ac:dyDescent="0.2">
      <c r="D1663" s="50"/>
      <c r="E1663" s="50"/>
      <c r="F1663" s="50"/>
      <c r="G1663" s="50"/>
      <c r="H1663" s="8"/>
    </row>
    <row r="1664" spans="4:8" x14ac:dyDescent="0.2">
      <c r="D1664" s="50"/>
      <c r="E1664" s="50"/>
      <c r="F1664" s="50"/>
      <c r="G1664" s="50"/>
      <c r="H1664" s="8"/>
    </row>
    <row r="1665" spans="4:8" x14ac:dyDescent="0.2">
      <c r="D1665" s="50"/>
      <c r="E1665" s="50"/>
      <c r="F1665" s="50"/>
      <c r="G1665" s="50"/>
      <c r="H1665" s="8"/>
    </row>
    <row r="1666" spans="4:8" x14ac:dyDescent="0.2">
      <c r="D1666" s="50"/>
      <c r="E1666" s="50"/>
      <c r="F1666" s="50"/>
      <c r="G1666" s="50"/>
      <c r="H1666" s="8"/>
    </row>
    <row r="1667" spans="4:8" x14ac:dyDescent="0.2">
      <c r="D1667" s="50"/>
      <c r="E1667" s="50"/>
      <c r="F1667" s="50"/>
      <c r="G1667" s="50"/>
      <c r="H1667" s="8"/>
    </row>
    <row r="1668" spans="4:8" x14ac:dyDescent="0.2">
      <c r="D1668" s="50"/>
      <c r="E1668" s="50"/>
      <c r="F1668" s="50"/>
      <c r="G1668" s="50"/>
      <c r="H1668" s="8"/>
    </row>
    <row r="1669" spans="4:8" x14ac:dyDescent="0.2">
      <c r="D1669" s="50"/>
      <c r="E1669" s="50"/>
      <c r="F1669" s="50"/>
      <c r="G1669" s="50"/>
      <c r="H1669" s="8"/>
    </row>
  </sheetData>
  <sortState ref="A383:BA396">
    <sortCondition ref="B383:B396"/>
  </sortState>
  <phoneticPr fontId="0" type="noConversion"/>
  <printOptions horizontalCentered="1"/>
  <pageMargins left="0.28000000000000003" right="0.03" top="0.25" bottom="0.19" header="0.19" footer="0.18"/>
  <pageSetup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2012</vt:lpstr>
      <vt:lpstr>'2012'!Print_Area</vt:lpstr>
      <vt:lpstr>'2012'!Print_Titles</vt:lpstr>
    </vt:vector>
  </TitlesOfParts>
  <Company>Micron Electronics,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usoe</dc:creator>
  <cp:lastModifiedBy>Gardner, Brian</cp:lastModifiedBy>
  <cp:lastPrinted>2012-12-18T14:43:19Z</cp:lastPrinted>
  <dcterms:created xsi:type="dcterms:W3CDTF">2000-12-04T22:24:04Z</dcterms:created>
  <dcterms:modified xsi:type="dcterms:W3CDTF">2013-02-04T16:52:44Z</dcterms:modified>
</cp:coreProperties>
</file>