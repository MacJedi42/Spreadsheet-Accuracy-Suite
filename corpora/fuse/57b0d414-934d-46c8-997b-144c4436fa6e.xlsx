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 yWindow="108" windowWidth="11616" windowHeight="9756"/>
  </bookViews>
  <sheets>
    <sheet name="GTR Corn Table" sheetId="6" r:id="rId1"/>
    <sheet name="Total" sheetId="7" r:id="rId2"/>
    <sheet name="Japan" sheetId="1" r:id="rId3"/>
    <sheet name="Mexico" sheetId="2" r:id="rId4"/>
    <sheet name="Korea" sheetId="5" r:id="rId5"/>
    <sheet name="China" sheetId="14" r:id="rId6"/>
    <sheet name="Taiwan" sheetId="4" r:id="rId7"/>
    <sheet name="Venezuela" sheetId="15" r:id="rId8"/>
    <sheet name="Egypt" sheetId="3" r:id="rId9"/>
    <sheet name="DATA" sheetId="10" r:id="rId10"/>
    <sheet name="Summary" sheetId="11" r:id="rId11"/>
    <sheet name="Sheet1" sheetId="12" r:id="rId12"/>
    <sheet name="Sheet2" sheetId="13" r:id="rId13"/>
    <sheet name="River Analysis" sheetId="16" r:id="rId14"/>
    <sheet name="Sheet3" sheetId="17" r:id="rId15"/>
  </sheets>
  <externalReferences>
    <externalReference r:id="rId16"/>
    <externalReference r:id="rId17"/>
    <externalReference r:id="rId18"/>
    <externalReference r:id="rId19"/>
    <externalReference r:id="rId20"/>
  </externalReferences>
  <definedNames>
    <definedName name="_xlnm.Print_Area" localSheetId="0">'GTR Corn Table'!$A$1:$I$30</definedName>
  </definedNames>
  <calcPr calcId="145621"/>
</workbook>
</file>

<file path=xl/calcChain.xml><?xml version="1.0" encoding="utf-8"?>
<calcChain xmlns="http://schemas.openxmlformats.org/spreadsheetml/2006/main">
  <c r="C437" i="7" l="1"/>
  <c r="C438" i="7"/>
  <c r="C439" i="7"/>
  <c r="C440" i="7"/>
  <c r="C441" i="7"/>
  <c r="C442" i="7"/>
  <c r="C443" i="7"/>
  <c r="H80" i="15"/>
  <c r="I80" i="15"/>
  <c r="G80" i="15"/>
  <c r="D80" i="15"/>
  <c r="H409" i="2"/>
  <c r="I409" i="2"/>
  <c r="G409" i="2"/>
  <c r="H106" i="14"/>
  <c r="I106" i="14"/>
  <c r="G106" i="14"/>
  <c r="G409" i="1"/>
  <c r="L435" i="7"/>
  <c r="H79" i="15"/>
  <c r="I79" i="15"/>
  <c r="G79" i="15"/>
  <c r="H105" i="14"/>
  <c r="I105" i="14"/>
  <c r="G105" i="14"/>
  <c r="H408" i="2"/>
  <c r="I408" i="2"/>
  <c r="G408" i="2"/>
  <c r="G408" i="1"/>
  <c r="L434" i="7"/>
  <c r="D407" i="3"/>
  <c r="F407" i="3"/>
  <c r="G407" i="3"/>
  <c r="H78" i="15"/>
  <c r="I78" i="15"/>
  <c r="G78" i="15"/>
  <c r="H104" i="14"/>
  <c r="I104" i="14"/>
  <c r="G104" i="14"/>
  <c r="H407" i="2"/>
  <c r="I407" i="2"/>
  <c r="G407" i="2"/>
  <c r="G407" i="1"/>
  <c r="L433" i="7"/>
  <c r="H77" i="15"/>
  <c r="I77" i="15"/>
  <c r="G77" i="15"/>
  <c r="H406" i="2"/>
  <c r="I406" i="2"/>
  <c r="G406" i="2"/>
  <c r="D406" i="3"/>
  <c r="F406" i="3"/>
  <c r="G406" i="3"/>
  <c r="I406" i="3"/>
  <c r="H103" i="14"/>
  <c r="I103" i="14"/>
  <c r="G103" i="14"/>
  <c r="G406" i="1"/>
  <c r="A260" i="15"/>
  <c r="A261" i="15"/>
  <c r="A262" i="15"/>
  <c r="A263" i="15"/>
  <c r="A264" i="15"/>
  <c r="A265" i="15"/>
  <c r="A266" i="15"/>
  <c r="A267" i="15"/>
  <c r="A268" i="15"/>
  <c r="A269" i="15"/>
  <c r="A270" i="15"/>
  <c r="A271" i="15"/>
  <c r="A272" i="15"/>
  <c r="A273" i="15"/>
  <c r="A274" i="15"/>
  <c r="A275" i="15"/>
  <c r="A276" i="15"/>
  <c r="A277" i="15"/>
  <c r="A278" i="15"/>
  <c r="A279" i="15"/>
  <c r="A280" i="15"/>
  <c r="A281" i="15"/>
  <c r="A282" i="15"/>
  <c r="A283" i="15"/>
  <c r="A284" i="15"/>
  <c r="A285" i="15"/>
  <c r="A286" i="15"/>
  <c r="A91" i="15"/>
  <c r="A92" i="15"/>
  <c r="A93" i="15"/>
  <c r="A94" i="15"/>
  <c r="A95" i="15"/>
  <c r="A96" i="15"/>
  <c r="A97" i="15"/>
  <c r="A98" i="15"/>
  <c r="A99" i="15"/>
  <c r="A100" i="15"/>
  <c r="A101"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168" i="15"/>
  <c r="A169" i="15"/>
  <c r="A170" i="15"/>
  <c r="A171" i="15"/>
  <c r="A172" i="15"/>
  <c r="A173"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0" i="15"/>
  <c r="A221" i="15"/>
  <c r="A222" i="15"/>
  <c r="A223" i="15"/>
  <c r="A224" i="15"/>
  <c r="A225" i="15"/>
  <c r="A226" i="15"/>
  <c r="A227" i="15"/>
  <c r="A228" i="15"/>
  <c r="A229" i="15"/>
  <c r="A230" i="15"/>
  <c r="A231" i="15"/>
  <c r="A232" i="15"/>
  <c r="A233" i="15"/>
  <c r="A234" i="15"/>
  <c r="A235" i="15"/>
  <c r="A236" i="15"/>
  <c r="A237" i="15"/>
  <c r="A238" i="15"/>
  <c r="A239" i="15"/>
  <c r="A240" i="15"/>
  <c r="A241" i="15"/>
  <c r="A242" i="15"/>
  <c r="A243" i="15"/>
  <c r="A244" i="15"/>
  <c r="A245" i="15"/>
  <c r="A246" i="15"/>
  <c r="A247" i="15"/>
  <c r="A248" i="15"/>
  <c r="A249" i="15"/>
  <c r="A250" i="15"/>
  <c r="A251" i="15"/>
  <c r="A252" i="15"/>
  <c r="A253" i="15"/>
  <c r="A254" i="15"/>
  <c r="A255" i="15"/>
  <c r="A256" i="15"/>
  <c r="A257" i="15"/>
  <c r="A258" i="15"/>
  <c r="A259" i="15"/>
  <c r="A331" i="14"/>
  <c r="A332" i="14"/>
  <c r="A333" i="14"/>
  <c r="A334" i="14"/>
  <c r="A335" i="14"/>
  <c r="A336" i="14"/>
  <c r="A337" i="14"/>
  <c r="A338" i="14"/>
  <c r="A339" i="14"/>
  <c r="A340" i="14"/>
  <c r="A341" i="14"/>
  <c r="A342" i="14"/>
  <c r="A343" i="14"/>
  <c r="A344" i="14"/>
  <c r="A345" i="14"/>
  <c r="A346" i="14"/>
  <c r="A347" i="14"/>
  <c r="A348" i="14"/>
  <c r="A349" i="14"/>
  <c r="A350" i="14"/>
  <c r="A351" i="14"/>
  <c r="A352" i="14"/>
  <c r="A353" i="14"/>
  <c r="A354" i="14"/>
  <c r="A355" i="14"/>
  <c r="A356" i="14"/>
  <c r="A357" i="14"/>
  <c r="A358" i="14"/>
  <c r="A359" i="14"/>
  <c r="A360" i="14"/>
  <c r="A361" i="14"/>
  <c r="A362" i="14"/>
  <c r="A363" i="14"/>
  <c r="A364" i="14"/>
  <c r="A365" i="14"/>
  <c r="A366" i="14"/>
  <c r="A367" i="14"/>
  <c r="A368" i="14"/>
  <c r="A369" i="14"/>
  <c r="A370" i="14"/>
  <c r="A371" i="14"/>
  <c r="A372" i="14"/>
  <c r="A373" i="14"/>
  <c r="A374" i="14"/>
  <c r="A375" i="14"/>
  <c r="A376" i="14"/>
  <c r="A377" i="14"/>
  <c r="A378" i="14"/>
  <c r="A379" i="14"/>
  <c r="A380" i="14"/>
  <c r="A381" i="14"/>
  <c r="A382" i="14"/>
  <c r="A383" i="14"/>
  <c r="A384" i="14"/>
  <c r="A385" i="14"/>
  <c r="A386" i="14"/>
  <c r="A387" i="14"/>
  <c r="A388" i="14"/>
  <c r="A389" i="14"/>
  <c r="A390" i="14"/>
  <c r="A391" i="14"/>
  <c r="A392" i="14"/>
  <c r="A393" i="14"/>
  <c r="A394" i="14"/>
  <c r="A395" i="14"/>
  <c r="A396" i="14"/>
  <c r="A397" i="14"/>
  <c r="A398" i="14"/>
  <c r="A399" i="14"/>
  <c r="A400" i="14"/>
  <c r="A401" i="14"/>
  <c r="A402" i="14"/>
  <c r="A403" i="14"/>
  <c r="A404" i="14"/>
  <c r="A405" i="14"/>
  <c r="A406" i="14"/>
  <c r="A407" i="14"/>
  <c r="A408" i="14"/>
  <c r="A409" i="14"/>
  <c r="A410" i="14"/>
  <c r="A411" i="14"/>
  <c r="A412" i="14"/>
  <c r="A413" i="14"/>
  <c r="A414" i="14"/>
  <c r="A415" i="14"/>
  <c r="A416" i="14"/>
  <c r="A417" i="14"/>
  <c r="A418" i="14"/>
  <c r="A419" i="14"/>
  <c r="A420" i="14"/>
  <c r="A421" i="14"/>
  <c r="A422" i="14"/>
  <c r="A423" i="14"/>
  <c r="A424" i="14"/>
  <c r="A425" i="14"/>
  <c r="A426" i="14"/>
  <c r="A427" i="14"/>
  <c r="A428" i="14"/>
  <c r="A429" i="14"/>
  <c r="A430" i="14"/>
  <c r="A431" i="14"/>
  <c r="A432" i="14"/>
  <c r="A433" i="14"/>
  <c r="A434" i="14"/>
  <c r="A435" i="14"/>
  <c r="A436" i="14"/>
  <c r="A437" i="14"/>
  <c r="A438" i="14"/>
  <c r="A439" i="14"/>
  <c r="A440" i="14"/>
  <c r="A441" i="14"/>
  <c r="A442" i="14"/>
  <c r="A443" i="14"/>
  <c r="A444" i="14"/>
  <c r="A445" i="14"/>
  <c r="A446" i="14"/>
  <c r="A447" i="14"/>
  <c r="A448" i="14"/>
  <c r="A449" i="14"/>
  <c r="A450" i="14"/>
  <c r="A451" i="14"/>
  <c r="A452" i="14"/>
  <c r="A453" i="14"/>
  <c r="A454" i="14"/>
  <c r="A455" i="14"/>
  <c r="A456" i="14"/>
  <c r="A457" i="14"/>
  <c r="A458" i="14"/>
  <c r="A459" i="14"/>
  <c r="A460" i="14"/>
  <c r="A461" i="14"/>
  <c r="A462" i="14"/>
  <c r="A463" i="14"/>
  <c r="A464" i="14"/>
  <c r="A465" i="14"/>
  <c r="A466" i="14"/>
  <c r="A467" i="14"/>
  <c r="A468" i="14"/>
  <c r="A289" i="14"/>
  <c r="A290" i="14"/>
  <c r="A291" i="14"/>
  <c r="A292" i="14"/>
  <c r="A293" i="14"/>
  <c r="A294" i="14"/>
  <c r="A295" i="14"/>
  <c r="A296" i="14"/>
  <c r="A297" i="14"/>
  <c r="A298" i="14"/>
  <c r="A299" i="14"/>
  <c r="A300" i="14"/>
  <c r="A301" i="14"/>
  <c r="A302" i="14"/>
  <c r="A303" i="14"/>
  <c r="A304" i="14"/>
  <c r="A305" i="14"/>
  <c r="A306" i="14"/>
  <c r="A307" i="14"/>
  <c r="A308" i="14"/>
  <c r="A309" i="14"/>
  <c r="A310" i="14"/>
  <c r="A311" i="14"/>
  <c r="A312" i="14"/>
  <c r="A313" i="14"/>
  <c r="A314" i="14"/>
  <c r="A315" i="14"/>
  <c r="A316" i="14"/>
  <c r="A317" i="14"/>
  <c r="A318" i="14"/>
  <c r="A319" i="14"/>
  <c r="A320" i="14"/>
  <c r="A321" i="14"/>
  <c r="A322" i="14"/>
  <c r="A323" i="14"/>
  <c r="A324" i="14"/>
  <c r="A325" i="14"/>
  <c r="A326" i="14"/>
  <c r="A327" i="14"/>
  <c r="A328" i="14"/>
  <c r="A329" i="14"/>
  <c r="A330" i="14"/>
  <c r="A196" i="14"/>
  <c r="A197" i="14"/>
  <c r="A198" i="14"/>
  <c r="A199" i="14"/>
  <c r="A200" i="14"/>
  <c r="A201" i="14"/>
  <c r="A202" i="14"/>
  <c r="A203" i="14"/>
  <c r="A204" i="14"/>
  <c r="A205" i="14"/>
  <c r="A206" i="14"/>
  <c r="A207" i="14"/>
  <c r="A208" i="14"/>
  <c r="A209" i="14"/>
  <c r="A210" i="14"/>
  <c r="A211" i="14"/>
  <c r="A212" i="14"/>
  <c r="A213" i="14"/>
  <c r="A214" i="14"/>
  <c r="A215" i="14"/>
  <c r="A216" i="14"/>
  <c r="A217" i="14"/>
  <c r="A218" i="14"/>
  <c r="A219" i="14"/>
  <c r="A220" i="14"/>
  <c r="A221" i="14"/>
  <c r="A222" i="14"/>
  <c r="A223" i="14"/>
  <c r="A224" i="14"/>
  <c r="A225" i="14"/>
  <c r="A226" i="14"/>
  <c r="A227" i="14"/>
  <c r="A228" i="14"/>
  <c r="A229" i="14"/>
  <c r="A230" i="14"/>
  <c r="A231" i="14"/>
  <c r="A232" i="14"/>
  <c r="A233" i="14"/>
  <c r="A234" i="14"/>
  <c r="A235" i="14"/>
  <c r="A236" i="14"/>
  <c r="A237" i="14"/>
  <c r="A238" i="14"/>
  <c r="A239" i="14"/>
  <c r="A240" i="14"/>
  <c r="A241" i="14"/>
  <c r="A242" i="14"/>
  <c r="A243" i="14"/>
  <c r="A244" i="14"/>
  <c r="A245" i="14"/>
  <c r="A246" i="14"/>
  <c r="A247" i="14"/>
  <c r="A248" i="14"/>
  <c r="A249" i="14"/>
  <c r="A250" i="14"/>
  <c r="A251" i="14"/>
  <c r="A252" i="14"/>
  <c r="A253" i="14"/>
  <c r="A254" i="14"/>
  <c r="A255" i="14"/>
  <c r="A256" i="14"/>
  <c r="A257" i="14"/>
  <c r="A258" i="14"/>
  <c r="A259" i="14"/>
  <c r="A260" i="14"/>
  <c r="A261" i="14"/>
  <c r="A262" i="14"/>
  <c r="A263" i="14"/>
  <c r="A264" i="14"/>
  <c r="A265" i="14"/>
  <c r="A266" i="14"/>
  <c r="A267" i="14"/>
  <c r="A268" i="14"/>
  <c r="A269" i="14"/>
  <c r="A270" i="14"/>
  <c r="A271" i="14"/>
  <c r="A272" i="14"/>
  <c r="A273" i="14"/>
  <c r="A274" i="14"/>
  <c r="A275" i="14"/>
  <c r="A276" i="14"/>
  <c r="A277" i="14"/>
  <c r="A278" i="14"/>
  <c r="A279" i="14"/>
  <c r="A280" i="14"/>
  <c r="A281" i="14"/>
  <c r="A282" i="14"/>
  <c r="A283" i="14"/>
  <c r="A284" i="14"/>
  <c r="A285" i="14"/>
  <c r="A286" i="14"/>
  <c r="A287" i="14"/>
  <c r="A288" i="14"/>
  <c r="A129" i="14"/>
  <c r="A130" i="14"/>
  <c r="A131" i="14"/>
  <c r="A132" i="14"/>
  <c r="A133" i="14"/>
  <c r="A134" i="14"/>
  <c r="A135" i="14"/>
  <c r="A136" i="14"/>
  <c r="A137" i="14"/>
  <c r="A138" i="14"/>
  <c r="A139" i="14"/>
  <c r="A140" i="14"/>
  <c r="A141" i="14"/>
  <c r="A142" i="14"/>
  <c r="A143" i="14"/>
  <c r="A144" i="14"/>
  <c r="A145" i="14"/>
  <c r="A146" i="14"/>
  <c r="A147" i="14"/>
  <c r="A148" i="14"/>
  <c r="A149" i="14"/>
  <c r="A150" i="14"/>
  <c r="A151" i="14"/>
  <c r="A152" i="14"/>
  <c r="A153" i="14"/>
  <c r="A154" i="14"/>
  <c r="A155" i="14"/>
  <c r="A156" i="14"/>
  <c r="A157" i="14"/>
  <c r="A158" i="14"/>
  <c r="A159" i="14"/>
  <c r="A160" i="14"/>
  <c r="A161" i="14"/>
  <c r="A162" i="14"/>
  <c r="A163" i="14"/>
  <c r="A164" i="14"/>
  <c r="A165" i="14"/>
  <c r="A166" i="14"/>
  <c r="A167" i="14"/>
  <c r="A168" i="14"/>
  <c r="A169" i="14"/>
  <c r="A170" i="14"/>
  <c r="A171" i="14"/>
  <c r="A172" i="14"/>
  <c r="A173" i="14"/>
  <c r="A174" i="14"/>
  <c r="A175" i="14"/>
  <c r="A176" i="14"/>
  <c r="A177" i="14"/>
  <c r="A178" i="14"/>
  <c r="A179" i="14"/>
  <c r="A180" i="14"/>
  <c r="A181" i="14"/>
  <c r="A182" i="14"/>
  <c r="A183" i="14"/>
  <c r="A184" i="14"/>
  <c r="A185" i="14"/>
  <c r="A186" i="14"/>
  <c r="A187" i="14"/>
  <c r="A188" i="14"/>
  <c r="A189" i="14"/>
  <c r="A190" i="14"/>
  <c r="A191" i="14"/>
  <c r="A192" i="14"/>
  <c r="A193" i="14"/>
  <c r="A194" i="14"/>
  <c r="A195" i="14"/>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A697" i="7"/>
  <c r="A698" i="7"/>
  <c r="A699" i="7"/>
  <c r="A700" i="7"/>
  <c r="A701" i="7"/>
  <c r="A702" i="7"/>
  <c r="A703" i="7"/>
  <c r="A704" i="7"/>
  <c r="A705" i="7"/>
  <c r="A706" i="7"/>
  <c r="A707" i="7"/>
  <c r="A708" i="7"/>
  <c r="A709" i="7"/>
  <c r="A710" i="7"/>
  <c r="A711" i="7"/>
  <c r="A712" i="7"/>
  <c r="A713" i="7"/>
  <c r="A714" i="7"/>
  <c r="A715" i="7"/>
  <c r="A684" i="7"/>
  <c r="A685" i="7"/>
  <c r="A686" i="7"/>
  <c r="A687" i="7"/>
  <c r="A688" i="7"/>
  <c r="A689" i="7"/>
  <c r="A690" i="7"/>
  <c r="A691" i="7"/>
  <c r="A692" i="7"/>
  <c r="A693" i="7"/>
  <c r="A694" i="7"/>
  <c r="A695" i="7"/>
  <c r="A696" i="7"/>
  <c r="A669" i="7"/>
  <c r="A670" i="7"/>
  <c r="A671" i="7"/>
  <c r="A672" i="7"/>
  <c r="A673" i="7"/>
  <c r="A674" i="7"/>
  <c r="A675" i="7"/>
  <c r="A676" i="7"/>
  <c r="A677" i="7"/>
  <c r="A678" i="7"/>
  <c r="A679" i="7"/>
  <c r="A680" i="7"/>
  <c r="A681" i="7"/>
  <c r="A682" i="7"/>
  <c r="A683" i="7"/>
  <c r="A654" i="7"/>
  <c r="A655" i="7"/>
  <c r="A656" i="7"/>
  <c r="A657" i="7"/>
  <c r="A658" i="7"/>
  <c r="A659" i="7"/>
  <c r="A660" i="7"/>
  <c r="A661" i="7"/>
  <c r="A662" i="7"/>
  <c r="A663" i="7"/>
  <c r="A664" i="7"/>
  <c r="A665" i="7"/>
  <c r="A666" i="7"/>
  <c r="A667" i="7"/>
  <c r="A668" i="7"/>
  <c r="A475" i="7"/>
  <c r="A476" i="7"/>
  <c r="A477" i="7"/>
  <c r="A478" i="7"/>
  <c r="A479" i="7"/>
  <c r="A480" i="7"/>
  <c r="A481" i="7"/>
  <c r="A482" i="7"/>
  <c r="A483" i="7"/>
  <c r="A484" i="7"/>
  <c r="A485" i="7"/>
  <c r="A486" i="7"/>
  <c r="A487" i="7"/>
  <c r="A488" i="7"/>
  <c r="A489" i="7"/>
  <c r="A490" i="7"/>
  <c r="A491" i="7"/>
  <c r="A492" i="7"/>
  <c r="A493" i="7"/>
  <c r="A494" i="7"/>
  <c r="A495" i="7"/>
  <c r="A496" i="7"/>
  <c r="A497" i="7"/>
  <c r="A498" i="7"/>
  <c r="A499" i="7"/>
  <c r="A500" i="7"/>
  <c r="A501" i="7"/>
  <c r="A502" i="7"/>
  <c r="A503" i="7"/>
  <c r="A504" i="7"/>
  <c r="A505" i="7"/>
  <c r="A506" i="7"/>
  <c r="A507" i="7"/>
  <c r="A508" i="7"/>
  <c r="A509" i="7"/>
  <c r="A510" i="7"/>
  <c r="A511" i="7"/>
  <c r="A512" i="7"/>
  <c r="A513" i="7"/>
  <c r="A514" i="7"/>
  <c r="A515" i="7"/>
  <c r="A516" i="7"/>
  <c r="A517" i="7"/>
  <c r="A518" i="7"/>
  <c r="A519" i="7"/>
  <c r="A520" i="7"/>
  <c r="A521" i="7"/>
  <c r="A522" i="7"/>
  <c r="A523" i="7"/>
  <c r="A524" i="7"/>
  <c r="A525" i="7"/>
  <c r="A526" i="7"/>
  <c r="A527" i="7"/>
  <c r="A528" i="7"/>
  <c r="A529" i="7"/>
  <c r="A530" i="7"/>
  <c r="A531" i="7"/>
  <c r="A532" i="7"/>
  <c r="A533" i="7"/>
  <c r="A534" i="7"/>
  <c r="A535" i="7"/>
  <c r="A536" i="7"/>
  <c r="A537" i="7"/>
  <c r="A538" i="7"/>
  <c r="A539" i="7"/>
  <c r="A540" i="7"/>
  <c r="A541" i="7"/>
  <c r="A542" i="7"/>
  <c r="A543" i="7"/>
  <c r="A544" i="7"/>
  <c r="A545" i="7"/>
  <c r="A546" i="7"/>
  <c r="A547" i="7"/>
  <c r="A548" i="7"/>
  <c r="A549" i="7"/>
  <c r="A550" i="7"/>
  <c r="A551" i="7"/>
  <c r="A552" i="7"/>
  <c r="A553" i="7"/>
  <c r="A554" i="7"/>
  <c r="A555" i="7"/>
  <c r="A556" i="7"/>
  <c r="A557" i="7"/>
  <c r="A558" i="7"/>
  <c r="A559" i="7"/>
  <c r="A560" i="7"/>
  <c r="A561" i="7"/>
  <c r="A562" i="7"/>
  <c r="A563" i="7"/>
  <c r="A564" i="7"/>
  <c r="A565" i="7"/>
  <c r="A566" i="7"/>
  <c r="A567" i="7"/>
  <c r="A568" i="7"/>
  <c r="A569" i="7"/>
  <c r="A570" i="7"/>
  <c r="A571" i="7"/>
  <c r="A572" i="7"/>
  <c r="A573" i="7"/>
  <c r="A574" i="7"/>
  <c r="A575" i="7"/>
  <c r="A576" i="7"/>
  <c r="A577" i="7"/>
  <c r="A578" i="7"/>
  <c r="A579" i="7"/>
  <c r="A580" i="7"/>
  <c r="A581" i="7"/>
  <c r="A582" i="7"/>
  <c r="A583" i="7"/>
  <c r="A584" i="7"/>
  <c r="A585" i="7"/>
  <c r="A586" i="7"/>
  <c r="A587" i="7"/>
  <c r="A588" i="7"/>
  <c r="A589" i="7"/>
  <c r="A590" i="7"/>
  <c r="A591" i="7"/>
  <c r="A592" i="7"/>
  <c r="A593" i="7"/>
  <c r="A594" i="7"/>
  <c r="A595" i="7"/>
  <c r="A596" i="7"/>
  <c r="A597" i="7"/>
  <c r="A598" i="7"/>
  <c r="A599" i="7"/>
  <c r="A600" i="7"/>
  <c r="A601" i="7"/>
  <c r="A602" i="7"/>
  <c r="A603" i="7"/>
  <c r="A604" i="7"/>
  <c r="A605" i="7"/>
  <c r="A606" i="7"/>
  <c r="A607" i="7"/>
  <c r="A608" i="7"/>
  <c r="A609" i="7"/>
  <c r="A610" i="7"/>
  <c r="A611" i="7"/>
  <c r="A612" i="7"/>
  <c r="A613" i="7"/>
  <c r="A614" i="7"/>
  <c r="A615" i="7"/>
  <c r="A616" i="7"/>
  <c r="A617" i="7"/>
  <c r="A618" i="7"/>
  <c r="A619" i="7"/>
  <c r="A620" i="7"/>
  <c r="A621" i="7"/>
  <c r="A622" i="7"/>
  <c r="A623" i="7"/>
  <c r="A624" i="7"/>
  <c r="A625" i="7"/>
  <c r="A626" i="7"/>
  <c r="A627" i="7"/>
  <c r="A628" i="7"/>
  <c r="A629" i="7"/>
  <c r="A630" i="7"/>
  <c r="A631" i="7"/>
  <c r="A632" i="7"/>
  <c r="A633" i="7"/>
  <c r="A634" i="7"/>
  <c r="A635" i="7"/>
  <c r="A636" i="7"/>
  <c r="A637" i="7"/>
  <c r="A638" i="7"/>
  <c r="A639" i="7"/>
  <c r="A640" i="7"/>
  <c r="A641" i="7"/>
  <c r="A642" i="7"/>
  <c r="A643" i="7"/>
  <c r="A644" i="7"/>
  <c r="A645" i="7"/>
  <c r="A646" i="7"/>
  <c r="A647" i="7"/>
  <c r="A648" i="7"/>
  <c r="A649" i="7"/>
  <c r="A650" i="7"/>
  <c r="A651" i="7"/>
  <c r="A652" i="7"/>
  <c r="A653" i="7"/>
  <c r="A715" i="1"/>
  <c r="A713" i="1"/>
  <c r="A714" i="1"/>
  <c r="A708" i="1"/>
  <c r="A709" i="1"/>
  <c r="A710" i="1"/>
  <c r="A711" i="1"/>
  <c r="A712" i="1"/>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114" i="14"/>
  <c r="A115" i="14"/>
  <c r="A116" i="14"/>
  <c r="A117" i="14"/>
  <c r="A118" i="14"/>
  <c r="A119" i="14"/>
  <c r="A120" i="14"/>
  <c r="A121" i="14"/>
  <c r="A122" i="14"/>
  <c r="A123" i="14"/>
  <c r="A124" i="14"/>
  <c r="A125" i="14"/>
  <c r="A126" i="14"/>
  <c r="A127" i="14"/>
  <c r="A128" i="14"/>
  <c r="L430" i="7"/>
  <c r="L431" i="7"/>
  <c r="L432" i="7"/>
  <c r="G76" i="15"/>
  <c r="H76" i="15"/>
  <c r="I76" i="15"/>
  <c r="H405" i="2"/>
  <c r="I405" i="2"/>
  <c r="G405" i="2"/>
  <c r="I102" i="14"/>
  <c r="H102" i="14"/>
  <c r="G102" i="14"/>
  <c r="G405" i="1"/>
  <c r="G75" i="15"/>
  <c r="H75" i="15"/>
  <c r="I75" i="15"/>
  <c r="H404" i="2"/>
  <c r="I404" i="2"/>
  <c r="G404" i="2"/>
  <c r="H101" i="14"/>
  <c r="I101" i="14"/>
  <c r="G101" i="14"/>
  <c r="G404" i="1"/>
  <c r="C432" i="7"/>
  <c r="C433" i="7"/>
  <c r="C434" i="7"/>
  <c r="C435" i="7"/>
  <c r="C436" i="7"/>
  <c r="H431" i="7"/>
  <c r="H432" i="7"/>
  <c r="H433" i="7"/>
  <c r="H434" i="7"/>
  <c r="H435" i="7"/>
  <c r="H436" i="7"/>
  <c r="H437" i="7"/>
  <c r="J437" i="7"/>
  <c r="K437" i="7"/>
  <c r="H438" i="7"/>
  <c r="H439" i="7"/>
  <c r="H440" i="7"/>
  <c r="H441" i="7"/>
  <c r="H442" i="7"/>
  <c r="H443" i="7"/>
  <c r="F431" i="7"/>
  <c r="F432" i="7"/>
  <c r="F433" i="7"/>
  <c r="J433" i="7"/>
  <c r="F434" i="7"/>
  <c r="F435" i="7"/>
  <c r="F436" i="7"/>
  <c r="F437" i="7"/>
  <c r="F438" i="7"/>
  <c r="F439" i="7"/>
  <c r="F440" i="7"/>
  <c r="F441" i="7"/>
  <c r="F442" i="7"/>
  <c r="F443" i="7"/>
  <c r="H430" i="7"/>
  <c r="F430" i="7"/>
  <c r="H74" i="15"/>
  <c r="I74" i="15"/>
  <c r="G74" i="15"/>
  <c r="H100" i="14"/>
  <c r="I100" i="14"/>
  <c r="G100" i="14"/>
  <c r="H403" i="2"/>
  <c r="I403" i="2"/>
  <c r="G403" i="2"/>
  <c r="F404" i="3"/>
  <c r="F405" i="3"/>
  <c r="H405" i="3"/>
  <c r="F408" i="3"/>
  <c r="H408" i="3"/>
  <c r="F409" i="3"/>
  <c r="F410" i="3"/>
  <c r="F411" i="3"/>
  <c r="H411" i="3"/>
  <c r="I411" i="3"/>
  <c r="F412" i="3"/>
  <c r="F413" i="3"/>
  <c r="F414" i="3"/>
  <c r="D404" i="3"/>
  <c r="D405" i="3"/>
  <c r="H406" i="3"/>
  <c r="D408" i="3"/>
  <c r="D409" i="3"/>
  <c r="D410" i="3"/>
  <c r="D411" i="3"/>
  <c r="D412" i="3"/>
  <c r="D413" i="3"/>
  <c r="H413" i="3"/>
  <c r="I413" i="3"/>
  <c r="D414" i="3"/>
  <c r="H414" i="3"/>
  <c r="I414" i="3"/>
  <c r="F403" i="3"/>
  <c r="D403" i="3"/>
  <c r="F75" i="15"/>
  <c r="F76" i="15"/>
  <c r="F77" i="15"/>
  <c r="F78" i="15"/>
  <c r="F79" i="15"/>
  <c r="F80" i="15"/>
  <c r="F81" i="15"/>
  <c r="F82" i="15"/>
  <c r="F83" i="15"/>
  <c r="F84" i="15"/>
  <c r="F85" i="15"/>
  <c r="D75" i="15"/>
  <c r="D76" i="15"/>
  <c r="D77" i="15"/>
  <c r="D78" i="15"/>
  <c r="D79" i="15"/>
  <c r="D81" i="15"/>
  <c r="D82" i="15"/>
  <c r="D83" i="15"/>
  <c r="D84" i="15"/>
  <c r="D85" i="15"/>
  <c r="F74" i="15"/>
  <c r="D74" i="15"/>
  <c r="F404" i="4"/>
  <c r="F405" i="4"/>
  <c r="F406" i="4"/>
  <c r="F407" i="4"/>
  <c r="F408" i="4"/>
  <c r="F409" i="4"/>
  <c r="F410" i="4"/>
  <c r="H410" i="4"/>
  <c r="I410" i="4"/>
  <c r="F411" i="4"/>
  <c r="H411" i="4"/>
  <c r="I411" i="4"/>
  <c r="F412" i="4"/>
  <c r="F413" i="4"/>
  <c r="F414" i="4"/>
  <c r="F403" i="4"/>
  <c r="D404" i="4"/>
  <c r="D405" i="4"/>
  <c r="D406" i="4"/>
  <c r="H406" i="4"/>
  <c r="D407" i="4"/>
  <c r="D408" i="4"/>
  <c r="D409" i="4"/>
  <c r="D410" i="4"/>
  <c r="D411" i="4"/>
  <c r="D412" i="4"/>
  <c r="D413" i="4"/>
  <c r="D414" i="4"/>
  <c r="H414" i="4"/>
  <c r="I414" i="4"/>
  <c r="D403" i="4"/>
  <c r="F101" i="14"/>
  <c r="F102" i="14"/>
  <c r="F103" i="14"/>
  <c r="F104" i="14"/>
  <c r="F105" i="14"/>
  <c r="F106" i="14"/>
  <c r="F107" i="14"/>
  <c r="F108" i="14"/>
  <c r="F109" i="14"/>
  <c r="F110" i="14"/>
  <c r="F111" i="14"/>
  <c r="F100" i="14"/>
  <c r="D101" i="14"/>
  <c r="D102" i="14"/>
  <c r="D103" i="14"/>
  <c r="D104" i="14"/>
  <c r="D105" i="14"/>
  <c r="D106" i="14"/>
  <c r="D107" i="14"/>
  <c r="D108" i="14"/>
  <c r="D109" i="14"/>
  <c r="D110" i="14"/>
  <c r="D111" i="14"/>
  <c r="D100" i="14"/>
  <c r="F404" i="5"/>
  <c r="F405" i="5"/>
  <c r="F406" i="5"/>
  <c r="F407" i="5"/>
  <c r="H407" i="5"/>
  <c r="F408" i="5"/>
  <c r="H408" i="5"/>
  <c r="F409" i="5"/>
  <c r="F410" i="5"/>
  <c r="F411" i="5"/>
  <c r="F412" i="5"/>
  <c r="F413" i="5"/>
  <c r="F414" i="5"/>
  <c r="H414" i="5"/>
  <c r="I414" i="5"/>
  <c r="D404" i="5"/>
  <c r="D405" i="5"/>
  <c r="D406" i="5"/>
  <c r="D407" i="5"/>
  <c r="D408" i="5"/>
  <c r="D409" i="5"/>
  <c r="D410" i="5"/>
  <c r="D411" i="5"/>
  <c r="D412" i="5"/>
  <c r="D413" i="5"/>
  <c r="H413" i="5"/>
  <c r="I413" i="5"/>
  <c r="D414" i="5"/>
  <c r="F403" i="5"/>
  <c r="D403" i="5"/>
  <c r="F404" i="2"/>
  <c r="F405" i="2"/>
  <c r="F406" i="2"/>
  <c r="F407" i="2"/>
  <c r="F408" i="2"/>
  <c r="F409" i="2"/>
  <c r="F410" i="2"/>
  <c r="F411" i="2"/>
  <c r="F412" i="2"/>
  <c r="F413" i="2"/>
  <c r="F414" i="2"/>
  <c r="D404" i="2"/>
  <c r="D405" i="2"/>
  <c r="D406" i="2"/>
  <c r="D407" i="2"/>
  <c r="D408" i="2"/>
  <c r="D409" i="2"/>
  <c r="D410" i="2"/>
  <c r="D411" i="2"/>
  <c r="D412" i="2"/>
  <c r="D413" i="2"/>
  <c r="D414" i="2"/>
  <c r="F403" i="2"/>
  <c r="D403" i="2"/>
  <c r="F404" i="1"/>
  <c r="F405" i="1"/>
  <c r="F406" i="1"/>
  <c r="F407" i="1"/>
  <c r="F408" i="1"/>
  <c r="F409" i="1"/>
  <c r="F410" i="1"/>
  <c r="H410" i="1"/>
  <c r="I410" i="1"/>
  <c r="F411" i="1"/>
  <c r="F412" i="1"/>
  <c r="F413" i="1"/>
  <c r="F414" i="1"/>
  <c r="F403" i="1"/>
  <c r="H403" i="1"/>
  <c r="I403" i="1"/>
  <c r="D405" i="1"/>
  <c r="D406" i="1"/>
  <c r="D407" i="1"/>
  <c r="D408" i="1"/>
  <c r="D409" i="1"/>
  <c r="H409" i="1"/>
  <c r="D410" i="1"/>
  <c r="D411" i="1"/>
  <c r="D412" i="1"/>
  <c r="H412" i="1"/>
  <c r="I412" i="1"/>
  <c r="D413" i="1"/>
  <c r="D414" i="1"/>
  <c r="D404" i="1"/>
  <c r="H404" i="1"/>
  <c r="I404" i="1"/>
  <c r="D403" i="1"/>
  <c r="G403" i="1"/>
  <c r="L429" i="7"/>
  <c r="C429" i="7"/>
  <c r="C430" i="7"/>
  <c r="C431" i="7"/>
  <c r="H73" i="15"/>
  <c r="I73" i="15"/>
  <c r="G73" i="15"/>
  <c r="H402" i="2"/>
  <c r="I402" i="2"/>
  <c r="G402" i="2"/>
  <c r="G402" i="3"/>
  <c r="H99" i="14"/>
  <c r="I99" i="14"/>
  <c r="G99" i="14"/>
  <c r="G402" i="1"/>
  <c r="L428" i="7"/>
  <c r="G72" i="15"/>
  <c r="H72" i="15"/>
  <c r="I72" i="15"/>
  <c r="H401" i="2"/>
  <c r="I401" i="2"/>
  <c r="G401" i="2"/>
  <c r="G401" i="3"/>
  <c r="H98" i="14"/>
  <c r="I98" i="14"/>
  <c r="G98" i="14"/>
  <c r="G401" i="1"/>
  <c r="L427" i="7"/>
  <c r="H71" i="15"/>
  <c r="I71" i="15"/>
  <c r="G71" i="15"/>
  <c r="H400" i="2"/>
  <c r="I400" i="2"/>
  <c r="G400" i="2"/>
  <c r="G400" i="3"/>
  <c r="H97" i="14"/>
  <c r="I97" i="14"/>
  <c r="G399" i="4"/>
  <c r="H399" i="4"/>
  <c r="I399" i="4"/>
  <c r="G97" i="14"/>
  <c r="G96" i="14"/>
  <c r="G400" i="1"/>
  <c r="L426" i="7"/>
  <c r="H70" i="15"/>
  <c r="I70" i="15"/>
  <c r="G70" i="15"/>
  <c r="H399" i="2"/>
  <c r="I399" i="2"/>
  <c r="G399" i="2"/>
  <c r="G399" i="3"/>
  <c r="H96" i="14"/>
  <c r="I96" i="14"/>
  <c r="G399" i="1"/>
  <c r="C426" i="7"/>
  <c r="C427" i="7"/>
  <c r="C428" i="7"/>
  <c r="L424" i="7"/>
  <c r="L425" i="7"/>
  <c r="C425" i="7"/>
  <c r="H69" i="15"/>
  <c r="I69" i="15"/>
  <c r="G69" i="15"/>
  <c r="H398" i="2"/>
  <c r="I398" i="2"/>
  <c r="G398" i="2"/>
  <c r="G398" i="3"/>
  <c r="H95" i="14"/>
  <c r="I95" i="14"/>
  <c r="G95" i="14"/>
  <c r="G398" i="1"/>
  <c r="H397" i="2"/>
  <c r="I397" i="2"/>
  <c r="G397" i="2"/>
  <c r="C424" i="7"/>
  <c r="H68" i="15"/>
  <c r="I68" i="15"/>
  <c r="G68" i="15"/>
  <c r="G397" i="3"/>
  <c r="H94" i="14"/>
  <c r="I94" i="14"/>
  <c r="G94" i="14"/>
  <c r="G397" i="1"/>
  <c r="L423" i="7"/>
  <c r="C423" i="7"/>
  <c r="G67" i="15"/>
  <c r="H67" i="15"/>
  <c r="I67" i="15"/>
  <c r="G396" i="3"/>
  <c r="H396" i="2"/>
  <c r="I396" i="2"/>
  <c r="G396" i="2"/>
  <c r="H93" i="14"/>
  <c r="I93" i="14"/>
  <c r="G93" i="14"/>
  <c r="G396" i="1"/>
  <c r="L422" i="7"/>
  <c r="C422" i="7"/>
  <c r="G66" i="15"/>
  <c r="H66" i="15"/>
  <c r="I66" i="15"/>
  <c r="G92" i="14"/>
  <c r="H92" i="14"/>
  <c r="I92" i="14"/>
  <c r="G395" i="2"/>
  <c r="H395" i="2"/>
  <c r="I395" i="2"/>
  <c r="G395" i="1"/>
  <c r="L417" i="7"/>
  <c r="L418" i="7"/>
  <c r="L419" i="7"/>
  <c r="L420" i="7"/>
  <c r="L421" i="7"/>
  <c r="C421" i="7"/>
  <c r="G65" i="15"/>
  <c r="H65" i="15"/>
  <c r="I65" i="15"/>
  <c r="G91" i="14"/>
  <c r="H91" i="14"/>
  <c r="I91" i="14"/>
  <c r="G394" i="2"/>
  <c r="H394" i="2"/>
  <c r="I394" i="2"/>
  <c r="G394" i="1"/>
  <c r="G64" i="15"/>
  <c r="H64" i="15"/>
  <c r="I64" i="15"/>
  <c r="G393" i="2"/>
  <c r="H393" i="2"/>
  <c r="I393" i="2"/>
  <c r="G90" i="14"/>
  <c r="H90" i="14"/>
  <c r="I90" i="14"/>
  <c r="G393" i="1"/>
  <c r="C417" i="7"/>
  <c r="C418" i="7"/>
  <c r="C419" i="7"/>
  <c r="C420" i="7"/>
  <c r="H63" i="15"/>
  <c r="G63" i="15"/>
  <c r="I63" i="15"/>
  <c r="H89" i="14"/>
  <c r="G89" i="14"/>
  <c r="H392" i="2"/>
  <c r="G392" i="2"/>
  <c r="I392" i="2"/>
  <c r="G392" i="1"/>
  <c r="L415" i="7"/>
  <c r="L416" i="7"/>
  <c r="C416" i="7"/>
  <c r="H60" i="15"/>
  <c r="I60" i="15"/>
  <c r="G60" i="15"/>
  <c r="H86" i="14"/>
  <c r="I86" i="14"/>
  <c r="G86" i="14"/>
  <c r="H389" i="2"/>
  <c r="I389" i="2"/>
  <c r="G389" i="2"/>
  <c r="G389" i="1"/>
  <c r="C412" i="7"/>
  <c r="C413" i="7"/>
  <c r="C414" i="7"/>
  <c r="C415" i="7"/>
  <c r="H59" i="15"/>
  <c r="I59" i="15"/>
  <c r="G59" i="15"/>
  <c r="H85" i="14"/>
  <c r="I85" i="14"/>
  <c r="G85" i="14"/>
  <c r="H388" i="2"/>
  <c r="I388" i="2"/>
  <c r="G388" i="2"/>
  <c r="G388" i="1"/>
  <c r="A91" i="14"/>
  <c r="A92" i="14"/>
  <c r="A93" i="14"/>
  <c r="A94" i="14"/>
  <c r="A95" i="14"/>
  <c r="A96" i="14"/>
  <c r="A97" i="14"/>
  <c r="A98" i="14"/>
  <c r="A99" i="14"/>
  <c r="A100" i="14"/>
  <c r="A101" i="14"/>
  <c r="A102" i="14"/>
  <c r="A103" i="14"/>
  <c r="A104" i="14"/>
  <c r="A105" i="14"/>
  <c r="A106" i="14"/>
  <c r="A107" i="14"/>
  <c r="A108" i="14"/>
  <c r="A109" i="14"/>
  <c r="A110" i="14"/>
  <c r="A111" i="14"/>
  <c r="A112" i="14"/>
  <c r="A113" i="14"/>
  <c r="A409" i="2"/>
  <c r="A410" i="2"/>
  <c r="A411" i="2"/>
  <c r="A412" i="2"/>
  <c r="A413" i="2"/>
  <c r="A414" i="2"/>
  <c r="A415" i="2"/>
  <c r="A416" i="2"/>
  <c r="A417" i="2"/>
  <c r="A395" i="2"/>
  <c r="A396" i="2"/>
  <c r="A397" i="2"/>
  <c r="A398" i="2"/>
  <c r="A399" i="2"/>
  <c r="A400" i="2"/>
  <c r="A401" i="2"/>
  <c r="A402" i="2"/>
  <c r="A403" i="2"/>
  <c r="A404" i="2"/>
  <c r="A405" i="2"/>
  <c r="A406" i="2"/>
  <c r="A407" i="2"/>
  <c r="A408" i="2"/>
  <c r="A79" i="15"/>
  <c r="A80" i="15"/>
  <c r="A81" i="15"/>
  <c r="A82" i="15"/>
  <c r="A83" i="15"/>
  <c r="A84" i="15"/>
  <c r="A85" i="15"/>
  <c r="A86" i="15"/>
  <c r="A87" i="15"/>
  <c r="A88" i="15"/>
  <c r="A89" i="15"/>
  <c r="A90" i="15"/>
  <c r="A66" i="15"/>
  <c r="A67" i="15"/>
  <c r="A68" i="15"/>
  <c r="A69" i="15"/>
  <c r="A70" i="15"/>
  <c r="A71" i="15"/>
  <c r="A72" i="15"/>
  <c r="A73" i="15"/>
  <c r="A74" i="15"/>
  <c r="A75" i="15"/>
  <c r="A76" i="15"/>
  <c r="A77" i="15"/>
  <c r="A78" i="15"/>
  <c r="L414" i="7"/>
  <c r="H58" i="15"/>
  <c r="I58" i="15"/>
  <c r="G58" i="15"/>
  <c r="A58" i="15"/>
  <c r="A59" i="15"/>
  <c r="A60" i="15"/>
  <c r="A61" i="15"/>
  <c r="A62" i="15"/>
  <c r="A63" i="15"/>
  <c r="A64" i="15"/>
  <c r="A65" i="15"/>
  <c r="H84" i="14"/>
  <c r="I84" i="14"/>
  <c r="G84" i="14"/>
  <c r="A84" i="14"/>
  <c r="A85" i="14"/>
  <c r="A86" i="14"/>
  <c r="A87" i="14"/>
  <c r="A88" i="14"/>
  <c r="A89" i="14"/>
  <c r="A90" i="14"/>
  <c r="H387" i="2"/>
  <c r="I387" i="2"/>
  <c r="G387" i="2"/>
  <c r="A387" i="2"/>
  <c r="A388" i="2"/>
  <c r="A389" i="2"/>
  <c r="A390" i="2"/>
  <c r="A391" i="2"/>
  <c r="A392" i="2"/>
  <c r="A393" i="2"/>
  <c r="A394" i="2"/>
  <c r="G387" i="1"/>
  <c r="H57" i="15"/>
  <c r="G57" i="15"/>
  <c r="I57" i="15"/>
  <c r="A57" i="15"/>
  <c r="H83" i="14"/>
  <c r="G83" i="14"/>
  <c r="I83" i="14"/>
  <c r="A83" i="14"/>
  <c r="H386" i="2"/>
  <c r="G386" i="2"/>
  <c r="I386" i="2"/>
  <c r="A386" i="2"/>
  <c r="G386" i="1"/>
  <c r="L413" i="7"/>
  <c r="I413" i="7"/>
  <c r="H56" i="15"/>
  <c r="G56" i="15"/>
  <c r="I56" i="15"/>
  <c r="A56" i="15"/>
  <c r="H82" i="14"/>
  <c r="G82" i="14"/>
  <c r="I82" i="14"/>
  <c r="A82" i="14"/>
  <c r="H385" i="2"/>
  <c r="G385" i="2"/>
  <c r="I385" i="2"/>
  <c r="A385" i="2"/>
  <c r="G385" i="1"/>
  <c r="L412" i="7"/>
  <c r="I412" i="7"/>
  <c r="H55" i="15"/>
  <c r="I55" i="15"/>
  <c r="G55" i="15"/>
  <c r="A55" i="15"/>
  <c r="H81" i="14"/>
  <c r="G81" i="14"/>
  <c r="I81" i="14"/>
  <c r="A81" i="14"/>
  <c r="H384" i="2"/>
  <c r="I384" i="2"/>
  <c r="G384" i="2"/>
  <c r="A384" i="2"/>
  <c r="G384" i="1"/>
  <c r="L411" i="7"/>
  <c r="I411" i="7"/>
  <c r="H54" i="15"/>
  <c r="G54" i="15"/>
  <c r="I54" i="15"/>
  <c r="A54" i="15"/>
  <c r="H80" i="14"/>
  <c r="G80" i="14"/>
  <c r="I80" i="14"/>
  <c r="A80" i="14"/>
  <c r="H383" i="2"/>
  <c r="G383" i="2"/>
  <c r="I383" i="2"/>
  <c r="A383" i="2"/>
  <c r="G383" i="1"/>
  <c r="L410" i="7"/>
  <c r="H53" i="15"/>
  <c r="G53" i="15"/>
  <c r="I53" i="15"/>
  <c r="A53" i="15"/>
  <c r="I79" i="14"/>
  <c r="H79" i="14"/>
  <c r="G79" i="14"/>
  <c r="A79" i="14"/>
  <c r="H382" i="2"/>
  <c r="G382" i="2"/>
  <c r="I382" i="2"/>
  <c r="A382" i="2"/>
  <c r="G382" i="1"/>
  <c r="L409" i="7"/>
  <c r="H52" i="15"/>
  <c r="G52" i="15"/>
  <c r="I52" i="15"/>
  <c r="A52" i="15"/>
  <c r="H78" i="14"/>
  <c r="G78" i="14"/>
  <c r="I78" i="14"/>
  <c r="H381" i="2"/>
  <c r="G381" i="2"/>
  <c r="I381" i="2"/>
  <c r="A381" i="2"/>
  <c r="G381" i="1"/>
  <c r="L408" i="7"/>
  <c r="H51" i="15"/>
  <c r="G51" i="15"/>
  <c r="I51" i="15"/>
  <c r="A51" i="15"/>
  <c r="G77" i="14"/>
  <c r="H77" i="14"/>
  <c r="I77" i="14"/>
  <c r="H380" i="2"/>
  <c r="G380" i="2"/>
  <c r="I380" i="2"/>
  <c r="A380" i="2"/>
  <c r="G380" i="1"/>
  <c r="L407" i="7"/>
  <c r="A50" i="15"/>
  <c r="H76" i="14"/>
  <c r="G76" i="14"/>
  <c r="I76" i="14"/>
  <c r="I379" i="2"/>
  <c r="H379" i="2"/>
  <c r="G379" i="2"/>
  <c r="A379" i="2"/>
  <c r="G379" i="1"/>
  <c r="L406" i="7"/>
  <c r="G49" i="15"/>
  <c r="H49" i="15"/>
  <c r="I49" i="15"/>
  <c r="G50" i="15"/>
  <c r="H50" i="15"/>
  <c r="A49" i="15"/>
  <c r="H75" i="14"/>
  <c r="G75" i="14"/>
  <c r="I75" i="14"/>
  <c r="G378" i="2"/>
  <c r="H378" i="2"/>
  <c r="I378" i="2"/>
  <c r="A378" i="2"/>
  <c r="G378" i="1"/>
  <c r="L405" i="7"/>
  <c r="I50" i="15"/>
  <c r="H48" i="15"/>
  <c r="G48" i="15"/>
  <c r="I48" i="15"/>
  <c r="A48" i="15"/>
  <c r="H74" i="14"/>
  <c r="G74" i="14"/>
  <c r="I74" i="14"/>
  <c r="I377" i="2"/>
  <c r="H377" i="2"/>
  <c r="G377" i="2"/>
  <c r="A377" i="2"/>
  <c r="G377" i="1"/>
  <c r="L404" i="7"/>
  <c r="H47" i="15"/>
  <c r="G47" i="15"/>
  <c r="I47" i="15"/>
  <c r="A47" i="15"/>
  <c r="H73" i="14"/>
  <c r="G73" i="14"/>
  <c r="I73" i="14"/>
  <c r="H376" i="2"/>
  <c r="I376" i="2"/>
  <c r="G376" i="2"/>
  <c r="A376" i="2"/>
  <c r="G376" i="1"/>
  <c r="L403" i="7"/>
  <c r="H46" i="15"/>
  <c r="G46" i="15"/>
  <c r="I46" i="15"/>
  <c r="A46" i="15"/>
  <c r="H72" i="14"/>
  <c r="G72" i="14"/>
  <c r="I72" i="14"/>
  <c r="I375" i="2"/>
  <c r="H375" i="2"/>
  <c r="G375" i="2"/>
  <c r="A375" i="2"/>
  <c r="G375" i="1"/>
  <c r="L402" i="7"/>
  <c r="H45" i="15"/>
  <c r="G45" i="15"/>
  <c r="I45" i="15"/>
  <c r="A45" i="15"/>
  <c r="H71" i="14"/>
  <c r="I71" i="14"/>
  <c r="G71" i="14"/>
  <c r="H70" i="14"/>
  <c r="I70" i="14"/>
  <c r="H374" i="2"/>
  <c r="G374" i="2"/>
  <c r="I374" i="2"/>
  <c r="A374" i="2"/>
  <c r="G374" i="1"/>
  <c r="L401" i="7"/>
  <c r="H44" i="15"/>
  <c r="G44" i="15"/>
  <c r="I44" i="15"/>
  <c r="A44" i="15"/>
  <c r="G70" i="14"/>
  <c r="H373" i="2"/>
  <c r="G373" i="2"/>
  <c r="I373" i="2"/>
  <c r="A373" i="2"/>
  <c r="G373" i="1"/>
  <c r="L400" i="7"/>
  <c r="H43" i="15"/>
  <c r="G43" i="15"/>
  <c r="I43" i="15"/>
  <c r="A43" i="15"/>
  <c r="H69" i="14"/>
  <c r="G69" i="14"/>
  <c r="I69" i="14"/>
  <c r="H372" i="2"/>
  <c r="G372" i="2"/>
  <c r="I372" i="2"/>
  <c r="A372" i="2"/>
  <c r="G372" i="1"/>
  <c r="L399" i="7"/>
  <c r="I42" i="15"/>
  <c r="H42" i="15"/>
  <c r="G42" i="15"/>
  <c r="A42" i="15"/>
  <c r="H68" i="14"/>
  <c r="G68" i="14"/>
  <c r="I68" i="14"/>
  <c r="H371" i="2"/>
  <c r="G371" i="2"/>
  <c r="I371" i="2"/>
  <c r="A371" i="2"/>
  <c r="G371" i="1"/>
  <c r="L398" i="7"/>
  <c r="I41" i="15"/>
  <c r="H41" i="15"/>
  <c r="G41" i="15"/>
  <c r="A41" i="15"/>
  <c r="H67" i="14"/>
  <c r="G67" i="14"/>
  <c r="I67" i="14"/>
  <c r="H370" i="2"/>
  <c r="G370" i="2"/>
  <c r="I370" i="2"/>
  <c r="A370" i="2"/>
  <c r="G370" i="1"/>
  <c r="L397" i="7"/>
  <c r="H40" i="15"/>
  <c r="G40" i="15"/>
  <c r="I40" i="15"/>
  <c r="A40" i="15"/>
  <c r="H66" i="14"/>
  <c r="G66" i="14"/>
  <c r="I66" i="14"/>
  <c r="H369" i="2"/>
  <c r="G369" i="2"/>
  <c r="I369" i="2"/>
  <c r="A369" i="2"/>
  <c r="G369" i="1"/>
  <c r="L396" i="7"/>
  <c r="H39" i="15"/>
  <c r="G39" i="15"/>
  <c r="I39" i="15"/>
  <c r="A39" i="15"/>
  <c r="H65" i="14"/>
  <c r="I65" i="14"/>
  <c r="G65" i="14"/>
  <c r="H368" i="2"/>
  <c r="I368" i="2"/>
  <c r="G368" i="2"/>
  <c r="A368" i="2"/>
  <c r="G368" i="1"/>
  <c r="L395" i="7"/>
  <c r="I38" i="15"/>
  <c r="H38" i="15"/>
  <c r="G38" i="15"/>
  <c r="A38" i="15"/>
  <c r="H64" i="14"/>
  <c r="G64" i="14"/>
  <c r="I64" i="14"/>
  <c r="H367" i="2"/>
  <c r="G367" i="2"/>
  <c r="I367" i="2"/>
  <c r="A367" i="2"/>
  <c r="G367" i="1"/>
  <c r="L394" i="7"/>
  <c r="H37" i="15"/>
  <c r="G37" i="15"/>
  <c r="I37" i="15"/>
  <c r="A37" i="15"/>
  <c r="H63" i="14"/>
  <c r="G63" i="14"/>
  <c r="I63" i="14"/>
  <c r="H366" i="2"/>
  <c r="G366" i="2"/>
  <c r="I366" i="2"/>
  <c r="A366" i="2"/>
  <c r="G366" i="1"/>
  <c r="L393" i="7"/>
  <c r="H36" i="15"/>
  <c r="G36" i="15"/>
  <c r="I36" i="15"/>
  <c r="A36" i="15"/>
  <c r="H62" i="14"/>
  <c r="G62" i="14"/>
  <c r="I62" i="14"/>
  <c r="H365" i="2"/>
  <c r="G365" i="2"/>
  <c r="I365" i="2"/>
  <c r="A365" i="2"/>
  <c r="G365" i="1"/>
  <c r="L392" i="7"/>
  <c r="H35" i="15"/>
  <c r="G35" i="15"/>
  <c r="I35" i="15"/>
  <c r="A35" i="15"/>
  <c r="H61" i="14"/>
  <c r="G61" i="14"/>
  <c r="I61" i="14"/>
  <c r="H364" i="2"/>
  <c r="G364" i="2"/>
  <c r="I364" i="2"/>
  <c r="A364" i="2"/>
  <c r="G364" i="1"/>
  <c r="L391" i="7"/>
  <c r="H34" i="15"/>
  <c r="G34" i="15"/>
  <c r="I34" i="15"/>
  <c r="A34" i="15"/>
  <c r="H60" i="14"/>
  <c r="G60" i="14"/>
  <c r="I60" i="14"/>
  <c r="G363" i="1"/>
  <c r="L390" i="7"/>
  <c r="G33" i="15"/>
  <c r="H33" i="15"/>
  <c r="I33" i="15"/>
  <c r="A33" i="15"/>
  <c r="G59" i="14"/>
  <c r="H59" i="14"/>
  <c r="I59" i="14"/>
  <c r="G362" i="1"/>
  <c r="L389" i="7"/>
  <c r="H32" i="15"/>
  <c r="G32" i="15"/>
  <c r="I32" i="15"/>
  <c r="A32" i="15"/>
  <c r="H58" i="14"/>
  <c r="G58" i="14"/>
  <c r="I58" i="14"/>
  <c r="G361" i="1"/>
  <c r="L388" i="7"/>
  <c r="G31" i="15"/>
  <c r="H31" i="15"/>
  <c r="I31" i="15"/>
  <c r="A31" i="15"/>
  <c r="G57" i="14"/>
  <c r="H57" i="14"/>
  <c r="I57" i="14"/>
  <c r="G360" i="1"/>
  <c r="L387" i="7"/>
  <c r="G30" i="15"/>
  <c r="H30" i="15"/>
  <c r="I30" i="15"/>
  <c r="A30" i="15"/>
  <c r="G56" i="14"/>
  <c r="H56" i="14"/>
  <c r="I56" i="14"/>
  <c r="G359" i="1"/>
  <c r="L386" i="7"/>
  <c r="G29" i="15"/>
  <c r="H29" i="15"/>
  <c r="I29" i="15"/>
  <c r="A29" i="15"/>
  <c r="G55" i="14"/>
  <c r="H55" i="14"/>
  <c r="I55" i="14"/>
  <c r="G358" i="1"/>
  <c r="L385" i="7"/>
  <c r="G28" i="15"/>
  <c r="H28" i="15"/>
  <c r="I28" i="15"/>
  <c r="A28" i="15"/>
  <c r="G54" i="14"/>
  <c r="H54" i="14"/>
  <c r="I54" i="14"/>
  <c r="G357" i="1"/>
  <c r="L384" i="7"/>
  <c r="M384" i="7"/>
  <c r="N384" i="7"/>
  <c r="O384" i="7"/>
  <c r="G27" i="15"/>
  <c r="H27" i="15"/>
  <c r="I27" i="15"/>
  <c r="G53" i="14"/>
  <c r="H53" i="14"/>
  <c r="I53" i="14"/>
  <c r="G356" i="1"/>
  <c r="L383" i="7"/>
  <c r="M383" i="7"/>
  <c r="N383" i="7"/>
  <c r="O383" i="7"/>
  <c r="G26" i="15"/>
  <c r="H26" i="15"/>
  <c r="I26" i="15"/>
  <c r="A26" i="15"/>
  <c r="A27" i="15"/>
  <c r="G52" i="14"/>
  <c r="H52" i="14"/>
  <c r="I52" i="14"/>
  <c r="G355" i="1"/>
  <c r="M382" i="7"/>
  <c r="N382" i="7"/>
  <c r="O382" i="7"/>
  <c r="L382" i="7"/>
  <c r="G25" i="15"/>
  <c r="H25" i="15"/>
  <c r="I25" i="15"/>
  <c r="A25" i="15"/>
  <c r="G51" i="14"/>
  <c r="H51" i="14"/>
  <c r="I51" i="14"/>
  <c r="G354" i="1"/>
  <c r="M381" i="7"/>
  <c r="N381" i="7"/>
  <c r="O381" i="7"/>
  <c r="L381" i="7"/>
  <c r="H24" i="15"/>
  <c r="G24" i="15"/>
  <c r="I24" i="15"/>
  <c r="A24" i="15"/>
  <c r="I50" i="14"/>
  <c r="H50" i="14"/>
  <c r="G50" i="14"/>
  <c r="G353" i="1"/>
  <c r="O380" i="7"/>
  <c r="N380" i="7"/>
  <c r="M380" i="7"/>
  <c r="H23" i="15"/>
  <c r="G23" i="15"/>
  <c r="I23" i="15"/>
  <c r="A23" i="15"/>
  <c r="I49" i="14"/>
  <c r="H49" i="14"/>
  <c r="G49" i="14"/>
  <c r="G352" i="1"/>
  <c r="M378" i="7"/>
  <c r="N378" i="7"/>
  <c r="O378" i="7"/>
  <c r="N379" i="7"/>
  <c r="O379" i="7"/>
  <c r="L378" i="7"/>
  <c r="G22" i="15"/>
  <c r="I22" i="15"/>
  <c r="H22" i="15"/>
  <c r="A22" i="15"/>
  <c r="G48" i="14"/>
  <c r="H48" i="14"/>
  <c r="I48" i="14"/>
  <c r="G351" i="1"/>
  <c r="O377" i="7"/>
  <c r="N377" i="7"/>
  <c r="M377" i="7"/>
  <c r="T30" i="16"/>
  <c r="R30" i="16"/>
  <c r="P30" i="16"/>
  <c r="N30" i="16"/>
  <c r="L30" i="16"/>
  <c r="G30" i="16"/>
  <c r="H30" i="16"/>
  <c r="I30" i="16"/>
  <c r="J30" i="16"/>
  <c r="H21" i="15"/>
  <c r="G21" i="15"/>
  <c r="I21" i="15"/>
  <c r="A21" i="15"/>
  <c r="I47" i="14"/>
  <c r="H47" i="14"/>
  <c r="G47" i="14"/>
  <c r="G350" i="1"/>
  <c r="L377" i="7"/>
  <c r="H20" i="15"/>
  <c r="G20" i="15"/>
  <c r="I20" i="15"/>
  <c r="A20" i="15"/>
  <c r="H46" i="14"/>
  <c r="G46" i="14"/>
  <c r="I46" i="14"/>
  <c r="G349" i="1"/>
  <c r="K376" i="7"/>
  <c r="N376" i="7"/>
  <c r="M376" i="7"/>
  <c r="C411" i="7"/>
  <c r="C410" i="7"/>
  <c r="C409" i="7"/>
  <c r="C408" i="7"/>
  <c r="C407" i="7"/>
  <c r="C406" i="7"/>
  <c r="C405" i="7"/>
  <c r="C404" i="7"/>
  <c r="C403" i="7"/>
  <c r="C402" i="7"/>
  <c r="C401" i="7"/>
  <c r="C400" i="7"/>
  <c r="C399" i="7"/>
  <c r="C398" i="7"/>
  <c r="C397" i="7"/>
  <c r="C396" i="7"/>
  <c r="C395" i="7"/>
  <c r="C394" i="7"/>
  <c r="C393" i="7"/>
  <c r="C392" i="7"/>
  <c r="C391" i="7"/>
  <c r="C390" i="7"/>
  <c r="C389" i="7"/>
  <c r="C388" i="7"/>
  <c r="C387" i="7"/>
  <c r="C386" i="7"/>
  <c r="C385" i="7"/>
  <c r="C384" i="7"/>
  <c r="C383" i="7"/>
  <c r="C382" i="7"/>
  <c r="C381" i="7"/>
  <c r="C380" i="7"/>
  <c r="C379" i="7"/>
  <c r="C378" i="7"/>
  <c r="C377" i="7"/>
  <c r="C376" i="7"/>
  <c r="C375" i="7"/>
  <c r="C374" i="7"/>
  <c r="C373" i="7"/>
  <c r="C372" i="7"/>
  <c r="C371" i="7"/>
  <c r="C370" i="7"/>
  <c r="C369" i="7"/>
  <c r="C368" i="7"/>
  <c r="C367" i="7"/>
  <c r="C366" i="7"/>
  <c r="C365" i="7"/>
  <c r="C364" i="7"/>
  <c r="C363" i="7"/>
  <c r="C362" i="7"/>
  <c r="C361" i="7"/>
  <c r="C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360" i="7"/>
  <c r="F13" i="16"/>
  <c r="D28" i="16"/>
  <c r="D29" i="16"/>
  <c r="G29" i="16"/>
  <c r="I29" i="16"/>
  <c r="H29" i="16"/>
  <c r="L376" i="7"/>
  <c r="E13" i="16"/>
  <c r="G13" i="16"/>
  <c r="H28" i="16"/>
  <c r="H27" i="16"/>
  <c r="H26" i="16"/>
  <c r="H25" i="16"/>
  <c r="H24" i="16"/>
  <c r="H23" i="16"/>
  <c r="H22" i="16"/>
  <c r="H21" i="16"/>
  <c r="H20" i="16"/>
  <c r="H19" i="16"/>
  <c r="H18" i="16"/>
  <c r="H17" i="16"/>
  <c r="H16" i="16"/>
  <c r="H15" i="16"/>
  <c r="H14" i="16"/>
  <c r="H13" i="16"/>
  <c r="S13" i="16"/>
  <c r="S14" i="16"/>
  <c r="S15" i="16"/>
  <c r="S16" i="16"/>
  <c r="S17" i="16"/>
  <c r="S18" i="16"/>
  <c r="S19" i="16"/>
  <c r="S20" i="16"/>
  <c r="S21" i="16"/>
  <c r="S22" i="16"/>
  <c r="S23" i="16"/>
  <c r="S24" i="16"/>
  <c r="S25" i="16"/>
  <c r="S26" i="16"/>
  <c r="S27"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28" i="16"/>
  <c r="O13" i="16"/>
  <c r="P13" i="16"/>
  <c r="Q13" i="16"/>
  <c r="R13" i="16"/>
  <c r="T13" i="16"/>
  <c r="U13" i="16"/>
  <c r="O14" i="16"/>
  <c r="P14" i="16"/>
  <c r="Q14" i="16"/>
  <c r="R14" i="16"/>
  <c r="T14" i="16"/>
  <c r="U14" i="16"/>
  <c r="O15" i="16"/>
  <c r="P15" i="16"/>
  <c r="Q15" i="16"/>
  <c r="R15" i="16"/>
  <c r="T15" i="16"/>
  <c r="U15" i="16"/>
  <c r="O16" i="16"/>
  <c r="P16" i="16"/>
  <c r="Q16" i="16"/>
  <c r="R16" i="16"/>
  <c r="T16" i="16"/>
  <c r="U16" i="16"/>
  <c r="O17" i="16"/>
  <c r="P17" i="16"/>
  <c r="Q17" i="16"/>
  <c r="R17" i="16"/>
  <c r="T17" i="16"/>
  <c r="U17" i="16"/>
  <c r="O18" i="16"/>
  <c r="P18" i="16"/>
  <c r="Q18" i="16"/>
  <c r="R18" i="16"/>
  <c r="T18" i="16"/>
  <c r="B18" i="16" s="1"/>
  <c r="U18" i="16"/>
  <c r="O19" i="16"/>
  <c r="P19" i="16"/>
  <c r="Q19" i="16"/>
  <c r="R19" i="16"/>
  <c r="T19" i="16"/>
  <c r="U19" i="16"/>
  <c r="O20" i="16"/>
  <c r="P20" i="16"/>
  <c r="Q20" i="16"/>
  <c r="R20" i="16"/>
  <c r="T20" i="16"/>
  <c r="U20" i="16"/>
  <c r="O21" i="16"/>
  <c r="P21" i="16"/>
  <c r="Q21" i="16"/>
  <c r="R21" i="16"/>
  <c r="T21" i="16"/>
  <c r="U21" i="16"/>
  <c r="O22" i="16"/>
  <c r="P22" i="16"/>
  <c r="Q22" i="16"/>
  <c r="R22" i="16"/>
  <c r="T22" i="16"/>
  <c r="U22" i="16"/>
  <c r="O23" i="16"/>
  <c r="P23" i="16"/>
  <c r="Q23" i="16"/>
  <c r="R23" i="16"/>
  <c r="T23" i="16"/>
  <c r="B23" i="16"/>
  <c r="U23" i="16"/>
  <c r="O24" i="16"/>
  <c r="P24" i="16"/>
  <c r="Q24" i="16"/>
  <c r="R24" i="16"/>
  <c r="T24" i="16"/>
  <c r="B24" i="16"/>
  <c r="U24" i="16"/>
  <c r="O25" i="16"/>
  <c r="P25" i="16"/>
  <c r="Q25" i="16"/>
  <c r="R25" i="16"/>
  <c r="T25" i="16"/>
  <c r="U25" i="16"/>
  <c r="O26" i="16"/>
  <c r="P26" i="16"/>
  <c r="Q26" i="16"/>
  <c r="R26" i="16"/>
  <c r="T26" i="16"/>
  <c r="U26" i="16"/>
  <c r="O27" i="16"/>
  <c r="P27" i="16"/>
  <c r="Q27" i="16"/>
  <c r="R27" i="16"/>
  <c r="T27" i="16"/>
  <c r="U27" i="16"/>
  <c r="M13" i="16"/>
  <c r="N13" i="16"/>
  <c r="M14" i="16"/>
  <c r="N14" i="16"/>
  <c r="M15" i="16"/>
  <c r="N15" i="16"/>
  <c r="M16" i="16"/>
  <c r="N16" i="16"/>
  <c r="M17" i="16"/>
  <c r="N17" i="16"/>
  <c r="M18" i="16"/>
  <c r="N18" i="16"/>
  <c r="M19" i="16"/>
  <c r="N19" i="16"/>
  <c r="M20" i="16"/>
  <c r="N20" i="16"/>
  <c r="M21" i="16"/>
  <c r="N21" i="16"/>
  <c r="M22" i="16"/>
  <c r="N22" i="16"/>
  <c r="M23" i="16"/>
  <c r="N23" i="16"/>
  <c r="M24" i="16"/>
  <c r="N24" i="16"/>
  <c r="M25" i="16"/>
  <c r="N25" i="16"/>
  <c r="M26" i="16"/>
  <c r="N26" i="16"/>
  <c r="M27" i="16"/>
  <c r="N27" i="16"/>
  <c r="L13" i="16"/>
  <c r="L14" i="16"/>
  <c r="L15" i="16"/>
  <c r="L16" i="16"/>
  <c r="L17" i="16"/>
  <c r="L18" i="16"/>
  <c r="L19" i="16"/>
  <c r="L20" i="16"/>
  <c r="L21" i="16"/>
  <c r="L22" i="16"/>
  <c r="L23" i="16"/>
  <c r="L24" i="16"/>
  <c r="L25" i="16"/>
  <c r="L26" i="16"/>
  <c r="L27" i="16"/>
  <c r="K13" i="16"/>
  <c r="K14" i="16"/>
  <c r="K15" i="16"/>
  <c r="K16" i="16"/>
  <c r="K17" i="16"/>
  <c r="K18" i="16"/>
  <c r="K19" i="16"/>
  <c r="K20" i="16"/>
  <c r="K21" i="16"/>
  <c r="K22" i="16"/>
  <c r="K23" i="16"/>
  <c r="K24" i="16"/>
  <c r="K25" i="16"/>
  <c r="K26" i="16"/>
  <c r="K27" i="16"/>
  <c r="J13" i="16"/>
  <c r="J14" i="16"/>
  <c r="J15" i="16"/>
  <c r="J16" i="16"/>
  <c r="J17" i="16"/>
  <c r="J18" i="16"/>
  <c r="J19" i="16"/>
  <c r="J20" i="16"/>
  <c r="J21" i="16"/>
  <c r="J22" i="16"/>
  <c r="J23" i="16"/>
  <c r="J24" i="16"/>
  <c r="J25" i="16"/>
  <c r="J26" i="16"/>
  <c r="J27" i="16"/>
  <c r="I13" i="16"/>
  <c r="J28" i="16"/>
  <c r="G27" i="16"/>
  <c r="I27" i="16"/>
  <c r="G26" i="16"/>
  <c r="I26" i="16"/>
  <c r="G25" i="16"/>
  <c r="I25" i="16"/>
  <c r="G24" i="16"/>
  <c r="I24" i="16"/>
  <c r="G23" i="16"/>
  <c r="I23" i="16"/>
  <c r="G22" i="16"/>
  <c r="I22" i="16"/>
  <c r="G21" i="16"/>
  <c r="I21" i="16"/>
  <c r="G20" i="16"/>
  <c r="I20" i="16"/>
  <c r="G19" i="16"/>
  <c r="I19" i="16"/>
  <c r="G18" i="16"/>
  <c r="I18" i="16"/>
  <c r="G17" i="16"/>
  <c r="I17" i="16"/>
  <c r="G16" i="16"/>
  <c r="I16" i="16"/>
  <c r="G15" i="16"/>
  <c r="I15" i="16"/>
  <c r="G14" i="16"/>
  <c r="I14" i="16"/>
  <c r="D13" i="16"/>
  <c r="D14" i="16"/>
  <c r="D15" i="16"/>
  <c r="D16" i="16"/>
  <c r="D17" i="16"/>
  <c r="D18" i="16"/>
  <c r="D19" i="16"/>
  <c r="D20" i="16"/>
  <c r="D21" i="16"/>
  <c r="D22" i="16"/>
  <c r="D23" i="16"/>
  <c r="D24" i="16"/>
  <c r="D25" i="16"/>
  <c r="D26" i="16"/>
  <c r="D27" i="16"/>
  <c r="U64" i="16"/>
  <c r="U63" i="16"/>
  <c r="U62" i="16"/>
  <c r="U61" i="16"/>
  <c r="U60" i="16"/>
  <c r="U59" i="16"/>
  <c r="U58" i="16"/>
  <c r="U57" i="16"/>
  <c r="U56" i="16"/>
  <c r="U55" i="16"/>
  <c r="U54" i="16"/>
  <c r="U53" i="16"/>
  <c r="U52" i="16"/>
  <c r="U51" i="16"/>
  <c r="U50" i="16"/>
  <c r="U49" i="16"/>
  <c r="U48" i="16"/>
  <c r="U47" i="16"/>
  <c r="U46" i="16"/>
  <c r="U45" i="16"/>
  <c r="U44" i="16"/>
  <c r="U43" i="16"/>
  <c r="U42" i="16"/>
  <c r="U41" i="16"/>
  <c r="U40" i="16"/>
  <c r="U39" i="16"/>
  <c r="U38" i="16"/>
  <c r="U37" i="16"/>
  <c r="U36" i="16"/>
  <c r="U35" i="16"/>
  <c r="U34" i="16"/>
  <c r="U33" i="16"/>
  <c r="U32" i="16"/>
  <c r="U31" i="16"/>
  <c r="U30" i="16"/>
  <c r="Q64" i="16"/>
  <c r="Q63" i="16"/>
  <c r="Q62" i="16"/>
  <c r="Q61" i="16"/>
  <c r="Q60" i="16"/>
  <c r="Q59" i="16"/>
  <c r="Q58" i="16"/>
  <c r="Q57" i="16"/>
  <c r="Q56" i="16"/>
  <c r="Q55" i="16"/>
  <c r="Q54" i="16"/>
  <c r="Q53" i="16"/>
  <c r="Q52" i="16"/>
  <c r="Q51" i="16"/>
  <c r="Q50" i="16"/>
  <c r="Q49" i="16"/>
  <c r="Q48" i="16"/>
  <c r="Q47" i="16"/>
  <c r="Q46" i="16"/>
  <c r="Q45" i="16"/>
  <c r="Q44" i="16"/>
  <c r="Q43" i="16"/>
  <c r="Q42" i="16"/>
  <c r="Q41" i="16"/>
  <c r="Q40" i="16"/>
  <c r="Q39" i="16"/>
  <c r="Q38" i="16"/>
  <c r="Q37" i="16"/>
  <c r="Q36" i="16"/>
  <c r="Q35" i="16"/>
  <c r="Q34" i="16"/>
  <c r="Q33" i="16"/>
  <c r="Q32" i="16"/>
  <c r="Q31" i="16"/>
  <c r="Q30" i="16"/>
  <c r="O64" i="16"/>
  <c r="O67" i="16" s="1"/>
  <c r="O63" i="16"/>
  <c r="O62" i="16"/>
  <c r="O61" i="16"/>
  <c r="O60" i="16"/>
  <c r="O59" i="16"/>
  <c r="O58" i="16"/>
  <c r="O57" i="16"/>
  <c r="O56" i="16"/>
  <c r="O55" i="16"/>
  <c r="O54" i="16"/>
  <c r="O53" i="16"/>
  <c r="O52" i="16"/>
  <c r="O51" i="16"/>
  <c r="O50" i="16"/>
  <c r="O49" i="16"/>
  <c r="O48" i="16"/>
  <c r="O47" i="16"/>
  <c r="O46" i="16"/>
  <c r="O45" i="16"/>
  <c r="O44" i="16"/>
  <c r="O43" i="16"/>
  <c r="O42" i="16"/>
  <c r="O41" i="16"/>
  <c r="O40" i="16"/>
  <c r="O39" i="16"/>
  <c r="O38" i="16"/>
  <c r="O37" i="16"/>
  <c r="O36" i="16"/>
  <c r="O35" i="16"/>
  <c r="O34" i="16"/>
  <c r="O33" i="16"/>
  <c r="O32" i="16"/>
  <c r="O31" i="16"/>
  <c r="O30" i="16"/>
  <c r="O29" i="16"/>
  <c r="N29" i="16"/>
  <c r="O28" i="16"/>
  <c r="N28" i="16"/>
  <c r="U29" i="16"/>
  <c r="T29" i="16"/>
  <c r="R29" i="16"/>
  <c r="Q29" i="16"/>
  <c r="Q28" i="16"/>
  <c r="P29" i="16"/>
  <c r="P28" i="16"/>
  <c r="J29" i="16"/>
  <c r="K64" i="16"/>
  <c r="K63" i="16"/>
  <c r="K62" i="16"/>
  <c r="K61" i="16"/>
  <c r="K60" i="16"/>
  <c r="K59" i="16"/>
  <c r="K58" i="16"/>
  <c r="K57" i="16"/>
  <c r="K56" i="16"/>
  <c r="K55" i="16"/>
  <c r="K54" i="16"/>
  <c r="K53" i="16"/>
  <c r="K52" i="16"/>
  <c r="K51" i="16"/>
  <c r="K50" i="16"/>
  <c r="K49" i="16"/>
  <c r="K48" i="16"/>
  <c r="K47" i="16"/>
  <c r="K46" i="16"/>
  <c r="K45" i="16"/>
  <c r="K44" i="16"/>
  <c r="K43" i="16"/>
  <c r="K42" i="16"/>
  <c r="K41" i="16"/>
  <c r="K40" i="16"/>
  <c r="K39" i="16"/>
  <c r="K38" i="16"/>
  <c r="K37" i="16"/>
  <c r="K36" i="16"/>
  <c r="K35" i="16"/>
  <c r="K34" i="16"/>
  <c r="K33" i="16"/>
  <c r="K32" i="16"/>
  <c r="K31" i="16"/>
  <c r="K30" i="16"/>
  <c r="K29" i="16"/>
  <c r="M64" i="16"/>
  <c r="M63" i="16"/>
  <c r="M62" i="16"/>
  <c r="M61" i="16"/>
  <c r="M60" i="16"/>
  <c r="M59" i="16"/>
  <c r="M58" i="16"/>
  <c r="M57" i="16"/>
  <c r="M56" i="16"/>
  <c r="M55" i="16"/>
  <c r="M54" i="16"/>
  <c r="M53" i="16"/>
  <c r="M52" i="16"/>
  <c r="M51" i="16"/>
  <c r="M50" i="16"/>
  <c r="M49" i="16"/>
  <c r="M48" i="16"/>
  <c r="M47" i="16"/>
  <c r="M46" i="16"/>
  <c r="M45" i="16"/>
  <c r="M44" i="16"/>
  <c r="M43" i="16"/>
  <c r="M42" i="16"/>
  <c r="M41" i="16"/>
  <c r="M40" i="16"/>
  <c r="M39" i="16"/>
  <c r="M38" i="16"/>
  <c r="M37" i="16"/>
  <c r="M36" i="16"/>
  <c r="M35" i="16"/>
  <c r="M34" i="16"/>
  <c r="M33" i="16"/>
  <c r="M32" i="16"/>
  <c r="M31" i="16"/>
  <c r="M30" i="16"/>
  <c r="M29" i="16"/>
  <c r="M28" i="16"/>
  <c r="M66" i="16" s="1"/>
  <c r="K28" i="16"/>
  <c r="K66" i="16" s="1"/>
  <c r="L29" i="16"/>
  <c r="L28" i="16"/>
  <c r="U28" i="16"/>
  <c r="T28" i="16"/>
  <c r="R28" i="16"/>
  <c r="G28" i="16"/>
  <c r="I28" i="16"/>
  <c r="E65" i="16"/>
  <c r="B17" i="16" s="1"/>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H19" i="15"/>
  <c r="G19" i="15"/>
  <c r="I19" i="15"/>
  <c r="A19" i="15"/>
  <c r="H45" i="14"/>
  <c r="G45" i="14"/>
  <c r="I45" i="14"/>
  <c r="G348" i="1"/>
  <c r="L375" i="7"/>
  <c r="G18" i="15"/>
  <c r="H18" i="15"/>
  <c r="I18" i="15"/>
  <c r="A18" i="15"/>
  <c r="H44" i="14"/>
  <c r="G44" i="14"/>
  <c r="I44" i="14"/>
  <c r="G347" i="1"/>
  <c r="L374" i="7"/>
  <c r="G17" i="15"/>
  <c r="H17" i="15"/>
  <c r="I17" i="15"/>
  <c r="A17" i="15"/>
  <c r="G43" i="14"/>
  <c r="H43" i="14"/>
  <c r="I43" i="14"/>
  <c r="G346" i="1"/>
  <c r="L373" i="7"/>
  <c r="H16" i="15"/>
  <c r="G16" i="15"/>
  <c r="I16" i="15"/>
  <c r="A16" i="15"/>
  <c r="I42" i="14"/>
  <c r="H42" i="14"/>
  <c r="G42" i="14"/>
  <c r="H345" i="1"/>
  <c r="G345" i="1"/>
  <c r="L372" i="7"/>
  <c r="G15" i="15"/>
  <c r="H15" i="15"/>
  <c r="I15" i="15"/>
  <c r="A15" i="15"/>
  <c r="G41" i="14"/>
  <c r="H41" i="14"/>
  <c r="I41" i="14"/>
  <c r="G344" i="1"/>
  <c r="L371" i="7"/>
  <c r="H14" i="15"/>
  <c r="G14" i="15"/>
  <c r="I14" i="15"/>
  <c r="H40" i="14"/>
  <c r="G40" i="14"/>
  <c r="I40" i="14"/>
  <c r="G343" i="1"/>
  <c r="L370" i="7"/>
  <c r="G13" i="15"/>
  <c r="H13" i="15"/>
  <c r="I13" i="15"/>
  <c r="G39" i="14"/>
  <c r="H39" i="14"/>
  <c r="I39" i="14"/>
  <c r="G342" i="1"/>
  <c r="L369" i="7"/>
  <c r="G12" i="15"/>
  <c r="H12" i="15"/>
  <c r="I12" i="15"/>
  <c r="A12" i="15"/>
  <c r="A13" i="15"/>
  <c r="A14" i="15"/>
  <c r="G38" i="14"/>
  <c r="H38" i="14"/>
  <c r="I38" i="14"/>
  <c r="G341" i="1"/>
  <c r="L368" i="7"/>
  <c r="H11" i="15"/>
  <c r="G11" i="15"/>
  <c r="I11" i="15"/>
  <c r="A11" i="15"/>
  <c r="H37" i="14"/>
  <c r="I37" i="14"/>
  <c r="G37" i="14"/>
  <c r="G340" i="1"/>
  <c r="L367" i="7"/>
  <c r="G333" i="3"/>
  <c r="G334" i="3"/>
  <c r="G335" i="3"/>
  <c r="G336" i="3"/>
  <c r="G337" i="3"/>
  <c r="G338" i="3"/>
  <c r="G339" i="3"/>
  <c r="G36" i="14"/>
  <c r="I36" i="14"/>
  <c r="H36" i="14"/>
  <c r="G339" i="1"/>
  <c r="L366" i="7"/>
  <c r="G35" i="14"/>
  <c r="H35" i="14"/>
  <c r="I35" i="14"/>
  <c r="G338" i="1"/>
  <c r="L365" i="7"/>
  <c r="G34" i="14"/>
  <c r="H34" i="14"/>
  <c r="I34" i="14"/>
  <c r="G337" i="1"/>
  <c r="L364" i="7"/>
  <c r="L363" i="7"/>
  <c r="I364" i="7"/>
  <c r="G7" i="15"/>
  <c r="H7" i="15"/>
  <c r="G8" i="15"/>
  <c r="H8" i="15"/>
  <c r="I8" i="15"/>
  <c r="G9" i="15"/>
  <c r="H9" i="15"/>
  <c r="I9" i="15"/>
  <c r="G10" i="15"/>
  <c r="H10" i="15"/>
  <c r="I10" i="15"/>
  <c r="A8" i="15"/>
  <c r="A9" i="15"/>
  <c r="A10" i="15"/>
  <c r="A7" i="15"/>
  <c r="G336" i="1"/>
  <c r="I7" i="15"/>
  <c r="H6" i="15"/>
  <c r="G6" i="15"/>
  <c r="I6" i="15"/>
  <c r="A6" i="15"/>
  <c r="G335" i="1"/>
  <c r="K336" i="1"/>
  <c r="L362" i="7"/>
  <c r="D362" i="7"/>
  <c r="H5" i="15"/>
  <c r="G5" i="15"/>
  <c r="I5" i="15"/>
  <c r="G334" i="1"/>
  <c r="K335" i="1"/>
  <c r="L361" i="7"/>
  <c r="D361" i="7"/>
  <c r="AY36" i="12"/>
  <c r="AY71" i="12"/>
  <c r="AY78" i="12"/>
  <c r="AY50" i="12"/>
  <c r="AY28" i="12"/>
  <c r="AY26" i="12"/>
  <c r="AY24" i="12"/>
  <c r="A5" i="15"/>
  <c r="H4" i="15"/>
  <c r="G4" i="15"/>
  <c r="G333" i="1"/>
  <c r="D360" i="7"/>
  <c r="I4" i="15"/>
  <c r="H33" i="14"/>
  <c r="G33" i="14"/>
  <c r="I33" i="14"/>
  <c r="H32" i="14"/>
  <c r="G32" i="14"/>
  <c r="H31" i="14"/>
  <c r="G31" i="14"/>
  <c r="H30" i="14"/>
  <c r="G30" i="14"/>
  <c r="I30" i="14"/>
  <c r="H29" i="14"/>
  <c r="G29" i="14"/>
  <c r="I29" i="14"/>
  <c r="G332" i="1"/>
  <c r="N359" i="7"/>
  <c r="L359" i="7"/>
  <c r="D359" i="7"/>
  <c r="I32" i="14"/>
  <c r="I31" i="14"/>
  <c r="D358" i="7"/>
  <c r="H28" i="14"/>
  <c r="G28" i="14"/>
  <c r="I28" i="14"/>
  <c r="G331" i="1"/>
  <c r="N358" i="7"/>
  <c r="L358" i="7"/>
  <c r="H27" i="14"/>
  <c r="G27" i="14"/>
  <c r="I27" i="14"/>
  <c r="G330" i="1"/>
  <c r="N357" i="7"/>
  <c r="L357" i="7"/>
  <c r="D357" i="7"/>
  <c r="G329" i="1"/>
  <c r="N356" i="7"/>
  <c r="N355" i="7"/>
  <c r="H26" i="14"/>
  <c r="I26" i="14"/>
  <c r="G26" i="14"/>
  <c r="L356" i="7"/>
  <c r="D356" i="7"/>
  <c r="H25" i="14"/>
  <c r="G25" i="14"/>
  <c r="I25" i="14"/>
  <c r="G328" i="1"/>
  <c r="D355" i="7"/>
  <c r="L355" i="7"/>
  <c r="H24" i="14"/>
  <c r="G24" i="14"/>
  <c r="I24" i="14"/>
  <c r="G327" i="1"/>
  <c r="L354" i="7"/>
  <c r="H23" i="14"/>
  <c r="G23" i="14"/>
  <c r="I23" i="14"/>
  <c r="G326" i="1"/>
  <c r="H22" i="14"/>
  <c r="G22" i="14"/>
  <c r="I22" i="14"/>
  <c r="G325" i="1"/>
  <c r="L352" i="7"/>
  <c r="H21" i="14"/>
  <c r="G21" i="14"/>
  <c r="I21" i="14"/>
  <c r="G324" i="1"/>
  <c r="L351" i="7"/>
  <c r="H20" i="14"/>
  <c r="G20" i="14"/>
  <c r="I20" i="14"/>
  <c r="G323" i="1"/>
  <c r="L350" i="7"/>
  <c r="D350" i="7"/>
  <c r="D351" i="7"/>
  <c r="D352" i="7"/>
  <c r="D353" i="7"/>
  <c r="D354" i="7"/>
  <c r="D349" i="7"/>
  <c r="G19" i="14"/>
  <c r="H19" i="14"/>
  <c r="I19" i="14"/>
  <c r="G322" i="1"/>
  <c r="D348" i="7"/>
  <c r="I18" i="14"/>
  <c r="H18" i="14"/>
  <c r="G18" i="14"/>
  <c r="G321" i="1"/>
  <c r="L348" i="7"/>
  <c r="H17" i="14"/>
  <c r="G17" i="14"/>
  <c r="I17" i="14"/>
  <c r="G320" i="1"/>
  <c r="L347" i="7"/>
  <c r="D347" i="7"/>
  <c r="H16" i="14"/>
  <c r="G16" i="14"/>
  <c r="I16" i="14"/>
  <c r="G319" i="1"/>
  <c r="D346" i="7"/>
  <c r="L346" i="7"/>
  <c r="H15" i="14"/>
  <c r="G15" i="14"/>
  <c r="I15" i="14"/>
  <c r="G318" i="1"/>
  <c r="D345" i="7"/>
  <c r="D344" i="7"/>
  <c r="H14" i="14"/>
  <c r="G14" i="14"/>
  <c r="I14" i="14"/>
  <c r="G317" i="1"/>
  <c r="L344" i="7"/>
  <c r="H13" i="14"/>
  <c r="I13" i="14"/>
  <c r="G13" i="14"/>
  <c r="G316" i="1"/>
  <c r="L343" i="7"/>
  <c r="D343" i="7"/>
  <c r="G12" i="14"/>
  <c r="H12"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A68" i="14"/>
  <c r="A69" i="14"/>
  <c r="A70" i="14"/>
  <c r="A71" i="14"/>
  <c r="A72" i="14"/>
  <c r="A73" i="14"/>
  <c r="A74" i="14"/>
  <c r="A75" i="14"/>
  <c r="A76" i="14"/>
  <c r="A77" i="14"/>
  <c r="A78" i="14"/>
  <c r="G315" i="1"/>
  <c r="L342" i="7"/>
  <c r="D342" i="7"/>
  <c r="I12" i="14"/>
  <c r="H11" i="14"/>
  <c r="G11" i="14"/>
  <c r="I11" i="14"/>
  <c r="A11" i="14"/>
  <c r="G314" i="1"/>
  <c r="D339" i="7"/>
  <c r="D340" i="7"/>
  <c r="D341" i="7"/>
  <c r="L341" i="7"/>
  <c r="A10" i="14"/>
  <c r="H10" i="14"/>
  <c r="G10" i="14"/>
  <c r="I10" i="14"/>
  <c r="H313" i="1"/>
  <c r="G313" i="1"/>
  <c r="I313" i="1"/>
  <c r="L340" i="7"/>
  <c r="H9" i="14"/>
  <c r="G9" i="14"/>
  <c r="I9" i="14"/>
  <c r="A9" i="14"/>
  <c r="G312" i="1"/>
  <c r="L339" i="7"/>
  <c r="H8" i="14"/>
  <c r="G8" i="14"/>
  <c r="I8" i="14"/>
  <c r="A8" i="14"/>
  <c r="G311" i="1"/>
  <c r="H311" i="1"/>
  <c r="L338" i="7"/>
  <c r="D338" i="7"/>
  <c r="H7" i="14"/>
  <c r="G7" i="14"/>
  <c r="I7" i="14"/>
  <c r="A7" i="14"/>
  <c r="G310" i="1"/>
  <c r="D337" i="7"/>
  <c r="L337" i="7"/>
  <c r="G309" i="1"/>
  <c r="A6" i="14"/>
  <c r="H6" i="14"/>
  <c r="G6" i="14"/>
  <c r="I6" i="14"/>
  <c r="D336" i="7"/>
  <c r="L336" i="7"/>
  <c r="H5" i="14"/>
  <c r="G5" i="14"/>
  <c r="I5" i="14"/>
  <c r="A5" i="14"/>
  <c r="G308" i="1"/>
  <c r="L335" i="7"/>
  <c r="D335" i="7"/>
  <c r="AR60" i="10"/>
  <c r="I4" i="14"/>
  <c r="H4" i="14"/>
  <c r="G4" i="14"/>
  <c r="G307" i="1"/>
  <c r="L334" i="7"/>
  <c r="L333" i="7"/>
  <c r="L332" i="7"/>
  <c r="L331" i="7"/>
  <c r="L330" i="7"/>
  <c r="L329" i="7"/>
  <c r="L328" i="7"/>
  <c r="L327" i="7"/>
  <c r="L326" i="7"/>
  <c r="L325" i="7"/>
  <c r="L324" i="7"/>
  <c r="L323" i="7"/>
  <c r="L322" i="7"/>
  <c r="L321" i="7"/>
  <c r="L320" i="7"/>
  <c r="L319" i="7"/>
  <c r="L318" i="7"/>
  <c r="L317" i="7"/>
  <c r="L316" i="7"/>
  <c r="L315" i="7"/>
  <c r="L314" i="7"/>
  <c r="L313" i="7"/>
  <c r="L312" i="7"/>
  <c r="L311" i="7"/>
  <c r="L310" i="7"/>
  <c r="L309" i="7"/>
  <c r="D334" i="7"/>
  <c r="G306" i="1"/>
  <c r="D333" i="7"/>
  <c r="D332" i="7"/>
  <c r="H305" i="1"/>
  <c r="G305" i="1"/>
  <c r="I305" i="1"/>
  <c r="G304" i="1"/>
  <c r="D330" i="7"/>
  <c r="D331" i="7"/>
  <c r="H303" i="1"/>
  <c r="I303" i="1"/>
  <c r="G303" i="1"/>
  <c r="G302" i="1"/>
  <c r="D328" i="7"/>
  <c r="D329" i="7"/>
  <c r="H301" i="1"/>
  <c r="G301" i="1"/>
  <c r="D327" i="7"/>
  <c r="I301" i="1"/>
  <c r="H300" i="1"/>
  <c r="G300" i="1"/>
  <c r="I300" i="1"/>
  <c r="D326" i="7"/>
  <c r="G299" i="1"/>
  <c r="G298" i="1"/>
  <c r="D325" i="7"/>
  <c r="D324" i="7"/>
  <c r="G297" i="1"/>
  <c r="G296" i="1"/>
  <c r="D323" i="7"/>
  <c r="H295" i="1"/>
  <c r="G295" i="1"/>
  <c r="D322" i="7"/>
  <c r="D321" i="7"/>
  <c r="G294" i="1"/>
  <c r="G293" i="1"/>
  <c r="D320" i="7"/>
  <c r="G292" i="1"/>
  <c r="D319" i="7"/>
  <c r="D318" i="7"/>
  <c r="G291" i="1"/>
  <c r="D317" i="7"/>
  <c r="G289" i="5"/>
  <c r="G290" i="1"/>
  <c r="D316" i="7"/>
  <c r="H289" i="2"/>
  <c r="G289" i="2"/>
  <c r="G287" i="1"/>
  <c r="G288" i="1"/>
  <c r="G289" i="1"/>
  <c r="D315" i="7"/>
  <c r="H288" i="2"/>
  <c r="G288" i="2"/>
  <c r="H287" i="2"/>
  <c r="G287" i="2"/>
  <c r="D314" i="7"/>
  <c r="D313" i="7"/>
  <c r="G286" i="1"/>
  <c r="G285" i="3"/>
  <c r="D312" i="7"/>
  <c r="G285" i="1"/>
  <c r="D311" i="7"/>
  <c r="G284" i="1"/>
  <c r="D310" i="7"/>
  <c r="G283" i="1"/>
  <c r="D309" i="7"/>
  <c r="H282" i="3"/>
  <c r="G282" i="3"/>
  <c r="H282" i="5"/>
  <c r="I282" i="5"/>
  <c r="G282" i="5"/>
  <c r="H282" i="4"/>
  <c r="G282" i="4"/>
  <c r="G282" i="1"/>
  <c r="H281" i="3"/>
  <c r="G281" i="3"/>
  <c r="H280" i="3"/>
  <c r="G280" i="3"/>
  <c r="H281" i="4"/>
  <c r="G281" i="4"/>
  <c r="H280" i="4"/>
  <c r="G280" i="4"/>
  <c r="G281" i="5"/>
  <c r="G280" i="5"/>
  <c r="H281" i="5"/>
  <c r="G281" i="1"/>
  <c r="L307" i="7"/>
  <c r="D307" i="7"/>
  <c r="D308" i="7"/>
  <c r="H280" i="1"/>
  <c r="G280" i="1"/>
  <c r="G279" i="1"/>
  <c r="G278" i="1"/>
  <c r="G277" i="1"/>
  <c r="G276" i="3"/>
  <c r="H276" i="3"/>
  <c r="G277" i="3"/>
  <c r="H277" i="3"/>
  <c r="I277" i="3"/>
  <c r="G278" i="3"/>
  <c r="H278" i="3"/>
  <c r="G279" i="3"/>
  <c r="H279" i="3"/>
  <c r="G283" i="3"/>
  <c r="H283" i="3"/>
  <c r="G284" i="3"/>
  <c r="H284" i="3"/>
  <c r="H285" i="3"/>
  <c r="G286" i="3"/>
  <c r="H286" i="3"/>
  <c r="G287" i="3"/>
  <c r="H287" i="3"/>
  <c r="G288" i="3"/>
  <c r="H288" i="3"/>
  <c r="G289" i="3"/>
  <c r="H289" i="3"/>
  <c r="G290" i="3"/>
  <c r="H290" i="3"/>
  <c r="I290" i="3"/>
  <c r="G291" i="3"/>
  <c r="H291" i="3"/>
  <c r="G292" i="3"/>
  <c r="H292" i="3"/>
  <c r="G293" i="3"/>
  <c r="H293" i="3"/>
  <c r="G294" i="3"/>
  <c r="H294" i="3"/>
  <c r="G295" i="3"/>
  <c r="H295" i="3"/>
  <c r="G296" i="3"/>
  <c r="H296" i="3"/>
  <c r="G297" i="3"/>
  <c r="H297" i="3"/>
  <c r="I297" i="3"/>
  <c r="G298" i="3"/>
  <c r="H298" i="3"/>
  <c r="G299" i="3"/>
  <c r="H299" i="3"/>
  <c r="G300" i="3"/>
  <c r="H300" i="3"/>
  <c r="I300" i="3"/>
  <c r="G301" i="3"/>
  <c r="H301" i="3"/>
  <c r="G302" i="3"/>
  <c r="H302" i="3"/>
  <c r="G303" i="3"/>
  <c r="H303" i="3"/>
  <c r="G304" i="3"/>
  <c r="H304" i="3"/>
  <c r="G305" i="3"/>
  <c r="H305" i="3"/>
  <c r="G306" i="3"/>
  <c r="H306" i="3"/>
  <c r="G307" i="3"/>
  <c r="H307" i="3"/>
  <c r="G308" i="3"/>
  <c r="H308" i="3"/>
  <c r="G309" i="3"/>
  <c r="H309" i="3"/>
  <c r="G310" i="3"/>
  <c r="H310" i="3"/>
  <c r="G311" i="3"/>
  <c r="H311" i="3"/>
  <c r="G312" i="3"/>
  <c r="H312" i="3"/>
  <c r="G313" i="3"/>
  <c r="H313" i="3"/>
  <c r="I313" i="3"/>
  <c r="G314" i="3"/>
  <c r="H314" i="3"/>
  <c r="G315" i="3"/>
  <c r="H315" i="3"/>
  <c r="G316" i="3"/>
  <c r="H316" i="3"/>
  <c r="I316" i="3"/>
  <c r="G317" i="3"/>
  <c r="H317" i="3"/>
  <c r="G318" i="3"/>
  <c r="H318" i="3"/>
  <c r="G319" i="3"/>
  <c r="H319" i="3"/>
  <c r="G320" i="3"/>
  <c r="H320" i="3"/>
  <c r="I320" i="3"/>
  <c r="G321" i="3"/>
  <c r="H321" i="3"/>
  <c r="G322" i="3"/>
  <c r="I322" i="3"/>
  <c r="H322" i="3"/>
  <c r="G323" i="3"/>
  <c r="H323" i="3"/>
  <c r="G324" i="3"/>
  <c r="H324" i="3"/>
  <c r="G325" i="3"/>
  <c r="H325" i="3"/>
  <c r="G326" i="3"/>
  <c r="H326" i="3"/>
  <c r="G327" i="3"/>
  <c r="H327" i="3"/>
  <c r="G328" i="3"/>
  <c r="H328" i="3"/>
  <c r="G329" i="3"/>
  <c r="I329" i="3"/>
  <c r="H329" i="3"/>
  <c r="G330" i="3"/>
  <c r="H330" i="3"/>
  <c r="G331" i="3"/>
  <c r="H331" i="3"/>
  <c r="G332" i="3"/>
  <c r="H332" i="3"/>
  <c r="I332" i="3"/>
  <c r="H333" i="3"/>
  <c r="H334" i="3"/>
  <c r="H335" i="3"/>
  <c r="H336" i="3"/>
  <c r="I336" i="3"/>
  <c r="H337" i="3"/>
  <c r="H338" i="3"/>
  <c r="I338" i="3"/>
  <c r="H339" i="3"/>
  <c r="G340" i="3"/>
  <c r="H340" i="3"/>
  <c r="G341" i="3"/>
  <c r="H341" i="3"/>
  <c r="G342" i="3"/>
  <c r="H342" i="3"/>
  <c r="G343" i="3"/>
  <c r="H343" i="3"/>
  <c r="G344" i="3"/>
  <c r="H344" i="3"/>
  <c r="G345" i="3"/>
  <c r="H345" i="3"/>
  <c r="I345" i="3"/>
  <c r="G346" i="3"/>
  <c r="H346" i="3"/>
  <c r="G347" i="3"/>
  <c r="H347" i="3"/>
  <c r="G348" i="3"/>
  <c r="H348" i="3"/>
  <c r="I348" i="3"/>
  <c r="G349" i="3"/>
  <c r="H349" i="3"/>
  <c r="G350" i="3"/>
  <c r="H350" i="3"/>
  <c r="G351" i="3"/>
  <c r="H351" i="3"/>
  <c r="G352" i="3"/>
  <c r="H352" i="3"/>
  <c r="I352" i="3"/>
  <c r="G353" i="3"/>
  <c r="H353" i="3"/>
  <c r="G354" i="3"/>
  <c r="H354" i="3"/>
  <c r="I354" i="3"/>
  <c r="G355" i="3"/>
  <c r="H355" i="3"/>
  <c r="G356" i="3"/>
  <c r="H356" i="3"/>
  <c r="G357" i="3"/>
  <c r="H357" i="3"/>
  <c r="G358" i="3"/>
  <c r="H358" i="3"/>
  <c r="G359" i="3"/>
  <c r="H359" i="3"/>
  <c r="G360" i="3"/>
  <c r="H360" i="3"/>
  <c r="H361" i="3"/>
  <c r="I361" i="3"/>
  <c r="G362" i="3"/>
  <c r="H362" i="3"/>
  <c r="G363" i="3"/>
  <c r="H363" i="3"/>
  <c r="G364" i="3"/>
  <c r="H364" i="3"/>
  <c r="I364" i="3"/>
  <c r="G365" i="3"/>
  <c r="H365" i="3"/>
  <c r="G366" i="3"/>
  <c r="I366" i="3"/>
  <c r="H366" i="3"/>
  <c r="G367" i="3"/>
  <c r="I367" i="3"/>
  <c r="H367" i="3"/>
  <c r="G368" i="3"/>
  <c r="H368" i="3"/>
  <c r="I368" i="3"/>
  <c r="G369" i="3"/>
  <c r="H369" i="3"/>
  <c r="G370" i="3"/>
  <c r="I370" i="3"/>
  <c r="H370" i="3"/>
  <c r="G371" i="3"/>
  <c r="I371" i="3"/>
  <c r="H371" i="3"/>
  <c r="G372" i="3"/>
  <c r="H372" i="3"/>
  <c r="G373" i="3"/>
  <c r="H373" i="3"/>
  <c r="G374" i="3"/>
  <c r="I374" i="3"/>
  <c r="H374" i="3"/>
  <c r="G375" i="3"/>
  <c r="H375" i="3"/>
  <c r="G376" i="3"/>
  <c r="H376" i="3"/>
  <c r="G377" i="3"/>
  <c r="H377" i="3"/>
  <c r="I377" i="3"/>
  <c r="G378" i="3"/>
  <c r="H378" i="3"/>
  <c r="G379" i="3"/>
  <c r="H379" i="3"/>
  <c r="G380" i="3"/>
  <c r="I380" i="3"/>
  <c r="H380" i="3"/>
  <c r="G381" i="3"/>
  <c r="H381" i="3"/>
  <c r="G382" i="3"/>
  <c r="H382" i="3"/>
  <c r="G383" i="3"/>
  <c r="I383" i="3"/>
  <c r="H383" i="3"/>
  <c r="G384" i="3"/>
  <c r="I384" i="3"/>
  <c r="H384" i="3"/>
  <c r="G385" i="3"/>
  <c r="H385" i="3"/>
  <c r="I385" i="3"/>
  <c r="G386" i="3"/>
  <c r="I386" i="3"/>
  <c r="H386" i="3"/>
  <c r="G387" i="3"/>
  <c r="H387" i="3"/>
  <c r="G388" i="3"/>
  <c r="H388" i="3"/>
  <c r="G389" i="3"/>
  <c r="H389" i="3"/>
  <c r="G390" i="3"/>
  <c r="H390" i="3"/>
  <c r="G391" i="3"/>
  <c r="H391" i="3"/>
  <c r="G392" i="3"/>
  <c r="H392" i="3"/>
  <c r="G393" i="3"/>
  <c r="H393" i="3"/>
  <c r="I393" i="3"/>
  <c r="G394" i="3"/>
  <c r="H394" i="3"/>
  <c r="G395" i="3"/>
  <c r="H395" i="3"/>
  <c r="H396" i="3"/>
  <c r="I396" i="3"/>
  <c r="H397" i="3"/>
  <c r="I397" i="3"/>
  <c r="H398" i="3"/>
  <c r="H399" i="3"/>
  <c r="H400" i="3"/>
  <c r="I400" i="3"/>
  <c r="H401" i="3"/>
  <c r="H402" i="3"/>
  <c r="I402" i="3"/>
  <c r="G403" i="3"/>
  <c r="H403" i="3"/>
  <c r="G404" i="3"/>
  <c r="I404" i="3"/>
  <c r="H404" i="3"/>
  <c r="G405" i="3"/>
  <c r="I405" i="3"/>
  <c r="H407" i="3"/>
  <c r="I407" i="3"/>
  <c r="G408" i="3"/>
  <c r="I408" i="3"/>
  <c r="G409" i="3"/>
  <c r="H409" i="3"/>
  <c r="I409" i="3"/>
  <c r="G410" i="3"/>
  <c r="H410" i="3"/>
  <c r="G411" i="3"/>
  <c r="G412" i="3"/>
  <c r="H412" i="3"/>
  <c r="I412" i="3"/>
  <c r="G413" i="3"/>
  <c r="G414" i="3"/>
  <c r="G415" i="3"/>
  <c r="H415" i="3"/>
  <c r="G416" i="3"/>
  <c r="H416" i="3"/>
  <c r="I416" i="3"/>
  <c r="G417" i="3"/>
  <c r="H417" i="3"/>
  <c r="G418" i="3"/>
  <c r="H418" i="3"/>
  <c r="I418" i="3"/>
  <c r="G419" i="3"/>
  <c r="H419" i="3"/>
  <c r="G420" i="3"/>
  <c r="H420" i="3"/>
  <c r="G421" i="3"/>
  <c r="H421" i="3"/>
  <c r="G422" i="3"/>
  <c r="H422" i="3"/>
  <c r="G423" i="3"/>
  <c r="H423" i="3"/>
  <c r="G424" i="3"/>
  <c r="H424" i="3"/>
  <c r="G425" i="3"/>
  <c r="H425" i="3"/>
  <c r="I425" i="3"/>
  <c r="G426" i="3"/>
  <c r="H426" i="3"/>
  <c r="G427" i="3"/>
  <c r="H427" i="3"/>
  <c r="G428" i="3"/>
  <c r="H428" i="3"/>
  <c r="I428" i="3"/>
  <c r="G429" i="3"/>
  <c r="H429" i="3"/>
  <c r="G430" i="3"/>
  <c r="H430" i="3"/>
  <c r="G431" i="3"/>
  <c r="H431" i="3"/>
  <c r="G432" i="3"/>
  <c r="H432" i="3"/>
  <c r="I432" i="3"/>
  <c r="G433" i="3"/>
  <c r="H433" i="3"/>
  <c r="G434" i="3"/>
  <c r="H434" i="3"/>
  <c r="I434" i="3"/>
  <c r="G435" i="3"/>
  <c r="H435" i="3"/>
  <c r="G436" i="3"/>
  <c r="H436" i="3"/>
  <c r="G437" i="3"/>
  <c r="H437" i="3"/>
  <c r="G438" i="3"/>
  <c r="H438" i="3"/>
  <c r="G439" i="3"/>
  <c r="H439" i="3"/>
  <c r="G440" i="3"/>
  <c r="H440" i="3"/>
  <c r="G441" i="3"/>
  <c r="H441" i="3"/>
  <c r="I441" i="3"/>
  <c r="G442" i="3"/>
  <c r="H442" i="3"/>
  <c r="G443" i="3"/>
  <c r="H443" i="3"/>
  <c r="G444" i="3"/>
  <c r="H444" i="3"/>
  <c r="I444" i="3"/>
  <c r="G445" i="3"/>
  <c r="H445" i="3"/>
  <c r="G446" i="3"/>
  <c r="H446" i="3"/>
  <c r="G276" i="5"/>
  <c r="H276" i="5"/>
  <c r="G277" i="5"/>
  <c r="H277" i="5"/>
  <c r="G278" i="5"/>
  <c r="H278" i="5"/>
  <c r="G279" i="5"/>
  <c r="H279" i="5"/>
  <c r="H280" i="5"/>
  <c r="I280" i="5"/>
  <c r="G283" i="5"/>
  <c r="I283" i="5"/>
  <c r="H283" i="5"/>
  <c r="G284" i="5"/>
  <c r="I284" i="5"/>
  <c r="H284" i="5"/>
  <c r="G285" i="5"/>
  <c r="H285" i="5"/>
  <c r="G286" i="5"/>
  <c r="H286" i="5"/>
  <c r="I286" i="5"/>
  <c r="G287" i="5"/>
  <c r="H287" i="5"/>
  <c r="G288" i="5"/>
  <c r="H288" i="5"/>
  <c r="H289" i="5"/>
  <c r="G290" i="5"/>
  <c r="H290" i="5"/>
  <c r="I290" i="5"/>
  <c r="G291" i="5"/>
  <c r="H291" i="5"/>
  <c r="G292" i="5"/>
  <c r="H292" i="5"/>
  <c r="I292" i="5"/>
  <c r="G293" i="5"/>
  <c r="H293" i="5"/>
  <c r="G294" i="5"/>
  <c r="I294" i="5"/>
  <c r="H294" i="5"/>
  <c r="G295" i="5"/>
  <c r="H295" i="5"/>
  <c r="G296" i="5"/>
  <c r="H296" i="5"/>
  <c r="G297" i="5"/>
  <c r="H297" i="5"/>
  <c r="G298" i="5"/>
  <c r="H298" i="5"/>
  <c r="G299" i="5"/>
  <c r="H299" i="5"/>
  <c r="G300" i="5"/>
  <c r="H300" i="5"/>
  <c r="I300" i="5"/>
  <c r="G301" i="5"/>
  <c r="H301" i="5"/>
  <c r="I301" i="5"/>
  <c r="G302" i="5"/>
  <c r="I302" i="5"/>
  <c r="H302" i="5"/>
  <c r="G303" i="5"/>
  <c r="H303" i="5"/>
  <c r="I303" i="5"/>
  <c r="G304" i="5"/>
  <c r="H304" i="5"/>
  <c r="I304" i="5"/>
  <c r="G305" i="5"/>
  <c r="I305" i="5"/>
  <c r="H305" i="5"/>
  <c r="G306" i="5"/>
  <c r="H306" i="5"/>
  <c r="G307" i="5"/>
  <c r="I307" i="5"/>
  <c r="H307" i="5"/>
  <c r="G308" i="5"/>
  <c r="H308" i="5"/>
  <c r="G309" i="5"/>
  <c r="H309" i="5"/>
  <c r="G310" i="5"/>
  <c r="I310" i="5"/>
  <c r="H310" i="5"/>
  <c r="G311" i="5"/>
  <c r="H311" i="5"/>
  <c r="G312" i="5"/>
  <c r="I312" i="5"/>
  <c r="H312" i="5"/>
  <c r="G313" i="5"/>
  <c r="H313" i="5"/>
  <c r="G314" i="5"/>
  <c r="H314" i="5"/>
  <c r="G315" i="5"/>
  <c r="H315" i="5"/>
  <c r="G316" i="5"/>
  <c r="I316" i="5"/>
  <c r="H316" i="5"/>
  <c r="G317" i="5"/>
  <c r="I317" i="5"/>
  <c r="H317" i="5"/>
  <c r="G318" i="5"/>
  <c r="H318" i="5"/>
  <c r="I318" i="5"/>
  <c r="G319" i="5"/>
  <c r="H319" i="5"/>
  <c r="I319" i="5"/>
  <c r="G320" i="5"/>
  <c r="H320" i="5"/>
  <c r="I320" i="5"/>
  <c r="G321" i="5"/>
  <c r="H321" i="5"/>
  <c r="I321" i="5"/>
  <c r="G322" i="5"/>
  <c r="H322" i="5"/>
  <c r="I322" i="5"/>
  <c r="G323" i="5"/>
  <c r="H323" i="5"/>
  <c r="G324" i="5"/>
  <c r="H324" i="5"/>
  <c r="I324" i="5"/>
  <c r="G325" i="5"/>
  <c r="H325" i="5"/>
  <c r="I325" i="5"/>
  <c r="G326" i="5"/>
  <c r="H326" i="5"/>
  <c r="I326" i="5"/>
  <c r="G327" i="5"/>
  <c r="H327" i="5"/>
  <c r="G328" i="5"/>
  <c r="H328" i="5"/>
  <c r="I328" i="5"/>
  <c r="G329" i="5"/>
  <c r="H329" i="5"/>
  <c r="G330" i="5"/>
  <c r="H330" i="5"/>
  <c r="G331" i="5"/>
  <c r="H331" i="5"/>
  <c r="I331" i="5"/>
  <c r="G332" i="5"/>
  <c r="H332" i="5"/>
  <c r="I332" i="5"/>
  <c r="G333" i="5"/>
  <c r="H333" i="5"/>
  <c r="I333" i="5"/>
  <c r="G334" i="5"/>
  <c r="H334" i="5"/>
  <c r="I334" i="5"/>
  <c r="G335" i="5"/>
  <c r="H335" i="5"/>
  <c r="G336" i="5"/>
  <c r="H336" i="5"/>
  <c r="I336" i="5"/>
  <c r="G337" i="5"/>
  <c r="H337" i="5"/>
  <c r="I337" i="5"/>
  <c r="G338" i="5"/>
  <c r="H338" i="5"/>
  <c r="I338" i="5"/>
  <c r="G339" i="5"/>
  <c r="H339" i="5"/>
  <c r="G340" i="5"/>
  <c r="H340" i="5"/>
  <c r="I340" i="5"/>
  <c r="G341" i="5"/>
  <c r="H341" i="5"/>
  <c r="G342" i="5"/>
  <c r="H342" i="5"/>
  <c r="G343" i="5"/>
  <c r="H343" i="5"/>
  <c r="G344" i="5"/>
  <c r="H344" i="5"/>
  <c r="I344" i="5"/>
  <c r="G345" i="5"/>
  <c r="I345" i="5"/>
  <c r="H345" i="5"/>
  <c r="G346" i="5"/>
  <c r="I346" i="5"/>
  <c r="H346" i="5"/>
  <c r="G347" i="5"/>
  <c r="I347" i="5"/>
  <c r="H347" i="5"/>
  <c r="G348" i="5"/>
  <c r="I348" i="5"/>
  <c r="H348" i="5"/>
  <c r="G349" i="5"/>
  <c r="H349" i="5"/>
  <c r="G350" i="5"/>
  <c r="H350" i="5"/>
  <c r="G351" i="5"/>
  <c r="H351" i="5"/>
  <c r="G352" i="5"/>
  <c r="I352" i="5"/>
  <c r="H352" i="5"/>
  <c r="G353" i="5"/>
  <c r="H353" i="5"/>
  <c r="I353" i="5"/>
  <c r="G354" i="5"/>
  <c r="H354" i="5"/>
  <c r="I354" i="5"/>
  <c r="G355" i="5"/>
  <c r="H355" i="5"/>
  <c r="G356" i="5"/>
  <c r="H356" i="5"/>
  <c r="I356" i="5"/>
  <c r="G357" i="5"/>
  <c r="H357" i="5"/>
  <c r="G358" i="5"/>
  <c r="H358" i="5"/>
  <c r="G359" i="5"/>
  <c r="H359" i="5"/>
  <c r="G360" i="5"/>
  <c r="H360" i="5"/>
  <c r="I360" i="5"/>
  <c r="G361" i="5"/>
  <c r="H361" i="5"/>
  <c r="G362" i="5"/>
  <c r="H362" i="5"/>
  <c r="I362" i="5"/>
  <c r="G363" i="5"/>
  <c r="H363" i="5"/>
  <c r="I363" i="5"/>
  <c r="G364" i="5"/>
  <c r="I364" i="5"/>
  <c r="H364" i="5"/>
  <c r="G365" i="5"/>
  <c r="I365" i="5"/>
  <c r="H365" i="5"/>
  <c r="G366" i="5"/>
  <c r="H366" i="5"/>
  <c r="G367" i="5"/>
  <c r="H367" i="5"/>
  <c r="G368" i="5"/>
  <c r="I368" i="5"/>
  <c r="H368" i="5"/>
  <c r="G369" i="5"/>
  <c r="I369" i="5"/>
  <c r="H369" i="5"/>
  <c r="G370" i="5"/>
  <c r="I370" i="5"/>
  <c r="H370" i="5"/>
  <c r="G371" i="5"/>
  <c r="H371" i="5"/>
  <c r="G372" i="5"/>
  <c r="H372" i="5"/>
  <c r="I372" i="5"/>
  <c r="G373" i="5"/>
  <c r="I373" i="5"/>
  <c r="H373" i="5"/>
  <c r="G374" i="5"/>
  <c r="H374" i="5"/>
  <c r="G375" i="5"/>
  <c r="H375" i="5"/>
  <c r="G376" i="5"/>
  <c r="I376" i="5"/>
  <c r="H376" i="5"/>
  <c r="G377" i="5"/>
  <c r="I377" i="5"/>
  <c r="H377" i="5"/>
  <c r="G378" i="5"/>
  <c r="I378" i="5"/>
  <c r="H378" i="5"/>
  <c r="G379" i="5"/>
  <c r="H379" i="5"/>
  <c r="G380" i="5"/>
  <c r="H380" i="5"/>
  <c r="I380" i="5"/>
  <c r="G381" i="5"/>
  <c r="H381" i="5"/>
  <c r="G382" i="5"/>
  <c r="I382" i="5"/>
  <c r="H382" i="5"/>
  <c r="G383" i="5"/>
  <c r="H383" i="5"/>
  <c r="G384" i="5"/>
  <c r="H384" i="5"/>
  <c r="I384" i="5"/>
  <c r="G385" i="5"/>
  <c r="H385" i="5"/>
  <c r="I385" i="5"/>
  <c r="G386" i="5"/>
  <c r="I386" i="5"/>
  <c r="H386" i="5"/>
  <c r="G387" i="5"/>
  <c r="H387" i="5"/>
  <c r="I387" i="5"/>
  <c r="G388" i="5"/>
  <c r="H388" i="5"/>
  <c r="I388" i="5"/>
  <c r="G389" i="5"/>
  <c r="H389" i="5"/>
  <c r="G390" i="5"/>
  <c r="H390" i="5"/>
  <c r="G391" i="5"/>
  <c r="H391" i="5"/>
  <c r="G392" i="5"/>
  <c r="H392" i="5"/>
  <c r="G393" i="5"/>
  <c r="I393" i="5"/>
  <c r="H393" i="5"/>
  <c r="G394" i="5"/>
  <c r="H394" i="5"/>
  <c r="I394" i="5"/>
  <c r="G395" i="5"/>
  <c r="H395" i="5"/>
  <c r="G396" i="5"/>
  <c r="H396" i="5"/>
  <c r="G397" i="5"/>
  <c r="H397" i="5"/>
  <c r="G398" i="5"/>
  <c r="H398" i="5"/>
  <c r="G399" i="5"/>
  <c r="H399" i="5"/>
  <c r="G400" i="5"/>
  <c r="H400" i="5"/>
  <c r="G401" i="5"/>
  <c r="H401" i="5"/>
  <c r="G402" i="5"/>
  <c r="I402" i="5"/>
  <c r="H402" i="5"/>
  <c r="G403" i="5"/>
  <c r="I403" i="5"/>
  <c r="H403" i="5"/>
  <c r="G404" i="5"/>
  <c r="H404" i="5"/>
  <c r="I404" i="5"/>
  <c r="G405" i="5"/>
  <c r="H405" i="5"/>
  <c r="I405" i="5"/>
  <c r="G406" i="5"/>
  <c r="I406" i="5"/>
  <c r="H406" i="5"/>
  <c r="G407" i="5"/>
  <c r="I407" i="5"/>
  <c r="G408" i="5"/>
  <c r="I408" i="5"/>
  <c r="G409" i="5"/>
  <c r="I409" i="5"/>
  <c r="H409" i="5"/>
  <c r="G410" i="5"/>
  <c r="G411" i="5"/>
  <c r="G412" i="5"/>
  <c r="H412" i="5"/>
  <c r="I412" i="5"/>
  <c r="G413" i="5"/>
  <c r="G414" i="5"/>
  <c r="G415" i="5"/>
  <c r="H415" i="5"/>
  <c r="G416" i="5"/>
  <c r="H416" i="5"/>
  <c r="I416" i="5"/>
  <c r="G417" i="5"/>
  <c r="H417" i="5"/>
  <c r="I417" i="5"/>
  <c r="G418" i="5"/>
  <c r="H418" i="5"/>
  <c r="I418" i="5"/>
  <c r="G419" i="5"/>
  <c r="H419" i="5"/>
  <c r="G420" i="5"/>
  <c r="H420" i="5"/>
  <c r="I420" i="5"/>
  <c r="G421" i="5"/>
  <c r="H421" i="5"/>
  <c r="G422" i="5"/>
  <c r="H422" i="5"/>
  <c r="G423" i="5"/>
  <c r="H423" i="5"/>
  <c r="G424" i="5"/>
  <c r="H424" i="5"/>
  <c r="I424" i="5"/>
  <c r="G425" i="5"/>
  <c r="H425" i="5"/>
  <c r="I425" i="5"/>
  <c r="G426" i="5"/>
  <c r="H426" i="5"/>
  <c r="I426" i="5"/>
  <c r="G427" i="5"/>
  <c r="H427" i="5"/>
  <c r="G428" i="5"/>
  <c r="H428" i="5"/>
  <c r="I428" i="5"/>
  <c r="G429" i="5"/>
  <c r="H429" i="5"/>
  <c r="G430" i="5"/>
  <c r="H430" i="5"/>
  <c r="G431" i="5"/>
  <c r="H431" i="5"/>
  <c r="G432" i="5"/>
  <c r="H432" i="5"/>
  <c r="I432" i="5"/>
  <c r="G433" i="5"/>
  <c r="H433" i="5"/>
  <c r="I433" i="5"/>
  <c r="G434" i="5"/>
  <c r="H434" i="5"/>
  <c r="I434" i="5"/>
  <c r="G435" i="5"/>
  <c r="H435" i="5"/>
  <c r="G436" i="5"/>
  <c r="H436" i="5"/>
  <c r="I436" i="5"/>
  <c r="G437" i="5"/>
  <c r="H437" i="5"/>
  <c r="G438" i="5"/>
  <c r="H438" i="5"/>
  <c r="G439" i="5"/>
  <c r="H439" i="5"/>
  <c r="G440" i="5"/>
  <c r="H440" i="5"/>
  <c r="I440" i="5"/>
  <c r="G441" i="5"/>
  <c r="H441" i="5"/>
  <c r="I441" i="5"/>
  <c r="G442" i="5"/>
  <c r="H442" i="5"/>
  <c r="I442" i="5"/>
  <c r="G443" i="5"/>
  <c r="H443" i="5"/>
  <c r="G444" i="5"/>
  <c r="H444" i="5"/>
  <c r="I444" i="5"/>
  <c r="G445" i="5"/>
  <c r="H445" i="5"/>
  <c r="G446" i="5"/>
  <c r="H446" i="5"/>
  <c r="G447" i="5"/>
  <c r="H447" i="5"/>
  <c r="G448" i="5"/>
  <c r="H448" i="5"/>
  <c r="G449" i="5"/>
  <c r="H449" i="5"/>
  <c r="G450" i="5"/>
  <c r="H450" i="5"/>
  <c r="G451" i="5"/>
  <c r="H451" i="5"/>
  <c r="I451" i="5"/>
  <c r="G452" i="5"/>
  <c r="H452" i="5"/>
  <c r="I452" i="5"/>
  <c r="G453" i="5"/>
  <c r="H453" i="5"/>
  <c r="I453" i="5"/>
  <c r="G454" i="5"/>
  <c r="H454" i="5"/>
  <c r="G455" i="5"/>
  <c r="H455" i="5"/>
  <c r="I455" i="5"/>
  <c r="G456" i="5"/>
  <c r="H456" i="5"/>
  <c r="G457" i="5"/>
  <c r="H457" i="5"/>
  <c r="G458" i="5"/>
  <c r="H458" i="5"/>
  <c r="G459" i="5"/>
  <c r="H459" i="5"/>
  <c r="I459" i="5"/>
  <c r="G460" i="5"/>
  <c r="H460" i="5"/>
  <c r="I460" i="5"/>
  <c r="G461" i="5"/>
  <c r="H461" i="5"/>
  <c r="I461" i="5"/>
  <c r="G462" i="5"/>
  <c r="H462" i="5"/>
  <c r="G463" i="5"/>
  <c r="H463" i="5"/>
  <c r="I463" i="5"/>
  <c r="G464" i="5"/>
  <c r="H464" i="5"/>
  <c r="G465" i="5"/>
  <c r="H465" i="5"/>
  <c r="G466" i="5"/>
  <c r="H466" i="5"/>
  <c r="G467" i="5"/>
  <c r="H467" i="5"/>
  <c r="I467" i="5"/>
  <c r="G468" i="5"/>
  <c r="H468" i="5"/>
  <c r="I468" i="5"/>
  <c r="G469" i="5"/>
  <c r="H469" i="5"/>
  <c r="I469" i="5"/>
  <c r="G470" i="5"/>
  <c r="H470" i="5"/>
  <c r="G471" i="5"/>
  <c r="H471" i="5"/>
  <c r="I471" i="5"/>
  <c r="G472" i="5"/>
  <c r="H472" i="5"/>
  <c r="G473" i="5"/>
  <c r="H473" i="5"/>
  <c r="G474" i="5"/>
  <c r="H474" i="5"/>
  <c r="G475" i="5"/>
  <c r="H475" i="5"/>
  <c r="I475" i="5"/>
  <c r="G476" i="5"/>
  <c r="H476" i="5"/>
  <c r="I476" i="5"/>
  <c r="G477" i="5"/>
  <c r="H477" i="5"/>
  <c r="I477" i="5"/>
  <c r="G478" i="5"/>
  <c r="H478" i="5"/>
  <c r="G479" i="5"/>
  <c r="H479" i="5"/>
  <c r="I479" i="5"/>
  <c r="G480" i="5"/>
  <c r="H480" i="5"/>
  <c r="G481" i="5"/>
  <c r="H481" i="5"/>
  <c r="G482" i="5"/>
  <c r="H482" i="5"/>
  <c r="G483" i="5"/>
  <c r="H483" i="5"/>
  <c r="I483" i="5"/>
  <c r="G484" i="5"/>
  <c r="H484" i="5"/>
  <c r="I484" i="5"/>
  <c r="G485" i="5"/>
  <c r="H485" i="5"/>
  <c r="I485" i="5"/>
  <c r="G486" i="5"/>
  <c r="H486" i="5"/>
  <c r="G487" i="5"/>
  <c r="H487" i="5"/>
  <c r="I487" i="5"/>
  <c r="G488" i="5"/>
  <c r="H488" i="5"/>
  <c r="G489" i="5"/>
  <c r="H489" i="5"/>
  <c r="G490" i="5"/>
  <c r="H490" i="5"/>
  <c r="G491" i="5"/>
  <c r="H491" i="5"/>
  <c r="I491" i="5"/>
  <c r="G492" i="5"/>
  <c r="H492" i="5"/>
  <c r="I492" i="5"/>
  <c r="G493" i="5"/>
  <c r="H493" i="5"/>
  <c r="I493" i="5"/>
  <c r="G494" i="5"/>
  <c r="H494" i="5"/>
  <c r="G495" i="5"/>
  <c r="H495" i="5"/>
  <c r="I495" i="5"/>
  <c r="G496" i="5"/>
  <c r="H496" i="5"/>
  <c r="G497" i="5"/>
  <c r="H497" i="5"/>
  <c r="G498" i="5"/>
  <c r="H498" i="5"/>
  <c r="G499" i="5"/>
  <c r="H499" i="5"/>
  <c r="I499" i="5"/>
  <c r="G500" i="5"/>
  <c r="H500" i="5"/>
  <c r="I500" i="5"/>
  <c r="G501" i="5"/>
  <c r="H501" i="5"/>
  <c r="I501" i="5"/>
  <c r="G502" i="5"/>
  <c r="H502" i="5"/>
  <c r="G503" i="5"/>
  <c r="H503" i="5"/>
  <c r="I503" i="5"/>
  <c r="G504" i="5"/>
  <c r="H504" i="5"/>
  <c r="G505" i="5"/>
  <c r="H505" i="5"/>
  <c r="G506" i="5"/>
  <c r="H506" i="5"/>
  <c r="G507" i="5"/>
  <c r="H507" i="5"/>
  <c r="I507" i="5"/>
  <c r="G508" i="5"/>
  <c r="H508" i="5"/>
  <c r="I508" i="5"/>
  <c r="G509" i="5"/>
  <c r="H509" i="5"/>
  <c r="I509" i="5"/>
  <c r="G510" i="5"/>
  <c r="H510" i="5"/>
  <c r="G511" i="5"/>
  <c r="H511" i="5"/>
  <c r="I511" i="5"/>
  <c r="G512" i="5"/>
  <c r="H512" i="5"/>
  <c r="G513" i="5"/>
  <c r="H513" i="5"/>
  <c r="G514" i="5"/>
  <c r="H514" i="5"/>
  <c r="G515" i="5"/>
  <c r="H515" i="5"/>
  <c r="I515" i="5"/>
  <c r="G516" i="5"/>
  <c r="H516" i="5"/>
  <c r="I516" i="5"/>
  <c r="G517" i="5"/>
  <c r="H517" i="5"/>
  <c r="I517" i="5"/>
  <c r="G518" i="5"/>
  <c r="H518" i="5"/>
  <c r="G519" i="5"/>
  <c r="H519" i="5"/>
  <c r="I519" i="5"/>
  <c r="G520" i="5"/>
  <c r="H520" i="5"/>
  <c r="G521" i="5"/>
  <c r="H521" i="5"/>
  <c r="G522" i="5"/>
  <c r="H522" i="5"/>
  <c r="G523" i="5"/>
  <c r="H523" i="5"/>
  <c r="I523" i="5"/>
  <c r="G524" i="5"/>
  <c r="H524" i="5"/>
  <c r="I524" i="5"/>
  <c r="G525" i="5"/>
  <c r="H525" i="5"/>
  <c r="I525" i="5"/>
  <c r="G526" i="5"/>
  <c r="H526" i="5"/>
  <c r="G527" i="5"/>
  <c r="H527" i="5"/>
  <c r="I527" i="5"/>
  <c r="G528" i="5"/>
  <c r="H528" i="5"/>
  <c r="G529" i="5"/>
  <c r="H529" i="5"/>
  <c r="G530" i="5"/>
  <c r="H530" i="5"/>
  <c r="G531" i="5"/>
  <c r="H531" i="5"/>
  <c r="I531" i="5"/>
  <c r="G532" i="5"/>
  <c r="H532" i="5"/>
  <c r="I532" i="5"/>
  <c r="G533" i="5"/>
  <c r="H533" i="5"/>
  <c r="I533" i="5"/>
  <c r="G534" i="5"/>
  <c r="H534" i="5"/>
  <c r="G535" i="5"/>
  <c r="H535" i="5"/>
  <c r="I535" i="5"/>
  <c r="G536" i="5"/>
  <c r="H536" i="5"/>
  <c r="G537" i="5"/>
  <c r="H537" i="5"/>
  <c r="G538" i="5"/>
  <c r="H538" i="5"/>
  <c r="G539" i="5"/>
  <c r="H539" i="5"/>
  <c r="I539" i="5"/>
  <c r="G540" i="5"/>
  <c r="H540" i="5"/>
  <c r="I540" i="5"/>
  <c r="G541" i="5"/>
  <c r="H541" i="5"/>
  <c r="I541" i="5"/>
  <c r="G542" i="5"/>
  <c r="H542" i="5"/>
  <c r="G543" i="5"/>
  <c r="H543" i="5"/>
  <c r="I543" i="5"/>
  <c r="G544" i="5"/>
  <c r="H544" i="5"/>
  <c r="G545" i="5"/>
  <c r="H545" i="5"/>
  <c r="G546" i="5"/>
  <c r="H546" i="5"/>
  <c r="G547" i="5"/>
  <c r="H547" i="5"/>
  <c r="I547" i="5"/>
  <c r="G548" i="5"/>
  <c r="H548" i="5"/>
  <c r="I548" i="5"/>
  <c r="G549" i="5"/>
  <c r="H549" i="5"/>
  <c r="I549" i="5"/>
  <c r="G550" i="5"/>
  <c r="H550" i="5"/>
  <c r="G551" i="5"/>
  <c r="H551" i="5"/>
  <c r="I551" i="5"/>
  <c r="G552" i="5"/>
  <c r="H552" i="5"/>
  <c r="G553" i="5"/>
  <c r="H553" i="5"/>
  <c r="G554" i="5"/>
  <c r="H554" i="5"/>
  <c r="G555" i="5"/>
  <c r="H555" i="5"/>
  <c r="I555" i="5"/>
  <c r="G556" i="5"/>
  <c r="H556" i="5"/>
  <c r="I556" i="5"/>
  <c r="G557" i="5"/>
  <c r="H557" i="5"/>
  <c r="I557" i="5"/>
  <c r="G558" i="5"/>
  <c r="H558" i="5"/>
  <c r="G559" i="5"/>
  <c r="H559" i="5"/>
  <c r="I559" i="5"/>
  <c r="G560" i="5"/>
  <c r="H560" i="5"/>
  <c r="G561" i="5"/>
  <c r="H561" i="5"/>
  <c r="G562" i="5"/>
  <c r="H562" i="5"/>
  <c r="G563" i="5"/>
  <c r="H563" i="5"/>
  <c r="I563" i="5"/>
  <c r="G564" i="5"/>
  <c r="H564" i="5"/>
  <c r="I564" i="5"/>
  <c r="G565" i="5"/>
  <c r="H565" i="5"/>
  <c r="I565" i="5"/>
  <c r="G566" i="5"/>
  <c r="H566" i="5"/>
  <c r="G567" i="5"/>
  <c r="H567" i="5"/>
  <c r="I567" i="5"/>
  <c r="G568" i="5"/>
  <c r="H568" i="5"/>
  <c r="G569" i="5"/>
  <c r="H569" i="5"/>
  <c r="G570" i="5"/>
  <c r="H570" i="5"/>
  <c r="G571" i="5"/>
  <c r="H571" i="5"/>
  <c r="I571" i="5"/>
  <c r="G572" i="5"/>
  <c r="H572" i="5"/>
  <c r="I572" i="5"/>
  <c r="G573" i="5"/>
  <c r="H573" i="5"/>
  <c r="I573" i="5"/>
  <c r="G574" i="5"/>
  <c r="H574" i="5"/>
  <c r="G575" i="5"/>
  <c r="H575" i="5"/>
  <c r="I575" i="5"/>
  <c r="G576" i="5"/>
  <c r="H576" i="5"/>
  <c r="G577" i="5"/>
  <c r="H577" i="5"/>
  <c r="G578" i="5"/>
  <c r="H578" i="5"/>
  <c r="G579" i="5"/>
  <c r="H579" i="5"/>
  <c r="I579" i="5"/>
  <c r="G580" i="5"/>
  <c r="H580" i="5"/>
  <c r="I580" i="5"/>
  <c r="G581" i="5"/>
  <c r="H581" i="5"/>
  <c r="I581" i="5"/>
  <c r="G582" i="5"/>
  <c r="H582" i="5"/>
  <c r="G583" i="5"/>
  <c r="H583" i="5"/>
  <c r="I583" i="5"/>
  <c r="G584" i="5"/>
  <c r="H584" i="5"/>
  <c r="G585" i="5"/>
  <c r="H585" i="5"/>
  <c r="G586" i="5"/>
  <c r="H586" i="5"/>
  <c r="G587" i="5"/>
  <c r="H587" i="5"/>
  <c r="I587" i="5"/>
  <c r="G588" i="5"/>
  <c r="H588" i="5"/>
  <c r="I588" i="5"/>
  <c r="G589" i="5"/>
  <c r="H589" i="5"/>
  <c r="I589" i="5"/>
  <c r="G590" i="5"/>
  <c r="H590" i="5"/>
  <c r="G591" i="5"/>
  <c r="H591" i="5"/>
  <c r="I591" i="5"/>
  <c r="G592" i="5"/>
  <c r="H592" i="5"/>
  <c r="G593" i="5"/>
  <c r="H593" i="5"/>
  <c r="G594" i="5"/>
  <c r="H594" i="5"/>
  <c r="G595" i="5"/>
  <c r="H595" i="5"/>
  <c r="I595" i="5"/>
  <c r="G596" i="5"/>
  <c r="H596" i="5"/>
  <c r="I596" i="5"/>
  <c r="G597" i="5"/>
  <c r="H597" i="5"/>
  <c r="I597" i="5"/>
  <c r="G598" i="5"/>
  <c r="H598" i="5"/>
  <c r="G599" i="5"/>
  <c r="H599" i="5"/>
  <c r="I599" i="5"/>
  <c r="G600" i="5"/>
  <c r="H600" i="5"/>
  <c r="G601" i="5"/>
  <c r="H601" i="5"/>
  <c r="G602" i="5"/>
  <c r="H602" i="5"/>
  <c r="G603" i="5"/>
  <c r="H603" i="5"/>
  <c r="I603" i="5"/>
  <c r="G604" i="5"/>
  <c r="H604" i="5"/>
  <c r="I604" i="5"/>
  <c r="G605" i="5"/>
  <c r="H605" i="5"/>
  <c r="I605" i="5"/>
  <c r="G606" i="5"/>
  <c r="H606" i="5"/>
  <c r="G607" i="5"/>
  <c r="H607" i="5"/>
  <c r="I607" i="5"/>
  <c r="G608" i="5"/>
  <c r="H608" i="5"/>
  <c r="G609" i="5"/>
  <c r="H609" i="5"/>
  <c r="G610" i="5"/>
  <c r="H610" i="5"/>
  <c r="G611" i="5"/>
  <c r="H611" i="5"/>
  <c r="I611" i="5"/>
  <c r="G612" i="5"/>
  <c r="H612" i="5"/>
  <c r="I612" i="5"/>
  <c r="G613" i="5"/>
  <c r="H613" i="5"/>
  <c r="I613" i="5"/>
  <c r="G614" i="5"/>
  <c r="H614" i="5"/>
  <c r="G615" i="5"/>
  <c r="H615" i="5"/>
  <c r="I615" i="5"/>
  <c r="G616" i="5"/>
  <c r="H616" i="5"/>
  <c r="G617" i="5"/>
  <c r="H617" i="5"/>
  <c r="G618" i="5"/>
  <c r="H618" i="5"/>
  <c r="G619" i="5"/>
  <c r="H619" i="5"/>
  <c r="I619" i="5"/>
  <c r="G620" i="5"/>
  <c r="H620" i="5"/>
  <c r="I620" i="5"/>
  <c r="G621" i="5"/>
  <c r="H621" i="5"/>
  <c r="I621" i="5"/>
  <c r="G622" i="5"/>
  <c r="H622" i="5"/>
  <c r="G623" i="5"/>
  <c r="H623" i="5"/>
  <c r="I623" i="5"/>
  <c r="G624" i="5"/>
  <c r="H624" i="5"/>
  <c r="G625" i="5"/>
  <c r="H625" i="5"/>
  <c r="G626" i="5"/>
  <c r="H626" i="5"/>
  <c r="G627" i="5"/>
  <c r="H627" i="5"/>
  <c r="I627" i="5"/>
  <c r="G628" i="5"/>
  <c r="H628" i="5"/>
  <c r="I628" i="5"/>
  <c r="G629" i="5"/>
  <c r="H629" i="5"/>
  <c r="I629" i="5"/>
  <c r="G630" i="5"/>
  <c r="H630" i="5"/>
  <c r="G631" i="5"/>
  <c r="H631" i="5"/>
  <c r="I631" i="5"/>
  <c r="G632" i="5"/>
  <c r="H632" i="5"/>
  <c r="G633" i="5"/>
  <c r="H633" i="5"/>
  <c r="G634" i="5"/>
  <c r="H634" i="5"/>
  <c r="G635" i="5"/>
  <c r="H635" i="5"/>
  <c r="I635" i="5"/>
  <c r="G636" i="5"/>
  <c r="H636" i="5"/>
  <c r="I636" i="5"/>
  <c r="G637" i="5"/>
  <c r="H637" i="5"/>
  <c r="I637" i="5"/>
  <c r="G638" i="5"/>
  <c r="H638" i="5"/>
  <c r="G639" i="5"/>
  <c r="H639" i="5"/>
  <c r="I639" i="5"/>
  <c r="G640" i="5"/>
  <c r="H640" i="5"/>
  <c r="G641" i="5"/>
  <c r="H641" i="5"/>
  <c r="G642" i="5"/>
  <c r="H642" i="5"/>
  <c r="G643" i="5"/>
  <c r="H643" i="5"/>
  <c r="I643" i="5"/>
  <c r="G644" i="5"/>
  <c r="H644" i="5"/>
  <c r="I644" i="5"/>
  <c r="G645" i="5"/>
  <c r="H645" i="5"/>
  <c r="I645" i="5"/>
  <c r="G646" i="5"/>
  <c r="H646" i="5"/>
  <c r="G647" i="5"/>
  <c r="H647" i="5"/>
  <c r="I647" i="5"/>
  <c r="G648" i="5"/>
  <c r="H648" i="5"/>
  <c r="G649" i="5"/>
  <c r="H649" i="5"/>
  <c r="G276" i="4"/>
  <c r="H276" i="4"/>
  <c r="G277" i="4"/>
  <c r="H277" i="4"/>
  <c r="G278" i="4"/>
  <c r="H278" i="4"/>
  <c r="I278" i="4"/>
  <c r="G279" i="4"/>
  <c r="H279" i="4"/>
  <c r="G283" i="4"/>
  <c r="H283" i="4"/>
  <c r="G284" i="4"/>
  <c r="H284" i="4"/>
  <c r="G285" i="4"/>
  <c r="I285" i="4"/>
  <c r="H285" i="4"/>
  <c r="G286" i="4"/>
  <c r="H286" i="4"/>
  <c r="G287" i="4"/>
  <c r="H287" i="4"/>
  <c r="I287" i="4"/>
  <c r="G288" i="4"/>
  <c r="H288" i="4"/>
  <c r="I288" i="4"/>
  <c r="G289" i="4"/>
  <c r="H289" i="4"/>
  <c r="G290" i="4"/>
  <c r="H290" i="4"/>
  <c r="G291" i="4"/>
  <c r="H291" i="4"/>
  <c r="G292" i="4"/>
  <c r="H292" i="4"/>
  <c r="G293" i="4"/>
  <c r="H293" i="4"/>
  <c r="G294" i="4"/>
  <c r="H294" i="4"/>
  <c r="I294" i="4"/>
  <c r="G295" i="4"/>
  <c r="H295" i="4"/>
  <c r="I295" i="4"/>
  <c r="G296" i="4"/>
  <c r="H296" i="4"/>
  <c r="I296" i="4"/>
  <c r="G297" i="4"/>
  <c r="H297" i="4"/>
  <c r="G298" i="4"/>
  <c r="H298" i="4"/>
  <c r="I298" i="4"/>
  <c r="G299" i="4"/>
  <c r="H299" i="4"/>
  <c r="G300" i="4"/>
  <c r="H300" i="4"/>
  <c r="G301" i="4"/>
  <c r="H301" i="4"/>
  <c r="G302" i="4"/>
  <c r="H302" i="4"/>
  <c r="I302" i="4"/>
  <c r="G303" i="4"/>
  <c r="H303" i="4"/>
  <c r="I303" i="4"/>
  <c r="G304" i="4"/>
  <c r="I304" i="4"/>
  <c r="H304" i="4"/>
  <c r="G305" i="4"/>
  <c r="H305" i="4"/>
  <c r="G306" i="4"/>
  <c r="H306" i="4"/>
  <c r="I306" i="4"/>
  <c r="G307" i="4"/>
  <c r="H307" i="4"/>
  <c r="G308" i="4"/>
  <c r="H308" i="4"/>
  <c r="G309" i="4"/>
  <c r="H309" i="4"/>
  <c r="G310" i="4"/>
  <c r="H310" i="4"/>
  <c r="I310" i="4"/>
  <c r="G311" i="4"/>
  <c r="I311" i="4"/>
  <c r="H311" i="4"/>
  <c r="G312" i="4"/>
  <c r="I312" i="4"/>
  <c r="H312" i="4"/>
  <c r="G313" i="4"/>
  <c r="I313" i="4"/>
  <c r="H313" i="4"/>
  <c r="G314" i="4"/>
  <c r="I314" i="4"/>
  <c r="H314" i="4"/>
  <c r="G315" i="4"/>
  <c r="H315" i="4"/>
  <c r="I315" i="4"/>
  <c r="G316" i="4"/>
  <c r="I316" i="4"/>
  <c r="H316" i="4"/>
  <c r="G317" i="4"/>
  <c r="H317" i="4"/>
  <c r="G318" i="4"/>
  <c r="H318" i="4"/>
  <c r="I318" i="4"/>
  <c r="G319" i="4"/>
  <c r="H319" i="4"/>
  <c r="I319" i="4"/>
  <c r="G320" i="4"/>
  <c r="I320" i="4"/>
  <c r="H320" i="4"/>
  <c r="G321" i="4"/>
  <c r="H321" i="4"/>
  <c r="G322" i="4"/>
  <c r="H322" i="4"/>
  <c r="I322" i="4"/>
  <c r="G323" i="4"/>
  <c r="H323" i="4"/>
  <c r="G324" i="4"/>
  <c r="H324" i="4"/>
  <c r="G325" i="4"/>
  <c r="H325" i="4"/>
  <c r="G326" i="4"/>
  <c r="H326" i="4"/>
  <c r="I326" i="4"/>
  <c r="G327" i="4"/>
  <c r="H327" i="4"/>
  <c r="I327" i="4"/>
  <c r="G328" i="4"/>
  <c r="H328" i="4"/>
  <c r="I328" i="4"/>
  <c r="G329" i="4"/>
  <c r="H329" i="4"/>
  <c r="G330" i="4"/>
  <c r="H330" i="4"/>
  <c r="I330" i="4"/>
  <c r="G331" i="4"/>
  <c r="H331" i="4"/>
  <c r="G332" i="4"/>
  <c r="H332" i="4"/>
  <c r="I332" i="4"/>
  <c r="G333" i="4"/>
  <c r="H333" i="4"/>
  <c r="G334" i="4"/>
  <c r="H334" i="4"/>
  <c r="I334" i="4"/>
  <c r="G335" i="4"/>
  <c r="I335" i="4"/>
  <c r="H335" i="4"/>
  <c r="G336" i="4"/>
  <c r="H336" i="4"/>
  <c r="I336" i="4"/>
  <c r="G337" i="4"/>
  <c r="H337" i="4"/>
  <c r="G338" i="4"/>
  <c r="H338" i="4"/>
  <c r="I338" i="4"/>
  <c r="G339" i="4"/>
  <c r="H339" i="4"/>
  <c r="G340" i="4"/>
  <c r="I340" i="4"/>
  <c r="H340" i="4"/>
  <c r="G341" i="4"/>
  <c r="H341" i="4"/>
  <c r="G342" i="4"/>
  <c r="H342" i="4"/>
  <c r="I342" i="4"/>
  <c r="G343" i="4"/>
  <c r="I343" i="4"/>
  <c r="H343" i="4"/>
  <c r="G344" i="4"/>
  <c r="H344" i="4"/>
  <c r="I344" i="4"/>
  <c r="G345" i="4"/>
  <c r="H345" i="4"/>
  <c r="G346" i="4"/>
  <c r="I346" i="4"/>
  <c r="H346" i="4"/>
  <c r="G347" i="4"/>
  <c r="H347" i="4"/>
  <c r="G348" i="4"/>
  <c r="H348" i="4"/>
  <c r="G349" i="4"/>
  <c r="H349" i="4"/>
  <c r="G350" i="4"/>
  <c r="I350" i="4"/>
  <c r="H350" i="4"/>
  <c r="G351" i="4"/>
  <c r="H351" i="4"/>
  <c r="I351" i="4"/>
  <c r="G352" i="4"/>
  <c r="I352" i="4"/>
  <c r="H352" i="4"/>
  <c r="G353" i="4"/>
  <c r="H353" i="4"/>
  <c r="G354" i="4"/>
  <c r="H354" i="4"/>
  <c r="I354" i="4"/>
  <c r="G355" i="4"/>
  <c r="H355" i="4"/>
  <c r="G356" i="4"/>
  <c r="H356" i="4"/>
  <c r="G357" i="4"/>
  <c r="H357" i="4"/>
  <c r="G358" i="4"/>
  <c r="H358" i="4"/>
  <c r="I358" i="4"/>
  <c r="G359" i="4"/>
  <c r="H359" i="4"/>
  <c r="I359" i="4"/>
  <c r="G360" i="4"/>
  <c r="H360" i="4"/>
  <c r="I360" i="4"/>
  <c r="G361" i="4"/>
  <c r="H361" i="4"/>
  <c r="G362" i="4"/>
  <c r="H362" i="4"/>
  <c r="I362" i="4"/>
  <c r="G363" i="4"/>
  <c r="H363" i="4"/>
  <c r="I363" i="4"/>
  <c r="G364" i="4"/>
  <c r="I364" i="4"/>
  <c r="H364" i="4"/>
  <c r="G365" i="4"/>
  <c r="H365" i="4"/>
  <c r="G366" i="4"/>
  <c r="I366" i="4"/>
  <c r="H366" i="4"/>
  <c r="G367" i="4"/>
  <c r="H367" i="4"/>
  <c r="I367" i="4"/>
  <c r="G368" i="4"/>
  <c r="I368" i="4"/>
  <c r="H368" i="4"/>
  <c r="G369" i="4"/>
  <c r="H369" i="4"/>
  <c r="I369" i="4"/>
  <c r="G370" i="4"/>
  <c r="I370" i="4"/>
  <c r="H370" i="4"/>
  <c r="G371" i="4"/>
  <c r="H371" i="4"/>
  <c r="I371" i="4"/>
  <c r="G372" i="4"/>
  <c r="H372" i="4"/>
  <c r="G373" i="4"/>
  <c r="H373" i="4"/>
  <c r="I373" i="4"/>
  <c r="G374" i="4"/>
  <c r="H374" i="4"/>
  <c r="I374" i="4"/>
  <c r="G375" i="4"/>
  <c r="I375" i="4"/>
  <c r="H375" i="4"/>
  <c r="G376" i="4"/>
  <c r="I376" i="4"/>
  <c r="H376" i="4"/>
  <c r="G377" i="4"/>
  <c r="H377" i="4"/>
  <c r="I377" i="4"/>
  <c r="G378" i="4"/>
  <c r="H378" i="4"/>
  <c r="I378" i="4"/>
  <c r="G379" i="4"/>
  <c r="H379" i="4"/>
  <c r="I379" i="4"/>
  <c r="G380" i="4"/>
  <c r="I380" i="4"/>
  <c r="H380" i="4"/>
  <c r="G381" i="4"/>
  <c r="H381" i="4"/>
  <c r="G382" i="4"/>
  <c r="I382" i="4"/>
  <c r="H382" i="4"/>
  <c r="G383" i="4"/>
  <c r="H383" i="4"/>
  <c r="I383" i="4"/>
  <c r="G384" i="4"/>
  <c r="H384" i="4"/>
  <c r="I384" i="4"/>
  <c r="G385" i="4"/>
  <c r="H385" i="4"/>
  <c r="G386" i="4"/>
  <c r="H386" i="4"/>
  <c r="I386" i="4"/>
  <c r="G387" i="4"/>
  <c r="H387" i="4"/>
  <c r="G388" i="4"/>
  <c r="H388" i="4"/>
  <c r="G389" i="4"/>
  <c r="H389" i="4"/>
  <c r="G390" i="4"/>
  <c r="H390" i="4"/>
  <c r="I390" i="4"/>
  <c r="G391" i="4"/>
  <c r="H391" i="4"/>
  <c r="I391" i="4"/>
  <c r="G392" i="4"/>
  <c r="I392" i="4"/>
  <c r="H392" i="4"/>
  <c r="G393" i="4"/>
  <c r="H393" i="4"/>
  <c r="G394" i="4"/>
  <c r="I394" i="4"/>
  <c r="H394" i="4"/>
  <c r="G395" i="4"/>
  <c r="H395" i="4"/>
  <c r="G396" i="4"/>
  <c r="H396" i="4"/>
  <c r="G397" i="4"/>
  <c r="H397" i="4"/>
  <c r="G398" i="4"/>
  <c r="H398" i="4"/>
  <c r="G400" i="4"/>
  <c r="H400" i="4"/>
  <c r="G401" i="4"/>
  <c r="H401" i="4"/>
  <c r="G402" i="4"/>
  <c r="H402" i="4"/>
  <c r="G403" i="4"/>
  <c r="H403" i="4"/>
  <c r="I403" i="4"/>
  <c r="G404" i="4"/>
  <c r="H404" i="4"/>
  <c r="I404" i="4"/>
  <c r="G405" i="4"/>
  <c r="H405" i="4"/>
  <c r="I405" i="4"/>
  <c r="G406" i="4"/>
  <c r="I406" i="4"/>
  <c r="G407" i="4"/>
  <c r="H407" i="4"/>
  <c r="G408" i="4"/>
  <c r="H408" i="4"/>
  <c r="G409" i="4"/>
  <c r="H409" i="4"/>
  <c r="G410" i="4"/>
  <c r="G411" i="4"/>
  <c r="G412" i="4"/>
  <c r="H412" i="4"/>
  <c r="G413" i="4"/>
  <c r="H413" i="4"/>
  <c r="G414" i="4"/>
  <c r="G415" i="4"/>
  <c r="H415" i="4"/>
  <c r="G416" i="4"/>
  <c r="H416" i="4"/>
  <c r="I416" i="4"/>
  <c r="G417" i="4"/>
  <c r="H417" i="4"/>
  <c r="I417" i="4"/>
  <c r="G418" i="4"/>
  <c r="H418" i="4"/>
  <c r="I418" i="4"/>
  <c r="G419" i="4"/>
  <c r="H419" i="4"/>
  <c r="G420" i="4"/>
  <c r="H420" i="4"/>
  <c r="I420" i="4"/>
  <c r="G421" i="4"/>
  <c r="H421" i="4"/>
  <c r="G422" i="4"/>
  <c r="H422" i="4"/>
  <c r="G423" i="4"/>
  <c r="H423" i="4"/>
  <c r="G424" i="4"/>
  <c r="H424" i="4"/>
  <c r="I424" i="4"/>
  <c r="G425" i="4"/>
  <c r="H425" i="4"/>
  <c r="I425" i="4"/>
  <c r="G426" i="4"/>
  <c r="H426" i="4"/>
  <c r="I426" i="4"/>
  <c r="G427" i="4"/>
  <c r="H427" i="4"/>
  <c r="G428" i="4"/>
  <c r="H428" i="4"/>
  <c r="I428" i="4"/>
  <c r="G429" i="4"/>
  <c r="H429" i="4"/>
  <c r="G430" i="4"/>
  <c r="H430" i="4"/>
  <c r="G431" i="4"/>
  <c r="H431" i="4"/>
  <c r="G432" i="4"/>
  <c r="H432" i="4"/>
  <c r="I432" i="4"/>
  <c r="G433" i="4"/>
  <c r="H433" i="4"/>
  <c r="I433" i="4"/>
  <c r="G434" i="4"/>
  <c r="H434" i="4"/>
  <c r="I434" i="4"/>
  <c r="G435" i="4"/>
  <c r="H435" i="4"/>
  <c r="G436" i="4"/>
  <c r="H436" i="4"/>
  <c r="I436" i="4"/>
  <c r="G437" i="4"/>
  <c r="H437" i="4"/>
  <c r="G438" i="4"/>
  <c r="H438" i="4"/>
  <c r="G439" i="4"/>
  <c r="H439" i="4"/>
  <c r="G440" i="4"/>
  <c r="H440" i="4"/>
  <c r="I440" i="4"/>
  <c r="G441" i="4"/>
  <c r="H441" i="4"/>
  <c r="I441" i="4"/>
  <c r="G442" i="4"/>
  <c r="H442" i="4"/>
  <c r="I442" i="4"/>
  <c r="G443" i="4"/>
  <c r="H443" i="4"/>
  <c r="G444" i="4"/>
  <c r="H444" i="4"/>
  <c r="I444" i="4"/>
  <c r="G445" i="4"/>
  <c r="H445" i="4"/>
  <c r="G446" i="4"/>
  <c r="H446" i="4"/>
  <c r="G447" i="4"/>
  <c r="H447" i="4"/>
  <c r="G448" i="4"/>
  <c r="H448" i="4"/>
  <c r="G449" i="4"/>
  <c r="H449" i="4"/>
  <c r="I449" i="4"/>
  <c r="G450" i="4"/>
  <c r="H450" i="4"/>
  <c r="I450" i="4"/>
  <c r="G451" i="4"/>
  <c r="H451" i="4"/>
  <c r="I451" i="4"/>
  <c r="G452" i="4"/>
  <c r="H452" i="4"/>
  <c r="G453" i="4"/>
  <c r="H453" i="4"/>
  <c r="I453" i="4"/>
  <c r="G454" i="4"/>
  <c r="H454" i="4"/>
  <c r="G455" i="4"/>
  <c r="H455" i="4"/>
  <c r="G456" i="4"/>
  <c r="H456" i="4"/>
  <c r="G457" i="4"/>
  <c r="H457" i="4"/>
  <c r="I457" i="4"/>
  <c r="G458" i="4"/>
  <c r="H458" i="4"/>
  <c r="I458" i="4"/>
  <c r="G459" i="4"/>
  <c r="H459" i="4"/>
  <c r="I459" i="4"/>
  <c r="G460" i="4"/>
  <c r="H460" i="4"/>
  <c r="G461" i="4"/>
  <c r="H461" i="4"/>
  <c r="I461" i="4"/>
  <c r="G462" i="4"/>
  <c r="H462" i="4"/>
  <c r="G463" i="4"/>
  <c r="H463" i="4"/>
  <c r="G464" i="4"/>
  <c r="H464" i="4"/>
  <c r="G465" i="4"/>
  <c r="H465" i="4"/>
  <c r="I465" i="4"/>
  <c r="G466" i="4"/>
  <c r="H466" i="4"/>
  <c r="I466" i="4"/>
  <c r="G467" i="4"/>
  <c r="H467" i="4"/>
  <c r="I467" i="4"/>
  <c r="G468" i="4"/>
  <c r="H468" i="4"/>
  <c r="G469" i="4"/>
  <c r="H469" i="4"/>
  <c r="I469" i="4"/>
  <c r="G470" i="4"/>
  <c r="H470" i="4"/>
  <c r="G471" i="4"/>
  <c r="H471" i="4"/>
  <c r="G472" i="4"/>
  <c r="H472" i="4"/>
  <c r="G473" i="4"/>
  <c r="H473" i="4"/>
  <c r="I473" i="4"/>
  <c r="G474" i="4"/>
  <c r="H474" i="4"/>
  <c r="I474" i="4"/>
  <c r="G475" i="4"/>
  <c r="H475" i="4"/>
  <c r="I475" i="4"/>
  <c r="G476" i="4"/>
  <c r="H476" i="4"/>
  <c r="G477" i="4"/>
  <c r="H477" i="4"/>
  <c r="I477" i="4"/>
  <c r="G478" i="4"/>
  <c r="H478" i="4"/>
  <c r="G479" i="4"/>
  <c r="H479" i="4"/>
  <c r="G480" i="4"/>
  <c r="H480" i="4"/>
  <c r="G481" i="4"/>
  <c r="H481" i="4"/>
  <c r="I481" i="4"/>
  <c r="G482" i="4"/>
  <c r="H482" i="4"/>
  <c r="I482" i="4"/>
  <c r="G483" i="4"/>
  <c r="H483" i="4"/>
  <c r="I483" i="4"/>
  <c r="G484" i="4"/>
  <c r="H484" i="4"/>
  <c r="G485" i="4"/>
  <c r="H485" i="4"/>
  <c r="I485" i="4"/>
  <c r="G486" i="4"/>
  <c r="H486" i="4"/>
  <c r="G487" i="4"/>
  <c r="H487" i="4"/>
  <c r="G488" i="4"/>
  <c r="H488" i="4"/>
  <c r="G489" i="4"/>
  <c r="H489" i="4"/>
  <c r="I489" i="4"/>
  <c r="G490" i="4"/>
  <c r="H490" i="4"/>
  <c r="I490" i="4"/>
  <c r="G491" i="4"/>
  <c r="H491" i="4"/>
  <c r="I491" i="4"/>
  <c r="G492" i="4"/>
  <c r="H492" i="4"/>
  <c r="G493" i="4"/>
  <c r="H493" i="4"/>
  <c r="I493" i="4"/>
  <c r="G494" i="4"/>
  <c r="H494" i="4"/>
  <c r="G495" i="4"/>
  <c r="H495" i="4"/>
  <c r="G496" i="4"/>
  <c r="H496" i="4"/>
  <c r="G497" i="4"/>
  <c r="H497" i="4"/>
  <c r="I497" i="4"/>
  <c r="G498" i="4"/>
  <c r="H498" i="4"/>
  <c r="I498" i="4"/>
  <c r="G499" i="4"/>
  <c r="H499" i="4"/>
  <c r="I499" i="4"/>
  <c r="G500" i="4"/>
  <c r="H500" i="4"/>
  <c r="G501" i="4"/>
  <c r="H501" i="4"/>
  <c r="I501" i="4"/>
  <c r="G502" i="4"/>
  <c r="H502" i="4"/>
  <c r="G503" i="4"/>
  <c r="H503" i="4"/>
  <c r="G504" i="4"/>
  <c r="H504" i="4"/>
  <c r="G505" i="4"/>
  <c r="H505" i="4"/>
  <c r="I505" i="4"/>
  <c r="G506" i="4"/>
  <c r="H506" i="4"/>
  <c r="I506" i="4"/>
  <c r="G507" i="4"/>
  <c r="H507" i="4"/>
  <c r="I507" i="4"/>
  <c r="G508" i="4"/>
  <c r="H508" i="4"/>
  <c r="G509" i="4"/>
  <c r="H509" i="4"/>
  <c r="I509" i="4"/>
  <c r="G510" i="4"/>
  <c r="H510" i="4"/>
  <c r="G511" i="4"/>
  <c r="H511" i="4"/>
  <c r="G512" i="4"/>
  <c r="H512" i="4"/>
  <c r="G513" i="4"/>
  <c r="H513" i="4"/>
  <c r="I513" i="4"/>
  <c r="G514" i="4"/>
  <c r="H514" i="4"/>
  <c r="I514" i="4"/>
  <c r="G515" i="4"/>
  <c r="H515" i="4"/>
  <c r="I515" i="4"/>
  <c r="G516" i="4"/>
  <c r="H516" i="4"/>
  <c r="G517" i="4"/>
  <c r="H517" i="4"/>
  <c r="I517" i="4"/>
  <c r="G518" i="4"/>
  <c r="H518" i="4"/>
  <c r="G519" i="4"/>
  <c r="H519" i="4"/>
  <c r="G520" i="4"/>
  <c r="H520" i="4"/>
  <c r="G521" i="4"/>
  <c r="H521" i="4"/>
  <c r="I521" i="4"/>
  <c r="G522" i="4"/>
  <c r="H522" i="4"/>
  <c r="I522" i="4"/>
  <c r="G523" i="4"/>
  <c r="H523" i="4"/>
  <c r="I523" i="4"/>
  <c r="G524" i="4"/>
  <c r="H524" i="4"/>
  <c r="G525" i="4"/>
  <c r="H525" i="4"/>
  <c r="I525" i="4"/>
  <c r="G526" i="4"/>
  <c r="H526" i="4"/>
  <c r="G527" i="4"/>
  <c r="H527" i="4"/>
  <c r="G528" i="4"/>
  <c r="H528" i="4"/>
  <c r="G529" i="4"/>
  <c r="H529" i="4"/>
  <c r="I529" i="4"/>
  <c r="G530" i="4"/>
  <c r="H530" i="4"/>
  <c r="I530" i="4"/>
  <c r="G531" i="4"/>
  <c r="H531" i="4"/>
  <c r="I531" i="4"/>
  <c r="G532" i="4"/>
  <c r="H532" i="4"/>
  <c r="G533" i="4"/>
  <c r="H533" i="4"/>
  <c r="I533" i="4"/>
  <c r="G534" i="4"/>
  <c r="H534" i="4"/>
  <c r="G535" i="4"/>
  <c r="H535" i="4"/>
  <c r="G536" i="4"/>
  <c r="H536" i="4"/>
  <c r="G537" i="4"/>
  <c r="H537" i="4"/>
  <c r="I537" i="4"/>
  <c r="G538" i="4"/>
  <c r="H538" i="4"/>
  <c r="I538" i="4"/>
  <c r="G539" i="4"/>
  <c r="H539" i="4"/>
  <c r="I539" i="4"/>
  <c r="G540" i="4"/>
  <c r="H540" i="4"/>
  <c r="G541" i="4"/>
  <c r="H541" i="4"/>
  <c r="I541" i="4"/>
  <c r="G542" i="4"/>
  <c r="H542" i="4"/>
  <c r="G543" i="4"/>
  <c r="H543" i="4"/>
  <c r="G544" i="4"/>
  <c r="H544" i="4"/>
  <c r="G545" i="4"/>
  <c r="H545" i="4"/>
  <c r="I545" i="4"/>
  <c r="G546" i="4"/>
  <c r="H546" i="4"/>
  <c r="I546" i="4"/>
  <c r="G547" i="4"/>
  <c r="H547" i="4"/>
  <c r="I547" i="4"/>
  <c r="G548" i="4"/>
  <c r="H548" i="4"/>
  <c r="G549" i="4"/>
  <c r="H549" i="4"/>
  <c r="I549" i="4"/>
  <c r="G550" i="4"/>
  <c r="H550" i="4"/>
  <c r="G551" i="4"/>
  <c r="H551" i="4"/>
  <c r="G552" i="4"/>
  <c r="H552" i="4"/>
  <c r="G553" i="4"/>
  <c r="H553" i="4"/>
  <c r="I553" i="4"/>
  <c r="G554" i="4"/>
  <c r="H554" i="4"/>
  <c r="I554" i="4"/>
  <c r="G555" i="4"/>
  <c r="H555" i="4"/>
  <c r="I555" i="4"/>
  <c r="G556" i="4"/>
  <c r="H556" i="4"/>
  <c r="G557" i="4"/>
  <c r="H557" i="4"/>
  <c r="I557" i="4"/>
  <c r="G558" i="4"/>
  <c r="H558" i="4"/>
  <c r="G559" i="4"/>
  <c r="H559" i="4"/>
  <c r="G560" i="4"/>
  <c r="H560" i="4"/>
  <c r="G561" i="4"/>
  <c r="H561" i="4"/>
  <c r="I561" i="4"/>
  <c r="G562" i="4"/>
  <c r="H562" i="4"/>
  <c r="I562" i="4"/>
  <c r="G563" i="4"/>
  <c r="H563" i="4"/>
  <c r="I563" i="4"/>
  <c r="G564" i="4"/>
  <c r="H564" i="4"/>
  <c r="G565" i="4"/>
  <c r="H565" i="4"/>
  <c r="I565" i="4"/>
  <c r="G566" i="4"/>
  <c r="H566" i="4"/>
  <c r="G567" i="4"/>
  <c r="H567" i="4"/>
  <c r="G568" i="4"/>
  <c r="H568" i="4"/>
  <c r="G569" i="4"/>
  <c r="H569" i="4"/>
  <c r="I569" i="4"/>
  <c r="G570" i="4"/>
  <c r="H570" i="4"/>
  <c r="I570" i="4"/>
  <c r="G571" i="4"/>
  <c r="H571" i="4"/>
  <c r="I571" i="4"/>
  <c r="G572" i="4"/>
  <c r="H572" i="4"/>
  <c r="G573" i="4"/>
  <c r="H573" i="4"/>
  <c r="I573" i="4"/>
  <c r="G574" i="4"/>
  <c r="H574" i="4"/>
  <c r="G575" i="4"/>
  <c r="H575" i="4"/>
  <c r="G576" i="4"/>
  <c r="H576" i="4"/>
  <c r="G577" i="4"/>
  <c r="H577" i="4"/>
  <c r="I577" i="4"/>
  <c r="G578" i="4"/>
  <c r="H578" i="4"/>
  <c r="I578" i="4"/>
  <c r="G579" i="4"/>
  <c r="H579" i="4"/>
  <c r="I579" i="4"/>
  <c r="G580" i="4"/>
  <c r="H580" i="4"/>
  <c r="G581" i="4"/>
  <c r="H581" i="4"/>
  <c r="I581" i="4"/>
  <c r="G582" i="4"/>
  <c r="H582" i="4"/>
  <c r="G583" i="4"/>
  <c r="H583" i="4"/>
  <c r="G584" i="4"/>
  <c r="H584" i="4"/>
  <c r="G585" i="4"/>
  <c r="H585" i="4"/>
  <c r="I585" i="4"/>
  <c r="G586" i="4"/>
  <c r="H586" i="4"/>
  <c r="I586" i="4"/>
  <c r="G587" i="4"/>
  <c r="H587" i="4"/>
  <c r="I587" i="4"/>
  <c r="G588" i="4"/>
  <c r="H588" i="4"/>
  <c r="G589" i="4"/>
  <c r="H589" i="4"/>
  <c r="I589" i="4"/>
  <c r="G590" i="4"/>
  <c r="H590" i="4"/>
  <c r="G591" i="4"/>
  <c r="H591" i="4"/>
  <c r="G592" i="4"/>
  <c r="H592" i="4"/>
  <c r="G593" i="4"/>
  <c r="H593" i="4"/>
  <c r="I593" i="4"/>
  <c r="G594" i="4"/>
  <c r="H594" i="4"/>
  <c r="I594" i="4"/>
  <c r="G595" i="4"/>
  <c r="H595" i="4"/>
  <c r="I595" i="4"/>
  <c r="G596" i="4"/>
  <c r="H596" i="4"/>
  <c r="G597" i="4"/>
  <c r="H597" i="4"/>
  <c r="I597" i="4"/>
  <c r="G598" i="4"/>
  <c r="H598" i="4"/>
  <c r="G599" i="4"/>
  <c r="H599" i="4"/>
  <c r="G600" i="4"/>
  <c r="H600" i="4"/>
  <c r="G601" i="4"/>
  <c r="H601" i="4"/>
  <c r="I601" i="4"/>
  <c r="G602" i="4"/>
  <c r="H602" i="4"/>
  <c r="I602" i="4"/>
  <c r="G603" i="4"/>
  <c r="H603" i="4"/>
  <c r="I603" i="4"/>
  <c r="G604" i="4"/>
  <c r="H604" i="4"/>
  <c r="G605" i="4"/>
  <c r="H605" i="4"/>
  <c r="I605" i="4"/>
  <c r="G606" i="4"/>
  <c r="H606" i="4"/>
  <c r="G607" i="4"/>
  <c r="H607" i="4"/>
  <c r="G608" i="4"/>
  <c r="H608" i="4"/>
  <c r="G609" i="4"/>
  <c r="H609" i="4"/>
  <c r="I609" i="4"/>
  <c r="G610" i="4"/>
  <c r="H610" i="4"/>
  <c r="I610" i="4"/>
  <c r="G611" i="4"/>
  <c r="H611" i="4"/>
  <c r="I611" i="4"/>
  <c r="G612" i="4"/>
  <c r="H612" i="4"/>
  <c r="G613" i="4"/>
  <c r="H613" i="4"/>
  <c r="I613" i="4"/>
  <c r="G614" i="4"/>
  <c r="H614" i="4"/>
  <c r="G615" i="4"/>
  <c r="H615" i="4"/>
  <c r="G616" i="4"/>
  <c r="H616" i="4"/>
  <c r="G617" i="4"/>
  <c r="H617" i="4"/>
  <c r="I617" i="4"/>
  <c r="G618" i="4"/>
  <c r="H618" i="4"/>
  <c r="I618" i="4"/>
  <c r="G619" i="4"/>
  <c r="H619" i="4"/>
  <c r="I619" i="4"/>
  <c r="G620" i="4"/>
  <c r="H620" i="4"/>
  <c r="G621" i="4"/>
  <c r="H621" i="4"/>
  <c r="I621" i="4"/>
  <c r="G622" i="4"/>
  <c r="H622" i="4"/>
  <c r="G623" i="4"/>
  <c r="H623" i="4"/>
  <c r="G624" i="4"/>
  <c r="H624" i="4"/>
  <c r="G625" i="4"/>
  <c r="H625" i="4"/>
  <c r="I625" i="4"/>
  <c r="G626" i="4"/>
  <c r="H626" i="4"/>
  <c r="I626" i="4"/>
  <c r="G627" i="4"/>
  <c r="H627" i="4"/>
  <c r="I627" i="4"/>
  <c r="G628" i="4"/>
  <c r="H628" i="4"/>
  <c r="G629" i="4"/>
  <c r="H629" i="4"/>
  <c r="I629" i="4"/>
  <c r="G630" i="4"/>
  <c r="H630" i="4"/>
  <c r="G631" i="4"/>
  <c r="H631" i="4"/>
  <c r="G632" i="4"/>
  <c r="H632" i="4"/>
  <c r="G633" i="4"/>
  <c r="H633" i="4"/>
  <c r="I633" i="4"/>
  <c r="G634" i="4"/>
  <c r="H634" i="4"/>
  <c r="I634" i="4"/>
  <c r="G635" i="4"/>
  <c r="H635" i="4"/>
  <c r="I635" i="4"/>
  <c r="G636" i="4"/>
  <c r="H636" i="4"/>
  <c r="G637" i="4"/>
  <c r="H637" i="4"/>
  <c r="I637" i="4"/>
  <c r="G638" i="4"/>
  <c r="H638" i="4"/>
  <c r="G639" i="4"/>
  <c r="H639" i="4"/>
  <c r="G640" i="4"/>
  <c r="H640" i="4"/>
  <c r="G641" i="4"/>
  <c r="H641" i="4"/>
  <c r="I641" i="4"/>
  <c r="G642" i="4"/>
  <c r="H642" i="4"/>
  <c r="I642" i="4"/>
  <c r="G643" i="4"/>
  <c r="H643" i="4"/>
  <c r="I643" i="4"/>
  <c r="G644" i="4"/>
  <c r="H644" i="4"/>
  <c r="G645" i="4"/>
  <c r="H645" i="4"/>
  <c r="I645" i="4"/>
  <c r="G646" i="4"/>
  <c r="H646" i="4"/>
  <c r="G647" i="4"/>
  <c r="H647" i="4"/>
  <c r="G648" i="4"/>
  <c r="H648" i="4"/>
  <c r="G649" i="4"/>
  <c r="H649" i="4"/>
  <c r="I649" i="4"/>
  <c r="G650" i="4"/>
  <c r="H650" i="4"/>
  <c r="I650" i="4"/>
  <c r="G651" i="4"/>
  <c r="H651" i="4"/>
  <c r="I651" i="4"/>
  <c r="G652" i="4"/>
  <c r="H652" i="4"/>
  <c r="G653" i="4"/>
  <c r="H653" i="4"/>
  <c r="I653" i="4"/>
  <c r="G654" i="4"/>
  <c r="H654" i="4"/>
  <c r="G655" i="4"/>
  <c r="H655" i="4"/>
  <c r="G656" i="4"/>
  <c r="H656" i="4"/>
  <c r="G657" i="4"/>
  <c r="H657" i="4"/>
  <c r="I657" i="4"/>
  <c r="G658" i="4"/>
  <c r="H658" i="4"/>
  <c r="I658" i="4"/>
  <c r="G659" i="4"/>
  <c r="H659" i="4"/>
  <c r="I659" i="4"/>
  <c r="G660" i="4"/>
  <c r="H660" i="4"/>
  <c r="G661" i="4"/>
  <c r="H661" i="4"/>
  <c r="I661" i="4"/>
  <c r="G662" i="4"/>
  <c r="H662" i="4"/>
  <c r="G663" i="4"/>
  <c r="H663" i="4"/>
  <c r="G664" i="4"/>
  <c r="H664" i="4"/>
  <c r="G665" i="4"/>
  <c r="H665" i="4"/>
  <c r="I665" i="4"/>
  <c r="G666" i="4"/>
  <c r="H666" i="4"/>
  <c r="I666" i="4"/>
  <c r="G667" i="4"/>
  <c r="H667" i="4"/>
  <c r="I667" i="4"/>
  <c r="G668" i="4"/>
  <c r="H668" i="4"/>
  <c r="G669" i="4"/>
  <c r="H669" i="4"/>
  <c r="I669" i="4"/>
  <c r="G670" i="4"/>
  <c r="H670" i="4"/>
  <c r="G671" i="4"/>
  <c r="H671" i="4"/>
  <c r="G672" i="4"/>
  <c r="H672" i="4"/>
  <c r="G673" i="4"/>
  <c r="H673" i="4"/>
  <c r="I673" i="4"/>
  <c r="G674" i="4"/>
  <c r="H674" i="4"/>
  <c r="I674" i="4"/>
  <c r="G675" i="4"/>
  <c r="H675" i="4"/>
  <c r="I675" i="4"/>
  <c r="G676" i="4"/>
  <c r="H676" i="4"/>
  <c r="G677" i="4"/>
  <c r="H677" i="4"/>
  <c r="I677" i="4"/>
  <c r="G678" i="4"/>
  <c r="H678" i="4"/>
  <c r="G679" i="4"/>
  <c r="H679" i="4"/>
  <c r="G680" i="4"/>
  <c r="H680" i="4"/>
  <c r="G681" i="4"/>
  <c r="I681" i="4"/>
  <c r="H681" i="4"/>
  <c r="G682" i="4"/>
  <c r="H682" i="4"/>
  <c r="G683" i="4"/>
  <c r="H683" i="4"/>
  <c r="I683" i="4"/>
  <c r="G684" i="4"/>
  <c r="H684" i="4"/>
  <c r="I684" i="4"/>
  <c r="G685" i="4"/>
  <c r="H685" i="4"/>
  <c r="I685" i="4"/>
  <c r="G686" i="4"/>
  <c r="H686" i="4"/>
  <c r="G687" i="4"/>
  <c r="H687" i="4"/>
  <c r="I687" i="4"/>
  <c r="G688" i="4"/>
  <c r="H688" i="4"/>
  <c r="G689" i="4"/>
  <c r="H689" i="4"/>
  <c r="G690" i="4"/>
  <c r="H690" i="4"/>
  <c r="G691" i="4"/>
  <c r="H691" i="4"/>
  <c r="I691" i="4"/>
  <c r="G692" i="4"/>
  <c r="H692" i="4"/>
  <c r="I692" i="4"/>
  <c r="G693" i="4"/>
  <c r="H693" i="4"/>
  <c r="I693" i="4"/>
  <c r="G694" i="4"/>
  <c r="H694" i="4"/>
  <c r="G695" i="4"/>
  <c r="H695" i="4"/>
  <c r="G696" i="4"/>
  <c r="H696" i="4"/>
  <c r="G697" i="4"/>
  <c r="H697" i="4"/>
  <c r="I697" i="4"/>
  <c r="G698" i="4"/>
  <c r="H698" i="4"/>
  <c r="G341" i="2"/>
  <c r="H341" i="2"/>
  <c r="I341" i="2"/>
  <c r="G342" i="2"/>
  <c r="H342" i="2"/>
  <c r="I342" i="2"/>
  <c r="G343" i="2"/>
  <c r="I343" i="2"/>
  <c r="H343" i="2"/>
  <c r="G344" i="2"/>
  <c r="H344" i="2"/>
  <c r="G345" i="2"/>
  <c r="H345" i="2"/>
  <c r="I345" i="2"/>
  <c r="G346" i="2"/>
  <c r="H346" i="2"/>
  <c r="I346" i="2"/>
  <c r="G347" i="2"/>
  <c r="H347" i="2"/>
  <c r="I347" i="2"/>
  <c r="G348" i="2"/>
  <c r="I348" i="2"/>
  <c r="H348" i="2"/>
  <c r="G349" i="2"/>
  <c r="H349" i="2"/>
  <c r="I349" i="2"/>
  <c r="G350" i="2"/>
  <c r="H350" i="2"/>
  <c r="I350" i="2"/>
  <c r="G351" i="2"/>
  <c r="H351" i="2"/>
  <c r="I351" i="2"/>
  <c r="G352" i="2"/>
  <c r="H352" i="2"/>
  <c r="I352" i="2"/>
  <c r="G353" i="2"/>
  <c r="I353" i="2"/>
  <c r="H353" i="2"/>
  <c r="G354" i="2"/>
  <c r="I354" i="2"/>
  <c r="H354" i="2"/>
  <c r="G355" i="2"/>
  <c r="H355" i="2"/>
  <c r="G356" i="2"/>
  <c r="H356" i="2"/>
  <c r="G357" i="2"/>
  <c r="H357" i="2"/>
  <c r="I357" i="2"/>
  <c r="G358" i="2"/>
  <c r="H358" i="2"/>
  <c r="I358" i="2"/>
  <c r="G359" i="2"/>
  <c r="H359" i="2"/>
  <c r="I359" i="2"/>
  <c r="G360" i="2"/>
  <c r="H360" i="2"/>
  <c r="G361" i="2"/>
  <c r="H361" i="2"/>
  <c r="I361" i="2"/>
  <c r="G362" i="2"/>
  <c r="H362" i="2"/>
  <c r="G363" i="2"/>
  <c r="I363" i="2"/>
  <c r="H363" i="2"/>
  <c r="H277" i="1"/>
  <c r="I277" i="1"/>
  <c r="H278" i="1"/>
  <c r="H279" i="1"/>
  <c r="I279" i="1"/>
  <c r="H281" i="1"/>
  <c r="I281" i="1"/>
  <c r="H282" i="1"/>
  <c r="I282" i="1"/>
  <c r="H283" i="1"/>
  <c r="I283" i="1"/>
  <c r="H284" i="1"/>
  <c r="I284" i="1"/>
  <c r="H285" i="1"/>
  <c r="I285" i="1"/>
  <c r="H286" i="1"/>
  <c r="I286" i="1"/>
  <c r="H287" i="1"/>
  <c r="I287" i="1"/>
  <c r="H288" i="1"/>
  <c r="I288" i="1"/>
  <c r="H289" i="1"/>
  <c r="I289" i="1"/>
  <c r="H290" i="1"/>
  <c r="I290" i="1"/>
  <c r="H291" i="1"/>
  <c r="I291" i="1"/>
  <c r="H292" i="1"/>
  <c r="I292" i="1"/>
  <c r="H293" i="1"/>
  <c r="I293" i="1"/>
  <c r="H294" i="1"/>
  <c r="I294" i="1"/>
  <c r="I295" i="1"/>
  <c r="H296" i="1"/>
  <c r="I296" i="1"/>
  <c r="H297" i="1"/>
  <c r="I297" i="1"/>
  <c r="H298" i="1"/>
  <c r="I298" i="1"/>
  <c r="H299" i="1"/>
  <c r="I299" i="1"/>
  <c r="H302" i="1"/>
  <c r="I302" i="1"/>
  <c r="H304" i="1"/>
  <c r="I304" i="1"/>
  <c r="H306" i="1"/>
  <c r="I306" i="1"/>
  <c r="H307" i="1"/>
  <c r="H308" i="1"/>
  <c r="H309" i="1"/>
  <c r="H310" i="1"/>
  <c r="I310" i="1"/>
  <c r="I311" i="1"/>
  <c r="H312" i="1"/>
  <c r="I312" i="1"/>
  <c r="H314" i="1"/>
  <c r="I314" i="1"/>
  <c r="H315" i="1"/>
  <c r="I315" i="1"/>
  <c r="H316" i="1"/>
  <c r="I316" i="1"/>
  <c r="H317" i="1"/>
  <c r="I317" i="1"/>
  <c r="H318" i="1"/>
  <c r="I318" i="1"/>
  <c r="H319" i="1"/>
  <c r="I319" i="1"/>
  <c r="H320" i="1"/>
  <c r="I320" i="1"/>
  <c r="H321" i="1"/>
  <c r="I321" i="1"/>
  <c r="H322" i="1"/>
  <c r="I322" i="1"/>
  <c r="H323" i="1"/>
  <c r="I323" i="1"/>
  <c r="H324" i="1"/>
  <c r="I324" i="1"/>
  <c r="H325" i="1"/>
  <c r="I325" i="1"/>
  <c r="H326" i="1"/>
  <c r="I326" i="1"/>
  <c r="H327" i="1"/>
  <c r="I327" i="1"/>
  <c r="H328" i="1"/>
  <c r="I328" i="1"/>
  <c r="H329" i="1"/>
  <c r="I329" i="1"/>
  <c r="H330" i="1"/>
  <c r="I330" i="1"/>
  <c r="H331" i="1"/>
  <c r="I331" i="1"/>
  <c r="H332" i="1"/>
  <c r="I332" i="1"/>
  <c r="H333" i="1"/>
  <c r="I333" i="1"/>
  <c r="H334" i="1"/>
  <c r="I334" i="1"/>
  <c r="H335" i="1"/>
  <c r="H336" i="1"/>
  <c r="H337" i="1"/>
  <c r="I337" i="1"/>
  <c r="H338" i="1"/>
  <c r="I338" i="1"/>
  <c r="H339" i="1"/>
  <c r="I339" i="1"/>
  <c r="H340" i="1"/>
  <c r="I340" i="1"/>
  <c r="H341" i="1"/>
  <c r="I341" i="1"/>
  <c r="H342" i="1"/>
  <c r="I342" i="1"/>
  <c r="H343" i="1"/>
  <c r="I343" i="1"/>
  <c r="H344" i="1"/>
  <c r="I344" i="1"/>
  <c r="I345" i="1"/>
  <c r="H346" i="1"/>
  <c r="I346" i="1"/>
  <c r="H347" i="1"/>
  <c r="I347" i="1"/>
  <c r="H348" i="1"/>
  <c r="I348" i="1"/>
  <c r="H349" i="1"/>
  <c r="I349" i="1"/>
  <c r="H350" i="1"/>
  <c r="I350" i="1"/>
  <c r="H351" i="1"/>
  <c r="I351" i="1"/>
  <c r="H352" i="1"/>
  <c r="I352" i="1"/>
  <c r="H353" i="1"/>
  <c r="I353" i="1"/>
  <c r="H354" i="1"/>
  <c r="I354" i="1"/>
  <c r="H355" i="1"/>
  <c r="I355" i="1"/>
  <c r="H356" i="1"/>
  <c r="I356" i="1"/>
  <c r="H357" i="1"/>
  <c r="I357" i="1"/>
  <c r="H358" i="1"/>
  <c r="I358" i="1"/>
  <c r="H359" i="1"/>
  <c r="H360" i="1"/>
  <c r="I360" i="1"/>
  <c r="H361" i="1"/>
  <c r="I361" i="1"/>
  <c r="H362" i="1"/>
  <c r="I362" i="1"/>
  <c r="H363" i="1"/>
  <c r="I363" i="1"/>
  <c r="H364" i="1"/>
  <c r="I364" i="1"/>
  <c r="H365" i="1"/>
  <c r="I365" i="1"/>
  <c r="H366" i="1"/>
  <c r="I366" i="1"/>
  <c r="H367" i="1"/>
  <c r="I367" i="1"/>
  <c r="H368" i="1"/>
  <c r="I368" i="1"/>
  <c r="H369" i="1"/>
  <c r="I369" i="1"/>
  <c r="H370" i="1"/>
  <c r="I370" i="1"/>
  <c r="H371" i="1"/>
  <c r="I371" i="1"/>
  <c r="H372" i="1"/>
  <c r="I372" i="1"/>
  <c r="H373" i="1"/>
  <c r="I373" i="1"/>
  <c r="H374" i="1"/>
  <c r="I374" i="1"/>
  <c r="H375" i="1"/>
  <c r="I375" i="1"/>
  <c r="H376" i="1"/>
  <c r="I376" i="1"/>
  <c r="H377" i="1"/>
  <c r="I377" i="1"/>
  <c r="H378" i="1"/>
  <c r="I378" i="1"/>
  <c r="H379" i="1"/>
  <c r="I379" i="1"/>
  <c r="H380" i="1"/>
  <c r="I380" i="1"/>
  <c r="H381" i="1"/>
  <c r="I381" i="1"/>
  <c r="H382" i="1"/>
  <c r="I382" i="1"/>
  <c r="H383" i="1"/>
  <c r="I383" i="1"/>
  <c r="H384" i="1"/>
  <c r="I384" i="1"/>
  <c r="H385" i="1"/>
  <c r="I385" i="1"/>
  <c r="H386" i="1"/>
  <c r="I386" i="1"/>
  <c r="H387" i="1"/>
  <c r="I387" i="1"/>
  <c r="H388" i="1"/>
  <c r="I388" i="1"/>
  <c r="H389" i="1"/>
  <c r="I389" i="1"/>
  <c r="H390" i="1"/>
  <c r="I390" i="1"/>
  <c r="H391" i="1"/>
  <c r="I391" i="1"/>
  <c r="H392" i="1"/>
  <c r="I392" i="1"/>
  <c r="H393" i="1"/>
  <c r="I393" i="1"/>
  <c r="H394" i="1"/>
  <c r="I394" i="1"/>
  <c r="H395" i="1"/>
  <c r="H396" i="1"/>
  <c r="I396" i="1"/>
  <c r="H397" i="1"/>
  <c r="H398" i="1"/>
  <c r="I398" i="1"/>
  <c r="H399" i="1"/>
  <c r="I399" i="1"/>
  <c r="H400" i="1"/>
  <c r="H401" i="1"/>
  <c r="H402" i="1"/>
  <c r="H405" i="1"/>
  <c r="I405" i="1"/>
  <c r="H406" i="1"/>
  <c r="I406" i="1"/>
  <c r="H407" i="1"/>
  <c r="I407" i="1"/>
  <c r="H408" i="1"/>
  <c r="I408" i="1"/>
  <c r="H413" i="1"/>
  <c r="I413" i="1"/>
  <c r="H414" i="1"/>
  <c r="I414" i="1"/>
  <c r="H415" i="1"/>
  <c r="I415" i="1"/>
  <c r="H416" i="1"/>
  <c r="I416" i="1"/>
  <c r="H417" i="1"/>
  <c r="I417" i="1"/>
  <c r="H418" i="1"/>
  <c r="I418" i="1"/>
  <c r="H419" i="1"/>
  <c r="I419" i="1"/>
  <c r="H420" i="1"/>
  <c r="I420" i="1"/>
  <c r="H421" i="1"/>
  <c r="I421" i="1"/>
  <c r="H422" i="1"/>
  <c r="I422" i="1"/>
  <c r="H423" i="1"/>
  <c r="I423" i="1"/>
  <c r="H424" i="1"/>
  <c r="I424" i="1"/>
  <c r="H425" i="1"/>
  <c r="I425" i="1"/>
  <c r="H426" i="1"/>
  <c r="I426" i="1"/>
  <c r="H427" i="1"/>
  <c r="I427" i="1"/>
  <c r="H428" i="1"/>
  <c r="I428" i="1"/>
  <c r="H429" i="1"/>
  <c r="I429" i="1"/>
  <c r="H430" i="1"/>
  <c r="I430" i="1"/>
  <c r="H431" i="1"/>
  <c r="I431" i="1"/>
  <c r="H432" i="1"/>
  <c r="I432" i="1"/>
  <c r="H433" i="1"/>
  <c r="I433" i="1"/>
  <c r="H434" i="1"/>
  <c r="I434" i="1"/>
  <c r="H435" i="1"/>
  <c r="I435" i="1"/>
  <c r="H436" i="1"/>
  <c r="I436" i="1"/>
  <c r="H437" i="1"/>
  <c r="I437" i="1"/>
  <c r="H438" i="1"/>
  <c r="I438" i="1"/>
  <c r="H439" i="1"/>
  <c r="I439" i="1"/>
  <c r="H440" i="1"/>
  <c r="I440" i="1"/>
  <c r="H441" i="1"/>
  <c r="I441" i="1"/>
  <c r="H442" i="1"/>
  <c r="I442" i="1"/>
  <c r="H443" i="1"/>
  <c r="I443" i="1"/>
  <c r="H444" i="1"/>
  <c r="I444" i="1"/>
  <c r="H445" i="1"/>
  <c r="I445" i="1"/>
  <c r="H446" i="1"/>
  <c r="I446" i="1"/>
  <c r="H447" i="1"/>
  <c r="I447" i="1"/>
  <c r="H448" i="1"/>
  <c r="I448" i="1"/>
  <c r="H449" i="1"/>
  <c r="I449" i="1"/>
  <c r="H450" i="1"/>
  <c r="I450" i="1"/>
  <c r="H451" i="1"/>
  <c r="I451" i="1"/>
  <c r="H452" i="1"/>
  <c r="I452" i="1"/>
  <c r="H453" i="1"/>
  <c r="I453" i="1"/>
  <c r="H454" i="1"/>
  <c r="I454" i="1"/>
  <c r="H455" i="1"/>
  <c r="I455" i="1"/>
  <c r="H456" i="1"/>
  <c r="I456" i="1"/>
  <c r="H457" i="1"/>
  <c r="I457" i="1"/>
  <c r="H458" i="1"/>
  <c r="I458" i="1"/>
  <c r="H459" i="1"/>
  <c r="I459" i="1"/>
  <c r="H460" i="1"/>
  <c r="I460" i="1"/>
  <c r="H461" i="1"/>
  <c r="I461" i="1"/>
  <c r="H462" i="1"/>
  <c r="I462" i="1"/>
  <c r="H463" i="1"/>
  <c r="I463" i="1"/>
  <c r="H464" i="1"/>
  <c r="I464" i="1"/>
  <c r="H465" i="1"/>
  <c r="I465" i="1"/>
  <c r="H466" i="1"/>
  <c r="I466" i="1"/>
  <c r="H467" i="1"/>
  <c r="I467" i="1"/>
  <c r="H468" i="1"/>
  <c r="I468" i="1"/>
  <c r="H469" i="1"/>
  <c r="I469" i="1"/>
  <c r="H470" i="1"/>
  <c r="I470" i="1"/>
  <c r="H471" i="1"/>
  <c r="I471" i="1"/>
  <c r="H472" i="1"/>
  <c r="I472" i="1"/>
  <c r="H473" i="1"/>
  <c r="I473" i="1"/>
  <c r="H474" i="1"/>
  <c r="I474" i="1"/>
  <c r="H475" i="1"/>
  <c r="I475" i="1"/>
  <c r="H476" i="1"/>
  <c r="I476" i="1"/>
  <c r="H477" i="1"/>
  <c r="I477" i="1"/>
  <c r="H478" i="1"/>
  <c r="I478" i="1"/>
  <c r="H479" i="1"/>
  <c r="I479" i="1"/>
  <c r="H480" i="1"/>
  <c r="I480" i="1"/>
  <c r="H481" i="1"/>
  <c r="I481" i="1"/>
  <c r="H482" i="1"/>
  <c r="I482" i="1"/>
  <c r="H483" i="1"/>
  <c r="I483" i="1"/>
  <c r="H484" i="1"/>
  <c r="I484" i="1"/>
  <c r="H485" i="1"/>
  <c r="I485" i="1"/>
  <c r="H486" i="1"/>
  <c r="I486" i="1"/>
  <c r="H487" i="1"/>
  <c r="I487" i="1"/>
  <c r="H488" i="1"/>
  <c r="I488" i="1"/>
  <c r="H489" i="1"/>
  <c r="I489" i="1"/>
  <c r="H490" i="1"/>
  <c r="I490" i="1"/>
  <c r="H491" i="1"/>
  <c r="I491" i="1"/>
  <c r="H492" i="1"/>
  <c r="I492" i="1"/>
  <c r="H493" i="1"/>
  <c r="I493" i="1"/>
  <c r="H494" i="1"/>
  <c r="I494" i="1"/>
  <c r="H495" i="1"/>
  <c r="I495" i="1"/>
  <c r="H496" i="1"/>
  <c r="I496" i="1"/>
  <c r="H497" i="1"/>
  <c r="I497" i="1"/>
  <c r="H498" i="1"/>
  <c r="I498" i="1"/>
  <c r="H499" i="1"/>
  <c r="I499" i="1"/>
  <c r="H500" i="1"/>
  <c r="I500" i="1"/>
  <c r="H501" i="1"/>
  <c r="I501" i="1"/>
  <c r="H502" i="1"/>
  <c r="I502" i="1"/>
  <c r="H503" i="1"/>
  <c r="I503" i="1"/>
  <c r="H504" i="1"/>
  <c r="I504" i="1"/>
  <c r="H505" i="1"/>
  <c r="I505" i="1"/>
  <c r="H506" i="1"/>
  <c r="I506" i="1"/>
  <c r="H507" i="1"/>
  <c r="I507" i="1"/>
  <c r="H508" i="1"/>
  <c r="I508" i="1"/>
  <c r="H509" i="1"/>
  <c r="I509" i="1"/>
  <c r="H510" i="1"/>
  <c r="I510" i="1"/>
  <c r="H511" i="1"/>
  <c r="I511" i="1"/>
  <c r="H512" i="1"/>
  <c r="I512" i="1"/>
  <c r="H513" i="1"/>
  <c r="I513" i="1"/>
  <c r="H514" i="1"/>
  <c r="I514" i="1"/>
  <c r="H515" i="1"/>
  <c r="I515" i="1"/>
  <c r="H516" i="1"/>
  <c r="I516" i="1"/>
  <c r="H517" i="1"/>
  <c r="I517" i="1"/>
  <c r="H518" i="1"/>
  <c r="I518" i="1"/>
  <c r="H519" i="1"/>
  <c r="I519" i="1"/>
  <c r="H520" i="1"/>
  <c r="I520" i="1"/>
  <c r="H521" i="1"/>
  <c r="I521" i="1"/>
  <c r="H522" i="1"/>
  <c r="I522" i="1"/>
  <c r="H523" i="1"/>
  <c r="I523" i="1"/>
  <c r="H524" i="1"/>
  <c r="I524" i="1"/>
  <c r="H525" i="1"/>
  <c r="I525" i="1"/>
  <c r="H526" i="1"/>
  <c r="I526" i="1"/>
  <c r="H527" i="1"/>
  <c r="I527" i="1"/>
  <c r="H528" i="1"/>
  <c r="I528" i="1"/>
  <c r="H529" i="1"/>
  <c r="I529" i="1"/>
  <c r="H530" i="1"/>
  <c r="I530" i="1"/>
  <c r="H531" i="1"/>
  <c r="I531" i="1"/>
  <c r="H532" i="1"/>
  <c r="I532" i="1"/>
  <c r="H533" i="1"/>
  <c r="I533" i="1"/>
  <c r="H534" i="1"/>
  <c r="I534" i="1"/>
  <c r="H535" i="1"/>
  <c r="I535" i="1"/>
  <c r="H536" i="1"/>
  <c r="I536" i="1"/>
  <c r="H537" i="1"/>
  <c r="I537" i="1"/>
  <c r="H538" i="1"/>
  <c r="I538" i="1"/>
  <c r="H539" i="1"/>
  <c r="I539" i="1"/>
  <c r="H540" i="1"/>
  <c r="I540" i="1"/>
  <c r="H541" i="1"/>
  <c r="I541" i="1"/>
  <c r="H542" i="1"/>
  <c r="I542" i="1"/>
  <c r="H543" i="1"/>
  <c r="I543" i="1"/>
  <c r="H544" i="1"/>
  <c r="I544" i="1"/>
  <c r="H545" i="1"/>
  <c r="I545" i="1"/>
  <c r="H546" i="1"/>
  <c r="I546" i="1"/>
  <c r="H547" i="1"/>
  <c r="I547" i="1"/>
  <c r="H548" i="1"/>
  <c r="I548" i="1"/>
  <c r="H549" i="1"/>
  <c r="I549" i="1"/>
  <c r="H550" i="1"/>
  <c r="I550" i="1"/>
  <c r="H551" i="1"/>
  <c r="I551" i="1"/>
  <c r="H552" i="1"/>
  <c r="I552" i="1"/>
  <c r="H553" i="1"/>
  <c r="I553" i="1"/>
  <c r="H554" i="1"/>
  <c r="I554" i="1"/>
  <c r="H555" i="1"/>
  <c r="I555" i="1"/>
  <c r="H556" i="1"/>
  <c r="I556" i="1"/>
  <c r="H557" i="1"/>
  <c r="I557" i="1"/>
  <c r="H558" i="1"/>
  <c r="I558" i="1"/>
  <c r="H559" i="1"/>
  <c r="I559" i="1"/>
  <c r="H560" i="1"/>
  <c r="I560" i="1"/>
  <c r="H561" i="1"/>
  <c r="I561" i="1"/>
  <c r="H562" i="1"/>
  <c r="I562" i="1"/>
  <c r="H563" i="1"/>
  <c r="I563" i="1"/>
  <c r="H564" i="1"/>
  <c r="I564" i="1"/>
  <c r="H565" i="1"/>
  <c r="I565" i="1"/>
  <c r="H566" i="1"/>
  <c r="I566" i="1"/>
  <c r="H567" i="1"/>
  <c r="I567" i="1"/>
  <c r="H568" i="1"/>
  <c r="I568" i="1"/>
  <c r="H569" i="1"/>
  <c r="I569" i="1"/>
  <c r="H570" i="1"/>
  <c r="I570" i="1"/>
  <c r="H571" i="1"/>
  <c r="I571" i="1"/>
  <c r="H572" i="1"/>
  <c r="I572" i="1"/>
  <c r="H573" i="1"/>
  <c r="I573" i="1"/>
  <c r="H574" i="1"/>
  <c r="I574" i="1"/>
  <c r="H575" i="1"/>
  <c r="I575" i="1"/>
  <c r="H576" i="1"/>
  <c r="I576" i="1"/>
  <c r="H577" i="1"/>
  <c r="I577" i="1"/>
  <c r="H578" i="1"/>
  <c r="I578" i="1"/>
  <c r="H579" i="1"/>
  <c r="I579" i="1"/>
  <c r="H580" i="1"/>
  <c r="I580" i="1"/>
  <c r="H581" i="1"/>
  <c r="I581" i="1"/>
  <c r="H582" i="1"/>
  <c r="I582" i="1"/>
  <c r="H583" i="1"/>
  <c r="I583" i="1"/>
  <c r="H584" i="1"/>
  <c r="I584" i="1"/>
  <c r="H585" i="1"/>
  <c r="I585" i="1"/>
  <c r="H586" i="1"/>
  <c r="I586" i="1"/>
  <c r="H587" i="1"/>
  <c r="I587" i="1"/>
  <c r="H588" i="1"/>
  <c r="I588" i="1"/>
  <c r="H589" i="1"/>
  <c r="I589" i="1"/>
  <c r="H590" i="1"/>
  <c r="I590" i="1"/>
  <c r="H591" i="1"/>
  <c r="I591" i="1"/>
  <c r="H592" i="1"/>
  <c r="I592" i="1"/>
  <c r="H593" i="1"/>
  <c r="I593" i="1"/>
  <c r="H594" i="1"/>
  <c r="I594" i="1"/>
  <c r="H595" i="1"/>
  <c r="I595" i="1"/>
  <c r="H596" i="1"/>
  <c r="I596" i="1"/>
  <c r="H597" i="1"/>
  <c r="I597" i="1"/>
  <c r="H598" i="1"/>
  <c r="I598" i="1"/>
  <c r="H599" i="1"/>
  <c r="I599" i="1"/>
  <c r="H600" i="1"/>
  <c r="I600" i="1"/>
  <c r="H601" i="1"/>
  <c r="I601" i="1"/>
  <c r="H602" i="1"/>
  <c r="I602" i="1"/>
  <c r="H603" i="1"/>
  <c r="I603" i="1"/>
  <c r="H604" i="1"/>
  <c r="I604" i="1"/>
  <c r="H605" i="1"/>
  <c r="I605" i="1"/>
  <c r="H606" i="1"/>
  <c r="I606" i="1"/>
  <c r="H607" i="1"/>
  <c r="I607" i="1"/>
  <c r="H608" i="1"/>
  <c r="I608" i="1"/>
  <c r="H609" i="1"/>
  <c r="I609" i="1"/>
  <c r="H610" i="1"/>
  <c r="I610" i="1"/>
  <c r="H611" i="1"/>
  <c r="I611" i="1"/>
  <c r="H612" i="1"/>
  <c r="I612" i="1"/>
  <c r="H613" i="1"/>
  <c r="I613" i="1"/>
  <c r="H614" i="1"/>
  <c r="I614" i="1"/>
  <c r="H615" i="1"/>
  <c r="I615" i="1"/>
  <c r="H616" i="1"/>
  <c r="I616" i="1"/>
  <c r="H617" i="1"/>
  <c r="I617" i="1"/>
  <c r="H618" i="1"/>
  <c r="I618" i="1"/>
  <c r="H619" i="1"/>
  <c r="I619" i="1"/>
  <c r="H620" i="1"/>
  <c r="I620" i="1"/>
  <c r="H621" i="1"/>
  <c r="I621" i="1"/>
  <c r="H622" i="1"/>
  <c r="I622" i="1"/>
  <c r="H623" i="1"/>
  <c r="I623" i="1"/>
  <c r="H624" i="1"/>
  <c r="I624" i="1"/>
  <c r="H625" i="1"/>
  <c r="I625" i="1"/>
  <c r="H626" i="1"/>
  <c r="I626" i="1"/>
  <c r="H627" i="1"/>
  <c r="I627" i="1"/>
  <c r="H628" i="1"/>
  <c r="I628" i="1"/>
  <c r="H629" i="1"/>
  <c r="I629" i="1"/>
  <c r="H630" i="1"/>
  <c r="I630" i="1"/>
  <c r="H631" i="1"/>
  <c r="I631" i="1"/>
  <c r="H632" i="1"/>
  <c r="I632" i="1"/>
  <c r="H633" i="1"/>
  <c r="I633" i="1"/>
  <c r="H634" i="1"/>
  <c r="I634" i="1"/>
  <c r="H635" i="1"/>
  <c r="I635" i="1"/>
  <c r="H636" i="1"/>
  <c r="I636" i="1"/>
  <c r="H637" i="1"/>
  <c r="I637" i="1"/>
  <c r="H638" i="1"/>
  <c r="I638" i="1"/>
  <c r="H639" i="1"/>
  <c r="I639" i="1"/>
  <c r="H640" i="1"/>
  <c r="I640" i="1"/>
  <c r="H641" i="1"/>
  <c r="I641" i="1"/>
  <c r="H642" i="1"/>
  <c r="I642" i="1"/>
  <c r="H643" i="1"/>
  <c r="I643" i="1"/>
  <c r="H644" i="1"/>
  <c r="I644" i="1"/>
  <c r="H645" i="1"/>
  <c r="I645" i="1"/>
  <c r="H646" i="1"/>
  <c r="I646" i="1"/>
  <c r="H647" i="1"/>
  <c r="I647" i="1"/>
  <c r="H648" i="1"/>
  <c r="I648" i="1"/>
  <c r="H649" i="1"/>
  <c r="I649" i="1"/>
  <c r="H650" i="1"/>
  <c r="I650" i="1"/>
  <c r="H651" i="1"/>
  <c r="I651" i="1"/>
  <c r="H652" i="1"/>
  <c r="I652" i="1"/>
  <c r="H653" i="1"/>
  <c r="I653" i="1"/>
  <c r="H654" i="1"/>
  <c r="I654" i="1"/>
  <c r="H655" i="1"/>
  <c r="I655" i="1"/>
  <c r="H656" i="1"/>
  <c r="I656" i="1"/>
  <c r="H657" i="1"/>
  <c r="I657" i="1"/>
  <c r="H658" i="1"/>
  <c r="I658" i="1"/>
  <c r="H659" i="1"/>
  <c r="I659" i="1"/>
  <c r="H660" i="1"/>
  <c r="I660" i="1"/>
  <c r="H661" i="1"/>
  <c r="I661" i="1"/>
  <c r="H662" i="1"/>
  <c r="I662" i="1"/>
  <c r="H663" i="1"/>
  <c r="I663" i="1"/>
  <c r="H664" i="1"/>
  <c r="I664" i="1"/>
  <c r="H665" i="1"/>
  <c r="I665" i="1"/>
  <c r="H666" i="1"/>
  <c r="I666" i="1"/>
  <c r="H667" i="1"/>
  <c r="I667" i="1"/>
  <c r="H668" i="1"/>
  <c r="I668" i="1"/>
  <c r="H669" i="1"/>
  <c r="I669" i="1"/>
  <c r="H670" i="1"/>
  <c r="I670" i="1"/>
  <c r="H671" i="1"/>
  <c r="I671" i="1"/>
  <c r="H672" i="1"/>
  <c r="I672" i="1"/>
  <c r="H673" i="1"/>
  <c r="I673" i="1"/>
  <c r="H674" i="1"/>
  <c r="I674" i="1"/>
  <c r="H675" i="1"/>
  <c r="I675" i="1"/>
  <c r="H676" i="1"/>
  <c r="I676" i="1"/>
  <c r="H677" i="1"/>
  <c r="I677" i="1"/>
  <c r="H678" i="1"/>
  <c r="I678" i="1"/>
  <c r="H679" i="1"/>
  <c r="I679" i="1"/>
  <c r="H680" i="1"/>
  <c r="I680" i="1"/>
  <c r="H681" i="1"/>
  <c r="I681" i="1"/>
  <c r="H682" i="1"/>
  <c r="I682" i="1"/>
  <c r="H683" i="1"/>
  <c r="I683" i="1"/>
  <c r="H684" i="1"/>
  <c r="I684" i="1"/>
  <c r="H685" i="1"/>
  <c r="I685" i="1"/>
  <c r="H686" i="1"/>
  <c r="I686" i="1"/>
  <c r="H687" i="1"/>
  <c r="I687" i="1"/>
  <c r="H688" i="1"/>
  <c r="I688" i="1"/>
  <c r="H689" i="1"/>
  <c r="I689" i="1"/>
  <c r="H690" i="1"/>
  <c r="I690" i="1"/>
  <c r="H691" i="1"/>
  <c r="I691" i="1"/>
  <c r="H692" i="1"/>
  <c r="I692" i="1"/>
  <c r="H693" i="1"/>
  <c r="I693" i="1"/>
  <c r="H694" i="1"/>
  <c r="I694" i="1"/>
  <c r="H695" i="1"/>
  <c r="I695" i="1"/>
  <c r="H696" i="1"/>
  <c r="I696" i="1"/>
  <c r="H697" i="1"/>
  <c r="I697" i="1"/>
  <c r="H698" i="1"/>
  <c r="I698" i="1"/>
  <c r="H699" i="1"/>
  <c r="I699" i="1"/>
  <c r="H700" i="1"/>
  <c r="I700" i="1"/>
  <c r="H701" i="1"/>
  <c r="I701" i="1"/>
  <c r="H702" i="1"/>
  <c r="I702" i="1"/>
  <c r="H703" i="1"/>
  <c r="I703" i="1"/>
  <c r="H704" i="1"/>
  <c r="I704" i="1"/>
  <c r="H705" i="1"/>
  <c r="I705" i="1"/>
  <c r="H706" i="1"/>
  <c r="I706" i="1"/>
  <c r="H707" i="1"/>
  <c r="I707" i="1"/>
  <c r="I304" i="7"/>
  <c r="J304" i="7"/>
  <c r="I305" i="7"/>
  <c r="J305" i="7"/>
  <c r="I306" i="7"/>
  <c r="J306" i="7"/>
  <c r="I307" i="7"/>
  <c r="J307" i="7"/>
  <c r="I308" i="7"/>
  <c r="J308" i="7"/>
  <c r="I309" i="7"/>
  <c r="J309" i="7"/>
  <c r="I310" i="7"/>
  <c r="J310" i="7"/>
  <c r="I311" i="7"/>
  <c r="J311" i="7"/>
  <c r="I312" i="7"/>
  <c r="J312" i="7"/>
  <c r="I313" i="7"/>
  <c r="J313" i="7"/>
  <c r="I314" i="7"/>
  <c r="J314" i="7"/>
  <c r="I315" i="7"/>
  <c r="J315" i="7"/>
  <c r="I316" i="7"/>
  <c r="J316" i="7"/>
  <c r="I317" i="7"/>
  <c r="J317" i="7"/>
  <c r="I318" i="7"/>
  <c r="J318" i="7"/>
  <c r="I319" i="7"/>
  <c r="J319" i="7"/>
  <c r="I320" i="7"/>
  <c r="J320" i="7"/>
  <c r="I321" i="7"/>
  <c r="J321" i="7"/>
  <c r="I322" i="7"/>
  <c r="J322" i="7"/>
  <c r="I323" i="7"/>
  <c r="J323" i="7"/>
  <c r="I324" i="7"/>
  <c r="J324" i="7"/>
  <c r="I325" i="7"/>
  <c r="J325" i="7"/>
  <c r="I326" i="7"/>
  <c r="J326" i="7"/>
  <c r="I327" i="7"/>
  <c r="J327" i="7"/>
  <c r="I328" i="7"/>
  <c r="J328" i="7"/>
  <c r="I329" i="7"/>
  <c r="J329" i="7"/>
  <c r="I330" i="7"/>
  <c r="J330" i="7"/>
  <c r="K330" i="7"/>
  <c r="I331" i="7"/>
  <c r="J331" i="7"/>
  <c r="I332" i="7"/>
  <c r="J332" i="7"/>
  <c r="I333" i="7"/>
  <c r="J333" i="7"/>
  <c r="I334" i="7"/>
  <c r="J334" i="7"/>
  <c r="K334" i="7"/>
  <c r="I335" i="7"/>
  <c r="J335" i="7"/>
  <c r="I336" i="7"/>
  <c r="J336" i="7"/>
  <c r="I337" i="7"/>
  <c r="J337" i="7"/>
  <c r="I338" i="7"/>
  <c r="J338" i="7"/>
  <c r="I339" i="7"/>
  <c r="J339" i="7"/>
  <c r="I340" i="7"/>
  <c r="J340" i="7"/>
  <c r="K340" i="7"/>
  <c r="I341" i="7"/>
  <c r="J341" i="7"/>
  <c r="I342" i="7"/>
  <c r="J342" i="7"/>
  <c r="I343" i="7"/>
  <c r="J343" i="7"/>
  <c r="I344" i="7"/>
  <c r="J344" i="7"/>
  <c r="K344" i="7"/>
  <c r="I345" i="7"/>
  <c r="J345" i="7"/>
  <c r="I346" i="7"/>
  <c r="J346" i="7"/>
  <c r="I347" i="7"/>
  <c r="J347" i="7"/>
  <c r="I348" i="7"/>
  <c r="J348" i="7"/>
  <c r="K348" i="7"/>
  <c r="I349" i="7"/>
  <c r="J349" i="7"/>
  <c r="I350" i="7"/>
  <c r="J350" i="7"/>
  <c r="I351" i="7"/>
  <c r="J351" i="7"/>
  <c r="I352" i="7"/>
  <c r="J352" i="7"/>
  <c r="I353" i="7"/>
  <c r="J353" i="7"/>
  <c r="I354" i="7"/>
  <c r="J354" i="7"/>
  <c r="I355" i="7"/>
  <c r="J355" i="7"/>
  <c r="I356" i="7"/>
  <c r="J356" i="7"/>
  <c r="I357" i="7"/>
  <c r="J357" i="7"/>
  <c r="I358" i="7"/>
  <c r="J358" i="7"/>
  <c r="I359" i="7"/>
  <c r="J359" i="7"/>
  <c r="I360" i="7"/>
  <c r="J360" i="7"/>
  <c r="I361" i="7"/>
  <c r="J361" i="7"/>
  <c r="I362" i="7"/>
  <c r="J362" i="7"/>
  <c r="I363" i="7"/>
  <c r="J363" i="7"/>
  <c r="J364" i="7"/>
  <c r="I365" i="7"/>
  <c r="J365" i="7"/>
  <c r="I366" i="7"/>
  <c r="J366" i="7"/>
  <c r="I367" i="7"/>
  <c r="J367" i="7"/>
  <c r="I368" i="7"/>
  <c r="J368" i="7"/>
  <c r="I369" i="7"/>
  <c r="J369" i="7"/>
  <c r="I370" i="7"/>
  <c r="J370" i="7"/>
  <c r="I371" i="7"/>
  <c r="J371" i="7"/>
  <c r="I372" i="7"/>
  <c r="J372" i="7"/>
  <c r="I373" i="7"/>
  <c r="J373" i="7"/>
  <c r="I374" i="7"/>
  <c r="J374" i="7"/>
  <c r="I375" i="7"/>
  <c r="J375" i="7"/>
  <c r="I376" i="7"/>
  <c r="J376" i="7"/>
  <c r="I377" i="7"/>
  <c r="B430" i="7"/>
  <c r="J377" i="7"/>
  <c r="I378" i="7"/>
  <c r="B431" i="7"/>
  <c r="J378" i="7"/>
  <c r="I379" i="7"/>
  <c r="J379" i="7"/>
  <c r="I380" i="7"/>
  <c r="B433" i="7"/>
  <c r="J380" i="7"/>
  <c r="I381" i="7"/>
  <c r="B434" i="7"/>
  <c r="J381" i="7"/>
  <c r="I382" i="7"/>
  <c r="B435" i="7"/>
  <c r="J382" i="7"/>
  <c r="I383" i="7"/>
  <c r="B436" i="7"/>
  <c r="J383" i="7"/>
  <c r="I384" i="7"/>
  <c r="B437" i="7"/>
  <c r="J384" i="7"/>
  <c r="I385" i="7"/>
  <c r="B438" i="7"/>
  <c r="J385" i="7"/>
  <c r="I386" i="7"/>
  <c r="B439" i="7"/>
  <c r="J386" i="7"/>
  <c r="I387" i="7"/>
  <c r="B440" i="7"/>
  <c r="J387" i="7"/>
  <c r="I388" i="7"/>
  <c r="J388" i="7"/>
  <c r="I389" i="7"/>
  <c r="B442" i="7"/>
  <c r="J389" i="7"/>
  <c r="I390" i="7"/>
  <c r="B443" i="7"/>
  <c r="J390" i="7"/>
  <c r="I391" i="7"/>
  <c r="B444" i="7"/>
  <c r="J391" i="7"/>
  <c r="I392" i="7"/>
  <c r="B445" i="7"/>
  <c r="J392" i="7"/>
  <c r="I393" i="7"/>
  <c r="B446" i="7"/>
  <c r="J393" i="7"/>
  <c r="K393" i="7"/>
  <c r="I394" i="7"/>
  <c r="B447" i="7"/>
  <c r="J394" i="7"/>
  <c r="I395" i="7"/>
  <c r="B448" i="7"/>
  <c r="J395" i="7"/>
  <c r="I396" i="7"/>
  <c r="B449" i="7"/>
  <c r="J396" i="7"/>
  <c r="I397" i="7"/>
  <c r="B450" i="7"/>
  <c r="J397" i="7"/>
  <c r="I398" i="7"/>
  <c r="B451" i="7"/>
  <c r="J398" i="7"/>
  <c r="I399" i="7"/>
  <c r="J399" i="7"/>
  <c r="I400" i="7"/>
  <c r="B453" i="7"/>
  <c r="J400" i="7"/>
  <c r="I401" i="7"/>
  <c r="B454" i="7"/>
  <c r="J401" i="7"/>
  <c r="I402" i="7"/>
  <c r="B455" i="7"/>
  <c r="J402" i="7"/>
  <c r="I403" i="7"/>
  <c r="B456" i="7"/>
  <c r="J403" i="7"/>
  <c r="K403" i="7"/>
  <c r="I404" i="7"/>
  <c r="B457" i="7"/>
  <c r="J404" i="7"/>
  <c r="I405" i="7"/>
  <c r="B458" i="7"/>
  <c r="J405" i="7"/>
  <c r="I406" i="7"/>
  <c r="B459" i="7"/>
  <c r="J406" i="7"/>
  <c r="I407" i="7"/>
  <c r="B460" i="7"/>
  <c r="J407" i="7"/>
  <c r="I408" i="7"/>
  <c r="B461" i="7"/>
  <c r="J408" i="7"/>
  <c r="I409" i="7"/>
  <c r="B462" i="7"/>
  <c r="J409" i="7"/>
  <c r="I410" i="7"/>
  <c r="B463" i="7"/>
  <c r="J410" i="7"/>
  <c r="K410" i="7"/>
  <c r="J411" i="7"/>
  <c r="K411" i="7"/>
  <c r="J412" i="7"/>
  <c r="K412" i="7"/>
  <c r="J413" i="7"/>
  <c r="K413" i="7"/>
  <c r="I414" i="7"/>
  <c r="J414" i="7"/>
  <c r="I415" i="7"/>
  <c r="J415" i="7"/>
  <c r="K415" i="7"/>
  <c r="I416" i="7"/>
  <c r="J416" i="7"/>
  <c r="I417" i="7"/>
  <c r="K417" i="7"/>
  <c r="J417" i="7"/>
  <c r="I418" i="7"/>
  <c r="K418" i="7"/>
  <c r="J418" i="7"/>
  <c r="I419" i="7"/>
  <c r="J419" i="7"/>
  <c r="K419" i="7"/>
  <c r="I420" i="7"/>
  <c r="J420" i="7"/>
  <c r="K420" i="7"/>
  <c r="I421" i="7"/>
  <c r="J421" i="7"/>
  <c r="I422" i="7"/>
  <c r="J422" i="7"/>
  <c r="K422" i="7"/>
  <c r="I423" i="7"/>
  <c r="J423" i="7"/>
  <c r="I424" i="7"/>
  <c r="J424" i="7"/>
  <c r="I425" i="7"/>
  <c r="J425" i="7"/>
  <c r="I426" i="7"/>
  <c r="J426" i="7"/>
  <c r="I427" i="7"/>
  <c r="J427" i="7"/>
  <c r="I428" i="7"/>
  <c r="J428" i="7"/>
  <c r="I429" i="7"/>
  <c r="J429" i="7"/>
  <c r="I430" i="7"/>
  <c r="J430" i="7"/>
  <c r="I431" i="7"/>
  <c r="J431" i="7"/>
  <c r="I432" i="7"/>
  <c r="K432" i="7"/>
  <c r="J432" i="7"/>
  <c r="I433" i="7"/>
  <c r="I434" i="7"/>
  <c r="J434" i="7"/>
  <c r="I435" i="7"/>
  <c r="J435" i="7"/>
  <c r="I436" i="7"/>
  <c r="J436" i="7"/>
  <c r="I437" i="7"/>
  <c r="I438" i="7"/>
  <c r="I439" i="7"/>
  <c r="J439" i="7"/>
  <c r="K439" i="7"/>
  <c r="I440" i="7"/>
  <c r="J440" i="7"/>
  <c r="K440" i="7"/>
  <c r="I441" i="7"/>
  <c r="J441" i="7"/>
  <c r="I442" i="7"/>
  <c r="J442" i="7"/>
  <c r="K442" i="7"/>
  <c r="I443" i="7"/>
  <c r="J443" i="7"/>
  <c r="K443" i="7"/>
  <c r="I444" i="7"/>
  <c r="J444" i="7"/>
  <c r="I445" i="7"/>
  <c r="J445" i="7"/>
  <c r="I446" i="7"/>
  <c r="J446" i="7"/>
  <c r="I447" i="7"/>
  <c r="J447" i="7"/>
  <c r="I448" i="7"/>
  <c r="J448" i="7"/>
  <c r="I449" i="7"/>
  <c r="J449" i="7"/>
  <c r="I450" i="7"/>
  <c r="J450" i="7"/>
  <c r="I451" i="7"/>
  <c r="J451" i="7"/>
  <c r="I452" i="7"/>
  <c r="J452" i="7"/>
  <c r="I453" i="7"/>
  <c r="J453" i="7"/>
  <c r="I454" i="7"/>
  <c r="J454" i="7"/>
  <c r="I455" i="7"/>
  <c r="J455" i="7"/>
  <c r="I456" i="7"/>
  <c r="J456" i="7"/>
  <c r="I457" i="7"/>
  <c r="J457" i="7"/>
  <c r="I458" i="7"/>
  <c r="J458" i="7"/>
  <c r="I459" i="7"/>
  <c r="J459" i="7"/>
  <c r="I460" i="7"/>
  <c r="J460" i="7"/>
  <c r="I461" i="7"/>
  <c r="J461" i="7"/>
  <c r="I462" i="7"/>
  <c r="J462" i="7"/>
  <c r="I463" i="7"/>
  <c r="J463" i="7"/>
  <c r="I464" i="7"/>
  <c r="J464" i="7"/>
  <c r="I465" i="7"/>
  <c r="J465" i="7"/>
  <c r="I466" i="7"/>
  <c r="J466" i="7"/>
  <c r="I467" i="7"/>
  <c r="J467" i="7"/>
  <c r="I468" i="7"/>
  <c r="J468" i="7"/>
  <c r="I469" i="7"/>
  <c r="J469" i="7"/>
  <c r="I470" i="7"/>
  <c r="J470" i="7"/>
  <c r="I471" i="7"/>
  <c r="J471" i="7"/>
  <c r="I472" i="7"/>
  <c r="J472" i="7"/>
  <c r="I473" i="7"/>
  <c r="J473" i="7"/>
  <c r="I474" i="7"/>
  <c r="J474" i="7"/>
  <c r="H276" i="1"/>
  <c r="G276" i="1"/>
  <c r="I276" i="1"/>
  <c r="J303" i="7"/>
  <c r="I303" i="7"/>
  <c r="J302" i="7"/>
  <c r="I302" i="7"/>
  <c r="J301" i="7"/>
  <c r="I301" i="7"/>
  <c r="J300" i="7"/>
  <c r="I300" i="7"/>
  <c r="J299" i="7"/>
  <c r="I299" i="7"/>
  <c r="J298" i="7"/>
  <c r="I298" i="7"/>
  <c r="J297" i="7"/>
  <c r="I297" i="7"/>
  <c r="J296" i="7"/>
  <c r="I296" i="7"/>
  <c r="J295" i="7"/>
  <c r="I295" i="7"/>
  <c r="J294" i="7"/>
  <c r="I294" i="7"/>
  <c r="J293" i="7"/>
  <c r="I293" i="7"/>
  <c r="I282" i="4"/>
  <c r="L308" i="7"/>
  <c r="K308" i="7"/>
  <c r="K474" i="7"/>
  <c r="K473" i="7"/>
  <c r="K472" i="7"/>
  <c r="K471" i="7"/>
  <c r="K470" i="7"/>
  <c r="K469" i="7"/>
  <c r="K468" i="7"/>
  <c r="K467" i="7"/>
  <c r="K466" i="7"/>
  <c r="K465" i="7"/>
  <c r="K464" i="7"/>
  <c r="K463" i="7"/>
  <c r="K462" i="7"/>
  <c r="K461" i="7"/>
  <c r="K460" i="7"/>
  <c r="K459" i="7"/>
  <c r="K458" i="7"/>
  <c r="K457" i="7"/>
  <c r="K456" i="7"/>
  <c r="K455" i="7"/>
  <c r="K454" i="7"/>
  <c r="K453" i="7"/>
  <c r="K452" i="7"/>
  <c r="K451" i="7"/>
  <c r="K450" i="7"/>
  <c r="K449" i="7"/>
  <c r="K448" i="7"/>
  <c r="K447" i="7"/>
  <c r="K446" i="7"/>
  <c r="K445" i="7"/>
  <c r="K444" i="7"/>
  <c r="K441" i="7"/>
  <c r="K427" i="7"/>
  <c r="K425" i="7"/>
  <c r="K409" i="7"/>
  <c r="K399" i="7"/>
  <c r="K397" i="7"/>
  <c r="K392" i="7"/>
  <c r="K389" i="7"/>
  <c r="K387" i="7"/>
  <c r="K386" i="7"/>
  <c r="K385" i="7"/>
  <c r="K384" i="7"/>
  <c r="K383" i="7"/>
  <c r="K382" i="7"/>
  <c r="K381" i="7"/>
  <c r="K380" i="7"/>
  <c r="K378" i="7"/>
  <c r="K365" i="7"/>
  <c r="K357" i="7"/>
  <c r="K355" i="7"/>
  <c r="K353" i="7"/>
  <c r="K351" i="7"/>
  <c r="K343" i="7"/>
  <c r="K335" i="7"/>
  <c r="K327" i="7"/>
  <c r="K325" i="7"/>
  <c r="L306" i="7"/>
  <c r="I362" i="2"/>
  <c r="I355" i="2"/>
  <c r="I698" i="4"/>
  <c r="I695" i="4"/>
  <c r="I689" i="4"/>
  <c r="I688" i="4"/>
  <c r="I679" i="4"/>
  <c r="I678" i="4"/>
  <c r="I671" i="4"/>
  <c r="I670" i="4"/>
  <c r="I663" i="4"/>
  <c r="I662" i="4"/>
  <c r="I655" i="4"/>
  <c r="I654" i="4"/>
  <c r="I647" i="4"/>
  <c r="I646" i="4"/>
  <c r="I639" i="4"/>
  <c r="I638" i="4"/>
  <c r="I631" i="4"/>
  <c r="I630" i="4"/>
  <c r="I623" i="4"/>
  <c r="I622" i="4"/>
  <c r="I615" i="4"/>
  <c r="I614" i="4"/>
  <c r="I607" i="4"/>
  <c r="I606" i="4"/>
  <c r="I599" i="4"/>
  <c r="I598" i="4"/>
  <c r="I591" i="4"/>
  <c r="I590" i="4"/>
  <c r="I583" i="4"/>
  <c r="I582" i="4"/>
  <c r="I575" i="4"/>
  <c r="I574" i="4"/>
  <c r="I567" i="4"/>
  <c r="I566" i="4"/>
  <c r="I559" i="4"/>
  <c r="I558" i="4"/>
  <c r="I551" i="4"/>
  <c r="I550" i="4"/>
  <c r="I543" i="4"/>
  <c r="I542" i="4"/>
  <c r="I535" i="4"/>
  <c r="I534" i="4"/>
  <c r="I527" i="4"/>
  <c r="I526" i="4"/>
  <c r="I519" i="4"/>
  <c r="I518" i="4"/>
  <c r="I511" i="4"/>
  <c r="I510" i="4"/>
  <c r="I503" i="4"/>
  <c r="I502" i="4"/>
  <c r="I495" i="4"/>
  <c r="I494" i="4"/>
  <c r="I487" i="4"/>
  <c r="I486" i="4"/>
  <c r="I479" i="4"/>
  <c r="I478" i="4"/>
  <c r="I471" i="4"/>
  <c r="I470" i="4"/>
  <c r="I463" i="4"/>
  <c r="I462" i="4"/>
  <c r="I455" i="4"/>
  <c r="I454" i="4"/>
  <c r="I447" i="4"/>
  <c r="I446" i="4"/>
  <c r="I445" i="4"/>
  <c r="I438" i="4"/>
  <c r="I437" i="4"/>
  <c r="I430" i="4"/>
  <c r="I429" i="4"/>
  <c r="I422" i="4"/>
  <c r="I421" i="4"/>
  <c r="I412" i="4"/>
  <c r="I280" i="4"/>
  <c r="I395" i="4"/>
  <c r="I388" i="4"/>
  <c r="I387" i="4"/>
  <c r="I356" i="4"/>
  <c r="I355" i="4"/>
  <c r="I348" i="4"/>
  <c r="I347" i="4"/>
  <c r="I339" i="4"/>
  <c r="I331" i="4"/>
  <c r="I324" i="4"/>
  <c r="I323" i="4"/>
  <c r="I308" i="4"/>
  <c r="I300" i="4"/>
  <c r="I299" i="4"/>
  <c r="I276" i="4"/>
  <c r="I649" i="5"/>
  <c r="I648" i="5"/>
  <c r="I641" i="5"/>
  <c r="I640" i="5"/>
  <c r="I633" i="5"/>
  <c r="I632" i="5"/>
  <c r="I625" i="5"/>
  <c r="I624" i="5"/>
  <c r="I617" i="5"/>
  <c r="I616" i="5"/>
  <c r="I609" i="5"/>
  <c r="I608" i="5"/>
  <c r="I601" i="5"/>
  <c r="I600" i="5"/>
  <c r="I593" i="5"/>
  <c r="I592" i="5"/>
  <c r="I585" i="5"/>
  <c r="I584" i="5"/>
  <c r="I577" i="5"/>
  <c r="I576" i="5"/>
  <c r="I569" i="5"/>
  <c r="I568" i="5"/>
  <c r="I561" i="5"/>
  <c r="I560" i="5"/>
  <c r="I553" i="5"/>
  <c r="I552" i="5"/>
  <c r="I545" i="5"/>
  <c r="I544" i="5"/>
  <c r="I537" i="5"/>
  <c r="I536" i="5"/>
  <c r="I529" i="5"/>
  <c r="I528" i="5"/>
  <c r="I521" i="5"/>
  <c r="I520" i="5"/>
  <c r="I513" i="5"/>
  <c r="I512" i="5"/>
  <c r="I505" i="5"/>
  <c r="I504" i="5"/>
  <c r="I497" i="5"/>
  <c r="I496" i="5"/>
  <c r="I489" i="5"/>
  <c r="I488" i="5"/>
  <c r="I481" i="5"/>
  <c r="I480" i="5"/>
  <c r="I473" i="5"/>
  <c r="I472" i="5"/>
  <c r="I465" i="5"/>
  <c r="I464" i="5"/>
  <c r="I457" i="5"/>
  <c r="I456" i="5"/>
  <c r="I449" i="5"/>
  <c r="I447" i="5"/>
  <c r="I446" i="5"/>
  <c r="I445" i="5"/>
  <c r="I438" i="5"/>
  <c r="I437" i="5"/>
  <c r="I430" i="5"/>
  <c r="I429" i="5"/>
  <c r="I422" i="5"/>
  <c r="I421" i="5"/>
  <c r="I398" i="5"/>
  <c r="I397" i="5"/>
  <c r="I390" i="5"/>
  <c r="I381" i="5"/>
  <c r="I374" i="5"/>
  <c r="I366" i="5"/>
  <c r="I358" i="5"/>
  <c r="I357" i="5"/>
  <c r="I350" i="5"/>
  <c r="I349" i="5"/>
  <c r="I342" i="5"/>
  <c r="I341" i="5"/>
  <c r="I330" i="5"/>
  <c r="I329" i="5"/>
  <c r="I314" i="5"/>
  <c r="I313" i="5"/>
  <c r="I306" i="5"/>
  <c r="I298" i="5"/>
  <c r="I297" i="5"/>
  <c r="I289" i="5"/>
  <c r="I276" i="5"/>
  <c r="I438" i="3"/>
  <c r="I437" i="3"/>
  <c r="I430" i="3"/>
  <c r="I422" i="3"/>
  <c r="I421" i="3"/>
  <c r="I398" i="3"/>
  <c r="I390" i="3"/>
  <c r="I389" i="3"/>
  <c r="I373" i="3"/>
  <c r="I358" i="3"/>
  <c r="I357" i="3"/>
  <c r="I342" i="3"/>
  <c r="I341" i="3"/>
  <c r="I334" i="3"/>
  <c r="I326" i="3"/>
  <c r="I325" i="3"/>
  <c r="I310" i="3"/>
  <c r="I309" i="3"/>
  <c r="I301" i="3"/>
  <c r="I293" i="3"/>
  <c r="I280" i="1"/>
  <c r="K307" i="7"/>
  <c r="I279" i="4"/>
  <c r="K306" i="7"/>
  <c r="L303" i="7"/>
  <c r="L305" i="7"/>
  <c r="L304" i="7"/>
  <c r="K303" i="7"/>
  <c r="I360" i="2"/>
  <c r="I356" i="2"/>
  <c r="I344" i="2"/>
  <c r="I696" i="4"/>
  <c r="I694" i="4"/>
  <c r="I690" i="4"/>
  <c r="I686" i="4"/>
  <c r="I682" i="4"/>
  <c r="I680" i="4"/>
  <c r="I676" i="4"/>
  <c r="I672" i="4"/>
  <c r="I668" i="4"/>
  <c r="I664" i="4"/>
  <c r="I660" i="4"/>
  <c r="I656" i="4"/>
  <c r="I652" i="4"/>
  <c r="I648" i="4"/>
  <c r="I644" i="4"/>
  <c r="I640" i="4"/>
  <c r="I636" i="4"/>
  <c r="I632" i="4"/>
  <c r="I628" i="4"/>
  <c r="I624" i="4"/>
  <c r="I620" i="4"/>
  <c r="I616" i="4"/>
  <c r="I612" i="4"/>
  <c r="I608" i="4"/>
  <c r="I604" i="4"/>
  <c r="I600" i="4"/>
  <c r="I596" i="4"/>
  <c r="I592" i="4"/>
  <c r="I588" i="4"/>
  <c r="I584" i="4"/>
  <c r="I580" i="4"/>
  <c r="I576" i="4"/>
  <c r="I572" i="4"/>
  <c r="I568" i="4"/>
  <c r="I564" i="4"/>
  <c r="I560" i="4"/>
  <c r="I556" i="4"/>
  <c r="I552" i="4"/>
  <c r="I548" i="4"/>
  <c r="I544" i="4"/>
  <c r="I540" i="4"/>
  <c r="I536" i="4"/>
  <c r="I532" i="4"/>
  <c r="I528" i="4"/>
  <c r="I524" i="4"/>
  <c r="I520" i="4"/>
  <c r="I516" i="4"/>
  <c r="I512" i="4"/>
  <c r="I508" i="4"/>
  <c r="I504" i="4"/>
  <c r="I500" i="4"/>
  <c r="I496" i="4"/>
  <c r="I492" i="4"/>
  <c r="I488" i="4"/>
  <c r="I484" i="4"/>
  <c r="I480" i="4"/>
  <c r="I476" i="4"/>
  <c r="I472" i="4"/>
  <c r="I468" i="4"/>
  <c r="I464" i="4"/>
  <c r="I460" i="4"/>
  <c r="I456" i="4"/>
  <c r="I452" i="4"/>
  <c r="I448" i="4"/>
  <c r="I443" i="4"/>
  <c r="I439" i="4"/>
  <c r="I435" i="4"/>
  <c r="I431" i="4"/>
  <c r="I427" i="4"/>
  <c r="I423" i="4"/>
  <c r="I419" i="4"/>
  <c r="I415" i="4"/>
  <c r="I278" i="1"/>
  <c r="I413" i="4"/>
  <c r="I393" i="4"/>
  <c r="I385" i="4"/>
  <c r="I381" i="4"/>
  <c r="I365" i="4"/>
  <c r="I361" i="4"/>
  <c r="I357" i="4"/>
  <c r="I353" i="4"/>
  <c r="I349" i="4"/>
  <c r="I345" i="4"/>
  <c r="I341" i="4"/>
  <c r="I337" i="4"/>
  <c r="I333" i="4"/>
  <c r="I329" i="4"/>
  <c r="I325" i="4"/>
  <c r="I321" i="4"/>
  <c r="I317" i="4"/>
  <c r="I309" i="4"/>
  <c r="I305" i="4"/>
  <c r="I301" i="4"/>
  <c r="I293" i="4"/>
  <c r="I289" i="4"/>
  <c r="I281" i="4"/>
  <c r="I646" i="5"/>
  <c r="I642" i="5"/>
  <c r="I638" i="5"/>
  <c r="I634" i="5"/>
  <c r="I630" i="5"/>
  <c r="I626" i="5"/>
  <c r="I622" i="5"/>
  <c r="I618" i="5"/>
  <c r="I614" i="5"/>
  <c r="I610" i="5"/>
  <c r="I606" i="5"/>
  <c r="I602" i="5"/>
  <c r="I598" i="5"/>
  <c r="I594" i="5"/>
  <c r="I590" i="5"/>
  <c r="I586" i="5"/>
  <c r="I582" i="5"/>
  <c r="I578" i="5"/>
  <c r="I574" i="5"/>
  <c r="I570" i="5"/>
  <c r="I566" i="5"/>
  <c r="I562" i="5"/>
  <c r="I558" i="5"/>
  <c r="I554" i="5"/>
  <c r="I550" i="5"/>
  <c r="I546" i="5"/>
  <c r="I542" i="5"/>
  <c r="I538" i="5"/>
  <c r="I534" i="5"/>
  <c r="I530" i="5"/>
  <c r="I526" i="5"/>
  <c r="I522" i="5"/>
  <c r="I518" i="5"/>
  <c r="I514" i="5"/>
  <c r="I510" i="5"/>
  <c r="I506" i="5"/>
  <c r="I502" i="5"/>
  <c r="I498" i="5"/>
  <c r="I494" i="5"/>
  <c r="I490" i="5"/>
  <c r="I486" i="5"/>
  <c r="I482" i="5"/>
  <c r="I478" i="5"/>
  <c r="I474" i="5"/>
  <c r="I470" i="5"/>
  <c r="I466" i="5"/>
  <c r="I462" i="5"/>
  <c r="I458" i="5"/>
  <c r="I454" i="5"/>
  <c r="I450" i="5"/>
  <c r="I448" i="5"/>
  <c r="I443" i="5"/>
  <c r="I439" i="5"/>
  <c r="I435" i="5"/>
  <c r="I431" i="5"/>
  <c r="I427" i="5"/>
  <c r="I423" i="5"/>
  <c r="I419" i="5"/>
  <c r="I415" i="5"/>
  <c r="I399" i="5"/>
  <c r="I391" i="5"/>
  <c r="I383" i="5"/>
  <c r="I379" i="5"/>
  <c r="I375" i="5"/>
  <c r="I371" i="5"/>
  <c r="I367" i="5"/>
  <c r="I359" i="5"/>
  <c r="I355" i="5"/>
  <c r="I351" i="5"/>
  <c r="I343" i="5"/>
  <c r="I339" i="5"/>
  <c r="I335" i="5"/>
  <c r="I327" i="5"/>
  <c r="I323" i="5"/>
  <c r="I315" i="5"/>
  <c r="I311" i="5"/>
  <c r="I299" i="5"/>
  <c r="I295" i="5"/>
  <c r="I279" i="5"/>
  <c r="I278" i="5"/>
  <c r="I435" i="3"/>
  <c r="I431" i="3"/>
  <c r="I415" i="3"/>
  <c r="I403" i="3"/>
  <c r="I399" i="3"/>
  <c r="I351" i="3"/>
  <c r="I339" i="3"/>
  <c r="I335" i="3"/>
  <c r="I319" i="3"/>
  <c r="I303" i="3"/>
  <c r="I299" i="3"/>
  <c r="I287" i="3"/>
  <c r="I279" i="3"/>
  <c r="K305" i="7"/>
  <c r="I277" i="5"/>
  <c r="I277" i="4"/>
  <c r="K304" i="7"/>
  <c r="H275" i="3"/>
  <c r="G275" i="3"/>
  <c r="H275" i="5"/>
  <c r="I275" i="5"/>
  <c r="G275" i="5"/>
  <c r="H275" i="4"/>
  <c r="I275" i="4"/>
  <c r="G275" i="4"/>
  <c r="H275" i="1"/>
  <c r="I275" i="1"/>
  <c r="G275" i="1"/>
  <c r="K302" i="7"/>
  <c r="L302" i="7"/>
  <c r="I275" i="3"/>
  <c r="H274" i="3"/>
  <c r="G274" i="3"/>
  <c r="H274" i="5"/>
  <c r="G274" i="5"/>
  <c r="H274" i="4"/>
  <c r="G274" i="4"/>
  <c r="H274" i="1"/>
  <c r="G274" i="1"/>
  <c r="I274" i="1"/>
  <c r="K301" i="7"/>
  <c r="L301" i="7"/>
  <c r="I274" i="4"/>
  <c r="I274" i="5"/>
  <c r="I274" i="3"/>
  <c r="H273" i="3"/>
  <c r="G273" i="3"/>
  <c r="H273" i="5"/>
  <c r="G273" i="5"/>
  <c r="H273" i="4"/>
  <c r="G273" i="4"/>
  <c r="G276" i="2"/>
  <c r="H273" i="1"/>
  <c r="G273" i="1"/>
  <c r="K300" i="7"/>
  <c r="L300" i="7"/>
  <c r="I273" i="1"/>
  <c r="I273" i="5"/>
  <c r="I273" i="3"/>
  <c r="I273" i="4"/>
  <c r="H272" i="3"/>
  <c r="G272" i="3"/>
  <c r="H272" i="5"/>
  <c r="G272" i="5"/>
  <c r="H272" i="4"/>
  <c r="G272" i="4"/>
  <c r="H272" i="1"/>
  <c r="I272" i="1"/>
  <c r="G272" i="1"/>
  <c r="K299" i="7"/>
  <c r="L299" i="7"/>
  <c r="I272" i="4"/>
  <c r="I272" i="5"/>
  <c r="I272" i="3"/>
  <c r="H271" i="3"/>
  <c r="G271" i="3"/>
  <c r="H271" i="5"/>
  <c r="G271" i="5"/>
  <c r="H271" i="4"/>
  <c r="I271" i="4"/>
  <c r="G271" i="4"/>
  <c r="H271" i="1"/>
  <c r="I271" i="1"/>
  <c r="G271" i="1"/>
  <c r="K298" i="7"/>
  <c r="L298" i="7"/>
  <c r="I271" i="5"/>
  <c r="I271" i="3"/>
  <c r="H270" i="3"/>
  <c r="G270" i="3"/>
  <c r="H270" i="5"/>
  <c r="G270" i="5"/>
  <c r="H270" i="4"/>
  <c r="G270" i="4"/>
  <c r="H270" i="1"/>
  <c r="G270" i="1"/>
  <c r="K297" i="7"/>
  <c r="L297" i="7"/>
  <c r="I270" i="1"/>
  <c r="I270" i="4"/>
  <c r="I270" i="5"/>
  <c r="H269" i="3"/>
  <c r="G269" i="3"/>
  <c r="H269" i="4"/>
  <c r="I269" i="4"/>
  <c r="G269" i="4"/>
  <c r="G271" i="2"/>
  <c r="H271" i="2"/>
  <c r="H269" i="1"/>
  <c r="G269" i="1"/>
  <c r="I269" i="1"/>
  <c r="K296" i="7"/>
  <c r="L296" i="7"/>
  <c r="I269" i="3"/>
  <c r="H268" i="3"/>
  <c r="G268" i="3"/>
  <c r="G268" i="5"/>
  <c r="H268" i="5"/>
  <c r="G269" i="5"/>
  <c r="H269" i="5"/>
  <c r="H268" i="4"/>
  <c r="G268" i="4"/>
  <c r="H268" i="1"/>
  <c r="I268" i="1"/>
  <c r="G268" i="1"/>
  <c r="L295" i="7"/>
  <c r="I268" i="4"/>
  <c r="I268" i="3"/>
  <c r="I269" i="5"/>
  <c r="I268" i="5"/>
  <c r="K295" i="7"/>
  <c r="H267" i="3"/>
  <c r="G267" i="3"/>
  <c r="H267" i="5"/>
  <c r="G267" i="5"/>
  <c r="H267" i="4"/>
  <c r="G267" i="4"/>
  <c r="I267" i="4"/>
  <c r="H267" i="1"/>
  <c r="G267" i="1"/>
  <c r="I267" i="1"/>
  <c r="L294" i="7"/>
  <c r="K294" i="7"/>
  <c r="I267" i="5"/>
  <c r="I267" i="3"/>
  <c r="H266" i="3"/>
  <c r="G266" i="3"/>
  <c r="I266" i="3"/>
  <c r="H266" i="5"/>
  <c r="G266" i="5"/>
  <c r="I266" i="5"/>
  <c r="H266" i="4"/>
  <c r="G266" i="4"/>
  <c r="I266" i="4"/>
  <c r="H266" i="1"/>
  <c r="G266" i="1"/>
  <c r="I266" i="1"/>
  <c r="K293" i="7"/>
  <c r="H265" i="3"/>
  <c r="G265" i="3"/>
  <c r="H265" i="5"/>
  <c r="G265" i="5"/>
  <c r="I265" i="5"/>
  <c r="H265" i="4"/>
  <c r="G265" i="4"/>
  <c r="I265" i="4"/>
  <c r="H265" i="1"/>
  <c r="G265" i="1"/>
  <c r="I265" i="1"/>
  <c r="J292" i="7"/>
  <c r="I292" i="7"/>
  <c r="L293" i="7"/>
  <c r="I265" i="3"/>
  <c r="K292" i="7"/>
  <c r="G264" i="3"/>
  <c r="H264" i="3"/>
  <c r="I264" i="3"/>
  <c r="G264" i="5"/>
  <c r="H264" i="5"/>
  <c r="I264" i="5"/>
  <c r="H264" i="4"/>
  <c r="G264" i="4"/>
  <c r="I264" i="4"/>
  <c r="H264" i="1"/>
  <c r="G264" i="1"/>
  <c r="I264" i="1"/>
  <c r="J291" i="7"/>
  <c r="K291" i="7"/>
  <c r="I291" i="7"/>
  <c r="L292" i="7"/>
  <c r="H263" i="3"/>
  <c r="G263" i="3"/>
  <c r="H263" i="5"/>
  <c r="G263" i="5"/>
  <c r="I263" i="5"/>
  <c r="H263" i="4"/>
  <c r="G263" i="4"/>
  <c r="I263" i="4"/>
  <c r="H263" i="1"/>
  <c r="G263" i="1"/>
  <c r="I263" i="1"/>
  <c r="J290" i="7"/>
  <c r="I290" i="7"/>
  <c r="L291" i="7"/>
  <c r="K290" i="7"/>
  <c r="H262" i="3"/>
  <c r="G262" i="3"/>
  <c r="H262" i="5"/>
  <c r="G262" i="5"/>
  <c r="I262" i="5"/>
  <c r="H262" i="4"/>
  <c r="G262" i="4"/>
  <c r="I262" i="4"/>
  <c r="H262" i="1"/>
  <c r="G262" i="1"/>
  <c r="I262" i="1"/>
  <c r="J289" i="7"/>
  <c r="K289" i="7"/>
  <c r="I289" i="7"/>
  <c r="L290" i="7"/>
  <c r="H261" i="3"/>
  <c r="G261" i="3"/>
  <c r="H261" i="5"/>
  <c r="G261" i="5"/>
  <c r="I261" i="5"/>
  <c r="H261" i="4"/>
  <c r="G261" i="4"/>
  <c r="I261" i="4"/>
  <c r="G261" i="1"/>
  <c r="I261" i="1"/>
  <c r="H261" i="1"/>
  <c r="J288" i="7"/>
  <c r="I288" i="7"/>
  <c r="K288" i="7"/>
  <c r="I261" i="3"/>
  <c r="L289" i="7"/>
  <c r="H260" i="3"/>
  <c r="G260" i="3"/>
  <c r="H260" i="5"/>
  <c r="G260" i="5"/>
  <c r="H260" i="4"/>
  <c r="G260" i="4"/>
  <c r="I260" i="4"/>
  <c r="H260" i="1"/>
  <c r="G260" i="1"/>
  <c r="I260" i="1"/>
  <c r="J287" i="7"/>
  <c r="I287" i="7"/>
  <c r="K287" i="7"/>
  <c r="I260" i="5"/>
  <c r="L288" i="7"/>
  <c r="H259" i="3"/>
  <c r="G259" i="3"/>
  <c r="H259" i="5"/>
  <c r="G259" i="5"/>
  <c r="I259" i="5"/>
  <c r="H259" i="4"/>
  <c r="G259" i="4"/>
  <c r="I259" i="4"/>
  <c r="H259" i="1"/>
  <c r="G259" i="1"/>
  <c r="I259" i="1"/>
  <c r="J286" i="7"/>
  <c r="I286" i="7"/>
  <c r="K286" i="7"/>
  <c r="L287" i="7"/>
  <c r="H258" i="3"/>
  <c r="G258" i="3"/>
  <c r="H258" i="5"/>
  <c r="G258" i="5"/>
  <c r="I258" i="5"/>
  <c r="H258" i="4"/>
  <c r="G258" i="4"/>
  <c r="I258" i="4"/>
  <c r="H258" i="1"/>
  <c r="G258" i="1"/>
  <c r="I258" i="1"/>
  <c r="J285" i="7"/>
  <c r="I285" i="7"/>
  <c r="K285" i="7"/>
  <c r="L286" i="7"/>
  <c r="H257" i="3"/>
  <c r="G257" i="3"/>
  <c r="H257" i="5"/>
  <c r="G257" i="5"/>
  <c r="I257" i="5"/>
  <c r="H257" i="4"/>
  <c r="G257" i="4"/>
  <c r="I257" i="4"/>
  <c r="H257" i="1"/>
  <c r="G257" i="1"/>
  <c r="I257" i="1"/>
  <c r="J284" i="7"/>
  <c r="K284" i="7"/>
  <c r="I284" i="7"/>
  <c r="L285" i="7"/>
  <c r="H256" i="3"/>
  <c r="G256" i="3"/>
  <c r="I256" i="3"/>
  <c r="H256" i="5"/>
  <c r="G256" i="5"/>
  <c r="I256" i="5"/>
  <c r="H256" i="4"/>
  <c r="G256" i="4"/>
  <c r="I256" i="4"/>
  <c r="H256" i="1"/>
  <c r="G256" i="1"/>
  <c r="I256" i="1"/>
  <c r="J283" i="7"/>
  <c r="K283" i="7"/>
  <c r="I283" i="7"/>
  <c r="L284" i="7"/>
  <c r="H255" i="3"/>
  <c r="G255" i="3"/>
  <c r="H255" i="5"/>
  <c r="G255" i="5"/>
  <c r="H255" i="4"/>
  <c r="G255" i="4"/>
  <c r="H255" i="1"/>
  <c r="G255" i="1"/>
  <c r="I255" i="1"/>
  <c r="J282" i="7"/>
  <c r="I282" i="7"/>
  <c r="I255" i="4"/>
  <c r="I255" i="5"/>
  <c r="L283" i="7"/>
  <c r="K282" i="7"/>
  <c r="H254" i="3"/>
  <c r="G254" i="3"/>
  <c r="H254" i="5"/>
  <c r="G254" i="5"/>
  <c r="I254" i="5"/>
  <c r="H254" i="4"/>
  <c r="G254" i="4"/>
  <c r="I254" i="4"/>
  <c r="H254" i="1"/>
  <c r="G254" i="1"/>
  <c r="I254" i="1"/>
  <c r="J281" i="7"/>
  <c r="K281" i="7"/>
  <c r="I281" i="7"/>
  <c r="I254" i="3"/>
  <c r="L282" i="7"/>
  <c r="H253" i="3"/>
  <c r="G253" i="3"/>
  <c r="I253" i="3"/>
  <c r="H253" i="5"/>
  <c r="G253" i="5"/>
  <c r="I253" i="5"/>
  <c r="H253" i="4"/>
  <c r="G253" i="4"/>
  <c r="I253" i="4"/>
  <c r="H253" i="1"/>
  <c r="I253" i="1"/>
  <c r="G253" i="1"/>
  <c r="J280" i="7"/>
  <c r="I280" i="7"/>
  <c r="K280" i="7"/>
  <c r="L281" i="7"/>
  <c r="H252" i="3"/>
  <c r="G252" i="3"/>
  <c r="I252" i="3"/>
  <c r="H252" i="5"/>
  <c r="G252" i="5"/>
  <c r="H252" i="4"/>
  <c r="G252" i="4"/>
  <c r="I252" i="4"/>
  <c r="H252" i="1"/>
  <c r="G252" i="1"/>
  <c r="I252" i="1"/>
  <c r="J279" i="7"/>
  <c r="I279" i="7"/>
  <c r="L280" i="7"/>
  <c r="K279" i="7"/>
  <c r="I252" i="5"/>
  <c r="H251" i="3"/>
  <c r="G251" i="3"/>
  <c r="H251" i="5"/>
  <c r="G251" i="5"/>
  <c r="I251" i="5"/>
  <c r="H251" i="4"/>
  <c r="G251" i="4"/>
  <c r="H251" i="1"/>
  <c r="G251" i="1"/>
  <c r="J278" i="7"/>
  <c r="K278" i="7"/>
  <c r="I278" i="7"/>
  <c r="L279" i="7"/>
  <c r="I251" i="1"/>
  <c r="I251" i="4"/>
  <c r="I251" i="3"/>
  <c r="H250" i="3"/>
  <c r="G250" i="3"/>
  <c r="H250" i="5"/>
  <c r="G250" i="5"/>
  <c r="I250" i="5"/>
  <c r="H250" i="4"/>
  <c r="G250" i="4"/>
  <c r="H250" i="1"/>
  <c r="G250" i="1"/>
  <c r="I250" i="1"/>
  <c r="J277" i="7"/>
  <c r="I277" i="7"/>
  <c r="I250" i="4"/>
  <c r="I250" i="3"/>
  <c r="K277" i="7"/>
  <c r="L278" i="7"/>
  <c r="H249" i="3"/>
  <c r="G249" i="3"/>
  <c r="I249" i="3"/>
  <c r="H249" i="5"/>
  <c r="G249" i="5"/>
  <c r="H249" i="4"/>
  <c r="G249" i="4"/>
  <c r="I249" i="4"/>
  <c r="H249" i="1"/>
  <c r="G249" i="1"/>
  <c r="I249" i="1"/>
  <c r="J276" i="7"/>
  <c r="I276" i="7"/>
  <c r="L277" i="7"/>
  <c r="K276" i="7"/>
  <c r="I249" i="5"/>
  <c r="H248" i="3"/>
  <c r="G248" i="3"/>
  <c r="H248" i="5"/>
  <c r="G248" i="5"/>
  <c r="I248" i="5"/>
  <c r="H248" i="4"/>
  <c r="G248" i="4"/>
  <c r="G248" i="1"/>
  <c r="H248" i="1"/>
  <c r="I248" i="1"/>
  <c r="J275" i="7"/>
  <c r="I275" i="7"/>
  <c r="I248" i="4"/>
  <c r="L276" i="7"/>
  <c r="K275" i="7"/>
  <c r="H247" i="3"/>
  <c r="G247" i="3"/>
  <c r="H247" i="5"/>
  <c r="G247" i="5"/>
  <c r="H247" i="4"/>
  <c r="G247" i="4"/>
  <c r="I247" i="4"/>
  <c r="H247" i="1"/>
  <c r="G247" i="1"/>
  <c r="I247" i="1"/>
  <c r="J274" i="7"/>
  <c r="I274" i="7"/>
  <c r="K274" i="7"/>
  <c r="I247" i="5"/>
  <c r="L275" i="7"/>
  <c r="H246" i="3"/>
  <c r="G246" i="3"/>
  <c r="H246" i="5"/>
  <c r="G246" i="5"/>
  <c r="H246" i="4"/>
  <c r="G246" i="4"/>
  <c r="I246" i="4"/>
  <c r="H246" i="1"/>
  <c r="G246" i="1"/>
  <c r="I246" i="1"/>
  <c r="J273" i="7"/>
  <c r="I273" i="7"/>
  <c r="I246" i="5"/>
  <c r="I246" i="3"/>
  <c r="K273" i="7"/>
  <c r="L274" i="7"/>
  <c r="H245" i="3"/>
  <c r="G245" i="3"/>
  <c r="I245" i="3"/>
  <c r="H245" i="5"/>
  <c r="G245" i="5"/>
  <c r="I245" i="5"/>
  <c r="H245" i="4"/>
  <c r="G245" i="4"/>
  <c r="I245" i="4"/>
  <c r="H245" i="1"/>
  <c r="G245" i="1"/>
  <c r="I245" i="1"/>
  <c r="J272" i="7"/>
  <c r="I272" i="7"/>
  <c r="L273" i="7"/>
  <c r="K272" i="7"/>
  <c r="G244" i="3"/>
  <c r="H244" i="3"/>
  <c r="I244" i="3"/>
  <c r="G244" i="5"/>
  <c r="H244" i="5"/>
  <c r="I244" i="5"/>
  <c r="G244" i="4"/>
  <c r="H244" i="4"/>
  <c r="I244" i="4"/>
  <c r="G244" i="2"/>
  <c r="H244" i="2"/>
  <c r="G244" i="1"/>
  <c r="I244" i="1"/>
  <c r="H244" i="1"/>
  <c r="J271" i="7"/>
  <c r="K271" i="7"/>
  <c r="I271" i="7"/>
  <c r="I244" i="2"/>
  <c r="L272" i="7"/>
  <c r="H243" i="3"/>
  <c r="G243" i="3"/>
  <c r="H243" i="5"/>
  <c r="G243" i="5"/>
  <c r="H243" i="4"/>
  <c r="G243" i="4"/>
  <c r="I243" i="4"/>
  <c r="H243" i="1"/>
  <c r="G243" i="1"/>
  <c r="J270" i="7"/>
  <c r="I270" i="7"/>
  <c r="K270" i="7"/>
  <c r="I243" i="5"/>
  <c r="L271" i="7"/>
  <c r="I243" i="1"/>
  <c r="H242" i="3"/>
  <c r="G242" i="3"/>
  <c r="H242" i="5"/>
  <c r="G242" i="5"/>
  <c r="I242" i="5"/>
  <c r="H242" i="4"/>
  <c r="G242" i="4"/>
  <c r="I242" i="4"/>
  <c r="H242" i="1"/>
  <c r="G242" i="1"/>
  <c r="I242" i="1"/>
  <c r="J269" i="7"/>
  <c r="I269" i="7"/>
  <c r="K269" i="7"/>
  <c r="L270" i="7"/>
  <c r="H241" i="3"/>
  <c r="G241" i="3"/>
  <c r="H241" i="5"/>
  <c r="G241" i="5"/>
  <c r="H241" i="4"/>
  <c r="G241" i="4"/>
  <c r="H241" i="1"/>
  <c r="G241" i="1"/>
  <c r="I241" i="1"/>
  <c r="J268" i="7"/>
  <c r="I268" i="7"/>
  <c r="I241" i="4"/>
  <c r="I241" i="5"/>
  <c r="K268" i="7"/>
  <c r="L269" i="7"/>
  <c r="H240" i="3"/>
  <c r="G240" i="3"/>
  <c r="H240" i="5"/>
  <c r="G240" i="5"/>
  <c r="H240" i="4"/>
  <c r="G240" i="4"/>
  <c r="H240" i="1"/>
  <c r="G240" i="1"/>
  <c r="I240" i="1"/>
  <c r="J267" i="7"/>
  <c r="K267" i="7"/>
  <c r="I267" i="7"/>
  <c r="L268" i="7"/>
  <c r="I240" i="4"/>
  <c r="I240" i="5"/>
  <c r="H239" i="3"/>
  <c r="G239" i="3"/>
  <c r="H239" i="5"/>
  <c r="G239" i="5"/>
  <c r="I239" i="5"/>
  <c r="H239" i="4"/>
  <c r="G239" i="4"/>
  <c r="I239" i="4"/>
  <c r="H239" i="1"/>
  <c r="G239" i="1"/>
  <c r="I239" i="1"/>
  <c r="J266" i="7"/>
  <c r="I266" i="7"/>
  <c r="L267" i="7"/>
  <c r="K266" i="7"/>
  <c r="H238" i="3"/>
  <c r="G238" i="3"/>
  <c r="H238" i="5"/>
  <c r="G238" i="5"/>
  <c r="I238" i="5"/>
  <c r="H238" i="4"/>
  <c r="G238" i="4"/>
  <c r="I238" i="4"/>
  <c r="H238" i="1"/>
  <c r="G238" i="1"/>
  <c r="I238" i="1"/>
  <c r="J265" i="7"/>
  <c r="I265" i="7"/>
  <c r="K265" i="7"/>
  <c r="L266" i="7"/>
  <c r="H237" i="3"/>
  <c r="G237" i="3"/>
  <c r="I237" i="3"/>
  <c r="H237" i="5"/>
  <c r="G237" i="5"/>
  <c r="I237" i="5"/>
  <c r="H237" i="4"/>
  <c r="G237" i="4"/>
  <c r="I237" i="4"/>
  <c r="H237" i="1"/>
  <c r="G237" i="1"/>
  <c r="I237" i="1"/>
  <c r="J264" i="7"/>
  <c r="I264" i="7"/>
  <c r="K264" i="7"/>
  <c r="L265" i="7"/>
  <c r="H236" i="3"/>
  <c r="G236" i="3"/>
  <c r="H236" i="5"/>
  <c r="G236" i="5"/>
  <c r="H236" i="4"/>
  <c r="G236" i="4"/>
  <c r="H236" i="1"/>
  <c r="G236" i="1"/>
  <c r="I236" i="1"/>
  <c r="J263" i="7"/>
  <c r="I263" i="7"/>
  <c r="L264" i="7"/>
  <c r="I236" i="4"/>
  <c r="I236" i="5"/>
  <c r="I236" i="3"/>
  <c r="K263" i="7"/>
  <c r="H235" i="3"/>
  <c r="G235" i="3"/>
  <c r="H235" i="5"/>
  <c r="G235" i="5"/>
  <c r="I235" i="5"/>
  <c r="H235" i="4"/>
  <c r="G235" i="4"/>
  <c r="I235" i="4"/>
  <c r="H235" i="1"/>
  <c r="G235" i="1"/>
  <c r="I235" i="1"/>
  <c r="J262" i="7"/>
  <c r="I262" i="7"/>
  <c r="K262" i="7"/>
  <c r="L263" i="7"/>
  <c r="H234" i="3"/>
  <c r="G234" i="3"/>
  <c r="I234" i="3"/>
  <c r="H234" i="5"/>
  <c r="G234" i="5"/>
  <c r="I234" i="5"/>
  <c r="H234" i="4"/>
  <c r="G234" i="4"/>
  <c r="I234" i="4"/>
  <c r="H234" i="1"/>
  <c r="G234" i="1"/>
  <c r="I234" i="1"/>
  <c r="J261" i="7"/>
  <c r="I261" i="7"/>
  <c r="H233" i="3"/>
  <c r="G233" i="3"/>
  <c r="H233" i="5"/>
  <c r="G233" i="5"/>
  <c r="I233" i="5"/>
  <c r="H233" i="4"/>
  <c r="G233" i="4"/>
  <c r="I233" i="4"/>
  <c r="H233" i="1"/>
  <c r="G233" i="1"/>
  <c r="I233" i="1"/>
  <c r="J260" i="7"/>
  <c r="I260" i="7"/>
  <c r="L261" i="7"/>
  <c r="K261" i="7"/>
  <c r="K260" i="7"/>
  <c r="L262" i="7"/>
  <c r="H232" i="3"/>
  <c r="G232" i="3"/>
  <c r="H232" i="5"/>
  <c r="G232" i="5"/>
  <c r="I232" i="5"/>
  <c r="H232" i="4"/>
  <c r="G232" i="4"/>
  <c r="I232" i="4"/>
  <c r="H232" i="1"/>
  <c r="G232" i="1"/>
  <c r="I232" i="1"/>
  <c r="J259" i="7"/>
  <c r="I259" i="7"/>
  <c r="L260" i="7"/>
  <c r="K259" i="7"/>
  <c r="G231" i="3"/>
  <c r="H231" i="3"/>
  <c r="H231" i="5"/>
  <c r="G231" i="5"/>
  <c r="H231" i="4"/>
  <c r="G231" i="4"/>
  <c r="H231" i="1"/>
  <c r="G231" i="1"/>
  <c r="I231" i="1"/>
  <c r="J258" i="7"/>
  <c r="I258" i="7"/>
  <c r="I231" i="4"/>
  <c r="I231" i="3"/>
  <c r="I231" i="5"/>
  <c r="L259" i="7"/>
  <c r="K258" i="7"/>
  <c r="H230" i="3"/>
  <c r="G230" i="3"/>
  <c r="I230" i="3"/>
  <c r="H230" i="5"/>
  <c r="G230" i="5"/>
  <c r="I230" i="5"/>
  <c r="H230" i="4"/>
  <c r="G230" i="4"/>
  <c r="I230" i="4"/>
  <c r="H230" i="1"/>
  <c r="G230" i="1"/>
  <c r="I230" i="1"/>
  <c r="J257" i="7"/>
  <c r="I257" i="7"/>
  <c r="L258" i="7"/>
  <c r="K257" i="7"/>
  <c r="H229" i="3"/>
  <c r="G229" i="3"/>
  <c r="I229" i="3"/>
  <c r="H229" i="5"/>
  <c r="G229" i="5"/>
  <c r="I229" i="5"/>
  <c r="H229" i="4"/>
  <c r="G229" i="4"/>
  <c r="I229" i="4"/>
  <c r="H229" i="1"/>
  <c r="G229" i="1"/>
  <c r="I229" i="1"/>
  <c r="J256" i="7"/>
  <c r="I256" i="7"/>
  <c r="L257" i="7"/>
  <c r="K256" i="7"/>
  <c r="H228" i="3"/>
  <c r="G228" i="3"/>
  <c r="H228" i="5"/>
  <c r="G228" i="5"/>
  <c r="I228" i="5"/>
  <c r="H228" i="4"/>
  <c r="G228" i="4"/>
  <c r="I228" i="4"/>
  <c r="H228" i="1"/>
  <c r="G228" i="1"/>
  <c r="I228" i="1"/>
  <c r="J255" i="7"/>
  <c r="I255" i="7"/>
  <c r="L256" i="7"/>
  <c r="K255" i="7"/>
  <c r="H227" i="3"/>
  <c r="G227" i="3"/>
  <c r="H227" i="5"/>
  <c r="G227" i="5"/>
  <c r="I227" i="5"/>
  <c r="H227" i="4"/>
  <c r="G227" i="4"/>
  <c r="I227" i="4"/>
  <c r="H227" i="1"/>
  <c r="G227" i="1"/>
  <c r="I227" i="1"/>
  <c r="J254" i="7"/>
  <c r="I254" i="7"/>
  <c r="P254" i="7"/>
  <c r="I227" i="3"/>
  <c r="K254" i="7"/>
  <c r="H226" i="3"/>
  <c r="G226" i="3"/>
  <c r="H226" i="5"/>
  <c r="G226" i="5"/>
  <c r="H226" i="4"/>
  <c r="G226" i="4"/>
  <c r="H226" i="1"/>
  <c r="G226" i="1"/>
  <c r="J253" i="7"/>
  <c r="I253" i="7"/>
  <c r="P253" i="7"/>
  <c r="K253" i="7"/>
  <c r="I226" i="1"/>
  <c r="I226" i="4"/>
  <c r="I226" i="5"/>
  <c r="I226" i="3"/>
  <c r="L254" i="7"/>
  <c r="H225" i="3"/>
  <c r="G225" i="3"/>
  <c r="H225" i="5"/>
  <c r="G225" i="5"/>
  <c r="H225" i="4"/>
  <c r="G225" i="4"/>
  <c r="H225" i="1"/>
  <c r="G225" i="1"/>
  <c r="I225" i="1"/>
  <c r="P252" i="7"/>
  <c r="J252" i="7"/>
  <c r="I252" i="7"/>
  <c r="H224" i="3"/>
  <c r="G224" i="3"/>
  <c r="I224" i="3"/>
  <c r="H224" i="5"/>
  <c r="G224" i="5"/>
  <c r="H224" i="4"/>
  <c r="G224" i="4"/>
  <c r="I224" i="4"/>
  <c r="H224" i="1"/>
  <c r="G224" i="1"/>
  <c r="I224" i="1"/>
  <c r="J251" i="7"/>
  <c r="I251" i="7"/>
  <c r="P251" i="7"/>
  <c r="H223" i="3"/>
  <c r="G223" i="3"/>
  <c r="H223" i="5"/>
  <c r="G223" i="5"/>
  <c r="I223" i="5"/>
  <c r="H223" i="4"/>
  <c r="G223" i="4"/>
  <c r="H223" i="1"/>
  <c r="G223" i="1"/>
  <c r="I223" i="1"/>
  <c r="P250" i="7"/>
  <c r="J250" i="7"/>
  <c r="I250" i="7"/>
  <c r="H222" i="3"/>
  <c r="G222" i="3"/>
  <c r="H222" i="5"/>
  <c r="G222" i="5"/>
  <c r="H222" i="4"/>
  <c r="G222" i="4"/>
  <c r="I222" i="4"/>
  <c r="H222" i="1"/>
  <c r="G222" i="1"/>
  <c r="I222" i="1"/>
  <c r="P248" i="7"/>
  <c r="P247" i="7"/>
  <c r="P246" i="7"/>
  <c r="P249" i="7"/>
  <c r="J249" i="7"/>
  <c r="I249" i="7"/>
  <c r="H221" i="3"/>
  <c r="G221" i="3"/>
  <c r="H221" i="5"/>
  <c r="G221" i="5"/>
  <c r="H221" i="4"/>
  <c r="G221" i="4"/>
  <c r="G221" i="1"/>
  <c r="I221" i="1"/>
  <c r="H221" i="1"/>
  <c r="J248" i="7"/>
  <c r="I248" i="7"/>
  <c r="H220" i="5"/>
  <c r="G220" i="5"/>
  <c r="H220" i="4"/>
  <c r="G220" i="4"/>
  <c r="A28" i="4"/>
  <c r="H220" i="1"/>
  <c r="G220" i="1"/>
  <c r="I220" i="1"/>
  <c r="J247" i="7"/>
  <c r="I247" i="7"/>
  <c r="H219" i="3"/>
  <c r="G219" i="3"/>
  <c r="H220" i="3"/>
  <c r="G220" i="3"/>
  <c r="H219" i="5"/>
  <c r="G219" i="5"/>
  <c r="H219" i="4"/>
  <c r="G219" i="4"/>
  <c r="H219" i="1"/>
  <c r="G219" i="1"/>
  <c r="J246" i="7"/>
  <c r="I246" i="7"/>
  <c r="K246" i="7"/>
  <c r="H218" i="3"/>
  <c r="G218" i="3"/>
  <c r="H218" i="5"/>
  <c r="G218" i="5"/>
  <c r="H218" i="4"/>
  <c r="G218" i="4"/>
  <c r="H218" i="1"/>
  <c r="G218" i="1"/>
  <c r="J245" i="7"/>
  <c r="I245" i="7"/>
  <c r="I218" i="5"/>
  <c r="I219" i="5"/>
  <c r="I220" i="4"/>
  <c r="K248" i="7"/>
  <c r="I221" i="5"/>
  <c r="K249" i="7"/>
  <c r="L250" i="7"/>
  <c r="K252" i="7"/>
  <c r="I225" i="4"/>
  <c r="I225" i="5"/>
  <c r="I225" i="3"/>
  <c r="L249" i="7"/>
  <c r="L252" i="7"/>
  <c r="L253" i="7"/>
  <c r="K245" i="7"/>
  <c r="I218" i="1"/>
  <c r="I218" i="4"/>
  <c r="I219" i="1"/>
  <c r="I219" i="4"/>
  <c r="I220" i="3"/>
  <c r="K247" i="7"/>
  <c r="L247" i="7"/>
  <c r="I220" i="5"/>
  <c r="I221" i="4"/>
  <c r="I221" i="3"/>
  <c r="I222" i="5"/>
  <c r="K250" i="7"/>
  <c r="I223" i="4"/>
  <c r="I223" i="3"/>
  <c r="K251" i="7"/>
  <c r="I224" i="5"/>
  <c r="L246" i="7"/>
  <c r="L248" i="7"/>
  <c r="L251" i="7"/>
  <c r="H217" i="3"/>
  <c r="G217" i="3"/>
  <c r="H217" i="5"/>
  <c r="G217" i="5"/>
  <c r="H217" i="4"/>
  <c r="G217" i="4"/>
  <c r="H217" i="1"/>
  <c r="G217" i="1"/>
  <c r="I217" i="1"/>
  <c r="J244" i="7"/>
  <c r="I244" i="7"/>
  <c r="H216" i="3"/>
  <c r="G216" i="3"/>
  <c r="H216" i="5"/>
  <c r="G216" i="5"/>
  <c r="H216" i="4"/>
  <c r="G216" i="4"/>
  <c r="H216" i="1"/>
  <c r="G216" i="1"/>
  <c r="I216" i="1"/>
  <c r="K244" i="7"/>
  <c r="I217" i="4"/>
  <c r="I216" i="4"/>
  <c r="I216" i="5"/>
  <c r="I217" i="5"/>
  <c r="L245" i="7"/>
  <c r="J243" i="7"/>
  <c r="I243" i="7"/>
  <c r="H215" i="3"/>
  <c r="G215" i="3"/>
  <c r="H215" i="5"/>
  <c r="G215" i="5"/>
  <c r="H215" i="4"/>
  <c r="G215" i="4"/>
  <c r="H215" i="1"/>
  <c r="I215" i="1"/>
  <c r="G215" i="1"/>
  <c r="J242" i="7"/>
  <c r="I242" i="7"/>
  <c r="H214" i="3"/>
  <c r="G214" i="3"/>
  <c r="H214" i="5"/>
  <c r="G214" i="5"/>
  <c r="H214" i="4"/>
  <c r="G214" i="4"/>
  <c r="J241" i="7"/>
  <c r="I241" i="7"/>
  <c r="L243" i="7"/>
  <c r="I215" i="4"/>
  <c r="I215" i="3"/>
  <c r="K243" i="7"/>
  <c r="L244" i="7"/>
  <c r="K241" i="7"/>
  <c r="I214" i="4"/>
  <c r="I214" i="5"/>
  <c r="I214" i="3"/>
  <c r="K242" i="7"/>
  <c r="L242" i="7"/>
  <c r="I215" i="5"/>
  <c r="H213" i="3"/>
  <c r="G213" i="3"/>
  <c r="H213" i="5"/>
  <c r="G213" i="5"/>
  <c r="H213" i="4"/>
  <c r="G213" i="4"/>
  <c r="J240" i="7"/>
  <c r="I240" i="7"/>
  <c r="L241" i="7"/>
  <c r="K240" i="7"/>
  <c r="I213" i="4"/>
  <c r="I213" i="5"/>
  <c r="I213" i="3"/>
  <c r="H212" i="3"/>
  <c r="G212" i="3"/>
  <c r="H212" i="5"/>
  <c r="G212" i="5"/>
  <c r="H212" i="4"/>
  <c r="G212" i="4"/>
  <c r="J239" i="7"/>
  <c r="I239" i="7"/>
  <c r="L240" i="7"/>
  <c r="H211" i="3"/>
  <c r="G211" i="3"/>
  <c r="H211" i="5"/>
  <c r="G211" i="5"/>
  <c r="G211" i="4"/>
  <c r="H211" i="4"/>
  <c r="J238" i="7"/>
  <c r="I238" i="7"/>
  <c r="H210" i="3"/>
  <c r="G210" i="3"/>
  <c r="H210" i="5"/>
  <c r="G210" i="5"/>
  <c r="H210" i="4"/>
  <c r="G210" i="4"/>
  <c r="J237" i="7"/>
  <c r="I237" i="7"/>
  <c r="H209" i="3"/>
  <c r="G209" i="3"/>
  <c r="H209" i="5"/>
  <c r="G209" i="5"/>
  <c r="H209" i="4"/>
  <c r="G209" i="4"/>
  <c r="J236" i="7"/>
  <c r="I236" i="7"/>
  <c r="H208" i="3"/>
  <c r="G208" i="3"/>
  <c r="H208" i="5"/>
  <c r="H208" i="4"/>
  <c r="G208" i="4"/>
  <c r="J235" i="7"/>
  <c r="I235" i="7"/>
  <c r="K235" i="7"/>
  <c r="H207" i="3"/>
  <c r="G207" i="3"/>
  <c r="H207" i="5"/>
  <c r="G207" i="5"/>
  <c r="H207" i="4"/>
  <c r="G207" i="4"/>
  <c r="J234" i="7"/>
  <c r="I234" i="7"/>
  <c r="K236" i="7"/>
  <c r="K239" i="7"/>
  <c r="L237" i="7"/>
  <c r="I210" i="4"/>
  <c r="I210" i="5"/>
  <c r="L238" i="7"/>
  <c r="I211" i="4"/>
  <c r="I211" i="5"/>
  <c r="I212" i="4"/>
  <c r="I212" i="5"/>
  <c r="I212" i="3"/>
  <c r="L236" i="7"/>
  <c r="K234" i="7"/>
  <c r="I207" i="4"/>
  <c r="I207" i="5"/>
  <c r="I207" i="3"/>
  <c r="L235" i="7"/>
  <c r="I208" i="4"/>
  <c r="I209" i="4"/>
  <c r="I209" i="5"/>
  <c r="K237" i="7"/>
  <c r="K238" i="7"/>
  <c r="L239" i="7"/>
  <c r="H206" i="3"/>
  <c r="G206" i="3"/>
  <c r="H206" i="5"/>
  <c r="G206" i="5"/>
  <c r="I206" i="5"/>
  <c r="H206" i="4"/>
  <c r="G206" i="4"/>
  <c r="I206" i="4"/>
  <c r="J233" i="7"/>
  <c r="I233" i="7"/>
  <c r="L234" i="7"/>
  <c r="H205" i="3"/>
  <c r="G205" i="3"/>
  <c r="H205" i="5"/>
  <c r="G205" i="5"/>
  <c r="H205" i="4"/>
  <c r="G205" i="4"/>
  <c r="J232" i="7"/>
  <c r="I232" i="7"/>
  <c r="H204" i="3"/>
  <c r="G204" i="3"/>
  <c r="H204" i="5"/>
  <c r="G204" i="5"/>
  <c r="H204" i="4"/>
  <c r="G204" i="4"/>
  <c r="J231" i="7"/>
  <c r="I231" i="7"/>
  <c r="H203" i="3"/>
  <c r="G203" i="3"/>
  <c r="H203" i="5"/>
  <c r="G203" i="5"/>
  <c r="I203" i="5"/>
  <c r="H203" i="4"/>
  <c r="G203" i="4"/>
  <c r="I203" i="4"/>
  <c r="J230" i="7"/>
  <c r="K230" i="7"/>
  <c r="I230" i="7"/>
  <c r="H202" i="3"/>
  <c r="G202" i="3"/>
  <c r="H202" i="5"/>
  <c r="G202" i="5"/>
  <c r="I202" i="5"/>
  <c r="H202" i="4"/>
  <c r="G202" i="4"/>
  <c r="I202" i="4"/>
  <c r="J229" i="7"/>
  <c r="I229" i="7"/>
  <c r="L230" i="7"/>
  <c r="H201" i="3"/>
  <c r="G201" i="3"/>
  <c r="H201" i="5"/>
  <c r="G201" i="5"/>
  <c r="H201" i="4"/>
  <c r="G201" i="4"/>
  <c r="J228" i="7"/>
  <c r="I228" i="7"/>
  <c r="H200" i="3"/>
  <c r="G200" i="3"/>
  <c r="I200" i="3"/>
  <c r="H200" i="5"/>
  <c r="G200" i="5"/>
  <c r="I200" i="5"/>
  <c r="H200" i="4"/>
  <c r="G200" i="4"/>
  <c r="I200" i="4"/>
  <c r="J227" i="7"/>
  <c r="I227" i="7"/>
  <c r="H199" i="3"/>
  <c r="G199" i="3"/>
  <c r="H199" i="5"/>
  <c r="G199" i="5"/>
  <c r="H199" i="4"/>
  <c r="G199" i="4"/>
  <c r="J226" i="7"/>
  <c r="I226" i="7"/>
  <c r="H198" i="3"/>
  <c r="G198" i="3"/>
  <c r="H198" i="5"/>
  <c r="G198" i="5"/>
  <c r="H198" i="4"/>
  <c r="G198" i="4"/>
  <c r="J225" i="7"/>
  <c r="I225" i="7"/>
  <c r="H197" i="3"/>
  <c r="G197" i="3"/>
  <c r="H197" i="5"/>
  <c r="G197" i="5"/>
  <c r="H197" i="4"/>
  <c r="G197" i="4"/>
  <c r="J224" i="7"/>
  <c r="I224" i="7"/>
  <c r="H196" i="3"/>
  <c r="G196" i="3"/>
  <c r="H196" i="5"/>
  <c r="G196" i="5"/>
  <c r="H196" i="4"/>
  <c r="G196" i="4"/>
  <c r="J223" i="7"/>
  <c r="I223" i="7"/>
  <c r="I203" i="3"/>
  <c r="I204" i="4"/>
  <c r="I204" i="5"/>
  <c r="K223" i="7"/>
  <c r="L224" i="7"/>
  <c r="I206" i="3"/>
  <c r="I197" i="4"/>
  <c r="I197" i="5"/>
  <c r="I197" i="3"/>
  <c r="L226" i="7"/>
  <c r="I198" i="4"/>
  <c r="I198" i="5"/>
  <c r="I198" i="3"/>
  <c r="K226" i="7"/>
  <c r="I199" i="4"/>
  <c r="I199" i="5"/>
  <c r="I199" i="3"/>
  <c r="L228" i="7"/>
  <c r="I201" i="4"/>
  <c r="I201" i="5"/>
  <c r="I201" i="3"/>
  <c r="L232" i="7"/>
  <c r="L227" i="7"/>
  <c r="K225" i="7"/>
  <c r="I196" i="4"/>
  <c r="I196" i="5"/>
  <c r="K224" i="7"/>
  <c r="L225" i="7"/>
  <c r="K227" i="7"/>
  <c r="K228" i="7"/>
  <c r="K229" i="7"/>
  <c r="L229" i="7"/>
  <c r="K231" i="7"/>
  <c r="L231" i="7"/>
  <c r="K232" i="7"/>
  <c r="I205" i="4"/>
  <c r="I205" i="5"/>
  <c r="K233" i="7"/>
  <c r="L233" i="7"/>
  <c r="A19" i="11"/>
  <c r="AB123" i="11"/>
  <c r="AA123" i="11"/>
  <c r="AC123" i="11" s="1"/>
  <c r="Z123" i="11"/>
  <c r="X123" i="11"/>
  <c r="W123" i="11"/>
  <c r="V123" i="11"/>
  <c r="R123" i="11"/>
  <c r="Q123" i="11"/>
  <c r="S123" i="11"/>
  <c r="P123" i="11"/>
  <c r="N123" i="11"/>
  <c r="M123" i="11"/>
  <c r="L123" i="11"/>
  <c r="I123" i="11"/>
  <c r="H123" i="11"/>
  <c r="J123" i="11"/>
  <c r="D123" i="11"/>
  <c r="C123" i="11"/>
  <c r="E123" i="11" s="1"/>
  <c r="AB122" i="11"/>
  <c r="AC122" i="11"/>
  <c r="AA122" i="11"/>
  <c r="Z122" i="11"/>
  <c r="X122" i="11"/>
  <c r="W122" i="11"/>
  <c r="Y122" i="11"/>
  <c r="AD123" i="11" s="1"/>
  <c r="V122" i="11"/>
  <c r="R122" i="11"/>
  <c r="Q122" i="11"/>
  <c r="P122" i="11"/>
  <c r="N122" i="11"/>
  <c r="M122" i="11"/>
  <c r="L122" i="11"/>
  <c r="I122" i="11"/>
  <c r="H122" i="11"/>
  <c r="J122" i="11" s="1"/>
  <c r="D122" i="11"/>
  <c r="E122" i="11" s="1"/>
  <c r="C122" i="11"/>
  <c r="AB121" i="11"/>
  <c r="AA121" i="11"/>
  <c r="AC121" i="11" s="1"/>
  <c r="Z121" i="11"/>
  <c r="X121" i="11"/>
  <c r="W121" i="11"/>
  <c r="Y121" i="11" s="1"/>
  <c r="V121" i="11"/>
  <c r="R121" i="11"/>
  <c r="Q121" i="11"/>
  <c r="P121" i="11"/>
  <c r="N121" i="11"/>
  <c r="M121" i="11"/>
  <c r="O121" i="11"/>
  <c r="L121" i="11"/>
  <c r="I121" i="11"/>
  <c r="H121" i="11"/>
  <c r="J121" i="11" s="1"/>
  <c r="D121" i="11"/>
  <c r="C121" i="11"/>
  <c r="E121" i="11"/>
  <c r="AB120" i="11"/>
  <c r="AA120" i="11"/>
  <c r="Z120" i="11"/>
  <c r="X120" i="11"/>
  <c r="W120" i="11"/>
  <c r="Y120" i="11"/>
  <c r="AE120" i="11" s="1"/>
  <c r="V120" i="11"/>
  <c r="R120" i="11"/>
  <c r="Q120" i="11"/>
  <c r="P120" i="11"/>
  <c r="N120" i="11"/>
  <c r="M120" i="11"/>
  <c r="O120" i="11"/>
  <c r="U120" i="11"/>
  <c r="L120" i="11"/>
  <c r="I120" i="11"/>
  <c r="H120" i="11"/>
  <c r="J120" i="11" s="1"/>
  <c r="D120" i="11"/>
  <c r="C120" i="11"/>
  <c r="E120" i="11" s="1"/>
  <c r="AB119" i="11"/>
  <c r="AA119" i="11"/>
  <c r="AC119" i="11" s="1"/>
  <c r="Z119" i="11"/>
  <c r="X119" i="11"/>
  <c r="W119" i="11"/>
  <c r="Y119" i="11" s="1"/>
  <c r="V119" i="11"/>
  <c r="R119" i="11"/>
  <c r="Q119" i="11"/>
  <c r="P119" i="11"/>
  <c r="N119" i="11"/>
  <c r="M119" i="11"/>
  <c r="O119" i="11"/>
  <c r="U119" i="11"/>
  <c r="L119" i="11"/>
  <c r="I119" i="11"/>
  <c r="H119" i="11"/>
  <c r="D119" i="11"/>
  <c r="C119" i="11"/>
  <c r="H195" i="3"/>
  <c r="G195" i="3"/>
  <c r="H195" i="5"/>
  <c r="G195" i="5"/>
  <c r="H195" i="4"/>
  <c r="G195" i="4"/>
  <c r="J222" i="7"/>
  <c r="I222" i="7"/>
  <c r="L223" i="7"/>
  <c r="H194" i="3"/>
  <c r="G194" i="3"/>
  <c r="H194" i="5"/>
  <c r="G194" i="5"/>
  <c r="H194" i="4"/>
  <c r="G194" i="4"/>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G194" i="2"/>
  <c r="H194" i="2"/>
  <c r="G195" i="2"/>
  <c r="H195" i="2"/>
  <c r="G196" i="2"/>
  <c r="H196" i="2"/>
  <c r="G197" i="2"/>
  <c r="H197" i="2"/>
  <c r="G198" i="2"/>
  <c r="H198" i="2"/>
  <c r="G199" i="2"/>
  <c r="H199" i="2"/>
  <c r="G200" i="2"/>
  <c r="H200" i="2"/>
  <c r="G201" i="2"/>
  <c r="H201" i="2"/>
  <c r="G202" i="2"/>
  <c r="H202" i="2"/>
  <c r="G203" i="2"/>
  <c r="H203" i="2"/>
  <c r="G204" i="2"/>
  <c r="H204" i="2"/>
  <c r="G205" i="2"/>
  <c r="H205" i="2"/>
  <c r="G206" i="2"/>
  <c r="H206" i="2"/>
  <c r="I206" i="2"/>
  <c r="G207" i="2"/>
  <c r="H207" i="2"/>
  <c r="G208" i="2"/>
  <c r="H208" i="2"/>
  <c r="G209" i="2"/>
  <c r="H209" i="2"/>
  <c r="G210" i="2"/>
  <c r="H210" i="2"/>
  <c r="G211" i="2"/>
  <c r="H211" i="2"/>
  <c r="G212" i="2"/>
  <c r="H212" i="2"/>
  <c r="G213" i="2"/>
  <c r="H213" i="2"/>
  <c r="G214" i="2"/>
  <c r="H214" i="2"/>
  <c r="G215" i="2"/>
  <c r="H215" i="2"/>
  <c r="G216" i="2"/>
  <c r="H216" i="2"/>
  <c r="G217" i="2"/>
  <c r="H217" i="2"/>
  <c r="G218" i="2"/>
  <c r="H218" i="2"/>
  <c r="G219" i="2"/>
  <c r="H219" i="2"/>
  <c r="G220" i="2"/>
  <c r="H220" i="2"/>
  <c r="G221" i="2"/>
  <c r="H221" i="2"/>
  <c r="G222" i="2"/>
  <c r="H222" i="2"/>
  <c r="G223" i="2"/>
  <c r="H223" i="2"/>
  <c r="G224" i="2"/>
  <c r="H224" i="2"/>
  <c r="G225" i="2"/>
  <c r="H225" i="2"/>
  <c r="G226" i="2"/>
  <c r="H226" i="2"/>
  <c r="G227" i="2"/>
  <c r="H227" i="2"/>
  <c r="G228" i="2"/>
  <c r="H228" i="2"/>
  <c r="G229" i="2"/>
  <c r="H229" i="2"/>
  <c r="G230" i="2"/>
  <c r="H230" i="2"/>
  <c r="G231" i="2"/>
  <c r="H231" i="2"/>
  <c r="G232" i="2"/>
  <c r="H232" i="2"/>
  <c r="G233" i="2"/>
  <c r="H233" i="2"/>
  <c r="G234" i="2"/>
  <c r="H234" i="2"/>
  <c r="G235" i="2"/>
  <c r="H235" i="2"/>
  <c r="G236" i="2"/>
  <c r="H236" i="2"/>
  <c r="G237" i="2"/>
  <c r="H237" i="2"/>
  <c r="G238" i="2"/>
  <c r="H238" i="2"/>
  <c r="G239" i="2"/>
  <c r="H239" i="2"/>
  <c r="G240" i="2"/>
  <c r="H240" i="2"/>
  <c r="G241" i="2"/>
  <c r="H241" i="2"/>
  <c r="G242" i="2"/>
  <c r="H242" i="2"/>
  <c r="G243" i="2"/>
  <c r="H243" i="2"/>
  <c r="G245" i="2"/>
  <c r="H245" i="2"/>
  <c r="G246" i="2"/>
  <c r="H246" i="2"/>
  <c r="G247" i="2"/>
  <c r="H247" i="2"/>
  <c r="G248" i="2"/>
  <c r="H248" i="2"/>
  <c r="G249" i="2"/>
  <c r="H249" i="2"/>
  <c r="G250" i="2"/>
  <c r="H250" i="2"/>
  <c r="G251" i="2"/>
  <c r="H251" i="2"/>
  <c r="G252" i="2"/>
  <c r="H252" i="2"/>
  <c r="G253" i="2"/>
  <c r="H253" i="2"/>
  <c r="G254" i="2"/>
  <c r="H254" i="2"/>
  <c r="G255" i="2"/>
  <c r="H255" i="2"/>
  <c r="G256" i="2"/>
  <c r="H256" i="2"/>
  <c r="G257" i="2"/>
  <c r="H257" i="2"/>
  <c r="G258" i="2"/>
  <c r="H258" i="2"/>
  <c r="G259" i="2"/>
  <c r="H259" i="2"/>
  <c r="G260" i="2"/>
  <c r="H260" i="2"/>
  <c r="G261" i="2"/>
  <c r="H261" i="2"/>
  <c r="G262" i="2"/>
  <c r="H262" i="2"/>
  <c r="G263" i="2"/>
  <c r="H263" i="2"/>
  <c r="G264" i="2"/>
  <c r="H264" i="2"/>
  <c r="G265" i="2"/>
  <c r="H265" i="2"/>
  <c r="G266" i="2"/>
  <c r="H266" i="2"/>
  <c r="G267" i="2"/>
  <c r="H267" i="2"/>
  <c r="G268" i="2"/>
  <c r="H268" i="2"/>
  <c r="G269" i="2"/>
  <c r="H269" i="2"/>
  <c r="G270" i="2"/>
  <c r="H270" i="2"/>
  <c r="G272" i="2"/>
  <c r="H272" i="2"/>
  <c r="G273" i="2"/>
  <c r="H273" i="2"/>
  <c r="G274" i="2"/>
  <c r="H274" i="2"/>
  <c r="G275" i="2"/>
  <c r="H275" i="2"/>
  <c r="H276" i="2"/>
  <c r="G277" i="2"/>
  <c r="H277" i="2"/>
  <c r="G278" i="2"/>
  <c r="H278" i="2"/>
  <c r="G279" i="2"/>
  <c r="H279" i="2"/>
  <c r="G280" i="2"/>
  <c r="H280" i="2"/>
  <c r="G281" i="2"/>
  <c r="H281" i="2"/>
  <c r="G282" i="2"/>
  <c r="H282" i="2"/>
  <c r="G283" i="2"/>
  <c r="H283" i="2"/>
  <c r="I283" i="2"/>
  <c r="G284" i="2"/>
  <c r="H284" i="2"/>
  <c r="G285" i="2"/>
  <c r="H285" i="2"/>
  <c r="G286" i="2"/>
  <c r="H286" i="2"/>
  <c r="I286" i="2"/>
  <c r="G290" i="2"/>
  <c r="H290" i="2"/>
  <c r="G291" i="2"/>
  <c r="H291" i="2"/>
  <c r="G292" i="2"/>
  <c r="H292" i="2"/>
  <c r="G293" i="2"/>
  <c r="H293" i="2"/>
  <c r="G294" i="2"/>
  <c r="H294" i="2"/>
  <c r="G295" i="2"/>
  <c r="H295" i="2"/>
  <c r="G296" i="2"/>
  <c r="H296" i="2"/>
  <c r="G297" i="2"/>
  <c r="H297" i="2"/>
  <c r="G298" i="2"/>
  <c r="H298" i="2"/>
  <c r="G299" i="2"/>
  <c r="H299" i="2"/>
  <c r="G300" i="2"/>
  <c r="H300" i="2"/>
  <c r="G301" i="2"/>
  <c r="H301" i="2"/>
  <c r="G302" i="2"/>
  <c r="I302" i="2"/>
  <c r="H302" i="2"/>
  <c r="G303" i="2"/>
  <c r="H303" i="2"/>
  <c r="G304" i="2"/>
  <c r="I304" i="2"/>
  <c r="H304" i="2"/>
  <c r="G305" i="2"/>
  <c r="H305" i="2"/>
  <c r="I305" i="2"/>
  <c r="G306" i="2"/>
  <c r="I306" i="2"/>
  <c r="H306" i="2"/>
  <c r="G307" i="2"/>
  <c r="H307" i="2"/>
  <c r="G308" i="2"/>
  <c r="H308" i="2"/>
  <c r="G309" i="2"/>
  <c r="H309" i="2"/>
  <c r="G310" i="2"/>
  <c r="H310" i="2"/>
  <c r="I310" i="2"/>
  <c r="G311" i="2"/>
  <c r="I311" i="2"/>
  <c r="H311" i="2"/>
  <c r="G312" i="2"/>
  <c r="I312" i="2"/>
  <c r="H312" i="2"/>
  <c r="G313" i="2"/>
  <c r="I313" i="2"/>
  <c r="H313" i="2"/>
  <c r="G314" i="2"/>
  <c r="H314" i="2"/>
  <c r="G315" i="2"/>
  <c r="I315" i="2"/>
  <c r="H315" i="2"/>
  <c r="G316" i="2"/>
  <c r="I316" i="2"/>
  <c r="H316" i="2"/>
  <c r="G317" i="2"/>
  <c r="I317" i="2"/>
  <c r="H317" i="2"/>
  <c r="G318" i="2"/>
  <c r="H318" i="2"/>
  <c r="G319" i="2"/>
  <c r="I319" i="2"/>
  <c r="H319" i="2"/>
  <c r="G320" i="2"/>
  <c r="H320" i="2"/>
  <c r="G321" i="2"/>
  <c r="H321" i="2"/>
  <c r="G322" i="2"/>
  <c r="H322" i="2"/>
  <c r="G323" i="2"/>
  <c r="H323" i="2"/>
  <c r="G324" i="2"/>
  <c r="H324" i="2"/>
  <c r="G325" i="2"/>
  <c r="H325" i="2"/>
  <c r="G326" i="2"/>
  <c r="H326" i="2"/>
  <c r="G327" i="2"/>
  <c r="H327" i="2"/>
  <c r="G328" i="2"/>
  <c r="H328" i="2"/>
  <c r="G329" i="2"/>
  <c r="H329" i="2"/>
  <c r="I329" i="2"/>
  <c r="G330" i="2"/>
  <c r="H330" i="2"/>
  <c r="G331" i="2"/>
  <c r="H331" i="2"/>
  <c r="G332" i="2"/>
  <c r="H332" i="2"/>
  <c r="G333" i="2"/>
  <c r="I333" i="2"/>
  <c r="H333" i="2"/>
  <c r="G334" i="2"/>
  <c r="I334" i="2"/>
  <c r="H334" i="2"/>
  <c r="G335" i="2"/>
  <c r="H335" i="2"/>
  <c r="G336" i="2"/>
  <c r="H336" i="2"/>
  <c r="G337" i="2"/>
  <c r="H337" i="2"/>
  <c r="G338" i="2"/>
  <c r="H338" i="2"/>
  <c r="G339" i="2"/>
  <c r="H339" i="2"/>
  <c r="G340" i="2"/>
  <c r="I340" i="2"/>
  <c r="H340" i="2"/>
  <c r="G194" i="1"/>
  <c r="I194" i="1"/>
  <c r="H194" i="1"/>
  <c r="G195" i="1"/>
  <c r="H195" i="1"/>
  <c r="G196" i="1"/>
  <c r="I196" i="1"/>
  <c r="H196" i="1"/>
  <c r="G197" i="1"/>
  <c r="I197" i="1"/>
  <c r="H197" i="1"/>
  <c r="G198" i="1"/>
  <c r="I198" i="1"/>
  <c r="H198" i="1"/>
  <c r="G199" i="1"/>
  <c r="I199" i="1"/>
  <c r="H199" i="1"/>
  <c r="G200" i="1"/>
  <c r="H200" i="1"/>
  <c r="G201" i="1"/>
  <c r="I201" i="1"/>
  <c r="H201" i="1"/>
  <c r="G202" i="1"/>
  <c r="I202" i="1"/>
  <c r="H202" i="1"/>
  <c r="G203" i="1"/>
  <c r="I203" i="1"/>
  <c r="H203" i="1"/>
  <c r="G204" i="1"/>
  <c r="I204" i="1"/>
  <c r="H204" i="1"/>
  <c r="G205" i="1"/>
  <c r="H205" i="1"/>
  <c r="G206" i="1"/>
  <c r="I206" i="1"/>
  <c r="H206" i="1"/>
  <c r="G207" i="1"/>
  <c r="I207" i="1"/>
  <c r="H207" i="1"/>
  <c r="G208" i="1"/>
  <c r="H208" i="1"/>
  <c r="G209" i="1"/>
  <c r="I209" i="1"/>
  <c r="H209" i="1"/>
  <c r="G210" i="1"/>
  <c r="H210" i="1"/>
  <c r="G211" i="1"/>
  <c r="I211" i="1"/>
  <c r="H211" i="1"/>
  <c r="G212" i="1"/>
  <c r="I212" i="1"/>
  <c r="H212" i="1"/>
  <c r="G213" i="1"/>
  <c r="I213" i="1"/>
  <c r="H213" i="1"/>
  <c r="G214" i="1"/>
  <c r="I214" i="1"/>
  <c r="H214" i="1"/>
  <c r="J221" i="7"/>
  <c r="G123" i="11"/>
  <c r="I221" i="7"/>
  <c r="H193" i="3"/>
  <c r="G193" i="3"/>
  <c r="H193" i="5"/>
  <c r="G193" i="5"/>
  <c r="H193" i="4"/>
  <c r="G193" i="4"/>
  <c r="H193" i="2"/>
  <c r="G193" i="2"/>
  <c r="H193" i="1"/>
  <c r="G193" i="1"/>
  <c r="I193" i="1"/>
  <c r="J220" i="7"/>
  <c r="I220" i="7"/>
  <c r="H192" i="3"/>
  <c r="G192" i="3"/>
  <c r="H192" i="5"/>
  <c r="G192" i="5"/>
  <c r="H192" i="4"/>
  <c r="G192" i="4"/>
  <c r="H192" i="2"/>
  <c r="G192" i="2"/>
  <c r="H192" i="1"/>
  <c r="G192" i="1"/>
  <c r="I192" i="1"/>
  <c r="J219" i="7"/>
  <c r="I219" i="7"/>
  <c r="H191" i="3"/>
  <c r="G191" i="3"/>
  <c r="H191" i="5"/>
  <c r="G191" i="5"/>
  <c r="H191" i="4"/>
  <c r="G191" i="4"/>
  <c r="H191" i="2"/>
  <c r="G191" i="2"/>
  <c r="H191" i="1"/>
  <c r="G191" i="1"/>
  <c r="I191" i="1"/>
  <c r="J218" i="7"/>
  <c r="I218" i="7"/>
  <c r="K218" i="7"/>
  <c r="I117" i="11"/>
  <c r="H117" i="11"/>
  <c r="J117" i="11" s="1"/>
  <c r="K117" i="11" s="1"/>
  <c r="I118" i="11"/>
  <c r="J118" i="11" s="1"/>
  <c r="H118" i="11"/>
  <c r="AB117" i="11"/>
  <c r="AB118" i="11"/>
  <c r="AA117" i="11"/>
  <c r="AC117" i="11"/>
  <c r="AA118" i="11"/>
  <c r="Z117" i="11"/>
  <c r="V117" i="11"/>
  <c r="X117" i="11"/>
  <c r="X118" i="11"/>
  <c r="W117" i="11"/>
  <c r="W118" i="11"/>
  <c r="Y118" i="11"/>
  <c r="AE118" i="11" s="1"/>
  <c r="Z118" i="11"/>
  <c r="V118" i="11"/>
  <c r="D117" i="11"/>
  <c r="E117" i="11"/>
  <c r="C117" i="11"/>
  <c r="D116" i="11"/>
  <c r="C116" i="11"/>
  <c r="E116" i="11" s="1"/>
  <c r="D115" i="11"/>
  <c r="C115" i="11"/>
  <c r="E115" i="11"/>
  <c r="K115" i="11" s="1"/>
  <c r="D114" i="11"/>
  <c r="E114" i="11"/>
  <c r="C114" i="11"/>
  <c r="D113" i="11"/>
  <c r="C113" i="11"/>
  <c r="E113" i="11" s="1"/>
  <c r="D112" i="11"/>
  <c r="C112" i="11"/>
  <c r="D111" i="11"/>
  <c r="E111" i="11" s="1"/>
  <c r="C111" i="11"/>
  <c r="D110" i="11"/>
  <c r="C110" i="11"/>
  <c r="E110" i="11" s="1"/>
  <c r="D109" i="11"/>
  <c r="C109" i="11"/>
  <c r="D108" i="11"/>
  <c r="E108" i="11" s="1"/>
  <c r="C108" i="11"/>
  <c r="D107" i="11"/>
  <c r="E107" i="11" s="1"/>
  <c r="C107" i="11"/>
  <c r="D106" i="11"/>
  <c r="C106" i="11"/>
  <c r="E106" i="11" s="1"/>
  <c r="D105" i="11"/>
  <c r="E105" i="11" s="1"/>
  <c r="C105" i="11"/>
  <c r="D118" i="11"/>
  <c r="C118" i="11"/>
  <c r="G120" i="11"/>
  <c r="L220" i="7"/>
  <c r="B121" i="11"/>
  <c r="L219" i="7"/>
  <c r="B120" i="11"/>
  <c r="G121" i="11"/>
  <c r="I318" i="2"/>
  <c r="I303" i="2"/>
  <c r="I254" i="2"/>
  <c r="I246" i="2"/>
  <c r="I242" i="2"/>
  <c r="I240" i="2"/>
  <c r="I239" i="2"/>
  <c r="I238" i="2"/>
  <c r="I222" i="2"/>
  <c r="I214" i="2"/>
  <c r="I208" i="2"/>
  <c r="I207" i="2"/>
  <c r="I278" i="2"/>
  <c r="I274" i="2"/>
  <c r="I270" i="2"/>
  <c r="I272" i="2"/>
  <c r="I271" i="2"/>
  <c r="K219" i="7"/>
  <c r="K220" i="7"/>
  <c r="L221" i="7"/>
  <c r="B122" i="11"/>
  <c r="I338" i="2"/>
  <c r="I336" i="2"/>
  <c r="I335" i="2"/>
  <c r="I326" i="2"/>
  <c r="I322" i="2"/>
  <c r="I320" i="2"/>
  <c r="I294" i="2"/>
  <c r="I288" i="2"/>
  <c r="I262" i="2"/>
  <c r="I258" i="2"/>
  <c r="I256" i="2"/>
  <c r="I255" i="2"/>
  <c r="I230" i="2"/>
  <c r="I198" i="2"/>
  <c r="K222" i="7"/>
  <c r="I226" i="2"/>
  <c r="L222" i="7"/>
  <c r="B123" i="11"/>
  <c r="G122" i="11"/>
  <c r="I191" i="5"/>
  <c r="I192" i="5"/>
  <c r="K221" i="7"/>
  <c r="I208" i="1"/>
  <c r="I330" i="2"/>
  <c r="I328" i="2"/>
  <c r="I327" i="2"/>
  <c r="I314" i="2"/>
  <c r="I298" i="2"/>
  <c r="I296" i="2"/>
  <c r="I295" i="2"/>
  <c r="I280" i="2"/>
  <c r="I279" i="2"/>
  <c r="I266" i="2"/>
  <c r="I264" i="2"/>
  <c r="I263" i="2"/>
  <c r="I250" i="2"/>
  <c r="I248" i="2"/>
  <c r="I247" i="2"/>
  <c r="I234" i="2"/>
  <c r="I232" i="2"/>
  <c r="I231" i="2"/>
  <c r="I218" i="2"/>
  <c r="I216" i="2"/>
  <c r="I215" i="2"/>
  <c r="I202" i="2"/>
  <c r="I199" i="2"/>
  <c r="I194" i="4"/>
  <c r="I194" i="5"/>
  <c r="I195" i="4"/>
  <c r="I195" i="5"/>
  <c r="I195" i="3"/>
  <c r="I224" i="2"/>
  <c r="I223" i="2"/>
  <c r="I210" i="2"/>
  <c r="I200" i="2"/>
  <c r="I339" i="2"/>
  <c r="I332" i="2"/>
  <c r="I331" i="2"/>
  <c r="I324" i="2"/>
  <c r="I323" i="2"/>
  <c r="I308" i="2"/>
  <c r="I300" i="2"/>
  <c r="I299" i="2"/>
  <c r="I284" i="2"/>
  <c r="I276" i="2"/>
  <c r="I275" i="2"/>
  <c r="I268" i="2"/>
  <c r="I267" i="2"/>
  <c r="I260" i="2"/>
  <c r="I259" i="2"/>
  <c r="I252" i="2"/>
  <c r="I251" i="2"/>
  <c r="I243" i="2"/>
  <c r="I236" i="2"/>
  <c r="I235" i="2"/>
  <c r="I228" i="2"/>
  <c r="I227" i="2"/>
  <c r="I220" i="2"/>
  <c r="I219" i="2"/>
  <c r="I212" i="2"/>
  <c r="I211" i="2"/>
  <c r="I204" i="2"/>
  <c r="I203" i="2"/>
  <c r="I194" i="2"/>
  <c r="I193" i="3"/>
  <c r="I191" i="3"/>
  <c r="I192" i="3"/>
  <c r="I193" i="5"/>
  <c r="I193" i="4"/>
  <c r="I191" i="4"/>
  <c r="I192" i="4"/>
  <c r="I200" i="1"/>
  <c r="I205" i="1"/>
  <c r="I195" i="1"/>
  <c r="I210" i="1"/>
  <c r="I191" i="2"/>
  <c r="I192" i="2"/>
  <c r="I337" i="2"/>
  <c r="I325" i="2"/>
  <c r="I321" i="2"/>
  <c r="I309" i="2"/>
  <c r="I301" i="2"/>
  <c r="I289" i="2"/>
  <c r="I281" i="2"/>
  <c r="I277" i="2"/>
  <c r="I273" i="2"/>
  <c r="I269" i="2"/>
  <c r="I265" i="2"/>
  <c r="I261" i="2"/>
  <c r="I257" i="2"/>
  <c r="I253" i="2"/>
  <c r="I249" i="2"/>
  <c r="I245" i="2"/>
  <c r="I241" i="2"/>
  <c r="I237" i="2"/>
  <c r="I233" i="2"/>
  <c r="I229" i="2"/>
  <c r="I225" i="2"/>
  <c r="I221" i="2"/>
  <c r="I217" i="2"/>
  <c r="I213" i="2"/>
  <c r="I209" i="2"/>
  <c r="I205" i="2"/>
  <c r="I201" i="2"/>
  <c r="I197" i="2"/>
  <c r="I196" i="2"/>
  <c r="I195" i="2"/>
  <c r="I193" i="2"/>
  <c r="R118" i="11"/>
  <c r="Q118" i="11"/>
  <c r="P118" i="11"/>
  <c r="N118" i="11"/>
  <c r="M118" i="11"/>
  <c r="L118" i="11"/>
  <c r="R117" i="11"/>
  <c r="Q117" i="11"/>
  <c r="S117" i="11"/>
  <c r="U117" i="11"/>
  <c r="P117" i="11"/>
  <c r="N117" i="11"/>
  <c r="M117" i="11"/>
  <c r="L117" i="11"/>
  <c r="AB116" i="11"/>
  <c r="AA116" i="11"/>
  <c r="AC116" i="11"/>
  <c r="Z116" i="11"/>
  <c r="X116" i="11"/>
  <c r="W116" i="11"/>
  <c r="Y116" i="11"/>
  <c r="V116" i="11"/>
  <c r="R116" i="11"/>
  <c r="Q116" i="11"/>
  <c r="P116" i="11"/>
  <c r="N116" i="11"/>
  <c r="M116" i="11"/>
  <c r="L116" i="11"/>
  <c r="I116" i="11"/>
  <c r="H116" i="11"/>
  <c r="G116" i="11"/>
  <c r="AB115" i="11"/>
  <c r="AA115" i="11"/>
  <c r="Z115" i="11"/>
  <c r="AC115" i="11"/>
  <c r="X115" i="11"/>
  <c r="W115" i="11"/>
  <c r="Y115" i="11"/>
  <c r="V115" i="11"/>
  <c r="R115" i="11"/>
  <c r="Q115" i="11"/>
  <c r="P115" i="11"/>
  <c r="N115" i="11"/>
  <c r="M115" i="11"/>
  <c r="L115" i="11"/>
  <c r="I115" i="11"/>
  <c r="H115" i="11"/>
  <c r="G115" i="11"/>
  <c r="AB114" i="11"/>
  <c r="AA114" i="11"/>
  <c r="AC114" i="11"/>
  <c r="AE114" i="11"/>
  <c r="Z114" i="11"/>
  <c r="X114" i="11"/>
  <c r="W114" i="11"/>
  <c r="Y114" i="11"/>
  <c r="V114" i="11"/>
  <c r="R114" i="11"/>
  <c r="Q114" i="11"/>
  <c r="S114" i="11"/>
  <c r="P114" i="11"/>
  <c r="N114" i="11"/>
  <c r="M114" i="11"/>
  <c r="O114" i="11"/>
  <c r="L114" i="11"/>
  <c r="I114" i="11"/>
  <c r="H114" i="11"/>
  <c r="J114" i="11"/>
  <c r="G114" i="11"/>
  <c r="AB113" i="11"/>
  <c r="AA113" i="11"/>
  <c r="AC113" i="11"/>
  <c r="AE113" i="11"/>
  <c r="Z113" i="11"/>
  <c r="X113" i="11"/>
  <c r="W113" i="11"/>
  <c r="V113" i="11"/>
  <c r="R113" i="11"/>
  <c r="Q113" i="11"/>
  <c r="S113" i="11"/>
  <c r="P113" i="11"/>
  <c r="N113" i="11"/>
  <c r="M113" i="11"/>
  <c r="L113" i="11"/>
  <c r="I113" i="11"/>
  <c r="H113" i="11"/>
  <c r="G113" i="11"/>
  <c r="AB112" i="11"/>
  <c r="AA112" i="11"/>
  <c r="Z112" i="11"/>
  <c r="X112" i="11"/>
  <c r="W112" i="11"/>
  <c r="V112" i="11"/>
  <c r="R112" i="11"/>
  <c r="Q112" i="11"/>
  <c r="S112" i="11"/>
  <c r="P112" i="11"/>
  <c r="N112" i="11"/>
  <c r="M112" i="11"/>
  <c r="L112" i="11"/>
  <c r="I112" i="11"/>
  <c r="H112" i="11"/>
  <c r="J112" i="11"/>
  <c r="G112" i="11"/>
  <c r="AB111" i="11"/>
  <c r="AA111" i="11"/>
  <c r="Z111" i="11"/>
  <c r="X111" i="11"/>
  <c r="W111" i="11"/>
  <c r="V111" i="11"/>
  <c r="R111" i="11"/>
  <c r="Q111" i="11"/>
  <c r="S111" i="11"/>
  <c r="P111" i="11"/>
  <c r="N111" i="11"/>
  <c r="M111" i="11"/>
  <c r="O111" i="11"/>
  <c r="L111" i="11"/>
  <c r="I111" i="11"/>
  <c r="H111" i="11"/>
  <c r="G111" i="11"/>
  <c r="J111" i="11"/>
  <c r="AB110" i="11"/>
  <c r="AA110" i="11"/>
  <c r="AC110" i="11"/>
  <c r="Z110" i="11"/>
  <c r="X110" i="11"/>
  <c r="W110" i="11"/>
  <c r="V110" i="11"/>
  <c r="R110" i="11"/>
  <c r="Q110" i="11"/>
  <c r="S110" i="11"/>
  <c r="P110" i="11"/>
  <c r="N110" i="11"/>
  <c r="M110" i="11"/>
  <c r="L110" i="11"/>
  <c r="I110" i="11"/>
  <c r="H110" i="11"/>
  <c r="J110" i="11"/>
  <c r="G110" i="11"/>
  <c r="AB109" i="11"/>
  <c r="AA109" i="11"/>
  <c r="Z109" i="11"/>
  <c r="X109" i="11"/>
  <c r="W109" i="11"/>
  <c r="V109" i="11"/>
  <c r="R109" i="11"/>
  <c r="Q109" i="11"/>
  <c r="S109" i="11"/>
  <c r="P109" i="11"/>
  <c r="N109" i="11"/>
  <c r="M109" i="11"/>
  <c r="O109" i="11"/>
  <c r="L109" i="11"/>
  <c r="I109" i="11"/>
  <c r="H109" i="11"/>
  <c r="J109" i="11"/>
  <c r="G109" i="11"/>
  <c r="AB108" i="11"/>
  <c r="AA108" i="11"/>
  <c r="AC108" i="11"/>
  <c r="Z108" i="11"/>
  <c r="X108" i="11"/>
  <c r="W108" i="11"/>
  <c r="V108" i="11"/>
  <c r="R108" i="11"/>
  <c r="Q108" i="11"/>
  <c r="S108" i="11"/>
  <c r="U108" i="11"/>
  <c r="P108" i="11"/>
  <c r="N108" i="11"/>
  <c r="M108" i="11"/>
  <c r="L108" i="11"/>
  <c r="I108" i="11"/>
  <c r="H108" i="11"/>
  <c r="G108" i="11"/>
  <c r="AB107" i="11"/>
  <c r="AA107" i="11"/>
  <c r="Z107" i="11"/>
  <c r="X107" i="11"/>
  <c r="W107" i="11"/>
  <c r="Y107" i="11"/>
  <c r="V107" i="11"/>
  <c r="R107" i="11"/>
  <c r="Q107" i="11"/>
  <c r="S107" i="11"/>
  <c r="U107" i="11"/>
  <c r="P107" i="11"/>
  <c r="N107" i="11"/>
  <c r="M107" i="11"/>
  <c r="L107" i="11"/>
  <c r="I107" i="11"/>
  <c r="H107" i="11"/>
  <c r="G107" i="11"/>
  <c r="J107" i="11"/>
  <c r="AB106" i="11"/>
  <c r="AA106" i="11"/>
  <c r="AC106" i="11"/>
  <c r="AE106" i="11"/>
  <c r="Z106" i="11"/>
  <c r="X106" i="11"/>
  <c r="W106" i="11"/>
  <c r="V106" i="11"/>
  <c r="R106" i="11"/>
  <c r="Q106" i="11"/>
  <c r="S106" i="11"/>
  <c r="U106" i="11"/>
  <c r="P106" i="11"/>
  <c r="N106" i="11"/>
  <c r="M106" i="11"/>
  <c r="O106" i="11"/>
  <c r="L106" i="11"/>
  <c r="I106" i="11"/>
  <c r="H106" i="11"/>
  <c r="J106" i="11"/>
  <c r="G106" i="11"/>
  <c r="AB105" i="11"/>
  <c r="AA105" i="11"/>
  <c r="AC105" i="11"/>
  <c r="Z105" i="11"/>
  <c r="X105" i="11"/>
  <c r="W105" i="11"/>
  <c r="V105" i="11"/>
  <c r="R105" i="11"/>
  <c r="Q105" i="11"/>
  <c r="S105" i="11"/>
  <c r="P105" i="11"/>
  <c r="N105" i="11"/>
  <c r="M105" i="11"/>
  <c r="L105" i="11"/>
  <c r="I105" i="11"/>
  <c r="H105" i="11"/>
  <c r="G105" i="11"/>
  <c r="H190" i="3"/>
  <c r="G190" i="3"/>
  <c r="H190" i="5"/>
  <c r="G190" i="5"/>
  <c r="H190" i="4"/>
  <c r="G190" i="4"/>
  <c r="H190" i="2"/>
  <c r="G190" i="2"/>
  <c r="H190" i="1"/>
  <c r="I190" i="1"/>
  <c r="G190" i="1"/>
  <c r="J217" i="7"/>
  <c r="I217" i="7"/>
  <c r="H189" i="3"/>
  <c r="G189" i="3"/>
  <c r="H189" i="5"/>
  <c r="G189" i="5"/>
  <c r="H189" i="4"/>
  <c r="G189" i="4"/>
  <c r="H189" i="2"/>
  <c r="G189" i="2"/>
  <c r="H189" i="1"/>
  <c r="G189" i="1"/>
  <c r="J216" i="7"/>
  <c r="I216" i="7"/>
  <c r="L217" i="7"/>
  <c r="B118" i="11"/>
  <c r="Y112" i="11"/>
  <c r="K216" i="7"/>
  <c r="G118" i="11"/>
  <c r="G119" i="11"/>
  <c r="K217" i="7"/>
  <c r="AC107" i="11"/>
  <c r="L218" i="7"/>
  <c r="B119" i="11"/>
  <c r="I190" i="3"/>
  <c r="I189" i="5"/>
  <c r="I190" i="5"/>
  <c r="I189" i="4"/>
  <c r="I190" i="4"/>
  <c r="I189" i="2"/>
  <c r="I190" i="2"/>
  <c r="I189" i="1"/>
  <c r="H188" i="3"/>
  <c r="G188" i="3"/>
  <c r="H188" i="5"/>
  <c r="G188" i="5"/>
  <c r="H188" i="4"/>
  <c r="G188" i="4"/>
  <c r="H188" i="2"/>
  <c r="G188" i="2"/>
  <c r="H188" i="1"/>
  <c r="I188" i="1"/>
  <c r="G188" i="1"/>
  <c r="J215" i="7"/>
  <c r="G117" i="11"/>
  <c r="I215" i="7"/>
  <c r="L216" i="7"/>
  <c r="B117" i="11"/>
  <c r="H187" i="3"/>
  <c r="G187" i="3"/>
  <c r="H187" i="5"/>
  <c r="G187" i="5"/>
  <c r="H187" i="4"/>
  <c r="G187" i="4"/>
  <c r="H187" i="2"/>
  <c r="G187" i="2"/>
  <c r="H187" i="1"/>
  <c r="G187" i="1"/>
  <c r="I187" i="1"/>
  <c r="J214" i="7"/>
  <c r="I214" i="7"/>
  <c r="H186" i="3"/>
  <c r="G186" i="3"/>
  <c r="H186" i="5"/>
  <c r="G186" i="5"/>
  <c r="H186" i="4"/>
  <c r="G186" i="4"/>
  <c r="J213" i="7"/>
  <c r="K213" i="7"/>
  <c r="I213" i="7"/>
  <c r="H186" i="2"/>
  <c r="G186" i="2"/>
  <c r="H186" i="1"/>
  <c r="G186" i="1"/>
  <c r="L214" i="7"/>
  <c r="B115" i="11"/>
  <c r="K214" i="7"/>
  <c r="K215" i="7"/>
  <c r="L215" i="7"/>
  <c r="B116" i="11"/>
  <c r="I186" i="2"/>
  <c r="I187" i="2"/>
  <c r="I187" i="4"/>
  <c r="I187" i="5"/>
  <c r="I188" i="2"/>
  <c r="I188" i="4"/>
  <c r="I188" i="5"/>
  <c r="I186" i="5"/>
  <c r="I186" i="4"/>
  <c r="I186" i="1"/>
  <c r="H185" i="3"/>
  <c r="G185" i="3"/>
  <c r="H185" i="5"/>
  <c r="G185" i="5"/>
  <c r="H185" i="4"/>
  <c r="G185" i="4"/>
  <c r="H185" i="2"/>
  <c r="G185" i="2"/>
  <c r="H185" i="1"/>
  <c r="I185" i="1"/>
  <c r="G185" i="1"/>
  <c r="J212" i="7"/>
  <c r="I212" i="7"/>
  <c r="L213" i="7"/>
  <c r="B114" i="11"/>
  <c r="H184" i="3"/>
  <c r="G184" i="3"/>
  <c r="H184" i="5"/>
  <c r="G184" i="5"/>
  <c r="H184" i="4"/>
  <c r="G184" i="4"/>
  <c r="H184" i="2"/>
  <c r="G184" i="2"/>
  <c r="H184" i="1"/>
  <c r="G184" i="1"/>
  <c r="J211" i="7"/>
  <c r="I211" i="7"/>
  <c r="H183" i="3"/>
  <c r="G183" i="3"/>
  <c r="H183" i="5"/>
  <c r="G183" i="5"/>
  <c r="H183" i="4"/>
  <c r="G183" i="4"/>
  <c r="H183" i="2"/>
  <c r="G183" i="2"/>
  <c r="H183" i="1"/>
  <c r="I183" i="1"/>
  <c r="G183" i="1"/>
  <c r="J210" i="7"/>
  <c r="I210" i="7"/>
  <c r="H182" i="3"/>
  <c r="G182" i="3"/>
  <c r="H182" i="5"/>
  <c r="G182" i="5"/>
  <c r="H182" i="4"/>
  <c r="G182" i="4"/>
  <c r="H182" i="2"/>
  <c r="G182" i="2"/>
  <c r="H182" i="1"/>
  <c r="I182" i="1"/>
  <c r="G182" i="1"/>
  <c r="J209" i="7"/>
  <c r="I209" i="7"/>
  <c r="H181" i="3"/>
  <c r="G181" i="3"/>
  <c r="H181" i="5"/>
  <c r="G181" i="5"/>
  <c r="H181" i="4"/>
  <c r="G181" i="4"/>
  <c r="H181" i="2"/>
  <c r="G181" i="2"/>
  <c r="H181" i="1"/>
  <c r="G181" i="1"/>
  <c r="J208" i="7"/>
  <c r="I208" i="7"/>
  <c r="H180" i="3"/>
  <c r="G180" i="3"/>
  <c r="H180" i="5"/>
  <c r="G180" i="5"/>
  <c r="H180" i="4"/>
  <c r="G180" i="4"/>
  <c r="H180" i="2"/>
  <c r="G180" i="2"/>
  <c r="H180" i="1"/>
  <c r="G180" i="1"/>
  <c r="J207" i="7"/>
  <c r="I207" i="7"/>
  <c r="H179" i="3"/>
  <c r="G179" i="3"/>
  <c r="H179" i="5"/>
  <c r="G179" i="5"/>
  <c r="H179" i="4"/>
  <c r="G179" i="4"/>
  <c r="H179" i="2"/>
  <c r="G179" i="2"/>
  <c r="H179" i="1"/>
  <c r="G179" i="1"/>
  <c r="J206" i="7"/>
  <c r="I206" i="7"/>
  <c r="K206" i="7"/>
  <c r="H178" i="3"/>
  <c r="G178" i="3"/>
  <c r="H178" i="5"/>
  <c r="G178" i="5"/>
  <c r="H178" i="4"/>
  <c r="G178" i="4"/>
  <c r="H178" i="2"/>
  <c r="G178" i="2"/>
  <c r="H178" i="1"/>
  <c r="G178" i="1"/>
  <c r="I178" i="1"/>
  <c r="J205" i="7"/>
  <c r="I205" i="7"/>
  <c r="L206" i="7"/>
  <c r="B107" i="11"/>
  <c r="H177" i="3"/>
  <c r="G177" i="3"/>
  <c r="H177" i="5"/>
  <c r="G177" i="5"/>
  <c r="H177" i="4"/>
  <c r="G177" i="4"/>
  <c r="H177" i="2"/>
  <c r="G177" i="2"/>
  <c r="H177" i="1"/>
  <c r="G177" i="1"/>
  <c r="I177" i="1"/>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J204" i="7"/>
  <c r="I204" i="7"/>
  <c r="K204" i="7"/>
  <c r="G176" i="3"/>
  <c r="H176" i="3"/>
  <c r="G176" i="5"/>
  <c r="H176" i="5"/>
  <c r="G176" i="4"/>
  <c r="H176" i="4"/>
  <c r="G176" i="2"/>
  <c r="H176" i="2"/>
  <c r="G176" i="1"/>
  <c r="H176" i="1"/>
  <c r="J203" i="7"/>
  <c r="I203" i="7"/>
  <c r="H175" i="3"/>
  <c r="G175" i="3"/>
  <c r="H175" i="5"/>
  <c r="G175" i="5"/>
  <c r="H175" i="4"/>
  <c r="G175" i="4"/>
  <c r="H175" i="2"/>
  <c r="G175" i="2"/>
  <c r="H175" i="1"/>
  <c r="I175" i="1"/>
  <c r="G175" i="1"/>
  <c r="J202" i="7"/>
  <c r="K202" i="7"/>
  <c r="I202" i="7"/>
  <c r="H174" i="3"/>
  <c r="G174" i="3"/>
  <c r="H174" i="5"/>
  <c r="G174" i="5"/>
  <c r="H174" i="4"/>
  <c r="G174" i="4"/>
  <c r="H174" i="2"/>
  <c r="G174" i="2"/>
  <c r="H174" i="1"/>
  <c r="G174" i="1"/>
  <c r="J201" i="7"/>
  <c r="K201" i="7"/>
  <c r="I201" i="7"/>
  <c r="H173" i="3"/>
  <c r="G173" i="3"/>
  <c r="H173" i="5"/>
  <c r="G173" i="5"/>
  <c r="H173" i="4"/>
  <c r="G173" i="4"/>
  <c r="H173" i="2"/>
  <c r="G173" i="2"/>
  <c r="H173" i="1"/>
  <c r="I173" i="1"/>
  <c r="G173" i="1"/>
  <c r="J200" i="7"/>
  <c r="I200" i="7"/>
  <c r="L201" i="7"/>
  <c r="B102" i="11"/>
  <c r="H172" i="3"/>
  <c r="G172" i="3"/>
  <c r="H172" i="5"/>
  <c r="G172" i="5"/>
  <c r="H172" i="4"/>
  <c r="G172" i="4"/>
  <c r="H172" i="2"/>
  <c r="G172" i="2"/>
  <c r="H172" i="1"/>
  <c r="I172" i="1"/>
  <c r="G172" i="1"/>
  <c r="J199" i="7"/>
  <c r="K199" i="7"/>
  <c r="I199" i="7"/>
  <c r="H171" i="3"/>
  <c r="G171" i="3"/>
  <c r="I171" i="3"/>
  <c r="H171" i="5"/>
  <c r="G171" i="5"/>
  <c r="H171" i="4"/>
  <c r="G171" i="4"/>
  <c r="I171" i="4"/>
  <c r="H171" i="2"/>
  <c r="G171" i="2"/>
  <c r="H171" i="1"/>
  <c r="G171" i="1"/>
  <c r="J198" i="7"/>
  <c r="O199" i="7"/>
  <c r="I198" i="7"/>
  <c r="L199" i="7"/>
  <c r="B100" i="11"/>
  <c r="K119" i="2"/>
  <c r="K122" i="2"/>
  <c r="H170" i="3"/>
  <c r="G170" i="3"/>
  <c r="H170" i="5"/>
  <c r="G170" i="5"/>
  <c r="H170" i="4"/>
  <c r="G170" i="4"/>
  <c r="H170" i="2"/>
  <c r="G170" i="2"/>
  <c r="H170" i="1"/>
  <c r="I170" i="1"/>
  <c r="G170" i="1"/>
  <c r="J197" i="7"/>
  <c r="I197" i="7"/>
  <c r="H169" i="3"/>
  <c r="G169" i="3"/>
  <c r="H169" i="5"/>
  <c r="G169" i="5"/>
  <c r="H169" i="4"/>
  <c r="G169" i="4"/>
  <c r="H169" i="2"/>
  <c r="G169" i="2"/>
  <c r="H169" i="1"/>
  <c r="G169" i="1"/>
  <c r="J196" i="7"/>
  <c r="I196" i="7"/>
  <c r="O200" i="7"/>
  <c r="K196" i="7"/>
  <c r="O201" i="7"/>
  <c r="L209" i="7"/>
  <c r="B110" i="11"/>
  <c r="L211" i="7"/>
  <c r="B112" i="11"/>
  <c r="I170" i="4"/>
  <c r="K200" i="7"/>
  <c r="L200" i="7"/>
  <c r="B101" i="11"/>
  <c r="L202" i="7"/>
  <c r="B103" i="11"/>
  <c r="I175" i="4"/>
  <c r="I176" i="2"/>
  <c r="L208" i="7"/>
  <c r="B109" i="11"/>
  <c r="K209" i="7"/>
  <c r="L210" i="7"/>
  <c r="B111" i="11"/>
  <c r="I185" i="2"/>
  <c r="I185" i="4"/>
  <c r="I185" i="3"/>
  <c r="O197" i="7"/>
  <c r="L207" i="7"/>
  <c r="B108" i="11"/>
  <c r="K197" i="7"/>
  <c r="L197" i="7"/>
  <c r="B98" i="11"/>
  <c r="K198" i="7"/>
  <c r="L198" i="7"/>
  <c r="B99" i="11"/>
  <c r="O198" i="7"/>
  <c r="O202" i="7"/>
  <c r="K203" i="7"/>
  <c r="I177" i="2"/>
  <c r="I177" i="4"/>
  <c r="K205" i="7"/>
  <c r="L205" i="7"/>
  <c r="B106" i="11"/>
  <c r="I178" i="2"/>
  <c r="I178" i="4"/>
  <c r="I178" i="3"/>
  <c r="K208" i="7"/>
  <c r="I181" i="2"/>
  <c r="I181" i="4"/>
  <c r="K210" i="7"/>
  <c r="K211" i="7"/>
  <c r="K212" i="7"/>
  <c r="L212" i="7"/>
  <c r="B113" i="11"/>
  <c r="L203" i="7"/>
  <c r="B104" i="11"/>
  <c r="K207" i="7"/>
  <c r="I169" i="2"/>
  <c r="I172" i="2"/>
  <c r="I173" i="2"/>
  <c r="I174" i="2"/>
  <c r="I169" i="3"/>
  <c r="I172" i="3"/>
  <c r="I173" i="3"/>
  <c r="I174" i="3"/>
  <c r="I179" i="3"/>
  <c r="I184" i="3"/>
  <c r="I169" i="5"/>
  <c r="I172" i="5"/>
  <c r="I173" i="5"/>
  <c r="I174" i="5"/>
  <c r="I176" i="5"/>
  <c r="I179" i="5"/>
  <c r="I180" i="5"/>
  <c r="I182" i="5"/>
  <c r="I183" i="5"/>
  <c r="I184" i="5"/>
  <c r="I170" i="5"/>
  <c r="I171" i="5"/>
  <c r="I175" i="5"/>
  <c r="I177" i="5"/>
  <c r="I178" i="5"/>
  <c r="I181" i="5"/>
  <c r="I185" i="5"/>
  <c r="I169" i="4"/>
  <c r="I172" i="4"/>
  <c r="I173" i="4"/>
  <c r="I174" i="4"/>
  <c r="I176" i="4"/>
  <c r="I179" i="4"/>
  <c r="I180" i="4"/>
  <c r="I182" i="4"/>
  <c r="I183" i="4"/>
  <c r="I184" i="4"/>
  <c r="I181" i="1"/>
  <c r="I169" i="1"/>
  <c r="I170" i="2"/>
  <c r="I171" i="2"/>
  <c r="I175" i="2"/>
  <c r="I179" i="2"/>
  <c r="I180" i="2"/>
  <c r="I182" i="2"/>
  <c r="I183" i="2"/>
  <c r="I184" i="2"/>
  <c r="I180" i="1"/>
  <c r="I184" i="1"/>
  <c r="I171" i="1"/>
  <c r="I174" i="1"/>
  <c r="I176" i="1"/>
  <c r="I179" i="1"/>
  <c r="L204" i="7"/>
  <c r="B105" i="11"/>
  <c r="H168" i="3"/>
  <c r="G168" i="3"/>
  <c r="G168" i="5"/>
  <c r="H168" i="5"/>
  <c r="G168" i="4"/>
  <c r="H168" i="4"/>
  <c r="I168" i="4"/>
  <c r="G168" i="2"/>
  <c r="H168" i="2"/>
  <c r="I168" i="2"/>
  <c r="G168" i="1"/>
  <c r="H168" i="1"/>
  <c r="J195" i="7"/>
  <c r="I195" i="7"/>
  <c r="L196" i="7"/>
  <c r="B97" i="11"/>
  <c r="H167" i="3"/>
  <c r="G167" i="3"/>
  <c r="H167" i="5"/>
  <c r="G167" i="5"/>
  <c r="H167" i="4"/>
  <c r="G167" i="4"/>
  <c r="H167" i="2"/>
  <c r="G167" i="2"/>
  <c r="H167" i="1"/>
  <c r="I167" i="1"/>
  <c r="G167" i="1"/>
  <c r="J194" i="7"/>
  <c r="I194" i="7"/>
  <c r="H166" i="3"/>
  <c r="G166" i="3"/>
  <c r="H166" i="5"/>
  <c r="G166" i="5"/>
  <c r="H166" i="4"/>
  <c r="G166" i="4"/>
  <c r="H166" i="2"/>
  <c r="G166" i="2"/>
  <c r="I166" i="2"/>
  <c r="H166" i="1"/>
  <c r="G166" i="1"/>
  <c r="J193" i="7"/>
  <c r="I193" i="7"/>
  <c r="H165" i="3"/>
  <c r="G165" i="3"/>
  <c r="H165" i="5"/>
  <c r="G165" i="5"/>
  <c r="H165" i="4"/>
  <c r="G165" i="4"/>
  <c r="H165" i="2"/>
  <c r="G165" i="2"/>
  <c r="H165" i="1"/>
  <c r="G165" i="1"/>
  <c r="I165" i="1"/>
  <c r="J192" i="7"/>
  <c r="I192" i="7"/>
  <c r="L193" i="7"/>
  <c r="B94" i="11"/>
  <c r="O194" i="7"/>
  <c r="I165" i="2"/>
  <c r="O193" i="7"/>
  <c r="L194" i="7"/>
  <c r="B95" i="11"/>
  <c r="I167" i="2"/>
  <c r="K192" i="7"/>
  <c r="K193" i="7"/>
  <c r="K194" i="7"/>
  <c r="K195" i="7"/>
  <c r="O196" i="7"/>
  <c r="O195" i="7"/>
  <c r="L195" i="7"/>
  <c r="B96" i="11"/>
  <c r="I166" i="3"/>
  <c r="I168" i="5"/>
  <c r="I165" i="5"/>
  <c r="I166" i="5"/>
  <c r="I167" i="5"/>
  <c r="I165" i="4"/>
  <c r="I166" i="4"/>
  <c r="I167" i="4"/>
  <c r="I166" i="1"/>
  <c r="I168" i="1"/>
  <c r="H164" i="3"/>
  <c r="G164" i="3"/>
  <c r="H164" i="5"/>
  <c r="G164" i="5"/>
  <c r="H164" i="4"/>
  <c r="G164" i="4"/>
  <c r="H164" i="2"/>
  <c r="G164" i="2"/>
  <c r="H164" i="1"/>
  <c r="G164" i="1"/>
  <c r="J191" i="7"/>
  <c r="O192" i="7"/>
  <c r="I191" i="7"/>
  <c r="L192" i="7"/>
  <c r="B93" i="11"/>
  <c r="H163" i="3"/>
  <c r="G163" i="3"/>
  <c r="G163" i="5"/>
  <c r="H163" i="5"/>
  <c r="G163" i="4"/>
  <c r="H163" i="4"/>
  <c r="G163" i="2"/>
  <c r="H163" i="2"/>
  <c r="G163" i="1"/>
  <c r="I163" i="1"/>
  <c r="H163" i="1"/>
  <c r="J190" i="7"/>
  <c r="O191" i="7"/>
  <c r="I190" i="7"/>
  <c r="L191" i="7"/>
  <c r="B92" i="11"/>
  <c r="G162" i="3"/>
  <c r="H162" i="3"/>
  <c r="G162" i="5"/>
  <c r="H162" i="5"/>
  <c r="G162" i="4"/>
  <c r="H162" i="4"/>
  <c r="G162" i="2"/>
  <c r="H162" i="2"/>
  <c r="G162" i="1"/>
  <c r="H162" i="1"/>
  <c r="J189" i="7"/>
  <c r="I189" i="7"/>
  <c r="H161" i="3"/>
  <c r="G161" i="3"/>
  <c r="H161" i="5"/>
  <c r="G161" i="5"/>
  <c r="H161" i="4"/>
  <c r="G161" i="4"/>
  <c r="H161" i="2"/>
  <c r="G161" i="2"/>
  <c r="H161" i="1"/>
  <c r="G161" i="1"/>
  <c r="J188" i="7"/>
  <c r="O189" i="7"/>
  <c r="I188" i="7"/>
  <c r="K188" i="7"/>
  <c r="K191" i="7"/>
  <c r="O190" i="7"/>
  <c r="I161" i="4"/>
  <c r="L190" i="7"/>
  <c r="B91" i="11"/>
  <c r="K189" i="7"/>
  <c r="I162" i="5"/>
  <c r="K190" i="7"/>
  <c r="L189" i="7"/>
  <c r="B90" i="11"/>
  <c r="I162" i="2"/>
  <c r="I163" i="2"/>
  <c r="I164" i="2"/>
  <c r="I162" i="3"/>
  <c r="I163" i="3"/>
  <c r="I163" i="5"/>
  <c r="I164" i="5"/>
  <c r="I161" i="5"/>
  <c r="I162" i="4"/>
  <c r="I163" i="4"/>
  <c r="I164" i="4"/>
  <c r="I162" i="1"/>
  <c r="I164" i="1"/>
  <c r="I161" i="2"/>
  <c r="I161" i="1"/>
  <c r="G160" i="3"/>
  <c r="H160" i="3"/>
  <c r="H160" i="5"/>
  <c r="G160" i="5"/>
  <c r="H160" i="4"/>
  <c r="G160" i="4"/>
  <c r="H160" i="2"/>
  <c r="G160" i="2"/>
  <c r="H160" i="1"/>
  <c r="G160" i="1"/>
  <c r="J187" i="7"/>
  <c r="I187" i="7"/>
  <c r="L188" i="7"/>
  <c r="B89" i="11"/>
  <c r="G159" i="3"/>
  <c r="H159" i="3"/>
  <c r="G159" i="5"/>
  <c r="H159" i="5"/>
  <c r="G159" i="4"/>
  <c r="H159" i="4"/>
  <c r="G159" i="2"/>
  <c r="H159" i="2"/>
  <c r="G159" i="1"/>
  <c r="H159" i="1"/>
  <c r="I159" i="1"/>
  <c r="J186" i="7"/>
  <c r="I186" i="7"/>
  <c r="K186" i="7"/>
  <c r="H158" i="3"/>
  <c r="G158" i="3"/>
  <c r="H158" i="5"/>
  <c r="G158" i="5"/>
  <c r="H158" i="4"/>
  <c r="G158" i="4"/>
  <c r="G158" i="2"/>
  <c r="H158" i="2"/>
  <c r="H158" i="1"/>
  <c r="I158" i="1"/>
  <c r="G158" i="1"/>
  <c r="J185" i="7"/>
  <c r="I185" i="7"/>
  <c r="L186" i="7"/>
  <c r="B87" i="11"/>
  <c r="K187" i="7"/>
  <c r="L187" i="7"/>
  <c r="B88" i="11"/>
  <c r="K185" i="7"/>
  <c r="O186" i="7"/>
  <c r="I159" i="4"/>
  <c r="O187" i="7"/>
  <c r="O188" i="7"/>
  <c r="I158" i="2"/>
  <c r="I158" i="5"/>
  <c r="I160" i="5"/>
  <c r="I159" i="5"/>
  <c r="I158" i="4"/>
  <c r="I160" i="4"/>
  <c r="I159" i="2"/>
  <c r="I160" i="2"/>
  <c r="I160" i="1"/>
  <c r="H157" i="3"/>
  <c r="G157" i="3"/>
  <c r="H157" i="5"/>
  <c r="G157" i="5"/>
  <c r="H157" i="4"/>
  <c r="G157" i="4"/>
  <c r="H157" i="2"/>
  <c r="G157" i="2"/>
  <c r="H157" i="1"/>
  <c r="G157" i="1"/>
  <c r="J184" i="7"/>
  <c r="O185" i="7"/>
  <c r="I184" i="7"/>
  <c r="H156" i="3"/>
  <c r="G156" i="3"/>
  <c r="H156" i="5"/>
  <c r="G156" i="5"/>
  <c r="H156" i="4"/>
  <c r="G156" i="4"/>
  <c r="H156" i="2"/>
  <c r="G156" i="2"/>
  <c r="H156" i="1"/>
  <c r="G156" i="1"/>
  <c r="J183" i="7"/>
  <c r="I183" i="7"/>
  <c r="H155" i="3"/>
  <c r="G155" i="3"/>
  <c r="H155" i="5"/>
  <c r="G155" i="5"/>
  <c r="H155" i="4"/>
  <c r="G155" i="4"/>
  <c r="H155" i="2"/>
  <c r="G155" i="2"/>
  <c r="H155" i="1"/>
  <c r="G155" i="1"/>
  <c r="J182" i="7"/>
  <c r="I182" i="7"/>
  <c r="H154" i="3"/>
  <c r="G154" i="3"/>
  <c r="H154" i="5"/>
  <c r="G154" i="5"/>
  <c r="H154" i="4"/>
  <c r="G154" i="4"/>
  <c r="H154" i="2"/>
  <c r="G154" i="2"/>
  <c r="H154" i="1"/>
  <c r="G154" i="1"/>
  <c r="J181" i="7"/>
  <c r="I181" i="7"/>
  <c r="H153" i="3"/>
  <c r="G153" i="3"/>
  <c r="H153" i="5"/>
  <c r="G153" i="5"/>
  <c r="H153" i="4"/>
  <c r="G153" i="4"/>
  <c r="H153" i="2"/>
  <c r="G153" i="2"/>
  <c r="H153" i="1"/>
  <c r="G153" i="1"/>
  <c r="J180" i="7"/>
  <c r="I180" i="7"/>
  <c r="H152" i="3"/>
  <c r="G152" i="3"/>
  <c r="H152" i="5"/>
  <c r="G152" i="5"/>
  <c r="H152" i="4"/>
  <c r="G152" i="4"/>
  <c r="H152" i="2"/>
  <c r="G152" i="2"/>
  <c r="H152" i="1"/>
  <c r="G152" i="1"/>
  <c r="J179" i="7"/>
  <c r="I179" i="7"/>
  <c r="H151" i="3"/>
  <c r="G151" i="3"/>
  <c r="H151" i="5"/>
  <c r="G151" i="5"/>
  <c r="H151" i="4"/>
  <c r="G151" i="4"/>
  <c r="H151" i="2"/>
  <c r="G151" i="2"/>
  <c r="I151" i="2"/>
  <c r="H151" i="1"/>
  <c r="G151" i="1"/>
  <c r="J178" i="7"/>
  <c r="I178" i="7"/>
  <c r="G150" i="3"/>
  <c r="H150" i="3"/>
  <c r="G150" i="5"/>
  <c r="H150" i="5"/>
  <c r="G150" i="4"/>
  <c r="H150" i="4"/>
  <c r="G150" i="2"/>
  <c r="H150" i="2"/>
  <c r="G150" i="1"/>
  <c r="H150" i="1"/>
  <c r="J177" i="7"/>
  <c r="I177" i="7"/>
  <c r="H149" i="3"/>
  <c r="G149" i="3"/>
  <c r="H149" i="5"/>
  <c r="G149" i="5"/>
  <c r="H149" i="4"/>
  <c r="G149" i="4"/>
  <c r="H149" i="2"/>
  <c r="G149" i="2"/>
  <c r="I149" i="2"/>
  <c r="H149" i="1"/>
  <c r="G149" i="1"/>
  <c r="J176" i="7"/>
  <c r="I176" i="7"/>
  <c r="H148" i="3"/>
  <c r="G148" i="3"/>
  <c r="H148" i="5"/>
  <c r="G148" i="5"/>
  <c r="H148" i="4"/>
  <c r="G148" i="4"/>
  <c r="H148" i="2"/>
  <c r="G148" i="2"/>
  <c r="H148" i="1"/>
  <c r="G148" i="1"/>
  <c r="J175" i="7"/>
  <c r="I175" i="7"/>
  <c r="H147" i="3"/>
  <c r="G147" i="3"/>
  <c r="H147" i="5"/>
  <c r="G147" i="5"/>
  <c r="H147" i="4"/>
  <c r="G147" i="4"/>
  <c r="H147" i="2"/>
  <c r="G147" i="2"/>
  <c r="H147" i="1"/>
  <c r="G147" i="1"/>
  <c r="J174" i="7"/>
  <c r="I174" i="7"/>
  <c r="H146" i="3"/>
  <c r="G146" i="3"/>
  <c r="H146" i="5"/>
  <c r="G146" i="5"/>
  <c r="I146" i="5"/>
  <c r="H146" i="4"/>
  <c r="G146" i="4"/>
  <c r="H146" i="2"/>
  <c r="G146" i="2"/>
  <c r="I146" i="2"/>
  <c r="H146" i="1"/>
  <c r="G146" i="1"/>
  <c r="J173" i="7"/>
  <c r="I173" i="7"/>
  <c r="K173" i="7"/>
  <c r="H145" i="3"/>
  <c r="G145" i="3"/>
  <c r="H145" i="5"/>
  <c r="G145" i="5"/>
  <c r="H145" i="4"/>
  <c r="G145" i="4"/>
  <c r="H145" i="2"/>
  <c r="G145" i="2"/>
  <c r="I145" i="2"/>
  <c r="H145" i="1"/>
  <c r="G145" i="1"/>
  <c r="J172" i="7"/>
  <c r="I172" i="7"/>
  <c r="H144" i="3"/>
  <c r="G144" i="3"/>
  <c r="H144" i="5"/>
  <c r="G144" i="5"/>
  <c r="H144" i="4"/>
  <c r="G144" i="4"/>
  <c r="H144" i="2"/>
  <c r="G144" i="2"/>
  <c r="I144" i="2"/>
  <c r="H144" i="1"/>
  <c r="G144" i="1"/>
  <c r="J171" i="7"/>
  <c r="O172" i="7"/>
  <c r="I17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G143" i="3"/>
  <c r="H143" i="3"/>
  <c r="G143" i="5"/>
  <c r="H143" i="5"/>
  <c r="G143" i="4"/>
  <c r="H143" i="4"/>
  <c r="G143" i="2"/>
  <c r="H143" i="2"/>
  <c r="I143" i="2"/>
  <c r="G143" i="1"/>
  <c r="H143" i="1"/>
  <c r="J170" i="7"/>
  <c r="I170" i="7"/>
  <c r="K170" i="7"/>
  <c r="H142" i="3"/>
  <c r="G142" i="3"/>
  <c r="H142" i="5"/>
  <c r="G142" i="5"/>
  <c r="H142" i="4"/>
  <c r="G142" i="4"/>
  <c r="H142" i="2"/>
  <c r="G142" i="2"/>
  <c r="H142" i="1"/>
  <c r="G142" i="1"/>
  <c r="J169" i="7"/>
  <c r="I169" i="7"/>
  <c r="H141" i="3"/>
  <c r="G141" i="3"/>
  <c r="H141" i="5"/>
  <c r="G141" i="5"/>
  <c r="H141" i="4"/>
  <c r="G141" i="4"/>
  <c r="H141" i="2"/>
  <c r="G141" i="2"/>
  <c r="H141" i="1"/>
  <c r="G141" i="1"/>
  <c r="J168" i="7"/>
  <c r="I168" i="7"/>
  <c r="L169" i="7"/>
  <c r="B70" i="11"/>
  <c r="H140" i="3"/>
  <c r="G140" i="3"/>
  <c r="H140" i="5"/>
  <c r="G140" i="5"/>
  <c r="H140" i="4"/>
  <c r="G140" i="4"/>
  <c r="H140" i="2"/>
  <c r="G140" i="2"/>
  <c r="H140" i="1"/>
  <c r="G140" i="1"/>
  <c r="J167" i="7"/>
  <c r="I167" i="7"/>
  <c r="H139" i="3"/>
  <c r="G139" i="3"/>
  <c r="H139" i="5"/>
  <c r="G139" i="5"/>
  <c r="I139" i="5"/>
  <c r="H139" i="4"/>
  <c r="G139" i="4"/>
  <c r="H139" i="2"/>
  <c r="G139" i="2"/>
  <c r="I139" i="2"/>
  <c r="H139" i="1"/>
  <c r="G139" i="1"/>
  <c r="I139" i="1"/>
  <c r="J166" i="7"/>
  <c r="I166" i="7"/>
  <c r="G138" i="3"/>
  <c r="H138" i="3"/>
  <c r="H138" i="5"/>
  <c r="G138" i="5"/>
  <c r="H138" i="4"/>
  <c r="G138" i="4"/>
  <c r="H138" i="2"/>
  <c r="G138" i="2"/>
  <c r="G138" i="1"/>
  <c r="H138" i="1"/>
  <c r="J165" i="7"/>
  <c r="I165" i="7"/>
  <c r="H137" i="3"/>
  <c r="G137" i="3"/>
  <c r="H137" i="5"/>
  <c r="G137" i="5"/>
  <c r="H137" i="4"/>
  <c r="G137" i="4"/>
  <c r="H137" i="2"/>
  <c r="G137" i="2"/>
  <c r="H137" i="1"/>
  <c r="G137" i="1"/>
  <c r="J164" i="7"/>
  <c r="I164" i="7"/>
  <c r="H136" i="3"/>
  <c r="G136" i="3"/>
  <c r="H136" i="5"/>
  <c r="G136" i="5"/>
  <c r="I136" i="5"/>
  <c r="G136" i="4"/>
  <c r="H136" i="4"/>
  <c r="H136" i="2"/>
  <c r="G136" i="2"/>
  <c r="H136" i="1"/>
  <c r="G136" i="1"/>
  <c r="J163" i="7"/>
  <c r="I163" i="7"/>
  <c r="L164" i="7"/>
  <c r="B65" i="11"/>
  <c r="G135" i="3"/>
  <c r="H135" i="3"/>
  <c r="G135" i="5"/>
  <c r="H135" i="5"/>
  <c r="I135" i="5"/>
  <c r="G135" i="4"/>
  <c r="H135" i="4"/>
  <c r="G135" i="2"/>
  <c r="H135" i="2"/>
  <c r="G135" i="1"/>
  <c r="H135" i="1"/>
  <c r="J162" i="7"/>
  <c r="I162" i="7"/>
  <c r="L162" i="7"/>
  <c r="B63" i="11"/>
  <c r="G134" i="3"/>
  <c r="H134" i="3"/>
  <c r="G134" i="5"/>
  <c r="H134" i="5"/>
  <c r="G134" i="4"/>
  <c r="H134" i="4"/>
  <c r="G133" i="4"/>
  <c r="G134" i="2"/>
  <c r="H134" i="2"/>
  <c r="G134" i="1"/>
  <c r="H134" i="1"/>
  <c r="J161" i="7"/>
  <c r="I161" i="7"/>
  <c r="G133" i="3"/>
  <c r="H133" i="3"/>
  <c r="G133" i="5"/>
  <c r="H133" i="5"/>
  <c r="H133" i="4"/>
  <c r="G133" i="2"/>
  <c r="H133" i="2"/>
  <c r="G133" i="1"/>
  <c r="H133" i="1"/>
  <c r="J160" i="7"/>
  <c r="I160" i="7"/>
  <c r="G132" i="3"/>
  <c r="H132" i="3"/>
  <c r="G132" i="5"/>
  <c r="H132" i="5"/>
  <c r="G132" i="4"/>
  <c r="H132" i="4"/>
  <c r="G132" i="2"/>
  <c r="H132" i="2"/>
  <c r="G132" i="1"/>
  <c r="H132" i="1"/>
  <c r="J159" i="7"/>
  <c r="I159" i="7"/>
  <c r="G131" i="3"/>
  <c r="H131" i="3"/>
  <c r="G131" i="5"/>
  <c r="H131" i="5"/>
  <c r="G131" i="4"/>
  <c r="H131" i="4"/>
  <c r="G131" i="2"/>
  <c r="H131" i="2"/>
  <c r="G131" i="1"/>
  <c r="H131" i="1"/>
  <c r="J158" i="7"/>
  <c r="I158" i="7"/>
  <c r="G130" i="3"/>
  <c r="H130" i="3"/>
  <c r="G130" i="5"/>
  <c r="H130" i="5"/>
  <c r="G130" i="2"/>
  <c r="H130" i="2"/>
  <c r="G130" i="1"/>
  <c r="H130" i="1"/>
  <c r="J157" i="7"/>
  <c r="I157" i="7"/>
  <c r="I156" i="7"/>
  <c r="I155" i="7"/>
  <c r="H129" i="1"/>
  <c r="H129" i="2"/>
  <c r="H129" i="5"/>
  <c r="H129" i="4"/>
  <c r="H129" i="3"/>
  <c r="J156" i="7"/>
  <c r="J155" i="7"/>
  <c r="G129" i="1"/>
  <c r="I129" i="1"/>
  <c r="G129" i="3"/>
  <c r="G129" i="4"/>
  <c r="I129" i="4"/>
  <c r="G129" i="5"/>
  <c r="G129" i="2"/>
  <c r="I129" i="2"/>
  <c r="G130" i="4"/>
  <c r="H130" i="4"/>
  <c r="K156"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A119" i="7"/>
  <c r="H128" i="4"/>
  <c r="G128" i="4"/>
  <c r="G128" i="1"/>
  <c r="G128" i="3"/>
  <c r="H128" i="3"/>
  <c r="G128" i="5"/>
  <c r="H128" i="5"/>
  <c r="I128" i="5"/>
  <c r="G128" i="2"/>
  <c r="H128" i="2"/>
  <c r="H128" i="1"/>
  <c r="G127" i="1"/>
  <c r="H127" i="1"/>
  <c r="K155" i="7"/>
  <c r="I154" i="7"/>
  <c r="J154" i="7"/>
  <c r="H127" i="3"/>
  <c r="G127" i="3"/>
  <c r="H127" i="5"/>
  <c r="G127" i="5"/>
  <c r="H127" i="4"/>
  <c r="G127" i="4"/>
  <c r="H127" i="2"/>
  <c r="G127" i="2"/>
  <c r="G126" i="3"/>
  <c r="H126" i="3"/>
  <c r="G126" i="5"/>
  <c r="H126" i="5"/>
  <c r="G126" i="4"/>
  <c r="H126" i="4"/>
  <c r="G126" i="2"/>
  <c r="H126" i="2"/>
  <c r="I126" i="2"/>
  <c r="G126" i="1"/>
  <c r="H126" i="1"/>
  <c r="I79" i="7"/>
  <c r="I78" i="7"/>
  <c r="I80" i="7"/>
  <c r="L80" i="7"/>
  <c r="I81" i="7"/>
  <c r="I82" i="7"/>
  <c r="L82" i="7"/>
  <c r="I83" i="7"/>
  <c r="I84" i="7"/>
  <c r="I85" i="7"/>
  <c r="I86" i="7"/>
  <c r="I87" i="7"/>
  <c r="I88" i="7"/>
  <c r="I89" i="7"/>
  <c r="I90" i="7"/>
  <c r="I91" i="7"/>
  <c r="I92" i="7"/>
  <c r="I93" i="7"/>
  <c r="I94" i="7"/>
  <c r="I95" i="7"/>
  <c r="I96" i="7"/>
  <c r="I97" i="7"/>
  <c r="J153" i="7"/>
  <c r="I153" i="7"/>
  <c r="G125" i="3"/>
  <c r="H125" i="3"/>
  <c r="G125" i="5"/>
  <c r="H125" i="5"/>
  <c r="G125" i="4"/>
  <c r="H125" i="4"/>
  <c r="I125" i="4"/>
  <c r="G125" i="2"/>
  <c r="H125" i="2"/>
  <c r="I125" i="2"/>
  <c r="G125" i="1"/>
  <c r="H125" i="1"/>
  <c r="I77" i="7"/>
  <c r="L78" i="7"/>
  <c r="I76" i="7"/>
  <c r="L77" i="7"/>
  <c r="J152" i="7"/>
  <c r="I152" i="7"/>
  <c r="J151" i="7"/>
  <c r="I151" i="7"/>
  <c r="I150" i="7"/>
  <c r="Q150" i="7"/>
  <c r="G123" i="3"/>
  <c r="G123" i="5"/>
  <c r="K123" i="5"/>
  <c r="G123" i="4"/>
  <c r="K123" i="4"/>
  <c r="G123" i="2"/>
  <c r="K123" i="2"/>
  <c r="H123" i="1"/>
  <c r="K123" i="1"/>
  <c r="G124" i="3"/>
  <c r="H124" i="3"/>
  <c r="G124" i="5"/>
  <c r="H124" i="5"/>
  <c r="G124" i="4"/>
  <c r="H124" i="4"/>
  <c r="G124" i="2"/>
  <c r="H124" i="2"/>
  <c r="G124" i="1"/>
  <c r="H124" i="1"/>
  <c r="I99" i="7"/>
  <c r="R98" i="7"/>
  <c r="H123" i="3"/>
  <c r="H123" i="5"/>
  <c r="H123" i="4"/>
  <c r="H123" i="2"/>
  <c r="G123" i="1"/>
  <c r="J150" i="7"/>
  <c r="J149"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I147" i="7"/>
  <c r="I146" i="7"/>
  <c r="G122" i="3"/>
  <c r="H122" i="3"/>
  <c r="G122" i="5"/>
  <c r="H122" i="5"/>
  <c r="G122" i="4"/>
  <c r="H122" i="4"/>
  <c r="G122" i="2"/>
  <c r="H122" i="2"/>
  <c r="G122" i="1"/>
  <c r="H122" i="1"/>
  <c r="J148" i="7"/>
  <c r="I145" i="7"/>
  <c r="I149" i="7"/>
  <c r="K149" i="7"/>
  <c r="I144" i="7"/>
  <c r="I143" i="7"/>
  <c r="J145" i="7"/>
  <c r="J144" i="7"/>
  <c r="J146" i="7"/>
  <c r="O146" i="7"/>
  <c r="J147" i="7"/>
  <c r="H121" i="1"/>
  <c r="G121" i="1"/>
  <c r="G121" i="3"/>
  <c r="H121" i="3"/>
  <c r="G121" i="5"/>
  <c r="H121" i="5"/>
  <c r="G121" i="4"/>
  <c r="H121" i="4"/>
  <c r="G121" i="2"/>
  <c r="H121" i="2"/>
  <c r="I148" i="7"/>
  <c r="G120" i="3"/>
  <c r="H120" i="3"/>
  <c r="G120" i="5"/>
  <c r="H120" i="5"/>
  <c r="G120" i="4"/>
  <c r="H120" i="4"/>
  <c r="G120" i="2"/>
  <c r="H120" i="2"/>
  <c r="G120" i="1"/>
  <c r="H120" i="1"/>
  <c r="K147" i="7"/>
  <c r="G119" i="3"/>
  <c r="H119" i="3"/>
  <c r="G119" i="5"/>
  <c r="H119" i="5"/>
  <c r="G119" i="4"/>
  <c r="H119" i="4"/>
  <c r="G119" i="2"/>
  <c r="H119" i="2"/>
  <c r="G119" i="1"/>
  <c r="I119" i="1"/>
  <c r="H119" i="1"/>
  <c r="I142" i="7"/>
  <c r="G118" i="3"/>
  <c r="H118" i="3"/>
  <c r="G118" i="5"/>
  <c r="H118" i="5"/>
  <c r="G118" i="4"/>
  <c r="H118" i="4"/>
  <c r="G118" i="2"/>
  <c r="H118" i="2"/>
  <c r="G118" i="1"/>
  <c r="H118" i="1"/>
  <c r="I141" i="7"/>
  <c r="G117" i="3"/>
  <c r="H117" i="3"/>
  <c r="G117" i="5"/>
  <c r="H117" i="5"/>
  <c r="G117" i="4"/>
  <c r="H117" i="4"/>
  <c r="G117" i="2"/>
  <c r="H117" i="2"/>
  <c r="G117" i="1"/>
  <c r="H117" i="1"/>
  <c r="J143" i="7"/>
  <c r="I140" i="7"/>
  <c r="G116" i="3"/>
  <c r="H116" i="3"/>
  <c r="G116" i="5"/>
  <c r="H116" i="5"/>
  <c r="G116" i="4"/>
  <c r="H116" i="4"/>
  <c r="G116" i="2"/>
  <c r="H116" i="2"/>
  <c r="I116" i="2"/>
  <c r="G116" i="1"/>
  <c r="H116" i="1"/>
  <c r="J142" i="7"/>
  <c r="I139" i="7"/>
  <c r="L140" i="7"/>
  <c r="B41" i="11"/>
  <c r="G115" i="3"/>
  <c r="H115" i="3"/>
  <c r="G115" i="5"/>
  <c r="H115" i="5"/>
  <c r="G115" i="4"/>
  <c r="H115" i="4"/>
  <c r="G115" i="2"/>
  <c r="H115" i="2"/>
  <c r="G115" i="1"/>
  <c r="H115" i="1"/>
  <c r="J141" i="7"/>
  <c r="I138" i="7"/>
  <c r="I137" i="7"/>
  <c r="I136" i="7"/>
  <c r="L137" i="7"/>
  <c r="B38" i="11"/>
  <c r="I135" i="7"/>
  <c r="J137" i="7"/>
  <c r="J136" i="7"/>
  <c r="J138" i="7"/>
  <c r="O138" i="7"/>
  <c r="J139" i="7"/>
  <c r="J140" i="7"/>
  <c r="G114" i="3"/>
  <c r="H114" i="3"/>
  <c r="G114" i="5"/>
  <c r="H114" i="5"/>
  <c r="G114" i="4"/>
  <c r="H114" i="4"/>
  <c r="G114" i="2"/>
  <c r="H114" i="2"/>
  <c r="G114" i="1"/>
  <c r="H114" i="1"/>
  <c r="G113" i="2"/>
  <c r="H113" i="2"/>
  <c r="G113" i="3"/>
  <c r="H113" i="3"/>
  <c r="G113" i="5"/>
  <c r="H113" i="5"/>
  <c r="G113" i="4"/>
  <c r="H113" i="4"/>
  <c r="G113" i="1"/>
  <c r="H113" i="1"/>
  <c r="G112" i="3"/>
  <c r="H112" i="3"/>
  <c r="G112" i="5"/>
  <c r="H112" i="5"/>
  <c r="G112" i="4"/>
  <c r="H112" i="4"/>
  <c r="G112" i="2"/>
  <c r="H112" i="2"/>
  <c r="G112" i="1"/>
  <c r="H112" i="1"/>
  <c r="G111" i="3"/>
  <c r="H111" i="3"/>
  <c r="G111" i="5"/>
  <c r="H111" i="5"/>
  <c r="G111" i="4"/>
  <c r="H111" i="4"/>
  <c r="G111" i="2"/>
  <c r="H111" i="2"/>
  <c r="G111" i="1"/>
  <c r="H111" i="1"/>
  <c r="I134" i="7"/>
  <c r="G110" i="3"/>
  <c r="H110" i="3"/>
  <c r="G110" i="5"/>
  <c r="H110" i="5"/>
  <c r="G110" i="4"/>
  <c r="H110" i="4"/>
  <c r="G110" i="2"/>
  <c r="H110" i="2"/>
  <c r="G110" i="1"/>
  <c r="H110" i="1"/>
  <c r="I133" i="7"/>
  <c r="J135" i="7"/>
  <c r="G109" i="3"/>
  <c r="H109" i="3"/>
  <c r="G109" i="5"/>
  <c r="H109" i="5"/>
  <c r="G109" i="4"/>
  <c r="H109" i="4"/>
  <c r="G109" i="2"/>
  <c r="H109" i="2"/>
  <c r="G109" i="1"/>
  <c r="H109" i="1"/>
  <c r="I132" i="7"/>
  <c r="L133" i="7"/>
  <c r="B34" i="11"/>
  <c r="J134" i="7"/>
  <c r="G108" i="3"/>
  <c r="H108" i="3"/>
  <c r="G108" i="5"/>
  <c r="H108" i="5"/>
  <c r="G108" i="4"/>
  <c r="H108" i="4"/>
  <c r="G108" i="2"/>
  <c r="H108" i="2"/>
  <c r="G108" i="1"/>
  <c r="H108" i="1"/>
  <c r="I131" i="7"/>
  <c r="J133" i="7"/>
  <c r="G107" i="3"/>
  <c r="H107" i="3"/>
  <c r="G107" i="5"/>
  <c r="H107" i="5"/>
  <c r="G107" i="4"/>
  <c r="H107" i="4"/>
  <c r="G107" i="2"/>
  <c r="H107" i="2"/>
  <c r="G107" i="1"/>
  <c r="H107" i="1"/>
  <c r="I130" i="7"/>
  <c r="K134" i="7"/>
  <c r="J132" i="7"/>
  <c r="G106" i="3"/>
  <c r="H106" i="3"/>
  <c r="G106" i="5"/>
  <c r="H106" i="5"/>
  <c r="G106" i="4"/>
  <c r="H106" i="4"/>
  <c r="G106" i="2"/>
  <c r="H106" i="2"/>
  <c r="G106" i="1"/>
  <c r="H106" i="1"/>
  <c r="I129" i="7"/>
  <c r="J131" i="7"/>
  <c r="G105" i="3"/>
  <c r="H105" i="3"/>
  <c r="G105" i="5"/>
  <c r="H105" i="5"/>
  <c r="G105" i="4"/>
  <c r="H105" i="4"/>
  <c r="G105" i="2"/>
  <c r="H105" i="2"/>
  <c r="G105" i="1"/>
  <c r="H105" i="1"/>
  <c r="I128" i="7"/>
  <c r="K132" i="7"/>
  <c r="J130" i="7"/>
  <c r="G104" i="3"/>
  <c r="H104" i="3"/>
  <c r="G104" i="5"/>
  <c r="H104" i="5"/>
  <c r="G104" i="4"/>
  <c r="H104" i="4"/>
  <c r="G104" i="2"/>
  <c r="H104" i="2"/>
  <c r="G104" i="1"/>
  <c r="H104" i="1"/>
  <c r="I127" i="7"/>
  <c r="J129" i="7"/>
  <c r="G103" i="3"/>
  <c r="H103" i="3"/>
  <c r="G103" i="5"/>
  <c r="H103" i="5"/>
  <c r="G103" i="4"/>
  <c r="H103" i="4"/>
  <c r="G103" i="2"/>
  <c r="H103" i="2"/>
  <c r="G103" i="1"/>
  <c r="H103" i="1"/>
  <c r="I126" i="7"/>
  <c r="K126" i="7"/>
  <c r="J128" i="7"/>
  <c r="G102" i="3"/>
  <c r="H102" i="3"/>
  <c r="G102" i="5"/>
  <c r="H102" i="5"/>
  <c r="G102" i="4"/>
  <c r="H102" i="4"/>
  <c r="G102" i="2"/>
  <c r="H102" i="2"/>
  <c r="I102" i="2"/>
  <c r="G102" i="1"/>
  <c r="H102" i="1"/>
  <c r="I125" i="7"/>
  <c r="L126" i="7"/>
  <c r="B27" i="11"/>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J127" i="7"/>
  <c r="O128" i="7"/>
  <c r="J126" i="7"/>
  <c r="G101" i="3"/>
  <c r="H101" i="3"/>
  <c r="G101" i="5"/>
  <c r="H101" i="5"/>
  <c r="G101" i="4"/>
  <c r="H101" i="4"/>
  <c r="G101" i="2"/>
  <c r="H101" i="2"/>
  <c r="G101" i="1"/>
  <c r="H101" i="1"/>
  <c r="I124" i="7"/>
  <c r="L125" i="7"/>
  <c r="B26" i="11"/>
  <c r="G100" i="3"/>
  <c r="H100" i="3"/>
  <c r="G100" i="5"/>
  <c r="H100" i="5"/>
  <c r="G100" i="4"/>
  <c r="H100" i="4"/>
  <c r="G100" i="2"/>
  <c r="H100" i="2"/>
  <c r="G100" i="1"/>
  <c r="H100" i="1"/>
  <c r="I123" i="7"/>
  <c r="J125" i="7"/>
  <c r="G99" i="3"/>
  <c r="H99" i="3"/>
  <c r="G99" i="5"/>
  <c r="H99" i="5"/>
  <c r="G99" i="4"/>
  <c r="H99" i="4"/>
  <c r="G99" i="2"/>
  <c r="H99" i="2"/>
  <c r="G99" i="1"/>
  <c r="H99" i="1"/>
  <c r="I122" i="7"/>
  <c r="J124" i="7"/>
  <c r="G98" i="3"/>
  <c r="H98" i="3"/>
  <c r="G98" i="5"/>
  <c r="H98" i="5"/>
  <c r="G98" i="4"/>
  <c r="H98" i="4"/>
  <c r="G98" i="2"/>
  <c r="H98" i="2"/>
  <c r="G98" i="1"/>
  <c r="H98" i="1"/>
  <c r="I121" i="7"/>
  <c r="K121" i="7"/>
  <c r="G97" i="3"/>
  <c r="H97" i="3"/>
  <c r="G97" i="5"/>
  <c r="H97" i="5"/>
  <c r="G97" i="4"/>
  <c r="H97" i="4"/>
  <c r="G97" i="2"/>
  <c r="H97" i="2"/>
  <c r="G97" i="1"/>
  <c r="H97" i="1"/>
  <c r="J123" i="7"/>
  <c r="I120" i="7"/>
  <c r="J122" i="7"/>
  <c r="O123" i="7"/>
  <c r="G96" i="3"/>
  <c r="H96" i="3"/>
  <c r="G96" i="5"/>
  <c r="H96" i="5"/>
  <c r="G96" i="4"/>
  <c r="H96" i="4"/>
  <c r="I96" i="4"/>
  <c r="G96" i="2"/>
  <c r="H96" i="2"/>
  <c r="G96" i="1"/>
  <c r="H96" i="1"/>
  <c r="I119" i="7"/>
  <c r="L120" i="7"/>
  <c r="B21" i="11"/>
  <c r="J121" i="7"/>
  <c r="O122" i="7"/>
  <c r="G95" i="3"/>
  <c r="H95" i="3"/>
  <c r="G95" i="5"/>
  <c r="H95" i="5"/>
  <c r="G95" i="4"/>
  <c r="H95" i="4"/>
  <c r="G95" i="2"/>
  <c r="H95" i="2"/>
  <c r="G95" i="1"/>
  <c r="H95" i="1"/>
  <c r="I118" i="7"/>
  <c r="J120" i="7"/>
  <c r="G94" i="3"/>
  <c r="H94" i="3"/>
  <c r="G94" i="5"/>
  <c r="H94" i="5"/>
  <c r="G94" i="4"/>
  <c r="H94" i="4"/>
  <c r="G94" i="2"/>
  <c r="H94" i="2"/>
  <c r="G94" i="1"/>
  <c r="H94" i="1"/>
  <c r="I117" i="7"/>
  <c r="J119" i="7"/>
  <c r="J118" i="7"/>
  <c r="J117" i="7"/>
  <c r="J116" i="7"/>
  <c r="I116" i="7"/>
  <c r="J115" i="7"/>
  <c r="I115" i="7"/>
  <c r="J114" i="7"/>
  <c r="I114" i="7"/>
  <c r="G93" i="5"/>
  <c r="H93" i="5"/>
  <c r="G93" i="3"/>
  <c r="H93" i="3"/>
  <c r="G93" i="4"/>
  <c r="H93" i="4"/>
  <c r="G93" i="2"/>
  <c r="H93" i="2"/>
  <c r="G93" i="1"/>
  <c r="H93" i="1"/>
  <c r="O119" i="7"/>
  <c r="G92" i="3"/>
  <c r="H92" i="3"/>
  <c r="G92" i="5"/>
  <c r="H92" i="5"/>
  <c r="G92" i="4"/>
  <c r="H92" i="4"/>
  <c r="G92" i="2"/>
  <c r="H92" i="2"/>
  <c r="G92" i="1"/>
  <c r="H92" i="1"/>
  <c r="A117" i="7"/>
  <c r="A18" i="11"/>
  <c r="G91" i="3"/>
  <c r="H91" i="3"/>
  <c r="G91" i="5"/>
  <c r="H91" i="5"/>
  <c r="G91" i="4"/>
  <c r="H91" i="4"/>
  <c r="G91" i="2"/>
  <c r="H91" i="2"/>
  <c r="G91" i="1"/>
  <c r="H91"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L115" i="7"/>
  <c r="B16" i="11"/>
  <c r="O117" i="7"/>
  <c r="G90" i="3"/>
  <c r="H90" i="3"/>
  <c r="G90" i="5"/>
  <c r="H90" i="5"/>
  <c r="G90" i="4"/>
  <c r="H90" i="4"/>
  <c r="G90" i="2"/>
  <c r="H90" i="2"/>
  <c r="G90" i="1"/>
  <c r="H90" i="1"/>
  <c r="I113" i="7"/>
  <c r="L114" i="7"/>
  <c r="K117" i="7"/>
  <c r="O116" i="7"/>
  <c r="O115" i="7"/>
  <c r="I112" i="7"/>
  <c r="G89" i="3"/>
  <c r="H89" i="3"/>
  <c r="G89" i="5"/>
  <c r="H89" i="5"/>
  <c r="G89" i="4"/>
  <c r="H89" i="4"/>
  <c r="G89" i="2"/>
  <c r="H89" i="2"/>
  <c r="G89" i="1"/>
  <c r="H89" i="1"/>
  <c r="I89" i="1"/>
  <c r="K116" i="7"/>
  <c r="G88" i="3"/>
  <c r="H88" i="3"/>
  <c r="G88" i="5"/>
  <c r="H88" i="5"/>
  <c r="G88" i="4"/>
  <c r="H88" i="4"/>
  <c r="G88" i="2"/>
  <c r="H88" i="2"/>
  <c r="G88" i="1"/>
  <c r="H88" i="1"/>
  <c r="I111" i="7"/>
  <c r="K115" i="7"/>
  <c r="G87" i="3"/>
  <c r="H87" i="3"/>
  <c r="G87" i="5"/>
  <c r="H87" i="5"/>
  <c r="G87" i="4"/>
  <c r="H87" i="4"/>
  <c r="G87" i="2"/>
  <c r="H87" i="2"/>
  <c r="G87" i="1"/>
  <c r="H87" i="1"/>
  <c r="I110" i="7"/>
  <c r="K114" i="7"/>
  <c r="G86" i="3"/>
  <c r="H86" i="3"/>
  <c r="G86" i="5"/>
  <c r="H86" i="5"/>
  <c r="G86" i="4"/>
  <c r="H86" i="4"/>
  <c r="G85" i="4"/>
  <c r="G86" i="2"/>
  <c r="H86" i="2"/>
  <c r="I86" i="2"/>
  <c r="G86" i="1"/>
  <c r="H86" i="1"/>
  <c r="J113" i="7"/>
  <c r="I109" i="7"/>
  <c r="G85" i="3"/>
  <c r="H85" i="3"/>
  <c r="G85" i="5"/>
  <c r="H85" i="5"/>
  <c r="H85" i="4"/>
  <c r="G85" i="2"/>
  <c r="H85" i="2"/>
  <c r="G85" i="1"/>
  <c r="H85" i="1"/>
  <c r="I108" i="7"/>
  <c r="L109" i="7"/>
  <c r="J112" i="7"/>
  <c r="K112" i="7"/>
  <c r="G84" i="3"/>
  <c r="H84" i="3"/>
  <c r="G84" i="5"/>
  <c r="H84" i="5"/>
  <c r="I84" i="5"/>
  <c r="G84" i="4"/>
  <c r="H84" i="4"/>
  <c r="G84" i="2"/>
  <c r="H84" i="2"/>
  <c r="G84" i="1"/>
  <c r="H84" i="1"/>
  <c r="I107" i="7"/>
  <c r="J111" i="7"/>
  <c r="G83" i="3"/>
  <c r="H83" i="3"/>
  <c r="G83" i="5"/>
  <c r="H83" i="5"/>
  <c r="G83" i="4"/>
  <c r="H83" i="4"/>
  <c r="G83" i="2"/>
  <c r="H83" i="2"/>
  <c r="G83" i="1"/>
  <c r="H83" i="1"/>
  <c r="I106" i="7"/>
  <c r="J110" i="7"/>
  <c r="J109" i="7"/>
  <c r="G82" i="3"/>
  <c r="H82" i="3"/>
  <c r="G82" i="5"/>
  <c r="H82" i="5"/>
  <c r="G82" i="4"/>
  <c r="H82" i="4"/>
  <c r="G82" i="2"/>
  <c r="H82" i="2"/>
  <c r="G82" i="1"/>
  <c r="H82" i="1"/>
  <c r="I105" i="7"/>
  <c r="G81" i="3"/>
  <c r="H81" i="3"/>
  <c r="G81" i="5"/>
  <c r="H81" i="5"/>
  <c r="G81" i="4"/>
  <c r="H81" i="4"/>
  <c r="G81" i="2"/>
  <c r="H81" i="2"/>
  <c r="H81" i="1"/>
  <c r="G81" i="1"/>
  <c r="I104" i="7"/>
  <c r="K104" i="7"/>
  <c r="J108" i="7"/>
  <c r="G80" i="3"/>
  <c r="H80" i="3"/>
  <c r="G80" i="5"/>
  <c r="H80" i="5"/>
  <c r="G80" i="4"/>
  <c r="H80" i="4"/>
  <c r="G80" i="2"/>
  <c r="H80" i="2"/>
  <c r="G80" i="1"/>
  <c r="H80" i="1"/>
  <c r="I103" i="7"/>
  <c r="L104" i="7"/>
  <c r="I102" i="7"/>
  <c r="L102" i="7"/>
  <c r="I101" i="7"/>
  <c r="L101" i="7"/>
  <c r="I100" i="7"/>
  <c r="J107" i="7"/>
  <c r="K107" i="7"/>
  <c r="G79" i="3"/>
  <c r="H79" i="3"/>
  <c r="G79" i="5"/>
  <c r="H79" i="5"/>
  <c r="G79" i="4"/>
  <c r="H79" i="4"/>
  <c r="G79" i="2"/>
  <c r="H79" i="2"/>
  <c r="G78" i="2"/>
  <c r="G79" i="1"/>
  <c r="H79" i="1"/>
  <c r="I98" i="7"/>
  <c r="L99" i="7"/>
  <c r="J106" i="7"/>
  <c r="G78" i="3"/>
  <c r="H78" i="3"/>
  <c r="G78" i="5"/>
  <c r="H78" i="5"/>
  <c r="G78" i="4"/>
  <c r="H78" i="4"/>
  <c r="I78" i="4"/>
  <c r="H78" i="2"/>
  <c r="G78" i="1"/>
  <c r="H78" i="1"/>
  <c r="J105" i="7"/>
  <c r="G77" i="3"/>
  <c r="H77" i="3"/>
  <c r="G77" i="5"/>
  <c r="H77" i="5"/>
  <c r="G77" i="4"/>
  <c r="H77" i="4"/>
  <c r="I77" i="4"/>
  <c r="G77" i="2"/>
  <c r="H77" i="2"/>
  <c r="G77" i="1"/>
  <c r="H77" i="1"/>
  <c r="J104" i="7"/>
  <c r="G76" i="3"/>
  <c r="H76" i="3"/>
  <c r="G76" i="5"/>
  <c r="H76" i="5"/>
  <c r="G76" i="4"/>
  <c r="H76" i="4"/>
  <c r="G76" i="2"/>
  <c r="H76" i="2"/>
  <c r="H76" i="1"/>
  <c r="G76" i="1"/>
  <c r="J103" i="7"/>
  <c r="J102" i="7"/>
  <c r="J101" i="7"/>
  <c r="H75" i="1"/>
  <c r="H75" i="2"/>
  <c r="H75" i="4"/>
  <c r="H75" i="5"/>
  <c r="I75" i="5"/>
  <c r="H75" i="3"/>
  <c r="G75" i="3"/>
  <c r="G75" i="5"/>
  <c r="G75" i="4"/>
  <c r="I75" i="4"/>
  <c r="G75" i="2"/>
  <c r="G75" i="1"/>
  <c r="G74" i="3"/>
  <c r="H74" i="3"/>
  <c r="G74" i="5"/>
  <c r="H74" i="5"/>
  <c r="G74" i="4"/>
  <c r="H74" i="4"/>
  <c r="G74" i="2"/>
  <c r="H74" i="2"/>
  <c r="G74" i="1"/>
  <c r="H74" i="1"/>
  <c r="G73" i="3"/>
  <c r="H73" i="3"/>
  <c r="G73" i="5"/>
  <c r="H73" i="5"/>
  <c r="G73" i="4"/>
  <c r="H73" i="4"/>
  <c r="G73" i="2"/>
  <c r="H73" i="2"/>
  <c r="G73" i="1"/>
  <c r="H73" i="1"/>
  <c r="J100" i="7"/>
  <c r="G72" i="3"/>
  <c r="H72" i="3"/>
  <c r="G72" i="5"/>
  <c r="H72" i="5"/>
  <c r="G72" i="4"/>
  <c r="H72" i="4"/>
  <c r="G72" i="2"/>
  <c r="H72" i="2"/>
  <c r="G72" i="1"/>
  <c r="H72" i="1"/>
  <c r="J99" i="7"/>
  <c r="K99" i="7"/>
  <c r="G71" i="3"/>
  <c r="H71" i="3"/>
  <c r="G71" i="5"/>
  <c r="H71" i="5"/>
  <c r="G71" i="4"/>
  <c r="H71" i="4"/>
  <c r="G71" i="2"/>
  <c r="H71" i="2"/>
  <c r="G71" i="1"/>
  <c r="H71" i="1"/>
  <c r="J98"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G70" i="3"/>
  <c r="H70" i="3"/>
  <c r="G70" i="5"/>
  <c r="H70" i="5"/>
  <c r="G70" i="4"/>
  <c r="H70" i="4"/>
  <c r="G70" i="2"/>
  <c r="H70" i="2"/>
  <c r="G70" i="1"/>
  <c r="I70" i="1"/>
  <c r="H70" i="1"/>
  <c r="J97" i="7"/>
  <c r="K97" i="7"/>
  <c r="Z55" i="7"/>
  <c r="I62" i="7"/>
  <c r="AG56" i="7"/>
  <c r="AG57" i="7"/>
  <c r="AG58" i="7"/>
  <c r="AG59" i="7"/>
  <c r="AG60" i="7"/>
  <c r="AG61" i="7"/>
  <c r="AG62" i="7"/>
  <c r="AG63" i="7"/>
  <c r="AG64" i="7"/>
  <c r="AG65"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AG91" i="7"/>
  <c r="AG92" i="7"/>
  <c r="AG93" i="7"/>
  <c r="AG94" i="7"/>
  <c r="AG95" i="7"/>
  <c r="AG96" i="7"/>
  <c r="AG97" i="7"/>
  <c r="AG98" i="7"/>
  <c r="Z56" i="7"/>
  <c r="AP55" i="7"/>
  <c r="Z48" i="7"/>
  <c r="Z47" i="7"/>
  <c r="AE48" i="7"/>
  <c r="Z49" i="7"/>
  <c r="AE49" i="7"/>
  <c r="Z50" i="7"/>
  <c r="AE50" i="7"/>
  <c r="Z51" i="7"/>
  <c r="Z52" i="7"/>
  <c r="AE52" i="7"/>
  <c r="Z53" i="7"/>
  <c r="Z54" i="7"/>
  <c r="AE54" i="7"/>
  <c r="AF48" i="7"/>
  <c r="AF49" i="7"/>
  <c r="AF50" i="7"/>
  <c r="AF51" i="7"/>
  <c r="AF52" i="7"/>
  <c r="AF53" i="7"/>
  <c r="AF54" i="7"/>
  <c r="AF55" i="7"/>
  <c r="G4" i="3"/>
  <c r="H4" i="3"/>
  <c r="G5" i="3"/>
  <c r="H5" i="3"/>
  <c r="G6" i="3"/>
  <c r="H6" i="3"/>
  <c r="G7" i="3"/>
  <c r="H7" i="3"/>
  <c r="G8" i="3"/>
  <c r="H8" i="3"/>
  <c r="G9" i="3"/>
  <c r="H9" i="3"/>
  <c r="G10" i="3"/>
  <c r="H10" i="3"/>
  <c r="G11" i="3"/>
  <c r="H11" i="3"/>
  <c r="G12" i="3"/>
  <c r="H12" i="3"/>
  <c r="G13" i="3"/>
  <c r="H13" i="3"/>
  <c r="G14" i="3"/>
  <c r="H14" i="3"/>
  <c r="G15" i="3"/>
  <c r="H15" i="3"/>
  <c r="G16" i="3"/>
  <c r="H16" i="3"/>
  <c r="G17" i="3"/>
  <c r="H17" i="3"/>
  <c r="G18" i="3"/>
  <c r="H18" i="3"/>
  <c r="G19" i="3"/>
  <c r="H19" i="3"/>
  <c r="G20" i="3"/>
  <c r="H20" i="3"/>
  <c r="G21" i="3"/>
  <c r="H21" i="3"/>
  <c r="G22" i="3"/>
  <c r="H22" i="3"/>
  <c r="G23" i="3"/>
  <c r="H23" i="3"/>
  <c r="G24" i="3"/>
  <c r="H24" i="3"/>
  <c r="G25" i="3"/>
  <c r="H25" i="3"/>
  <c r="G26" i="3"/>
  <c r="H26" i="3"/>
  <c r="G27" i="3"/>
  <c r="H27" i="3"/>
  <c r="G28" i="3"/>
  <c r="H28" i="3"/>
  <c r="G29" i="3"/>
  <c r="H29" i="3"/>
  <c r="G30" i="3"/>
  <c r="H30" i="3"/>
  <c r="G31" i="3"/>
  <c r="H31" i="3"/>
  <c r="G32" i="3"/>
  <c r="H32" i="3"/>
  <c r="G33" i="3"/>
  <c r="H33" i="3"/>
  <c r="G34" i="3"/>
  <c r="H34" i="3"/>
  <c r="G35" i="3"/>
  <c r="H35" i="3"/>
  <c r="G36" i="3"/>
  <c r="H36" i="3"/>
  <c r="G37" i="3"/>
  <c r="H37" i="3"/>
  <c r="G38" i="3"/>
  <c r="H38" i="3"/>
  <c r="G39" i="3"/>
  <c r="H39" i="3"/>
  <c r="G40" i="3"/>
  <c r="H40" i="3"/>
  <c r="G41" i="3"/>
  <c r="H41" i="3"/>
  <c r="G42" i="3"/>
  <c r="H42" i="3"/>
  <c r="G43" i="3"/>
  <c r="H43" i="3"/>
  <c r="G44" i="3"/>
  <c r="H44" i="3"/>
  <c r="G45" i="3"/>
  <c r="H45" i="3"/>
  <c r="G46" i="3"/>
  <c r="H46" i="3"/>
  <c r="G47" i="3"/>
  <c r="H47" i="3"/>
  <c r="G48" i="3"/>
  <c r="H48" i="3"/>
  <c r="G49" i="3"/>
  <c r="H49" i="3"/>
  <c r="G50" i="3"/>
  <c r="J50" i="3"/>
  <c r="H50" i="3"/>
  <c r="G51" i="3"/>
  <c r="H51" i="3"/>
  <c r="G52" i="3"/>
  <c r="H52" i="3"/>
  <c r="G53" i="3"/>
  <c r="H53" i="3"/>
  <c r="G54" i="3"/>
  <c r="H54" i="3"/>
  <c r="G55" i="3"/>
  <c r="H55" i="3"/>
  <c r="G56" i="3"/>
  <c r="H56" i="3"/>
  <c r="G57" i="3"/>
  <c r="H57" i="3"/>
  <c r="G58" i="3"/>
  <c r="H58" i="3"/>
  <c r="G59" i="3"/>
  <c r="H59" i="3"/>
  <c r="I59" i="3"/>
  <c r="G60" i="3"/>
  <c r="H60" i="3"/>
  <c r="G61" i="3"/>
  <c r="H61" i="3"/>
  <c r="G62" i="3"/>
  <c r="H62" i="3"/>
  <c r="I62" i="3"/>
  <c r="G63" i="3"/>
  <c r="H63" i="3"/>
  <c r="G64" i="3"/>
  <c r="H64" i="3"/>
  <c r="G65" i="3"/>
  <c r="H65" i="3"/>
  <c r="G66" i="3"/>
  <c r="H66" i="3"/>
  <c r="G67" i="3"/>
  <c r="H67" i="3"/>
  <c r="G68" i="3"/>
  <c r="H68" i="3"/>
  <c r="G69" i="3"/>
  <c r="H69" i="3"/>
  <c r="G4" i="5"/>
  <c r="H4" i="5"/>
  <c r="G5" i="5"/>
  <c r="H5" i="5"/>
  <c r="G6" i="5"/>
  <c r="H6" i="5"/>
  <c r="G7" i="5"/>
  <c r="H7" i="5"/>
  <c r="G8" i="5"/>
  <c r="H8" i="5"/>
  <c r="G9" i="5"/>
  <c r="H9" i="5"/>
  <c r="G10" i="5"/>
  <c r="H10" i="5"/>
  <c r="G11" i="5"/>
  <c r="H11" i="5"/>
  <c r="G12" i="5"/>
  <c r="H12" i="5"/>
  <c r="G13" i="5"/>
  <c r="H13" i="5"/>
  <c r="G14" i="5"/>
  <c r="H14" i="5"/>
  <c r="G15" i="5"/>
  <c r="H15" i="5"/>
  <c r="G16" i="5"/>
  <c r="H16" i="5"/>
  <c r="G17" i="5"/>
  <c r="H17" i="5"/>
  <c r="G18" i="5"/>
  <c r="H18" i="5"/>
  <c r="G19" i="5"/>
  <c r="H19" i="5"/>
  <c r="G20" i="5"/>
  <c r="H20" i="5"/>
  <c r="G21" i="5"/>
  <c r="H21" i="5"/>
  <c r="I21" i="5"/>
  <c r="G22" i="5"/>
  <c r="H22" i="5"/>
  <c r="G23" i="5"/>
  <c r="H23" i="5"/>
  <c r="G24" i="5"/>
  <c r="H24" i="5"/>
  <c r="G25" i="5"/>
  <c r="H25" i="5"/>
  <c r="G26" i="5"/>
  <c r="H26" i="5"/>
  <c r="G27" i="5"/>
  <c r="H27" i="5"/>
  <c r="G28" i="5"/>
  <c r="H28" i="5"/>
  <c r="G29" i="5"/>
  <c r="H29" i="5"/>
  <c r="G30" i="5"/>
  <c r="H30" i="5"/>
  <c r="G31" i="5"/>
  <c r="H31" i="5"/>
  <c r="G32" i="5"/>
  <c r="H32" i="5"/>
  <c r="G33" i="5"/>
  <c r="H33" i="5"/>
  <c r="G34" i="5"/>
  <c r="H34" i="5"/>
  <c r="G35" i="5"/>
  <c r="H35" i="5"/>
  <c r="G36" i="5"/>
  <c r="H36" i="5"/>
  <c r="G37" i="5"/>
  <c r="H37" i="5"/>
  <c r="G38" i="5"/>
  <c r="H38" i="5"/>
  <c r="G39" i="5"/>
  <c r="H39" i="5"/>
  <c r="G40" i="5"/>
  <c r="H40" i="5"/>
  <c r="G41" i="5"/>
  <c r="H41" i="5"/>
  <c r="G42" i="5"/>
  <c r="H42" i="5"/>
  <c r="G43" i="5"/>
  <c r="H43" i="5"/>
  <c r="G44" i="5"/>
  <c r="H44" i="5"/>
  <c r="G45" i="5"/>
  <c r="H45" i="5"/>
  <c r="G46" i="5"/>
  <c r="J46" i="5"/>
  <c r="H46" i="5"/>
  <c r="G47" i="5"/>
  <c r="J47" i="5"/>
  <c r="H47" i="5"/>
  <c r="G48" i="5"/>
  <c r="J48" i="5"/>
  <c r="H48" i="5"/>
  <c r="G49" i="5"/>
  <c r="J49" i="5"/>
  <c r="H49" i="5"/>
  <c r="G50" i="5"/>
  <c r="J50" i="5"/>
  <c r="H50" i="5"/>
  <c r="G51" i="5"/>
  <c r="J51" i="5"/>
  <c r="H51" i="5"/>
  <c r="G52" i="5"/>
  <c r="H52" i="5"/>
  <c r="G53" i="5"/>
  <c r="H53" i="5"/>
  <c r="G54" i="5"/>
  <c r="H54" i="5"/>
  <c r="G55" i="5"/>
  <c r="H55" i="5"/>
  <c r="G56" i="5"/>
  <c r="H56" i="5"/>
  <c r="G57" i="5"/>
  <c r="H57" i="5"/>
  <c r="G58" i="5"/>
  <c r="H58" i="5"/>
  <c r="G59" i="5"/>
  <c r="H59" i="5"/>
  <c r="G60" i="5"/>
  <c r="H60" i="5"/>
  <c r="G61" i="5"/>
  <c r="H61" i="5"/>
  <c r="G62" i="5"/>
  <c r="H62" i="5"/>
  <c r="G63" i="5"/>
  <c r="H63" i="5"/>
  <c r="G64" i="5"/>
  <c r="H64" i="5"/>
  <c r="G65" i="5"/>
  <c r="H65" i="5"/>
  <c r="G66" i="5"/>
  <c r="H66" i="5"/>
  <c r="G67" i="5"/>
  <c r="H67" i="5"/>
  <c r="G68" i="5"/>
  <c r="H68" i="5"/>
  <c r="G69" i="5"/>
  <c r="H69" i="5"/>
  <c r="G4" i="4"/>
  <c r="H4" i="4"/>
  <c r="G5" i="4"/>
  <c r="H5" i="4"/>
  <c r="G6" i="4"/>
  <c r="H6" i="4"/>
  <c r="G7" i="4"/>
  <c r="H7" i="4"/>
  <c r="G8" i="4"/>
  <c r="H8" i="4"/>
  <c r="G9" i="4"/>
  <c r="H9" i="4"/>
  <c r="G10" i="4"/>
  <c r="H10" i="4"/>
  <c r="G11" i="4"/>
  <c r="H11" i="4"/>
  <c r="G12" i="4"/>
  <c r="H12" i="4"/>
  <c r="G13" i="4"/>
  <c r="H13" i="4"/>
  <c r="G14" i="4"/>
  <c r="H14" i="4"/>
  <c r="I14" i="4"/>
  <c r="G15" i="4"/>
  <c r="H15" i="4"/>
  <c r="G16" i="4"/>
  <c r="H16" i="4"/>
  <c r="G17" i="4"/>
  <c r="H17" i="4"/>
  <c r="G18" i="4"/>
  <c r="H18" i="4"/>
  <c r="G19" i="4"/>
  <c r="H19" i="4"/>
  <c r="G20" i="4"/>
  <c r="H20" i="4"/>
  <c r="G21" i="4"/>
  <c r="H21" i="4"/>
  <c r="G22" i="4"/>
  <c r="H22" i="4"/>
  <c r="G23" i="4"/>
  <c r="H23" i="4"/>
  <c r="G24" i="4"/>
  <c r="H24" i="4"/>
  <c r="G25" i="4"/>
  <c r="H25" i="4"/>
  <c r="G26" i="4"/>
  <c r="H26" i="4"/>
  <c r="G27" i="4"/>
  <c r="H27" i="4"/>
  <c r="G28" i="4"/>
  <c r="H28" i="4"/>
  <c r="G29" i="4"/>
  <c r="H29" i="4"/>
  <c r="G30" i="4"/>
  <c r="H30" i="4"/>
  <c r="G31" i="4"/>
  <c r="H31" i="4"/>
  <c r="G32" i="4"/>
  <c r="H32" i="4"/>
  <c r="G33" i="4"/>
  <c r="H33" i="4"/>
  <c r="G34" i="4"/>
  <c r="H34" i="4"/>
  <c r="G35" i="4"/>
  <c r="H35" i="4"/>
  <c r="G36" i="4"/>
  <c r="H36" i="4"/>
  <c r="G37" i="4"/>
  <c r="H37" i="4"/>
  <c r="G38" i="4"/>
  <c r="H38" i="4"/>
  <c r="G39" i="4"/>
  <c r="H39" i="4"/>
  <c r="G40" i="4"/>
  <c r="H40" i="4"/>
  <c r="G41" i="4"/>
  <c r="H41" i="4"/>
  <c r="G42" i="4"/>
  <c r="H42" i="4"/>
  <c r="G43" i="4"/>
  <c r="H43" i="4"/>
  <c r="G44" i="4"/>
  <c r="H44" i="4"/>
  <c r="G45" i="4"/>
  <c r="H45" i="4"/>
  <c r="G46" i="4"/>
  <c r="H46" i="4"/>
  <c r="G47" i="4"/>
  <c r="H47" i="4"/>
  <c r="G48" i="4"/>
  <c r="H48" i="4"/>
  <c r="G49" i="4"/>
  <c r="H49" i="4"/>
  <c r="J49" i="4"/>
  <c r="G50" i="4"/>
  <c r="H50" i="4"/>
  <c r="G51" i="4"/>
  <c r="H51" i="4"/>
  <c r="G52" i="4"/>
  <c r="H52" i="4"/>
  <c r="G53" i="4"/>
  <c r="H53" i="4"/>
  <c r="G54" i="4"/>
  <c r="H54" i="4"/>
  <c r="G55" i="4"/>
  <c r="H55" i="4"/>
  <c r="I55" i="4"/>
  <c r="G56" i="4"/>
  <c r="H56" i="4"/>
  <c r="I56" i="4"/>
  <c r="G57" i="4"/>
  <c r="H57" i="4"/>
  <c r="I57" i="4"/>
  <c r="G58" i="4"/>
  <c r="H58" i="4"/>
  <c r="G59" i="4"/>
  <c r="H59" i="4"/>
  <c r="I59" i="4"/>
  <c r="G60" i="4"/>
  <c r="H60" i="4"/>
  <c r="G61" i="4"/>
  <c r="H61" i="4"/>
  <c r="G62" i="4"/>
  <c r="H62" i="4"/>
  <c r="G63" i="4"/>
  <c r="H63" i="4"/>
  <c r="I63" i="4"/>
  <c r="G64" i="4"/>
  <c r="H64" i="4"/>
  <c r="G65" i="4"/>
  <c r="H65" i="4"/>
  <c r="G66" i="4"/>
  <c r="H66" i="4"/>
  <c r="G67" i="4"/>
  <c r="H67" i="4"/>
  <c r="G68" i="4"/>
  <c r="H68" i="4"/>
  <c r="G69" i="4"/>
  <c r="H69" i="4"/>
  <c r="AM1" i="2"/>
  <c r="AN1" i="2"/>
  <c r="AO1" i="2"/>
  <c r="AP1" i="2"/>
  <c r="AQ1" i="2"/>
  <c r="AR1" i="2"/>
  <c r="AS1" i="2"/>
  <c r="G4" i="2"/>
  <c r="H4" i="2"/>
  <c r="G5" i="2"/>
  <c r="H5" i="2"/>
  <c r="G6" i="2"/>
  <c r="H6" i="2"/>
  <c r="G7" i="2"/>
  <c r="H7" i="2"/>
  <c r="G8" i="2"/>
  <c r="H8" i="2"/>
  <c r="G9" i="2"/>
  <c r="H9" i="2"/>
  <c r="G10" i="2"/>
  <c r="H10" i="2"/>
  <c r="G11" i="2"/>
  <c r="H11" i="2"/>
  <c r="G12" i="2"/>
  <c r="H12" i="2"/>
  <c r="G13" i="2"/>
  <c r="H13" i="2"/>
  <c r="G14" i="2"/>
  <c r="H14" i="2"/>
  <c r="G15" i="2"/>
  <c r="H15" i="2"/>
  <c r="G16" i="2"/>
  <c r="H16" i="2"/>
  <c r="G17" i="2"/>
  <c r="H17" i="2"/>
  <c r="G18" i="2"/>
  <c r="H18" i="2"/>
  <c r="G19" i="2"/>
  <c r="H19" i="2"/>
  <c r="G20" i="2"/>
  <c r="H20" i="2"/>
  <c r="G21" i="2"/>
  <c r="H21" i="2"/>
  <c r="G22" i="2"/>
  <c r="H22" i="2"/>
  <c r="G23" i="2"/>
  <c r="H23" i="2"/>
  <c r="G24" i="2"/>
  <c r="H24" i="2"/>
  <c r="G25" i="2"/>
  <c r="H25" i="2"/>
  <c r="G26" i="2"/>
  <c r="H26" i="2"/>
  <c r="G27" i="2"/>
  <c r="H27" i="2"/>
  <c r="G28" i="2"/>
  <c r="H28" i="2"/>
  <c r="G29" i="2"/>
  <c r="H29" i="2"/>
  <c r="G30" i="2"/>
  <c r="H30" i="2"/>
  <c r="G31" i="2"/>
  <c r="H31" i="2"/>
  <c r="G32" i="2"/>
  <c r="H32" i="2"/>
  <c r="G33" i="2"/>
  <c r="H33" i="2"/>
  <c r="G34" i="2"/>
  <c r="H34" i="2"/>
  <c r="G35" i="2"/>
  <c r="H35" i="2"/>
  <c r="G36" i="2"/>
  <c r="H36" i="2"/>
  <c r="G37" i="2"/>
  <c r="H37" i="2"/>
  <c r="G38" i="2"/>
  <c r="H38" i="2"/>
  <c r="G39" i="2"/>
  <c r="H39" i="2"/>
  <c r="G40" i="2"/>
  <c r="H40" i="2"/>
  <c r="G41" i="2"/>
  <c r="H41" i="2"/>
  <c r="G42" i="2"/>
  <c r="H42" i="2"/>
  <c r="G43" i="2"/>
  <c r="H43" i="2"/>
  <c r="G44" i="2"/>
  <c r="H44" i="2"/>
  <c r="G45" i="2"/>
  <c r="H45" i="2"/>
  <c r="G46" i="2"/>
  <c r="H46" i="2"/>
  <c r="G47" i="2"/>
  <c r="H47" i="2"/>
  <c r="G48" i="2"/>
  <c r="H48" i="2"/>
  <c r="G49" i="2"/>
  <c r="H49" i="2"/>
  <c r="G50" i="2"/>
  <c r="H50" i="2"/>
  <c r="G51" i="2"/>
  <c r="H51" i="2"/>
  <c r="G52" i="2"/>
  <c r="H52" i="2"/>
  <c r="G53" i="2"/>
  <c r="H53" i="2"/>
  <c r="G54" i="2"/>
  <c r="H54" i="2"/>
  <c r="G55" i="2"/>
  <c r="H55" i="2"/>
  <c r="G56" i="2"/>
  <c r="H56" i="2"/>
  <c r="G57" i="2"/>
  <c r="I57" i="2"/>
  <c r="H57" i="2"/>
  <c r="G58" i="2"/>
  <c r="H58" i="2"/>
  <c r="G59" i="2"/>
  <c r="H59" i="2"/>
  <c r="G60" i="2"/>
  <c r="H60" i="2"/>
  <c r="G61" i="2"/>
  <c r="H61" i="2"/>
  <c r="I61" i="2"/>
  <c r="G62" i="2"/>
  <c r="H62" i="2"/>
  <c r="I62" i="2"/>
  <c r="G63" i="2"/>
  <c r="H63" i="2"/>
  <c r="I63" i="2"/>
  <c r="G64" i="2"/>
  <c r="H64" i="2"/>
  <c r="G65" i="2"/>
  <c r="H65" i="2"/>
  <c r="I65" i="2"/>
  <c r="G66" i="2"/>
  <c r="H66" i="2"/>
  <c r="G67" i="2"/>
  <c r="H67" i="2"/>
  <c r="I67" i="2"/>
  <c r="G68" i="2"/>
  <c r="H68" i="2"/>
  <c r="G69" i="2"/>
  <c r="H69" i="2"/>
  <c r="I69" i="2"/>
  <c r="G4" i="1"/>
  <c r="H4" i="1"/>
  <c r="G5" i="1"/>
  <c r="H5" i="1"/>
  <c r="G6" i="1"/>
  <c r="H6" i="1"/>
  <c r="G7" i="1"/>
  <c r="H7" i="1"/>
  <c r="G8" i="1"/>
  <c r="H8" i="1"/>
  <c r="G9" i="1"/>
  <c r="H9" i="1"/>
  <c r="G10" i="1"/>
  <c r="H10" i="1"/>
  <c r="G11" i="1"/>
  <c r="H11" i="1"/>
  <c r="I11" i="1"/>
  <c r="G12" i="1"/>
  <c r="H12" i="1"/>
  <c r="G13" i="1"/>
  <c r="H13" i="1"/>
  <c r="G14" i="1"/>
  <c r="H14" i="1"/>
  <c r="G15" i="1"/>
  <c r="H15" i="1"/>
  <c r="G16" i="1"/>
  <c r="H16" i="1"/>
  <c r="G17" i="1"/>
  <c r="H17" i="1"/>
  <c r="G18" i="1"/>
  <c r="H18" i="1"/>
  <c r="I18" i="1"/>
  <c r="G19" i="1"/>
  <c r="H19" i="1"/>
  <c r="G20" i="1"/>
  <c r="H20" i="1"/>
  <c r="G21" i="1"/>
  <c r="H21" i="1"/>
  <c r="I21" i="1"/>
  <c r="G22" i="1"/>
  <c r="H22" i="1"/>
  <c r="G23" i="1"/>
  <c r="H23" i="1"/>
  <c r="G24" i="1"/>
  <c r="H24" i="1"/>
  <c r="G25" i="1"/>
  <c r="H25" i="1"/>
  <c r="I25" i="1"/>
  <c r="G26" i="1"/>
  <c r="H26" i="1"/>
  <c r="G27" i="1"/>
  <c r="H27" i="1"/>
  <c r="I27" i="1"/>
  <c r="G28" i="1"/>
  <c r="H28" i="1"/>
  <c r="G29" i="1"/>
  <c r="H29" i="1"/>
  <c r="G30" i="1"/>
  <c r="H30" i="1"/>
  <c r="G31" i="1"/>
  <c r="H31" i="1"/>
  <c r="I31" i="1"/>
  <c r="G32" i="1"/>
  <c r="H32" i="1"/>
  <c r="G33" i="1"/>
  <c r="H33" i="1"/>
  <c r="I33" i="1"/>
  <c r="G34" i="1"/>
  <c r="H34" i="1"/>
  <c r="G35" i="1"/>
  <c r="H35" i="1"/>
  <c r="I35" i="1"/>
  <c r="G36" i="1"/>
  <c r="H36" i="1"/>
  <c r="G37" i="1"/>
  <c r="H37" i="1"/>
  <c r="G38" i="1"/>
  <c r="H38" i="1"/>
  <c r="G39" i="1"/>
  <c r="H39" i="1"/>
  <c r="I39" i="1"/>
  <c r="G40" i="1"/>
  <c r="H40" i="1"/>
  <c r="I40" i="1"/>
  <c r="G41" i="1"/>
  <c r="H41" i="1"/>
  <c r="G42" i="1"/>
  <c r="H42" i="1"/>
  <c r="I42" i="1"/>
  <c r="G43" i="1"/>
  <c r="H43" i="1"/>
  <c r="G44" i="1"/>
  <c r="H44" i="1"/>
  <c r="G45" i="1"/>
  <c r="H45" i="1"/>
  <c r="I45" i="1"/>
  <c r="G46" i="1"/>
  <c r="H46" i="1"/>
  <c r="G47" i="1"/>
  <c r="H47" i="1"/>
  <c r="I47" i="1"/>
  <c r="G48" i="1"/>
  <c r="H48" i="1"/>
  <c r="I48" i="1"/>
  <c r="G49" i="1"/>
  <c r="H49" i="1"/>
  <c r="I49" i="1"/>
  <c r="G50" i="1"/>
  <c r="H50" i="1"/>
  <c r="G51" i="1"/>
  <c r="H51" i="1"/>
  <c r="I51" i="1"/>
  <c r="G52" i="1"/>
  <c r="H52" i="1"/>
  <c r="G53" i="1"/>
  <c r="H53" i="1"/>
  <c r="G54" i="1"/>
  <c r="H54" i="1"/>
  <c r="G55" i="1"/>
  <c r="H55" i="1"/>
  <c r="I55" i="1"/>
  <c r="G56" i="1"/>
  <c r="H56" i="1"/>
  <c r="I56" i="1"/>
  <c r="G57" i="1"/>
  <c r="H57" i="1"/>
  <c r="G58" i="1"/>
  <c r="H58" i="1"/>
  <c r="G59" i="1"/>
  <c r="H59" i="1"/>
  <c r="I59" i="1"/>
  <c r="G60" i="1"/>
  <c r="H60" i="1"/>
  <c r="I60" i="1"/>
  <c r="G61" i="1"/>
  <c r="H61" i="1"/>
  <c r="G62" i="1"/>
  <c r="H62" i="1"/>
  <c r="I62" i="1"/>
  <c r="G63" i="1"/>
  <c r="H63" i="1"/>
  <c r="I63" i="1"/>
  <c r="G64" i="1"/>
  <c r="H64" i="1"/>
  <c r="G65" i="1"/>
  <c r="H65" i="1"/>
  <c r="G66" i="1"/>
  <c r="H66" i="1"/>
  <c r="I66" i="1"/>
  <c r="G67" i="1"/>
  <c r="H67" i="1"/>
  <c r="G68" i="1"/>
  <c r="H68" i="1"/>
  <c r="I68" i="1"/>
  <c r="G69" i="1"/>
  <c r="H69" i="1"/>
  <c r="I16" i="7"/>
  <c r="I6" i="7"/>
  <c r="J6" i="7"/>
  <c r="I7" i="7"/>
  <c r="K7" i="7"/>
  <c r="J7" i="7"/>
  <c r="I8" i="7"/>
  <c r="J8" i="7"/>
  <c r="I9" i="7"/>
  <c r="J9" i="7"/>
  <c r="I10" i="7"/>
  <c r="J10" i="7"/>
  <c r="O10" i="7"/>
  <c r="I11" i="7"/>
  <c r="J11" i="7"/>
  <c r="I12" i="7"/>
  <c r="J12" i="7"/>
  <c r="I13" i="7"/>
  <c r="J13" i="7"/>
  <c r="I14" i="7"/>
  <c r="J14" i="7"/>
  <c r="K14" i="7"/>
  <c r="I15" i="7"/>
  <c r="J15" i="7"/>
  <c r="K16" i="7"/>
  <c r="I17" i="7"/>
  <c r="J17" i="7"/>
  <c r="I18" i="7"/>
  <c r="K18" i="7"/>
  <c r="I19" i="7"/>
  <c r="K19" i="7"/>
  <c r="I20" i="7"/>
  <c r="K20" i="7"/>
  <c r="I21" i="7"/>
  <c r="K21" i="7"/>
  <c r="I22" i="7"/>
  <c r="K22" i="7"/>
  <c r="I23" i="7"/>
  <c r="K23" i="7"/>
  <c r="I24" i="7"/>
  <c r="K24" i="7"/>
  <c r="I25" i="7"/>
  <c r="J25" i="7"/>
  <c r="I26" i="7"/>
  <c r="P26" i="7"/>
  <c r="J26" i="7"/>
  <c r="Q26" i="7"/>
  <c r="I27" i="7"/>
  <c r="J27" i="7"/>
  <c r="I28" i="7"/>
  <c r="P28" i="7"/>
  <c r="J28" i="7"/>
  <c r="I29" i="7"/>
  <c r="L29" i="7"/>
  <c r="J29" i="7"/>
  <c r="I30" i="7"/>
  <c r="P30" i="7"/>
  <c r="J30" i="7"/>
  <c r="I31" i="7"/>
  <c r="P31" i="7"/>
  <c r="J31" i="7"/>
  <c r="I32" i="7"/>
  <c r="P32" i="7"/>
  <c r="J32" i="7"/>
  <c r="I33" i="7"/>
  <c r="J33" i="7"/>
  <c r="I34" i="7"/>
  <c r="P34" i="7"/>
  <c r="J34" i="7"/>
  <c r="K34" i="7"/>
  <c r="I35" i="7"/>
  <c r="P35" i="7"/>
  <c r="J35" i="7"/>
  <c r="I36" i="7"/>
  <c r="P36" i="7"/>
  <c r="J36" i="7"/>
  <c r="I37" i="7"/>
  <c r="P37" i="7"/>
  <c r="J37" i="7"/>
  <c r="K37" i="7"/>
  <c r="I38" i="7"/>
  <c r="J38" i="7"/>
  <c r="I39" i="7"/>
  <c r="P39" i="7"/>
  <c r="J39" i="7"/>
  <c r="I40" i="7"/>
  <c r="J40" i="7"/>
  <c r="I41" i="7"/>
  <c r="J41" i="7"/>
  <c r="I42" i="7"/>
  <c r="Q42" i="7"/>
  <c r="J42" i="7"/>
  <c r="I43" i="7"/>
  <c r="Q43" i="7"/>
  <c r="J43" i="7"/>
  <c r="I44" i="7"/>
  <c r="J44" i="7"/>
  <c r="I45" i="7"/>
  <c r="J45" i="7"/>
  <c r="I46" i="7"/>
  <c r="J46" i="7"/>
  <c r="I47" i="7"/>
  <c r="J47" i="7"/>
  <c r="K47" i="7"/>
  <c r="AA47" i="7"/>
  <c r="AB47" i="7"/>
  <c r="I48" i="7"/>
  <c r="K48" i="7"/>
  <c r="J48" i="7"/>
  <c r="AA48" i="7"/>
  <c r="AB48" i="7"/>
  <c r="I49" i="7"/>
  <c r="J49" i="7"/>
  <c r="K49" i="7"/>
  <c r="AA49" i="7"/>
  <c r="AB49" i="7"/>
  <c r="I50" i="7"/>
  <c r="L50" i="7"/>
  <c r="J50" i="7"/>
  <c r="AA50" i="7"/>
  <c r="AB50" i="7"/>
  <c r="I51" i="7"/>
  <c r="J51" i="7"/>
  <c r="AA51" i="7"/>
  <c r="AB51" i="7"/>
  <c r="I52" i="7"/>
  <c r="L52" i="7"/>
  <c r="J52" i="7"/>
  <c r="AA52" i="7"/>
  <c r="AB52" i="7"/>
  <c r="AJ52" i="7"/>
  <c r="I53" i="7"/>
  <c r="L54" i="7"/>
  <c r="J53" i="7"/>
  <c r="R53" i="7"/>
  <c r="AA53" i="7"/>
  <c r="AB53" i="7"/>
  <c r="AL53" i="7"/>
  <c r="I54" i="7"/>
  <c r="J54" i="7"/>
  <c r="R54" i="7"/>
  <c r="AA54" i="7"/>
  <c r="AB54" i="7"/>
  <c r="AL54" i="7"/>
  <c r="I55" i="7"/>
  <c r="K55" i="7"/>
  <c r="J55" i="7"/>
  <c r="R55" i="7"/>
  <c r="AA55" i="7"/>
  <c r="AB55" i="7"/>
  <c r="AL55" i="7"/>
  <c r="AN55" i="7"/>
  <c r="AO56" i="7"/>
  <c r="I56" i="7"/>
  <c r="J56" i="7"/>
  <c r="AA56" i="7"/>
  <c r="AF56" i="7"/>
  <c r="AQ56" i="7"/>
  <c r="AP56" i="7"/>
  <c r="AQ57" i="7"/>
  <c r="AP57" i="7"/>
  <c r="AQ58" i="7"/>
  <c r="I57" i="7"/>
  <c r="J57" i="7"/>
  <c r="K57" i="7"/>
  <c r="Z57" i="7"/>
  <c r="I58" i="7"/>
  <c r="L58" i="7"/>
  <c r="J58" i="7"/>
  <c r="Z58" i="7"/>
  <c r="I59" i="7"/>
  <c r="J59" i="7"/>
  <c r="Z59" i="7"/>
  <c r="I60" i="7"/>
  <c r="K60" i="7"/>
  <c r="J60" i="7"/>
  <c r="O60" i="7"/>
  <c r="Z60" i="7"/>
  <c r="I61" i="7"/>
  <c r="L62" i="7"/>
  <c r="J61" i="7"/>
  <c r="Z61" i="7"/>
  <c r="J62" i="7"/>
  <c r="K62" i="7"/>
  <c r="Z62" i="7"/>
  <c r="I63" i="7"/>
  <c r="L63" i="7"/>
  <c r="J63" i="7"/>
  <c r="K63" i="7"/>
  <c r="Z63" i="7"/>
  <c r="I64" i="7"/>
  <c r="L64" i="7"/>
  <c r="J64" i="7"/>
  <c r="Z64" i="7"/>
  <c r="I65" i="7"/>
  <c r="J65" i="7"/>
  <c r="K65" i="7"/>
  <c r="Z65" i="7"/>
  <c r="I66" i="7"/>
  <c r="L66" i="7"/>
  <c r="J66" i="7"/>
  <c r="I67" i="7"/>
  <c r="L67" i="7"/>
  <c r="J67" i="7"/>
  <c r="I68" i="7"/>
  <c r="J68" i="7"/>
  <c r="I69" i="7"/>
  <c r="J69" i="7"/>
  <c r="I70" i="7"/>
  <c r="L70" i="7"/>
  <c r="J70" i="7"/>
  <c r="I71" i="7"/>
  <c r="J71" i="7"/>
  <c r="I72" i="7"/>
  <c r="J72" i="7"/>
  <c r="I73" i="7"/>
  <c r="L73" i="7"/>
  <c r="J73" i="7"/>
  <c r="I74" i="7"/>
  <c r="L74" i="7"/>
  <c r="J74" i="7"/>
  <c r="I75" i="7"/>
  <c r="L75" i="7"/>
  <c r="J75" i="7"/>
  <c r="J76" i="7"/>
  <c r="K76" i="7"/>
  <c r="J77" i="7"/>
  <c r="K77" i="7"/>
  <c r="J78" i="7"/>
  <c r="K78" i="7"/>
  <c r="J79" i="7"/>
  <c r="K79" i="7"/>
  <c r="J80" i="7"/>
  <c r="K80" i="7"/>
  <c r="J81" i="7"/>
  <c r="K81" i="7"/>
  <c r="J82" i="7"/>
  <c r="K82" i="7"/>
  <c r="J83" i="7"/>
  <c r="K83" i="7"/>
  <c r="J84" i="7"/>
  <c r="K84" i="7"/>
  <c r="J85" i="7"/>
  <c r="K85" i="7"/>
  <c r="J86" i="7"/>
  <c r="K86" i="7"/>
  <c r="J87" i="7"/>
  <c r="K87" i="7"/>
  <c r="J88" i="7"/>
  <c r="K88" i="7"/>
  <c r="J89" i="7"/>
  <c r="K89" i="7"/>
  <c r="J90" i="7"/>
  <c r="K90" i="7"/>
  <c r="J91" i="7"/>
  <c r="K91" i="7"/>
  <c r="J92" i="7"/>
  <c r="K92" i="7"/>
  <c r="J93" i="7"/>
  <c r="K93" i="7"/>
  <c r="J94" i="7"/>
  <c r="K94" i="7"/>
  <c r="J95" i="7"/>
  <c r="K95" i="7"/>
  <c r="J96" i="7"/>
  <c r="K96" i="7"/>
  <c r="K50" i="7"/>
  <c r="Q33" i="7"/>
  <c r="Q29" i="7"/>
  <c r="K100" i="7"/>
  <c r="K105" i="7"/>
  <c r="L100" i="7"/>
  <c r="M103" i="7"/>
  <c r="L105" i="7"/>
  <c r="B6" i="11"/>
  <c r="K110" i="7"/>
  <c r="L110" i="7"/>
  <c r="B11" i="11"/>
  <c r="L128" i="7"/>
  <c r="B29" i="11"/>
  <c r="L127" i="7"/>
  <c r="B28" i="11"/>
  <c r="O131" i="7"/>
  <c r="O134" i="7"/>
  <c r="L135" i="7"/>
  <c r="B36" i="11"/>
  <c r="L134" i="7"/>
  <c r="B35" i="11"/>
  <c r="O140" i="7"/>
  <c r="O139" i="7"/>
  <c r="L139" i="7"/>
  <c r="B40" i="11"/>
  <c r="K138" i="7"/>
  <c r="K142" i="7"/>
  <c r="O127" i="7"/>
  <c r="L97" i="7"/>
  <c r="L95" i="7"/>
  <c r="L93" i="7"/>
  <c r="L91" i="7"/>
  <c r="L89" i="7"/>
  <c r="L87" i="7"/>
  <c r="L85" i="7"/>
  <c r="L83" i="7"/>
  <c r="L81" i="7"/>
  <c r="K130" i="7"/>
  <c r="O132" i="7"/>
  <c r="O133" i="7"/>
  <c r="L132" i="7"/>
  <c r="B33" i="11"/>
  <c r="K131" i="7"/>
  <c r="O136" i="7"/>
  <c r="O135" i="7"/>
  <c r="K135" i="7"/>
  <c r="K137" i="7"/>
  <c r="O142" i="7"/>
  <c r="L141" i="7"/>
  <c r="B42" i="11"/>
  <c r="K140" i="7"/>
  <c r="K148" i="7"/>
  <c r="O147" i="7"/>
  <c r="O145" i="7"/>
  <c r="O144" i="7"/>
  <c r="L144" i="7"/>
  <c r="B45" i="11"/>
  <c r="K144" i="7"/>
  <c r="L146" i="7"/>
  <c r="B47" i="11"/>
  <c r="L145" i="7"/>
  <c r="B46" i="11"/>
  <c r="O150" i="7"/>
  <c r="O149" i="7"/>
  <c r="O151" i="7"/>
  <c r="L152" i="7"/>
  <c r="B53" i="11"/>
  <c r="K152" i="7"/>
  <c r="L153" i="7"/>
  <c r="B54" i="11"/>
  <c r="K153" i="7"/>
  <c r="O154" i="7"/>
  <c r="K154" i="7"/>
  <c r="K133" i="7"/>
  <c r="L143" i="7"/>
  <c r="B44" i="11"/>
  <c r="O152" i="7"/>
  <c r="O153" i="7"/>
  <c r="L154" i="7"/>
  <c r="B55" i="11"/>
  <c r="O155" i="7"/>
  <c r="L155" i="7"/>
  <c r="B56" i="11"/>
  <c r="O160" i="7"/>
  <c r="K159" i="7"/>
  <c r="K160" i="7"/>
  <c r="L160" i="7"/>
  <c r="B61" i="11"/>
  <c r="K161" i="7"/>
  <c r="L161" i="7"/>
  <c r="B62" i="11"/>
  <c r="K162" i="7"/>
  <c r="I138" i="2"/>
  <c r="Q37" i="7"/>
  <c r="L53" i="7"/>
  <c r="L71" i="7"/>
  <c r="K36" i="7"/>
  <c r="Q30" i="7"/>
  <c r="Q27" i="7"/>
  <c r="K101" i="7"/>
  <c r="K102" i="7"/>
  <c r="R101" i="7"/>
  <c r="L103" i="7"/>
  <c r="B4" i="11"/>
  <c r="K108" i="7"/>
  <c r="K111" i="7"/>
  <c r="L108" i="7"/>
  <c r="B9" i="11"/>
  <c r="K113" i="7"/>
  <c r="L113" i="7"/>
  <c r="B14" i="11"/>
  <c r="K119" i="7"/>
  <c r="O118" i="7"/>
  <c r="O121" i="7"/>
  <c r="O120" i="7"/>
  <c r="K120" i="7"/>
  <c r="L119" i="7"/>
  <c r="B20" i="11"/>
  <c r="L165" i="7"/>
  <c r="B66" i="11"/>
  <c r="K165" i="7"/>
  <c r="O143" i="7"/>
  <c r="I123" i="2"/>
  <c r="I123" i="5"/>
  <c r="L157" i="7"/>
  <c r="B58" i="11"/>
  <c r="L158" i="7"/>
  <c r="B59" i="11"/>
  <c r="K163" i="7"/>
  <c r="L163" i="7"/>
  <c r="B64" i="11"/>
  <c r="O164" i="7"/>
  <c r="K166" i="7"/>
  <c r="L166" i="7"/>
  <c r="B67" i="11"/>
  <c r="O162" i="7"/>
  <c r="O163" i="7"/>
  <c r="O166" i="7"/>
  <c r="L167" i="7"/>
  <c r="B68" i="11"/>
  <c r="L168" i="7"/>
  <c r="B69" i="11"/>
  <c r="O169" i="7"/>
  <c r="L171" i="7"/>
  <c r="B72" i="11"/>
  <c r="O171" i="7"/>
  <c r="L173" i="7"/>
  <c r="B74" i="11"/>
  <c r="O173" i="7"/>
  <c r="L175" i="7"/>
  <c r="B76" i="11"/>
  <c r="K169" i="7"/>
  <c r="K176" i="7"/>
  <c r="K177" i="7"/>
  <c r="L177" i="7"/>
  <c r="B78" i="11"/>
  <c r="I150" i="2"/>
  <c r="M104" i="7"/>
  <c r="L56" i="7"/>
  <c r="L116" i="7"/>
  <c r="B17" i="11"/>
  <c r="I93" i="4"/>
  <c r="L121" i="7"/>
  <c r="B22" i="11"/>
  <c r="I98" i="3"/>
  <c r="L122" i="7"/>
  <c r="O130" i="7"/>
  <c r="I105" i="4"/>
  <c r="I106" i="4"/>
  <c r="I114" i="1"/>
  <c r="K139" i="7"/>
  <c r="O137" i="7"/>
  <c r="L136" i="7"/>
  <c r="B37" i="11"/>
  <c r="L138" i="7"/>
  <c r="B39" i="11"/>
  <c r="O141" i="7"/>
  <c r="K145" i="7"/>
  <c r="L90" i="7"/>
  <c r="L86" i="7"/>
  <c r="L84" i="7"/>
  <c r="L79" i="7"/>
  <c r="O81" i="7"/>
  <c r="O157" i="7"/>
  <c r="K181" i="7"/>
  <c r="M138" i="7"/>
  <c r="O88" i="7"/>
  <c r="L76" i="7"/>
  <c r="O80" i="7"/>
  <c r="P80" i="7"/>
  <c r="K72" i="7"/>
  <c r="K68" i="7"/>
  <c r="K46" i="7"/>
  <c r="K40" i="7"/>
  <c r="Q34" i="7"/>
  <c r="P27" i="7"/>
  <c r="K15" i="7"/>
  <c r="K9" i="7"/>
  <c r="K8" i="7"/>
  <c r="I45" i="4"/>
  <c r="I30" i="4"/>
  <c r="I22" i="4"/>
  <c r="I18" i="4"/>
  <c r="I16" i="4"/>
  <c r="I15" i="4"/>
  <c r="I18" i="3"/>
  <c r="AE53" i="7"/>
  <c r="AE51" i="7"/>
  <c r="AE56" i="7"/>
  <c r="L117" i="7"/>
  <c r="B18" i="11"/>
  <c r="L156" i="7"/>
  <c r="B57" i="11"/>
  <c r="K157" i="7"/>
  <c r="O161" i="7"/>
  <c r="K172" i="7"/>
  <c r="B23" i="11"/>
  <c r="M122" i="7"/>
  <c r="P33" i="7"/>
  <c r="K127" i="7"/>
  <c r="L176" i="7"/>
  <c r="B77" i="11"/>
  <c r="O178" i="7"/>
  <c r="O183" i="7"/>
  <c r="M105" i="7"/>
  <c r="K29" i="7"/>
  <c r="K32" i="7"/>
  <c r="L60" i="7"/>
  <c r="Q40" i="7"/>
  <c r="M146" i="7"/>
  <c r="Q28" i="7"/>
  <c r="Q31" i="7"/>
  <c r="Q39" i="7"/>
  <c r="K52" i="7"/>
  <c r="O79" i="7"/>
  <c r="P79" i="7"/>
  <c r="K71" i="7"/>
  <c r="K69" i="7"/>
  <c r="K67" i="7"/>
  <c r="L65" i="7"/>
  <c r="K64" i="7"/>
  <c r="L57" i="7"/>
  <c r="K54" i="7"/>
  <c r="L51" i="7"/>
  <c r="L49" i="7"/>
  <c r="K44" i="7"/>
  <c r="K12" i="7"/>
  <c r="K11" i="7"/>
  <c r="I59" i="5"/>
  <c r="I37" i="5"/>
  <c r="I29" i="5"/>
  <c r="I25" i="5"/>
  <c r="I23" i="5"/>
  <c r="I22" i="5"/>
  <c r="I49" i="3"/>
  <c r="I45" i="3"/>
  <c r="AE55" i="7"/>
  <c r="AC45" i="7"/>
  <c r="I76" i="4"/>
  <c r="I85" i="2"/>
  <c r="I85" i="4"/>
  <c r="I92" i="4"/>
  <c r="I94" i="4"/>
  <c r="K124" i="7"/>
  <c r="K123" i="7"/>
  <c r="I98" i="2"/>
  <c r="L124" i="7"/>
  <c r="I100" i="2"/>
  <c r="I100" i="5"/>
  <c r="I101" i="2"/>
  <c r="I101" i="4"/>
  <c r="L130" i="7"/>
  <c r="B31" i="11"/>
  <c r="I112" i="4"/>
  <c r="K143" i="7"/>
  <c r="I122" i="1"/>
  <c r="L147" i="7"/>
  <c r="L94" i="7"/>
  <c r="L92" i="7"/>
  <c r="I127" i="2"/>
  <c r="I130" i="4"/>
  <c r="O156" i="7"/>
  <c r="I130" i="2"/>
  <c r="I130" i="3"/>
  <c r="O158" i="7"/>
  <c r="I133" i="5"/>
  <c r="I134" i="5"/>
  <c r="I135" i="1"/>
  <c r="I135" i="2"/>
  <c r="O167" i="7"/>
  <c r="O170" i="7"/>
  <c r="I144" i="3"/>
  <c r="O181" i="7"/>
  <c r="O78" i="7"/>
  <c r="P78" i="7"/>
  <c r="AI56" i="7"/>
  <c r="AN56" i="7"/>
  <c r="AE57" i="7"/>
  <c r="O77" i="7"/>
  <c r="P77" i="7"/>
  <c r="O126" i="7"/>
  <c r="M116" i="7"/>
  <c r="M141" i="7"/>
  <c r="M135" i="7"/>
  <c r="O96" i="7"/>
  <c r="P81" i="7"/>
  <c r="K75" i="7"/>
  <c r="K74" i="7"/>
  <c r="L72" i="7"/>
  <c r="K70" i="7"/>
  <c r="L68" i="7"/>
  <c r="K66" i="7"/>
  <c r="L61" i="7"/>
  <c r="K59" i="7"/>
  <c r="K58" i="7"/>
  <c r="K56" i="7"/>
  <c r="L55" i="7"/>
  <c r="K53" i="7"/>
  <c r="P52" i="7"/>
  <c r="K51" i="7"/>
  <c r="K45" i="7"/>
  <c r="Q41" i="7"/>
  <c r="K39" i="7"/>
  <c r="Q38" i="7"/>
  <c r="P38" i="7"/>
  <c r="K33" i="7"/>
  <c r="Q32" i="7"/>
  <c r="K31" i="7"/>
  <c r="K30" i="7"/>
  <c r="P29" i="7"/>
  <c r="K28" i="7"/>
  <c r="K27" i="7"/>
  <c r="Q25" i="7"/>
  <c r="K17" i="7"/>
  <c r="K13" i="7"/>
  <c r="K10" i="7"/>
  <c r="K6" i="7"/>
  <c r="I69" i="1"/>
  <c r="I41" i="1"/>
  <c r="I35" i="2"/>
  <c r="I33" i="2"/>
  <c r="I31" i="2"/>
  <c r="I29" i="2"/>
  <c r="I28" i="2"/>
  <c r="I27" i="2"/>
  <c r="I25" i="2"/>
  <c r="I23" i="2"/>
  <c r="I21" i="2"/>
  <c r="I20" i="2"/>
  <c r="I19" i="2"/>
  <c r="I17" i="2"/>
  <c r="I15" i="2"/>
  <c r="I13" i="2"/>
  <c r="I12" i="2"/>
  <c r="I11" i="2"/>
  <c r="I7" i="2"/>
  <c r="I5" i="2"/>
  <c r="I4" i="2"/>
  <c r="I50" i="4"/>
  <c r="I38" i="4"/>
  <c r="I34" i="4"/>
  <c r="I32" i="4"/>
  <c r="I31" i="4"/>
  <c r="I6" i="4"/>
  <c r="I67" i="5"/>
  <c r="I63" i="5"/>
  <c r="I61" i="5"/>
  <c r="I60" i="5"/>
  <c r="I5" i="5"/>
  <c r="I51" i="3"/>
  <c r="I37" i="3"/>
  <c r="AF45" i="7"/>
  <c r="K98" i="7"/>
  <c r="K103" i="7"/>
  <c r="L98" i="7"/>
  <c r="L107" i="7"/>
  <c r="L106" i="7"/>
  <c r="L118" i="7"/>
  <c r="K118" i="7"/>
  <c r="L123" i="7"/>
  <c r="K122" i="7"/>
  <c r="K141" i="7"/>
  <c r="K158" i="7"/>
  <c r="L159" i="7"/>
  <c r="B60" i="11"/>
  <c r="I134" i="1"/>
  <c r="I134" i="2"/>
  <c r="K164" i="7"/>
  <c r="K167" i="7"/>
  <c r="I140" i="2"/>
  <c r="O168" i="7"/>
  <c r="I142" i="1"/>
  <c r="I142" i="2"/>
  <c r="K171" i="7"/>
  <c r="I144" i="1"/>
  <c r="L174" i="7"/>
  <c r="B75" i="11"/>
  <c r="I146" i="1"/>
  <c r="K174" i="7"/>
  <c r="K175" i="7"/>
  <c r="O176" i="7"/>
  <c r="I149" i="5"/>
  <c r="O177" i="7"/>
  <c r="L178" i="7"/>
  <c r="B79" i="11"/>
  <c r="L179" i="7"/>
  <c r="B80" i="11"/>
  <c r="O182" i="7"/>
  <c r="K183" i="7"/>
  <c r="K184" i="7"/>
  <c r="I157" i="3"/>
  <c r="I10" i="3"/>
  <c r="I74" i="3"/>
  <c r="I82" i="4"/>
  <c r="I82" i="5"/>
  <c r="I84" i="4"/>
  <c r="I85" i="5"/>
  <c r="I89" i="4"/>
  <c r="I89" i="3"/>
  <c r="I90" i="2"/>
  <c r="I90" i="5"/>
  <c r="O124" i="7"/>
  <c r="I99" i="4"/>
  <c r="O129" i="7"/>
  <c r="K128" i="7"/>
  <c r="L131" i="7"/>
  <c r="K136" i="7"/>
  <c r="I109" i="4"/>
  <c r="I109" i="5"/>
  <c r="I110" i="2"/>
  <c r="I110" i="5"/>
  <c r="I111" i="2"/>
  <c r="I111" i="4"/>
  <c r="I113" i="4"/>
  <c r="I113" i="2"/>
  <c r="L142" i="7"/>
  <c r="I124" i="2"/>
  <c r="I124" i="4"/>
  <c r="K151" i="7"/>
  <c r="L96" i="7"/>
  <c r="O98" i="7"/>
  <c r="L88" i="7"/>
  <c r="I128" i="2"/>
  <c r="I129" i="5"/>
  <c r="O159" i="7"/>
  <c r="O165" i="7"/>
  <c r="O174" i="7"/>
  <c r="O175" i="7"/>
  <c r="AP58" i="7"/>
  <c r="AQ59" i="7"/>
  <c r="O76" i="7"/>
  <c r="P76" i="7"/>
  <c r="O74" i="7"/>
  <c r="O75" i="7"/>
  <c r="P75" i="7"/>
  <c r="I46" i="4"/>
  <c r="J46" i="4"/>
  <c r="B10" i="11"/>
  <c r="M121" i="7"/>
  <c r="M108" i="7"/>
  <c r="M144" i="7"/>
  <c r="O83" i="7"/>
  <c r="P83" i="7"/>
  <c r="O82" i="7"/>
  <c r="P82" i="7"/>
  <c r="O84" i="7"/>
  <c r="P84" i="7"/>
  <c r="O85" i="7"/>
  <c r="P85" i="7"/>
  <c r="O93" i="7"/>
  <c r="P93" i="7"/>
  <c r="O87" i="7"/>
  <c r="P87" i="7"/>
  <c r="O86" i="7"/>
  <c r="P86" i="7"/>
  <c r="O91" i="7"/>
  <c r="P91" i="7"/>
  <c r="O90" i="7"/>
  <c r="P90" i="7"/>
  <c r="O95" i="7"/>
  <c r="P95" i="7"/>
  <c r="O94" i="7"/>
  <c r="P94" i="7"/>
  <c r="L148" i="7"/>
  <c r="M143" i="7"/>
  <c r="AO57" i="7"/>
  <c r="M128" i="7"/>
  <c r="M145" i="7"/>
  <c r="M137" i="7"/>
  <c r="M133" i="7"/>
  <c r="M140" i="7"/>
  <c r="L150" i="7"/>
  <c r="L149" i="7"/>
  <c r="M136" i="7"/>
  <c r="M139" i="7"/>
  <c r="Q35" i="7"/>
  <c r="L48" i="7"/>
  <c r="L59" i="7"/>
  <c r="L69" i="7"/>
  <c r="K73" i="7"/>
  <c r="K61" i="7"/>
  <c r="O59" i="7"/>
  <c r="K43" i="7"/>
  <c r="K42" i="7"/>
  <c r="K41" i="7"/>
  <c r="K38" i="7"/>
  <c r="Q36" i="7"/>
  <c r="K35" i="7"/>
  <c r="K26" i="7"/>
  <c r="K25" i="7"/>
  <c r="I9" i="1"/>
  <c r="I59" i="2"/>
  <c r="I56" i="2"/>
  <c r="I55" i="2"/>
  <c r="I53" i="2"/>
  <c r="I52" i="2"/>
  <c r="I51" i="2"/>
  <c r="I49" i="2"/>
  <c r="I47" i="2"/>
  <c r="I45" i="2"/>
  <c r="I44" i="2"/>
  <c r="I43" i="2"/>
  <c r="I41" i="2"/>
  <c r="I39" i="2"/>
  <c r="I37" i="2"/>
  <c r="I36" i="2"/>
  <c r="I67" i="4"/>
  <c r="I65" i="4"/>
  <c r="I64" i="4"/>
  <c r="I51" i="4"/>
  <c r="J50" i="4"/>
  <c r="I49" i="4"/>
  <c r="I48" i="4"/>
  <c r="J48" i="4"/>
  <c r="J47" i="4"/>
  <c r="B5" i="11"/>
  <c r="M107" i="7"/>
  <c r="K109" i="7"/>
  <c r="L111" i="7"/>
  <c r="B15" i="11"/>
  <c r="M117" i="7"/>
  <c r="I47" i="4"/>
  <c r="I42" i="4"/>
  <c r="I40" i="4"/>
  <c r="I39" i="4"/>
  <c r="I26" i="4"/>
  <c r="I24" i="4"/>
  <c r="I23" i="4"/>
  <c r="I10" i="4"/>
  <c r="I8" i="4"/>
  <c r="I7" i="4"/>
  <c r="I45" i="5"/>
  <c r="I41" i="5"/>
  <c r="I39" i="5"/>
  <c r="I38" i="5"/>
  <c r="I13" i="5"/>
  <c r="I9" i="5"/>
  <c r="I7" i="5"/>
  <c r="I6" i="5"/>
  <c r="I38" i="3"/>
  <c r="I30" i="3"/>
  <c r="I71" i="2"/>
  <c r="I71" i="5"/>
  <c r="I74" i="4"/>
  <c r="I78" i="2"/>
  <c r="I78" i="5"/>
  <c r="K106" i="7"/>
  <c r="I79" i="2"/>
  <c r="I80" i="5"/>
  <c r="I83" i="2"/>
  <c r="I83" i="4"/>
  <c r="I83" i="5"/>
  <c r="I83" i="3"/>
  <c r="I84" i="3"/>
  <c r="I85" i="1"/>
  <c r="L112" i="7"/>
  <c r="I87" i="4"/>
  <c r="I87" i="5"/>
  <c r="I88" i="1"/>
  <c r="I88" i="4"/>
  <c r="I91" i="2"/>
  <c r="A116" i="7"/>
  <c r="I94" i="5"/>
  <c r="I95" i="3"/>
  <c r="I97" i="2"/>
  <c r="I97" i="3"/>
  <c r="K125" i="7"/>
  <c r="O125" i="7"/>
  <c r="K129" i="7"/>
  <c r="I102" i="4"/>
  <c r="I104" i="4"/>
  <c r="L129" i="7"/>
  <c r="M131" i="7"/>
  <c r="I108" i="4"/>
  <c r="I115" i="3"/>
  <c r="I118" i="1"/>
  <c r="I118" i="5"/>
  <c r="K146" i="7"/>
  <c r="I119" i="4"/>
  <c r="I119" i="3"/>
  <c r="I120" i="5"/>
  <c r="O148" i="7"/>
  <c r="I122" i="4"/>
  <c r="K150" i="7"/>
  <c r="I123" i="1"/>
  <c r="I123" i="3"/>
  <c r="I126" i="5"/>
  <c r="I127" i="4"/>
  <c r="I127" i="5"/>
  <c r="A20" i="11"/>
  <c r="A120" i="7"/>
  <c r="I131" i="1"/>
  <c r="I132" i="5"/>
  <c r="I133" i="1"/>
  <c r="I134" i="4"/>
  <c r="I136" i="4"/>
  <c r="I138" i="1"/>
  <c r="I138" i="5"/>
  <c r="K168" i="7"/>
  <c r="I141" i="4"/>
  <c r="I141" i="5"/>
  <c r="L170" i="7"/>
  <c r="B71" i="11"/>
  <c r="I144" i="4"/>
  <c r="I144" i="5"/>
  <c r="L172" i="7"/>
  <c r="B73" i="11"/>
  <c r="I145" i="4"/>
  <c r="I145" i="5"/>
  <c r="I146" i="4"/>
  <c r="I147" i="4"/>
  <c r="I148" i="1"/>
  <c r="I148" i="5"/>
  <c r="I150" i="1"/>
  <c r="K178" i="7"/>
  <c r="I151" i="4"/>
  <c r="K179" i="7"/>
  <c r="I152" i="3"/>
  <c r="K180" i="7"/>
  <c r="I153" i="2"/>
  <c r="I154" i="2"/>
  <c r="K182" i="7"/>
  <c r="L182" i="7"/>
  <c r="B83" i="11"/>
  <c r="I156" i="2"/>
  <c r="L184" i="7"/>
  <c r="B85" i="11"/>
  <c r="O180" i="7"/>
  <c r="O184" i="7"/>
  <c r="L185" i="7"/>
  <c r="B86" i="11"/>
  <c r="L180" i="7"/>
  <c r="B81" i="11"/>
  <c r="L181" i="7"/>
  <c r="B82" i="11"/>
  <c r="L183" i="7"/>
  <c r="B84" i="11"/>
  <c r="O179" i="7"/>
  <c r="I66" i="2"/>
  <c r="I58" i="2"/>
  <c r="I48" i="2"/>
  <c r="I40" i="2"/>
  <c r="I32" i="2"/>
  <c r="I24" i="2"/>
  <c r="I16" i="2"/>
  <c r="I9" i="2"/>
  <c r="I8" i="2"/>
  <c r="I73" i="2"/>
  <c r="I74" i="2"/>
  <c r="I92" i="2"/>
  <c r="I94" i="2"/>
  <c r="I96" i="2"/>
  <c r="I104" i="2"/>
  <c r="I105" i="2"/>
  <c r="I106" i="2"/>
  <c r="I108" i="2"/>
  <c r="I109" i="2"/>
  <c r="I115" i="2"/>
  <c r="I118" i="2"/>
  <c r="I119" i="2"/>
  <c r="I120" i="2"/>
  <c r="I121" i="2"/>
  <c r="I132" i="2"/>
  <c r="I137" i="2"/>
  <c r="I148" i="2"/>
  <c r="I75" i="2"/>
  <c r="I76" i="2"/>
  <c r="I81" i="2"/>
  <c r="I84" i="2"/>
  <c r="I88" i="2"/>
  <c r="I89" i="2"/>
  <c r="I92" i="3"/>
  <c r="I96" i="3"/>
  <c r="I40" i="3"/>
  <c r="I12" i="3"/>
  <c r="I8" i="3"/>
  <c r="I103" i="3"/>
  <c r="I153" i="3"/>
  <c r="I154" i="3"/>
  <c r="I69" i="5"/>
  <c r="I68" i="5"/>
  <c r="I55" i="5"/>
  <c r="I53" i="5"/>
  <c r="I52" i="5"/>
  <c r="I51" i="5"/>
  <c r="I50" i="5"/>
  <c r="I49" i="5"/>
  <c r="I48" i="5"/>
  <c r="I47" i="5"/>
  <c r="I46" i="5"/>
  <c r="I33" i="5"/>
  <c r="I31" i="5"/>
  <c r="I30" i="5"/>
  <c r="I17" i="5"/>
  <c r="I15" i="5"/>
  <c r="I14" i="5"/>
  <c r="I93" i="5"/>
  <c r="I95" i="5"/>
  <c r="I97" i="5"/>
  <c r="I103" i="5"/>
  <c r="I105" i="5"/>
  <c r="I107" i="5"/>
  <c r="I108" i="5"/>
  <c r="I113" i="5"/>
  <c r="I115" i="5"/>
  <c r="I119" i="5"/>
  <c r="I151" i="5"/>
  <c r="I152" i="5"/>
  <c r="I155" i="5"/>
  <c r="I157" i="5"/>
  <c r="I65" i="5"/>
  <c r="I64" i="5"/>
  <c r="I57" i="5"/>
  <c r="I56" i="5"/>
  <c r="I43" i="5"/>
  <c r="I42" i="5"/>
  <c r="I35" i="5"/>
  <c r="I34" i="5"/>
  <c r="I27" i="5"/>
  <c r="I26" i="5"/>
  <c r="I19" i="5"/>
  <c r="I18" i="5"/>
  <c r="I11" i="5"/>
  <c r="I10" i="5"/>
  <c r="I70" i="5"/>
  <c r="I72" i="5"/>
  <c r="I73" i="5"/>
  <c r="I76" i="5"/>
  <c r="I79" i="5"/>
  <c r="I81" i="5"/>
  <c r="I89" i="5"/>
  <c r="I91" i="5"/>
  <c r="I92" i="5"/>
  <c r="I98" i="5"/>
  <c r="I99" i="5"/>
  <c r="I102" i="5"/>
  <c r="I106" i="5"/>
  <c r="I112" i="5"/>
  <c r="I114" i="5"/>
  <c r="I116" i="5"/>
  <c r="I117" i="5"/>
  <c r="I122" i="5"/>
  <c r="I125" i="5"/>
  <c r="I131" i="5"/>
  <c r="I143" i="5"/>
  <c r="I66" i="5"/>
  <c r="I62" i="5"/>
  <c r="I58" i="5"/>
  <c r="I54" i="5"/>
  <c r="I44" i="5"/>
  <c r="I40" i="5"/>
  <c r="I36" i="5"/>
  <c r="I32" i="5"/>
  <c r="I28" i="5"/>
  <c r="I24" i="5"/>
  <c r="I20" i="5"/>
  <c r="I16" i="5"/>
  <c r="I12" i="5"/>
  <c r="I8" i="5"/>
  <c r="I4" i="5"/>
  <c r="I74" i="5"/>
  <c r="I77" i="5"/>
  <c r="I86" i="5"/>
  <c r="I88" i="5"/>
  <c r="I96" i="5"/>
  <c r="I101" i="5"/>
  <c r="I104" i="5"/>
  <c r="I111" i="5"/>
  <c r="I121" i="5"/>
  <c r="I124" i="5"/>
  <c r="I130" i="5"/>
  <c r="I137" i="5"/>
  <c r="I140" i="5"/>
  <c r="I142" i="5"/>
  <c r="I147" i="5"/>
  <c r="I150" i="5"/>
  <c r="I153" i="5"/>
  <c r="I154" i="5"/>
  <c r="I156" i="5"/>
  <c r="I69" i="4"/>
  <c r="I68" i="4"/>
  <c r="I61" i="4"/>
  <c r="I60" i="4"/>
  <c r="I53" i="4"/>
  <c r="I52" i="4"/>
  <c r="I44" i="4"/>
  <c r="I43" i="4"/>
  <c r="I36" i="4"/>
  <c r="I35" i="4"/>
  <c r="I28" i="4"/>
  <c r="I27" i="4"/>
  <c r="I20" i="4"/>
  <c r="I19" i="4"/>
  <c r="I12" i="4"/>
  <c r="I11" i="4"/>
  <c r="I4" i="4"/>
  <c r="I71" i="4"/>
  <c r="I72" i="4"/>
  <c r="I80" i="4"/>
  <c r="I81" i="4"/>
  <c r="I91" i="4"/>
  <c r="I98" i="4"/>
  <c r="I100" i="4"/>
  <c r="I115" i="4"/>
  <c r="I116" i="4"/>
  <c r="I118" i="4"/>
  <c r="I121" i="4"/>
  <c r="I132" i="4"/>
  <c r="I133" i="4"/>
  <c r="I137" i="4"/>
  <c r="I138" i="4"/>
  <c r="I140" i="4"/>
  <c r="I143" i="4"/>
  <c r="I149" i="4"/>
  <c r="I66" i="4"/>
  <c r="I62" i="4"/>
  <c r="I58" i="4"/>
  <c r="I54" i="4"/>
  <c r="J45" i="4"/>
  <c r="I41" i="4"/>
  <c r="I37" i="4"/>
  <c r="I33" i="4"/>
  <c r="I29" i="4"/>
  <c r="I25" i="4"/>
  <c r="I21" i="4"/>
  <c r="I17" i="4"/>
  <c r="I13" i="4"/>
  <c r="I9" i="4"/>
  <c r="I5" i="4"/>
  <c r="I70" i="4"/>
  <c r="I73" i="4"/>
  <c r="I79" i="4"/>
  <c r="I86" i="4"/>
  <c r="I90" i="4"/>
  <c r="I95" i="4"/>
  <c r="I97" i="4"/>
  <c r="I103" i="4"/>
  <c r="I107" i="4"/>
  <c r="I110" i="4"/>
  <c r="I114" i="4"/>
  <c r="I117" i="4"/>
  <c r="I120" i="4"/>
  <c r="I126" i="4"/>
  <c r="I128" i="4"/>
  <c r="I131" i="4"/>
  <c r="I135" i="4"/>
  <c r="I139" i="4"/>
  <c r="I142" i="4"/>
  <c r="I148" i="4"/>
  <c r="I150" i="4"/>
  <c r="I152" i="4"/>
  <c r="I155" i="4"/>
  <c r="I157" i="4"/>
  <c r="J44" i="4"/>
  <c r="I123" i="4"/>
  <c r="I153" i="4"/>
  <c r="I154" i="4"/>
  <c r="I156" i="4"/>
  <c r="I53" i="1"/>
  <c r="I50" i="1"/>
  <c r="I29" i="1"/>
  <c r="I26" i="1"/>
  <c r="I19" i="1"/>
  <c r="I13" i="1"/>
  <c r="I10" i="1"/>
  <c r="I75" i="1"/>
  <c r="I92" i="1"/>
  <c r="I93" i="1"/>
  <c r="I99" i="1"/>
  <c r="I100" i="1"/>
  <c r="I101" i="1"/>
  <c r="I102" i="1"/>
  <c r="I105" i="1"/>
  <c r="I109" i="1"/>
  <c r="I110" i="1"/>
  <c r="I111" i="1"/>
  <c r="I126" i="1"/>
  <c r="I143" i="1"/>
  <c r="I149" i="1"/>
  <c r="I61" i="1"/>
  <c r="I57" i="1"/>
  <c r="I43" i="1"/>
  <c r="I37" i="1"/>
  <c r="I34" i="1"/>
  <c r="I17" i="1"/>
  <c r="I5" i="1"/>
  <c r="I74" i="1"/>
  <c r="I77" i="1"/>
  <c r="I78" i="1"/>
  <c r="I81" i="1"/>
  <c r="I87" i="1"/>
  <c r="I113" i="1"/>
  <c r="I95" i="1"/>
  <c r="I96" i="1"/>
  <c r="I97" i="1"/>
  <c r="I98" i="1"/>
  <c r="I103" i="1"/>
  <c r="I104" i="1"/>
  <c r="I107" i="1"/>
  <c r="I108" i="1"/>
  <c r="I116" i="1"/>
  <c r="I121" i="1"/>
  <c r="I124" i="1"/>
  <c r="I128" i="1"/>
  <c r="I130" i="1"/>
  <c r="I136" i="1"/>
  <c r="I141" i="1"/>
  <c r="I147" i="1"/>
  <c r="I67" i="1"/>
  <c r="I64" i="1"/>
  <c r="I54" i="1"/>
  <c r="I46" i="1"/>
  <c r="I38" i="1"/>
  <c r="I30" i="1"/>
  <c r="I23" i="1"/>
  <c r="I22" i="1"/>
  <c r="I15" i="1"/>
  <c r="I14" i="1"/>
  <c r="I7" i="1"/>
  <c r="I6" i="1"/>
  <c r="I72" i="1"/>
  <c r="I73" i="1"/>
  <c r="I79" i="1"/>
  <c r="I82" i="1"/>
  <c r="I84" i="1"/>
  <c r="I54" i="2"/>
  <c r="I50" i="2"/>
  <c r="I46" i="2"/>
  <c r="I42" i="2"/>
  <c r="I38" i="2"/>
  <c r="I34" i="2"/>
  <c r="I30" i="2"/>
  <c r="I26" i="2"/>
  <c r="I22" i="2"/>
  <c r="I18" i="2"/>
  <c r="I14" i="2"/>
  <c r="I10" i="2"/>
  <c r="I6" i="2"/>
  <c r="I70" i="2"/>
  <c r="I72" i="2"/>
  <c r="I77" i="2"/>
  <c r="I80" i="2"/>
  <c r="I82" i="2"/>
  <c r="I87" i="2"/>
  <c r="I93" i="2"/>
  <c r="I95" i="2"/>
  <c r="I99" i="2"/>
  <c r="I103" i="2"/>
  <c r="I107" i="2"/>
  <c r="I112" i="2"/>
  <c r="I114" i="2"/>
  <c r="I117" i="2"/>
  <c r="I122" i="2"/>
  <c r="I131" i="2"/>
  <c r="I133" i="2"/>
  <c r="I136" i="2"/>
  <c r="I141" i="2"/>
  <c r="I147" i="2"/>
  <c r="I68" i="2"/>
  <c r="I64" i="2"/>
  <c r="I60" i="2"/>
  <c r="I152" i="2"/>
  <c r="I155" i="2"/>
  <c r="I157" i="2"/>
  <c r="I65" i="1"/>
  <c r="I58" i="1"/>
  <c r="I52" i="1"/>
  <c r="I44" i="1"/>
  <c r="I36" i="1"/>
  <c r="I32" i="1"/>
  <c r="I28" i="1"/>
  <c r="I24" i="1"/>
  <c r="I20" i="1"/>
  <c r="I16" i="1"/>
  <c r="I12" i="1"/>
  <c r="I8" i="1"/>
  <c r="I4" i="1"/>
  <c r="I71" i="1"/>
  <c r="I76" i="1"/>
  <c r="I80" i="1"/>
  <c r="I83" i="1"/>
  <c r="I86" i="1"/>
  <c r="I90" i="1"/>
  <c r="I91" i="1"/>
  <c r="I94" i="1"/>
  <c r="I106" i="1"/>
  <c r="I112" i="1"/>
  <c r="I115" i="1"/>
  <c r="I117" i="1"/>
  <c r="I120" i="1"/>
  <c r="I125" i="1"/>
  <c r="I127" i="1"/>
  <c r="I132" i="1"/>
  <c r="I137" i="1"/>
  <c r="I140" i="1"/>
  <c r="I145" i="1"/>
  <c r="I151" i="1"/>
  <c r="I153" i="1"/>
  <c r="I154" i="1"/>
  <c r="I156" i="1"/>
  <c r="I152" i="1"/>
  <c r="I155" i="1"/>
  <c r="I157" i="1"/>
  <c r="L151" i="7"/>
  <c r="B52" i="11"/>
  <c r="B48" i="11"/>
  <c r="M147" i="7"/>
  <c r="B25" i="11"/>
  <c r="M127" i="7"/>
  <c r="M112" i="7"/>
  <c r="B32" i="11"/>
  <c r="M134" i="7"/>
  <c r="B8" i="11"/>
  <c r="M110" i="7"/>
  <c r="O97" i="7"/>
  <c r="P97" i="7"/>
  <c r="O89" i="7"/>
  <c r="P89" i="7"/>
  <c r="P88" i="7"/>
  <c r="B43" i="11"/>
  <c r="M142" i="7"/>
  <c r="B24" i="11"/>
  <c r="M126" i="7"/>
  <c r="M123" i="7"/>
  <c r="M125" i="7"/>
  <c r="M124" i="7"/>
  <c r="B19" i="11"/>
  <c r="M120" i="7"/>
  <c r="M118" i="7"/>
  <c r="M119" i="7"/>
  <c r="B7" i="11"/>
  <c r="M109" i="7"/>
  <c r="M106" i="7"/>
  <c r="P98" i="7"/>
  <c r="P96" i="7"/>
  <c r="O92" i="7"/>
  <c r="P92" i="7"/>
  <c r="AP59" i="7"/>
  <c r="AQ60" i="7"/>
  <c r="B13" i="11"/>
  <c r="M115" i="7"/>
  <c r="B51" i="11"/>
  <c r="M153" i="7"/>
  <c r="M111" i="7"/>
  <c r="A21" i="11"/>
  <c r="A121" i="7"/>
  <c r="B30" i="11"/>
  <c r="M132" i="7"/>
  <c r="M130" i="7"/>
  <c r="M129" i="7"/>
  <c r="A17" i="11"/>
  <c r="A115" i="7"/>
  <c r="B12" i="11"/>
  <c r="M113" i="7"/>
  <c r="M114" i="7"/>
  <c r="B50" i="11"/>
  <c r="M152" i="7"/>
  <c r="AN57" i="7"/>
  <c r="AE58" i="7"/>
  <c r="AI57" i="7"/>
  <c r="AO58" i="7"/>
  <c r="B49" i="11"/>
  <c r="M151" i="7"/>
  <c r="M150" i="7"/>
  <c r="M149" i="7"/>
  <c r="M148" i="7"/>
  <c r="AP60" i="7"/>
  <c r="AQ61" i="7"/>
  <c r="A16" i="11"/>
  <c r="A114" i="7"/>
  <c r="A22" i="11"/>
  <c r="A122" i="7"/>
  <c r="AN58" i="7"/>
  <c r="AE59" i="7"/>
  <c r="AI58" i="7"/>
  <c r="AO59" i="7"/>
  <c r="A4" i="3"/>
  <c r="A4" i="4"/>
  <c r="B4" i="5"/>
  <c r="A4" i="2"/>
  <c r="AP61" i="7"/>
  <c r="AQ62" i="7"/>
  <c r="AN59" i="7"/>
  <c r="AE60" i="7"/>
  <c r="AI59" i="7"/>
  <c r="AO60" i="7"/>
  <c r="A23" i="11"/>
  <c r="A123" i="7"/>
  <c r="A15" i="11"/>
  <c r="A113" i="7"/>
  <c r="A5" i="3"/>
  <c r="A5" i="4"/>
  <c r="B5" i="5"/>
  <c r="A5" i="2"/>
  <c r="A14" i="11"/>
  <c r="A112" i="7"/>
  <c r="A24" i="11"/>
  <c r="A124" i="7"/>
  <c r="AN60" i="7"/>
  <c r="AE61" i="7"/>
  <c r="AI60" i="7"/>
  <c r="AO61" i="7"/>
  <c r="AP62" i="7"/>
  <c r="AQ63" i="7"/>
  <c r="A6" i="3"/>
  <c r="A6" i="4"/>
  <c r="B6" i="5"/>
  <c r="A6" i="2"/>
  <c r="AP63" i="7"/>
  <c r="AQ64" i="7"/>
  <c r="AN61" i="7"/>
  <c r="AE62" i="7"/>
  <c r="AI61" i="7"/>
  <c r="AO62" i="7"/>
  <c r="A25" i="11"/>
  <c r="A125" i="7"/>
  <c r="A13" i="11"/>
  <c r="A111" i="7"/>
  <c r="A7" i="3"/>
  <c r="A7" i="4"/>
  <c r="B7" i="5"/>
  <c r="A7" i="2"/>
  <c r="AP64" i="7"/>
  <c r="AQ65" i="7"/>
  <c r="A12" i="11"/>
  <c r="A110" i="7"/>
  <c r="A26" i="11"/>
  <c r="A126" i="7"/>
  <c r="AN62" i="7"/>
  <c r="AE63" i="7"/>
  <c r="AI62" i="7"/>
  <c r="A8" i="3"/>
  <c r="A8" i="4"/>
  <c r="B8" i="5"/>
  <c r="A8" i="2"/>
  <c r="A27" i="11"/>
  <c r="A127" i="7"/>
  <c r="A11" i="11"/>
  <c r="A109" i="7"/>
  <c r="AP65" i="7"/>
  <c r="AQ66" i="7"/>
  <c r="AO63" i="7"/>
  <c r="A9" i="3"/>
  <c r="A9" i="4"/>
  <c r="B9" i="5"/>
  <c r="A9" i="2"/>
  <c r="AP66" i="7"/>
  <c r="AQ67" i="7"/>
  <c r="AN63" i="7"/>
  <c r="AE64" i="7"/>
  <c r="AI63" i="7"/>
  <c r="AO64" i="7"/>
  <c r="A10" i="11"/>
  <c r="A108" i="7"/>
  <c r="A28" i="11"/>
  <c r="A128" i="7"/>
  <c r="A10" i="3"/>
  <c r="A10" i="4"/>
  <c r="B10" i="5"/>
  <c r="A10" i="2"/>
  <c r="A29" i="11"/>
  <c r="A129" i="7"/>
  <c r="A9" i="11"/>
  <c r="A107" i="7"/>
  <c r="AN64" i="7"/>
  <c r="AE65" i="7"/>
  <c r="AI64" i="7"/>
  <c r="AO65" i="7"/>
  <c r="AP67" i="7"/>
  <c r="AQ68" i="7"/>
  <c r="A11" i="3"/>
  <c r="A11" i="4"/>
  <c r="B11" i="5"/>
  <c r="A11" i="2"/>
  <c r="AP68" i="7"/>
  <c r="AQ69" i="7"/>
  <c r="AN65" i="7"/>
  <c r="AE66" i="7"/>
  <c r="AI65" i="7"/>
  <c r="AO66" i="7"/>
  <c r="A8" i="11"/>
  <c r="A106" i="7"/>
  <c r="A30" i="11"/>
  <c r="A130" i="7"/>
  <c r="A12" i="3"/>
  <c r="A12" i="4"/>
  <c r="B12" i="5"/>
  <c r="A12" i="2"/>
  <c r="AP69" i="7"/>
  <c r="AQ70" i="7"/>
  <c r="A31" i="11"/>
  <c r="A131" i="7"/>
  <c r="A7" i="11"/>
  <c r="A105" i="7"/>
  <c r="AN66" i="7"/>
  <c r="AE67" i="7"/>
  <c r="AI66" i="7"/>
  <c r="AO67" i="7"/>
  <c r="A13" i="3"/>
  <c r="A13" i="4"/>
  <c r="B13" i="5"/>
  <c r="A13" i="2"/>
  <c r="AP70" i="7"/>
  <c r="AQ71" i="7"/>
  <c r="AN67" i="7"/>
  <c r="AE68" i="7"/>
  <c r="AI67" i="7"/>
  <c r="AO68" i="7"/>
  <c r="A6" i="11"/>
  <c r="A104" i="7"/>
  <c r="A32" i="11"/>
  <c r="A132" i="7"/>
  <c r="A14" i="3"/>
  <c r="A14" i="4"/>
  <c r="B14" i="5"/>
  <c r="A14" i="2"/>
  <c r="AP71" i="7"/>
  <c r="AQ72" i="7"/>
  <c r="A33" i="11"/>
  <c r="A133" i="7"/>
  <c r="A5" i="11"/>
  <c r="A103" i="7"/>
  <c r="AN68" i="7"/>
  <c r="AE69" i="7"/>
  <c r="AI68" i="7"/>
  <c r="AO69" i="7"/>
  <c r="A15" i="3"/>
  <c r="A15" i="4"/>
  <c r="B15" i="5"/>
  <c r="A15" i="2"/>
  <c r="AP72" i="7"/>
  <c r="AQ73" i="7"/>
  <c r="AN69" i="7"/>
  <c r="AE70" i="7"/>
  <c r="AI69" i="7"/>
  <c r="AO70" i="7"/>
  <c r="A4" i="11"/>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34" i="11"/>
  <c r="A134" i="7"/>
  <c r="A16" i="3"/>
  <c r="A16" i="4"/>
  <c r="B16" i="5"/>
  <c r="A16" i="2"/>
  <c r="AP73" i="7"/>
  <c r="AQ74" i="7"/>
  <c r="AN70" i="7"/>
  <c r="AE71" i="7"/>
  <c r="AI70" i="7"/>
  <c r="AO71" i="7"/>
  <c r="A35" i="11"/>
  <c r="A135" i="7"/>
  <c r="A17" i="3"/>
  <c r="A17" i="4"/>
  <c r="B17" i="5"/>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 i="11"/>
  <c r="A136" i="7"/>
  <c r="AN71" i="7"/>
  <c r="AE72" i="7"/>
  <c r="AI71" i="7"/>
  <c r="AO72" i="7"/>
  <c r="AP74" i="7"/>
  <c r="AQ75" i="7"/>
  <c r="A18" i="4"/>
  <c r="B18" i="5"/>
  <c r="A18" i="3"/>
  <c r="AP75" i="7"/>
  <c r="AQ76" i="7"/>
  <c r="AI72" i="7"/>
  <c r="AN72" i="7"/>
  <c r="AE73" i="7"/>
  <c r="A37" i="11"/>
  <c r="A137" i="7"/>
  <c r="A19" i="3"/>
  <c r="A19" i="4"/>
  <c r="B19" i="5"/>
  <c r="AP76" i="7"/>
  <c r="AQ77" i="7"/>
  <c r="A38" i="11"/>
  <c r="A138" i="7"/>
  <c r="AO73" i="7"/>
  <c r="A20" i="3"/>
  <c r="A20" i="4"/>
  <c r="B20" i="5"/>
  <c r="AP77" i="7"/>
  <c r="AQ78" i="7"/>
  <c r="A39" i="11"/>
  <c r="A139" i="7"/>
  <c r="AN73" i="7"/>
  <c r="AE74" i="7"/>
  <c r="AI73" i="7"/>
  <c r="AO74" i="7"/>
  <c r="A21" i="4"/>
  <c r="B21" i="5"/>
  <c r="AP78" i="7"/>
  <c r="AQ79" i="7"/>
  <c r="AI74" i="7"/>
  <c r="AN74" i="7"/>
  <c r="AE75" i="7"/>
  <c r="A40" i="11"/>
  <c r="A140" i="7"/>
  <c r="A22" i="4"/>
  <c r="B22" i="5"/>
  <c r="AO75" i="7"/>
  <c r="AP79" i="7"/>
  <c r="AQ80" i="7"/>
  <c r="A41" i="11"/>
  <c r="A141" i="7"/>
  <c r="AN75" i="7"/>
  <c r="AE76" i="7"/>
  <c r="AI75" i="7"/>
  <c r="AO76" i="7"/>
  <c r="A23" i="4"/>
  <c r="B23" i="5"/>
  <c r="AP80" i="7"/>
  <c r="AQ81" i="7"/>
  <c r="AI76" i="7"/>
  <c r="AN76" i="7"/>
  <c r="AE77" i="7"/>
  <c r="A42" i="11"/>
  <c r="A142" i="7"/>
  <c r="A24" i="4"/>
  <c r="B24" i="5"/>
  <c r="A43" i="11"/>
  <c r="A143" i="7"/>
  <c r="AO77" i="7"/>
  <c r="AP81" i="7"/>
  <c r="AQ82" i="7"/>
  <c r="A25" i="4"/>
  <c r="B25" i="5"/>
  <c r="AP82" i="7"/>
  <c r="AQ83" i="7"/>
  <c r="AI77" i="7"/>
  <c r="AN77" i="7"/>
  <c r="AE78" i="7"/>
  <c r="A44" i="11"/>
  <c r="A144" i="7"/>
  <c r="A26" i="4"/>
  <c r="B26" i="5"/>
  <c r="AO78" i="7"/>
  <c r="AP83" i="7"/>
  <c r="AQ84" i="7"/>
  <c r="A45" i="11"/>
  <c r="A145" i="7"/>
  <c r="AN78" i="7"/>
  <c r="AE79" i="7"/>
  <c r="AI78" i="7"/>
  <c r="AO79" i="7"/>
  <c r="A27" i="4"/>
  <c r="B27" i="5"/>
  <c r="AP84" i="7"/>
  <c r="AQ85" i="7"/>
  <c r="AN79" i="7"/>
  <c r="AE80" i="7"/>
  <c r="AI79" i="7"/>
  <c r="AO80" i="7"/>
  <c r="A46" i="11"/>
  <c r="A146" i="7"/>
  <c r="B28" i="5"/>
  <c r="AP85" i="7"/>
  <c r="AQ86" i="7"/>
  <c r="A47" i="11"/>
  <c r="A147" i="7"/>
  <c r="AI80" i="7"/>
  <c r="AN80" i="7"/>
  <c r="AE81" i="7"/>
  <c r="A29" i="4"/>
  <c r="B29" i="5"/>
  <c r="AP86" i="7"/>
  <c r="AQ87" i="7"/>
  <c r="AO81" i="7"/>
  <c r="A48" i="11"/>
  <c r="A148" i="7"/>
  <c r="A30" i="4"/>
  <c r="B30" i="5"/>
  <c r="AP87" i="7"/>
  <c r="AQ88" i="7"/>
  <c r="A49" i="11"/>
  <c r="A149" i="7"/>
  <c r="AI81" i="7"/>
  <c r="AN81" i="7"/>
  <c r="AE82" i="7"/>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31" i="4"/>
  <c r="AO82" i="7"/>
  <c r="AP88" i="7"/>
  <c r="AQ89" i="7"/>
  <c r="A50" i="11"/>
  <c r="A150" i="7"/>
  <c r="AN82" i="7"/>
  <c r="AE83" i="7"/>
  <c r="AI82" i="7"/>
  <c r="AO83" i="7"/>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51" i="11"/>
  <c r="A151" i="7"/>
  <c r="AN83" i="7"/>
  <c r="AE84" i="7"/>
  <c r="AI83" i="7"/>
  <c r="AP89" i="7"/>
  <c r="AQ90" i="7"/>
  <c r="AO84" i="7"/>
  <c r="AP90" i="7"/>
  <c r="AQ91" i="7"/>
  <c r="AI84" i="7"/>
  <c r="AN84" i="7"/>
  <c r="AE85" i="7"/>
  <c r="A52" i="11"/>
  <c r="A152" i="7"/>
  <c r="AO85" i="7"/>
  <c r="AP91" i="7"/>
  <c r="AQ92" i="7"/>
  <c r="A53" i="11"/>
  <c r="A153" i="7"/>
  <c r="AI85" i="7"/>
  <c r="AN85" i="7"/>
  <c r="AE86" i="7"/>
  <c r="AP92" i="7"/>
  <c r="AQ93" i="7"/>
  <c r="AO86" i="7"/>
  <c r="A54" i="11"/>
  <c r="A154" i="7"/>
  <c r="AP93" i="7"/>
  <c r="AQ94" i="7"/>
  <c r="A55" i="11"/>
  <c r="A155" i="7"/>
  <c r="AN86" i="7"/>
  <c r="AE87" i="7"/>
  <c r="AI86" i="7"/>
  <c r="AO87" i="7"/>
  <c r="AP94" i="7"/>
  <c r="AQ95" i="7"/>
  <c r="AN87" i="7"/>
  <c r="AE88" i="7"/>
  <c r="AI87" i="7"/>
  <c r="AO88" i="7"/>
  <c r="A56" i="11"/>
  <c r="A156" i="7"/>
  <c r="A57" i="11"/>
  <c r="A157" i="7"/>
  <c r="AN88" i="7"/>
  <c r="AE89" i="7"/>
  <c r="AI88" i="7"/>
  <c r="AP95" i="7"/>
  <c r="AQ96" i="7"/>
  <c r="AO89" i="7"/>
  <c r="AP96" i="7"/>
  <c r="AQ97" i="7"/>
  <c r="AN89" i="7"/>
  <c r="AE90" i="7"/>
  <c r="AI89" i="7"/>
  <c r="AO90" i="7"/>
  <c r="A58" i="11"/>
  <c r="A158" i="7"/>
  <c r="AP97" i="7"/>
  <c r="AQ98" i="7"/>
  <c r="AP98" i="7"/>
  <c r="A59" i="11"/>
  <c r="A159" i="7"/>
  <c r="AI90" i="7"/>
  <c r="AN90" i="7"/>
  <c r="AE91" i="7"/>
  <c r="AO91" i="7"/>
  <c r="A60" i="11"/>
  <c r="A160" i="7"/>
  <c r="A61" i="11"/>
  <c r="A161" i="7"/>
  <c r="AI91" i="7"/>
  <c r="AN91" i="7"/>
  <c r="AE92" i="7"/>
  <c r="AO92" i="7"/>
  <c r="A62" i="11"/>
  <c r="A162" i="7"/>
  <c r="A63" i="11"/>
  <c r="A163" i="7"/>
  <c r="AN92" i="7"/>
  <c r="AE93" i="7"/>
  <c r="AI92" i="7"/>
  <c r="AO93" i="7"/>
  <c r="AN93" i="7"/>
  <c r="AE94" i="7"/>
  <c r="AI93" i="7"/>
  <c r="A64" i="11"/>
  <c r="A164" i="7"/>
  <c r="A65" i="11"/>
  <c r="A165" i="7"/>
  <c r="AO94" i="7"/>
  <c r="AN94" i="7"/>
  <c r="AE95" i="7"/>
  <c r="AI94" i="7"/>
  <c r="A66" i="11"/>
  <c r="A166" i="7"/>
  <c r="AO95" i="7"/>
  <c r="A67" i="11"/>
  <c r="A167" i="7"/>
  <c r="AN95" i="7"/>
  <c r="AE96" i="7"/>
  <c r="AI95" i="7"/>
  <c r="AO96" i="7"/>
  <c r="A68" i="11"/>
  <c r="A168" i="7"/>
  <c r="A69" i="11"/>
  <c r="A169" i="7"/>
  <c r="AN96" i="7"/>
  <c r="AE97" i="7"/>
  <c r="AI96" i="7"/>
  <c r="AO97" i="7"/>
  <c r="AI97" i="7"/>
  <c r="A70" i="11"/>
  <c r="A170" i="7"/>
  <c r="AN97" i="7"/>
  <c r="AE98" i="7"/>
  <c r="A71" i="11"/>
  <c r="A171" i="7"/>
  <c r="AO98" i="7"/>
  <c r="AI98" i="7"/>
  <c r="A72" i="11"/>
  <c r="A172" i="7"/>
  <c r="A73" i="11"/>
  <c r="A173" i="7"/>
  <c r="A74" i="11"/>
  <c r="A174" i="7"/>
  <c r="A75" i="11"/>
  <c r="A175" i="7"/>
  <c r="A76" i="11"/>
  <c r="A176" i="7"/>
  <c r="A77" i="11"/>
  <c r="A177" i="7"/>
  <c r="A78" i="11"/>
  <c r="A178" i="7"/>
  <c r="A79" i="11"/>
  <c r="A179" i="7"/>
  <c r="A80" i="11"/>
  <c r="A180" i="7"/>
  <c r="A81" i="11"/>
  <c r="A181" i="7"/>
  <c r="A82" i="11"/>
  <c r="A182" i="7"/>
  <c r="A83" i="11"/>
  <c r="A183" i="7"/>
  <c r="A84" i="11"/>
  <c r="A184" i="7"/>
  <c r="A85" i="11"/>
  <c r="A185" i="7"/>
  <c r="A86" i="11"/>
  <c r="A186" i="7"/>
  <c r="A87" i="11"/>
  <c r="A187" i="7"/>
  <c r="A88" i="11"/>
  <c r="A188" i="7"/>
  <c r="A89" i="11"/>
  <c r="A189" i="7"/>
  <c r="A90" i="11"/>
  <c r="A190" i="7"/>
  <c r="A91" i="11"/>
  <c r="A191" i="7"/>
  <c r="A92" i="11"/>
  <c r="A192" i="7"/>
  <c r="A93" i="11"/>
  <c r="A193" i="7"/>
  <c r="A94" i="11"/>
  <c r="A194" i="7"/>
  <c r="A95" i="11"/>
  <c r="A195" i="7"/>
  <c r="A96" i="11"/>
  <c r="A196" i="7"/>
  <c r="A97" i="11"/>
  <c r="A197" i="7"/>
  <c r="A98" i="11"/>
  <c r="A198" i="7"/>
  <c r="A99" i="11"/>
  <c r="A199" i="7"/>
  <c r="A100" i="11"/>
  <c r="A200" i="7"/>
  <c r="A101" i="11"/>
  <c r="A201" i="7"/>
  <c r="A102" i="11"/>
  <c r="A202" i="7"/>
  <c r="A103" i="11"/>
  <c r="A203" i="7"/>
  <c r="A104" i="11"/>
  <c r="A204" i="7"/>
  <c r="A105" i="11"/>
  <c r="A205" i="7"/>
  <c r="A106" i="11"/>
  <c r="A206" i="7"/>
  <c r="A107" i="11"/>
  <c r="A207" i="7"/>
  <c r="A108" i="11"/>
  <c r="A208" i="7"/>
  <c r="A109" i="11"/>
  <c r="A209" i="7"/>
  <c r="A110" i="11"/>
  <c r="A210" i="7"/>
  <c r="A111" i="11"/>
  <c r="A211" i="7"/>
  <c r="A112" i="11"/>
  <c r="A212" i="7"/>
  <c r="A113" i="11"/>
  <c r="A213" i="7"/>
  <c r="A114" i="11"/>
  <c r="A214" i="7"/>
  <c r="A115" i="11"/>
  <c r="A215" i="7"/>
  <c r="A116" i="11"/>
  <c r="A216" i="7"/>
  <c r="A117" i="11"/>
  <c r="A217" i="7"/>
  <c r="A218" i="7"/>
  <c r="A219" i="7"/>
  <c r="A220" i="7"/>
  <c r="A221" i="7"/>
  <c r="A222" i="7"/>
  <c r="A223" i="7"/>
  <c r="A224" i="7"/>
  <c r="A225" i="7"/>
  <c r="A226" i="7"/>
  <c r="A227" i="7"/>
  <c r="A228" i="7"/>
  <c r="A229" i="7"/>
  <c r="A230" i="7"/>
  <c r="A231" i="7"/>
  <c r="A232" i="7"/>
  <c r="A233" i="7"/>
  <c r="A234" i="7"/>
  <c r="A235" i="7"/>
  <c r="A236" i="7"/>
  <c r="A237" i="7"/>
  <c r="A238" i="7"/>
  <c r="A239" i="7"/>
  <c r="A240" i="7"/>
  <c r="A241" i="7"/>
  <c r="A242" i="7"/>
  <c r="A243" i="7"/>
  <c r="A244" i="7"/>
  <c r="A245" i="7"/>
  <c r="A246" i="7"/>
  <c r="A247" i="7"/>
  <c r="A248" i="7"/>
  <c r="A249" i="7"/>
  <c r="A250" i="7"/>
  <c r="A251" i="7"/>
  <c r="A252" i="7"/>
  <c r="A253" i="7"/>
  <c r="A254" i="7"/>
  <c r="A255" i="7"/>
  <c r="A256" i="7"/>
  <c r="A257" i="7"/>
  <c r="A258" i="7"/>
  <c r="A259" i="7"/>
  <c r="A260" i="7"/>
  <c r="A261" i="7"/>
  <c r="A262" i="7"/>
  <c r="A263" i="7"/>
  <c r="A264" i="7"/>
  <c r="A265" i="7"/>
  <c r="A266" i="7"/>
  <c r="A267" i="7"/>
  <c r="A268" i="7"/>
  <c r="A269" i="7"/>
  <c r="A270" i="7"/>
  <c r="A271" i="7"/>
  <c r="A272" i="7"/>
  <c r="A273" i="7"/>
  <c r="A274" i="7"/>
  <c r="A275" i="7"/>
  <c r="A276" i="7"/>
  <c r="A277" i="7"/>
  <c r="A278" i="7"/>
  <c r="A279" i="7"/>
  <c r="A280" i="7"/>
  <c r="A281" i="7"/>
  <c r="A282" i="7"/>
  <c r="A283" i="7"/>
  <c r="A284" i="7"/>
  <c r="A285" i="7"/>
  <c r="A286" i="7"/>
  <c r="A287" i="7"/>
  <c r="A288" i="7"/>
  <c r="A289" i="7"/>
  <c r="A290" i="7"/>
  <c r="A291" i="7"/>
  <c r="A292" i="7"/>
  <c r="A293" i="7"/>
  <c r="A294" i="7"/>
  <c r="A295" i="7"/>
  <c r="A296" i="7"/>
  <c r="A297" i="7"/>
  <c r="A298" i="7"/>
  <c r="A299" i="7"/>
  <c r="A300" i="7"/>
  <c r="A301" i="7"/>
  <c r="A302" i="7"/>
  <c r="A303" i="7"/>
  <c r="A304" i="7"/>
  <c r="A305" i="7"/>
  <c r="A306" i="7"/>
  <c r="A307" i="7"/>
  <c r="A308" i="7"/>
  <c r="A309" i="7"/>
  <c r="A310" i="7"/>
  <c r="A311" i="7"/>
  <c r="A312" i="7"/>
  <c r="A313" i="7"/>
  <c r="A314" i="7"/>
  <c r="A315" i="7"/>
  <c r="A316" i="7"/>
  <c r="A317" i="7"/>
  <c r="A318" i="7"/>
  <c r="A319" i="7"/>
  <c r="A320" i="7"/>
  <c r="A321" i="7"/>
  <c r="A322" i="7"/>
  <c r="A323" i="7"/>
  <c r="A324" i="7"/>
  <c r="A325" i="7"/>
  <c r="A326" i="7"/>
  <c r="A327" i="7"/>
  <c r="A328" i="7"/>
  <c r="A329" i="7"/>
  <c r="A330" i="7"/>
  <c r="A331" i="7"/>
  <c r="A332" i="7"/>
  <c r="A333" i="7"/>
  <c r="A334" i="7"/>
  <c r="A335" i="7"/>
  <c r="A336" i="7"/>
  <c r="A337" i="7"/>
  <c r="A338" i="7"/>
  <c r="A339" i="7"/>
  <c r="A340" i="7"/>
  <c r="A341" i="7"/>
  <c r="A342" i="7"/>
  <c r="A343" i="7"/>
  <c r="A344" i="7"/>
  <c r="A345" i="7"/>
  <c r="A346" i="7"/>
  <c r="A347" i="7"/>
  <c r="A348" i="7"/>
  <c r="A349" i="7"/>
  <c r="A350" i="7"/>
  <c r="A351" i="7"/>
  <c r="A352" i="7"/>
  <c r="A353" i="7"/>
  <c r="A354" i="7"/>
  <c r="A355" i="7"/>
  <c r="A356" i="7"/>
  <c r="A357" i="7"/>
  <c r="A358" i="7"/>
  <c r="A359" i="7"/>
  <c r="A360" i="7"/>
  <c r="A361" i="7"/>
  <c r="A362" i="7"/>
  <c r="A363" i="7"/>
  <c r="A364" i="7"/>
  <c r="A365" i="7"/>
  <c r="A366" i="7"/>
  <c r="A367" i="7"/>
  <c r="A368" i="7"/>
  <c r="A369" i="7"/>
  <c r="A370" i="7"/>
  <c r="A371" i="7"/>
  <c r="A372" i="7"/>
  <c r="A373" i="7"/>
  <c r="A374" i="7"/>
  <c r="A375" i="7"/>
  <c r="A376" i="7"/>
  <c r="A377" i="7"/>
  <c r="A378" i="7"/>
  <c r="A379" i="7"/>
  <c r="A380" i="7"/>
  <c r="A381" i="7"/>
  <c r="A382" i="7"/>
  <c r="A383" i="7"/>
  <c r="A384" i="7"/>
  <c r="A385" i="7"/>
  <c r="A386" i="7"/>
  <c r="A387" i="7"/>
  <c r="A388" i="7"/>
  <c r="A389" i="7"/>
  <c r="A390" i="7"/>
  <c r="A391" i="7"/>
  <c r="A392" i="7"/>
  <c r="A393" i="7"/>
  <c r="A394" i="7"/>
  <c r="A395" i="7"/>
  <c r="A396" i="7"/>
  <c r="A397" i="7"/>
  <c r="A398" i="7"/>
  <c r="A399" i="7"/>
  <c r="A400" i="7"/>
  <c r="A401" i="7"/>
  <c r="A402" i="7"/>
  <c r="A403" i="7"/>
  <c r="A404" i="7"/>
  <c r="A405" i="7"/>
  <c r="A406" i="7"/>
  <c r="A407" i="7"/>
  <c r="A408" i="7"/>
  <c r="A409" i="7"/>
  <c r="A410" i="7"/>
  <c r="A411" i="7"/>
  <c r="A412" i="7"/>
  <c r="A413" i="7"/>
  <c r="A414" i="7"/>
  <c r="A415" i="7"/>
  <c r="A416" i="7"/>
  <c r="A417" i="7"/>
  <c r="A418" i="7"/>
  <c r="A419" i="7"/>
  <c r="A420" i="7"/>
  <c r="A421" i="7"/>
  <c r="A422" i="7"/>
  <c r="A423" i="7"/>
  <c r="A424" i="7"/>
  <c r="A425" i="7"/>
  <c r="A426" i="7"/>
  <c r="A427" i="7"/>
  <c r="A428" i="7"/>
  <c r="A429" i="7"/>
  <c r="A430" i="7"/>
  <c r="A431" i="7"/>
  <c r="A432" i="7"/>
  <c r="A433" i="7"/>
  <c r="A434" i="7"/>
  <c r="A435" i="7"/>
  <c r="A436" i="7"/>
  <c r="A437" i="7"/>
  <c r="A438" i="7"/>
  <c r="A439" i="7"/>
  <c r="A440" i="7"/>
  <c r="A441" i="7"/>
  <c r="A442" i="7"/>
  <c r="A443" i="7"/>
  <c r="A444" i="7"/>
  <c r="A445" i="7"/>
  <c r="A446" i="7"/>
  <c r="A447" i="7"/>
  <c r="A448" i="7"/>
  <c r="A449" i="7"/>
  <c r="A450" i="7"/>
  <c r="A451" i="7"/>
  <c r="A452" i="7"/>
  <c r="A453" i="7"/>
  <c r="A454" i="7"/>
  <c r="A455" i="7"/>
  <c r="A456" i="7"/>
  <c r="A457" i="7"/>
  <c r="A458" i="7"/>
  <c r="A459" i="7"/>
  <c r="A460" i="7"/>
  <c r="A461" i="7"/>
  <c r="A462" i="7"/>
  <c r="A463" i="7"/>
  <c r="A464" i="7"/>
  <c r="A465" i="7"/>
  <c r="A466" i="7"/>
  <c r="A467" i="7"/>
  <c r="A468" i="7"/>
  <c r="A469" i="7"/>
  <c r="A470" i="7"/>
  <c r="A471" i="7"/>
  <c r="A472" i="7"/>
  <c r="A473" i="7"/>
  <c r="A474" i="7"/>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G208" i="5"/>
  <c r="I208" i="5"/>
  <c r="I281" i="5"/>
  <c r="K309" i="7"/>
  <c r="I282" i="2"/>
  <c r="K310" i="7"/>
  <c r="I283" i="3"/>
  <c r="I283" i="4"/>
  <c r="K311" i="7"/>
  <c r="I284" i="4"/>
  <c r="K312" i="7"/>
  <c r="I285" i="5"/>
  <c r="I285" i="2"/>
  <c r="K313" i="7"/>
  <c r="I286" i="3"/>
  <c r="I286" i="4"/>
  <c r="K314" i="7"/>
  <c r="I287" i="5"/>
  <c r="K315" i="7"/>
  <c r="I287" i="2"/>
  <c r="I288" i="5"/>
  <c r="K316" i="7"/>
  <c r="K317" i="7"/>
  <c r="I290" i="4"/>
  <c r="I290" i="2"/>
  <c r="K318" i="7"/>
  <c r="I291" i="2"/>
  <c r="I291" i="5"/>
  <c r="I291" i="4"/>
  <c r="K319" i="7"/>
  <c r="I292" i="4"/>
  <c r="K320" i="7"/>
  <c r="I293" i="5"/>
  <c r="I292" i="2"/>
  <c r="I293" i="2"/>
  <c r="K321" i="7"/>
  <c r="I294" i="3"/>
  <c r="K323" i="7"/>
  <c r="I296" i="5"/>
  <c r="K322" i="7"/>
  <c r="K324" i="7"/>
  <c r="I297" i="2"/>
  <c r="I297" i="4"/>
  <c r="K414" i="7"/>
  <c r="K408" i="7"/>
  <c r="K407" i="7"/>
  <c r="K406" i="7"/>
  <c r="K405" i="7"/>
  <c r="K404" i="7"/>
  <c r="K402" i="7"/>
  <c r="K401" i="7"/>
  <c r="K400" i="7"/>
  <c r="I372" i="4"/>
  <c r="B452" i="7"/>
  <c r="K398" i="7"/>
  <c r="K396" i="7"/>
  <c r="K395" i="7"/>
  <c r="K394" i="7"/>
  <c r="K391" i="7"/>
  <c r="K390" i="7"/>
  <c r="I361" i="5"/>
  <c r="B441" i="7"/>
  <c r="K388" i="7"/>
  <c r="I359" i="1"/>
  <c r="I336" i="1"/>
  <c r="L336" i="1"/>
  <c r="I335" i="1"/>
  <c r="L335" i="1"/>
  <c r="L380" i="7"/>
  <c r="M379" i="7"/>
  <c r="Y113" i="11"/>
  <c r="AD114" i="11"/>
  <c r="O115" i="11"/>
  <c r="T115" i="11"/>
  <c r="O117" i="11"/>
  <c r="S120" i="11"/>
  <c r="S121" i="11"/>
  <c r="U121" i="11"/>
  <c r="S122" i="11"/>
  <c r="J105" i="11"/>
  <c r="Y106" i="11"/>
  <c r="AC109" i="11"/>
  <c r="AE109" i="11"/>
  <c r="O116" i="11"/>
  <c r="T116" i="11"/>
  <c r="B432" i="7"/>
  <c r="L379" i="7"/>
  <c r="K379" i="7"/>
  <c r="Y109" i="11"/>
  <c r="O110" i="11"/>
  <c r="AC111" i="11"/>
  <c r="AE111" i="11"/>
  <c r="J115" i="11"/>
  <c r="J113" i="11"/>
  <c r="Y105" i="11"/>
  <c r="AE105" i="11"/>
  <c r="O107" i="11"/>
  <c r="T107" i="11"/>
  <c r="O122" i="11"/>
  <c r="T122" i="11"/>
  <c r="O123" i="11"/>
  <c r="U123" i="11"/>
  <c r="O108" i="11"/>
  <c r="O105" i="11"/>
  <c r="T106" i="11"/>
  <c r="T105" i="11"/>
  <c r="K377" i="7"/>
  <c r="O118" i="11"/>
  <c r="AC118" i="11"/>
  <c r="E109" i="11"/>
  <c r="K109" i="11" s="1"/>
  <c r="Y111" i="11"/>
  <c r="AD112" i="11"/>
  <c r="O113" i="11"/>
  <c r="S116" i="11"/>
  <c r="Y108" i="11"/>
  <c r="Y110" i="11"/>
  <c r="AD110" i="11"/>
  <c r="AE110" i="11"/>
  <c r="O112" i="11"/>
  <c r="U112" i="11"/>
  <c r="S115" i="11"/>
  <c r="J108" i="11"/>
  <c r="S119" i="11"/>
  <c r="AC112" i="11"/>
  <c r="AE112" i="11"/>
  <c r="J116" i="11"/>
  <c r="S118" i="11"/>
  <c r="U118" i="11"/>
  <c r="E118" i="11"/>
  <c r="E112" i="11"/>
  <c r="K375" i="7"/>
  <c r="K374" i="7"/>
  <c r="K373" i="7"/>
  <c r="K372" i="7"/>
  <c r="K371" i="7"/>
  <c r="K370" i="7"/>
  <c r="K369" i="7"/>
  <c r="K368" i="7"/>
  <c r="K367" i="7"/>
  <c r="K366" i="7"/>
  <c r="K364" i="7"/>
  <c r="K363" i="7"/>
  <c r="K362" i="7"/>
  <c r="K361" i="7"/>
  <c r="K360" i="7"/>
  <c r="K359" i="7"/>
  <c r="K358" i="7"/>
  <c r="K356" i="7"/>
  <c r="K354" i="7"/>
  <c r="L353" i="7"/>
  <c r="K352" i="7"/>
  <c r="K350" i="7"/>
  <c r="L349" i="7"/>
  <c r="K349" i="7"/>
  <c r="K347" i="7"/>
  <c r="K346" i="7"/>
  <c r="L345" i="7"/>
  <c r="K345" i="7"/>
  <c r="K342" i="7"/>
  <c r="K341" i="7"/>
  <c r="K339" i="7"/>
  <c r="K338" i="7"/>
  <c r="K337" i="7"/>
  <c r="I309" i="1"/>
  <c r="I309" i="5"/>
  <c r="K336" i="7"/>
  <c r="I308" i="1"/>
  <c r="I218" i="3"/>
  <c r="I48" i="3"/>
  <c r="I127" i="3"/>
  <c r="I189" i="3"/>
  <c r="I217" i="3"/>
  <c r="I375" i="3"/>
  <c r="I439" i="3"/>
  <c r="I304" i="3"/>
  <c r="I285" i="3"/>
  <c r="I28" i="3"/>
  <c r="I149" i="3"/>
  <c r="I70" i="3"/>
  <c r="I113" i="3"/>
  <c r="I93" i="3"/>
  <c r="I140" i="3"/>
  <c r="I60" i="3"/>
  <c r="I90" i="3"/>
  <c r="I141" i="3"/>
  <c r="I161" i="3"/>
  <c r="I165" i="3"/>
  <c r="I180" i="3"/>
  <c r="I170" i="3"/>
  <c r="I196" i="3"/>
  <c r="I219" i="3"/>
  <c r="I222" i="3"/>
  <c r="I238" i="3"/>
  <c r="I242" i="3"/>
  <c r="I258" i="3"/>
  <c r="I262" i="3"/>
  <c r="I323" i="3"/>
  <c r="I355" i="3"/>
  <c r="I387" i="3"/>
  <c r="I419" i="3"/>
  <c r="I440" i="3"/>
  <c r="I424" i="3"/>
  <c r="I392" i="3"/>
  <c r="I376" i="3"/>
  <c r="I360" i="3"/>
  <c r="I344" i="3"/>
  <c r="I328" i="3"/>
  <c r="I312" i="3"/>
  <c r="I292" i="3"/>
  <c r="I289" i="3"/>
  <c r="I72" i="3"/>
  <c r="I32" i="3"/>
  <c r="I146" i="3"/>
  <c r="I121" i="3"/>
  <c r="I102" i="3"/>
  <c r="I17" i="3"/>
  <c r="I160" i="3"/>
  <c r="I204" i="3"/>
  <c r="I210" i="3"/>
  <c r="I327" i="3"/>
  <c r="I359" i="3"/>
  <c r="I391" i="3"/>
  <c r="I423" i="3"/>
  <c r="I436" i="3"/>
  <c r="I433" i="3"/>
  <c r="I420" i="3"/>
  <c r="I417" i="3"/>
  <c r="I401" i="3"/>
  <c r="I388" i="3"/>
  <c r="I372" i="3"/>
  <c r="I369" i="3"/>
  <c r="I356" i="3"/>
  <c r="I353" i="3"/>
  <c r="I340" i="3"/>
  <c r="I337" i="3"/>
  <c r="I324" i="3"/>
  <c r="I321" i="3"/>
  <c r="I308" i="3"/>
  <c r="I305" i="3"/>
  <c r="I302" i="3"/>
  <c r="I298" i="3"/>
  <c r="I156" i="3"/>
  <c r="I4" i="3"/>
  <c r="I36" i="3"/>
  <c r="I135" i="3"/>
  <c r="I116" i="3"/>
  <c r="I91" i="3"/>
  <c r="I78" i="3"/>
  <c r="I6" i="3"/>
  <c r="I80" i="3"/>
  <c r="I136" i="3"/>
  <c r="I155" i="3"/>
  <c r="I158" i="3"/>
  <c r="I164" i="3"/>
  <c r="I176" i="3"/>
  <c r="I177" i="3"/>
  <c r="I187" i="3"/>
  <c r="I202" i="3"/>
  <c r="I208" i="3"/>
  <c r="I216" i="3"/>
  <c r="I240" i="3"/>
  <c r="I243" i="3"/>
  <c r="I247" i="3"/>
  <c r="I259" i="3"/>
  <c r="I270" i="3"/>
  <c r="I295" i="3"/>
  <c r="I331" i="3"/>
  <c r="I363" i="3"/>
  <c r="I395" i="3"/>
  <c r="I427" i="3"/>
  <c r="I333" i="3"/>
  <c r="I365" i="3"/>
  <c r="I429" i="3"/>
  <c r="I442" i="3"/>
  <c r="I426" i="3"/>
  <c r="I410" i="3"/>
  <c r="I394" i="3"/>
  <c r="I378" i="3"/>
  <c r="I362" i="3"/>
  <c r="I346" i="3"/>
  <c r="I330" i="3"/>
  <c r="I314" i="3"/>
  <c r="I284" i="3"/>
  <c r="I44" i="3"/>
  <c r="I134" i="3"/>
  <c r="I288" i="3"/>
  <c r="I16" i="3"/>
  <c r="I55" i="3"/>
  <c r="I126" i="3"/>
  <c r="I52" i="3"/>
  <c r="I168" i="3"/>
  <c r="I186" i="3"/>
  <c r="I228" i="3"/>
  <c r="I311" i="3"/>
  <c r="I108" i="3"/>
  <c r="I20" i="3"/>
  <c r="I65" i="3"/>
  <c r="I56" i="3"/>
  <c r="I110" i="3"/>
  <c r="I29" i="3"/>
  <c r="I111" i="3"/>
  <c r="I75" i="3"/>
  <c r="I159" i="3"/>
  <c r="I167" i="3"/>
  <c r="I183" i="3"/>
  <c r="I188" i="3"/>
  <c r="I194" i="3"/>
  <c r="I205" i="3"/>
  <c r="I233" i="3"/>
  <c r="I241" i="3"/>
  <c r="I255" i="3"/>
  <c r="I257" i="3"/>
  <c r="I315" i="3"/>
  <c r="I347" i="3"/>
  <c r="I379" i="3"/>
  <c r="I443" i="3"/>
  <c r="I317" i="3"/>
  <c r="I349" i="3"/>
  <c r="I381" i="3"/>
  <c r="I445" i="3"/>
  <c r="I306" i="3"/>
  <c r="I276" i="3"/>
  <c r="I120" i="3"/>
  <c r="I112" i="3"/>
  <c r="I263" i="3"/>
  <c r="I291" i="3"/>
  <c r="I128" i="3"/>
  <c r="I94" i="3"/>
  <c r="I87" i="3"/>
  <c r="I211" i="3"/>
  <c r="I232" i="3"/>
  <c r="I343" i="3"/>
  <c r="I105" i="3"/>
  <c r="I24" i="3"/>
  <c r="I69" i="3"/>
  <c r="I118" i="3"/>
  <c r="I63" i="3"/>
  <c r="I145" i="3"/>
  <c r="I107" i="3"/>
  <c r="I99" i="3"/>
  <c r="I33" i="3"/>
  <c r="I114" i="3"/>
  <c r="K123" i="3"/>
  <c r="I182" i="3"/>
  <c r="I181" i="3"/>
  <c r="I175" i="3"/>
  <c r="I209" i="3"/>
  <c r="I235" i="3"/>
  <c r="I239" i="3"/>
  <c r="I248" i="3"/>
  <c r="I260" i="3"/>
  <c r="I278" i="3"/>
  <c r="I318" i="3"/>
  <c r="I350" i="3"/>
  <c r="I382" i="3"/>
  <c r="I446" i="3"/>
  <c r="I296" i="3"/>
  <c r="I143" i="3"/>
  <c r="I148" i="3"/>
  <c r="I106" i="3"/>
  <c r="I47" i="3"/>
  <c r="I35" i="3"/>
  <c r="I23" i="3"/>
  <c r="I73" i="3"/>
  <c r="I138" i="3"/>
  <c r="I43" i="3"/>
  <c r="I139" i="3"/>
  <c r="I280" i="3"/>
  <c r="I86" i="3"/>
  <c r="I79" i="3"/>
  <c r="I54" i="3"/>
  <c r="I66" i="3"/>
  <c r="I133" i="3"/>
  <c r="I282" i="3"/>
  <c r="I50" i="3"/>
  <c r="I39" i="3"/>
  <c r="I31" i="3"/>
  <c r="I19" i="3"/>
  <c r="I11" i="3"/>
  <c r="I71" i="3"/>
  <c r="I85" i="3"/>
  <c r="I88" i="3"/>
  <c r="I104" i="3"/>
  <c r="I131" i="3"/>
  <c r="I281" i="3"/>
  <c r="I27" i="3"/>
  <c r="I77" i="3"/>
  <c r="I101" i="3"/>
  <c r="I124" i="3"/>
  <c r="I142" i="3"/>
  <c r="I61" i="3"/>
  <c r="I15" i="3"/>
  <c r="I122" i="3"/>
  <c r="I42" i="3"/>
  <c r="I41" i="3"/>
  <c r="I25" i="3"/>
  <c r="I21" i="3"/>
  <c r="I13" i="3"/>
  <c r="I9" i="3"/>
  <c r="I5" i="3"/>
  <c r="I76" i="3"/>
  <c r="I129" i="3"/>
  <c r="I150" i="3"/>
  <c r="I151" i="3"/>
  <c r="I68" i="3"/>
  <c r="I58" i="3"/>
  <c r="I7" i="3"/>
  <c r="I81" i="3"/>
  <c r="I109" i="3"/>
  <c r="I125" i="3"/>
  <c r="I117" i="3"/>
  <c r="I100" i="3"/>
  <c r="I46" i="3"/>
  <c r="I34" i="3"/>
  <c r="I26" i="3"/>
  <c r="I147" i="3"/>
  <c r="I22" i="3"/>
  <c r="I64" i="3"/>
  <c r="I67" i="3"/>
  <c r="I57" i="3"/>
  <c r="I53" i="3"/>
  <c r="I14" i="3"/>
  <c r="I82" i="3"/>
  <c r="I132" i="3"/>
  <c r="I137" i="3"/>
  <c r="A21" i="3"/>
  <c r="I307" i="3"/>
  <c r="I308" i="5"/>
  <c r="I307" i="4"/>
  <c r="I307" i="2"/>
  <c r="I307" i="1"/>
  <c r="K333" i="7"/>
  <c r="K332" i="7"/>
  <c r="K331" i="7"/>
  <c r="K329" i="7"/>
  <c r="AC120" i="11"/>
  <c r="T120" i="11"/>
  <c r="T121" i="11"/>
  <c r="E119" i="11"/>
  <c r="K119" i="11" s="1"/>
  <c r="Y123" i="11"/>
  <c r="AE123" i="11" s="1"/>
  <c r="J119" i="11"/>
  <c r="Y117" i="11"/>
  <c r="AD117" i="11" s="1"/>
  <c r="K328" i="7"/>
  <c r="K326" i="7"/>
  <c r="AD113" i="11"/>
  <c r="T118" i="11"/>
  <c r="U122" i="11"/>
  <c r="AD109" i="11"/>
  <c r="T123" i="11"/>
  <c r="AD111" i="11"/>
  <c r="AE108" i="11"/>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K416" i="7"/>
  <c r="I389" i="5"/>
  <c r="I389" i="4"/>
  <c r="I89" i="14"/>
  <c r="I392" i="5"/>
  <c r="U110" i="11"/>
  <c r="AE115" i="11"/>
  <c r="AD115" i="11"/>
  <c r="AE116" i="11"/>
  <c r="AD116" i="11"/>
  <c r="AD107" i="11"/>
  <c r="AE107" i="11"/>
  <c r="AD108" i="11"/>
  <c r="U114" i="11"/>
  <c r="T114" i="11"/>
  <c r="K114" i="11"/>
  <c r="U113" i="11"/>
  <c r="T109" i="11"/>
  <c r="U109" i="11"/>
  <c r="U111" i="11"/>
  <c r="T111" i="11"/>
  <c r="F115" i="11"/>
  <c r="U115" i="11"/>
  <c r="T119" i="11"/>
  <c r="T113" i="11"/>
  <c r="T117" i="11"/>
  <c r="T108" i="11"/>
  <c r="T112" i="11"/>
  <c r="U105" i="11"/>
  <c r="AD105" i="11"/>
  <c r="T110" i="11"/>
  <c r="AD106" i="11"/>
  <c r="U116" i="11"/>
  <c r="K421" i="7"/>
  <c r="I395" i="5"/>
  <c r="I395" i="1"/>
  <c r="K423" i="7"/>
  <c r="I396" i="5"/>
  <c r="I396" i="4"/>
  <c r="K424" i="7"/>
  <c r="I397" i="4"/>
  <c r="I397" i="1"/>
  <c r="I398" i="4"/>
  <c r="A27" i="16"/>
  <c r="A23" i="16"/>
  <c r="K426" i="7"/>
  <c r="I400" i="4"/>
  <c r="I400" i="5"/>
  <c r="I400" i="1"/>
  <c r="K428" i="7"/>
  <c r="I401" i="4"/>
  <c r="I401" i="5"/>
  <c r="I401" i="1"/>
  <c r="K429" i="7"/>
  <c r="I402" i="4"/>
  <c r="I402" i="1"/>
  <c r="J438" i="7"/>
  <c r="K438" i="7"/>
  <c r="K430" i="7"/>
  <c r="H410" i="5"/>
  <c r="I410" i="5"/>
  <c r="H411" i="5"/>
  <c r="I411" i="5"/>
  <c r="H411" i="1"/>
  <c r="I411" i="1"/>
  <c r="K431" i="7"/>
  <c r="K433" i="7"/>
  <c r="A28" i="16"/>
  <c r="A21" i="16"/>
  <c r="F14" i="16"/>
  <c r="F15" i="16" s="1"/>
  <c r="E66" i="16"/>
  <c r="E14" i="16" s="1"/>
  <c r="E15" i="16" s="1"/>
  <c r="E16" i="16" s="1"/>
  <c r="E17" i="16" s="1"/>
  <c r="E18" i="16" s="1"/>
  <c r="E19" i="16" s="1"/>
  <c r="E20" i="16" s="1"/>
  <c r="E21" i="16" s="1"/>
  <c r="E22" i="16" s="1"/>
  <c r="E23" i="16" s="1"/>
  <c r="E24" i="16" s="1"/>
  <c r="E25" i="16" s="1"/>
  <c r="E26" i="16" s="1"/>
  <c r="E27" i="16" s="1"/>
  <c r="E28" i="16" s="1"/>
  <c r="E29" i="16" s="1"/>
  <c r="A26" i="16"/>
  <c r="A16" i="16"/>
  <c r="A13" i="16"/>
  <c r="A30" i="16"/>
  <c r="K434" i="7"/>
  <c r="I407" i="4"/>
  <c r="K435" i="7"/>
  <c r="I408" i="4"/>
  <c r="K436" i="7"/>
  <c r="I409" i="4"/>
  <c r="I409" i="1"/>
  <c r="K108" i="11" l="1"/>
  <c r="F108" i="11"/>
  <c r="F113" i="11"/>
  <c r="F114" i="11"/>
  <c r="K113" i="11"/>
  <c r="F117" i="11"/>
  <c r="F116" i="11"/>
  <c r="K116" i="11"/>
  <c r="F107" i="11"/>
  <c r="K107" i="11"/>
  <c r="F111" i="11"/>
  <c r="K111" i="11"/>
  <c r="F123" i="11"/>
  <c r="K123" i="11"/>
  <c r="K120" i="11"/>
  <c r="F120" i="11"/>
  <c r="AE121" i="11"/>
  <c r="AD121" i="11"/>
  <c r="F105" i="11"/>
  <c r="K105" i="11"/>
  <c r="AE119" i="11"/>
  <c r="AD120" i="11"/>
  <c r="AD119" i="11"/>
  <c r="F121" i="11"/>
  <c r="K122" i="11"/>
  <c r="F122" i="11"/>
  <c r="F112" i="11"/>
  <c r="K106" i="11"/>
  <c r="F106" i="11"/>
  <c r="F110" i="11"/>
  <c r="K110" i="11"/>
  <c r="K118" i="11"/>
  <c r="K112" i="11"/>
  <c r="K121" i="11"/>
  <c r="F109" i="11"/>
  <c r="AD118" i="11"/>
  <c r="AE117" i="11"/>
  <c r="AD122" i="11"/>
  <c r="O66" i="16"/>
  <c r="F119" i="11"/>
  <c r="AE122" i="11"/>
  <c r="F118" i="11"/>
  <c r="E30" i="16"/>
  <c r="E31" i="16" s="1"/>
  <c r="E32" i="16" s="1"/>
  <c r="E33" i="16" s="1"/>
  <c r="E34" i="16" s="1"/>
  <c r="E35" i="16" s="1"/>
  <c r="E36" i="16" s="1"/>
  <c r="E37" i="16" s="1"/>
  <c r="E38" i="16" s="1"/>
  <c r="E39" i="16" s="1"/>
  <c r="E40" i="16" s="1"/>
  <c r="E41" i="16" s="1"/>
  <c r="E42" i="16" s="1"/>
  <c r="E43" i="16" s="1"/>
  <c r="E44" i="16" s="1"/>
  <c r="E45" i="16" s="1"/>
  <c r="E46" i="16" s="1"/>
  <c r="E47" i="16" s="1"/>
  <c r="E48" i="16" s="1"/>
  <c r="E49" i="16" s="1"/>
  <c r="E50" i="16" s="1"/>
  <c r="E51" i="16" s="1"/>
  <c r="E52" i="16" s="1"/>
  <c r="E53" i="16" s="1"/>
  <c r="E54" i="16" s="1"/>
  <c r="E55" i="16" s="1"/>
  <c r="E56" i="16" s="1"/>
  <c r="E57" i="16" s="1"/>
  <c r="E58" i="16" s="1"/>
  <c r="E59" i="16" s="1"/>
  <c r="E60" i="16" s="1"/>
  <c r="E61" i="16" s="1"/>
  <c r="E62" i="16" s="1"/>
  <c r="E63" i="16" s="1"/>
  <c r="E64" i="16" s="1"/>
  <c r="G66" i="16"/>
  <c r="B25" i="16"/>
  <c r="B19" i="16"/>
  <c r="B13" i="16"/>
  <c r="B30" i="16"/>
  <c r="A24" i="16"/>
  <c r="A15" i="16"/>
  <c r="A25" i="16"/>
  <c r="F66" i="16"/>
  <c r="B29" i="16"/>
  <c r="B14" i="16"/>
  <c r="A14" i="16"/>
  <c r="A19" i="16"/>
  <c r="F65" i="16"/>
  <c r="A18" i="16"/>
  <c r="B26" i="16"/>
  <c r="B20" i="16"/>
  <c r="B27" i="16"/>
  <c r="B21" i="16"/>
  <c r="B15" i="16"/>
  <c r="A29" i="16"/>
  <c r="A17" i="16"/>
  <c r="A20" i="16"/>
  <c r="F16" i="16"/>
  <c r="F17" i="16" s="1"/>
  <c r="F18" i="16" s="1"/>
  <c r="F19" i="16" s="1"/>
  <c r="F20" i="16" s="1"/>
  <c r="F21" i="16" s="1"/>
  <c r="F22" i="16" s="1"/>
  <c r="F23" i="16" s="1"/>
  <c r="F24" i="16" s="1"/>
  <c r="F25" i="16" s="1"/>
  <c r="F26" i="16" s="1"/>
  <c r="F27" i="16" s="1"/>
  <c r="F28" i="16" s="1"/>
  <c r="F29" i="16" s="1"/>
  <c r="A22" i="16"/>
  <c r="B28" i="16"/>
  <c r="B16" i="16"/>
  <c r="B22" i="16"/>
  <c r="F30" i="16" l="1"/>
  <c r="F31" i="16" s="1"/>
  <c r="F32" i="16" s="1"/>
  <c r="F33" i="16" s="1"/>
  <c r="F34" i="16" s="1"/>
  <c r="F35" i="16" s="1"/>
  <c r="F36" i="16" s="1"/>
  <c r="F37" i="16" s="1"/>
  <c r="F38" i="16" s="1"/>
  <c r="F39" i="16" s="1"/>
  <c r="F40" i="16" s="1"/>
  <c r="F41" i="16" s="1"/>
  <c r="F42" i="16" s="1"/>
  <c r="F43" i="16" s="1"/>
  <c r="F44" i="16" s="1"/>
  <c r="F45" i="16" s="1"/>
  <c r="F46" i="16" s="1"/>
  <c r="F47" i="16" s="1"/>
  <c r="F48" i="16" s="1"/>
  <c r="F49" i="16" s="1"/>
  <c r="F50" i="16" s="1"/>
  <c r="F51" i="16" s="1"/>
  <c r="F52" i="16" s="1"/>
  <c r="F53" i="16" s="1"/>
  <c r="F54" i="16" s="1"/>
  <c r="F55" i="16" s="1"/>
  <c r="F56" i="16" s="1"/>
  <c r="F57" i="16" s="1"/>
  <c r="F58" i="16" s="1"/>
  <c r="F59" i="16" s="1"/>
  <c r="F60" i="16" s="1"/>
  <c r="F61" i="16" s="1"/>
  <c r="F62" i="16" s="1"/>
  <c r="F63" i="16" s="1"/>
  <c r="F64" i="16" s="1"/>
  <c r="H66" i="16"/>
</calcChain>
</file>

<file path=xl/sharedStrings.xml><?xml version="1.0" encoding="utf-8"?>
<sst xmlns="http://schemas.openxmlformats.org/spreadsheetml/2006/main" count="7350" uniqueCount="383">
  <si>
    <t>Corn</t>
  </si>
  <si>
    <t>Japan</t>
  </si>
  <si>
    <t>Accumulated Exports</t>
  </si>
  <si>
    <t>Total Commitments</t>
  </si>
  <si>
    <t>Mexico</t>
  </si>
  <si>
    <t>Egypt</t>
  </si>
  <si>
    <t>% change</t>
  </si>
  <si>
    <t>Exports</t>
  </si>
  <si>
    <t>Corn by Destination Export Sales as of:</t>
  </si>
  <si>
    <t>Unshipped Balance</t>
  </si>
  <si>
    <t>Taiwan</t>
  </si>
  <si>
    <t>Korea</t>
  </si>
  <si>
    <t xml:space="preserve">04/05 </t>
  </si>
  <si>
    <t>US Total</t>
  </si>
  <si>
    <t>US total</t>
  </si>
  <si>
    <t>05/06 5-yr avg</t>
  </si>
  <si>
    <t xml:space="preserve">Weekly </t>
  </si>
  <si>
    <t>Change</t>
  </si>
  <si>
    <t>from last yr</t>
  </si>
  <si>
    <t xml:space="preserve"> - 1,000 mt -</t>
  </si>
  <si>
    <t>Next Marketing Year</t>
  </si>
  <si>
    <t>Top 5 importers</t>
  </si>
  <si>
    <t>Current</t>
  </si>
  <si>
    <t>Last</t>
  </si>
  <si>
    <r>
      <t xml:space="preserve">           Exports</t>
    </r>
    <r>
      <rPr>
        <b/>
        <vertAlign val="superscript"/>
        <sz val="10"/>
        <rFont val="Times New Roman"/>
        <family val="1"/>
      </rPr>
      <t>3</t>
    </r>
    <r>
      <rPr>
        <b/>
        <sz val="10"/>
        <rFont val="Times New Roman"/>
        <family val="1"/>
      </rPr>
      <t xml:space="preserve"> </t>
    </r>
  </si>
  <si>
    <t>Crop Year (CY)</t>
  </si>
  <si>
    <t xml:space="preserve">           2004/05</t>
  </si>
  <si>
    <t>next</t>
  </si>
  <si>
    <t>crop year</t>
  </si>
  <si>
    <t>Next Crop year</t>
  </si>
  <si>
    <t>WASDE (MT)</t>
  </si>
  <si>
    <t>WASDE (bu)</t>
  </si>
  <si>
    <t>Next</t>
  </si>
  <si>
    <t>Marketing Year</t>
  </si>
  <si>
    <t xml:space="preserve">Next Crop </t>
  </si>
  <si>
    <t>Year</t>
  </si>
  <si>
    <t>curr</t>
  </si>
  <si>
    <t>last</t>
  </si>
  <si>
    <t>(Canceled sales?)</t>
  </si>
  <si>
    <t>carryover from 2005/06</t>
  </si>
  <si>
    <t>Week ending 08/31/06</t>
  </si>
  <si>
    <t>wk</t>
  </si>
  <si>
    <t>For the graph</t>
  </si>
  <si>
    <t>Weeks</t>
  </si>
  <si>
    <t>Projected</t>
  </si>
  <si>
    <t>Total Accumulated</t>
  </si>
  <si>
    <t>Soybeans</t>
  </si>
  <si>
    <t>Wheat</t>
  </si>
  <si>
    <t>Total</t>
  </si>
  <si>
    <t>Net Seales</t>
  </si>
  <si>
    <t>weekly pace</t>
  </si>
  <si>
    <t>Net Shipped</t>
  </si>
  <si>
    <t>for graph</t>
  </si>
  <si>
    <t>Weekly Sales pace needed in</t>
  </si>
  <si>
    <t>Weekly Shipped</t>
  </si>
  <si>
    <r>
      <t>4</t>
    </r>
    <r>
      <rPr>
        <sz val="8"/>
        <rFont val="Times New Roman"/>
        <family val="1"/>
      </rPr>
      <t xml:space="preserve"> Not Included - FAS Daily Press Release:  Corn Export Sales to Japan on 4/18:  152,400 mt for 2006/07.</t>
    </r>
  </si>
  <si>
    <t>WASHINGTON, May 11, 2007 -- Private exporters reported to the U.S. Department of Agriculture export sales of 550,000 metric tons of corn for delivery to South Korea. Of the total, 495,000 tons is for delivery during the 2006/2007 marketing year and 55,000 tons is for delivery during the 2007/2008 marketing year.</t>
  </si>
  <si>
    <t>2007/08</t>
  </si>
  <si>
    <t>CORN - UNMILLED</t>
  </si>
  <si>
    <t>1000 METRIC TONS</t>
  </si>
  <si>
    <t>-</t>
  </si>
  <si>
    <t>--------</t>
  </si>
  <si>
    <t>:</t>
  </si>
  <si>
    <t>DESTINATION</t>
  </si>
  <si>
    <t>EUROPEAN UNION - 27</t>
  </si>
  <si>
    <t>SPAIN</t>
  </si>
  <si>
    <t>U KING</t>
  </si>
  <si>
    <t>OTHER EUROPE</t>
  </si>
  <si>
    <t>TURKEY</t>
  </si>
  <si>
    <t>FORMER SOVIET UNION-12</t>
  </si>
  <si>
    <t>RUSSIA</t>
  </si>
  <si>
    <t>JAPAN</t>
  </si>
  <si>
    <t>TAIWAN</t>
  </si>
  <si>
    <t>CHINA</t>
  </si>
  <si>
    <t>OTHER ASIA AND OCEANIA</t>
  </si>
  <si>
    <t>HG KONG</t>
  </si>
  <si>
    <t>INDNSIA</t>
  </si>
  <si>
    <t>IRAN</t>
  </si>
  <si>
    <t>ISRAEL</t>
  </si>
  <si>
    <t>JORDAN</t>
  </si>
  <si>
    <t>KOR REP</t>
  </si>
  <si>
    <t>LEBANON</t>
  </si>
  <si>
    <t>MALAYSA</t>
  </si>
  <si>
    <t>S ARAB</t>
  </si>
  <si>
    <t>SINGAPR</t>
  </si>
  <si>
    <t>SYRIA</t>
  </si>
  <si>
    <t>U AR EM</t>
  </si>
  <si>
    <t>VIETNAM</t>
  </si>
  <si>
    <t>AFRICA</t>
  </si>
  <si>
    <t>ALGERIA</t>
  </si>
  <si>
    <t>EGYPT</t>
  </si>
  <si>
    <t>GUIN-BIS</t>
  </si>
  <si>
    <t>LIBYA</t>
  </si>
  <si>
    <t>MOROCCO</t>
  </si>
  <si>
    <t>SENEGAL</t>
  </si>
  <si>
    <t>TUNISIA</t>
  </si>
  <si>
    <t>WESTERN HEMISPHERE</t>
  </si>
  <si>
    <t>BARBADO</t>
  </si>
  <si>
    <t>C RICA</t>
  </si>
  <si>
    <t>CANADA</t>
  </si>
  <si>
    <t>CHILE</t>
  </si>
  <si>
    <t>COLOMB</t>
  </si>
  <si>
    <t>CUBA</t>
  </si>
  <si>
    <t>DOM REP</t>
  </si>
  <si>
    <t>ECUADOR</t>
  </si>
  <si>
    <t>F W IND</t>
  </si>
  <si>
    <t>GUATMAL</t>
  </si>
  <si>
    <t>HONDURA</t>
  </si>
  <si>
    <t>JAMAICA</t>
  </si>
  <si>
    <t>LW WW I</t>
  </si>
  <si>
    <t>MEXICO</t>
  </si>
  <si>
    <t>NICARAG</t>
  </si>
  <si>
    <t>PANAMA</t>
  </si>
  <si>
    <t>PERU</t>
  </si>
  <si>
    <t>SALVADR</t>
  </si>
  <si>
    <t>SURINAM</t>
  </si>
  <si>
    <t>TRINID</t>
  </si>
  <si>
    <t>CONGO DR</t>
  </si>
  <si>
    <t>GUYANA</t>
  </si>
  <si>
    <t>VENEZ</t>
  </si>
  <si>
    <t>ALBANIA</t>
  </si>
  <si>
    <t>ICELAND</t>
  </si>
  <si>
    <t>GEORGIA</t>
  </si>
  <si>
    <t>OMAN</t>
  </si>
  <si>
    <t>OPAC IS</t>
  </si>
  <si>
    <t>Last year</t>
  </si>
  <si>
    <t>Last week</t>
  </si>
  <si>
    <t>pct chng</t>
  </si>
  <si>
    <t>YEMEN</t>
  </si>
  <si>
    <t>GERMANY</t>
  </si>
  <si>
    <t>wkly chng ly</t>
  </si>
  <si>
    <t>LAST YEAR</t>
  </si>
  <si>
    <t>This Year</t>
  </si>
  <si>
    <t>BULGAR</t>
  </si>
  <si>
    <t>TOTAL KNOWN</t>
  </si>
  <si>
    <t>TOTAL UNKNOWN</t>
  </si>
  <si>
    <t>TOTAL KNOWN &amp; UNKNOWN</t>
  </si>
  <si>
    <t>EXPORTS FOR OWN ACCT</t>
  </si>
  <si>
    <t>OPTIONAL ORIGIN</t>
  </si>
  <si>
    <r>
      <t xml:space="preserve">4 </t>
    </r>
    <r>
      <rPr>
        <sz val="8"/>
        <rFont val="Times New Roman"/>
        <family val="1"/>
      </rPr>
      <t xml:space="preserve">Not included - FAS Press Release:  </t>
    </r>
    <r>
      <rPr>
        <b/>
        <sz val="8"/>
        <rFont val="Times New Roman"/>
        <family val="1"/>
      </rPr>
      <t>165,000 mt</t>
    </r>
    <r>
      <rPr>
        <sz val="8"/>
        <rFont val="Times New Roman"/>
        <family val="1"/>
      </rPr>
      <t xml:space="preserve"> on 02/19 to Korea for 2007/08.</t>
    </r>
  </si>
  <si>
    <t>Weekly Export Sales</t>
  </si>
  <si>
    <t>Weekly Shipments</t>
  </si>
  <si>
    <t>Last Year</t>
  </si>
  <si>
    <t>% change from LY</t>
  </si>
  <si>
    <t>% change from LW</t>
  </si>
  <si>
    <t>UNSHIPPED Balances This Year</t>
  </si>
  <si>
    <t>UNSHIPPED Balances Last Year</t>
  </si>
  <si>
    <t>ANGOLA</t>
  </si>
  <si>
    <t>CO BRAZ</t>
  </si>
  <si>
    <t>BELIZE</t>
  </si>
  <si>
    <r>
      <t xml:space="preserve">4 </t>
    </r>
    <r>
      <rPr>
        <sz val="8"/>
        <rFont val="Times New Roman"/>
        <family val="1"/>
      </rPr>
      <t xml:space="preserve">Not included - FAS Press Release:  </t>
    </r>
    <r>
      <rPr>
        <b/>
        <sz val="8"/>
        <rFont val="Times New Roman"/>
        <family val="1"/>
      </rPr>
      <t>287,000 mt</t>
    </r>
    <r>
      <rPr>
        <sz val="8"/>
        <rFont val="Times New Roman"/>
        <family val="1"/>
      </rPr>
      <t xml:space="preserve"> on 03/28 to Unknown for 2007/08; 110,000 mt for 2008/09.</t>
    </r>
  </si>
  <si>
    <t>AUSTRIA</t>
  </si>
  <si>
    <t>2008/09</t>
  </si>
  <si>
    <t>GHANA</t>
  </si>
  <si>
    <t>SWITZLD</t>
  </si>
  <si>
    <t>ROMANIA</t>
  </si>
  <si>
    <t>CARRYOVER EXPORT SALES</t>
  </si>
  <si>
    <t>AN</t>
  </si>
  <si>
    <t>D ACCUMU</t>
  </si>
  <si>
    <t>MA</t>
  </si>
  <si>
    <t>RKETING</t>
  </si>
  <si>
    <t>----------------------------</t>
  </si>
  <si>
    <t>---</t>
  </si>
  <si>
    <t>CARRYOV</t>
  </si>
  <si>
    <t>BAHRAIN</t>
  </si>
  <si>
    <t>PHIL</t>
  </si>
  <si>
    <t>KENYA</t>
  </si>
  <si>
    <t>---------</t>
  </si>
  <si>
    <t>-----------</t>
  </si>
  <si>
    <t>2008/20</t>
  </si>
  <si>
    <t>2007/20</t>
  </si>
  <si>
    <t>2006/20</t>
  </si>
  <si>
    <t>2005/20</t>
  </si>
  <si>
    <t>2004/20</t>
  </si>
  <si>
    <t>COUNTRY</t>
  </si>
  <si>
    <t>EXPORTS</t>
  </si>
  <si>
    <t>RANK</t>
  </si>
  <si>
    <t>-----</t>
  </si>
  <si>
    <t>TNZANIA</t>
  </si>
  <si>
    <t>NAMIBIA</t>
  </si>
  <si>
    <t>C IVOIRE</t>
  </si>
  <si>
    <t>PORTUGL</t>
  </si>
  <si>
    <t>TOTAL</t>
  </si>
  <si>
    <t>----------</t>
  </si>
  <si>
    <t>LATED EXPOR</t>
  </si>
  <si>
    <t>TS BY COUNTRY AN</t>
  </si>
  <si>
    <t>D REGION</t>
  </si>
  <si>
    <t>YEAR ENDING</t>
  </si>
  <si>
    <t>----------------</t>
  </si>
  <si>
    <t>----</t>
  </si>
  <si>
    <t>ER SALES</t>
  </si>
  <si>
    <t>: ACCUMULATED</t>
  </si>
  <si>
    <t>: 2007/08</t>
  </si>
  <si>
    <t>: 2008/09  :</t>
  </si>
  <si>
    <t>S</t>
  </si>
  <si>
    <r>
      <t>4</t>
    </r>
    <r>
      <rPr>
        <sz val="8"/>
        <rFont val="Times New Roman"/>
        <family val="1"/>
      </rPr>
      <t>Not included - FAS Press Release:  120,000 mt on 4/22 to Egypt for 2009/10.</t>
    </r>
  </si>
  <si>
    <t>2010/11</t>
  </si>
  <si>
    <t>--</t>
  </si>
  <si>
    <t>------</t>
  </si>
  <si>
    <t>ACCUM</t>
  </si>
  <si>
    <t>ULATED EX</t>
  </si>
  <si>
    <t>PORTS</t>
  </si>
  <si>
    <t>OF CORN</t>
  </si>
  <si>
    <t>BY CO</t>
  </si>
  <si>
    <t>UNTRY</t>
  </si>
  <si>
    <t>RANKED</t>
  </si>
  <si>
    <t>IN DE</t>
  </si>
  <si>
    <t>SCENDING</t>
  </si>
  <si>
    <t>ORDER</t>
  </si>
  <si>
    <t>FOR MARK</t>
  </si>
  <si>
    <t>ETING</t>
  </si>
  <si>
    <t>YEAR 200</t>
  </si>
  <si>
    <t>COMPA</t>
  </si>
  <si>
    <t>RED WITH</t>
  </si>
  <si>
    <t>4 PRE</t>
  </si>
  <si>
    <t>VIOUS MAR</t>
  </si>
  <si>
    <t>KETIN</t>
  </si>
  <si>
    <t>G YEARS</t>
  </si>
  <si>
    <t>(1</t>
  </si>
  <si>
    <t>,000</t>
  </si>
  <si>
    <t>Metric To</t>
  </si>
  <si>
    <t>ns)</t>
  </si>
  <si>
    <t>2009/</t>
  </si>
  <si>
    <t>2008/</t>
  </si>
  <si>
    <t>2007/</t>
  </si>
  <si>
    <t>2006/</t>
  </si>
  <si>
    <t>2005/</t>
  </si>
  <si>
    <t>2011/12</t>
  </si>
  <si>
    <t>*</t>
  </si>
  <si>
    <t>IRELAND</t>
  </si>
  <si>
    <t>NETHLDS</t>
  </si>
  <si>
    <t>HAITI</t>
  </si>
  <si>
    <t>ITALY</t>
  </si>
  <si>
    <t>China</t>
  </si>
  <si>
    <t>GRAIN SORGHUMS - UNMILLED</t>
  </si>
  <si>
    <t>SOYBEANS</t>
  </si>
  <si>
    <t>TS B</t>
  </si>
  <si>
    <t>Y COUNTRY</t>
  </si>
  <si>
    <t>AUG</t>
  </si>
  <si>
    <t>UST 31, 2</t>
  </si>
  <si>
    <t>--------------</t>
  </si>
  <si>
    <t>ACCUMULA</t>
  </si>
  <si>
    <t>TED</t>
  </si>
  <si>
    <t>: 2009/10</t>
  </si>
  <si>
    <t>2009/10</t>
  </si>
  <si>
    <t>THAILND</t>
  </si>
  <si>
    <t>FRANCE</t>
  </si>
  <si>
    <t>BELGIUM</t>
  </si>
  <si>
    <t>FINLAND</t>
  </si>
  <si>
    <t>GREECE</t>
  </si>
  <si>
    <t>SWEDEN</t>
  </si>
  <si>
    <t>BANGLADH</t>
  </si>
  <si>
    <t>BRAZIL</t>
  </si>
  <si>
    <t>_x000C_</t>
  </si>
  <si>
    <t>TS BY COUNTRY</t>
  </si>
  <si>
    <t>AND REGION</t>
  </si>
  <si>
    <t>-------------</t>
  </si>
  <si>
    <t>-----------------</t>
  </si>
  <si>
    <t>: ACCUMULA</t>
  </si>
  <si>
    <t>TED EXPORTS</t>
  </si>
  <si>
    <t>: 2010/11</t>
  </si>
  <si>
    <t>: 2011/12</t>
  </si>
  <si>
    <t>Last modified: 9/12/2012 3:5</t>
  </si>
  <si>
    <t>BY COU</t>
  </si>
  <si>
    <t>NTRY</t>
  </si>
  <si>
    <t>YEAR 201</t>
  </si>
  <si>
    <t>KETING</t>
  </si>
  <si>
    <t>YEARS</t>
  </si>
  <si>
    <t>2011/</t>
  </si>
  <si>
    <t>2010/</t>
  </si>
  <si>
    <t>OF SORGH</t>
  </si>
  <si>
    <t>UMS BY</t>
  </si>
  <si>
    <t>ERITREA</t>
  </si>
  <si>
    <t>DENMARK</t>
  </si>
  <si>
    <t>NORWAY</t>
  </si>
  <si>
    <t>REP SAF</t>
  </si>
  <si>
    <t>POLAND</t>
  </si>
  <si>
    <t>OF SOYBE</t>
  </si>
  <si>
    <t>ANS BY</t>
  </si>
  <si>
    <t>Venezuela</t>
  </si>
  <si>
    <t>This</t>
  </si>
  <si>
    <t>CARRYOVER</t>
  </si>
  <si>
    <t>EXPORT SALES</t>
  </si>
  <si>
    <t>1000 METRIC TON</t>
  </si>
  <si>
    <t>---------------</t>
  </si>
  <si>
    <t>: 2011/12  :</t>
  </si>
  <si>
    <t>EUROPEAN UNION</t>
  </si>
  <si>
    <t>OTHER ASIA AND</t>
  </si>
  <si>
    <t>OCEANIA</t>
  </si>
  <si>
    <t>WESTERN HEMISPH</t>
  </si>
  <si>
    <t>ERE</t>
  </si>
  <si>
    <t>TOTAL KNOWN &amp; U</t>
  </si>
  <si>
    <t>NKNOWN</t>
  </si>
  <si>
    <t>EXPORTS FOR OWN</t>
  </si>
  <si>
    <t>ACCT</t>
  </si>
  <si>
    <t>Weekly Pace Needed</t>
  </si>
  <si>
    <t>2012-13</t>
  </si>
  <si>
    <t>Shipped</t>
  </si>
  <si>
    <t>Unshipped</t>
  </si>
  <si>
    <t>Miss Gulf</t>
  </si>
  <si>
    <t>3-yr Ave</t>
  </si>
  <si>
    <t>PNW</t>
  </si>
  <si>
    <t>3-Yr Ave</t>
  </si>
  <si>
    <t>Inspections (Mill Bushels)</t>
  </si>
  <si>
    <t>Inspections (Metric Tons)</t>
  </si>
  <si>
    <t>2012-13 Corn Exports</t>
  </si>
  <si>
    <t>Date</t>
  </si>
  <si>
    <t>Export Sales</t>
  </si>
  <si>
    <t xml:space="preserve">Weeks </t>
  </si>
  <si>
    <t>Remaining</t>
  </si>
  <si>
    <t>Weekly pace</t>
  </si>
  <si>
    <t>Cumulative Weekly Inspections</t>
  </si>
  <si>
    <t>avg annual pace</t>
  </si>
  <si>
    <t>Sales Needed to Meet WASDE</t>
  </si>
  <si>
    <t>Shipments Needed to Meet WASDE</t>
  </si>
  <si>
    <t>Actual Export Sales</t>
  </si>
  <si>
    <t>Commodity</t>
  </si>
  <si>
    <t>Attribute</t>
  </si>
  <si>
    <t>Country</t>
  </si>
  <si>
    <t>2008/2009</t>
  </si>
  <si>
    <t>2009/2010</t>
  </si>
  <si>
    <t>2010/2011</t>
  </si>
  <si>
    <t>2011/2012</t>
  </si>
  <si>
    <t>2012/2013</t>
  </si>
  <si>
    <t>2013/2014</t>
  </si>
  <si>
    <t>Exports (1000 MT)</t>
  </si>
  <si>
    <t>United States</t>
  </si>
  <si>
    <t>Oilseed, Soybean</t>
  </si>
  <si>
    <t>Source: Foreign Agricultural Service, Official USDA Estimates</t>
  </si>
  <si>
    <t>FAS data:</t>
  </si>
  <si>
    <t>3-Year Ave,</t>
  </si>
  <si>
    <t>Total Sales</t>
  </si>
  <si>
    <t>Forecast</t>
  </si>
  <si>
    <t>Dec</t>
  </si>
  <si>
    <t>Jan '13</t>
  </si>
  <si>
    <t>3-yr sls</t>
  </si>
  <si>
    <t>3-yr shipped</t>
  </si>
  <si>
    <t>ly shipped</t>
  </si>
  <si>
    <t>Sales % of Projected exports</t>
  </si>
  <si>
    <t>Shipped % of projected</t>
  </si>
  <si>
    <t>ALES AND</t>
  </si>
  <si>
    <t>CORN           : 03/14   4607.2    418.5   10263.6   404.1    14870.8</t>
  </si>
  <si>
    <t xml:space="preserve">               : 03/21   4517.6    384.8   10648.4   419.2    15166.0  20960 3/</t>
  </si>
  <si>
    <t xml:space="preserve">               :YR AGO   9919.0    643.7   23209.4   913.7    33128.5</t>
  </si>
  <si>
    <t xml:space="preserve">               :</t>
  </si>
  <si>
    <t>OUTSTANDING EXPORT</t>
  </si>
  <si>
    <t>----------------------</t>
  </si>
  <si>
    <t>CU</t>
  </si>
  <si>
    <t>OUTSTAND</t>
  </si>
  <si>
    <t>THIS WEE</t>
  </si>
  <si>
    <t>RRENT MAR</t>
  </si>
  <si>
    <t>ING SALES</t>
  </si>
  <si>
    <t>K: YR AGO</t>
  </si>
  <si>
    <t>MARKETI</t>
  </si>
  <si>
    <t>NG YEAR 09</t>
  </si>
  <si>
    <t>/01 - 08/31</t>
  </si>
  <si>
    <t>BY COUNTRY</t>
  </si>
  <si>
    <t>, REGION</t>
  </si>
  <si>
    <t>AND MARKET</t>
  </si>
  <si>
    <t>AS OF SE</t>
  </si>
  <si>
    <t>KETING YEA</t>
  </si>
  <si>
    <t>R</t>
  </si>
  <si>
    <t>:NEXT MAR</t>
  </si>
  <si>
    <t>:ACCUMULAT</t>
  </si>
  <si>
    <t>ED EXPORT</t>
  </si>
  <si>
    <t>S: OUTSTAN</t>
  </si>
  <si>
    <t>:THIS WEEK</t>
  </si>
  <si>
    <t>: YR AGO</t>
  </si>
  <si>
    <t>:SECOND Y</t>
  </si>
  <si>
    <t>CORN           : 09/05  12612.1    171.2     171.2     6.7    12783.2</t>
  </si>
  <si>
    <t xml:space="preserve">               : 09/12  12530.6    518.8     690.0    27.2    13220.6  31120 3/</t>
  </si>
  <si>
    <t xml:space="preserve">               :YR AGO   9112.9    739.7     989.1    38.9    10102.0</t>
  </si>
  <si>
    <t>--------------------------------------------------------------------------------</t>
  </si>
  <si>
    <t xml:space="preserve">               :  WEEK :  OUT-  :WEEKLY  :CUMULATIVE EXPORTS: TOTAL  : OFFICIAL </t>
  </si>
  <si>
    <t xml:space="preserve">   COMMODITY   :  END- :STANDING:EXPORTS :        FOR       : COMMIT-:USDA EXPORT</t>
  </si>
  <si>
    <t xml:space="preserve">               :  ING  : SALES  :        :  MARKETING YEAR  : MENT 2/:PROJECTIONS</t>
  </si>
  <si>
    <t>ING YEAR</t>
  </si>
  <si>
    <t>PTEMBER 1</t>
  </si>
  <si>
    <t>2, 2013</t>
  </si>
  <si>
    <t>KETING YEAR</t>
  </si>
  <si>
    <t>DING SALES</t>
  </si>
  <si>
    <t>R: THIRD YR</t>
  </si>
  <si>
    <t>net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</si>
</sst>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43" formatCode="_(* #,##0.00_);_(* \(#,##0.00\);_(* &quot;-&quot;??_);_(@_)"/>
    <numFmt numFmtId="164" formatCode="_(* #,##0.0_);_(* \(#,##0.0\);_(* &quot;-&quot;??_);_(@_)"/>
    <numFmt numFmtId="165" formatCode="_(* #,##0_);_(* \(#,##0\);_(* &quot;-&quot;??_);_(@_)"/>
    <numFmt numFmtId="166" formatCode="0.0"/>
    <numFmt numFmtId="167" formatCode="0.000"/>
    <numFmt numFmtId="168" formatCode="0.0%"/>
    <numFmt numFmtId="169" formatCode="0_);[Red]\(0\)"/>
    <numFmt numFmtId="170" formatCode="mm/dd/yy;@"/>
    <numFmt numFmtId="171" formatCode="#,##0.0"/>
    <numFmt numFmtId="172" formatCode="#,##0.00000"/>
    <numFmt numFmtId="173" formatCode="#,##0.00000000"/>
    <numFmt numFmtId="174" formatCode="m/d/yy;@"/>
    <numFmt numFmtId="175" formatCode="0.0;[Red]0.0"/>
    <numFmt numFmtId="176" formatCode="_(* #,##0.000_);_(* \(#,##0.000\);_(* &quot;-&quot;??_);_(@_)"/>
  </numFmts>
  <fonts count="33" x14ac:knownFonts="1">
    <font>
      <sz val="10"/>
      <name val="Arial"/>
    </font>
    <font>
      <sz val="10"/>
      <name val="Arial"/>
      <family val="2"/>
    </font>
    <font>
      <sz val="8"/>
      <name val="Arial"/>
      <family val="2"/>
    </font>
    <font>
      <b/>
      <sz val="10"/>
      <name val="Arial"/>
      <family val="2"/>
    </font>
    <font>
      <b/>
      <sz val="10"/>
      <name val="Times New Roman"/>
      <family val="1"/>
    </font>
    <font>
      <sz val="10"/>
      <name val="Times New Roman"/>
      <family val="1"/>
    </font>
    <font>
      <sz val="8"/>
      <name val="Times New Roman"/>
      <family val="1"/>
    </font>
    <font>
      <b/>
      <sz val="8"/>
      <name val="Times New Roman"/>
      <family val="1"/>
    </font>
    <font>
      <sz val="12"/>
      <name val="Times New Roman"/>
      <family val="1"/>
    </font>
    <font>
      <sz val="10"/>
      <color indexed="10"/>
      <name val="Times New Roman"/>
      <family val="1"/>
    </font>
    <font>
      <sz val="9"/>
      <name val="Times New Roman"/>
      <family val="1"/>
    </font>
    <font>
      <b/>
      <sz val="11"/>
      <name val="Times New Roman"/>
      <family val="1"/>
    </font>
    <font>
      <b/>
      <vertAlign val="superscript"/>
      <sz val="10"/>
      <name val="Times New Roman"/>
      <family val="1"/>
    </font>
    <font>
      <vertAlign val="superscript"/>
      <sz val="8"/>
      <name val="Times New Roman"/>
      <family val="1"/>
    </font>
    <font>
      <sz val="8"/>
      <color indexed="10"/>
      <name val="Times New Roman"/>
      <family val="1"/>
    </font>
    <font>
      <sz val="10"/>
      <color indexed="10"/>
      <name val="Arial"/>
      <family val="2"/>
    </font>
    <font>
      <b/>
      <sz val="10"/>
      <color indexed="10"/>
      <name val="Arial"/>
      <family val="2"/>
    </font>
    <font>
      <sz val="8"/>
      <name val="Courier New"/>
      <family val="3"/>
    </font>
    <font>
      <sz val="10"/>
      <name val="Arial"/>
      <family val="2"/>
    </font>
    <font>
      <u/>
      <sz val="10"/>
      <name val="Arial"/>
      <family val="2"/>
    </font>
    <font>
      <sz val="10"/>
      <name val="Arial Unicode MS"/>
      <family val="2"/>
    </font>
    <font>
      <sz val="9"/>
      <name val="Courier New"/>
      <family val="3"/>
    </font>
    <font>
      <sz val="10"/>
      <name val="Arial"/>
      <family val="2"/>
    </font>
    <font>
      <sz val="10"/>
      <name val="Arial"/>
      <family val="2"/>
    </font>
    <font>
      <sz val="10"/>
      <name val="Arial"/>
      <family val="2"/>
    </font>
    <font>
      <sz val="10"/>
      <name val="Arial"/>
      <family val="2"/>
    </font>
    <font>
      <sz val="8"/>
      <name val="Calibri"/>
      <family val="2"/>
    </font>
    <font>
      <b/>
      <u/>
      <sz val="10"/>
      <name val="Arial"/>
      <family val="2"/>
    </font>
    <font>
      <sz val="8"/>
      <name val="Arial Unicode MS"/>
      <family val="2"/>
    </font>
    <font>
      <u/>
      <sz val="10"/>
      <color theme="10"/>
      <name val="Arial"/>
      <family val="2"/>
    </font>
    <font>
      <sz val="10"/>
      <color rgb="FFFF0000"/>
      <name val="Arial"/>
      <family val="2"/>
    </font>
    <font>
      <sz val="7"/>
      <color rgb="FF000000"/>
      <name val="Verdana"/>
      <family val="2"/>
    </font>
    <font>
      <b/>
      <sz val="7"/>
      <color rgb="FF4D4D4D"/>
      <name val="Verdana"/>
      <family val="2"/>
    </font>
  </fonts>
  <fills count="26">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indexed="42"/>
        <bgColor indexed="64"/>
      </patternFill>
    </fill>
    <fill>
      <patternFill patternType="solid">
        <fgColor indexed="65"/>
        <bgColor indexed="64"/>
      </patternFill>
    </fill>
    <fill>
      <patternFill patternType="solid">
        <fgColor indexed="44"/>
        <bgColor indexed="64"/>
      </patternFill>
    </fill>
    <fill>
      <patternFill patternType="solid">
        <fgColor indexed="47"/>
        <bgColor indexed="64"/>
      </patternFill>
    </fill>
    <fill>
      <patternFill patternType="solid">
        <fgColor indexed="43"/>
        <bgColor indexed="64"/>
      </patternFill>
    </fill>
    <fill>
      <patternFill patternType="solid">
        <fgColor indexed="45"/>
        <bgColor indexed="64"/>
      </patternFill>
    </fill>
    <fill>
      <patternFill patternType="solid">
        <fgColor indexed="41"/>
        <bgColor indexed="64"/>
      </patternFill>
    </fill>
    <fill>
      <patternFill patternType="solid">
        <fgColor indexed="65"/>
        <bgColor indexed="9"/>
      </patternFill>
    </fill>
    <fill>
      <patternFill patternType="solid">
        <fgColor indexed="9"/>
        <bgColor indexed="9"/>
      </patternFill>
    </fill>
    <fill>
      <patternFill patternType="solid">
        <fgColor indexed="42"/>
        <bgColor indexed="9"/>
      </patternFill>
    </fill>
    <fill>
      <patternFill patternType="solid">
        <fgColor indexed="46"/>
        <bgColor indexed="64"/>
      </patternFill>
    </fill>
    <fill>
      <patternFill patternType="solid">
        <fgColor theme="9" tint="0.59999389629810485"/>
        <bgColor indexed="64"/>
      </patternFill>
    </fill>
    <fill>
      <patternFill patternType="solid">
        <fgColor theme="0"/>
        <bgColor indexed="64"/>
      </patternFill>
    </fill>
    <fill>
      <patternFill patternType="solid">
        <fgColor theme="0"/>
        <bgColor indexed="9"/>
      </patternFill>
    </fill>
    <fill>
      <patternFill patternType="solid">
        <fgColor rgb="FFFFFF00"/>
        <bgColor indexed="64"/>
      </patternFill>
    </fill>
    <fill>
      <patternFill patternType="solid">
        <fgColor theme="6" tint="0.39997558519241921"/>
        <bgColor indexed="64"/>
      </patternFill>
    </fill>
    <fill>
      <patternFill patternType="solid">
        <fgColor theme="3" tint="0.79998168889431442"/>
        <bgColor indexed="64"/>
      </patternFill>
    </fill>
    <fill>
      <patternFill patternType="solid">
        <fgColor rgb="FFF5F5F5"/>
        <bgColor indexed="64"/>
      </patternFill>
    </fill>
    <fill>
      <patternFill patternType="solid">
        <fgColor rgb="FFD5D5D5"/>
        <bgColor indexed="64"/>
      </patternFill>
    </fill>
    <fill>
      <patternFill patternType="solid">
        <fgColor theme="4" tint="0.79998168889431442"/>
        <bgColor indexed="64"/>
      </patternFill>
    </fill>
    <fill>
      <patternFill patternType="solid">
        <fgColor rgb="FFCCFF99"/>
        <bgColor indexed="64"/>
      </patternFill>
    </fill>
    <fill>
      <patternFill patternType="solid">
        <fgColor rgb="FFCCECFF"/>
        <bgColor indexed="64"/>
      </patternFill>
    </fill>
  </fills>
  <borders count="28">
    <border>
      <left/>
      <right/>
      <top/>
      <bottom/>
      <diagonal/>
    </border>
    <border>
      <left/>
      <right/>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C0C0C0"/>
      </left>
      <right style="thin">
        <color rgb="FF000000"/>
      </right>
      <top style="medium">
        <color rgb="FFC0C0C0"/>
      </top>
      <bottom style="thin">
        <color rgb="FF000000"/>
      </bottom>
      <diagonal/>
    </border>
    <border>
      <left style="thin">
        <color rgb="FF000000"/>
      </left>
      <right style="thin">
        <color rgb="FF000000"/>
      </right>
      <top style="medium">
        <color rgb="FFC0C0C0"/>
      </top>
      <bottom style="thin">
        <color rgb="FF000000"/>
      </bottom>
      <diagonal/>
    </border>
    <border>
      <left style="thin">
        <color rgb="FF000000"/>
      </left>
      <right style="medium">
        <color rgb="FFC0C0C0"/>
      </right>
      <top style="medium">
        <color rgb="FFC0C0C0"/>
      </top>
      <bottom style="thin">
        <color rgb="FF000000"/>
      </bottom>
      <diagonal/>
    </border>
    <border>
      <left style="medium">
        <color rgb="FFC0C0C0"/>
      </left>
      <right style="thin">
        <color rgb="FF000000"/>
      </right>
      <top style="thin">
        <color rgb="FF000000"/>
      </top>
      <bottom style="thin">
        <color rgb="FF000000"/>
      </bottom>
      <diagonal/>
    </border>
    <border>
      <left style="thin">
        <color rgb="FF000000"/>
      </left>
      <right style="medium">
        <color rgb="FFC0C0C0"/>
      </right>
      <top style="thin">
        <color rgb="FF000000"/>
      </top>
      <bottom style="thin">
        <color rgb="FF000000"/>
      </bottom>
      <diagonal/>
    </border>
    <border>
      <left style="medium">
        <color rgb="FFC0C0C0"/>
      </left>
      <right style="thin">
        <color rgb="FF000000"/>
      </right>
      <top style="thin">
        <color rgb="FF000000"/>
      </top>
      <bottom style="medium">
        <color rgb="FFC0C0C0"/>
      </bottom>
      <diagonal/>
    </border>
    <border>
      <left style="thin">
        <color rgb="FF000000"/>
      </left>
      <right style="thin">
        <color rgb="FF000000"/>
      </right>
      <top style="thin">
        <color rgb="FF000000"/>
      </top>
      <bottom style="medium">
        <color rgb="FFC0C0C0"/>
      </bottom>
      <diagonal/>
    </border>
    <border>
      <left style="thin">
        <color rgb="FF000000"/>
      </left>
      <right style="medium">
        <color rgb="FFC0C0C0"/>
      </right>
      <top style="thin">
        <color rgb="FF000000"/>
      </top>
      <bottom style="medium">
        <color rgb="FFC0C0C0"/>
      </bottom>
      <diagonal/>
    </border>
    <border>
      <left/>
      <right/>
      <top/>
      <bottom style="medium">
        <color rgb="FFC0C0C0"/>
      </bottom>
      <diagonal/>
    </border>
    <border>
      <left/>
      <right/>
      <top style="medium">
        <color rgb="FFC0C0C0"/>
      </top>
      <bottom/>
      <diagonal/>
    </border>
  </borders>
  <cellStyleXfs count="4">
    <xf numFmtId="0" fontId="0" fillId="0" borderId="0"/>
    <xf numFmtId="43" fontId="1" fillId="0" borderId="0" applyFont="0" applyFill="0" applyBorder="0" applyAlignment="0" applyProtection="0"/>
    <xf numFmtId="0" fontId="29" fillId="0" borderId="0" applyNumberFormat="0" applyFill="0" applyBorder="0" applyAlignment="0" applyProtection="0"/>
    <xf numFmtId="9" fontId="1" fillId="0" borderId="0" applyFont="0" applyFill="0" applyBorder="0" applyAlignment="0" applyProtection="0"/>
  </cellStyleXfs>
  <cellXfs count="262">
    <xf numFmtId="0" fontId="0" fillId="0" borderId="0" xfId="0"/>
    <xf numFmtId="9" fontId="0" fillId="0" borderId="0" xfId="3" applyFont="1"/>
    <xf numFmtId="165" fontId="0" fillId="0" borderId="0" xfId="1" applyNumberFormat="1" applyFont="1"/>
    <xf numFmtId="0" fontId="3" fillId="0" borderId="0" xfId="0" applyFont="1"/>
    <xf numFmtId="165" fontId="0" fillId="0" borderId="0" xfId="0" applyNumberFormat="1"/>
    <xf numFmtId="43"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0" xfId="0" quotePrefix="1"/>
    <xf numFmtId="0" fontId="3" fillId="0" borderId="1" xfId="0" applyFont="1" applyBorder="1"/>
    <xf numFmtId="15" fontId="3" fillId="0" borderId="1" xfId="0" applyNumberFormat="1" applyFont="1" applyBorder="1"/>
    <xf numFmtId="0" fontId="0" fillId="0" borderId="0" xfId="0" applyFill="1" applyBorder="1"/>
    <xf numFmtId="0" fontId="0" fillId="2" borderId="0" xfId="0" applyFill="1"/>
    <xf numFmtId="0" fontId="0" fillId="0" borderId="0" xfId="0" applyBorder="1"/>
    <xf numFmtId="165" fontId="0" fillId="0" borderId="0" xfId="1" applyNumberFormat="1" applyFont="1" applyBorder="1"/>
    <xf numFmtId="15" fontId="3" fillId="0" borderId="0" xfId="0" applyNumberFormat="1" applyFont="1" applyBorder="1"/>
    <xf numFmtId="15" fontId="0" fillId="0" borderId="0" xfId="0" applyNumberFormat="1"/>
    <xf numFmtId="9" fontId="0" fillId="0" borderId="0" xfId="3" applyFont="1" applyFill="1" applyBorder="1"/>
    <xf numFmtId="168" fontId="0" fillId="0" borderId="0" xfId="3" applyNumberFormat="1" applyFont="1"/>
    <xf numFmtId="0" fontId="5" fillId="3" borderId="0" xfId="0" applyFont="1" applyFill="1" applyBorder="1"/>
    <xf numFmtId="0" fontId="5" fillId="3" borderId="7" xfId="0" applyFont="1" applyFill="1" applyBorder="1"/>
    <xf numFmtId="0" fontId="4" fillId="3" borderId="2" xfId="0" applyFont="1" applyFill="1" applyBorder="1"/>
    <xf numFmtId="0" fontId="4" fillId="4" borderId="2" xfId="0" applyFont="1" applyFill="1" applyBorder="1"/>
    <xf numFmtId="170" fontId="4" fillId="4" borderId="0" xfId="0" applyNumberFormat="1" applyFont="1" applyFill="1" applyAlignment="1">
      <alignment horizontal="left"/>
    </xf>
    <xf numFmtId="0" fontId="0" fillId="5" borderId="0" xfId="0" applyFill="1"/>
    <xf numFmtId="0" fontId="7" fillId="3" borderId="8" xfId="0" quotePrefix="1" applyFont="1" applyFill="1" applyBorder="1" applyAlignment="1">
      <alignment horizontal="right"/>
    </xf>
    <xf numFmtId="0" fontId="0" fillId="0" borderId="0" xfId="3" applyNumberFormat="1" applyFont="1"/>
    <xf numFmtId="1" fontId="0" fillId="0" borderId="0" xfId="3" applyNumberFormat="1" applyFont="1" applyFill="1" applyBorder="1"/>
    <xf numFmtId="0" fontId="0" fillId="6" borderId="0" xfId="0" applyFill="1" applyBorder="1"/>
    <xf numFmtId="15" fontId="0" fillId="0" borderId="0" xfId="0" applyNumberFormat="1" applyFill="1"/>
    <xf numFmtId="165" fontId="0" fillId="0" borderId="0" xfId="0" applyNumberFormat="1" applyFill="1"/>
    <xf numFmtId="165" fontId="0" fillId="0" borderId="0" xfId="1" applyNumberFormat="1" applyFont="1" applyFill="1" applyBorder="1"/>
    <xf numFmtId="0" fontId="4" fillId="4" borderId="8" xfId="0" applyFont="1" applyFill="1" applyBorder="1" applyAlignment="1">
      <alignment horizontal="right" wrapText="1"/>
    </xf>
    <xf numFmtId="0" fontId="4" fillId="4" borderId="4" xfId="0" applyFont="1" applyFill="1" applyBorder="1" applyAlignment="1">
      <alignment horizontal="right" wrapText="1"/>
    </xf>
    <xf numFmtId="0" fontId="4" fillId="4" borderId="9" xfId="0" applyFont="1" applyFill="1" applyBorder="1" applyAlignment="1">
      <alignment horizontal="right" wrapText="1"/>
    </xf>
    <xf numFmtId="0" fontId="4" fillId="4" borderId="0" xfId="0" applyFont="1" applyFill="1" applyBorder="1"/>
    <xf numFmtId="3" fontId="4" fillId="3" borderId="0" xfId="0" applyNumberFormat="1" applyFont="1" applyFill="1" applyBorder="1"/>
    <xf numFmtId="3" fontId="5" fillId="3" borderId="9" xfId="0" applyNumberFormat="1" applyFont="1" applyFill="1" applyBorder="1"/>
    <xf numFmtId="3" fontId="4" fillId="3" borderId="4" xfId="0" applyNumberFormat="1" applyFont="1" applyFill="1" applyBorder="1"/>
    <xf numFmtId="165" fontId="1" fillId="0" borderId="0" xfId="1" applyNumberFormat="1"/>
    <xf numFmtId="0" fontId="1" fillId="0" borderId="0" xfId="3" applyNumberFormat="1"/>
    <xf numFmtId="0" fontId="15" fillId="0" borderId="0" xfId="0" applyFont="1"/>
    <xf numFmtId="0" fontId="16" fillId="0" borderId="0" xfId="0" applyFont="1"/>
    <xf numFmtId="43" fontId="0" fillId="0" borderId="0" xfId="1" applyFont="1"/>
    <xf numFmtId="0" fontId="15" fillId="0" borderId="0" xfId="0" applyFont="1" applyFill="1" applyBorder="1"/>
    <xf numFmtId="15" fontId="3" fillId="7" borderId="0" xfId="0" applyNumberFormat="1" applyFont="1" applyFill="1" applyBorder="1"/>
    <xf numFmtId="0" fontId="3" fillId="7" borderId="0" xfId="0" applyFont="1" applyFill="1"/>
    <xf numFmtId="165" fontId="0" fillId="7" borderId="0" xfId="1" applyNumberFormat="1" applyFont="1" applyFill="1"/>
    <xf numFmtId="9" fontId="0" fillId="7" borderId="0" xfId="3" applyFont="1" applyFill="1"/>
    <xf numFmtId="15" fontId="0" fillId="7" borderId="0" xfId="0" applyNumberFormat="1" applyFill="1"/>
    <xf numFmtId="0" fontId="0" fillId="7" borderId="0" xfId="0" applyFill="1"/>
    <xf numFmtId="165" fontId="0" fillId="7" borderId="0" xfId="1" applyNumberFormat="1" applyFont="1" applyFill="1" applyBorder="1"/>
    <xf numFmtId="0" fontId="0" fillId="7" borderId="0" xfId="3" applyNumberFormat="1" applyFont="1" applyFill="1"/>
    <xf numFmtId="15" fontId="3" fillId="0" borderId="0" xfId="0" applyNumberFormat="1" applyFont="1" applyFill="1" applyBorder="1"/>
    <xf numFmtId="0" fontId="3" fillId="0" borderId="0" xfId="0" applyFont="1" applyFill="1"/>
    <xf numFmtId="0" fontId="0" fillId="0" borderId="0" xfId="0" applyFill="1"/>
    <xf numFmtId="165" fontId="1" fillId="0" borderId="0" xfId="1" applyNumberFormat="1" applyFont="1"/>
    <xf numFmtId="0" fontId="1" fillId="0" borderId="0" xfId="3" applyNumberFormat="1" applyFont="1"/>
    <xf numFmtId="0" fontId="0" fillId="0" borderId="9" xfId="0" applyBorder="1"/>
    <xf numFmtId="0" fontId="17" fillId="0" borderId="0" xfId="0" applyFont="1"/>
    <xf numFmtId="0" fontId="18" fillId="0" borderId="0" xfId="0" applyFont="1"/>
    <xf numFmtId="43" fontId="0" fillId="0" borderId="0" xfId="0" applyNumberFormat="1" applyBorder="1"/>
    <xf numFmtId="164" fontId="0" fillId="0" borderId="0" xfId="1" applyNumberFormat="1" applyFont="1"/>
    <xf numFmtId="164" fontId="0" fillId="0" borderId="0" xfId="0" applyNumberFormat="1"/>
    <xf numFmtId="165" fontId="0" fillId="0" borderId="0" xfId="3" applyNumberFormat="1" applyFont="1"/>
    <xf numFmtId="0" fontId="18" fillId="0" borderId="0" xfId="0" applyFont="1" applyAlignment="1"/>
    <xf numFmtId="0" fontId="19" fillId="0" borderId="0" xfId="0" applyFont="1"/>
    <xf numFmtId="2" fontId="0" fillId="0" borderId="0" xfId="0" applyNumberFormat="1" applyFill="1"/>
    <xf numFmtId="0" fontId="6" fillId="0" borderId="0" xfId="0" applyFont="1"/>
    <xf numFmtId="15" fontId="0" fillId="2" borderId="0" xfId="0" applyNumberFormat="1" applyFill="1"/>
    <xf numFmtId="15" fontId="3" fillId="2" borderId="0" xfId="0" applyNumberFormat="1" applyFont="1" applyFill="1" applyBorder="1"/>
    <xf numFmtId="0" fontId="3" fillId="2" borderId="0" xfId="0" applyFont="1" applyFill="1"/>
    <xf numFmtId="3" fontId="0" fillId="0" borderId="0" xfId="0" applyNumberFormat="1"/>
    <xf numFmtId="0" fontId="0" fillId="4" borderId="0" xfId="0" applyFill="1"/>
    <xf numFmtId="166" fontId="0" fillId="0" borderId="0" xfId="3" applyNumberFormat="1" applyFont="1"/>
    <xf numFmtId="0" fontId="0" fillId="8" borderId="0" xfId="0" applyFill="1"/>
    <xf numFmtId="166" fontId="0" fillId="8" borderId="0" xfId="3" applyNumberFormat="1" applyFont="1" applyFill="1"/>
    <xf numFmtId="0" fontId="0" fillId="9" borderId="0" xfId="0" applyFill="1"/>
    <xf numFmtId="0" fontId="0" fillId="10" borderId="0" xfId="0" applyFill="1" applyBorder="1"/>
    <xf numFmtId="1" fontId="0" fillId="0" borderId="0" xfId="3" applyNumberFormat="1" applyFont="1"/>
    <xf numFmtId="0" fontId="20" fillId="0" borderId="0" xfId="0" applyFont="1"/>
    <xf numFmtId="165" fontId="0" fillId="10" borderId="0" xfId="0" applyNumberFormat="1" applyFill="1"/>
    <xf numFmtId="171" fontId="0" fillId="0" borderId="0" xfId="1" applyNumberFormat="1" applyFont="1"/>
    <xf numFmtId="171" fontId="0" fillId="0" borderId="0" xfId="0" applyNumberFormat="1"/>
    <xf numFmtId="16" fontId="0" fillId="0" borderId="0" xfId="0" applyNumberFormat="1" applyBorder="1"/>
    <xf numFmtId="0" fontId="0" fillId="11" borderId="0" xfId="0" applyFill="1"/>
    <xf numFmtId="0" fontId="5" fillId="12" borderId="0" xfId="0" applyFont="1" applyFill="1" applyBorder="1"/>
    <xf numFmtId="0" fontId="0" fillId="11" borderId="0" xfId="0" applyFill="1" applyBorder="1"/>
    <xf numFmtId="0" fontId="4" fillId="13" borderId="0" xfId="0" applyFont="1" applyFill="1" applyBorder="1"/>
    <xf numFmtId="0" fontId="4" fillId="13" borderId="0" xfId="0" applyFont="1" applyFill="1" applyBorder="1" applyAlignment="1">
      <alignment horizontal="right"/>
    </xf>
    <xf numFmtId="0" fontId="4" fillId="13" borderId="0" xfId="0" applyFont="1" applyFill="1" applyBorder="1" applyAlignment="1">
      <alignment horizontal="right" vertical="center"/>
    </xf>
    <xf numFmtId="0" fontId="0" fillId="13" borderId="0" xfId="0" applyFill="1" applyBorder="1"/>
    <xf numFmtId="0" fontId="7" fillId="12" borderId="0" xfId="0" quotePrefix="1" applyFont="1" applyFill="1" applyBorder="1" applyAlignment="1">
      <alignment horizontal="center"/>
    </xf>
    <xf numFmtId="0" fontId="4" fillId="12" borderId="0" xfId="0" quotePrefix="1" applyFont="1" applyFill="1" applyBorder="1" applyAlignment="1"/>
    <xf numFmtId="0" fontId="7" fillId="12" borderId="0" xfId="0" quotePrefix="1" applyFont="1" applyFill="1" applyBorder="1" applyAlignment="1"/>
    <xf numFmtId="3" fontId="5" fillId="12" borderId="0" xfId="1" applyNumberFormat="1" applyFont="1" applyFill="1" applyBorder="1"/>
    <xf numFmtId="165" fontId="5" fillId="12" borderId="0" xfId="0" applyNumberFormat="1" applyFont="1" applyFill="1" applyBorder="1"/>
    <xf numFmtId="3" fontId="5" fillId="12" borderId="9" xfId="0" applyNumberFormat="1" applyFont="1" applyFill="1" applyBorder="1"/>
    <xf numFmtId="169" fontId="4" fillId="12" borderId="0" xfId="3" applyNumberFormat="1" applyFont="1" applyFill="1" applyBorder="1"/>
    <xf numFmtId="3" fontId="5" fillId="12" borderId="0" xfId="1" applyNumberFormat="1" applyFont="1" applyFill="1" applyBorder="1" applyAlignment="1">
      <alignment horizontal="right"/>
    </xf>
    <xf numFmtId="169" fontId="5" fillId="12" borderId="0" xfId="0" applyNumberFormat="1" applyFont="1" applyFill="1" applyBorder="1"/>
    <xf numFmtId="0" fontId="10" fillId="12" borderId="0" xfId="0" applyFont="1" applyFill="1" applyBorder="1"/>
    <xf numFmtId="165" fontId="5" fillId="11" borderId="0" xfId="0" applyNumberFormat="1" applyFont="1" applyFill="1" applyBorder="1"/>
    <xf numFmtId="165" fontId="4" fillId="12" borderId="0" xfId="0" applyNumberFormat="1" applyFont="1" applyFill="1" applyBorder="1"/>
    <xf numFmtId="3" fontId="4" fillId="12" borderId="0" xfId="0" applyNumberFormat="1" applyFont="1" applyFill="1" applyBorder="1"/>
    <xf numFmtId="9" fontId="4" fillId="12" borderId="0" xfId="3" applyNumberFormat="1" applyFont="1" applyFill="1" applyBorder="1" applyAlignment="1">
      <alignment horizontal="left"/>
    </xf>
    <xf numFmtId="0" fontId="5" fillId="12" borderId="0" xfId="0" applyFont="1" applyFill="1" applyBorder="1" applyAlignment="1">
      <alignment horizontal="left"/>
    </xf>
    <xf numFmtId="0" fontId="13" fillId="12" borderId="0" xfId="0" applyFont="1" applyFill="1" applyBorder="1" applyAlignment="1">
      <alignment horizontal="left"/>
    </xf>
    <xf numFmtId="0" fontId="9" fillId="12" borderId="0" xfId="0" applyFont="1" applyFill="1" applyBorder="1" applyAlignment="1"/>
    <xf numFmtId="0" fontId="6" fillId="12" borderId="0" xfId="0" quotePrefix="1" applyFont="1" applyFill="1" applyBorder="1" applyAlignment="1">
      <alignment wrapText="1"/>
    </xf>
    <xf numFmtId="173" fontId="0" fillId="0" borderId="0" xfId="0" applyNumberFormat="1" applyBorder="1"/>
    <xf numFmtId="3" fontId="0" fillId="0" borderId="0" xfId="0" applyNumberFormat="1" applyBorder="1"/>
    <xf numFmtId="14" fontId="0" fillId="0" borderId="0" xfId="0" applyNumberFormat="1"/>
    <xf numFmtId="0" fontId="1" fillId="0" borderId="0" xfId="0" applyFont="1"/>
    <xf numFmtId="174" fontId="0" fillId="0" borderId="0" xfId="0" applyNumberFormat="1"/>
    <xf numFmtId="0" fontId="17" fillId="0" borderId="0" xfId="0" applyFont="1" applyAlignment="1">
      <alignment vertical="center"/>
    </xf>
    <xf numFmtId="0" fontId="13" fillId="3" borderId="0" xfId="0" applyFont="1" applyFill="1" applyBorder="1" applyAlignment="1">
      <alignment vertical="center" wrapText="1"/>
    </xf>
    <xf numFmtId="15" fontId="0" fillId="15" borderId="0" xfId="0" applyNumberFormat="1" applyFill="1"/>
    <xf numFmtId="0" fontId="0" fillId="0" borderId="0" xfId="0" applyAlignment="1">
      <alignment vertical="center"/>
    </xf>
    <xf numFmtId="0" fontId="20" fillId="0" borderId="0" xfId="0" applyFont="1" applyAlignment="1">
      <alignment vertical="center"/>
    </xf>
    <xf numFmtId="17" fontId="0" fillId="0" borderId="0" xfId="0" applyNumberFormat="1"/>
    <xf numFmtId="0" fontId="21" fillId="0" borderId="0" xfId="0" applyFont="1"/>
    <xf numFmtId="3" fontId="5" fillId="16" borderId="0" xfId="1" applyNumberFormat="1" applyFont="1" applyFill="1" applyBorder="1"/>
    <xf numFmtId="0" fontId="0" fillId="16" borderId="0" xfId="0" applyFill="1"/>
    <xf numFmtId="0" fontId="6" fillId="17" borderId="0" xfId="0" quotePrefix="1" applyFont="1" applyFill="1" applyBorder="1" applyAlignment="1">
      <alignment wrapText="1"/>
    </xf>
    <xf numFmtId="3" fontId="0" fillId="16" borderId="0" xfId="0" applyNumberFormat="1" applyFill="1"/>
    <xf numFmtId="3" fontId="4" fillId="16" borderId="0" xfId="0" applyNumberFormat="1" applyFont="1" applyFill="1" applyBorder="1"/>
    <xf numFmtId="0" fontId="0" fillId="16" borderId="0" xfId="0" applyFill="1" applyBorder="1"/>
    <xf numFmtId="0" fontId="7" fillId="16" borderId="0" xfId="0" applyFont="1" applyFill="1" applyBorder="1" applyAlignment="1"/>
    <xf numFmtId="43" fontId="24" fillId="16" borderId="0" xfId="1" applyFont="1" applyFill="1"/>
    <xf numFmtId="9" fontId="24" fillId="16" borderId="0" xfId="3" applyFont="1" applyFill="1"/>
    <xf numFmtId="172" fontId="0" fillId="16" borderId="0" xfId="0" applyNumberFormat="1" applyFill="1" applyBorder="1"/>
    <xf numFmtId="9" fontId="4" fillId="17" borderId="0" xfId="3" applyFont="1" applyFill="1" applyBorder="1"/>
    <xf numFmtId="3" fontId="4" fillId="17" borderId="0" xfId="0" applyNumberFormat="1" applyFont="1" applyFill="1" applyBorder="1"/>
    <xf numFmtId="43" fontId="0" fillId="16" borderId="0" xfId="0" applyNumberFormat="1" applyFill="1" applyBorder="1"/>
    <xf numFmtId="165" fontId="23" fillId="0" borderId="0" xfId="1" applyNumberFormat="1" applyFont="1" applyFill="1"/>
    <xf numFmtId="165" fontId="22" fillId="0" borderId="0" xfId="1" applyNumberFormat="1" applyFont="1" applyFill="1"/>
    <xf numFmtId="165" fontId="23" fillId="0" borderId="0" xfId="1" applyNumberFormat="1" applyFont="1" applyFill="1" applyBorder="1"/>
    <xf numFmtId="165" fontId="22" fillId="0" borderId="0" xfId="1" applyNumberFormat="1" applyFont="1" applyFill="1" applyBorder="1"/>
    <xf numFmtId="166" fontId="0" fillId="0" borderId="0" xfId="0" applyNumberFormat="1"/>
    <xf numFmtId="166" fontId="1" fillId="0" borderId="0" xfId="0" applyNumberFormat="1" applyFont="1"/>
    <xf numFmtId="164" fontId="1" fillId="0" borderId="0" xfId="1" applyNumberFormat="1" applyFont="1"/>
    <xf numFmtId="175" fontId="0" fillId="0" borderId="0" xfId="1" applyNumberFormat="1" applyFont="1"/>
    <xf numFmtId="175" fontId="1" fillId="0" borderId="0" xfId="1" applyNumberFormat="1" applyFont="1"/>
    <xf numFmtId="164" fontId="20" fillId="0" borderId="0" xfId="1" applyNumberFormat="1" applyFont="1"/>
    <xf numFmtId="166" fontId="0" fillId="0" borderId="0" xfId="0" applyNumberFormat="1" applyFill="1"/>
    <xf numFmtId="166" fontId="0" fillId="0" borderId="0" xfId="1" applyNumberFormat="1" applyFont="1"/>
    <xf numFmtId="165" fontId="25" fillId="0" borderId="0" xfId="1" applyNumberFormat="1" applyFont="1" applyFill="1" applyBorder="1"/>
    <xf numFmtId="0" fontId="26" fillId="0" borderId="0" xfId="0" applyFont="1" applyAlignment="1">
      <alignment vertical="center"/>
    </xf>
    <xf numFmtId="0" fontId="1" fillId="0" borderId="0" xfId="0" quotePrefix="1" applyFont="1"/>
    <xf numFmtId="20" fontId="0" fillId="0" borderId="0" xfId="0" applyNumberFormat="1"/>
    <xf numFmtId="18" fontId="0" fillId="0" borderId="0" xfId="0" applyNumberFormat="1"/>
    <xf numFmtId="0" fontId="1" fillId="0" borderId="2" xfId="0" applyFont="1" applyBorder="1"/>
    <xf numFmtId="175" fontId="0" fillId="0" borderId="0" xfId="0" applyNumberFormat="1"/>
    <xf numFmtId="15" fontId="3" fillId="0" borderId="0" xfId="0" applyNumberFormat="1" applyFont="1"/>
    <xf numFmtId="15" fontId="30" fillId="0" borderId="0" xfId="0" applyNumberFormat="1" applyFont="1"/>
    <xf numFmtId="43" fontId="30" fillId="0" borderId="0" xfId="0" applyNumberFormat="1" applyFont="1"/>
    <xf numFmtId="0" fontId="1" fillId="0" borderId="13" xfId="0" applyFont="1" applyBorder="1" applyAlignment="1">
      <alignment wrapText="1"/>
    </xf>
    <xf numFmtId="0" fontId="1" fillId="0" borderId="13" xfId="0" applyFont="1" applyBorder="1"/>
    <xf numFmtId="15" fontId="1" fillId="0" borderId="0" xfId="0" applyNumberFormat="1" applyFont="1"/>
    <xf numFmtId="3" fontId="3" fillId="0" borderId="0" xfId="0" applyNumberFormat="1" applyFont="1"/>
    <xf numFmtId="43" fontId="3" fillId="18" borderId="0" xfId="0" applyNumberFormat="1" applyFont="1" applyFill="1"/>
    <xf numFmtId="37" fontId="0" fillId="0" borderId="0" xfId="0" applyNumberFormat="1"/>
    <xf numFmtId="176" fontId="0" fillId="0" borderId="0" xfId="1" applyNumberFormat="1" applyFont="1"/>
    <xf numFmtId="0" fontId="0" fillId="19" borderId="13" xfId="0" applyFill="1" applyBorder="1" applyAlignment="1">
      <alignment horizontal="right" wrapText="1"/>
    </xf>
    <xf numFmtId="0" fontId="0" fillId="15" borderId="13" xfId="0" applyFill="1" applyBorder="1" applyAlignment="1">
      <alignment horizontal="right" wrapText="1"/>
    </xf>
    <xf numFmtId="0" fontId="0" fillId="20" borderId="13" xfId="0" applyFill="1" applyBorder="1" applyAlignment="1">
      <alignment horizontal="right" wrapText="1"/>
    </xf>
    <xf numFmtId="0" fontId="3" fillId="20" borderId="13" xfId="0" applyFont="1" applyFill="1" applyBorder="1" applyAlignment="1">
      <alignment horizontal="right" wrapText="1"/>
    </xf>
    <xf numFmtId="0" fontId="3" fillId="19" borderId="13" xfId="0" applyFont="1" applyFill="1" applyBorder="1" applyAlignment="1">
      <alignment horizontal="right" wrapText="1"/>
    </xf>
    <xf numFmtId="0" fontId="29" fillId="0" borderId="0" xfId="2" applyAlignment="1">
      <alignment horizontal="right" vertical="center" wrapText="1"/>
    </xf>
    <xf numFmtId="0" fontId="31" fillId="0" borderId="17" xfId="0" applyFont="1" applyBorder="1" applyAlignment="1">
      <alignment horizontal="left" vertical="center" wrapText="1"/>
    </xf>
    <xf numFmtId="3" fontId="31" fillId="0" borderId="17" xfId="0" applyNumberFormat="1" applyFont="1" applyBorder="1" applyAlignment="1">
      <alignment horizontal="right" vertical="center" wrapText="1"/>
    </xf>
    <xf numFmtId="0" fontId="31" fillId="21" borderId="17" xfId="0" applyFont="1" applyFill="1" applyBorder="1" applyAlignment="1">
      <alignment horizontal="left" vertical="center" wrapText="1"/>
    </xf>
    <xf numFmtId="3" fontId="31" fillId="21" borderId="17" xfId="0" applyNumberFormat="1" applyFont="1" applyFill="1" applyBorder="1" applyAlignment="1">
      <alignment horizontal="right" vertical="center" wrapText="1"/>
    </xf>
    <xf numFmtId="0" fontId="32" fillId="22" borderId="18" xfId="0" applyFont="1" applyFill="1" applyBorder="1" applyAlignment="1">
      <alignment horizontal="center" vertical="center" wrapText="1"/>
    </xf>
    <xf numFmtId="0" fontId="32" fillId="22" borderId="19" xfId="0" applyFont="1" applyFill="1" applyBorder="1" applyAlignment="1">
      <alignment horizontal="center" vertical="center" wrapText="1"/>
    </xf>
    <xf numFmtId="0" fontId="32" fillId="22" borderId="20" xfId="0" applyFont="1" applyFill="1" applyBorder="1" applyAlignment="1">
      <alignment horizontal="center" vertical="center" wrapText="1"/>
    </xf>
    <xf numFmtId="0" fontId="31" fillId="0" borderId="21" xfId="0" applyFont="1" applyBorder="1" applyAlignment="1">
      <alignment horizontal="left" vertical="center" wrapText="1"/>
    </xf>
    <xf numFmtId="0" fontId="31" fillId="0" borderId="22" xfId="0" applyFont="1" applyBorder="1" applyAlignment="1">
      <alignment horizontal="right" vertical="center" wrapText="1"/>
    </xf>
    <xf numFmtId="0" fontId="31" fillId="21" borderId="21" xfId="0" applyFont="1" applyFill="1" applyBorder="1" applyAlignment="1">
      <alignment horizontal="left" vertical="center" wrapText="1"/>
    </xf>
    <xf numFmtId="0" fontId="31" fillId="21" borderId="22" xfId="0" applyFont="1" applyFill="1" applyBorder="1" applyAlignment="1">
      <alignment horizontal="right" vertical="center" wrapText="1"/>
    </xf>
    <xf numFmtId="0" fontId="31" fillId="0" borderId="23" xfId="0" applyFont="1" applyBorder="1" applyAlignment="1">
      <alignment horizontal="left" vertical="center" wrapText="1"/>
    </xf>
    <xf numFmtId="0" fontId="31" fillId="0" borderId="24" xfId="0" applyFont="1" applyBorder="1" applyAlignment="1">
      <alignment horizontal="left" vertical="center" wrapText="1"/>
    </xf>
    <xf numFmtId="3" fontId="31" fillId="0" borderId="24" xfId="0" applyNumberFormat="1" applyFont="1" applyBorder="1" applyAlignment="1">
      <alignment horizontal="right" vertical="center" wrapText="1"/>
    </xf>
    <xf numFmtId="0" fontId="31" fillId="0" borderId="25" xfId="0" applyFont="1" applyBorder="1" applyAlignment="1">
      <alignment horizontal="right" vertical="center" wrapText="1"/>
    </xf>
    <xf numFmtId="167" fontId="1" fillId="0" borderId="0" xfId="0" applyNumberFormat="1" applyFont="1"/>
    <xf numFmtId="0" fontId="27" fillId="0" borderId="0" xfId="0" applyFont="1"/>
    <xf numFmtId="0" fontId="28" fillId="0" borderId="0" xfId="0" applyFont="1" applyAlignment="1">
      <alignment vertical="center"/>
    </xf>
    <xf numFmtId="9" fontId="0" fillId="0" borderId="0" xfId="3" applyFont="1" applyBorder="1"/>
    <xf numFmtId="3" fontId="5" fillId="12" borderId="0" xfId="0" applyNumberFormat="1" applyFont="1" applyFill="1" applyBorder="1"/>
    <xf numFmtId="0" fontId="20" fillId="0" borderId="0" xfId="0" applyFont="1" applyFill="1" applyAlignment="1">
      <alignment vertical="center"/>
    </xf>
    <xf numFmtId="0" fontId="0" fillId="18" borderId="4" xfId="0" applyFill="1" applyBorder="1"/>
    <xf numFmtId="0" fontId="0" fillId="0" borderId="0" xfId="0" applyFill="1" applyAlignment="1">
      <alignment vertical="center"/>
    </xf>
    <xf numFmtId="164" fontId="0" fillId="0" borderId="0" xfId="0" applyNumberFormat="1" applyFill="1"/>
    <xf numFmtId="166" fontId="0" fillId="23" borderId="0" xfId="0" applyNumberFormat="1" applyFill="1"/>
    <xf numFmtId="166" fontId="0" fillId="24" borderId="0" xfId="0" applyNumberFormat="1" applyFill="1"/>
    <xf numFmtId="166" fontId="3" fillId="0" borderId="0" xfId="0" applyNumberFormat="1" applyFont="1"/>
    <xf numFmtId="175" fontId="3" fillId="0" borderId="0" xfId="1" applyNumberFormat="1" applyFont="1"/>
    <xf numFmtId="0" fontId="0" fillId="20" borderId="0" xfId="0" applyFill="1"/>
    <xf numFmtId="0" fontId="0" fillId="24" borderId="0" xfId="0" applyFill="1"/>
    <xf numFmtId="0" fontId="3" fillId="0" borderId="2" xfId="0" applyFont="1" applyBorder="1"/>
    <xf numFmtId="0" fontId="0" fillId="25" borderId="0" xfId="0" applyFill="1"/>
    <xf numFmtId="164" fontId="3" fillId="0" borderId="0" xfId="1" applyNumberFormat="1" applyFont="1"/>
    <xf numFmtId="164" fontId="0" fillId="25" borderId="0" xfId="0" applyNumberFormat="1" applyFill="1"/>
    <xf numFmtId="164" fontId="0" fillId="24" borderId="0" xfId="0" applyNumberFormat="1" applyFill="1"/>
    <xf numFmtId="166" fontId="0" fillId="20" borderId="0" xfId="0" applyNumberFormat="1" applyFill="1"/>
    <xf numFmtId="0" fontId="20" fillId="0" borderId="0" xfId="0" applyFont="1" applyFill="1"/>
    <xf numFmtId="0" fontId="6" fillId="12" borderId="0" xfId="0" applyFont="1" applyFill="1" applyBorder="1" applyAlignment="1">
      <alignment horizontal="left" wrapText="1"/>
    </xf>
    <xf numFmtId="0" fontId="13" fillId="12" borderId="0" xfId="0" applyFont="1" applyFill="1" applyBorder="1" applyAlignment="1">
      <alignment horizontal="left" wrapText="1"/>
    </xf>
    <xf numFmtId="0" fontId="13" fillId="12" borderId="0" xfId="0" applyFont="1" applyFill="1" applyBorder="1" applyAlignment="1">
      <alignment horizontal="left" vertical="center" wrapText="1"/>
    </xf>
    <xf numFmtId="0" fontId="14" fillId="12" borderId="0" xfId="0" applyFont="1" applyFill="1" applyBorder="1" applyAlignment="1"/>
    <xf numFmtId="0" fontId="13" fillId="3" borderId="0" xfId="0" applyFont="1" applyFill="1" applyBorder="1" applyAlignment="1">
      <alignment horizontal="left" wrapText="1"/>
    </xf>
    <xf numFmtId="0" fontId="6" fillId="3" borderId="0" xfId="0" applyFont="1" applyFill="1" applyBorder="1" applyAlignment="1">
      <alignment horizontal="left" wrapText="1"/>
    </xf>
    <xf numFmtId="0" fontId="13" fillId="16" borderId="0" xfId="0" applyFont="1" applyFill="1" applyBorder="1" applyAlignment="1">
      <alignment horizontal="left" wrapText="1"/>
    </xf>
    <xf numFmtId="0" fontId="0" fillId="0" borderId="14" xfId="0" applyBorder="1" applyAlignment="1">
      <alignment horizontal="center"/>
    </xf>
    <xf numFmtId="0" fontId="0" fillId="0" borderId="15" xfId="0" applyBorder="1" applyAlignment="1">
      <alignment horizontal="center"/>
    </xf>
    <xf numFmtId="0" fontId="31" fillId="0" borderId="0" xfId="0" applyFont="1" applyAlignment="1">
      <alignment vertical="center" wrapText="1"/>
    </xf>
    <xf numFmtId="0" fontId="31" fillId="0" borderId="26" xfId="0" applyFont="1" applyBorder="1" applyAlignment="1">
      <alignment vertical="center" wrapText="1"/>
    </xf>
    <xf numFmtId="0" fontId="31" fillId="0" borderId="27" xfId="0" applyFont="1" applyBorder="1" applyAlignment="1">
      <alignment vertical="center" wrapText="1"/>
    </xf>
    <xf numFmtId="0" fontId="0" fillId="0" borderId="9" xfId="0" applyBorder="1" applyAlignment="1">
      <alignment horizontal="center"/>
    </xf>
    <xf numFmtId="0" fontId="0" fillId="0" borderId="10" xfId="0" applyBorder="1" applyAlignment="1">
      <alignment horizontal="center"/>
    </xf>
    <xf numFmtId="0" fontId="0" fillId="9" borderId="0" xfId="0" applyFill="1" applyAlignment="1">
      <alignment horizontal="center" wrapText="1"/>
    </xf>
    <xf numFmtId="0" fontId="0" fillId="14" borderId="0" xfId="0" applyFill="1" applyAlignment="1">
      <alignment horizontal="center" wrapText="1"/>
    </xf>
    <xf numFmtId="0" fontId="1" fillId="15" borderId="13" xfId="0" applyFont="1" applyFill="1" applyBorder="1" applyAlignment="1">
      <alignment horizontal="center" wrapText="1"/>
    </xf>
    <xf numFmtId="0" fontId="1" fillId="20" borderId="13" xfId="0" applyFont="1" applyFill="1" applyBorder="1" applyAlignment="1">
      <alignment horizontal="center" wrapText="1"/>
    </xf>
    <xf numFmtId="0" fontId="1" fillId="19" borderId="16" xfId="0" applyFont="1" applyFill="1" applyBorder="1" applyAlignment="1">
      <alignment horizontal="center"/>
    </xf>
    <xf numFmtId="0" fontId="1" fillId="19" borderId="11" xfId="0" applyFont="1" applyFill="1" applyBorder="1" applyAlignment="1">
      <alignment horizontal="center"/>
    </xf>
    <xf numFmtId="0" fontId="0" fillId="19" borderId="11" xfId="0" applyFill="1" applyBorder="1" applyAlignment="1">
      <alignment horizontal="center"/>
    </xf>
    <xf numFmtId="0" fontId="0" fillId="19" borderId="12" xfId="0" applyFill="1" applyBorder="1" applyAlignment="1">
      <alignment horizontal="center"/>
    </xf>
    <xf numFmtId="0" fontId="1" fillId="0" borderId="16" xfId="0" applyFont="1" applyBorder="1" applyAlignment="1">
      <alignment horizontal="center"/>
    </xf>
    <xf numFmtId="0" fontId="0" fillId="0" borderId="12" xfId="0" applyBorder="1" applyAlignment="1">
      <alignment horizontal="center"/>
    </xf>
    <xf numFmtId="0" fontId="10" fillId="11" borderId="0" xfId="0" applyFont="1" applyFill="1" applyBorder="1"/>
    <xf numFmtId="0" fontId="11" fillId="12" borderId="0" xfId="0" applyFont="1" applyFill="1" applyBorder="1"/>
    <xf numFmtId="0" fontId="8" fillId="12" borderId="0" xfId="0" applyFont="1" applyFill="1" applyBorder="1"/>
    <xf numFmtId="15" fontId="8" fillId="12" borderId="0" xfId="0" applyNumberFormat="1" applyFont="1" applyFill="1" applyBorder="1"/>
    <xf numFmtId="170" fontId="4" fillId="13" borderId="0" xfId="0" applyNumberFormat="1" applyFont="1" applyFill="1" applyBorder="1" applyAlignment="1">
      <alignment horizontal="left"/>
    </xf>
    <xf numFmtId="0" fontId="4" fillId="13" borderId="0" xfId="0" applyFont="1" applyFill="1" applyBorder="1" applyAlignment="1">
      <alignment horizontal="center" wrapText="1"/>
    </xf>
    <xf numFmtId="0" fontId="4" fillId="13" borderId="0" xfId="0" applyFont="1" applyFill="1" applyBorder="1" applyAlignment="1">
      <alignment horizontal="center" wrapText="1"/>
    </xf>
    <xf numFmtId="0" fontId="4" fillId="13" borderId="0" xfId="0" applyFont="1" applyFill="1" applyBorder="1" applyAlignment="1">
      <alignment horizontal="right" vertical="center" wrapText="1"/>
    </xf>
    <xf numFmtId="0" fontId="4" fillId="13" borderId="0" xfId="0" applyFont="1" applyFill="1" applyBorder="1" applyAlignment="1">
      <alignment horizontal="right" wrapText="1"/>
    </xf>
    <xf numFmtId="0" fontId="7" fillId="12" borderId="0" xfId="0" applyFont="1" applyFill="1" applyBorder="1" applyAlignment="1">
      <alignment horizontal="center"/>
    </xf>
    <xf numFmtId="0" fontId="7" fillId="12" borderId="0" xfId="0" quotePrefix="1" applyFont="1" applyFill="1" applyBorder="1" applyAlignment="1">
      <alignment horizontal="right"/>
    </xf>
    <xf numFmtId="38" fontId="5" fillId="12" borderId="0" xfId="0" applyNumberFormat="1" applyFont="1" applyFill="1" applyBorder="1"/>
    <xf numFmtId="0" fontId="4" fillId="12" borderId="0" xfId="0" applyFont="1" applyFill="1" applyBorder="1"/>
    <xf numFmtId="38" fontId="4" fillId="12" borderId="0" xfId="0" applyNumberFormat="1" applyFont="1" applyFill="1" applyBorder="1"/>
    <xf numFmtId="169" fontId="4" fillId="12" borderId="0" xfId="0" applyNumberFormat="1" applyFont="1" applyFill="1" applyBorder="1"/>
    <xf numFmtId="0" fontId="4" fillId="12" borderId="0" xfId="0" applyFont="1" applyFill="1" applyBorder="1" applyAlignment="1">
      <alignment wrapText="1"/>
    </xf>
    <xf numFmtId="9" fontId="10" fillId="12" borderId="0" xfId="3" applyFont="1" applyFill="1" applyBorder="1" applyAlignment="1">
      <alignment horizontal="right"/>
    </xf>
    <xf numFmtId="165" fontId="4" fillId="12" borderId="0" xfId="1" applyNumberFormat="1" applyFont="1" applyFill="1" applyBorder="1"/>
    <xf numFmtId="0" fontId="5" fillId="12" borderId="0" xfId="0" applyFont="1" applyFill="1" applyBorder="1" applyAlignment="1">
      <alignment wrapText="1"/>
    </xf>
    <xf numFmtId="38" fontId="5" fillId="3" borderId="0" xfId="0" applyNumberFormat="1" applyFont="1" applyFill="1" applyBorder="1" applyAlignment="1">
      <alignment horizontal="right"/>
    </xf>
    <xf numFmtId="165" fontId="5" fillId="12" borderId="0" xfId="1" applyNumberFormat="1" applyFont="1" applyFill="1" applyBorder="1"/>
    <xf numFmtId="9" fontId="5" fillId="12" borderId="0" xfId="3" applyNumberFormat="1" applyFont="1" applyFill="1" applyBorder="1"/>
    <xf numFmtId="0" fontId="4" fillId="16" borderId="0" xfId="0" applyFont="1" applyFill="1" applyBorder="1"/>
    <xf numFmtId="3" fontId="4" fillId="0" borderId="0" xfId="0" applyNumberFormat="1" applyFont="1" applyFill="1" applyBorder="1"/>
    <xf numFmtId="165" fontId="4" fillId="0" borderId="0" xfId="1" applyNumberFormat="1" applyFont="1" applyFill="1" applyBorder="1"/>
    <xf numFmtId="169" fontId="4" fillId="0" borderId="0" xfId="0" applyNumberFormat="1" applyFont="1" applyFill="1" applyBorder="1"/>
    <xf numFmtId="0" fontId="0" fillId="12" borderId="0" xfId="0" applyFill="1" applyBorder="1"/>
  </cellXfs>
  <cellStyles count="4">
    <cellStyle name="Comma" xfId="1" builtinId="3"/>
    <cellStyle name="Hyperlink" xfId="2" builtinId="8"/>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2012-13 Corn Exports Sales and Shipments vs. 3-yr Average</a:t>
            </a:r>
          </a:p>
        </c:rich>
      </c:tx>
      <c:layout/>
      <c:overlay val="1"/>
    </c:title>
    <c:autoTitleDeleted val="0"/>
    <c:plotArea>
      <c:layout>
        <c:manualLayout>
          <c:layoutTarget val="inner"/>
          <c:xMode val="edge"/>
          <c:yMode val="edge"/>
          <c:x val="9.485336017945821E-2"/>
          <c:y val="0.11997948968522811"/>
          <c:w val="0.8147565893690516"/>
          <c:h val="0.66944127986075797"/>
        </c:manualLayout>
      </c:layout>
      <c:lineChart>
        <c:grouping val="standard"/>
        <c:varyColors val="0"/>
        <c:ser>
          <c:idx val="0"/>
          <c:order val="0"/>
          <c:tx>
            <c:strRef>
              <c:f>'River Analysis'!$E$12</c:f>
              <c:strCache>
                <c:ptCount val="1"/>
                <c:pt idx="0">
                  <c:v>Sales Needed to Meet WASDE</c:v>
                </c:pt>
              </c:strCache>
            </c:strRef>
          </c:tx>
          <c:spPr>
            <a:ln>
              <a:solidFill>
                <a:srgbClr val="FF0000"/>
              </a:solidFill>
              <a:prstDash val="dash"/>
            </a:ln>
          </c:spPr>
          <c:marker>
            <c:symbol val="none"/>
          </c:marker>
          <c:cat>
            <c:numRef>
              <c:f>'River Analysis'!$D$13:$D$64</c:f>
              <c:numCache>
                <c:formatCode>d\-mmm\-yy</c:formatCode>
                <c:ptCount val="52"/>
                <c:pt idx="0">
                  <c:v>41158</c:v>
                </c:pt>
                <c:pt idx="1">
                  <c:v>41165</c:v>
                </c:pt>
                <c:pt idx="2">
                  <c:v>41172</c:v>
                </c:pt>
                <c:pt idx="3">
                  <c:v>41179</c:v>
                </c:pt>
                <c:pt idx="4">
                  <c:v>41186</c:v>
                </c:pt>
                <c:pt idx="5">
                  <c:v>41193</c:v>
                </c:pt>
                <c:pt idx="6">
                  <c:v>41200</c:v>
                </c:pt>
                <c:pt idx="7">
                  <c:v>41207</c:v>
                </c:pt>
                <c:pt idx="8">
                  <c:v>41214</c:v>
                </c:pt>
                <c:pt idx="9">
                  <c:v>41221</c:v>
                </c:pt>
                <c:pt idx="10">
                  <c:v>41228</c:v>
                </c:pt>
                <c:pt idx="11">
                  <c:v>41235</c:v>
                </c:pt>
                <c:pt idx="12">
                  <c:v>41242</c:v>
                </c:pt>
                <c:pt idx="13">
                  <c:v>41249</c:v>
                </c:pt>
                <c:pt idx="14">
                  <c:v>41256</c:v>
                </c:pt>
                <c:pt idx="15">
                  <c:v>41263</c:v>
                </c:pt>
                <c:pt idx="16">
                  <c:v>41270</c:v>
                </c:pt>
                <c:pt idx="17">
                  <c:v>41277</c:v>
                </c:pt>
                <c:pt idx="18">
                  <c:v>41284</c:v>
                </c:pt>
                <c:pt idx="19">
                  <c:v>41291</c:v>
                </c:pt>
                <c:pt idx="20">
                  <c:v>41298</c:v>
                </c:pt>
                <c:pt idx="21">
                  <c:v>41305</c:v>
                </c:pt>
                <c:pt idx="22">
                  <c:v>41312</c:v>
                </c:pt>
                <c:pt idx="23">
                  <c:v>41319</c:v>
                </c:pt>
                <c:pt idx="24">
                  <c:v>41326</c:v>
                </c:pt>
                <c:pt idx="25">
                  <c:v>41333</c:v>
                </c:pt>
                <c:pt idx="26">
                  <c:v>41340</c:v>
                </c:pt>
                <c:pt idx="27">
                  <c:v>41347</c:v>
                </c:pt>
                <c:pt idx="28">
                  <c:v>41354</c:v>
                </c:pt>
                <c:pt idx="29">
                  <c:v>41361</c:v>
                </c:pt>
                <c:pt idx="30">
                  <c:v>41368</c:v>
                </c:pt>
                <c:pt idx="31">
                  <c:v>41375</c:v>
                </c:pt>
                <c:pt idx="32">
                  <c:v>41382</c:v>
                </c:pt>
                <c:pt idx="33">
                  <c:v>41389</c:v>
                </c:pt>
                <c:pt idx="34">
                  <c:v>41396</c:v>
                </c:pt>
                <c:pt idx="35">
                  <c:v>41403</c:v>
                </c:pt>
                <c:pt idx="36">
                  <c:v>41410</c:v>
                </c:pt>
                <c:pt idx="37">
                  <c:v>41417</c:v>
                </c:pt>
                <c:pt idx="38">
                  <c:v>41424</c:v>
                </c:pt>
                <c:pt idx="39">
                  <c:v>41431</c:v>
                </c:pt>
                <c:pt idx="40">
                  <c:v>41438</c:v>
                </c:pt>
                <c:pt idx="41">
                  <c:v>41445</c:v>
                </c:pt>
                <c:pt idx="42">
                  <c:v>41452</c:v>
                </c:pt>
                <c:pt idx="43">
                  <c:v>41459</c:v>
                </c:pt>
                <c:pt idx="44">
                  <c:v>41466</c:v>
                </c:pt>
                <c:pt idx="45">
                  <c:v>41473</c:v>
                </c:pt>
                <c:pt idx="46">
                  <c:v>41480</c:v>
                </c:pt>
                <c:pt idx="47">
                  <c:v>41487</c:v>
                </c:pt>
                <c:pt idx="48">
                  <c:v>41494</c:v>
                </c:pt>
                <c:pt idx="49">
                  <c:v>41501</c:v>
                </c:pt>
                <c:pt idx="50">
                  <c:v>41508</c:v>
                </c:pt>
                <c:pt idx="51">
                  <c:v>41515</c:v>
                </c:pt>
              </c:numCache>
            </c:numRef>
          </c:cat>
          <c:val>
            <c:numRef>
              <c:f>'River Analysis'!$E$13:$E$64</c:f>
              <c:numCache>
                <c:formatCode>_(* #,##0.00_);_(* \(#,##0.00\);_(* "-"??_);_(@_)</c:formatCode>
                <c:ptCount val="52"/>
                <c:pt idx="0" formatCode="_(* #,##0_);_(* \(#,##0\);_(* &quot;-&quot;??_);_(@_)">
                  <c:v>10032.4</c:v>
                </c:pt>
                <c:pt idx="1">
                  <c:v>9835.6862745098042</c:v>
                </c:pt>
                <c:pt idx="2">
                  <c:v>9638.9725490196088</c:v>
                </c:pt>
                <c:pt idx="3">
                  <c:v>9442.2588235294133</c:v>
                </c:pt>
                <c:pt idx="4">
                  <c:v>9245.5450980392179</c:v>
                </c:pt>
                <c:pt idx="5">
                  <c:v>9048.8313725490225</c:v>
                </c:pt>
                <c:pt idx="6">
                  <c:v>8852.1176470588271</c:v>
                </c:pt>
                <c:pt idx="7">
                  <c:v>8655.4039215686316</c:v>
                </c:pt>
                <c:pt idx="8">
                  <c:v>8458.6901960784362</c:v>
                </c:pt>
                <c:pt idx="9">
                  <c:v>8261.9764705882408</c:v>
                </c:pt>
                <c:pt idx="10">
                  <c:v>8065.2627450980444</c:v>
                </c:pt>
                <c:pt idx="11">
                  <c:v>7868.5490196078481</c:v>
                </c:pt>
                <c:pt idx="12">
                  <c:v>7671.8352941176518</c:v>
                </c:pt>
                <c:pt idx="13">
                  <c:v>7475.1215686274554</c:v>
                </c:pt>
                <c:pt idx="14">
                  <c:v>7278.4078431372591</c:v>
                </c:pt>
                <c:pt idx="15">
                  <c:v>7081.6941176470627</c:v>
                </c:pt>
                <c:pt idx="16">
                  <c:v>6884.9803921568664</c:v>
                </c:pt>
                <c:pt idx="17">
                  <c:v>6688.2666666666701</c:v>
                </c:pt>
                <c:pt idx="18">
                  <c:v>6491.5529411764737</c:v>
                </c:pt>
                <c:pt idx="19">
                  <c:v>6294.8392156862774</c:v>
                </c:pt>
                <c:pt idx="20">
                  <c:v>6098.125490196081</c:v>
                </c:pt>
                <c:pt idx="21">
                  <c:v>5901.4117647058847</c:v>
                </c:pt>
                <c:pt idx="22">
                  <c:v>5704.6980392156884</c:v>
                </c:pt>
                <c:pt idx="23">
                  <c:v>5507.984313725492</c:v>
                </c:pt>
                <c:pt idx="24">
                  <c:v>5311.2705882352957</c:v>
                </c:pt>
                <c:pt idx="25">
                  <c:v>5114.5568627450994</c:v>
                </c:pt>
                <c:pt idx="26">
                  <c:v>4917.843137254903</c:v>
                </c:pt>
                <c:pt idx="27">
                  <c:v>4721.1294117647067</c:v>
                </c:pt>
                <c:pt idx="28">
                  <c:v>4524.4156862745103</c:v>
                </c:pt>
                <c:pt idx="29">
                  <c:v>4327.701960784314</c:v>
                </c:pt>
                <c:pt idx="30">
                  <c:v>4130.9882352941177</c:v>
                </c:pt>
                <c:pt idx="31">
                  <c:v>3934.2745098039218</c:v>
                </c:pt>
                <c:pt idx="32">
                  <c:v>3737.5607843137259</c:v>
                </c:pt>
                <c:pt idx="33">
                  <c:v>3540.84705882353</c:v>
                </c:pt>
                <c:pt idx="34">
                  <c:v>3344.1333333333341</c:v>
                </c:pt>
                <c:pt idx="35">
                  <c:v>3147.4196078431382</c:v>
                </c:pt>
                <c:pt idx="36">
                  <c:v>2950.7058823529424</c:v>
                </c:pt>
                <c:pt idx="37">
                  <c:v>2753.9921568627465</c:v>
                </c:pt>
                <c:pt idx="38">
                  <c:v>2557.2784313725506</c:v>
                </c:pt>
                <c:pt idx="39">
                  <c:v>2360.5647058823547</c:v>
                </c:pt>
                <c:pt idx="40">
                  <c:v>2163.8509803921588</c:v>
                </c:pt>
                <c:pt idx="41">
                  <c:v>1967.1372549019627</c:v>
                </c:pt>
                <c:pt idx="42">
                  <c:v>1770.4235294117666</c:v>
                </c:pt>
                <c:pt idx="43">
                  <c:v>1573.7098039215705</c:v>
                </c:pt>
                <c:pt idx="44">
                  <c:v>1376.9960784313744</c:v>
                </c:pt>
                <c:pt idx="45">
                  <c:v>1180.2823529411783</c:v>
                </c:pt>
                <c:pt idx="46">
                  <c:v>983.56862745098215</c:v>
                </c:pt>
                <c:pt idx="47">
                  <c:v>786.85490196078604</c:v>
                </c:pt>
                <c:pt idx="48">
                  <c:v>590.14117647058993</c:v>
                </c:pt>
                <c:pt idx="49">
                  <c:v>393.42745098039381</c:v>
                </c:pt>
                <c:pt idx="50">
                  <c:v>196.71372549019773</c:v>
                </c:pt>
                <c:pt idx="51">
                  <c:v>1.6484591469634324E-12</c:v>
                </c:pt>
              </c:numCache>
            </c:numRef>
          </c:val>
          <c:smooth val="0"/>
        </c:ser>
        <c:ser>
          <c:idx val="2"/>
          <c:order val="1"/>
          <c:tx>
            <c:strRef>
              <c:f>'River Analysis'!$F$12</c:f>
              <c:strCache>
                <c:ptCount val="1"/>
                <c:pt idx="0">
                  <c:v>Shipments Needed to Meet WASDE</c:v>
                </c:pt>
              </c:strCache>
            </c:strRef>
          </c:tx>
          <c:spPr>
            <a:ln>
              <a:solidFill>
                <a:srgbClr val="7030A0"/>
              </a:solidFill>
              <a:prstDash val="dash"/>
            </a:ln>
          </c:spPr>
          <c:marker>
            <c:symbol val="none"/>
          </c:marker>
          <c:cat>
            <c:numRef>
              <c:f>'River Analysis'!$D$13:$D$64</c:f>
              <c:numCache>
                <c:formatCode>d\-mmm\-yy</c:formatCode>
                <c:ptCount val="52"/>
                <c:pt idx="0">
                  <c:v>41158</c:v>
                </c:pt>
                <c:pt idx="1">
                  <c:v>41165</c:v>
                </c:pt>
                <c:pt idx="2">
                  <c:v>41172</c:v>
                </c:pt>
                <c:pt idx="3">
                  <c:v>41179</c:v>
                </c:pt>
                <c:pt idx="4">
                  <c:v>41186</c:v>
                </c:pt>
                <c:pt idx="5">
                  <c:v>41193</c:v>
                </c:pt>
                <c:pt idx="6">
                  <c:v>41200</c:v>
                </c:pt>
                <c:pt idx="7">
                  <c:v>41207</c:v>
                </c:pt>
                <c:pt idx="8">
                  <c:v>41214</c:v>
                </c:pt>
                <c:pt idx="9">
                  <c:v>41221</c:v>
                </c:pt>
                <c:pt idx="10">
                  <c:v>41228</c:v>
                </c:pt>
                <c:pt idx="11">
                  <c:v>41235</c:v>
                </c:pt>
                <c:pt idx="12">
                  <c:v>41242</c:v>
                </c:pt>
                <c:pt idx="13">
                  <c:v>41249</c:v>
                </c:pt>
                <c:pt idx="14">
                  <c:v>41256</c:v>
                </c:pt>
                <c:pt idx="15">
                  <c:v>41263</c:v>
                </c:pt>
                <c:pt idx="16">
                  <c:v>41270</c:v>
                </c:pt>
                <c:pt idx="17">
                  <c:v>41277</c:v>
                </c:pt>
                <c:pt idx="18">
                  <c:v>41284</c:v>
                </c:pt>
                <c:pt idx="19">
                  <c:v>41291</c:v>
                </c:pt>
                <c:pt idx="20">
                  <c:v>41298</c:v>
                </c:pt>
                <c:pt idx="21">
                  <c:v>41305</c:v>
                </c:pt>
                <c:pt idx="22">
                  <c:v>41312</c:v>
                </c:pt>
                <c:pt idx="23">
                  <c:v>41319</c:v>
                </c:pt>
                <c:pt idx="24">
                  <c:v>41326</c:v>
                </c:pt>
                <c:pt idx="25">
                  <c:v>41333</c:v>
                </c:pt>
                <c:pt idx="26">
                  <c:v>41340</c:v>
                </c:pt>
                <c:pt idx="27">
                  <c:v>41347</c:v>
                </c:pt>
                <c:pt idx="28">
                  <c:v>41354</c:v>
                </c:pt>
                <c:pt idx="29">
                  <c:v>41361</c:v>
                </c:pt>
                <c:pt idx="30">
                  <c:v>41368</c:v>
                </c:pt>
                <c:pt idx="31">
                  <c:v>41375</c:v>
                </c:pt>
                <c:pt idx="32">
                  <c:v>41382</c:v>
                </c:pt>
                <c:pt idx="33">
                  <c:v>41389</c:v>
                </c:pt>
                <c:pt idx="34">
                  <c:v>41396</c:v>
                </c:pt>
                <c:pt idx="35">
                  <c:v>41403</c:v>
                </c:pt>
                <c:pt idx="36">
                  <c:v>41410</c:v>
                </c:pt>
                <c:pt idx="37">
                  <c:v>41417</c:v>
                </c:pt>
                <c:pt idx="38">
                  <c:v>41424</c:v>
                </c:pt>
                <c:pt idx="39">
                  <c:v>41431</c:v>
                </c:pt>
                <c:pt idx="40">
                  <c:v>41438</c:v>
                </c:pt>
                <c:pt idx="41">
                  <c:v>41445</c:v>
                </c:pt>
                <c:pt idx="42">
                  <c:v>41452</c:v>
                </c:pt>
                <c:pt idx="43">
                  <c:v>41459</c:v>
                </c:pt>
                <c:pt idx="44">
                  <c:v>41466</c:v>
                </c:pt>
                <c:pt idx="45">
                  <c:v>41473</c:v>
                </c:pt>
                <c:pt idx="46">
                  <c:v>41480</c:v>
                </c:pt>
                <c:pt idx="47">
                  <c:v>41487</c:v>
                </c:pt>
                <c:pt idx="48">
                  <c:v>41494</c:v>
                </c:pt>
                <c:pt idx="49">
                  <c:v>41501</c:v>
                </c:pt>
                <c:pt idx="50">
                  <c:v>41508</c:v>
                </c:pt>
                <c:pt idx="51">
                  <c:v>41515</c:v>
                </c:pt>
              </c:numCache>
            </c:numRef>
          </c:cat>
          <c:val>
            <c:numRef>
              <c:f>'River Analysis'!$F$13:$F$64</c:f>
              <c:numCache>
                <c:formatCode>_(* #,##0.00_);_(* \(#,##0.00\);_(* "-"??_);_(@_)</c:formatCode>
                <c:ptCount val="52"/>
                <c:pt idx="0" formatCode="_(* #,##0_);_(* \(#,##0\);_(* &quot;-&quot;??_);_(@_)">
                  <c:v>249.4</c:v>
                </c:pt>
                <c:pt idx="1">
                  <c:v>244.50980392156862</c:v>
                </c:pt>
                <c:pt idx="2">
                  <c:v>239.61960784313726</c:v>
                </c:pt>
                <c:pt idx="3">
                  <c:v>234.7294117647059</c:v>
                </c:pt>
                <c:pt idx="4">
                  <c:v>229.83921568627454</c:v>
                </c:pt>
                <c:pt idx="5">
                  <c:v>224.94901960784318</c:v>
                </c:pt>
                <c:pt idx="6">
                  <c:v>220.0588235294118</c:v>
                </c:pt>
                <c:pt idx="7">
                  <c:v>215.16862745098041</c:v>
                </c:pt>
                <c:pt idx="8">
                  <c:v>210.27843137254905</c:v>
                </c:pt>
                <c:pt idx="9">
                  <c:v>205.38823529411769</c:v>
                </c:pt>
                <c:pt idx="10">
                  <c:v>200.4980392156863</c:v>
                </c:pt>
                <c:pt idx="11">
                  <c:v>195.60784313725492</c:v>
                </c:pt>
                <c:pt idx="12">
                  <c:v>190.71764705882356</c:v>
                </c:pt>
                <c:pt idx="13">
                  <c:v>185.8274509803922</c:v>
                </c:pt>
                <c:pt idx="14">
                  <c:v>180.93725490196081</c:v>
                </c:pt>
                <c:pt idx="15">
                  <c:v>176.04705882352943</c:v>
                </c:pt>
                <c:pt idx="16">
                  <c:v>171.15686274509807</c:v>
                </c:pt>
                <c:pt idx="17">
                  <c:v>166.26666666666671</c:v>
                </c:pt>
                <c:pt idx="18">
                  <c:v>161.37647058823532</c:v>
                </c:pt>
                <c:pt idx="19">
                  <c:v>156.48627450980393</c:v>
                </c:pt>
                <c:pt idx="20">
                  <c:v>151.59607843137258</c:v>
                </c:pt>
                <c:pt idx="21">
                  <c:v>146.70588235294119</c:v>
                </c:pt>
                <c:pt idx="22">
                  <c:v>141.8156862745098</c:v>
                </c:pt>
                <c:pt idx="23">
                  <c:v>136.92549019607844</c:v>
                </c:pt>
                <c:pt idx="24">
                  <c:v>132.03529411764708</c:v>
                </c:pt>
                <c:pt idx="25">
                  <c:v>127.14509803921571</c:v>
                </c:pt>
                <c:pt idx="26">
                  <c:v>122.25490196078434</c:v>
                </c:pt>
                <c:pt idx="27">
                  <c:v>117.36470588235296</c:v>
                </c:pt>
                <c:pt idx="28">
                  <c:v>112.47450980392159</c:v>
                </c:pt>
                <c:pt idx="29">
                  <c:v>107.58431372549022</c:v>
                </c:pt>
                <c:pt idx="30">
                  <c:v>102.69411764705885</c:v>
                </c:pt>
                <c:pt idx="31">
                  <c:v>97.803921568627473</c:v>
                </c:pt>
                <c:pt idx="32">
                  <c:v>92.9137254901961</c:v>
                </c:pt>
                <c:pt idx="33">
                  <c:v>88.023529411764727</c:v>
                </c:pt>
                <c:pt idx="34">
                  <c:v>83.133333333333354</c:v>
                </c:pt>
                <c:pt idx="35">
                  <c:v>78.243137254901981</c:v>
                </c:pt>
                <c:pt idx="36">
                  <c:v>73.352941176470608</c:v>
                </c:pt>
                <c:pt idx="37">
                  <c:v>68.462745098039235</c:v>
                </c:pt>
                <c:pt idx="38">
                  <c:v>63.572549019607862</c:v>
                </c:pt>
                <c:pt idx="39">
                  <c:v>58.682352941176489</c:v>
                </c:pt>
                <c:pt idx="40">
                  <c:v>53.792156862745117</c:v>
                </c:pt>
                <c:pt idx="41">
                  <c:v>48.901960784313744</c:v>
                </c:pt>
                <c:pt idx="42">
                  <c:v>44.011764705882371</c:v>
                </c:pt>
                <c:pt idx="43">
                  <c:v>39.121568627450998</c:v>
                </c:pt>
                <c:pt idx="44">
                  <c:v>34.231372549019625</c:v>
                </c:pt>
                <c:pt idx="45">
                  <c:v>29.341176470588252</c:v>
                </c:pt>
                <c:pt idx="46">
                  <c:v>24.450980392156875</c:v>
                </c:pt>
                <c:pt idx="47">
                  <c:v>19.560784313725499</c:v>
                </c:pt>
                <c:pt idx="48">
                  <c:v>14.670588235294124</c:v>
                </c:pt>
                <c:pt idx="49">
                  <c:v>9.7803921568627494</c:v>
                </c:pt>
                <c:pt idx="50">
                  <c:v>4.8901960784313747</c:v>
                </c:pt>
                <c:pt idx="51">
                  <c:v>0</c:v>
                </c:pt>
              </c:numCache>
            </c:numRef>
          </c:val>
          <c:smooth val="0"/>
        </c:ser>
        <c:ser>
          <c:idx val="1"/>
          <c:order val="2"/>
          <c:tx>
            <c:strRef>
              <c:f>'River Analysis'!$G$12</c:f>
              <c:strCache>
                <c:ptCount val="1"/>
                <c:pt idx="0">
                  <c:v>Actual Export Sales</c:v>
                </c:pt>
              </c:strCache>
            </c:strRef>
          </c:tx>
          <c:spPr>
            <a:ln>
              <a:solidFill>
                <a:srgbClr val="FF0000"/>
              </a:solidFill>
            </a:ln>
          </c:spPr>
          <c:marker>
            <c:symbol val="none"/>
          </c:marker>
          <c:cat>
            <c:numRef>
              <c:f>'River Analysis'!$D$13:$D$64</c:f>
              <c:numCache>
                <c:formatCode>d\-mmm\-yy</c:formatCode>
                <c:ptCount val="52"/>
                <c:pt idx="0">
                  <c:v>41158</c:v>
                </c:pt>
                <c:pt idx="1">
                  <c:v>41165</c:v>
                </c:pt>
                <c:pt idx="2">
                  <c:v>41172</c:v>
                </c:pt>
                <c:pt idx="3">
                  <c:v>41179</c:v>
                </c:pt>
                <c:pt idx="4">
                  <c:v>41186</c:v>
                </c:pt>
                <c:pt idx="5">
                  <c:v>41193</c:v>
                </c:pt>
                <c:pt idx="6">
                  <c:v>41200</c:v>
                </c:pt>
                <c:pt idx="7">
                  <c:v>41207</c:v>
                </c:pt>
                <c:pt idx="8">
                  <c:v>41214</c:v>
                </c:pt>
                <c:pt idx="9">
                  <c:v>41221</c:v>
                </c:pt>
                <c:pt idx="10">
                  <c:v>41228</c:v>
                </c:pt>
                <c:pt idx="11">
                  <c:v>41235</c:v>
                </c:pt>
                <c:pt idx="12">
                  <c:v>41242</c:v>
                </c:pt>
                <c:pt idx="13">
                  <c:v>41249</c:v>
                </c:pt>
                <c:pt idx="14">
                  <c:v>41256</c:v>
                </c:pt>
                <c:pt idx="15">
                  <c:v>41263</c:v>
                </c:pt>
                <c:pt idx="16">
                  <c:v>41270</c:v>
                </c:pt>
                <c:pt idx="17">
                  <c:v>41277</c:v>
                </c:pt>
                <c:pt idx="18">
                  <c:v>41284</c:v>
                </c:pt>
                <c:pt idx="19">
                  <c:v>41291</c:v>
                </c:pt>
                <c:pt idx="20">
                  <c:v>41298</c:v>
                </c:pt>
                <c:pt idx="21">
                  <c:v>41305</c:v>
                </c:pt>
                <c:pt idx="22">
                  <c:v>41312</c:v>
                </c:pt>
                <c:pt idx="23">
                  <c:v>41319</c:v>
                </c:pt>
                <c:pt idx="24">
                  <c:v>41326</c:v>
                </c:pt>
                <c:pt idx="25">
                  <c:v>41333</c:v>
                </c:pt>
                <c:pt idx="26">
                  <c:v>41340</c:v>
                </c:pt>
                <c:pt idx="27">
                  <c:v>41347</c:v>
                </c:pt>
                <c:pt idx="28">
                  <c:v>41354</c:v>
                </c:pt>
                <c:pt idx="29">
                  <c:v>41361</c:v>
                </c:pt>
                <c:pt idx="30">
                  <c:v>41368</c:v>
                </c:pt>
                <c:pt idx="31">
                  <c:v>41375</c:v>
                </c:pt>
                <c:pt idx="32">
                  <c:v>41382</c:v>
                </c:pt>
                <c:pt idx="33">
                  <c:v>41389</c:v>
                </c:pt>
                <c:pt idx="34">
                  <c:v>41396</c:v>
                </c:pt>
                <c:pt idx="35">
                  <c:v>41403</c:v>
                </c:pt>
                <c:pt idx="36">
                  <c:v>41410</c:v>
                </c:pt>
                <c:pt idx="37">
                  <c:v>41417</c:v>
                </c:pt>
                <c:pt idx="38">
                  <c:v>41424</c:v>
                </c:pt>
                <c:pt idx="39">
                  <c:v>41431</c:v>
                </c:pt>
                <c:pt idx="40">
                  <c:v>41438</c:v>
                </c:pt>
                <c:pt idx="41">
                  <c:v>41445</c:v>
                </c:pt>
                <c:pt idx="42">
                  <c:v>41452</c:v>
                </c:pt>
                <c:pt idx="43">
                  <c:v>41459</c:v>
                </c:pt>
                <c:pt idx="44">
                  <c:v>41466</c:v>
                </c:pt>
                <c:pt idx="45">
                  <c:v>41473</c:v>
                </c:pt>
                <c:pt idx="46">
                  <c:v>41480</c:v>
                </c:pt>
                <c:pt idx="47">
                  <c:v>41487</c:v>
                </c:pt>
                <c:pt idx="48">
                  <c:v>41494</c:v>
                </c:pt>
                <c:pt idx="49">
                  <c:v>41501</c:v>
                </c:pt>
                <c:pt idx="50">
                  <c:v>41508</c:v>
                </c:pt>
                <c:pt idx="51">
                  <c:v>41515</c:v>
                </c:pt>
              </c:numCache>
            </c:numRef>
          </c:cat>
          <c:val>
            <c:numRef>
              <c:f>'River Analysis'!$G$13:$G$64</c:f>
              <c:numCache>
                <c:formatCode>_(* #,##0_);_(* \(#,##0\);_(* "-"??_);_(@_)</c:formatCode>
                <c:ptCount val="52"/>
                <c:pt idx="0">
                  <c:v>10032.4</c:v>
                </c:pt>
                <c:pt idx="1">
                  <c:v>10102.299999999999</c:v>
                </c:pt>
                <c:pt idx="2">
                  <c:v>10102.400000000001</c:v>
                </c:pt>
                <c:pt idx="3">
                  <c:v>10429.200000000001</c:v>
                </c:pt>
                <c:pt idx="4">
                  <c:v>10433.5</c:v>
                </c:pt>
                <c:pt idx="5">
                  <c:v>10600.3</c:v>
                </c:pt>
                <c:pt idx="6">
                  <c:v>10742.5</c:v>
                </c:pt>
                <c:pt idx="7">
                  <c:v>10910.5</c:v>
                </c:pt>
                <c:pt idx="8">
                  <c:v>11068.1</c:v>
                </c:pt>
                <c:pt idx="9">
                  <c:v>11171.900000000001</c:v>
                </c:pt>
                <c:pt idx="10">
                  <c:v>11941.7</c:v>
                </c:pt>
                <c:pt idx="11">
                  <c:v>12177.8</c:v>
                </c:pt>
                <c:pt idx="12">
                  <c:v>12229.4</c:v>
                </c:pt>
                <c:pt idx="13">
                  <c:v>12488.3</c:v>
                </c:pt>
                <c:pt idx="14">
                  <c:v>12602.7</c:v>
                </c:pt>
                <c:pt idx="15">
                  <c:v>12707</c:v>
                </c:pt>
                <c:pt idx="16">
                  <c:v>12756.2</c:v>
                </c:pt>
                <c:pt idx="17">
                  <c:v>12768.8</c:v>
                </c:pt>
              </c:numCache>
            </c:numRef>
          </c:val>
          <c:smooth val="0"/>
        </c:ser>
        <c:ser>
          <c:idx val="3"/>
          <c:order val="3"/>
          <c:tx>
            <c:strRef>
              <c:f>'River Analysis'!$T$12</c:f>
              <c:strCache>
                <c:ptCount val="1"/>
                <c:pt idx="0">
                  <c:v>Cumulative Weekly Inspections</c:v>
                </c:pt>
              </c:strCache>
            </c:strRef>
          </c:tx>
          <c:spPr>
            <a:ln w="38100"/>
          </c:spPr>
          <c:marker>
            <c:symbol val="none"/>
          </c:marker>
          <c:cat>
            <c:numRef>
              <c:f>'River Analysis'!$D$13:$D$64</c:f>
              <c:numCache>
                <c:formatCode>d\-mmm\-yy</c:formatCode>
                <c:ptCount val="52"/>
                <c:pt idx="0">
                  <c:v>41158</c:v>
                </c:pt>
                <c:pt idx="1">
                  <c:v>41165</c:v>
                </c:pt>
                <c:pt idx="2">
                  <c:v>41172</c:v>
                </c:pt>
                <c:pt idx="3">
                  <c:v>41179</c:v>
                </c:pt>
                <c:pt idx="4">
                  <c:v>41186</c:v>
                </c:pt>
                <c:pt idx="5">
                  <c:v>41193</c:v>
                </c:pt>
                <c:pt idx="6">
                  <c:v>41200</c:v>
                </c:pt>
                <c:pt idx="7">
                  <c:v>41207</c:v>
                </c:pt>
                <c:pt idx="8">
                  <c:v>41214</c:v>
                </c:pt>
                <c:pt idx="9">
                  <c:v>41221</c:v>
                </c:pt>
                <c:pt idx="10">
                  <c:v>41228</c:v>
                </c:pt>
                <c:pt idx="11">
                  <c:v>41235</c:v>
                </c:pt>
                <c:pt idx="12">
                  <c:v>41242</c:v>
                </c:pt>
                <c:pt idx="13">
                  <c:v>41249</c:v>
                </c:pt>
                <c:pt idx="14">
                  <c:v>41256</c:v>
                </c:pt>
                <c:pt idx="15">
                  <c:v>41263</c:v>
                </c:pt>
                <c:pt idx="16">
                  <c:v>41270</c:v>
                </c:pt>
                <c:pt idx="17">
                  <c:v>41277</c:v>
                </c:pt>
                <c:pt idx="18">
                  <c:v>41284</c:v>
                </c:pt>
                <c:pt idx="19">
                  <c:v>41291</c:v>
                </c:pt>
                <c:pt idx="20">
                  <c:v>41298</c:v>
                </c:pt>
                <c:pt idx="21">
                  <c:v>41305</c:v>
                </c:pt>
                <c:pt idx="22">
                  <c:v>41312</c:v>
                </c:pt>
                <c:pt idx="23">
                  <c:v>41319</c:v>
                </c:pt>
                <c:pt idx="24">
                  <c:v>41326</c:v>
                </c:pt>
                <c:pt idx="25">
                  <c:v>41333</c:v>
                </c:pt>
                <c:pt idx="26">
                  <c:v>41340</c:v>
                </c:pt>
                <c:pt idx="27">
                  <c:v>41347</c:v>
                </c:pt>
                <c:pt idx="28">
                  <c:v>41354</c:v>
                </c:pt>
                <c:pt idx="29">
                  <c:v>41361</c:v>
                </c:pt>
                <c:pt idx="30">
                  <c:v>41368</c:v>
                </c:pt>
                <c:pt idx="31">
                  <c:v>41375</c:v>
                </c:pt>
                <c:pt idx="32">
                  <c:v>41382</c:v>
                </c:pt>
                <c:pt idx="33">
                  <c:v>41389</c:v>
                </c:pt>
                <c:pt idx="34">
                  <c:v>41396</c:v>
                </c:pt>
                <c:pt idx="35">
                  <c:v>41403</c:v>
                </c:pt>
                <c:pt idx="36">
                  <c:v>41410</c:v>
                </c:pt>
                <c:pt idx="37">
                  <c:v>41417</c:v>
                </c:pt>
                <c:pt idx="38">
                  <c:v>41424</c:v>
                </c:pt>
                <c:pt idx="39">
                  <c:v>41431</c:v>
                </c:pt>
                <c:pt idx="40">
                  <c:v>41438</c:v>
                </c:pt>
                <c:pt idx="41">
                  <c:v>41445</c:v>
                </c:pt>
                <c:pt idx="42">
                  <c:v>41452</c:v>
                </c:pt>
                <c:pt idx="43">
                  <c:v>41459</c:v>
                </c:pt>
                <c:pt idx="44">
                  <c:v>41466</c:v>
                </c:pt>
                <c:pt idx="45">
                  <c:v>41473</c:v>
                </c:pt>
                <c:pt idx="46">
                  <c:v>41480</c:v>
                </c:pt>
                <c:pt idx="47">
                  <c:v>41487</c:v>
                </c:pt>
                <c:pt idx="48">
                  <c:v>41494</c:v>
                </c:pt>
                <c:pt idx="49">
                  <c:v>41501</c:v>
                </c:pt>
                <c:pt idx="50">
                  <c:v>41508</c:v>
                </c:pt>
                <c:pt idx="51">
                  <c:v>41515</c:v>
                </c:pt>
              </c:numCache>
            </c:numRef>
          </c:cat>
          <c:val>
            <c:numRef>
              <c:f>'River Analysis'!$T$13:$T$64</c:f>
              <c:numCache>
                <c:formatCode>#,##0_);\(#,##0\)</c:formatCode>
                <c:ptCount val="52"/>
                <c:pt idx="0">
                  <c:v>258.39694656488552</c:v>
                </c:pt>
                <c:pt idx="1">
                  <c:v>978.19338422391866</c:v>
                </c:pt>
                <c:pt idx="2">
                  <c:v>1610.025445292621</c:v>
                </c:pt>
                <c:pt idx="3">
                  <c:v>2123.6895674300258</c:v>
                </c:pt>
                <c:pt idx="4">
                  <c:v>2566.0559796437665</c:v>
                </c:pt>
                <c:pt idx="5">
                  <c:v>3005.7506361323162</c:v>
                </c:pt>
                <c:pt idx="6">
                  <c:v>3271.2213740458023</c:v>
                </c:pt>
                <c:pt idx="7">
                  <c:v>3667.2519083969473</c:v>
                </c:pt>
                <c:pt idx="8">
                  <c:v>4059.8727735368966</c:v>
                </c:pt>
                <c:pt idx="9">
                  <c:v>4300.6615776081435</c:v>
                </c:pt>
                <c:pt idx="10">
                  <c:v>4667.7099236641234</c:v>
                </c:pt>
                <c:pt idx="11">
                  <c:v>5079.0585241730296</c:v>
                </c:pt>
                <c:pt idx="12">
                  <c:v>5346.5394402035636</c:v>
                </c:pt>
                <c:pt idx="13">
                  <c:v>5551.5521628498736</c:v>
                </c:pt>
                <c:pt idx="14">
                  <c:v>5971.5776081424947</c:v>
                </c:pt>
                <c:pt idx="15">
                  <c:v>6324.5547073791358</c:v>
                </c:pt>
                <c:pt idx="16">
                  <c:v>6528.2697201017818</c:v>
                </c:pt>
                <c:pt idx="17">
                  <c:v>6677.4809160305349</c:v>
                </c:pt>
              </c:numCache>
            </c:numRef>
          </c:val>
          <c:smooth val="0"/>
        </c:ser>
        <c:ser>
          <c:idx val="4"/>
          <c:order val="4"/>
          <c:tx>
            <c:strRef>
              <c:f>Total!$B$1:$B$2</c:f>
              <c:strCache>
                <c:ptCount val="1"/>
                <c:pt idx="0">
                  <c:v>3-Year Ave, Total Sales</c:v>
                </c:pt>
              </c:strCache>
            </c:strRef>
          </c:tx>
          <c:spPr>
            <a:ln>
              <a:solidFill>
                <a:srgbClr val="008000"/>
              </a:solidFill>
            </a:ln>
          </c:spPr>
          <c:marker>
            <c:symbol val="none"/>
          </c:marker>
          <c:val>
            <c:numRef>
              <c:f>Total!$B$360:$B$411</c:f>
              <c:numCache>
                <c:formatCode>0.00</c:formatCode>
                <c:ptCount val="52"/>
                <c:pt idx="0">
                  <c:v>13787.733333333332</c:v>
                </c:pt>
                <c:pt idx="1">
                  <c:v>14680.1</c:v>
                </c:pt>
                <c:pt idx="2">
                  <c:v>15291.133333333333</c:v>
                </c:pt>
                <c:pt idx="3">
                  <c:v>16270.233333333332</c:v>
                </c:pt>
                <c:pt idx="4">
                  <c:v>17076.366666666669</c:v>
                </c:pt>
                <c:pt idx="5">
                  <c:v>18008.666666666668</c:v>
                </c:pt>
                <c:pt idx="6">
                  <c:v>18745.166666666668</c:v>
                </c:pt>
                <c:pt idx="7">
                  <c:v>19149.866666666665</c:v>
                </c:pt>
                <c:pt idx="8">
                  <c:v>19706.399999999998</c:v>
                </c:pt>
                <c:pt idx="9">
                  <c:v>20144.366666666665</c:v>
                </c:pt>
                <c:pt idx="10">
                  <c:v>20509.600000000002</c:v>
                </c:pt>
                <c:pt idx="11">
                  <c:v>21295.8</c:v>
                </c:pt>
                <c:pt idx="12">
                  <c:v>21861.7</c:v>
                </c:pt>
                <c:pt idx="13">
                  <c:v>22599.8</c:v>
                </c:pt>
                <c:pt idx="14">
                  <c:v>23445.666666666668</c:v>
                </c:pt>
                <c:pt idx="15">
                  <c:v>24516.599999999995</c:v>
                </c:pt>
                <c:pt idx="16">
                  <c:v>25132.566666666666</c:v>
                </c:pt>
                <c:pt idx="17">
                  <c:v>25457.966666666664</c:v>
                </c:pt>
                <c:pt idx="18">
                  <c:v>25820.533333333336</c:v>
                </c:pt>
                <c:pt idx="19">
                  <c:v>26912.199999999997</c:v>
                </c:pt>
                <c:pt idx="20">
                  <c:v>27670.600000000002</c:v>
                </c:pt>
                <c:pt idx="21">
                  <c:v>28671.200000000001</c:v>
                </c:pt>
                <c:pt idx="22">
                  <c:v>29519.466666666664</c:v>
                </c:pt>
                <c:pt idx="23">
                  <c:v>30523.066666666669</c:v>
                </c:pt>
                <c:pt idx="24">
                  <c:v>31429.333333333332</c:v>
                </c:pt>
                <c:pt idx="25">
                  <c:v>32273.3</c:v>
                </c:pt>
                <c:pt idx="26">
                  <c:v>32693.766666666666</c:v>
                </c:pt>
                <c:pt idx="27">
                  <c:v>33567.233333333337</c:v>
                </c:pt>
                <c:pt idx="28">
                  <c:v>34355.199999999997</c:v>
                </c:pt>
                <c:pt idx="29">
                  <c:v>35312.433333333327</c:v>
                </c:pt>
                <c:pt idx="30">
                  <c:v>36284.1</c:v>
                </c:pt>
                <c:pt idx="31">
                  <c:v>37221.933333333334</c:v>
                </c:pt>
                <c:pt idx="32">
                  <c:v>38020.200000000004</c:v>
                </c:pt>
                <c:pt idx="33">
                  <c:v>38761.26666666667</c:v>
                </c:pt>
                <c:pt idx="34">
                  <c:v>39910.466666666667</c:v>
                </c:pt>
                <c:pt idx="35">
                  <c:v>40402.76666666667</c:v>
                </c:pt>
                <c:pt idx="36">
                  <c:v>41248.400000000001</c:v>
                </c:pt>
                <c:pt idx="37">
                  <c:v>41886.26666666667</c:v>
                </c:pt>
                <c:pt idx="38">
                  <c:v>42172.633333333331</c:v>
                </c:pt>
                <c:pt idx="39">
                  <c:v>42702.966666666667</c:v>
                </c:pt>
                <c:pt idx="40">
                  <c:v>43195.73333333333</c:v>
                </c:pt>
                <c:pt idx="41">
                  <c:v>43764.233333333337</c:v>
                </c:pt>
                <c:pt idx="42">
                  <c:v>44275.633333333331</c:v>
                </c:pt>
                <c:pt idx="43">
                  <c:v>44656.4</c:v>
                </c:pt>
                <c:pt idx="44">
                  <c:v>45100.533333333333</c:v>
                </c:pt>
                <c:pt idx="45">
                  <c:v>45458.76666666667</c:v>
                </c:pt>
                <c:pt idx="46">
                  <c:v>45710.266666666663</c:v>
                </c:pt>
                <c:pt idx="47">
                  <c:v>46026.299999999996</c:v>
                </c:pt>
                <c:pt idx="48">
                  <c:v>46378</c:v>
                </c:pt>
                <c:pt idx="49">
                  <c:v>46698.433333333327</c:v>
                </c:pt>
                <c:pt idx="50">
                  <c:v>46876.566666666673</c:v>
                </c:pt>
                <c:pt idx="51">
                  <c:v>46748.9</c:v>
                </c:pt>
              </c:numCache>
            </c:numRef>
          </c:val>
          <c:smooth val="0"/>
        </c:ser>
        <c:ser>
          <c:idx val="5"/>
          <c:order val="5"/>
          <c:tx>
            <c:strRef>
              <c:f>Total!$C$1:$C$2</c:f>
              <c:strCache>
                <c:ptCount val="1"/>
                <c:pt idx="0">
                  <c:v>3-Year Ave, Shipped</c:v>
                </c:pt>
              </c:strCache>
            </c:strRef>
          </c:tx>
          <c:spPr>
            <a:ln>
              <a:solidFill>
                <a:srgbClr val="00B0F0"/>
              </a:solidFill>
            </a:ln>
          </c:spPr>
          <c:marker>
            <c:symbol val="none"/>
          </c:marker>
          <c:val>
            <c:numRef>
              <c:f>Total!$C$360:$C$411</c:f>
              <c:numCache>
                <c:formatCode>0.00</c:formatCode>
                <c:ptCount val="52"/>
                <c:pt idx="0">
                  <c:v>319.59999999999997</c:v>
                </c:pt>
                <c:pt idx="1">
                  <c:v>1235.1000000000001</c:v>
                </c:pt>
                <c:pt idx="2">
                  <c:v>2120.9333333333334</c:v>
                </c:pt>
                <c:pt idx="3">
                  <c:v>3030.9666666666667</c:v>
                </c:pt>
                <c:pt idx="4">
                  <c:v>3990.4333333333338</c:v>
                </c:pt>
                <c:pt idx="5">
                  <c:v>4786.8</c:v>
                </c:pt>
                <c:pt idx="6">
                  <c:v>5524.9333333333343</c:v>
                </c:pt>
                <c:pt idx="7">
                  <c:v>6166.833333333333</c:v>
                </c:pt>
                <c:pt idx="8">
                  <c:v>6939.1000000000013</c:v>
                </c:pt>
                <c:pt idx="9">
                  <c:v>7650.2666666666664</c:v>
                </c:pt>
                <c:pt idx="10">
                  <c:v>8435.9666666666672</c:v>
                </c:pt>
                <c:pt idx="11">
                  <c:v>9230.9</c:v>
                </c:pt>
                <c:pt idx="12">
                  <c:v>10055.666666666666</c:v>
                </c:pt>
                <c:pt idx="13">
                  <c:v>10868.433333333334</c:v>
                </c:pt>
                <c:pt idx="14">
                  <c:v>11691.366666666667</c:v>
                </c:pt>
                <c:pt idx="15">
                  <c:v>12539.466666666667</c:v>
                </c:pt>
                <c:pt idx="16">
                  <c:v>13522.833333333334</c:v>
                </c:pt>
                <c:pt idx="17">
                  <c:v>14166.366666666669</c:v>
                </c:pt>
                <c:pt idx="18">
                  <c:v>14807.033333333333</c:v>
                </c:pt>
                <c:pt idx="19">
                  <c:v>15532.599999999999</c:v>
                </c:pt>
                <c:pt idx="20">
                  <c:v>16280.133333333331</c:v>
                </c:pt>
                <c:pt idx="21">
                  <c:v>17164.933333333331</c:v>
                </c:pt>
                <c:pt idx="22">
                  <c:v>17952.266666666666</c:v>
                </c:pt>
                <c:pt idx="23">
                  <c:v>18623.633333333335</c:v>
                </c:pt>
                <c:pt idx="24">
                  <c:v>19641.266666666666</c:v>
                </c:pt>
                <c:pt idx="25">
                  <c:v>20532.466666666664</c:v>
                </c:pt>
                <c:pt idx="26">
                  <c:v>21512.100000000002</c:v>
                </c:pt>
                <c:pt idx="27">
                  <c:v>22469.266666666663</c:v>
                </c:pt>
                <c:pt idx="28">
                  <c:v>23318.833333333332</c:v>
                </c:pt>
                <c:pt idx="29">
                  <c:v>24278.266666666663</c:v>
                </c:pt>
                <c:pt idx="30">
                  <c:v>25172.933333333334</c:v>
                </c:pt>
                <c:pt idx="31">
                  <c:v>26129.333333333332</c:v>
                </c:pt>
                <c:pt idx="32">
                  <c:v>27197.8</c:v>
                </c:pt>
                <c:pt idx="33">
                  <c:v>28038.399999999998</c:v>
                </c:pt>
                <c:pt idx="34">
                  <c:v>28804.799999999999</c:v>
                </c:pt>
                <c:pt idx="35">
                  <c:v>29668.233333333334</c:v>
                </c:pt>
                <c:pt idx="36">
                  <c:v>30537.333333333332</c:v>
                </c:pt>
                <c:pt idx="37">
                  <c:v>31498.3</c:v>
                </c:pt>
                <c:pt idx="38">
                  <c:v>32479.033333333329</c:v>
                </c:pt>
                <c:pt idx="39">
                  <c:v>33362</c:v>
                </c:pt>
                <c:pt idx="40">
                  <c:v>34137.4</c:v>
                </c:pt>
                <c:pt idx="41">
                  <c:v>35037.1</c:v>
                </c:pt>
                <c:pt idx="42">
                  <c:v>35794.766666666663</c:v>
                </c:pt>
                <c:pt idx="43">
                  <c:v>36700.23333333333</c:v>
                </c:pt>
                <c:pt idx="44">
                  <c:v>37536.466666666667</c:v>
                </c:pt>
                <c:pt idx="45">
                  <c:v>38388.6</c:v>
                </c:pt>
                <c:pt idx="46">
                  <c:v>39294.700000000004</c:v>
                </c:pt>
                <c:pt idx="47">
                  <c:v>40026.166666666664</c:v>
                </c:pt>
                <c:pt idx="48">
                  <c:v>40837.1</c:v>
                </c:pt>
                <c:pt idx="49">
                  <c:v>41684.299999999996</c:v>
                </c:pt>
                <c:pt idx="50">
                  <c:v>42550.76666666667</c:v>
                </c:pt>
                <c:pt idx="51">
                  <c:v>43311.033333333333</c:v>
                </c:pt>
              </c:numCache>
            </c:numRef>
          </c:val>
          <c:smooth val="0"/>
        </c:ser>
        <c:dLbls>
          <c:showLegendKey val="0"/>
          <c:showVal val="0"/>
          <c:showCatName val="0"/>
          <c:showSerName val="0"/>
          <c:showPercent val="0"/>
          <c:showBubbleSize val="0"/>
        </c:dLbls>
        <c:marker val="1"/>
        <c:smooth val="0"/>
        <c:axId val="85470592"/>
        <c:axId val="85480576"/>
      </c:lineChart>
      <c:dateAx>
        <c:axId val="85470592"/>
        <c:scaling>
          <c:orientation val="minMax"/>
        </c:scaling>
        <c:delete val="0"/>
        <c:axPos val="b"/>
        <c:numFmt formatCode="d\-mmm\-yy" sourceLinked="0"/>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85480576"/>
        <c:crosses val="autoZero"/>
        <c:auto val="1"/>
        <c:lblOffset val="100"/>
        <c:baseTimeUnit val="days"/>
      </c:dateAx>
      <c:valAx>
        <c:axId val="85480576"/>
        <c:scaling>
          <c:orientation val="minMax"/>
        </c:scaling>
        <c:delete val="0"/>
        <c:axPos val="l"/>
        <c:majorGridlines/>
        <c:numFmt formatCode="_(* #,##0_);_(* \(#,##0\);_(* &quot;-&quot;??_);_(@_)"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85470592"/>
        <c:crosses val="autoZero"/>
        <c:crossBetween val="between"/>
      </c:valAx>
      <c:spPr>
        <a:noFill/>
        <a:ln w="25400">
          <a:noFill/>
        </a:ln>
      </c:spPr>
    </c:plotArea>
    <c:legend>
      <c:legendPos val="r"/>
      <c:layout>
        <c:manualLayout>
          <c:xMode val="edge"/>
          <c:yMode val="edge"/>
          <c:x val="0.1147869957781541"/>
          <c:y val="0.11597264684228259"/>
          <c:w val="0.37853062594133119"/>
          <c:h val="0.36131146245388102"/>
        </c:manualLayout>
      </c:layout>
      <c:overlay val="0"/>
      <c:txPr>
        <a:bodyPr/>
        <a:lstStyle/>
        <a:p>
          <a:pPr>
            <a:defRPr sz="71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7620</xdr:colOff>
      <xdr:row>23</xdr:row>
      <xdr:rowOff>7620</xdr:rowOff>
    </xdr:to>
    <xdr:pic>
      <xdr:nvPicPr>
        <xdr:cNvPr id="5"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158740" cy="4480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0</xdr:row>
      <xdr:rowOff>0</xdr:rowOff>
    </xdr:from>
    <xdr:to>
      <xdr:col>27</xdr:col>
      <xdr:colOff>381000</xdr:colOff>
      <xdr:row>2</xdr:row>
      <xdr:rowOff>0</xdr:rowOff>
    </xdr:to>
    <xdr:pic>
      <xdr:nvPicPr>
        <xdr:cNvPr id="1138" name="Picture 1" descr="http://www.fas.usda.gov/export-sales/images/fason2.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00" y="0"/>
          <a:ext cx="16002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571500</xdr:colOff>
      <xdr:row>67</xdr:row>
      <xdr:rowOff>144780</xdr:rowOff>
    </xdr:from>
    <xdr:to>
      <xdr:col>10</xdr:col>
      <xdr:colOff>525780</xdr:colOff>
      <xdr:row>96</xdr:row>
      <xdr:rowOff>91440</xdr:rowOff>
    </xdr:to>
    <xdr:graphicFrame macro="">
      <xdr:nvGraphicFramePr>
        <xdr:cNvPr id="216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0.54276</cdr:x>
      <cdr:y>0.61646</cdr:y>
    </cdr:from>
    <cdr:to>
      <cdr:x>0.99604</cdr:x>
      <cdr:y>0.78621</cdr:y>
    </cdr:to>
    <cdr:sp macro="" textlink="">
      <cdr:nvSpPr>
        <cdr:cNvPr id="2" name="TextBox 1"/>
        <cdr:cNvSpPr txBox="1"/>
      </cdr:nvSpPr>
      <cdr:spPr>
        <a:xfrm xmlns:a="http://schemas.openxmlformats.org/drawingml/2006/main">
          <a:off x="4173542" y="2961035"/>
          <a:ext cx="3485487" cy="815346"/>
        </a:xfrm>
        <a:prstGeom xmlns:a="http://schemas.openxmlformats.org/drawingml/2006/main" prst="rect">
          <a:avLst/>
        </a:prstGeom>
        <a:solidFill xmlns:a="http://schemas.openxmlformats.org/drawingml/2006/main">
          <a:srgbClr val="FFFF99"/>
        </a:solidFill>
      </cdr:spPr>
      <cdr:txBody>
        <a:bodyPr xmlns:a="http://schemas.openxmlformats.org/drawingml/2006/main" vertOverflow="clip" wrap="square" rtlCol="0"/>
        <a:lstStyle xmlns:a="http://schemas.openxmlformats.org/drawingml/2006/main"/>
        <a:p xmlns:a="http://schemas.openxmlformats.org/drawingml/2006/main">
          <a:pPr algn="l" rtl="0">
            <a:defRPr sz="1000"/>
          </a:pPr>
          <a:r>
            <a:rPr lang="en-US" sz="1100" b="1" i="0" u="none" strike="noStrike" baseline="0">
              <a:solidFill>
                <a:srgbClr val="000000"/>
              </a:solidFill>
              <a:latin typeface="Calibri"/>
              <a:cs typeface="Calibri"/>
            </a:rPr>
            <a:t>Week ending 1/03/13:</a:t>
          </a:r>
          <a:r>
            <a:rPr lang="en-US" sz="1100" b="0" i="0" u="none" strike="noStrike" baseline="0">
              <a:solidFill>
                <a:srgbClr val="000000"/>
              </a:solidFill>
              <a:latin typeface="Calibri"/>
              <a:cs typeface="Calibri"/>
            </a:rPr>
            <a:t> </a:t>
          </a:r>
          <a:r>
            <a:rPr lang="en-US" sz="1100" b="1" i="0" u="sng" strike="noStrike" baseline="0">
              <a:solidFill>
                <a:srgbClr val="FF0000"/>
              </a:solidFill>
              <a:latin typeface="Calibri"/>
              <a:cs typeface="Calibri"/>
            </a:rPr>
            <a:t>Total export sales:</a:t>
          </a:r>
          <a:r>
            <a:rPr lang="en-US" sz="1100" b="0" i="0" u="none" strike="noStrike" baseline="0">
              <a:solidFill>
                <a:srgbClr val="000000"/>
              </a:solidFill>
              <a:latin typeface="Calibri"/>
              <a:cs typeface="Calibri"/>
            </a:rPr>
            <a:t> 12.8 mmt,  down 49% from last year and 50% from 3-year ave; </a:t>
          </a:r>
          <a:r>
            <a:rPr lang="en-US" sz="1100" b="1" i="0" u="sng" strike="noStrike" baseline="0">
              <a:solidFill>
                <a:srgbClr val="800080"/>
              </a:solidFill>
              <a:latin typeface="Calibri"/>
              <a:cs typeface="Calibri"/>
            </a:rPr>
            <a:t>Shipped exports</a:t>
          </a:r>
          <a:r>
            <a:rPr lang="en-US" sz="1100" b="0" i="0" u="none" strike="noStrike" baseline="0">
              <a:solidFill>
                <a:srgbClr val="000000"/>
              </a:solidFill>
              <a:latin typeface="Calibri"/>
              <a:cs typeface="Calibri"/>
            </a:rPr>
            <a:t>: 6.9 mmt, down 54% from last year and 53% from 3-yr ave.</a:t>
          </a:r>
        </a:p>
        <a:p xmlns:a="http://schemas.openxmlformats.org/drawingml/2006/main">
          <a:pPr algn="l" rtl="0">
            <a:defRPr sz="1000"/>
          </a:pPr>
          <a:endParaRPr lang="en-US" sz="1100" b="0" i="0" u="none" strike="noStrike" baseline="0">
            <a:solidFill>
              <a:srgbClr val="000000"/>
            </a:solidFill>
            <a:latin typeface="Calibri"/>
            <a:cs typeface="Calibri"/>
          </a:endParaRPr>
        </a:p>
        <a:p xmlns:a="http://schemas.openxmlformats.org/drawingml/2006/main">
          <a:pPr algn="l" rtl="0">
            <a:defRPr sz="1000"/>
          </a:pPr>
          <a:endParaRPr lang="en-US" sz="1100" b="0" i="0" u="none" strike="noStrike" baseline="0">
            <a:solidFill>
              <a:srgbClr val="000000"/>
            </a:solidFill>
            <a:latin typeface="Calibri"/>
            <a:cs typeface="Calibri"/>
          </a:endParaRPr>
        </a:p>
      </cdr:txBody>
    </cdr:sp>
  </cdr:relSizeAnchor>
  <cdr:relSizeAnchor xmlns:cdr="http://schemas.openxmlformats.org/drawingml/2006/chartDrawing">
    <cdr:from>
      <cdr:x>0.01748</cdr:x>
      <cdr:y>0.95592</cdr:y>
    </cdr:from>
    <cdr:to>
      <cdr:x>0.2366</cdr:x>
      <cdr:y>0.98163</cdr:y>
    </cdr:to>
    <cdr:sp macro="" textlink="">
      <cdr:nvSpPr>
        <cdr:cNvPr id="3" name="TextBox 2"/>
        <cdr:cNvSpPr txBox="1"/>
      </cdr:nvSpPr>
      <cdr:spPr>
        <a:xfrm xmlns:a="http://schemas.openxmlformats.org/drawingml/2006/main">
          <a:off x="134472" y="4666128"/>
          <a:ext cx="1685365" cy="1255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hristielynn\AppData\Local\Temp\Temporary%20Internet%20Files\Content.IE5\YGSTZ85K\New%20Table14_soybean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mdenicof\My%20Documents\New%20Table15_whea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New%20Table14_soybean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New%20Table15_whea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tmdc4007cl\tsd\New%20GTR%202\Grain%20Exports2\Other\New%20Table16_crop%20year_weekly%20pace%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TR Soybean Table"/>
      <sheetName val="US"/>
      <sheetName val="China"/>
      <sheetName val="Mexico"/>
      <sheetName val="Japan"/>
      <sheetName val="Taiwan"/>
      <sheetName val="Indonesia"/>
      <sheetName val="Korea"/>
      <sheetName val="EU-25"/>
      <sheetName val="Data"/>
      <sheetName val="Sheet1"/>
    </sheetNames>
    <sheetDataSet>
      <sheetData sheetId="0" refreshError="1"/>
      <sheetData sheetId="1">
        <row r="195">
          <cell r="I195">
            <v>381.59999999999854</v>
          </cell>
        </row>
        <row r="196">
          <cell r="I196">
            <v>312.80000000000291</v>
          </cell>
        </row>
        <row r="197">
          <cell r="I197">
            <v>203.59999999999854</v>
          </cell>
        </row>
        <row r="198">
          <cell r="I198">
            <v>239.09999999999854</v>
          </cell>
        </row>
        <row r="199">
          <cell r="I199">
            <v>182.5</v>
          </cell>
        </row>
        <row r="200">
          <cell r="I200">
            <v>-115.79999999999563</v>
          </cell>
        </row>
        <row r="201">
          <cell r="I201">
            <v>213.99999999999272</v>
          </cell>
        </row>
        <row r="202">
          <cell r="I202">
            <v>216.09999999999854</v>
          </cell>
        </row>
        <row r="203">
          <cell r="I203">
            <v>178.40000000000873</v>
          </cell>
        </row>
        <row r="204">
          <cell r="I204">
            <v>205.69999999998981</v>
          </cell>
        </row>
        <row r="205">
          <cell r="I205">
            <v>158</v>
          </cell>
        </row>
        <row r="206">
          <cell r="I206">
            <v>308.70000000000437</v>
          </cell>
        </row>
        <row r="207">
          <cell r="B207">
            <v>1879.8</v>
          </cell>
          <cell r="C207">
            <v>4583.3999999999996</v>
          </cell>
          <cell r="G207">
            <v>31789.599999999999</v>
          </cell>
          <cell r="I207">
            <v>101.00000000000728</v>
          </cell>
        </row>
        <row r="208">
          <cell r="B208">
            <v>1873.6</v>
          </cell>
          <cell r="C208">
            <v>4851.3</v>
          </cell>
          <cell r="G208">
            <v>32444</v>
          </cell>
          <cell r="I208">
            <v>283.19999999998981</v>
          </cell>
        </row>
        <row r="209">
          <cell r="B209">
            <v>1941.6</v>
          </cell>
          <cell r="C209">
            <v>4810.8999999999996</v>
          </cell>
          <cell r="I209">
            <v>207.5</v>
          </cell>
        </row>
        <row r="210">
          <cell r="B210">
            <v>2149</v>
          </cell>
          <cell r="C210">
            <v>5098.1000000000004</v>
          </cell>
          <cell r="I210">
            <v>478.50000000000728</v>
          </cell>
        </row>
        <row r="211">
          <cell r="B211">
            <v>2180</v>
          </cell>
          <cell r="C211">
            <v>4779.3999999999996</v>
          </cell>
          <cell r="I211">
            <v>175.5</v>
          </cell>
        </row>
        <row r="212">
          <cell r="B212">
            <v>2165.9</v>
          </cell>
          <cell r="C212">
            <v>4442.8999999999996</v>
          </cell>
          <cell r="I212">
            <v>134.90000000000146</v>
          </cell>
        </row>
        <row r="213">
          <cell r="B213">
            <v>2418.6</v>
          </cell>
          <cell r="C213">
            <v>4080.8</v>
          </cell>
          <cell r="I213">
            <v>420.69999999999709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TR Wheat Table"/>
      <sheetName val="US"/>
      <sheetName val="Nigeria"/>
      <sheetName val="Japan"/>
      <sheetName val="Mexico"/>
      <sheetName val="Phil"/>
      <sheetName val="Korea"/>
      <sheetName val="Taiwan"/>
      <sheetName val="Egypt"/>
      <sheetName val="Venezuela"/>
      <sheetName val="Colombia"/>
      <sheetName val="Peru"/>
      <sheetName val="Yemen"/>
      <sheetName val="Indonesia"/>
      <sheetName val="Iraq"/>
      <sheetName val="Data"/>
      <sheetName val="Sheet1"/>
    </sheetNames>
    <sheetDataSet>
      <sheetData sheetId="0"/>
      <sheetData sheetId="1">
        <row r="187">
          <cell r="I187">
            <v>390.59999999999854</v>
          </cell>
        </row>
        <row r="188">
          <cell r="I188">
            <v>245.19999999999891</v>
          </cell>
        </row>
        <row r="189">
          <cell r="I189">
            <v>345.00000000000182</v>
          </cell>
        </row>
        <row r="190">
          <cell r="I190">
            <v>221.29999999999927</v>
          </cell>
        </row>
        <row r="191">
          <cell r="I191">
            <v>370.30000000000109</v>
          </cell>
        </row>
        <row r="192">
          <cell r="I192">
            <v>93.399999999999636</v>
          </cell>
        </row>
        <row r="193">
          <cell r="I193">
            <v>181.89999999999964</v>
          </cell>
        </row>
        <row r="194">
          <cell r="I194">
            <v>825.80000000000109</v>
          </cell>
        </row>
        <row r="195">
          <cell r="I195">
            <v>661.69999999999709</v>
          </cell>
        </row>
        <row r="196">
          <cell r="I196">
            <v>417.30000000000291</v>
          </cell>
        </row>
        <row r="197">
          <cell r="I197">
            <v>548.09999999999854</v>
          </cell>
        </row>
        <row r="198">
          <cell r="I198">
            <v>409</v>
          </cell>
        </row>
        <row r="199">
          <cell r="B199">
            <v>4342.3999999999996</v>
          </cell>
          <cell r="C199">
            <v>3811.1</v>
          </cell>
          <cell r="G199">
            <v>23992.5</v>
          </cell>
          <cell r="I199">
            <v>375.59999999999854</v>
          </cell>
        </row>
        <row r="200">
          <cell r="B200">
            <v>3971.3</v>
          </cell>
          <cell r="C200">
            <v>3844.3</v>
          </cell>
          <cell r="G200">
            <v>24277.7</v>
          </cell>
          <cell r="I200">
            <v>101.60000000000218</v>
          </cell>
        </row>
        <row r="201">
          <cell r="B201">
            <v>3838.2</v>
          </cell>
          <cell r="C201">
            <v>3755.3</v>
          </cell>
          <cell r="I201">
            <v>407.89999999999782</v>
          </cell>
        </row>
        <row r="202">
          <cell r="B202">
            <v>3906.1</v>
          </cell>
          <cell r="C202">
            <v>3657.5</v>
          </cell>
          <cell r="I202">
            <v>325.20000000000073</v>
          </cell>
        </row>
        <row r="203">
          <cell r="B203">
            <v>3824.4</v>
          </cell>
          <cell r="C203">
            <v>3328.9</v>
          </cell>
          <cell r="I203">
            <v>371.30000000000291</v>
          </cell>
        </row>
        <row r="204">
          <cell r="B204">
            <v>3562</v>
          </cell>
          <cell r="C204">
            <v>3235.7</v>
          </cell>
          <cell r="I204">
            <v>430.59999999999854</v>
          </cell>
        </row>
        <row r="205">
          <cell r="B205">
            <v>3435.4</v>
          </cell>
          <cell r="C205">
            <v>2916.4</v>
          </cell>
          <cell r="I205">
            <v>323.70000000000073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TR Soybean Table"/>
      <sheetName val="US"/>
      <sheetName val="China"/>
      <sheetName val="Mexico"/>
      <sheetName val="Japan"/>
      <sheetName val="Taiwan"/>
      <sheetName val="Indonesia"/>
      <sheetName val="Korea"/>
      <sheetName val="EU-25"/>
      <sheetName val="Data"/>
      <sheetName val="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TR Wheat Table"/>
      <sheetName val="US"/>
      <sheetName val="Nigeria"/>
      <sheetName val="Japan"/>
      <sheetName val="Mexico"/>
      <sheetName val="Egypt"/>
      <sheetName val="Iraq(China)"/>
      <sheetName val="Phil"/>
      <sheetName val="Korea"/>
      <sheetName val="Taiwan"/>
      <sheetName val="Yemen"/>
      <sheetName val="Venez(Colombia)"/>
      <sheetName val="Indonesia(Algeria)"/>
      <sheetName val="FAS Data"/>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Data-Conv"/>
      <sheetName val="newsletter"/>
      <sheetName val="New Table 16"/>
      <sheetName val="Fig. 14"/>
      <sheetName val="Pie Charts"/>
      <sheetName val="4wk Fig"/>
      <sheetName val="Charts2"/>
      <sheetName val="Sheet1"/>
      <sheetName val="River Analysis"/>
      <sheetName val="Sheet2"/>
    </sheetNames>
    <sheetDataSet>
      <sheetData sheetId="0"/>
      <sheetData sheetId="1"/>
      <sheetData sheetId="2"/>
      <sheetData sheetId="3"/>
      <sheetData sheetId="4"/>
      <sheetData sheetId="5"/>
      <sheetData sheetId="6"/>
      <sheetData sheetId="7"/>
      <sheetData sheetId="8"/>
      <sheetData sheetId="9">
        <row r="6">
          <cell r="C6">
            <v>1616</v>
          </cell>
          <cell r="F6">
            <v>5999</v>
          </cell>
          <cell r="I6">
            <v>10155</v>
          </cell>
          <cell r="L6">
            <v>7413</v>
          </cell>
          <cell r="O6">
            <v>22829</v>
          </cell>
          <cell r="R6">
            <v>37836.666666666664</v>
          </cell>
          <cell r="U6">
            <v>41.11959287531807</v>
          </cell>
          <cell r="X6">
            <v>152.64631043256998</v>
          </cell>
          <cell r="AA6">
            <v>258.39694656488552</v>
          </cell>
          <cell r="AD6">
            <v>188.62595419847329</v>
          </cell>
          <cell r="AG6">
            <v>580.89058524173038</v>
          </cell>
          <cell r="AJ6">
            <v>962.76505513146731</v>
          </cell>
        </row>
        <row r="7">
          <cell r="C7">
            <v>0</v>
          </cell>
          <cell r="F7">
            <v>24838</v>
          </cell>
          <cell r="I7">
            <v>28288</v>
          </cell>
          <cell r="L7">
            <v>8322.6666666666661</v>
          </cell>
          <cell r="O7">
            <v>20596</v>
          </cell>
          <cell r="R7">
            <v>34954.333333333336</v>
          </cell>
          <cell r="U7">
            <v>0</v>
          </cell>
          <cell r="X7">
            <v>632.01017811704844</v>
          </cell>
          <cell r="AA7">
            <v>719.79643765903313</v>
          </cell>
          <cell r="AD7">
            <v>211.77268871925361</v>
          </cell>
          <cell r="AG7">
            <v>524.07124681933851</v>
          </cell>
          <cell r="AJ7">
            <v>889.42324003392719</v>
          </cell>
        </row>
        <row r="8">
          <cell r="C8">
            <v>2043</v>
          </cell>
          <cell r="F8">
            <v>19979</v>
          </cell>
          <cell r="I8">
            <v>24831</v>
          </cell>
          <cell r="L8">
            <v>5209</v>
          </cell>
          <cell r="O8">
            <v>21755.333333333332</v>
          </cell>
          <cell r="R8">
            <v>33770.333333333336</v>
          </cell>
          <cell r="U8">
            <v>51.984732824427482</v>
          </cell>
          <cell r="X8">
            <v>508.37150127226465</v>
          </cell>
          <cell r="AA8">
            <v>631.83206106870239</v>
          </cell>
          <cell r="AD8">
            <v>132.54452926208651</v>
          </cell>
          <cell r="AG8">
            <v>553.57082273112803</v>
          </cell>
          <cell r="AJ8">
            <v>859.29601357082288</v>
          </cell>
        </row>
        <row r="9">
          <cell r="C9">
            <v>13</v>
          </cell>
          <cell r="F9">
            <v>15899</v>
          </cell>
          <cell r="I9">
            <v>20187</v>
          </cell>
          <cell r="L9">
            <v>5316.666666666667</v>
          </cell>
          <cell r="O9">
            <v>22898.666666666668</v>
          </cell>
          <cell r="R9">
            <v>35225.666666666664</v>
          </cell>
          <cell r="U9">
            <v>0.33078880407124683</v>
          </cell>
          <cell r="X9">
            <v>404.55470737913487</v>
          </cell>
          <cell r="AA9">
            <v>513.66412213740466</v>
          </cell>
          <cell r="AD9">
            <v>135.284139100933</v>
          </cell>
          <cell r="AG9">
            <v>582.66327396098393</v>
          </cell>
          <cell r="AJ9">
            <v>896.32739609838848</v>
          </cell>
        </row>
        <row r="10">
          <cell r="C10">
            <v>20</v>
          </cell>
          <cell r="F10">
            <v>14292</v>
          </cell>
          <cell r="I10">
            <v>17385</v>
          </cell>
          <cell r="L10">
            <v>4737</v>
          </cell>
          <cell r="O10">
            <v>26375.666666666668</v>
          </cell>
          <cell r="R10">
            <v>37804.333333333336</v>
          </cell>
          <cell r="U10">
            <v>0.5089058524173028</v>
          </cell>
          <cell r="X10">
            <v>363.6641221374046</v>
          </cell>
          <cell r="AA10">
            <v>442.36641221374049</v>
          </cell>
          <cell r="AD10">
            <v>120.53435114503817</v>
          </cell>
          <cell r="AG10">
            <v>671.13655640373202</v>
          </cell>
          <cell r="AJ10">
            <v>961.94232400339286</v>
          </cell>
        </row>
        <row r="11">
          <cell r="C11">
            <v>25</v>
          </cell>
          <cell r="F11">
            <v>14618</v>
          </cell>
          <cell r="I11">
            <v>17280</v>
          </cell>
          <cell r="L11">
            <v>630</v>
          </cell>
          <cell r="O11">
            <v>24468</v>
          </cell>
          <cell r="R11">
            <v>29842.333333333332</v>
          </cell>
          <cell r="U11">
            <v>0.63613231552162852</v>
          </cell>
          <cell r="X11">
            <v>371.95928753180664</v>
          </cell>
          <cell r="AA11">
            <v>439.69465648854964</v>
          </cell>
          <cell r="AD11">
            <v>16.03053435114504</v>
          </cell>
          <cell r="AG11">
            <v>622.59541984732834</v>
          </cell>
          <cell r="AJ11">
            <v>759.34690415606451</v>
          </cell>
        </row>
        <row r="12">
          <cell r="C12">
            <v>18</v>
          </cell>
          <cell r="F12">
            <v>7818</v>
          </cell>
          <cell r="I12">
            <v>10433</v>
          </cell>
          <cell r="L12">
            <v>770.33333333333337</v>
          </cell>
          <cell r="O12">
            <v>21211</v>
          </cell>
          <cell r="R12">
            <v>27487.666666666668</v>
          </cell>
          <cell r="U12">
            <v>0.45801526717557256</v>
          </cell>
          <cell r="X12">
            <v>198.93129770992368</v>
          </cell>
          <cell r="AA12">
            <v>265.470737913486</v>
          </cell>
          <cell r="AD12">
            <v>19.601357082273115</v>
          </cell>
          <cell r="AG12">
            <v>539.72010178117057</v>
          </cell>
          <cell r="AJ12">
            <v>699.43172179813405</v>
          </cell>
        </row>
        <row r="13">
          <cell r="C13">
            <v>17</v>
          </cell>
          <cell r="F13">
            <v>13502</v>
          </cell>
          <cell r="I13">
            <v>15564</v>
          </cell>
          <cell r="L13">
            <v>340</v>
          </cell>
          <cell r="O13">
            <v>19616.666666666668</v>
          </cell>
          <cell r="R13">
            <v>26649.333333333332</v>
          </cell>
          <cell r="U13">
            <v>0.43256997455470741</v>
          </cell>
          <cell r="X13">
            <v>343.56234096692117</v>
          </cell>
          <cell r="AA13">
            <v>396.03053435114509</v>
          </cell>
          <cell r="AD13">
            <v>8.6513994910941481</v>
          </cell>
          <cell r="AG13">
            <v>499.15182357930456</v>
          </cell>
          <cell r="AJ13">
            <v>678.10008481764214</v>
          </cell>
        </row>
        <row r="14">
          <cell r="C14">
            <v>2153</v>
          </cell>
          <cell r="F14">
            <v>7981</v>
          </cell>
          <cell r="I14">
            <v>15430</v>
          </cell>
          <cell r="L14">
            <v>1420</v>
          </cell>
          <cell r="O14">
            <v>18992.666666666668</v>
          </cell>
          <cell r="R14">
            <v>29211.333333333332</v>
          </cell>
          <cell r="U14">
            <v>54.783715012722652</v>
          </cell>
          <cell r="X14">
            <v>203.0788804071247</v>
          </cell>
          <cell r="AA14">
            <v>392.62086513994916</v>
          </cell>
          <cell r="AD14">
            <v>36.132315521628499</v>
          </cell>
          <cell r="AG14">
            <v>483.27396098388471</v>
          </cell>
          <cell r="AJ14">
            <v>743.2909245122986</v>
          </cell>
        </row>
        <row r="15">
          <cell r="C15">
            <v>2156</v>
          </cell>
          <cell r="F15">
            <v>5705</v>
          </cell>
          <cell r="I15">
            <v>9463</v>
          </cell>
          <cell r="L15">
            <v>4182</v>
          </cell>
          <cell r="O15">
            <v>16660.333333333332</v>
          </cell>
          <cell r="R15">
            <v>28012</v>
          </cell>
          <cell r="U15">
            <v>54.860050890585242</v>
          </cell>
          <cell r="X15">
            <v>145.16539440203564</v>
          </cell>
          <cell r="AA15">
            <v>240.78880407124683</v>
          </cell>
          <cell r="AD15">
            <v>106.41221374045803</v>
          </cell>
          <cell r="AG15">
            <v>423.92705682782019</v>
          </cell>
          <cell r="AJ15">
            <v>712.7735368956744</v>
          </cell>
        </row>
        <row r="16">
          <cell r="C16">
            <v>2583</v>
          </cell>
          <cell r="F16">
            <v>9288</v>
          </cell>
          <cell r="I16">
            <v>14425</v>
          </cell>
          <cell r="L16">
            <v>5908.666666666667</v>
          </cell>
          <cell r="O16">
            <v>17169.666666666668</v>
          </cell>
          <cell r="R16">
            <v>30484</v>
          </cell>
          <cell r="U16">
            <v>65.725190839694662</v>
          </cell>
          <cell r="X16">
            <v>236.33587786259542</v>
          </cell>
          <cell r="AA16">
            <v>367.04834605597966</v>
          </cell>
          <cell r="AD16">
            <v>150.34775233248519</v>
          </cell>
          <cell r="AG16">
            <v>436.88719253604756</v>
          </cell>
          <cell r="AJ16">
            <v>775.67430025445299</v>
          </cell>
        </row>
        <row r="17">
          <cell r="C17">
            <v>2148</v>
          </cell>
          <cell r="F17">
            <v>11221</v>
          </cell>
          <cell r="I17">
            <v>16166</v>
          </cell>
          <cell r="L17">
            <v>7987.666666666667</v>
          </cell>
          <cell r="O17">
            <v>17754.666666666668</v>
          </cell>
          <cell r="R17">
            <v>31842</v>
          </cell>
          <cell r="U17">
            <v>54.656488549618324</v>
          </cell>
          <cell r="X17">
            <v>285.52162849872775</v>
          </cell>
          <cell r="AA17">
            <v>411.34860050890586</v>
          </cell>
          <cell r="AD17">
            <v>203.2485156912638</v>
          </cell>
          <cell r="AG17">
            <v>451.77268871925367</v>
          </cell>
          <cell r="AJ17">
            <v>810.2290076335878</v>
          </cell>
        </row>
        <row r="18">
          <cell r="C18">
            <v>2157</v>
          </cell>
          <cell r="F18">
            <v>6794</v>
          </cell>
          <cell r="I18">
            <v>10512</v>
          </cell>
          <cell r="L18">
            <v>5355</v>
          </cell>
          <cell r="O18">
            <v>19239.333333333332</v>
          </cell>
          <cell r="R18">
            <v>32780.666666666664</v>
          </cell>
          <cell r="U18">
            <v>54.885496183206108</v>
          </cell>
          <cell r="X18">
            <v>172.87531806615777</v>
          </cell>
          <cell r="AA18">
            <v>267.48091603053439</v>
          </cell>
          <cell r="AD18">
            <v>136.25954198473283</v>
          </cell>
          <cell r="AG18">
            <v>489.55046649703138</v>
          </cell>
          <cell r="AJ18">
            <v>834.11365564037317</v>
          </cell>
        </row>
        <row r="19">
          <cell r="C19">
            <v>10</v>
          </cell>
          <cell r="F19">
            <v>6571</v>
          </cell>
          <cell r="I19">
            <v>8057</v>
          </cell>
          <cell r="L19">
            <v>8072.666666666667</v>
          </cell>
          <cell r="O19">
            <v>17086</v>
          </cell>
          <cell r="R19">
            <v>31794</v>
          </cell>
          <cell r="U19">
            <v>0.2544529262086514</v>
          </cell>
          <cell r="X19">
            <v>167.20101781170484</v>
          </cell>
          <cell r="AA19">
            <v>205.01272264631044</v>
          </cell>
          <cell r="AD19">
            <v>205.41136556403734</v>
          </cell>
          <cell r="AG19">
            <v>434.75826972010179</v>
          </cell>
          <cell r="AJ19">
            <v>809.00763358778636</v>
          </cell>
        </row>
        <row r="20">
          <cell r="C20">
            <v>2154</v>
          </cell>
          <cell r="F20">
            <v>12850</v>
          </cell>
          <cell r="I20">
            <v>16507</v>
          </cell>
          <cell r="L20">
            <v>8057.666666666667</v>
          </cell>
          <cell r="O20">
            <v>20425</v>
          </cell>
          <cell r="R20">
            <v>33639</v>
          </cell>
          <cell r="U20">
            <v>54.809160305343518</v>
          </cell>
          <cell r="X20">
            <v>326.97201017811705</v>
          </cell>
          <cell r="AA20">
            <v>420.02544529262087</v>
          </cell>
          <cell r="AD20">
            <v>205.02968617472436</v>
          </cell>
          <cell r="AG20">
            <v>519.72010178117057</v>
          </cell>
          <cell r="AJ20">
            <v>855.95419847328253</v>
          </cell>
        </row>
        <row r="21">
          <cell r="C21">
            <v>4319</v>
          </cell>
          <cell r="F21">
            <v>8090</v>
          </cell>
          <cell r="I21">
            <v>13872</v>
          </cell>
          <cell r="L21">
            <v>6477.666666666667</v>
          </cell>
          <cell r="O21">
            <v>18616.666666666668</v>
          </cell>
          <cell r="R21">
            <v>31864.666666666668</v>
          </cell>
          <cell r="U21">
            <v>109.89821882951655</v>
          </cell>
          <cell r="X21">
            <v>205.85241730279898</v>
          </cell>
          <cell r="AA21">
            <v>352.97709923664127</v>
          </cell>
          <cell r="AD21">
            <v>164.82612383375744</v>
          </cell>
          <cell r="AG21">
            <v>473.70653095843943</v>
          </cell>
          <cell r="AJ21">
            <v>810.80576759966084</v>
          </cell>
        </row>
        <row r="22">
          <cell r="C22">
            <v>2234</v>
          </cell>
          <cell r="F22">
            <v>4696</v>
          </cell>
          <cell r="I22">
            <v>8006</v>
          </cell>
          <cell r="L22">
            <v>12145.666666666666</v>
          </cell>
          <cell r="O22">
            <v>19723.666666666668</v>
          </cell>
          <cell r="R22">
            <v>38663.666666666664</v>
          </cell>
          <cell r="U22">
            <v>56.844783715012724</v>
          </cell>
          <cell r="X22">
            <v>119.4910941475827</v>
          </cell>
          <cell r="AA22">
            <v>203.71501272264632</v>
          </cell>
          <cell r="AD22">
            <v>309.05004240882101</v>
          </cell>
          <cell r="AG22">
            <v>501.87446988973716</v>
          </cell>
          <cell r="AJ22">
            <v>983.80831212892281</v>
          </cell>
        </row>
        <row r="23">
          <cell r="C23">
            <v>3389</v>
          </cell>
          <cell r="F23">
            <v>2261</v>
          </cell>
          <cell r="I23">
            <v>5864</v>
          </cell>
          <cell r="L23">
            <v>6260.333333333333</v>
          </cell>
          <cell r="O23">
            <v>15585</v>
          </cell>
          <cell r="R23">
            <v>25738</v>
          </cell>
          <cell r="U23">
            <v>86.234096692111962</v>
          </cell>
          <cell r="X23">
            <v>57.531806615776084</v>
          </cell>
          <cell r="AA23">
            <v>149.2111959287532</v>
          </cell>
          <cell r="AD23">
            <v>159.29601357082274</v>
          </cell>
          <cell r="AG23">
            <v>396.56488549618325</v>
          </cell>
          <cell r="AJ23">
            <v>654.91094147582703</v>
          </cell>
        </row>
        <row r="24">
          <cell r="L24">
            <v>2561.3333333333335</v>
          </cell>
          <cell r="O24">
            <v>11064.666666666666</v>
          </cell>
          <cell r="R24">
            <v>18009</v>
          </cell>
          <cell r="AD24">
            <v>65.173876166242593</v>
          </cell>
          <cell r="AG24">
            <v>281.54368108566581</v>
          </cell>
          <cell r="AJ24">
            <v>458.24427480916034</v>
          </cell>
        </row>
        <row r="25">
          <cell r="L25">
            <v>5187</v>
          </cell>
          <cell r="O25">
            <v>18279.333333333332</v>
          </cell>
          <cell r="R25">
            <v>28781.333333333332</v>
          </cell>
          <cell r="AD25">
            <v>131.98473282442748</v>
          </cell>
          <cell r="AG25">
            <v>465.12298558100088</v>
          </cell>
          <cell r="AJ25">
            <v>732.34944868532659</v>
          </cell>
        </row>
        <row r="26">
          <cell r="L26">
            <v>6271.666666666667</v>
          </cell>
          <cell r="O26">
            <v>17876.333333333332</v>
          </cell>
          <cell r="R26">
            <v>29838</v>
          </cell>
          <cell r="AD26">
            <v>159.58439355385923</v>
          </cell>
          <cell r="AG26">
            <v>454.8685326547922</v>
          </cell>
          <cell r="AJ26">
            <v>759.23664122137416</v>
          </cell>
        </row>
        <row r="27">
          <cell r="L27">
            <v>5430.666666666667</v>
          </cell>
          <cell r="O27">
            <v>19990</v>
          </cell>
          <cell r="R27">
            <v>31256</v>
          </cell>
          <cell r="AD27">
            <v>138.18490245971165</v>
          </cell>
          <cell r="AG27">
            <v>508.6513994910942</v>
          </cell>
          <cell r="AJ27">
            <v>795.31806615776088</v>
          </cell>
        </row>
        <row r="28">
          <cell r="L28">
            <v>6750.666666666667</v>
          </cell>
          <cell r="O28">
            <v>21250.666666666668</v>
          </cell>
          <cell r="R28">
            <v>33739</v>
          </cell>
          <cell r="AD28">
            <v>171.77268871925364</v>
          </cell>
          <cell r="AG28">
            <v>540.72943172179816</v>
          </cell>
          <cell r="AJ28">
            <v>858.49872773536902</v>
          </cell>
        </row>
        <row r="29">
          <cell r="L29">
            <v>3333</v>
          </cell>
          <cell r="O29">
            <v>16780.333333333332</v>
          </cell>
          <cell r="R29">
            <v>27263.333333333332</v>
          </cell>
          <cell r="AD29">
            <v>84.809160305343511</v>
          </cell>
          <cell r="AG29">
            <v>426.98049194232402</v>
          </cell>
          <cell r="AJ29">
            <v>693.72349448685327</v>
          </cell>
        </row>
        <row r="30">
          <cell r="L30">
            <v>7464.666666666667</v>
          </cell>
          <cell r="O30">
            <v>23673.333333333332</v>
          </cell>
          <cell r="R30">
            <v>38971</v>
          </cell>
          <cell r="AD30">
            <v>189.94062765055133</v>
          </cell>
          <cell r="AG30">
            <v>602.37489397794741</v>
          </cell>
          <cell r="AJ30">
            <v>991.6284987277354</v>
          </cell>
        </row>
        <row r="31">
          <cell r="L31">
            <v>3622.3333333333335</v>
          </cell>
          <cell r="O31">
            <v>22061.333333333332</v>
          </cell>
          <cell r="R31">
            <v>32145.333333333332</v>
          </cell>
          <cell r="AD31">
            <v>92.171331636980497</v>
          </cell>
          <cell r="AG31">
            <v>561.35708227311284</v>
          </cell>
          <cell r="AJ31">
            <v>817.9474130619169</v>
          </cell>
        </row>
        <row r="32">
          <cell r="L32">
            <v>6874.666666666667</v>
          </cell>
          <cell r="O32">
            <v>23374.333333333332</v>
          </cell>
          <cell r="R32">
            <v>38550</v>
          </cell>
          <cell r="AD32">
            <v>174.9279050042409</v>
          </cell>
          <cell r="AG32">
            <v>594.76675148430877</v>
          </cell>
          <cell r="AJ32">
            <v>980.91603053435119</v>
          </cell>
        </row>
        <row r="33">
          <cell r="L33">
            <v>8694</v>
          </cell>
          <cell r="O33">
            <v>21369.333333333332</v>
          </cell>
          <cell r="R33">
            <v>39082</v>
          </cell>
          <cell r="AD33">
            <v>221.22137404580155</v>
          </cell>
          <cell r="AG33">
            <v>543.74893977947409</v>
          </cell>
          <cell r="AJ33">
            <v>994.45292620865143</v>
          </cell>
        </row>
        <row r="34">
          <cell r="L34">
            <v>3012.3333333333335</v>
          </cell>
          <cell r="O34">
            <v>21318</v>
          </cell>
          <cell r="R34">
            <v>33179.666666666664</v>
          </cell>
          <cell r="AD34">
            <v>76.649703138252761</v>
          </cell>
          <cell r="AG34">
            <v>542.44274809160311</v>
          </cell>
          <cell r="AJ34">
            <v>844.2663273960984</v>
          </cell>
        </row>
        <row r="35">
          <cell r="L35">
            <v>5340</v>
          </cell>
          <cell r="O35">
            <v>22481.666666666668</v>
          </cell>
          <cell r="R35">
            <v>36111.333333333336</v>
          </cell>
          <cell r="AD35">
            <v>135.87786259541986</v>
          </cell>
          <cell r="AG35">
            <v>572.05258693808321</v>
          </cell>
          <cell r="AJ35">
            <v>918.8634435962681</v>
          </cell>
        </row>
        <row r="36">
          <cell r="L36">
            <v>8507</v>
          </cell>
          <cell r="O36">
            <v>21325.333333333332</v>
          </cell>
          <cell r="R36">
            <v>38196.333333333336</v>
          </cell>
          <cell r="AD36">
            <v>216.46310432569976</v>
          </cell>
          <cell r="AG36">
            <v>542.62934690415602</v>
          </cell>
          <cell r="AJ36">
            <v>971.91687871077193</v>
          </cell>
        </row>
        <row r="37">
          <cell r="L37">
            <v>9587</v>
          </cell>
          <cell r="O37">
            <v>17408.666666666668</v>
          </cell>
          <cell r="R37">
            <v>34981.666666666664</v>
          </cell>
          <cell r="AD37">
            <v>243.94402035623412</v>
          </cell>
          <cell r="AG37">
            <v>442.96861747243435</v>
          </cell>
          <cell r="AJ37">
            <v>890.11874469889733</v>
          </cell>
        </row>
        <row r="38">
          <cell r="L38">
            <v>7895.666666666667</v>
          </cell>
          <cell r="O38">
            <v>24463.666666666668</v>
          </cell>
          <cell r="R38">
            <v>40370.666666666664</v>
          </cell>
          <cell r="AD38">
            <v>200.90754877014422</v>
          </cell>
          <cell r="AG38">
            <v>622.48515691263788</v>
          </cell>
          <cell r="AJ38">
            <v>1027.2434266327396</v>
          </cell>
        </row>
        <row r="39">
          <cell r="L39">
            <v>7114.666666666667</v>
          </cell>
          <cell r="O39">
            <v>19001</v>
          </cell>
          <cell r="R39">
            <v>35120.333333333336</v>
          </cell>
          <cell r="AD39">
            <v>181.03477523324852</v>
          </cell>
          <cell r="AG39">
            <v>483.48600508905855</v>
          </cell>
          <cell r="AJ39">
            <v>893.64715860899082</v>
          </cell>
        </row>
        <row r="40">
          <cell r="L40">
            <v>9788.3333333333339</v>
          </cell>
          <cell r="O40">
            <v>13246.666666666666</v>
          </cell>
          <cell r="R40">
            <v>31476.666666666668</v>
          </cell>
          <cell r="AD40">
            <v>249.06700593723497</v>
          </cell>
          <cell r="AG40">
            <v>337.06530958439356</v>
          </cell>
          <cell r="AJ40">
            <v>800.93299406276515</v>
          </cell>
        </row>
        <row r="41">
          <cell r="L41">
            <v>7476.666666666667</v>
          </cell>
          <cell r="O41">
            <v>18505.333333333332</v>
          </cell>
          <cell r="R41">
            <v>33129</v>
          </cell>
          <cell r="AD41">
            <v>190.24597116200172</v>
          </cell>
          <cell r="AG41">
            <v>470.87362171331637</v>
          </cell>
          <cell r="AJ41">
            <v>842.97709923664127</v>
          </cell>
        </row>
        <row r="42">
          <cell r="L42">
            <v>8694.6666666666661</v>
          </cell>
          <cell r="O42">
            <v>18259.666666666668</v>
          </cell>
          <cell r="R42">
            <v>34803.666666666664</v>
          </cell>
          <cell r="AD42">
            <v>221.23833757421545</v>
          </cell>
          <cell r="AG42">
            <v>464.62256149279057</v>
          </cell>
          <cell r="AJ42">
            <v>885.58948261238334</v>
          </cell>
        </row>
        <row r="43">
          <cell r="L43">
            <v>6941.666666666667</v>
          </cell>
          <cell r="O43">
            <v>21014</v>
          </cell>
          <cell r="R43">
            <v>35770.333333333336</v>
          </cell>
          <cell r="AD43">
            <v>176.63273960983886</v>
          </cell>
          <cell r="AG43">
            <v>534.70737913486005</v>
          </cell>
          <cell r="AJ43">
            <v>910.18659881255314</v>
          </cell>
        </row>
        <row r="44">
          <cell r="L44">
            <v>9134</v>
          </cell>
          <cell r="O44">
            <v>23352</v>
          </cell>
          <cell r="R44">
            <v>38571</v>
          </cell>
          <cell r="AD44">
            <v>232.41730279898221</v>
          </cell>
          <cell r="AG44">
            <v>594.19847328244282</v>
          </cell>
          <cell r="AJ44">
            <v>981.45038167938935</v>
          </cell>
        </row>
        <row r="45">
          <cell r="L45">
            <v>8326</v>
          </cell>
          <cell r="O45">
            <v>19128</v>
          </cell>
          <cell r="R45">
            <v>34014.666666666664</v>
          </cell>
          <cell r="AD45">
            <v>211.85750636132317</v>
          </cell>
          <cell r="AG45">
            <v>486.71755725190843</v>
          </cell>
          <cell r="AJ45">
            <v>865.51314673452077</v>
          </cell>
        </row>
        <row r="46">
          <cell r="L46">
            <v>7195.666666666667</v>
          </cell>
          <cell r="O46">
            <v>17395</v>
          </cell>
          <cell r="R46">
            <v>31198</v>
          </cell>
          <cell r="AD46">
            <v>183.09584393553862</v>
          </cell>
          <cell r="AG46">
            <v>442.62086513994916</v>
          </cell>
          <cell r="AJ46">
            <v>793.84223918575071</v>
          </cell>
        </row>
        <row r="47">
          <cell r="L47">
            <v>8791.6666666666661</v>
          </cell>
          <cell r="O47">
            <v>18170.666666666668</v>
          </cell>
          <cell r="R47">
            <v>33523.333333333336</v>
          </cell>
          <cell r="AD47">
            <v>223.70653095843934</v>
          </cell>
          <cell r="AG47">
            <v>462.35793044953357</v>
          </cell>
          <cell r="AJ47">
            <v>853.01102629346917</v>
          </cell>
        </row>
        <row r="48">
          <cell r="L48">
            <v>8683.6666666666661</v>
          </cell>
          <cell r="O48">
            <v>18680.333333333332</v>
          </cell>
          <cell r="R48">
            <v>33470.333333333336</v>
          </cell>
          <cell r="AD48">
            <v>220.95843935538593</v>
          </cell>
          <cell r="AG48">
            <v>475.32654792196774</v>
          </cell>
          <cell r="AJ48">
            <v>851.66242578456331</v>
          </cell>
        </row>
        <row r="49">
          <cell r="L49">
            <v>8583.6666666666661</v>
          </cell>
          <cell r="O49">
            <v>19923</v>
          </cell>
          <cell r="R49">
            <v>33669.333333333336</v>
          </cell>
          <cell r="AD49">
            <v>218.41391009329939</v>
          </cell>
          <cell r="AG49">
            <v>506.94656488549623</v>
          </cell>
          <cell r="AJ49">
            <v>856.72603901611546</v>
          </cell>
        </row>
        <row r="50">
          <cell r="L50">
            <v>8079.666666666667</v>
          </cell>
          <cell r="O50">
            <v>19336</v>
          </cell>
          <cell r="R50">
            <v>32640.666666666668</v>
          </cell>
          <cell r="AD50">
            <v>205.58948261238339</v>
          </cell>
          <cell r="AG50">
            <v>492.01017811704838</v>
          </cell>
          <cell r="AJ50">
            <v>830.55131467345223</v>
          </cell>
        </row>
        <row r="51">
          <cell r="L51">
            <v>9778.3333333333339</v>
          </cell>
          <cell r="O51">
            <v>17404.666666666668</v>
          </cell>
          <cell r="R51">
            <v>32984.666666666664</v>
          </cell>
          <cell r="AD51">
            <v>248.81255301102632</v>
          </cell>
          <cell r="AG51">
            <v>442.86683630195085</v>
          </cell>
          <cell r="AJ51">
            <v>839.30449533502974</v>
          </cell>
        </row>
        <row r="52">
          <cell r="L52">
            <v>9191.3333333333339</v>
          </cell>
          <cell r="O52">
            <v>19955.333333333332</v>
          </cell>
          <cell r="R52">
            <v>33764.666666666664</v>
          </cell>
          <cell r="AD52">
            <v>233.87616624257848</v>
          </cell>
          <cell r="AG52">
            <v>507.76929601357085</v>
          </cell>
          <cell r="AJ52">
            <v>859.15182357930451</v>
          </cell>
        </row>
        <row r="53">
          <cell r="L53">
            <v>10018.666666666666</v>
          </cell>
          <cell r="O53">
            <v>15633.666666666666</v>
          </cell>
          <cell r="R53">
            <v>30441</v>
          </cell>
          <cell r="AD53">
            <v>254.9279050042409</v>
          </cell>
          <cell r="AG53">
            <v>397.80322307039864</v>
          </cell>
          <cell r="AJ53">
            <v>774.58015267175574</v>
          </cell>
        </row>
        <row r="54">
          <cell r="L54">
            <v>10193.333333333334</v>
          </cell>
          <cell r="O54">
            <v>17176.666666666668</v>
          </cell>
          <cell r="R54">
            <v>33811</v>
          </cell>
          <cell r="AD54">
            <v>259.37234944868538</v>
          </cell>
          <cell r="AG54">
            <v>437.06530958439362</v>
          </cell>
          <cell r="AJ54">
            <v>860.33078880407129</v>
          </cell>
        </row>
        <row r="55">
          <cell r="L55">
            <v>5639.666666666667</v>
          </cell>
          <cell r="O55">
            <v>19279.666666666668</v>
          </cell>
          <cell r="R55">
            <v>31967</v>
          </cell>
          <cell r="AD55">
            <v>143.50296861747245</v>
          </cell>
          <cell r="AG55">
            <v>490.57675996607298</v>
          </cell>
          <cell r="AJ55">
            <v>813.40966921119593</v>
          </cell>
        </row>
        <row r="56">
          <cell r="L56">
            <v>8369</v>
          </cell>
          <cell r="O56">
            <v>19499.666666666668</v>
          </cell>
          <cell r="R56">
            <v>32708.666666666668</v>
          </cell>
          <cell r="AD56">
            <v>212.95165394402036</v>
          </cell>
          <cell r="AG56">
            <v>496.17472434266335</v>
          </cell>
          <cell r="AJ56">
            <v>832.28159457167101</v>
          </cell>
        </row>
        <row r="57">
          <cell r="L57">
            <v>8056.666666666667</v>
          </cell>
          <cell r="O57">
            <v>19864.333333333332</v>
          </cell>
          <cell r="R57">
            <v>32843</v>
          </cell>
          <cell r="AD57">
            <v>205.00424088210349</v>
          </cell>
          <cell r="AG57">
            <v>505.45377438507211</v>
          </cell>
          <cell r="AJ57">
            <v>835.6997455470738</v>
          </cell>
        </row>
      </sheetData>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15"/>
  </sheetPr>
  <dimension ref="A1:Q35"/>
  <sheetViews>
    <sheetView tabSelected="1" zoomScale="125" zoomScaleNormal="125" workbookViewId="0">
      <selection activeCell="K4" sqref="K4"/>
    </sheetView>
  </sheetViews>
  <sheetFormatPr defaultRowHeight="13.2" x14ac:dyDescent="0.25"/>
  <cols>
    <col min="1" max="1" width="28.33203125" customWidth="1"/>
    <col min="2" max="2" width="1.77734375" customWidth="1"/>
    <col min="3" max="3" width="11.33203125" customWidth="1"/>
    <col min="4" max="4" width="9.109375" customWidth="1"/>
    <col min="5" max="5" width="0.88671875" customWidth="1"/>
    <col min="6" max="6" width="12.109375" customWidth="1"/>
    <col min="7" max="7" width="0.88671875" customWidth="1"/>
    <col min="8" max="8" width="9.6640625" customWidth="1"/>
    <col min="9" max="9" width="1" customWidth="1"/>
    <col min="11" max="11" width="14.6640625" bestFit="1" customWidth="1"/>
    <col min="12" max="12" width="15.109375" bestFit="1" customWidth="1"/>
    <col min="13" max="13" width="11.44140625" bestFit="1" customWidth="1"/>
    <col min="14" max="14" width="16.6640625" bestFit="1" customWidth="1"/>
  </cols>
  <sheetData>
    <row r="1" spans="1:14" ht="12.75" customHeight="1" x14ac:dyDescent="0.25">
      <c r="A1" s="235"/>
      <c r="B1" s="235"/>
      <c r="C1" s="91"/>
      <c r="D1" s="91"/>
      <c r="E1" s="91"/>
      <c r="F1" s="91"/>
      <c r="G1" s="91"/>
      <c r="H1" s="91"/>
      <c r="I1" s="91"/>
      <c r="J1" s="89"/>
      <c r="K1" s="127"/>
    </row>
    <row r="2" spans="1:14" ht="16.5" customHeight="1" x14ac:dyDescent="0.3">
      <c r="A2" s="236"/>
      <c r="B2" s="236"/>
      <c r="C2" s="237"/>
      <c r="D2" s="237"/>
      <c r="E2" s="237"/>
      <c r="F2" s="237"/>
      <c r="G2" s="237"/>
      <c r="H2" s="238"/>
      <c r="I2" s="90"/>
      <c r="J2" s="90"/>
      <c r="K2" s="127"/>
    </row>
    <row r="3" spans="1:14" ht="15.75" customHeight="1" x14ac:dyDescent="0.25">
      <c r="A3" s="239"/>
      <c r="B3" s="240"/>
      <c r="C3" s="240"/>
      <c r="D3" s="240"/>
      <c r="E3" s="241"/>
      <c r="F3" s="242"/>
      <c r="G3" s="242"/>
      <c r="H3" s="243"/>
      <c r="I3" s="95"/>
      <c r="J3" s="91"/>
      <c r="K3" s="127"/>
    </row>
    <row r="4" spans="1:14" ht="15.75" customHeight="1" x14ac:dyDescent="0.25">
      <c r="A4" s="92"/>
      <c r="B4" s="93"/>
      <c r="C4" s="93"/>
      <c r="D4" s="93"/>
      <c r="E4" s="93"/>
      <c r="F4" s="94"/>
      <c r="G4" s="94"/>
      <c r="H4" s="243"/>
      <c r="I4" s="95"/>
      <c r="J4" s="91"/>
      <c r="K4" s="127"/>
    </row>
    <row r="5" spans="1:14" ht="15.75" customHeight="1" x14ac:dyDescent="0.25">
      <c r="A5" s="92"/>
      <c r="B5" s="93"/>
      <c r="C5" s="93"/>
      <c r="D5" s="93"/>
      <c r="E5" s="93"/>
      <c r="F5" s="94"/>
      <c r="G5" s="94"/>
      <c r="H5" s="93"/>
      <c r="I5" s="95"/>
      <c r="J5" s="91"/>
      <c r="K5" s="131"/>
    </row>
    <row r="6" spans="1:14" ht="10.95" customHeight="1" x14ac:dyDescent="0.25">
      <c r="A6" s="90"/>
      <c r="B6" s="244"/>
      <c r="C6" s="244"/>
      <c r="D6" s="244"/>
      <c r="E6" s="96"/>
      <c r="F6" s="97"/>
      <c r="G6" s="97"/>
      <c r="H6" s="245"/>
      <c r="I6" s="90"/>
      <c r="J6" s="98"/>
      <c r="K6" s="132"/>
    </row>
    <row r="7" spans="1:14" ht="14.4" customHeight="1" x14ac:dyDescent="0.25">
      <c r="A7" s="90"/>
      <c r="B7" s="99"/>
      <c r="C7" s="99"/>
      <c r="D7" s="99"/>
      <c r="E7" s="100"/>
      <c r="F7" s="246"/>
      <c r="G7" s="100"/>
      <c r="H7" s="193"/>
      <c r="I7" s="102"/>
      <c r="J7" s="89"/>
      <c r="K7" s="133"/>
      <c r="L7" s="64"/>
    </row>
    <row r="8" spans="1:14" ht="14.4" customHeight="1" x14ac:dyDescent="0.25">
      <c r="A8" s="90"/>
      <c r="B8" s="99"/>
      <c r="C8" s="103"/>
      <c r="D8" s="103"/>
      <c r="E8" s="100"/>
      <c r="F8" s="246"/>
      <c r="G8" s="100"/>
      <c r="H8" s="193"/>
      <c r="I8" s="102"/>
      <c r="J8" s="89"/>
      <c r="K8" s="127"/>
    </row>
    <row r="9" spans="1:14" ht="14.4" customHeight="1" x14ac:dyDescent="0.25">
      <c r="A9" s="90"/>
      <c r="B9" s="99"/>
      <c r="C9" s="126"/>
      <c r="D9" s="126"/>
      <c r="E9" s="100"/>
      <c r="F9" s="246"/>
      <c r="G9" s="104"/>
      <c r="H9" s="193"/>
      <c r="I9" s="102"/>
      <c r="J9" s="89"/>
      <c r="K9" s="127"/>
    </row>
    <row r="10" spans="1:14" ht="14.4" customHeight="1" x14ac:dyDescent="0.25">
      <c r="A10" s="90"/>
      <c r="B10" s="99"/>
      <c r="C10" s="126"/>
      <c r="D10" s="126"/>
      <c r="E10" s="100"/>
      <c r="F10" s="246"/>
      <c r="G10" s="100"/>
      <c r="H10" s="193"/>
      <c r="I10" s="193"/>
      <c r="J10" s="89"/>
      <c r="K10" s="127"/>
    </row>
    <row r="11" spans="1:14" x14ac:dyDescent="0.25">
      <c r="A11" s="90"/>
      <c r="B11" s="99"/>
      <c r="C11" s="126"/>
      <c r="D11" s="126"/>
      <c r="E11" s="100"/>
      <c r="F11" s="246"/>
      <c r="G11" s="100"/>
      <c r="H11" s="193"/>
      <c r="I11" s="102"/>
      <c r="J11" s="89"/>
      <c r="K11" s="127"/>
    </row>
    <row r="12" spans="1:14" x14ac:dyDescent="0.25">
      <c r="A12" s="247"/>
      <c r="B12" s="108"/>
      <c r="C12" s="108"/>
      <c r="D12" s="108"/>
      <c r="E12" s="107"/>
      <c r="F12" s="248"/>
      <c r="G12" s="249"/>
      <c r="H12" s="108"/>
      <c r="I12" s="102"/>
      <c r="J12" s="89"/>
      <c r="K12" s="127"/>
    </row>
    <row r="13" spans="1:14" x14ac:dyDescent="0.25">
      <c r="A13" s="250"/>
      <c r="B13" s="108"/>
      <c r="C13" s="108"/>
      <c r="D13" s="108"/>
      <c r="E13" s="107"/>
      <c r="F13" s="249"/>
      <c r="G13" s="107"/>
      <c r="H13" s="108"/>
      <c r="I13" s="107"/>
      <c r="J13" s="89"/>
      <c r="K13" s="134"/>
    </row>
    <row r="14" spans="1:14" x14ac:dyDescent="0.25">
      <c r="A14" s="105"/>
      <c r="B14" s="251"/>
      <c r="C14" s="251"/>
      <c r="D14" s="251"/>
      <c r="E14" s="106"/>
      <c r="F14" s="107"/>
      <c r="G14" s="107"/>
      <c r="H14" s="252"/>
      <c r="I14" s="107"/>
      <c r="J14" s="89"/>
      <c r="K14" s="134"/>
    </row>
    <row r="15" spans="1:14" x14ac:dyDescent="0.25">
      <c r="A15" s="253"/>
      <c r="B15" s="248"/>
      <c r="C15" s="254"/>
      <c r="D15" s="254"/>
      <c r="E15" s="100"/>
      <c r="F15" s="100"/>
      <c r="G15" s="100"/>
      <c r="H15" s="255"/>
      <c r="I15" s="100"/>
      <c r="J15" s="89"/>
      <c r="K15" s="134"/>
    </row>
    <row r="16" spans="1:14" ht="27.6" customHeight="1" x14ac:dyDescent="0.25">
      <c r="A16" s="250"/>
      <c r="B16" s="256"/>
      <c r="C16" s="256"/>
      <c r="D16" s="256"/>
      <c r="E16" s="256"/>
      <c r="F16" s="253"/>
      <c r="G16" s="253"/>
      <c r="H16" s="256"/>
      <c r="I16" s="90"/>
      <c r="J16" s="89"/>
      <c r="K16" s="135"/>
      <c r="L16" s="114"/>
      <c r="M16" s="17"/>
      <c r="N16" s="47"/>
    </row>
    <row r="17" spans="1:17" ht="15" customHeight="1" x14ac:dyDescent="0.25">
      <c r="A17" s="257"/>
      <c r="B17" s="108"/>
      <c r="C17" s="258"/>
      <c r="D17" s="130"/>
      <c r="E17" s="259"/>
      <c r="F17" s="260"/>
      <c r="G17" s="253"/>
      <c r="H17" s="256"/>
      <c r="I17" s="108"/>
      <c r="J17" s="108"/>
      <c r="K17" s="136"/>
      <c r="L17" s="115"/>
      <c r="M17" s="115"/>
      <c r="Q17" s="108"/>
    </row>
    <row r="18" spans="1:17" ht="27" customHeight="1" x14ac:dyDescent="0.25">
      <c r="A18" s="250"/>
      <c r="B18" s="130"/>
      <c r="C18" s="258"/>
      <c r="D18" s="130"/>
      <c r="E18" s="261"/>
      <c r="F18" s="249"/>
      <c r="G18" s="249"/>
      <c r="H18" s="256"/>
      <c r="I18" s="90"/>
      <c r="J18" s="89"/>
      <c r="K18" s="137"/>
      <c r="L18" s="115"/>
      <c r="M18" s="192"/>
      <c r="N18" s="17"/>
      <c r="Q18" s="76"/>
    </row>
    <row r="19" spans="1:17" ht="11.4" customHeight="1" x14ac:dyDescent="0.25">
      <c r="A19" s="214"/>
      <c r="B19" s="214"/>
      <c r="C19" s="214"/>
      <c r="D19" s="214"/>
      <c r="E19" s="214"/>
      <c r="F19" s="214"/>
      <c r="G19" s="214"/>
      <c r="H19" s="214"/>
      <c r="I19" s="109"/>
      <c r="J19" s="110"/>
      <c r="K19" s="138"/>
      <c r="L19" s="65"/>
      <c r="M19" s="17"/>
      <c r="N19" s="17"/>
    </row>
    <row r="20" spans="1:17" ht="12.6" customHeight="1" x14ac:dyDescent="0.25">
      <c r="A20" s="111"/>
      <c r="B20" s="111"/>
      <c r="C20" s="112"/>
      <c r="D20" s="112"/>
      <c r="E20" s="112"/>
      <c r="F20" s="112"/>
      <c r="G20" s="112"/>
      <c r="H20" s="112"/>
      <c r="I20" s="109"/>
      <c r="J20" s="110"/>
      <c r="K20" s="129"/>
      <c r="L20" s="40"/>
      <c r="M20" s="40"/>
      <c r="N20" s="17"/>
    </row>
    <row r="21" spans="1:17" ht="24.6" customHeight="1" x14ac:dyDescent="0.25">
      <c r="A21" s="213"/>
      <c r="B21" s="213"/>
      <c r="C21" s="213"/>
      <c r="D21" s="213"/>
      <c r="E21" s="213"/>
      <c r="F21" s="213"/>
      <c r="G21" s="213"/>
      <c r="H21" s="213"/>
      <c r="I21" s="113"/>
      <c r="J21" s="113"/>
      <c r="K21" s="127"/>
      <c r="L21" s="40"/>
      <c r="M21" s="17"/>
      <c r="N21" s="17"/>
    </row>
    <row r="22" spans="1:17" ht="12" customHeight="1" x14ac:dyDescent="0.25">
      <c r="A22" s="212"/>
      <c r="B22" s="212"/>
      <c r="C22" s="211"/>
      <c r="D22" s="211"/>
      <c r="E22" s="211"/>
      <c r="F22" s="211"/>
      <c r="G22" s="211"/>
      <c r="H22" s="211"/>
      <c r="I22" s="113"/>
      <c r="J22" s="113"/>
      <c r="K22" s="127"/>
      <c r="L22" s="40"/>
      <c r="M22" s="88"/>
      <c r="N22" s="17"/>
    </row>
    <row r="23" spans="1:17" ht="12" customHeight="1" x14ac:dyDescent="0.25">
      <c r="A23" s="211"/>
      <c r="B23" s="212"/>
      <c r="C23" s="211"/>
      <c r="D23" s="211"/>
      <c r="E23" s="211"/>
      <c r="F23" s="211"/>
      <c r="G23" s="211"/>
      <c r="H23" s="211"/>
      <c r="I23" s="17"/>
      <c r="J23" s="113"/>
      <c r="K23" s="127"/>
      <c r="L23" s="40"/>
      <c r="M23" s="88"/>
      <c r="N23" s="17"/>
    </row>
    <row r="24" spans="1:17" ht="13.95" customHeight="1" x14ac:dyDescent="0.25">
      <c r="A24" s="216"/>
      <c r="B24" s="216"/>
      <c r="C24" s="216"/>
      <c r="D24" s="216"/>
      <c r="E24" s="216"/>
      <c r="F24" s="216"/>
      <c r="G24" s="216"/>
      <c r="H24" s="216"/>
      <c r="I24" s="216"/>
      <c r="J24" s="128"/>
      <c r="K24" s="129"/>
      <c r="L24" s="40"/>
      <c r="M24" s="17"/>
      <c r="N24" s="17"/>
    </row>
    <row r="25" spans="1:17" ht="13.2" customHeight="1" x14ac:dyDescent="0.25">
      <c r="A25" s="217"/>
      <c r="B25" s="217"/>
      <c r="C25" s="217"/>
      <c r="D25" s="217"/>
      <c r="E25" s="217"/>
      <c r="F25" s="217"/>
      <c r="G25" s="217"/>
      <c r="H25" s="217"/>
      <c r="I25" s="217"/>
      <c r="J25" s="127"/>
      <c r="K25" s="130"/>
    </row>
    <row r="26" spans="1:17" x14ac:dyDescent="0.25">
      <c r="A26" s="120"/>
      <c r="B26" s="120"/>
      <c r="C26" s="120"/>
      <c r="D26" s="120"/>
      <c r="E26" s="120"/>
      <c r="F26" s="120"/>
      <c r="G26" s="120"/>
      <c r="H26" s="120"/>
      <c r="I26" s="120"/>
      <c r="J26" s="28"/>
      <c r="K26" s="129"/>
    </row>
    <row r="27" spans="1:17" x14ac:dyDescent="0.25">
      <c r="A27" s="215"/>
      <c r="B27" s="215"/>
      <c r="C27" s="215"/>
      <c r="D27" s="215"/>
      <c r="E27" s="215"/>
      <c r="F27" s="215"/>
      <c r="G27" s="215"/>
      <c r="H27" s="215"/>
      <c r="I27" s="215"/>
      <c r="J27" s="28"/>
      <c r="K27" s="127"/>
    </row>
    <row r="28" spans="1:17" x14ac:dyDescent="0.25">
      <c r="A28" s="215"/>
      <c r="B28" s="215"/>
      <c r="C28" s="215"/>
      <c r="D28" s="215"/>
      <c r="E28" s="215"/>
      <c r="F28" s="215"/>
      <c r="G28" s="215"/>
      <c r="H28" s="215"/>
      <c r="I28" s="215"/>
      <c r="J28" s="28"/>
      <c r="K28" s="127"/>
    </row>
    <row r="29" spans="1:17" x14ac:dyDescent="0.25">
      <c r="A29" s="28"/>
      <c r="B29" s="28"/>
      <c r="C29" s="28"/>
      <c r="D29" s="28"/>
      <c r="E29" s="28"/>
      <c r="F29" s="28"/>
      <c r="G29" s="28"/>
      <c r="H29" s="28"/>
      <c r="I29" s="28"/>
      <c r="J29" s="28"/>
      <c r="K29" s="127"/>
    </row>
    <row r="30" spans="1:17" x14ac:dyDescent="0.25">
      <c r="A30" s="28"/>
      <c r="B30" s="28"/>
      <c r="C30" s="28"/>
      <c r="D30" s="28"/>
      <c r="E30" s="28"/>
      <c r="F30" s="28"/>
      <c r="G30" s="28"/>
      <c r="H30" s="28"/>
      <c r="I30" s="28"/>
      <c r="K30" s="127"/>
    </row>
    <row r="35" spans="1:8" x14ac:dyDescent="0.25">
      <c r="A35" s="215"/>
      <c r="B35" s="215"/>
      <c r="C35" s="216"/>
      <c r="D35" s="216"/>
      <c r="E35" s="216"/>
      <c r="F35" s="216"/>
      <c r="G35" s="216"/>
      <c r="H35" s="216"/>
    </row>
  </sheetData>
  <mergeCells count="11">
    <mergeCell ref="A35:H35"/>
    <mergeCell ref="A28:I28"/>
    <mergeCell ref="A27:I27"/>
    <mergeCell ref="A25:I25"/>
    <mergeCell ref="A24:I24"/>
    <mergeCell ref="A23:H23"/>
    <mergeCell ref="B3:D3"/>
    <mergeCell ref="B6:D6"/>
    <mergeCell ref="A22:H22"/>
    <mergeCell ref="A21:H21"/>
    <mergeCell ref="A19:H19"/>
  </mergeCells>
  <phoneticPr fontId="2" type="noConversion"/>
  <pageMargins left="0.75" right="0.75" top="1" bottom="1" header="0.5" footer="0.5"/>
  <pageSetup orientation="portrait" copies="5"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6"/>
  </sheetPr>
  <dimension ref="A1:AQ65536"/>
  <sheetViews>
    <sheetView workbookViewId="0">
      <pane xSplit="4" ySplit="4" topLeftCell="E426" activePane="bottomRight" state="frozen"/>
      <selection pane="topRight" activeCell="E1" sqref="E1"/>
      <selection pane="bottomLeft" activeCell="A5" sqref="A5"/>
      <selection pane="bottomRight" activeCell="M436" sqref="M436"/>
    </sheetView>
  </sheetViews>
  <sheetFormatPr defaultRowHeight="13.2" x14ac:dyDescent="0.25"/>
  <cols>
    <col min="1" max="1" width="9.6640625" bestFit="1" customWidth="1"/>
    <col min="2" max="2" width="8.5546875" bestFit="1" customWidth="1"/>
    <col min="3" max="3" width="10.88671875" customWidth="1"/>
    <col min="4" max="4" width="8.5546875" customWidth="1"/>
    <col min="5" max="5" width="11.44140625" bestFit="1" customWidth="1"/>
    <col min="6" max="9" width="10.44140625" bestFit="1" customWidth="1"/>
    <col min="10" max="10" width="9.6640625" bestFit="1" customWidth="1"/>
    <col min="12" max="12" width="11.44140625" customWidth="1"/>
    <col min="13" max="13" width="6.88671875" bestFit="1" customWidth="1"/>
    <col min="14" max="14" width="6.88671875" customWidth="1"/>
    <col min="18" max="18" width="10.44140625" bestFit="1" customWidth="1"/>
  </cols>
  <sheetData>
    <row r="1" spans="1:34" ht="28.8" x14ac:dyDescent="0.25">
      <c r="B1" s="189" t="s">
        <v>330</v>
      </c>
      <c r="C1" s="189" t="s">
        <v>330</v>
      </c>
      <c r="E1" t="s">
        <v>9</v>
      </c>
      <c r="G1" s="218" t="s">
        <v>2</v>
      </c>
      <c r="H1" s="219"/>
      <c r="I1" s="218" t="s">
        <v>3</v>
      </c>
      <c r="J1" s="219"/>
      <c r="K1" s="10" t="s">
        <v>18</v>
      </c>
      <c r="L1" s="17"/>
      <c r="M1" s="17"/>
      <c r="N1" s="17"/>
      <c r="O1" s="36" t="s">
        <v>24</v>
      </c>
      <c r="P1" s="27" t="s">
        <v>40</v>
      </c>
      <c r="AA1" s="215" t="s">
        <v>55</v>
      </c>
      <c r="AB1" s="215"/>
      <c r="AC1" s="216"/>
      <c r="AD1" s="216"/>
      <c r="AE1" s="216"/>
      <c r="AF1" s="216"/>
      <c r="AG1" s="216"/>
      <c r="AH1" s="216"/>
    </row>
    <row r="2" spans="1:34" x14ac:dyDescent="0.25">
      <c r="B2" s="117" t="s">
        <v>331</v>
      </c>
      <c r="C2" s="117" t="s">
        <v>297</v>
      </c>
      <c r="E2" s="7" t="s">
        <v>22</v>
      </c>
      <c r="F2" s="7" t="s">
        <v>23</v>
      </c>
      <c r="G2" s="9" t="s">
        <v>22</v>
      </c>
      <c r="H2" s="8" t="s">
        <v>23</v>
      </c>
      <c r="I2" s="9" t="s">
        <v>22</v>
      </c>
      <c r="J2" s="8" t="s">
        <v>23</v>
      </c>
      <c r="K2" s="11" t="s">
        <v>6</v>
      </c>
      <c r="L2" s="195" t="s">
        <v>382</v>
      </c>
      <c r="M2" s="62" t="s">
        <v>41</v>
      </c>
      <c r="N2" s="62"/>
      <c r="O2" s="38"/>
      <c r="P2" s="39"/>
      <c r="R2" t="s">
        <v>30</v>
      </c>
      <c r="S2" t="s">
        <v>31</v>
      </c>
      <c r="V2" t="s">
        <v>42</v>
      </c>
    </row>
    <row r="3" spans="1:34" ht="26.4" x14ac:dyDescent="0.25">
      <c r="A3" s="63"/>
      <c r="B3" s="63"/>
      <c r="C3" s="63"/>
      <c r="O3" s="37" t="s">
        <v>26</v>
      </c>
      <c r="P3" s="26" t="s">
        <v>25</v>
      </c>
    </row>
    <row r="4" spans="1:34" x14ac:dyDescent="0.25">
      <c r="A4" s="63"/>
      <c r="B4" s="63"/>
      <c r="C4" s="63"/>
      <c r="O4" s="29" t="s">
        <v>19</v>
      </c>
      <c r="P4" s="24"/>
      <c r="AA4" s="69" t="s">
        <v>56</v>
      </c>
    </row>
    <row r="5" spans="1:34" x14ac:dyDescent="0.25">
      <c r="A5" s="63"/>
      <c r="B5" s="63"/>
      <c r="C5" s="63"/>
      <c r="O5" s="41">
        <v>16428.5</v>
      </c>
      <c r="P5" s="23" t="s">
        <v>1</v>
      </c>
      <c r="AA5" s="69"/>
    </row>
    <row r="6" spans="1:34" x14ac:dyDescent="0.25">
      <c r="A6" s="20">
        <f t="shared" ref="A6:A69" si="0">+A7-7</f>
        <v>38680</v>
      </c>
      <c r="B6" s="33"/>
      <c r="C6" s="33"/>
      <c r="D6" s="15" t="s">
        <v>14</v>
      </c>
      <c r="E6" s="34">
        <v>7813.5</v>
      </c>
      <c r="F6" s="34">
        <v>9141.4</v>
      </c>
      <c r="G6" s="34">
        <v>10251.299999999999</v>
      </c>
      <c r="H6" s="34">
        <v>10258</v>
      </c>
      <c r="I6" s="34">
        <f t="shared" ref="I6:I24" si="1">+E6+G6</f>
        <v>18064.8</v>
      </c>
      <c r="J6" s="34">
        <f t="shared" ref="J6:J17" si="2">+F6+H6</f>
        <v>19399.400000000001</v>
      </c>
      <c r="K6" s="21">
        <f t="shared" ref="K6:K24" si="3">+I6/J6-1</f>
        <v>-6.8795942142540589E-2</v>
      </c>
      <c r="O6" s="41">
        <v>6278.2</v>
      </c>
      <c r="P6" s="23" t="s">
        <v>4</v>
      </c>
      <c r="AA6" s="69"/>
    </row>
    <row r="7" spans="1:34" x14ac:dyDescent="0.25">
      <c r="A7" s="20">
        <f t="shared" si="0"/>
        <v>38687</v>
      </c>
      <c r="B7" s="33"/>
      <c r="C7" s="33"/>
      <c r="D7" s="15" t="str">
        <f t="shared" ref="D7:D35" si="4">+D6</f>
        <v>US total</v>
      </c>
      <c r="E7" s="34">
        <v>7759.2</v>
      </c>
      <c r="F7" s="34">
        <v>8917.1</v>
      </c>
      <c r="G7" s="34">
        <v>10917.4</v>
      </c>
      <c r="H7" s="34">
        <v>11065.4</v>
      </c>
      <c r="I7" s="34">
        <f t="shared" si="1"/>
        <v>18676.599999999999</v>
      </c>
      <c r="J7" s="34">
        <f t="shared" si="2"/>
        <v>19982.5</v>
      </c>
      <c r="K7" s="21">
        <f t="shared" si="3"/>
        <v>-6.5352183160265254E-2</v>
      </c>
      <c r="O7" s="41">
        <v>4690.3</v>
      </c>
      <c r="P7" s="23" t="s">
        <v>10</v>
      </c>
      <c r="AA7" s="69"/>
    </row>
    <row r="8" spans="1:34" x14ac:dyDescent="0.25">
      <c r="A8" s="20">
        <f t="shared" si="0"/>
        <v>38694</v>
      </c>
      <c r="B8" s="33"/>
      <c r="C8" s="33"/>
      <c r="D8" s="15" t="str">
        <f t="shared" si="4"/>
        <v>US total</v>
      </c>
      <c r="E8" s="34">
        <v>7432.4</v>
      </c>
      <c r="F8" s="34">
        <v>8624</v>
      </c>
      <c r="G8" s="34">
        <v>11938.5</v>
      </c>
      <c r="H8" s="34">
        <v>12273.4</v>
      </c>
      <c r="I8" s="34">
        <f t="shared" si="1"/>
        <v>19370.900000000001</v>
      </c>
      <c r="J8" s="34">
        <f t="shared" si="2"/>
        <v>20897.400000000001</v>
      </c>
      <c r="K8" s="21">
        <f t="shared" si="3"/>
        <v>-7.3047364743939469E-2</v>
      </c>
      <c r="O8" s="41">
        <v>4563.3</v>
      </c>
      <c r="P8" s="23" t="s">
        <v>5</v>
      </c>
      <c r="AA8" s="69"/>
    </row>
    <row r="9" spans="1:34" x14ac:dyDescent="0.25">
      <c r="A9" s="20">
        <f t="shared" si="0"/>
        <v>38701</v>
      </c>
      <c r="B9" s="33"/>
      <c r="C9" s="33"/>
      <c r="D9" s="15" t="str">
        <f t="shared" si="4"/>
        <v>US total</v>
      </c>
      <c r="E9" s="34">
        <v>7334.4</v>
      </c>
      <c r="F9" s="34">
        <v>8113.4</v>
      </c>
      <c r="G9" s="34">
        <v>12957.1</v>
      </c>
      <c r="H9" s="34">
        <v>13420.7</v>
      </c>
      <c r="I9" s="34">
        <f t="shared" si="1"/>
        <v>20291.5</v>
      </c>
      <c r="J9" s="34">
        <f t="shared" si="2"/>
        <v>21534.1</v>
      </c>
      <c r="K9" s="21">
        <f t="shared" si="3"/>
        <v>-5.7703827882289005E-2</v>
      </c>
      <c r="O9" s="41">
        <v>2268.3000000000002</v>
      </c>
      <c r="P9" s="23" t="s">
        <v>11</v>
      </c>
    </row>
    <row r="10" spans="1:34" x14ac:dyDescent="0.25">
      <c r="A10" s="20">
        <f t="shared" si="0"/>
        <v>38708</v>
      </c>
      <c r="B10" s="33"/>
      <c r="C10" s="33"/>
      <c r="D10" s="15" t="str">
        <f t="shared" si="4"/>
        <v>US total</v>
      </c>
      <c r="E10" s="34">
        <v>7037.3</v>
      </c>
      <c r="F10" s="34">
        <v>7770.2</v>
      </c>
      <c r="G10" s="34">
        <v>14137.5</v>
      </c>
      <c r="H10" s="34">
        <v>14489.7</v>
      </c>
      <c r="I10" s="34">
        <f t="shared" si="1"/>
        <v>21174.799999999999</v>
      </c>
      <c r="J10" s="34">
        <f t="shared" si="2"/>
        <v>22259.9</v>
      </c>
      <c r="K10" s="21">
        <f t="shared" si="3"/>
        <v>-4.8746849716306051E-2</v>
      </c>
      <c r="O10" s="42">
        <f>SUM(O5:O9)</f>
        <v>34228.6</v>
      </c>
      <c r="P10" s="25" t="s">
        <v>21</v>
      </c>
    </row>
    <row r="11" spans="1:34" x14ac:dyDescent="0.25">
      <c r="A11" s="20">
        <f t="shared" si="0"/>
        <v>38715</v>
      </c>
      <c r="B11" s="33"/>
      <c r="C11" s="33"/>
      <c r="D11" s="15" t="str">
        <f t="shared" si="4"/>
        <v>US total</v>
      </c>
      <c r="E11" s="34">
        <v>6618.9</v>
      </c>
      <c r="F11" s="34">
        <v>7496.3</v>
      </c>
      <c r="G11" s="34">
        <v>14916.1</v>
      </c>
      <c r="H11" s="34">
        <v>15460.5</v>
      </c>
      <c r="I11" s="34">
        <f t="shared" si="1"/>
        <v>21535</v>
      </c>
      <c r="J11" s="34">
        <f t="shared" si="2"/>
        <v>22956.799999999999</v>
      </c>
      <c r="K11" s="21">
        <f t="shared" si="3"/>
        <v>-6.1933718985224373E-2</v>
      </c>
    </row>
    <row r="12" spans="1:34" x14ac:dyDescent="0.25">
      <c r="A12" s="20">
        <f t="shared" si="0"/>
        <v>38722</v>
      </c>
      <c r="B12" s="33"/>
      <c r="C12" s="33"/>
      <c r="D12" s="15" t="str">
        <f t="shared" si="4"/>
        <v>US total</v>
      </c>
      <c r="E12" s="34">
        <v>5991.3</v>
      </c>
      <c r="F12" s="34">
        <v>6974.5</v>
      </c>
      <c r="G12" s="34">
        <v>16072.6</v>
      </c>
      <c r="H12" s="34">
        <v>16412.7</v>
      </c>
      <c r="I12" s="34">
        <f t="shared" si="1"/>
        <v>22063.9</v>
      </c>
      <c r="J12" s="34">
        <f t="shared" si="2"/>
        <v>23387.200000000001</v>
      </c>
      <c r="K12" s="21">
        <f t="shared" si="3"/>
        <v>-5.6582233016350791E-2</v>
      </c>
    </row>
    <row r="13" spans="1:34" x14ac:dyDescent="0.25">
      <c r="A13" s="20">
        <f t="shared" si="0"/>
        <v>38729</v>
      </c>
      <c r="B13" s="33"/>
      <c r="C13" s="33"/>
      <c r="D13" s="15" t="str">
        <f t="shared" si="4"/>
        <v>US total</v>
      </c>
      <c r="E13" s="34">
        <v>5905.2</v>
      </c>
      <c r="F13" s="34">
        <v>6999</v>
      </c>
      <c r="G13" s="34">
        <v>16731.099999999999</v>
      </c>
      <c r="H13" s="34">
        <v>17046.5</v>
      </c>
      <c r="I13" s="34">
        <f t="shared" si="1"/>
        <v>22636.3</v>
      </c>
      <c r="J13" s="34">
        <f t="shared" si="2"/>
        <v>24045.5</v>
      </c>
      <c r="K13" s="21">
        <f t="shared" si="3"/>
        <v>-5.8605560291946523E-2</v>
      </c>
      <c r="L13">
        <v>48260</v>
      </c>
    </row>
    <row r="14" spans="1:34" x14ac:dyDescent="0.25">
      <c r="A14" s="20">
        <f t="shared" si="0"/>
        <v>38736</v>
      </c>
      <c r="B14" s="33"/>
      <c r="C14" s="33"/>
      <c r="D14" s="15" t="str">
        <f t="shared" si="4"/>
        <v>US total</v>
      </c>
      <c r="E14" s="34">
        <v>7415.7</v>
      </c>
      <c r="F14" s="34">
        <v>6839.6</v>
      </c>
      <c r="G14" s="34">
        <v>18582.599999999999</v>
      </c>
      <c r="H14" s="34">
        <v>18877.8</v>
      </c>
      <c r="I14" s="34">
        <f t="shared" si="1"/>
        <v>25998.3</v>
      </c>
      <c r="J14" s="34">
        <f t="shared" si="2"/>
        <v>25717.4</v>
      </c>
      <c r="K14" s="21">
        <f t="shared" si="3"/>
        <v>1.0922566044778925E-2</v>
      </c>
    </row>
    <row r="15" spans="1:34" x14ac:dyDescent="0.25">
      <c r="A15" s="20">
        <f t="shared" si="0"/>
        <v>38743</v>
      </c>
      <c r="B15" s="33"/>
      <c r="C15" s="33"/>
      <c r="D15" s="15" t="str">
        <f t="shared" si="4"/>
        <v>US total</v>
      </c>
      <c r="E15" s="34">
        <v>7858.4</v>
      </c>
      <c r="F15" s="34">
        <v>6256.8</v>
      </c>
      <c r="G15" s="34">
        <v>19502.3</v>
      </c>
      <c r="H15" s="34">
        <v>19754.5</v>
      </c>
      <c r="I15" s="34">
        <f t="shared" si="1"/>
        <v>27360.699999999997</v>
      </c>
      <c r="J15" s="34">
        <f t="shared" si="2"/>
        <v>26011.3</v>
      </c>
      <c r="K15" s="21">
        <f t="shared" si="3"/>
        <v>5.1877453260698259E-2</v>
      </c>
    </row>
    <row r="16" spans="1:34" x14ac:dyDescent="0.25">
      <c r="A16" s="20">
        <f t="shared" si="0"/>
        <v>38750</v>
      </c>
      <c r="B16" s="71"/>
      <c r="C16" s="71"/>
      <c r="D16" s="15" t="str">
        <f t="shared" si="4"/>
        <v>US total</v>
      </c>
      <c r="E16" s="34">
        <v>8455</v>
      </c>
      <c r="F16" s="34"/>
      <c r="G16" s="34">
        <v>20517.599999999999</v>
      </c>
      <c r="H16" s="34"/>
      <c r="I16" s="34">
        <f t="shared" si="1"/>
        <v>28972.6</v>
      </c>
      <c r="J16" s="34">
        <v>27006.799999999999</v>
      </c>
      <c r="K16" s="21">
        <f t="shared" si="3"/>
        <v>7.2789075343987486E-2</v>
      </c>
    </row>
    <row r="17" spans="1:17" x14ac:dyDescent="0.25">
      <c r="A17" s="20">
        <f t="shared" si="0"/>
        <v>38757</v>
      </c>
      <c r="B17" s="71"/>
      <c r="C17" s="71"/>
      <c r="D17" s="15" t="str">
        <f t="shared" si="4"/>
        <v>US total</v>
      </c>
      <c r="E17" s="34">
        <v>8829.4</v>
      </c>
      <c r="F17" s="34">
        <v>6768.7</v>
      </c>
      <c r="G17" s="34">
        <v>21340.400000000001</v>
      </c>
      <c r="H17" s="34">
        <v>21024.2</v>
      </c>
      <c r="I17" s="34">
        <f t="shared" si="1"/>
        <v>30169.800000000003</v>
      </c>
      <c r="J17" s="34">
        <f t="shared" si="2"/>
        <v>27792.9</v>
      </c>
      <c r="K17" s="21">
        <f t="shared" si="3"/>
        <v>8.5521841909264706E-2</v>
      </c>
    </row>
    <row r="18" spans="1:17" x14ac:dyDescent="0.25">
      <c r="A18" s="20">
        <f t="shared" si="0"/>
        <v>38764</v>
      </c>
      <c r="B18" s="71"/>
      <c r="C18" s="71"/>
      <c r="D18" s="15" t="str">
        <f t="shared" si="4"/>
        <v>US total</v>
      </c>
      <c r="E18" s="34">
        <v>9280.7999999999993</v>
      </c>
      <c r="F18" s="34"/>
      <c r="G18" s="34">
        <v>22379.599999999999</v>
      </c>
      <c r="H18" s="34"/>
      <c r="I18" s="34">
        <f t="shared" si="1"/>
        <v>31660.399999999998</v>
      </c>
      <c r="J18" s="34"/>
      <c r="K18" s="21" t="e">
        <f t="shared" si="3"/>
        <v>#DIV/0!</v>
      </c>
    </row>
    <row r="19" spans="1:17" x14ac:dyDescent="0.25">
      <c r="A19" s="20">
        <f t="shared" si="0"/>
        <v>38771</v>
      </c>
      <c r="B19" s="71"/>
      <c r="C19" s="71"/>
      <c r="D19" s="15" t="str">
        <f t="shared" si="4"/>
        <v>US total</v>
      </c>
      <c r="E19" s="34">
        <v>8934.7999999999993</v>
      </c>
      <c r="F19" s="34"/>
      <c r="G19" s="34">
        <v>23339.1</v>
      </c>
      <c r="H19" s="34"/>
      <c r="I19" s="34">
        <f t="shared" si="1"/>
        <v>32273.899999999998</v>
      </c>
      <c r="J19" s="34"/>
      <c r="K19" s="21" t="e">
        <f t="shared" si="3"/>
        <v>#DIV/0!</v>
      </c>
    </row>
    <row r="20" spans="1:17" x14ac:dyDescent="0.25">
      <c r="A20" s="20">
        <f t="shared" si="0"/>
        <v>38778</v>
      </c>
      <c r="B20" s="71"/>
      <c r="C20" s="71"/>
      <c r="D20" s="15" t="str">
        <f t="shared" si="4"/>
        <v>US total</v>
      </c>
      <c r="E20" s="34">
        <v>9246.2999999999993</v>
      </c>
      <c r="F20" s="34"/>
      <c r="G20" s="34">
        <v>24440.9</v>
      </c>
      <c r="H20" s="34"/>
      <c r="I20" s="34">
        <f t="shared" si="1"/>
        <v>33687.199999999997</v>
      </c>
      <c r="J20" s="34"/>
      <c r="K20" s="21" t="e">
        <f t="shared" si="3"/>
        <v>#DIV/0!</v>
      </c>
    </row>
    <row r="21" spans="1:17" x14ac:dyDescent="0.25">
      <c r="A21" s="20">
        <f t="shared" si="0"/>
        <v>38785</v>
      </c>
      <c r="B21" s="71"/>
      <c r="C21" s="71"/>
      <c r="D21" s="15" t="str">
        <f t="shared" si="4"/>
        <v>US total</v>
      </c>
      <c r="E21" s="34">
        <v>9442.6</v>
      </c>
      <c r="F21" s="34"/>
      <c r="G21" s="34">
        <v>25213.1</v>
      </c>
      <c r="H21" s="34"/>
      <c r="I21" s="34">
        <f t="shared" si="1"/>
        <v>34655.699999999997</v>
      </c>
      <c r="J21" s="34"/>
      <c r="K21" s="21" t="e">
        <f t="shared" si="3"/>
        <v>#DIV/0!</v>
      </c>
    </row>
    <row r="22" spans="1:17" x14ac:dyDescent="0.25">
      <c r="A22" s="20">
        <f t="shared" si="0"/>
        <v>38792</v>
      </c>
      <c r="B22" s="71"/>
      <c r="C22" s="71"/>
      <c r="D22" s="15" t="str">
        <f t="shared" si="4"/>
        <v>US total</v>
      </c>
      <c r="E22" s="34">
        <v>9141.4</v>
      </c>
      <c r="F22" s="34"/>
      <c r="G22" s="34">
        <v>26425.7</v>
      </c>
      <c r="H22" s="34"/>
      <c r="I22" s="34">
        <f t="shared" si="1"/>
        <v>35567.1</v>
      </c>
      <c r="J22" s="34"/>
      <c r="K22" s="21" t="e">
        <f t="shared" si="3"/>
        <v>#DIV/0!</v>
      </c>
    </row>
    <row r="23" spans="1:17" x14ac:dyDescent="0.25">
      <c r="A23" s="20">
        <f t="shared" si="0"/>
        <v>38799</v>
      </c>
      <c r="B23" s="71"/>
      <c r="C23" s="71"/>
      <c r="D23" s="15" t="str">
        <f t="shared" si="4"/>
        <v>US total</v>
      </c>
      <c r="E23" s="34">
        <v>9285</v>
      </c>
      <c r="F23" s="34"/>
      <c r="G23" s="34">
        <v>27320.9</v>
      </c>
      <c r="H23" s="34"/>
      <c r="I23" s="34">
        <f t="shared" si="1"/>
        <v>36605.9</v>
      </c>
      <c r="J23" s="34"/>
      <c r="K23" s="21" t="e">
        <f t="shared" si="3"/>
        <v>#DIV/0!</v>
      </c>
    </row>
    <row r="24" spans="1:17" x14ac:dyDescent="0.25">
      <c r="A24" s="20">
        <f t="shared" si="0"/>
        <v>38806</v>
      </c>
      <c r="B24" s="71"/>
      <c r="C24" s="71"/>
      <c r="D24" s="15" t="str">
        <f t="shared" si="4"/>
        <v>US total</v>
      </c>
      <c r="E24" s="34">
        <v>8754.7999999999993</v>
      </c>
      <c r="F24" s="34"/>
      <c r="G24" s="34">
        <v>28510.5</v>
      </c>
      <c r="H24" s="34"/>
      <c r="I24" s="34">
        <f t="shared" si="1"/>
        <v>37265.300000000003</v>
      </c>
      <c r="J24" s="34"/>
      <c r="K24" s="21" t="e">
        <f t="shared" si="3"/>
        <v>#DIV/0!</v>
      </c>
    </row>
    <row r="25" spans="1:17" x14ac:dyDescent="0.25">
      <c r="A25" s="20">
        <f t="shared" si="0"/>
        <v>38813</v>
      </c>
      <c r="B25" s="71"/>
      <c r="C25" s="71"/>
      <c r="D25" s="15" t="str">
        <f t="shared" si="4"/>
        <v>US total</v>
      </c>
      <c r="E25" s="34">
        <v>8687.4</v>
      </c>
      <c r="F25" s="34">
        <v>7576.2</v>
      </c>
      <c r="G25" s="34">
        <v>29392.6</v>
      </c>
      <c r="H25" s="34">
        <v>27325.8</v>
      </c>
      <c r="I25" s="35">
        <f t="shared" ref="I25:J76" si="5">+E25+G25</f>
        <v>38080</v>
      </c>
      <c r="J25" s="35">
        <f t="shared" si="5"/>
        <v>34902</v>
      </c>
      <c r="K25" s="31">
        <f t="shared" ref="K25:K78" si="6">+(I25/J25-1)*100</f>
        <v>9.1054953870838276</v>
      </c>
      <c r="Q25" s="4">
        <f t="shared" ref="Q25:Q34" si="7">+I25-I24</f>
        <v>814.69999999999709</v>
      </c>
    </row>
    <row r="26" spans="1:17" x14ac:dyDescent="0.25">
      <c r="A26" s="20">
        <f t="shared" si="0"/>
        <v>38820</v>
      </c>
      <c r="B26" s="71"/>
      <c r="C26" s="71"/>
      <c r="D26" s="15" t="str">
        <f t="shared" si="4"/>
        <v>US total</v>
      </c>
      <c r="E26" s="34">
        <v>8888.4</v>
      </c>
      <c r="F26" s="34">
        <v>7394</v>
      </c>
      <c r="G26" s="34">
        <v>30294.7</v>
      </c>
      <c r="H26" s="34">
        <v>28176.5</v>
      </c>
      <c r="I26" s="35">
        <f t="shared" si="5"/>
        <v>39183.1</v>
      </c>
      <c r="J26" s="35">
        <f t="shared" si="5"/>
        <v>35570.5</v>
      </c>
      <c r="K26" s="31">
        <f t="shared" si="6"/>
        <v>10.15616873532843</v>
      </c>
      <c r="P26" s="1">
        <f t="shared" ref="P26:P34" si="8">+I26/I25-1</f>
        <v>2.8967962184873963E-2</v>
      </c>
      <c r="Q26" s="4">
        <f t="shared" si="7"/>
        <v>1103.0999999999985</v>
      </c>
    </row>
    <row r="27" spans="1:17" x14ac:dyDescent="0.25">
      <c r="A27" s="20">
        <f t="shared" si="0"/>
        <v>38827</v>
      </c>
      <c r="B27" s="71"/>
      <c r="C27" s="71"/>
      <c r="D27" s="15" t="str">
        <f t="shared" si="4"/>
        <v>US total</v>
      </c>
      <c r="E27">
        <v>8475.4</v>
      </c>
      <c r="G27">
        <v>31477.3</v>
      </c>
      <c r="I27" s="35">
        <f t="shared" si="5"/>
        <v>39952.699999999997</v>
      </c>
      <c r="J27" s="35">
        <f t="shared" si="5"/>
        <v>0</v>
      </c>
      <c r="K27" s="31" t="e">
        <f t="shared" si="6"/>
        <v>#DIV/0!</v>
      </c>
      <c r="P27" s="1">
        <f t="shared" si="8"/>
        <v>1.9641120789319899E-2</v>
      </c>
      <c r="Q27" s="4">
        <f t="shared" si="7"/>
        <v>769.59999999999854</v>
      </c>
    </row>
    <row r="28" spans="1:17" x14ac:dyDescent="0.25">
      <c r="A28" s="20">
        <f t="shared" si="0"/>
        <v>38834</v>
      </c>
      <c r="B28" s="71"/>
      <c r="C28" s="71"/>
      <c r="D28" s="15" t="str">
        <f t="shared" si="4"/>
        <v>US total</v>
      </c>
      <c r="E28" s="34">
        <v>8702.5</v>
      </c>
      <c r="F28">
        <v>6565.8</v>
      </c>
      <c r="G28" s="34">
        <v>32532.400000000001</v>
      </c>
      <c r="H28">
        <v>30120.7</v>
      </c>
      <c r="I28" s="35">
        <f t="shared" si="5"/>
        <v>41234.9</v>
      </c>
      <c r="J28" s="35">
        <f t="shared" si="5"/>
        <v>36686.5</v>
      </c>
      <c r="K28" s="31">
        <f t="shared" si="6"/>
        <v>12.398021070421006</v>
      </c>
      <c r="P28" s="1">
        <f t="shared" si="8"/>
        <v>3.2092949913272495E-2</v>
      </c>
      <c r="Q28" s="4">
        <f t="shared" si="7"/>
        <v>1282.2000000000044</v>
      </c>
    </row>
    <row r="29" spans="1:17" x14ac:dyDescent="0.25">
      <c r="A29" s="20">
        <f t="shared" si="0"/>
        <v>38841</v>
      </c>
      <c r="B29" s="71"/>
      <c r="C29" s="71"/>
      <c r="D29" s="15" t="str">
        <f t="shared" si="4"/>
        <v>US total</v>
      </c>
      <c r="E29" s="34">
        <v>8702.9</v>
      </c>
      <c r="F29" s="34">
        <v>7097.5</v>
      </c>
      <c r="G29" s="34">
        <v>33637.1</v>
      </c>
      <c r="H29" s="34">
        <v>30978.6</v>
      </c>
      <c r="I29" s="35">
        <f t="shared" si="5"/>
        <v>42340</v>
      </c>
      <c r="J29" s="35">
        <f t="shared" si="5"/>
        <v>38076.1</v>
      </c>
      <c r="K29" s="31">
        <f t="shared" si="6"/>
        <v>11.198363277751655</v>
      </c>
      <c r="L29" s="31">
        <f>+(I29/I28-1)*100</f>
        <v>2.6800113496091793</v>
      </c>
      <c r="M29" s="31"/>
      <c r="N29" s="31"/>
      <c r="P29" s="1">
        <f t="shared" si="8"/>
        <v>2.6800113496091793E-2</v>
      </c>
      <c r="Q29" s="4">
        <f t="shared" si="7"/>
        <v>1105.0999999999985</v>
      </c>
    </row>
    <row r="30" spans="1:17" x14ac:dyDescent="0.25">
      <c r="A30" s="20">
        <f t="shared" si="0"/>
        <v>38848</v>
      </c>
      <c r="B30" s="71"/>
      <c r="C30" s="71"/>
      <c r="D30" s="15" t="str">
        <f t="shared" si="4"/>
        <v>US total</v>
      </c>
      <c r="E30" s="34">
        <v>9156.9</v>
      </c>
      <c r="G30" s="34">
        <v>34723</v>
      </c>
      <c r="I30" s="35">
        <f t="shared" si="5"/>
        <v>43879.9</v>
      </c>
      <c r="J30" s="35">
        <f t="shared" si="5"/>
        <v>0</v>
      </c>
      <c r="K30" s="31" t="e">
        <f t="shared" si="6"/>
        <v>#DIV/0!</v>
      </c>
      <c r="P30" s="1">
        <f t="shared" si="8"/>
        <v>3.63698630136986E-2</v>
      </c>
      <c r="Q30" s="4">
        <f t="shared" si="7"/>
        <v>1539.9000000000015</v>
      </c>
    </row>
    <row r="31" spans="1:17" x14ac:dyDescent="0.25">
      <c r="A31" s="20">
        <f t="shared" si="0"/>
        <v>38855</v>
      </c>
      <c r="B31" s="71"/>
      <c r="C31" s="71"/>
      <c r="D31" s="15" t="str">
        <f t="shared" si="4"/>
        <v>US total</v>
      </c>
      <c r="E31" s="34">
        <v>8815.5</v>
      </c>
      <c r="F31">
        <v>6734</v>
      </c>
      <c r="G31" s="34">
        <v>36200.800000000003</v>
      </c>
      <c r="H31">
        <v>32746.5</v>
      </c>
      <c r="I31" s="35">
        <f t="shared" si="5"/>
        <v>45016.3</v>
      </c>
      <c r="J31" s="35">
        <f t="shared" si="5"/>
        <v>39480.5</v>
      </c>
      <c r="K31" s="31">
        <f t="shared" si="6"/>
        <v>14.021605602765931</v>
      </c>
      <c r="L31">
        <v>636.9</v>
      </c>
      <c r="P31" s="1">
        <f t="shared" si="8"/>
        <v>2.5897962392803953E-2</v>
      </c>
      <c r="Q31" s="4">
        <f t="shared" si="7"/>
        <v>1136.4000000000015</v>
      </c>
    </row>
    <row r="32" spans="1:17" x14ac:dyDescent="0.25">
      <c r="A32" s="20">
        <f t="shared" si="0"/>
        <v>38862</v>
      </c>
      <c r="B32" s="71"/>
      <c r="C32" s="71"/>
      <c r="D32" s="15" t="str">
        <f t="shared" si="4"/>
        <v>US total</v>
      </c>
      <c r="E32" s="34">
        <v>8717.4</v>
      </c>
      <c r="F32">
        <v>6668.4</v>
      </c>
      <c r="G32" s="34">
        <v>37454.9</v>
      </c>
      <c r="H32">
        <v>33556.6</v>
      </c>
      <c r="I32" s="35">
        <f t="shared" si="5"/>
        <v>46172.3</v>
      </c>
      <c r="J32" s="35">
        <f t="shared" si="5"/>
        <v>40225</v>
      </c>
      <c r="K32" s="31">
        <f t="shared" si="6"/>
        <v>14.785083903045383</v>
      </c>
      <c r="L32">
        <v>715</v>
      </c>
      <c r="O32">
        <v>270</v>
      </c>
      <c r="P32" s="1">
        <f t="shared" si="8"/>
        <v>2.5679587171757889E-2</v>
      </c>
      <c r="Q32" s="4">
        <f t="shared" si="7"/>
        <v>1156</v>
      </c>
    </row>
    <row r="33" spans="1:38" x14ac:dyDescent="0.25">
      <c r="A33" s="20">
        <f t="shared" si="0"/>
        <v>38869</v>
      </c>
      <c r="B33" s="71"/>
      <c r="C33" s="71"/>
      <c r="D33" s="15" t="str">
        <f t="shared" si="4"/>
        <v>US total</v>
      </c>
      <c r="E33" s="34">
        <v>8420.4</v>
      </c>
      <c r="F33">
        <v>6385.7</v>
      </c>
      <c r="G33" s="34">
        <v>38619.199999999997</v>
      </c>
      <c r="H33">
        <v>34400.800000000003</v>
      </c>
      <c r="I33" s="35">
        <f t="shared" si="5"/>
        <v>47039.6</v>
      </c>
      <c r="J33" s="35">
        <f t="shared" si="5"/>
        <v>40786.5</v>
      </c>
      <c r="K33" s="31">
        <f t="shared" si="6"/>
        <v>15.33129834626652</v>
      </c>
      <c r="L33">
        <v>762.4</v>
      </c>
      <c r="P33" s="1">
        <f t="shared" si="8"/>
        <v>1.8783989534850942E-2</v>
      </c>
      <c r="Q33" s="4">
        <f t="shared" si="7"/>
        <v>867.29999999999563</v>
      </c>
    </row>
    <row r="34" spans="1:38" x14ac:dyDescent="0.25">
      <c r="A34" s="20">
        <f t="shared" si="0"/>
        <v>38876</v>
      </c>
      <c r="B34" s="71"/>
      <c r="C34" s="71"/>
      <c r="D34" s="15" t="str">
        <f t="shared" si="4"/>
        <v>US total</v>
      </c>
      <c r="E34" s="34">
        <v>8745.9</v>
      </c>
      <c r="F34">
        <v>6208.2</v>
      </c>
      <c r="G34" s="34">
        <v>39758.400000000001</v>
      </c>
      <c r="H34">
        <v>35212.1</v>
      </c>
      <c r="I34" s="35">
        <f t="shared" si="5"/>
        <v>48504.3</v>
      </c>
      <c r="J34" s="35">
        <f t="shared" si="5"/>
        <v>41420.299999999996</v>
      </c>
      <c r="K34" s="31">
        <f t="shared" si="6"/>
        <v>17.102724992334693</v>
      </c>
      <c r="L34">
        <v>836.8</v>
      </c>
      <c r="P34" s="1">
        <f t="shared" si="8"/>
        <v>3.1137594707438154E-2</v>
      </c>
      <c r="Q34" s="4">
        <f t="shared" si="7"/>
        <v>1464.7000000000044</v>
      </c>
    </row>
    <row r="35" spans="1:38" x14ac:dyDescent="0.25">
      <c r="A35" s="20">
        <f t="shared" si="0"/>
        <v>38883</v>
      </c>
      <c r="B35" s="71"/>
      <c r="C35" s="71"/>
      <c r="D35" s="15" t="str">
        <f t="shared" si="4"/>
        <v>US total</v>
      </c>
      <c r="E35" s="34">
        <v>9037.2999999999993</v>
      </c>
      <c r="F35">
        <v>5649.6</v>
      </c>
      <c r="G35" s="34">
        <v>41042.199999999997</v>
      </c>
      <c r="H35">
        <v>36278.800000000003</v>
      </c>
      <c r="I35" s="35">
        <f t="shared" si="5"/>
        <v>50079.5</v>
      </c>
      <c r="J35" s="35">
        <f t="shared" si="5"/>
        <v>41928.400000000001</v>
      </c>
      <c r="K35" s="31">
        <f t="shared" si="6"/>
        <v>19.440522414401684</v>
      </c>
      <c r="L35">
        <v>1077.4000000000001</v>
      </c>
      <c r="O35">
        <v>420.2</v>
      </c>
      <c r="P35" s="1">
        <f>+I35/I34-1</f>
        <v>3.2475471246879106E-2</v>
      </c>
      <c r="Q35" s="4">
        <f t="shared" ref="Q35:Q43" si="9">+I35-I34</f>
        <v>1575.1999999999971</v>
      </c>
    </row>
    <row r="36" spans="1:38" x14ac:dyDescent="0.25">
      <c r="A36" s="20">
        <f t="shared" si="0"/>
        <v>38890</v>
      </c>
      <c r="B36" s="71"/>
      <c r="C36" s="71"/>
      <c r="D36" s="15" t="str">
        <f>+D35</f>
        <v>US total</v>
      </c>
      <c r="E36" s="2">
        <v>9213.5</v>
      </c>
      <c r="F36">
        <v>5808.6</v>
      </c>
      <c r="G36" s="34">
        <v>42219.8</v>
      </c>
      <c r="H36">
        <v>37336.400000000001</v>
      </c>
      <c r="I36" s="35">
        <f t="shared" si="5"/>
        <v>51433.3</v>
      </c>
      <c r="J36" s="35">
        <f t="shared" si="5"/>
        <v>43145</v>
      </c>
      <c r="K36" s="31">
        <f t="shared" si="6"/>
        <v>19.210337234905552</v>
      </c>
      <c r="L36">
        <v>1751.2</v>
      </c>
      <c r="O36">
        <v>542.1</v>
      </c>
      <c r="P36" s="1">
        <f>+I36/I35-1</f>
        <v>2.7033017502171575E-2</v>
      </c>
      <c r="Q36" s="4">
        <f t="shared" si="9"/>
        <v>1353.8000000000029</v>
      </c>
      <c r="R36" s="2">
        <v>52710</v>
      </c>
    </row>
    <row r="37" spans="1:38" x14ac:dyDescent="0.25">
      <c r="A37" s="20">
        <f t="shared" si="0"/>
        <v>38897</v>
      </c>
      <c r="B37" s="71"/>
      <c r="C37" s="71"/>
      <c r="D37" s="15" t="str">
        <f t="shared" ref="D37:D83" si="10">+D36</f>
        <v>US total</v>
      </c>
      <c r="E37" s="2">
        <v>8999.7999999999993</v>
      </c>
      <c r="F37">
        <v>5977.4</v>
      </c>
      <c r="G37" s="34">
        <v>43249.2</v>
      </c>
      <c r="H37">
        <v>38109.699999999997</v>
      </c>
      <c r="I37" s="35">
        <f t="shared" si="5"/>
        <v>52249</v>
      </c>
      <c r="J37" s="35">
        <f t="shared" si="5"/>
        <v>44087.1</v>
      </c>
      <c r="K37" s="31">
        <f t="shared" si="6"/>
        <v>18.513125154523657</v>
      </c>
      <c r="L37">
        <v>2210.5</v>
      </c>
      <c r="O37">
        <v>569.6</v>
      </c>
      <c r="P37" s="1">
        <f>+I37/I36-1</f>
        <v>1.5859375151895616E-2</v>
      </c>
      <c r="Q37" s="4">
        <f t="shared" si="9"/>
        <v>815.69999999999709</v>
      </c>
    </row>
    <row r="38" spans="1:38" x14ac:dyDescent="0.25">
      <c r="A38" s="20">
        <f t="shared" si="0"/>
        <v>38904</v>
      </c>
      <c r="B38" s="71"/>
      <c r="C38" s="71"/>
      <c r="D38" s="15" t="str">
        <f t="shared" si="10"/>
        <v>US total</v>
      </c>
      <c r="E38" s="2">
        <v>8655.6</v>
      </c>
      <c r="F38">
        <v>5724.8</v>
      </c>
      <c r="G38" s="34">
        <v>44156.6</v>
      </c>
      <c r="H38">
        <v>38685.300000000003</v>
      </c>
      <c r="I38" s="35">
        <f t="shared" si="5"/>
        <v>52812.2</v>
      </c>
      <c r="J38" s="35">
        <f t="shared" si="5"/>
        <v>44410.100000000006</v>
      </c>
      <c r="K38" s="31">
        <f t="shared" si="6"/>
        <v>18.919344923789836</v>
      </c>
      <c r="L38">
        <v>2289.9</v>
      </c>
      <c r="O38">
        <v>662.5</v>
      </c>
      <c r="P38" s="1">
        <f>+I38/I37-1</f>
        <v>1.0779153668012631E-2</v>
      </c>
      <c r="Q38" s="4">
        <f t="shared" si="9"/>
        <v>563.19999999999709</v>
      </c>
    </row>
    <row r="39" spans="1:38" x14ac:dyDescent="0.25">
      <c r="A39" s="20">
        <f t="shared" si="0"/>
        <v>38911</v>
      </c>
      <c r="B39" s="71"/>
      <c r="C39" s="71"/>
      <c r="D39" s="15" t="str">
        <f t="shared" si="10"/>
        <v>US total</v>
      </c>
      <c r="E39" s="2">
        <v>7794</v>
      </c>
      <c r="F39">
        <v>5507.7</v>
      </c>
      <c r="G39" s="34">
        <v>45358.3</v>
      </c>
      <c r="H39">
        <v>39498.6</v>
      </c>
      <c r="I39" s="35">
        <f t="shared" si="5"/>
        <v>53152.3</v>
      </c>
      <c r="J39" s="35">
        <f t="shared" si="5"/>
        <v>45006.299999999996</v>
      </c>
      <c r="K39" s="31">
        <f t="shared" si="6"/>
        <v>18.099688265865012</v>
      </c>
      <c r="L39">
        <v>2582.4</v>
      </c>
      <c r="O39">
        <v>925.3</v>
      </c>
      <c r="P39" s="1">
        <f>+I39/I38-1</f>
        <v>6.4397998947214319E-3</v>
      </c>
      <c r="Q39" s="4">
        <f t="shared" si="9"/>
        <v>340.10000000000582</v>
      </c>
      <c r="R39" s="2">
        <v>53340</v>
      </c>
    </row>
    <row r="40" spans="1:38" x14ac:dyDescent="0.25">
      <c r="A40" s="20">
        <f t="shared" si="0"/>
        <v>38918</v>
      </c>
      <c r="B40" s="71"/>
      <c r="C40" s="71"/>
      <c r="D40" s="15" t="str">
        <f t="shared" si="10"/>
        <v>US total</v>
      </c>
      <c r="E40" s="2">
        <v>7387.1</v>
      </c>
      <c r="F40">
        <v>5159.8999999999996</v>
      </c>
      <c r="G40" s="34">
        <v>46741</v>
      </c>
      <c r="H40">
        <v>40485</v>
      </c>
      <c r="I40" s="35">
        <f t="shared" si="5"/>
        <v>54128.1</v>
      </c>
      <c r="J40" s="35">
        <f t="shared" si="5"/>
        <v>45644.9</v>
      </c>
      <c r="K40" s="31">
        <f t="shared" si="6"/>
        <v>18.585208862326354</v>
      </c>
      <c r="L40">
        <v>2695.4</v>
      </c>
      <c r="O40">
        <v>926.3</v>
      </c>
      <c r="P40" s="1"/>
      <c r="Q40" s="4">
        <f t="shared" si="9"/>
        <v>975.79999999999563</v>
      </c>
      <c r="R40" s="2">
        <v>53340</v>
      </c>
    </row>
    <row r="41" spans="1:38" ht="13.8" thickBot="1" x14ac:dyDescent="0.3">
      <c r="A41" s="20">
        <f t="shared" si="0"/>
        <v>38925</v>
      </c>
      <c r="B41" s="71"/>
      <c r="C41" s="71"/>
      <c r="D41" s="15" t="str">
        <f t="shared" si="10"/>
        <v>US total</v>
      </c>
      <c r="E41" s="2">
        <v>7113.7</v>
      </c>
      <c r="F41">
        <v>4498.1000000000004</v>
      </c>
      <c r="G41" s="34">
        <v>47911.4</v>
      </c>
      <c r="H41">
        <v>41374.6</v>
      </c>
      <c r="I41" s="35">
        <f t="shared" si="5"/>
        <v>55025.1</v>
      </c>
      <c r="J41" s="35">
        <f t="shared" si="5"/>
        <v>45872.7</v>
      </c>
      <c r="K41" s="31">
        <f t="shared" si="6"/>
        <v>19.951735999843056</v>
      </c>
      <c r="L41">
        <v>3397.3</v>
      </c>
      <c r="P41" s="1"/>
      <c r="Q41" s="4">
        <f t="shared" si="9"/>
        <v>897</v>
      </c>
    </row>
    <row r="42" spans="1:38" x14ac:dyDescent="0.25">
      <c r="A42" s="20">
        <f t="shared" si="0"/>
        <v>38932</v>
      </c>
      <c r="B42" s="71"/>
      <c r="C42" s="71"/>
      <c r="D42" s="15" t="str">
        <f t="shared" si="10"/>
        <v>US total</v>
      </c>
      <c r="E42" s="2">
        <v>6961.4</v>
      </c>
      <c r="F42">
        <v>4608.6000000000004</v>
      </c>
      <c r="G42" s="34">
        <v>49226.2</v>
      </c>
      <c r="H42">
        <v>42337.3</v>
      </c>
      <c r="I42" s="35">
        <f t="shared" si="5"/>
        <v>56187.6</v>
      </c>
      <c r="J42" s="35">
        <f t="shared" si="5"/>
        <v>46945.9</v>
      </c>
      <c r="K42" s="31">
        <f t="shared" si="6"/>
        <v>19.685851160591227</v>
      </c>
      <c r="L42">
        <v>3953.2</v>
      </c>
      <c r="P42" s="1"/>
      <c r="Q42" s="4">
        <f t="shared" si="9"/>
        <v>1162.5</v>
      </c>
      <c r="V42" t="s">
        <v>9</v>
      </c>
      <c r="X42" s="218" t="s">
        <v>2</v>
      </c>
      <c r="Y42" s="219"/>
      <c r="Z42" s="218" t="s">
        <v>3</v>
      </c>
      <c r="AA42" s="219"/>
      <c r="AE42" t="s">
        <v>49</v>
      </c>
      <c r="AF42" t="s">
        <v>51</v>
      </c>
      <c r="AG42" t="s">
        <v>43</v>
      </c>
    </row>
    <row r="43" spans="1:38" x14ac:dyDescent="0.25">
      <c r="A43" s="20">
        <f t="shared" si="0"/>
        <v>38939</v>
      </c>
      <c r="B43" s="71"/>
      <c r="C43" s="71"/>
      <c r="D43" s="15" t="str">
        <f t="shared" si="10"/>
        <v>US total</v>
      </c>
      <c r="E43" s="2">
        <v>6305.9</v>
      </c>
      <c r="F43">
        <v>4329.7</v>
      </c>
      <c r="G43" s="34">
        <v>50450.2</v>
      </c>
      <c r="H43">
        <v>43081.3</v>
      </c>
      <c r="I43" s="35">
        <f t="shared" si="5"/>
        <v>56756.1</v>
      </c>
      <c r="J43" s="35">
        <f t="shared" si="5"/>
        <v>47411</v>
      </c>
      <c r="K43" s="31">
        <f t="shared" si="6"/>
        <v>19.710826601421605</v>
      </c>
      <c r="L43">
        <v>4983.3</v>
      </c>
      <c r="O43">
        <v>2768.3</v>
      </c>
      <c r="P43" s="1"/>
      <c r="Q43" s="4">
        <f t="shared" si="9"/>
        <v>568.5</v>
      </c>
      <c r="R43">
        <v>53340</v>
      </c>
      <c r="V43" s="7" t="s">
        <v>22</v>
      </c>
      <c r="W43" s="7" t="s">
        <v>23</v>
      </c>
      <c r="X43" s="9" t="s">
        <v>22</v>
      </c>
      <c r="Y43" s="8" t="s">
        <v>23</v>
      </c>
      <c r="Z43" s="9" t="s">
        <v>22</v>
      </c>
      <c r="AA43" s="8" t="s">
        <v>23</v>
      </c>
    </row>
    <row r="44" spans="1:38" x14ac:dyDescent="0.25">
      <c r="A44" s="20">
        <f t="shared" si="0"/>
        <v>38946</v>
      </c>
      <c r="B44" s="71"/>
      <c r="C44" s="71"/>
      <c r="D44" s="15" t="str">
        <f t="shared" si="10"/>
        <v>US total</v>
      </c>
      <c r="E44" s="2">
        <v>5304.9</v>
      </c>
      <c r="F44">
        <v>3798.7</v>
      </c>
      <c r="G44" s="34">
        <v>51632.3</v>
      </c>
      <c r="H44">
        <v>43931.1</v>
      </c>
      <c r="I44" s="35">
        <f t="shared" si="5"/>
        <v>56937.200000000004</v>
      </c>
      <c r="J44" s="35">
        <f t="shared" si="5"/>
        <v>47729.799999999996</v>
      </c>
      <c r="K44" s="31">
        <f t="shared" si="6"/>
        <v>19.29067375098996</v>
      </c>
      <c r="L44">
        <v>6538</v>
      </c>
      <c r="O44">
        <v>4118.1000000000004</v>
      </c>
      <c r="P44" s="1"/>
    </row>
    <row r="45" spans="1:38" x14ac:dyDescent="0.25">
      <c r="A45" s="20">
        <f t="shared" si="0"/>
        <v>38953</v>
      </c>
      <c r="B45" s="71"/>
      <c r="C45" s="71"/>
      <c r="D45" s="15" t="str">
        <f t="shared" si="10"/>
        <v>US total</v>
      </c>
      <c r="E45" s="2">
        <v>3470.1</v>
      </c>
      <c r="F45">
        <v>2780.4</v>
      </c>
      <c r="G45" s="34">
        <v>53120.3</v>
      </c>
      <c r="H45">
        <v>44940.800000000003</v>
      </c>
      <c r="I45" s="35">
        <f t="shared" si="5"/>
        <v>56590.400000000001</v>
      </c>
      <c r="J45" s="35">
        <f t="shared" si="5"/>
        <v>47721.200000000004</v>
      </c>
      <c r="K45" s="31">
        <f t="shared" si="6"/>
        <v>18.585450491605403</v>
      </c>
      <c r="L45">
        <v>8566</v>
      </c>
      <c r="O45">
        <v>5034.8</v>
      </c>
      <c r="U45" t="s">
        <v>50</v>
      </c>
      <c r="AC45" s="4">
        <f>AVERAGE(AE$48:AE55)</f>
        <v>1138.75</v>
      </c>
      <c r="AD45" s="4"/>
      <c r="AF45" s="4">
        <f>AVERAGE(AF48:AF55)</f>
        <v>1132.3249999999998</v>
      </c>
    </row>
    <row r="46" spans="1:38" x14ac:dyDescent="0.25">
      <c r="A46" s="20">
        <f t="shared" si="0"/>
        <v>38960</v>
      </c>
      <c r="B46" s="71"/>
      <c r="C46" s="71"/>
      <c r="D46" s="15" t="str">
        <f t="shared" si="10"/>
        <v>US total</v>
      </c>
      <c r="E46" s="2">
        <v>2454.1999999999998</v>
      </c>
      <c r="F46">
        <v>2247.1999999999998</v>
      </c>
      <c r="G46" s="34">
        <v>54353.599999999999</v>
      </c>
      <c r="H46">
        <v>45414</v>
      </c>
      <c r="I46" s="35">
        <f t="shared" si="5"/>
        <v>56807.799999999996</v>
      </c>
      <c r="J46" s="35">
        <f t="shared" si="5"/>
        <v>47661.2</v>
      </c>
      <c r="K46" s="31">
        <f t="shared" si="6"/>
        <v>19.190872239893242</v>
      </c>
      <c r="L46">
        <v>11934</v>
      </c>
      <c r="O46">
        <v>4.4000000000000004</v>
      </c>
      <c r="R46">
        <v>54610</v>
      </c>
      <c r="S46">
        <v>2454.1999999999998</v>
      </c>
      <c r="T46" t="s">
        <v>39</v>
      </c>
      <c r="AC46" s="4"/>
      <c r="AD46" s="4"/>
    </row>
    <row r="47" spans="1:38" x14ac:dyDescent="0.25">
      <c r="A47" s="20">
        <f t="shared" si="0"/>
        <v>38967</v>
      </c>
      <c r="B47" s="71"/>
      <c r="C47" s="71"/>
      <c r="D47" s="48" t="str">
        <f t="shared" si="10"/>
        <v>US total</v>
      </c>
      <c r="E47" s="2">
        <v>11500.7</v>
      </c>
      <c r="F47">
        <v>7985.8</v>
      </c>
      <c r="G47" s="34">
        <v>1103.2</v>
      </c>
      <c r="H47">
        <v>436</v>
      </c>
      <c r="I47" s="35">
        <f t="shared" si="5"/>
        <v>12603.900000000001</v>
      </c>
      <c r="J47" s="35">
        <f t="shared" si="5"/>
        <v>8421.7999999999993</v>
      </c>
      <c r="K47" s="31">
        <f t="shared" si="6"/>
        <v>49.658030349806495</v>
      </c>
      <c r="M47">
        <v>1</v>
      </c>
      <c r="R47">
        <v>57150</v>
      </c>
      <c r="V47" s="2">
        <v>11500.7</v>
      </c>
      <c r="W47">
        <v>7985.8</v>
      </c>
      <c r="X47" s="34">
        <v>1103.2</v>
      </c>
      <c r="Y47">
        <v>436</v>
      </c>
      <c r="Z47" s="35">
        <f t="shared" ref="Z47:Z65" si="11">+V47+X47</f>
        <v>12603.900000000001</v>
      </c>
      <c r="AA47" s="35">
        <f t="shared" ref="AA47:AA56" si="12">+W47+Y47</f>
        <v>8421.7999999999993</v>
      </c>
      <c r="AB47" s="31">
        <f t="shared" ref="AB47:AB55" si="13">+(Z47/AA47-1)*100</f>
        <v>49.658030349806495</v>
      </c>
      <c r="AC47" s="4"/>
      <c r="AD47" s="4"/>
      <c r="AG47">
        <v>1</v>
      </c>
      <c r="AL47">
        <v>57150</v>
      </c>
    </row>
    <row r="48" spans="1:38" x14ac:dyDescent="0.25">
      <c r="A48" s="20">
        <f t="shared" si="0"/>
        <v>38974</v>
      </c>
      <c r="B48" s="71"/>
      <c r="C48" s="71"/>
      <c r="D48" s="15" t="str">
        <f>+D47</f>
        <v>US total</v>
      </c>
      <c r="E48" s="2">
        <v>11138.2</v>
      </c>
      <c r="F48">
        <v>7817.6</v>
      </c>
      <c r="G48" s="34">
        <v>2478.4</v>
      </c>
      <c r="H48">
        <v>914.8</v>
      </c>
      <c r="I48" s="35">
        <f t="shared" si="5"/>
        <v>13616.6</v>
      </c>
      <c r="J48" s="35">
        <f t="shared" si="5"/>
        <v>8732.4</v>
      </c>
      <c r="K48" s="31">
        <f t="shared" si="6"/>
        <v>55.931931656818293</v>
      </c>
      <c r="L48" s="4">
        <f t="shared" ref="L48:L54" si="14">+I48-I47</f>
        <v>1012.6999999999989</v>
      </c>
      <c r="M48">
        <v>2</v>
      </c>
      <c r="V48" s="2">
        <v>11138.2</v>
      </c>
      <c r="W48">
        <v>7817.6</v>
      </c>
      <c r="X48" s="34">
        <v>2478.4</v>
      </c>
      <c r="Y48">
        <v>914.8</v>
      </c>
      <c r="Z48" s="35">
        <f t="shared" si="11"/>
        <v>13616.6</v>
      </c>
      <c r="AA48" s="35">
        <f t="shared" si="12"/>
        <v>8732.4</v>
      </c>
      <c r="AB48" s="31">
        <f t="shared" si="13"/>
        <v>55.931931656818293</v>
      </c>
      <c r="AC48" s="4"/>
      <c r="AD48" s="4"/>
      <c r="AE48" s="4">
        <f t="shared" ref="AE48:AE54" si="15">+Z48-Z47</f>
        <v>1012.6999999999989</v>
      </c>
      <c r="AF48" s="4">
        <f>+X48-X47</f>
        <v>1375.2</v>
      </c>
      <c r="AG48">
        <v>2</v>
      </c>
    </row>
    <row r="49" spans="1:43" x14ac:dyDescent="0.25">
      <c r="A49" s="20">
        <f t="shared" si="0"/>
        <v>38981</v>
      </c>
      <c r="B49" s="71"/>
      <c r="C49" s="71"/>
      <c r="D49" s="15" t="str">
        <f t="shared" si="10"/>
        <v>US total</v>
      </c>
      <c r="E49" s="2">
        <v>10731.6</v>
      </c>
      <c r="F49">
        <v>7564.1</v>
      </c>
      <c r="G49" s="34">
        <v>3714.7</v>
      </c>
      <c r="H49">
        <v>2307</v>
      </c>
      <c r="I49" s="35">
        <f t="shared" si="5"/>
        <v>14446.3</v>
      </c>
      <c r="J49" s="35">
        <f t="shared" si="5"/>
        <v>9871.1</v>
      </c>
      <c r="K49" s="31">
        <f t="shared" si="6"/>
        <v>46.349444337510491</v>
      </c>
      <c r="L49" s="4">
        <f t="shared" si="14"/>
        <v>829.69999999999891</v>
      </c>
      <c r="M49">
        <v>3</v>
      </c>
      <c r="V49" s="2">
        <v>10731.6</v>
      </c>
      <c r="W49">
        <v>7564.1</v>
      </c>
      <c r="X49" s="34">
        <v>3714.7</v>
      </c>
      <c r="Y49">
        <v>2307</v>
      </c>
      <c r="Z49" s="35">
        <f t="shared" si="11"/>
        <v>14446.3</v>
      </c>
      <c r="AA49" s="35">
        <f t="shared" si="12"/>
        <v>9871.1</v>
      </c>
      <c r="AB49" s="31">
        <f t="shared" si="13"/>
        <v>46.349444337510491</v>
      </c>
      <c r="AC49" s="4"/>
      <c r="AD49" s="4"/>
      <c r="AE49" s="4">
        <f t="shared" si="15"/>
        <v>829.69999999999891</v>
      </c>
      <c r="AF49" s="4">
        <f t="shared" ref="AF49:AF56" si="16">+X49-X48</f>
        <v>1236.2999999999997</v>
      </c>
      <c r="AG49">
        <v>3</v>
      </c>
    </row>
    <row r="50" spans="1:43" x14ac:dyDescent="0.25">
      <c r="A50" s="20">
        <f t="shared" si="0"/>
        <v>38988</v>
      </c>
      <c r="B50" s="71"/>
      <c r="C50" s="71"/>
      <c r="D50" s="15" t="str">
        <f t="shared" si="10"/>
        <v>US total</v>
      </c>
      <c r="E50" s="2">
        <v>10706.6</v>
      </c>
      <c r="F50">
        <v>7735.2</v>
      </c>
      <c r="G50" s="34">
        <v>4897.8999999999996</v>
      </c>
      <c r="H50">
        <v>3088.5</v>
      </c>
      <c r="I50" s="35">
        <f t="shared" si="5"/>
        <v>15604.5</v>
      </c>
      <c r="J50" s="35">
        <f t="shared" si="5"/>
        <v>10823.7</v>
      </c>
      <c r="K50" s="31">
        <f t="shared" si="6"/>
        <v>44.169738629119415</v>
      </c>
      <c r="L50" s="4">
        <f t="shared" si="14"/>
        <v>1158.2000000000007</v>
      </c>
      <c r="M50">
        <v>4</v>
      </c>
      <c r="V50" s="2">
        <v>10706.6</v>
      </c>
      <c r="W50">
        <v>7735.2</v>
      </c>
      <c r="X50" s="34">
        <v>4897.8999999999996</v>
      </c>
      <c r="Y50">
        <v>3088.5</v>
      </c>
      <c r="Z50" s="35">
        <f t="shared" si="11"/>
        <v>15604.5</v>
      </c>
      <c r="AA50" s="35">
        <f t="shared" si="12"/>
        <v>10823.7</v>
      </c>
      <c r="AB50" s="31">
        <f t="shared" si="13"/>
        <v>44.169738629119415</v>
      </c>
      <c r="AC50" s="4"/>
      <c r="AD50" s="4"/>
      <c r="AE50" s="4">
        <f t="shared" si="15"/>
        <v>1158.2000000000007</v>
      </c>
      <c r="AF50" s="4">
        <f t="shared" si="16"/>
        <v>1183.1999999999998</v>
      </c>
      <c r="AG50">
        <v>4</v>
      </c>
      <c r="AN50" t="s">
        <v>53</v>
      </c>
      <c r="AP50" t="s">
        <v>54</v>
      </c>
    </row>
    <row r="51" spans="1:43" x14ac:dyDescent="0.25">
      <c r="A51" s="20">
        <f t="shared" si="0"/>
        <v>38995</v>
      </c>
      <c r="B51" s="71"/>
      <c r="C51" s="71"/>
      <c r="D51" s="15" t="str">
        <f t="shared" si="10"/>
        <v>US total</v>
      </c>
      <c r="E51" s="2">
        <v>10893.3</v>
      </c>
      <c r="F51">
        <v>7645.1</v>
      </c>
      <c r="G51" s="34">
        <v>5998</v>
      </c>
      <c r="H51">
        <v>4106.3</v>
      </c>
      <c r="I51" s="35">
        <f t="shared" si="5"/>
        <v>16891.3</v>
      </c>
      <c r="J51" s="35">
        <f t="shared" si="5"/>
        <v>11751.400000000001</v>
      </c>
      <c r="K51" s="31">
        <f t="shared" si="6"/>
        <v>43.738618377384796</v>
      </c>
      <c r="L51" s="4">
        <f t="shared" si="14"/>
        <v>1286.7999999999993</v>
      </c>
      <c r="M51">
        <v>5</v>
      </c>
      <c r="V51" s="2">
        <v>10893.3</v>
      </c>
      <c r="W51">
        <v>7645.1</v>
      </c>
      <c r="X51" s="34">
        <v>5998</v>
      </c>
      <c r="Y51">
        <v>4106.3</v>
      </c>
      <c r="Z51" s="35">
        <f t="shared" si="11"/>
        <v>16891.3</v>
      </c>
      <c r="AA51" s="35">
        <f t="shared" si="12"/>
        <v>11751.400000000001</v>
      </c>
      <c r="AB51" s="31">
        <f t="shared" si="13"/>
        <v>43.738618377384796</v>
      </c>
      <c r="AC51" s="4"/>
      <c r="AD51" s="4"/>
      <c r="AE51" s="4">
        <f t="shared" si="15"/>
        <v>1286.7999999999993</v>
      </c>
      <c r="AF51" s="4">
        <f t="shared" si="16"/>
        <v>1100.1000000000004</v>
      </c>
      <c r="AG51">
        <v>5</v>
      </c>
      <c r="AI51" t="s">
        <v>52</v>
      </c>
      <c r="AN51" t="s">
        <v>44</v>
      </c>
      <c r="AP51" t="s">
        <v>44</v>
      </c>
    </row>
    <row r="52" spans="1:43" x14ac:dyDescent="0.25">
      <c r="A52" s="20">
        <f t="shared" si="0"/>
        <v>39002</v>
      </c>
      <c r="B52" s="71"/>
      <c r="C52" s="71"/>
      <c r="D52" s="15" t="str">
        <f t="shared" si="10"/>
        <v>US total</v>
      </c>
      <c r="E52" s="2">
        <v>10625.6</v>
      </c>
      <c r="F52">
        <v>7379.6</v>
      </c>
      <c r="G52" s="34">
        <v>7086</v>
      </c>
      <c r="H52">
        <v>5335.4</v>
      </c>
      <c r="I52" s="35">
        <f t="shared" si="5"/>
        <v>17711.599999999999</v>
      </c>
      <c r="J52" s="35">
        <f t="shared" si="5"/>
        <v>12715</v>
      </c>
      <c r="K52" s="31">
        <f t="shared" si="6"/>
        <v>39.296893432953198</v>
      </c>
      <c r="L52" s="4">
        <f t="shared" si="14"/>
        <v>820.29999999999927</v>
      </c>
      <c r="M52">
        <v>6</v>
      </c>
      <c r="O52">
        <v>57150</v>
      </c>
      <c r="P52" s="4">
        <f>+O52-I52</f>
        <v>39438.400000000001</v>
      </c>
      <c r="V52" s="2">
        <v>10625.6</v>
      </c>
      <c r="W52">
        <v>7379.6</v>
      </c>
      <c r="X52" s="34">
        <v>7086</v>
      </c>
      <c r="Y52">
        <v>5335.4</v>
      </c>
      <c r="Z52" s="35">
        <f t="shared" si="11"/>
        <v>17711.599999999999</v>
      </c>
      <c r="AA52" s="35">
        <f t="shared" si="12"/>
        <v>12715</v>
      </c>
      <c r="AB52" s="31">
        <f t="shared" si="13"/>
        <v>39.296893432953198</v>
      </c>
      <c r="AC52" s="4"/>
      <c r="AD52" s="4"/>
      <c r="AE52" s="4">
        <f t="shared" si="15"/>
        <v>820.29999999999927</v>
      </c>
      <c r="AF52" s="4">
        <f t="shared" si="16"/>
        <v>1088</v>
      </c>
      <c r="AG52">
        <v>6</v>
      </c>
      <c r="AH52">
        <v>57150</v>
      </c>
      <c r="AJ52" s="4">
        <f>+AH52-Z52</f>
        <v>39438.400000000001</v>
      </c>
      <c r="AN52" t="s">
        <v>3</v>
      </c>
      <c r="AP52" t="s">
        <v>45</v>
      </c>
    </row>
    <row r="53" spans="1:43" x14ac:dyDescent="0.25">
      <c r="A53" s="20">
        <f t="shared" si="0"/>
        <v>39009</v>
      </c>
      <c r="B53" s="71"/>
      <c r="C53" s="71"/>
      <c r="D53" s="15" t="str">
        <f t="shared" si="10"/>
        <v>US total</v>
      </c>
      <c r="E53" s="2">
        <v>10871.5</v>
      </c>
      <c r="F53">
        <v>7149.9</v>
      </c>
      <c r="G53" s="34">
        <v>7886</v>
      </c>
      <c r="H53">
        <v>6283.6</v>
      </c>
      <c r="I53" s="35">
        <f t="shared" si="5"/>
        <v>18757.5</v>
      </c>
      <c r="J53" s="35">
        <f t="shared" si="5"/>
        <v>13433.5</v>
      </c>
      <c r="K53" s="31">
        <f t="shared" si="6"/>
        <v>39.632262627014555</v>
      </c>
      <c r="L53" s="4">
        <f t="shared" si="14"/>
        <v>1045.9000000000015</v>
      </c>
      <c r="M53">
        <v>7</v>
      </c>
      <c r="O53">
        <v>57150</v>
      </c>
      <c r="P53">
        <v>2147</v>
      </c>
      <c r="Q53">
        <v>39.367857000000001</v>
      </c>
      <c r="R53">
        <f>+P53/Q53</f>
        <v>54.53687763598613</v>
      </c>
      <c r="V53" s="2">
        <v>10871.5</v>
      </c>
      <c r="W53">
        <v>7149.9</v>
      </c>
      <c r="X53" s="34">
        <v>7886</v>
      </c>
      <c r="Y53">
        <v>6283.6</v>
      </c>
      <c r="Z53" s="35">
        <f t="shared" si="11"/>
        <v>18757.5</v>
      </c>
      <c r="AA53" s="35">
        <f t="shared" si="12"/>
        <v>13433.5</v>
      </c>
      <c r="AB53" s="31">
        <f t="shared" si="13"/>
        <v>39.632262627014555</v>
      </c>
      <c r="AC53" s="4"/>
      <c r="AD53" s="4"/>
      <c r="AE53" s="4">
        <f t="shared" si="15"/>
        <v>1045.9000000000015</v>
      </c>
      <c r="AF53" s="4">
        <f t="shared" si="16"/>
        <v>800</v>
      </c>
      <c r="AG53">
        <v>7</v>
      </c>
      <c r="AH53">
        <v>57150</v>
      </c>
      <c r="AJ53">
        <v>2147</v>
      </c>
      <c r="AK53">
        <v>39.367857000000001</v>
      </c>
      <c r="AL53">
        <f>+AJ53/AK53</f>
        <v>54.53687763598613</v>
      </c>
    </row>
    <row r="54" spans="1:43" x14ac:dyDescent="0.25">
      <c r="A54" s="20">
        <f t="shared" si="0"/>
        <v>39016</v>
      </c>
      <c r="B54" s="71"/>
      <c r="C54" s="71"/>
      <c r="D54" s="15" t="str">
        <f t="shared" si="10"/>
        <v>US total</v>
      </c>
      <c r="E54" s="2">
        <v>10796.9</v>
      </c>
      <c r="F54">
        <v>7353.7</v>
      </c>
      <c r="G54" s="34">
        <v>8987.7999999999993</v>
      </c>
      <c r="H54">
        <v>7297.9</v>
      </c>
      <c r="I54" s="35">
        <f t="shared" si="5"/>
        <v>19784.699999999997</v>
      </c>
      <c r="J54" s="35">
        <f t="shared" si="5"/>
        <v>14651.599999999999</v>
      </c>
      <c r="K54" s="31">
        <f t="shared" si="6"/>
        <v>35.034398973490944</v>
      </c>
      <c r="L54" s="4">
        <f t="shared" si="14"/>
        <v>1027.1999999999971</v>
      </c>
      <c r="M54">
        <v>8</v>
      </c>
      <c r="O54">
        <v>57150</v>
      </c>
      <c r="P54">
        <v>2250</v>
      </c>
      <c r="Q54">
        <v>39.367857000000001</v>
      </c>
      <c r="R54">
        <f>+P54/Q54</f>
        <v>57.153225282239774</v>
      </c>
      <c r="V54" s="2">
        <v>10796.9</v>
      </c>
      <c r="W54">
        <v>7353.7</v>
      </c>
      <c r="X54" s="34">
        <v>8987.7999999999993</v>
      </c>
      <c r="Y54">
        <v>7297.9</v>
      </c>
      <c r="Z54" s="35">
        <f t="shared" si="11"/>
        <v>19784.699999999997</v>
      </c>
      <c r="AA54" s="35">
        <f t="shared" si="12"/>
        <v>14651.599999999999</v>
      </c>
      <c r="AB54" s="31">
        <f t="shared" si="13"/>
        <v>35.034398973490944</v>
      </c>
      <c r="AC54" s="4"/>
      <c r="AD54" s="4"/>
      <c r="AE54" s="4">
        <f t="shared" si="15"/>
        <v>1027.1999999999971</v>
      </c>
      <c r="AF54" s="4">
        <f t="shared" si="16"/>
        <v>1101.7999999999993</v>
      </c>
      <c r="AG54">
        <v>8</v>
      </c>
      <c r="AH54">
        <v>57150</v>
      </c>
      <c r="AJ54">
        <v>2250</v>
      </c>
      <c r="AK54">
        <v>39.367857000000001</v>
      </c>
      <c r="AL54">
        <f>+AJ54/AK54</f>
        <v>57.153225282239774</v>
      </c>
    </row>
    <row r="55" spans="1:43" x14ac:dyDescent="0.25">
      <c r="A55" s="20">
        <f t="shared" si="0"/>
        <v>39023</v>
      </c>
      <c r="B55" s="71"/>
      <c r="C55" s="71"/>
      <c r="D55" s="15" t="str">
        <f t="shared" si="10"/>
        <v>US total</v>
      </c>
      <c r="E55" s="66">
        <v>11552.1</v>
      </c>
      <c r="F55">
        <v>7315</v>
      </c>
      <c r="G55" s="34">
        <v>10161.799999999999</v>
      </c>
      <c r="H55">
        <v>8220.7999999999993</v>
      </c>
      <c r="I55" s="35">
        <f t="shared" si="5"/>
        <v>21713.9</v>
      </c>
      <c r="J55" s="35">
        <f t="shared" si="5"/>
        <v>15535.8</v>
      </c>
      <c r="K55" s="31">
        <f t="shared" si="6"/>
        <v>39.766861056398795</v>
      </c>
      <c r="L55" s="4">
        <f t="shared" ref="L55:L65" si="17">+I55-I54</f>
        <v>1929.2000000000044</v>
      </c>
      <c r="M55">
        <v>9</v>
      </c>
      <c r="O55">
        <v>55880</v>
      </c>
      <c r="P55">
        <v>2200</v>
      </c>
      <c r="Q55">
        <v>39.367857000000001</v>
      </c>
      <c r="R55">
        <f>+P55/Q55</f>
        <v>55.883153609301111</v>
      </c>
      <c r="V55" s="2">
        <v>11552.1</v>
      </c>
      <c r="W55">
        <v>7315</v>
      </c>
      <c r="X55" s="34">
        <v>10161.799999999999</v>
      </c>
      <c r="Y55">
        <v>8220.7999999999993</v>
      </c>
      <c r="Z55" s="35">
        <f t="shared" si="11"/>
        <v>21713.9</v>
      </c>
      <c r="AA55" s="35">
        <f t="shared" si="12"/>
        <v>15535.8</v>
      </c>
      <c r="AB55" s="31">
        <f t="shared" si="13"/>
        <v>39.766861056398795</v>
      </c>
      <c r="AC55" s="4"/>
      <c r="AD55" s="4"/>
      <c r="AE55" s="4">
        <f>+Z55-Z54</f>
        <v>1929.2000000000044</v>
      </c>
      <c r="AF55" s="4">
        <f t="shared" si="16"/>
        <v>1174</v>
      </c>
      <c r="AG55">
        <v>9</v>
      </c>
      <c r="AH55">
        <v>55880</v>
      </c>
      <c r="AJ55">
        <v>2200</v>
      </c>
      <c r="AK55">
        <v>39.367857000000001</v>
      </c>
      <c r="AL55">
        <f>+AJ55/AK55</f>
        <v>55.883153609301111</v>
      </c>
      <c r="AN55" s="4">
        <f>(AH$55-Z55)/(52-AG55)</f>
        <v>794.56046511627903</v>
      </c>
      <c r="AP55" s="4">
        <f>(AH$55-X55)/(52-AG55)</f>
        <v>1063.213953488372</v>
      </c>
    </row>
    <row r="56" spans="1:43" x14ac:dyDescent="0.25">
      <c r="A56" s="20">
        <f t="shared" si="0"/>
        <v>39030</v>
      </c>
      <c r="B56" s="71"/>
      <c r="C56" s="71"/>
      <c r="D56" s="15" t="str">
        <f t="shared" si="10"/>
        <v>US total</v>
      </c>
      <c r="E56" s="66">
        <v>11943.8</v>
      </c>
      <c r="F56">
        <v>7748.1</v>
      </c>
      <c r="G56" s="34">
        <v>11165.7</v>
      </c>
      <c r="H56">
        <v>9281.9</v>
      </c>
      <c r="I56" s="35">
        <f t="shared" si="5"/>
        <v>23109.5</v>
      </c>
      <c r="J56" s="35">
        <f t="shared" si="5"/>
        <v>17030</v>
      </c>
      <c r="K56" s="31">
        <f t="shared" si="6"/>
        <v>35.698766881973</v>
      </c>
      <c r="L56" s="4">
        <f t="shared" si="17"/>
        <v>1395.5999999999985</v>
      </c>
      <c r="M56">
        <v>10</v>
      </c>
      <c r="O56">
        <v>55880</v>
      </c>
      <c r="P56" s="1"/>
      <c r="V56" s="2">
        <v>11943.8</v>
      </c>
      <c r="W56">
        <v>7748.1</v>
      </c>
      <c r="X56" s="34">
        <v>11165.7</v>
      </c>
      <c r="Y56">
        <v>9281.9</v>
      </c>
      <c r="Z56" s="35">
        <f t="shared" si="11"/>
        <v>23109.5</v>
      </c>
      <c r="AA56" s="35">
        <f t="shared" si="12"/>
        <v>17030</v>
      </c>
      <c r="AC56" s="4"/>
      <c r="AD56" s="4"/>
      <c r="AE56" s="4">
        <f>+Z56-Z55</f>
        <v>1395.5999999999985</v>
      </c>
      <c r="AF56" s="4">
        <f t="shared" si="16"/>
        <v>1003.9000000000015</v>
      </c>
      <c r="AG56">
        <f>+AG55+1</f>
        <v>10</v>
      </c>
      <c r="AH56">
        <v>55880</v>
      </c>
      <c r="AI56" s="4">
        <f>+AO56</f>
        <v>22508.460465116281</v>
      </c>
      <c r="AN56" s="4">
        <f>(AH$55-AO56)/(52-AG56)</f>
        <v>794.56046511627903</v>
      </c>
      <c r="AO56" s="4">
        <f>+AN55+Z55</f>
        <v>22508.460465116281</v>
      </c>
      <c r="AP56" s="4">
        <f>(AH$55-AQ56)/(52-AG56)</f>
        <v>1063.2139534883722</v>
      </c>
      <c r="AQ56" s="4">
        <f>+AP55+X55</f>
        <v>11225.013953488371</v>
      </c>
    </row>
    <row r="57" spans="1:43" x14ac:dyDescent="0.25">
      <c r="A57" s="20">
        <f t="shared" si="0"/>
        <v>39037</v>
      </c>
      <c r="B57" s="71"/>
      <c r="C57" s="71"/>
      <c r="D57" s="15" t="str">
        <f t="shared" si="10"/>
        <v>US total</v>
      </c>
      <c r="E57" s="67">
        <v>11765.1</v>
      </c>
      <c r="F57">
        <v>7813.5</v>
      </c>
      <c r="G57" s="34">
        <v>12386.6</v>
      </c>
      <c r="H57">
        <v>10249.200000000001</v>
      </c>
      <c r="I57" s="35">
        <f t="shared" si="5"/>
        <v>24151.7</v>
      </c>
      <c r="J57" s="35">
        <f t="shared" si="5"/>
        <v>18062.7</v>
      </c>
      <c r="K57" s="31">
        <f t="shared" si="6"/>
        <v>33.71035338017019</v>
      </c>
      <c r="L57" s="4">
        <f t="shared" si="17"/>
        <v>1042.2000000000007</v>
      </c>
      <c r="M57">
        <v>11</v>
      </c>
      <c r="V57" s="34">
        <v>10251.299999999999</v>
      </c>
      <c r="X57">
        <v>18064.8</v>
      </c>
      <c r="Z57" s="35">
        <f t="shared" si="11"/>
        <v>28316.1</v>
      </c>
      <c r="AC57" s="4"/>
      <c r="AD57" s="4"/>
      <c r="AE57" s="4">
        <f t="shared" ref="AE57:AE98" si="18">+AN56</f>
        <v>794.56046511627903</v>
      </c>
      <c r="AF57" s="4"/>
      <c r="AG57">
        <f t="shared" ref="AG57:AG98" si="19">+AG56+1</f>
        <v>11</v>
      </c>
      <c r="AI57" s="4">
        <f t="shared" ref="AI57:AI98" si="20">+AO57</f>
        <v>23303.02093023256</v>
      </c>
      <c r="AN57" s="4">
        <f t="shared" ref="AN57:AN89" si="21">(AH$55-AO57)/(52-AG57)</f>
        <v>794.56046511627903</v>
      </c>
      <c r="AO57" s="4">
        <f>+AO56+AN56</f>
        <v>23303.02093023256</v>
      </c>
      <c r="AP57" s="4">
        <f t="shared" ref="AP57:AP98" si="22">(AH$55-AQ57)/(52-AG57)</f>
        <v>1063.2139534883722</v>
      </c>
      <c r="AQ57" s="4">
        <f>+AQ56+AP56</f>
        <v>12288.227906976743</v>
      </c>
    </row>
    <row r="58" spans="1:43" x14ac:dyDescent="0.25">
      <c r="A58" s="20">
        <f t="shared" si="0"/>
        <v>39044</v>
      </c>
      <c r="B58" s="71"/>
      <c r="C58" s="71"/>
      <c r="D58" s="15" t="str">
        <f t="shared" si="10"/>
        <v>US total</v>
      </c>
      <c r="E58" s="66">
        <v>11889</v>
      </c>
      <c r="F58">
        <v>7759.2</v>
      </c>
      <c r="G58" s="34">
        <v>13283.9</v>
      </c>
      <c r="H58">
        <v>10915.3</v>
      </c>
      <c r="I58" s="35">
        <f t="shared" si="5"/>
        <v>25172.9</v>
      </c>
      <c r="J58" s="35">
        <f t="shared" si="5"/>
        <v>18674.5</v>
      </c>
      <c r="K58" s="31">
        <f t="shared" si="6"/>
        <v>34.798254303997432</v>
      </c>
      <c r="L58" s="4">
        <f t="shared" si="17"/>
        <v>1021.2000000000007</v>
      </c>
      <c r="M58">
        <v>12</v>
      </c>
      <c r="V58" s="34">
        <v>10917.4</v>
      </c>
      <c r="X58">
        <v>18676.599999999999</v>
      </c>
      <c r="Z58" s="35">
        <f t="shared" si="11"/>
        <v>29594</v>
      </c>
      <c r="AC58" s="4"/>
      <c r="AD58" s="4"/>
      <c r="AE58" s="4">
        <f t="shared" si="18"/>
        <v>794.56046511627903</v>
      </c>
      <c r="AF58" s="4"/>
      <c r="AG58">
        <f t="shared" si="19"/>
        <v>12</v>
      </c>
      <c r="AI58" s="4">
        <f t="shared" si="20"/>
        <v>24097.58139534884</v>
      </c>
      <c r="AN58" s="4">
        <f t="shared" si="21"/>
        <v>794.56046511627903</v>
      </c>
      <c r="AO58" s="4">
        <f t="shared" ref="AO58:AO89" si="23">+AO57+AN57</f>
        <v>24097.58139534884</v>
      </c>
      <c r="AP58" s="4">
        <f t="shared" si="22"/>
        <v>1063.2139534883722</v>
      </c>
      <c r="AQ58" s="4">
        <f t="shared" ref="AQ58:AQ98" si="24">+AQ57+AP57</f>
        <v>13351.441860465115</v>
      </c>
    </row>
    <row r="59" spans="1:43" x14ac:dyDescent="0.25">
      <c r="A59" s="20">
        <f t="shared" si="0"/>
        <v>39051</v>
      </c>
      <c r="B59" s="71"/>
      <c r="C59" s="71"/>
      <c r="D59" s="15" t="str">
        <f t="shared" si="10"/>
        <v>US total</v>
      </c>
      <c r="E59" s="66">
        <v>11329.3</v>
      </c>
      <c r="F59">
        <v>7432.4</v>
      </c>
      <c r="G59" s="34">
        <v>14656.3</v>
      </c>
      <c r="H59">
        <v>11936.4</v>
      </c>
      <c r="I59" s="35">
        <f t="shared" si="5"/>
        <v>25985.599999999999</v>
      </c>
      <c r="J59" s="35">
        <f t="shared" si="5"/>
        <v>19368.8</v>
      </c>
      <c r="K59" s="31">
        <f t="shared" si="6"/>
        <v>34.162157696914619</v>
      </c>
      <c r="L59" s="4">
        <f t="shared" si="17"/>
        <v>812.69999999999709</v>
      </c>
      <c r="M59">
        <v>13</v>
      </c>
      <c r="O59" s="4">
        <f>+O56-I59</f>
        <v>29894.400000000001</v>
      </c>
      <c r="V59" s="34">
        <v>11938.5</v>
      </c>
      <c r="X59">
        <v>19370.900000000001</v>
      </c>
      <c r="Z59" s="35">
        <f t="shared" si="11"/>
        <v>31309.4</v>
      </c>
      <c r="AC59" s="4"/>
      <c r="AD59" s="4"/>
      <c r="AE59" s="4">
        <f t="shared" si="18"/>
        <v>794.56046511627903</v>
      </c>
      <c r="AF59" s="4"/>
      <c r="AG59">
        <f t="shared" si="19"/>
        <v>13</v>
      </c>
      <c r="AI59" s="4">
        <f t="shared" si="20"/>
        <v>24892.141860465119</v>
      </c>
      <c r="AN59" s="4">
        <f t="shared" si="21"/>
        <v>794.56046511627903</v>
      </c>
      <c r="AO59" s="4">
        <f t="shared" si="23"/>
        <v>24892.141860465119</v>
      </c>
      <c r="AP59" s="4">
        <f t="shared" si="22"/>
        <v>1063.213953488372</v>
      </c>
      <c r="AQ59" s="4">
        <f t="shared" si="24"/>
        <v>14414.655813953486</v>
      </c>
    </row>
    <row r="60" spans="1:43" x14ac:dyDescent="0.25">
      <c r="A60" s="20">
        <f t="shared" si="0"/>
        <v>39058</v>
      </c>
      <c r="B60" s="71"/>
      <c r="C60" s="71"/>
      <c r="D60" s="15" t="str">
        <f t="shared" si="10"/>
        <v>US total</v>
      </c>
      <c r="E60" s="67">
        <v>11493</v>
      </c>
      <c r="F60">
        <v>7334.4</v>
      </c>
      <c r="G60" s="34">
        <v>15892.9</v>
      </c>
      <c r="H60">
        <v>12950.5</v>
      </c>
      <c r="I60" s="35">
        <f t="shared" si="5"/>
        <v>27385.9</v>
      </c>
      <c r="J60" s="35">
        <f t="shared" si="5"/>
        <v>20284.900000000001</v>
      </c>
      <c r="K60" s="31">
        <f t="shared" si="6"/>
        <v>35.006334761324929</v>
      </c>
      <c r="L60" s="4">
        <f t="shared" si="17"/>
        <v>1400.3000000000029</v>
      </c>
      <c r="M60">
        <v>14</v>
      </c>
      <c r="O60">
        <f>+I59/O56</f>
        <v>0.46502505368647096</v>
      </c>
      <c r="V60" s="34">
        <v>12957.1</v>
      </c>
      <c r="X60">
        <v>20291.5</v>
      </c>
      <c r="Z60" s="35">
        <f t="shared" si="11"/>
        <v>33248.6</v>
      </c>
      <c r="AC60" s="4"/>
      <c r="AD60" s="4"/>
      <c r="AE60" s="4">
        <f t="shared" si="18"/>
        <v>794.56046511627903</v>
      </c>
      <c r="AF60" s="4"/>
      <c r="AG60">
        <f t="shared" si="19"/>
        <v>14</v>
      </c>
      <c r="AI60" s="4">
        <f t="shared" si="20"/>
        <v>25686.702325581398</v>
      </c>
      <c r="AN60" s="4">
        <f t="shared" si="21"/>
        <v>794.56046511627903</v>
      </c>
      <c r="AO60" s="4">
        <f t="shared" si="23"/>
        <v>25686.702325581398</v>
      </c>
      <c r="AP60" s="4">
        <f t="shared" si="22"/>
        <v>1063.2139534883722</v>
      </c>
      <c r="AQ60" s="4">
        <f t="shared" si="24"/>
        <v>15477.869767441858</v>
      </c>
    </row>
    <row r="61" spans="1:43" x14ac:dyDescent="0.25">
      <c r="A61" s="20">
        <f t="shared" si="0"/>
        <v>39065</v>
      </c>
      <c r="B61" s="71"/>
      <c r="C61" s="71"/>
      <c r="D61" s="15" t="str">
        <f t="shared" si="10"/>
        <v>US total</v>
      </c>
      <c r="E61" s="67">
        <v>11854.8</v>
      </c>
      <c r="F61">
        <v>7037.3</v>
      </c>
      <c r="G61" s="34">
        <v>16796</v>
      </c>
      <c r="H61">
        <v>14130.4</v>
      </c>
      <c r="I61" s="35">
        <f t="shared" si="5"/>
        <v>28650.799999999999</v>
      </c>
      <c r="J61" s="35">
        <f t="shared" si="5"/>
        <v>21167.7</v>
      </c>
      <c r="K61" s="31">
        <f t="shared" si="6"/>
        <v>35.351502525073577</v>
      </c>
      <c r="L61" s="4">
        <f t="shared" si="17"/>
        <v>1264.8999999999978</v>
      </c>
      <c r="M61">
        <v>15</v>
      </c>
      <c r="V61" s="34">
        <v>14137.5</v>
      </c>
      <c r="X61">
        <v>21174.799999999999</v>
      </c>
      <c r="Z61" s="35">
        <f t="shared" si="11"/>
        <v>35312.300000000003</v>
      </c>
      <c r="AC61" s="4"/>
      <c r="AD61" s="4"/>
      <c r="AE61" s="4">
        <f t="shared" si="18"/>
        <v>794.56046511627903</v>
      </c>
      <c r="AF61" s="4"/>
      <c r="AG61">
        <f t="shared" si="19"/>
        <v>15</v>
      </c>
      <c r="AI61" s="4">
        <f t="shared" si="20"/>
        <v>26481.262790697678</v>
      </c>
      <c r="AN61" s="4">
        <f t="shared" si="21"/>
        <v>794.56046511627903</v>
      </c>
      <c r="AO61" s="4">
        <f t="shared" si="23"/>
        <v>26481.262790697678</v>
      </c>
      <c r="AP61" s="4">
        <f t="shared" si="22"/>
        <v>1063.2139534883722</v>
      </c>
      <c r="AQ61" s="4">
        <f t="shared" si="24"/>
        <v>16541.08372093023</v>
      </c>
    </row>
    <row r="62" spans="1:43" x14ac:dyDescent="0.25">
      <c r="A62" s="20">
        <f t="shared" si="0"/>
        <v>39072</v>
      </c>
      <c r="B62" s="71"/>
      <c r="C62" s="71"/>
      <c r="D62" s="15" t="str">
        <f t="shared" si="10"/>
        <v>US total</v>
      </c>
      <c r="E62" s="67">
        <v>11890.1</v>
      </c>
      <c r="F62">
        <v>6618.9</v>
      </c>
      <c r="G62" s="34">
        <v>17911</v>
      </c>
      <c r="H62">
        <v>14891.3</v>
      </c>
      <c r="I62" s="35">
        <f t="shared" si="5"/>
        <v>29801.1</v>
      </c>
      <c r="J62" s="35">
        <f t="shared" si="5"/>
        <v>21510.199999999997</v>
      </c>
      <c r="K62" s="31">
        <f t="shared" si="6"/>
        <v>38.544039571924024</v>
      </c>
      <c r="L62" s="4">
        <f t="shared" si="17"/>
        <v>1150.2999999999993</v>
      </c>
      <c r="M62">
        <v>16</v>
      </c>
      <c r="V62" s="34">
        <v>14916.1</v>
      </c>
      <c r="X62">
        <v>21535</v>
      </c>
      <c r="Z62" s="35">
        <f t="shared" si="11"/>
        <v>36451.1</v>
      </c>
      <c r="AC62" s="4"/>
      <c r="AD62" s="4"/>
      <c r="AE62" s="4">
        <f t="shared" si="18"/>
        <v>794.56046511627903</v>
      </c>
      <c r="AF62" s="4"/>
      <c r="AG62">
        <f t="shared" si="19"/>
        <v>16</v>
      </c>
      <c r="AI62" s="4">
        <f t="shared" si="20"/>
        <v>27275.823255813957</v>
      </c>
      <c r="AN62" s="4">
        <f t="shared" si="21"/>
        <v>794.56046511627892</v>
      </c>
      <c r="AO62" s="4">
        <f t="shared" si="23"/>
        <v>27275.823255813957</v>
      </c>
      <c r="AP62" s="4">
        <f t="shared" si="22"/>
        <v>1063.2139534883722</v>
      </c>
      <c r="AQ62" s="4">
        <f t="shared" si="24"/>
        <v>17604.297674418602</v>
      </c>
    </row>
    <row r="63" spans="1:43" x14ac:dyDescent="0.25">
      <c r="A63" s="20">
        <f t="shared" si="0"/>
        <v>39079</v>
      </c>
      <c r="B63" s="71"/>
      <c r="C63" s="71"/>
      <c r="D63" s="15" t="str">
        <f t="shared" si="10"/>
        <v>US total</v>
      </c>
      <c r="E63" s="67">
        <v>11503.1</v>
      </c>
      <c r="F63">
        <v>5991.3</v>
      </c>
      <c r="G63" s="34">
        <v>18871.5</v>
      </c>
      <c r="H63">
        <v>15978.4</v>
      </c>
      <c r="I63" s="35">
        <f t="shared" si="5"/>
        <v>30374.6</v>
      </c>
      <c r="J63" s="35">
        <f t="shared" si="5"/>
        <v>21969.7</v>
      </c>
      <c r="K63" s="31">
        <f t="shared" si="6"/>
        <v>38.256780930099168</v>
      </c>
      <c r="L63" s="4">
        <f t="shared" si="17"/>
        <v>573.5</v>
      </c>
      <c r="M63">
        <v>17</v>
      </c>
      <c r="V63" s="34">
        <v>16072.6</v>
      </c>
      <c r="X63">
        <v>22063.9</v>
      </c>
      <c r="Z63" s="35">
        <f t="shared" si="11"/>
        <v>38136.5</v>
      </c>
      <c r="AD63" s="4"/>
      <c r="AE63" s="4">
        <f t="shared" si="18"/>
        <v>794.56046511627892</v>
      </c>
      <c r="AF63" s="4"/>
      <c r="AG63">
        <f t="shared" si="19"/>
        <v>17</v>
      </c>
      <c r="AI63" s="4">
        <f t="shared" si="20"/>
        <v>28070.383720930236</v>
      </c>
      <c r="AN63" s="4">
        <f t="shared" si="21"/>
        <v>794.56046511627892</v>
      </c>
      <c r="AO63" s="4">
        <f t="shared" si="23"/>
        <v>28070.383720930236</v>
      </c>
      <c r="AP63" s="4">
        <f t="shared" si="22"/>
        <v>1063.213953488372</v>
      </c>
      <c r="AQ63" s="4">
        <f t="shared" si="24"/>
        <v>18667.511627906973</v>
      </c>
    </row>
    <row r="64" spans="1:43" x14ac:dyDescent="0.25">
      <c r="A64" s="20">
        <f t="shared" si="0"/>
        <v>39086</v>
      </c>
      <c r="B64" s="71"/>
      <c r="C64" s="71"/>
      <c r="D64" s="15" t="str">
        <f t="shared" si="10"/>
        <v>US total</v>
      </c>
      <c r="E64" s="67">
        <v>11827.1</v>
      </c>
      <c r="F64">
        <v>5905.2</v>
      </c>
      <c r="G64" s="34">
        <v>19724.400000000001</v>
      </c>
      <c r="H64">
        <v>16695.7</v>
      </c>
      <c r="I64" s="4">
        <f t="shared" si="5"/>
        <v>31551.5</v>
      </c>
      <c r="J64" s="35">
        <f t="shared" si="5"/>
        <v>22600.9</v>
      </c>
      <c r="K64" s="31">
        <f t="shared" si="6"/>
        <v>39.602847674207652</v>
      </c>
      <c r="L64" s="4">
        <f t="shared" si="17"/>
        <v>1176.9000000000015</v>
      </c>
      <c r="M64">
        <v>18</v>
      </c>
      <c r="V64" s="34">
        <v>16731.099999999999</v>
      </c>
      <c r="X64">
        <v>22636.3</v>
      </c>
      <c r="Z64" s="35">
        <f t="shared" si="11"/>
        <v>39367.399999999994</v>
      </c>
      <c r="AD64" s="4"/>
      <c r="AE64" s="4">
        <f t="shared" si="18"/>
        <v>794.56046511627892</v>
      </c>
      <c r="AF64" s="4"/>
      <c r="AG64">
        <f t="shared" si="19"/>
        <v>18</v>
      </c>
      <c r="AI64" s="4">
        <f t="shared" si="20"/>
        <v>28864.944186046516</v>
      </c>
      <c r="AN64" s="4">
        <f t="shared" si="21"/>
        <v>794.56046511627892</v>
      </c>
      <c r="AO64" s="4">
        <f t="shared" si="23"/>
        <v>28864.944186046516</v>
      </c>
      <c r="AP64" s="4">
        <f t="shared" si="22"/>
        <v>1063.2139534883722</v>
      </c>
      <c r="AQ64" s="4">
        <f t="shared" si="24"/>
        <v>19730.725581395345</v>
      </c>
    </row>
    <row r="65" spans="1:43" x14ac:dyDescent="0.25">
      <c r="A65" s="20">
        <f t="shared" si="0"/>
        <v>39093</v>
      </c>
      <c r="B65" s="71"/>
      <c r="C65" s="71"/>
      <c r="D65" s="15" t="str">
        <f t="shared" si="10"/>
        <v>US total</v>
      </c>
      <c r="E65" s="67">
        <v>12245.8</v>
      </c>
      <c r="F65">
        <v>6184.1</v>
      </c>
      <c r="G65" s="34">
        <v>20731.099999999999</v>
      </c>
      <c r="H65">
        <v>17639.099999999999</v>
      </c>
      <c r="I65" s="4">
        <f t="shared" si="5"/>
        <v>32976.899999999994</v>
      </c>
      <c r="J65" s="35">
        <f t="shared" si="5"/>
        <v>23823.199999999997</v>
      </c>
      <c r="K65" s="31">
        <f t="shared" si="6"/>
        <v>38.423469559085241</v>
      </c>
      <c r="L65" s="4">
        <f t="shared" si="17"/>
        <v>1425.3999999999942</v>
      </c>
      <c r="M65">
        <v>19</v>
      </c>
      <c r="V65" s="34">
        <v>18582.599999999999</v>
      </c>
      <c r="X65">
        <v>25998.3</v>
      </c>
      <c r="Z65" s="35">
        <f t="shared" si="11"/>
        <v>44580.899999999994</v>
      </c>
      <c r="AE65" s="4">
        <f t="shared" si="18"/>
        <v>794.56046511627892</v>
      </c>
      <c r="AF65" s="4"/>
      <c r="AG65">
        <f t="shared" si="19"/>
        <v>19</v>
      </c>
      <c r="AI65" s="4">
        <f t="shared" si="20"/>
        <v>29659.504651162795</v>
      </c>
      <c r="AN65" s="4">
        <f t="shared" si="21"/>
        <v>794.56046511627892</v>
      </c>
      <c r="AO65" s="4">
        <f t="shared" si="23"/>
        <v>29659.504651162795</v>
      </c>
      <c r="AP65" s="4">
        <f t="shared" si="22"/>
        <v>1063.2139534883722</v>
      </c>
      <c r="AQ65" s="4">
        <f t="shared" si="24"/>
        <v>20793.939534883717</v>
      </c>
    </row>
    <row r="66" spans="1:43" x14ac:dyDescent="0.25">
      <c r="A66" s="20">
        <f t="shared" si="0"/>
        <v>39100</v>
      </c>
      <c r="B66" s="71"/>
      <c r="C66" s="71"/>
      <c r="D66" s="15" t="str">
        <f t="shared" si="10"/>
        <v>US total</v>
      </c>
      <c r="E66" s="67">
        <v>12204.2</v>
      </c>
      <c r="F66">
        <v>7415.7</v>
      </c>
      <c r="G66" s="34">
        <v>21764</v>
      </c>
      <c r="H66">
        <v>18564.900000000001</v>
      </c>
      <c r="I66" s="4">
        <f t="shared" si="5"/>
        <v>33968.199999999997</v>
      </c>
      <c r="J66" s="35">
        <f t="shared" si="5"/>
        <v>25980.600000000002</v>
      </c>
      <c r="K66" s="31">
        <f t="shared" si="6"/>
        <v>30.744478572473287</v>
      </c>
      <c r="L66" s="4">
        <f t="shared" ref="L66:L72" si="25">+I66-I65</f>
        <v>991.30000000000291</v>
      </c>
      <c r="M66">
        <v>20</v>
      </c>
      <c r="V66" s="34">
        <v>19502.3</v>
      </c>
      <c r="X66">
        <v>27360.7</v>
      </c>
      <c r="AE66" s="4">
        <f t="shared" si="18"/>
        <v>794.56046511627892</v>
      </c>
      <c r="AF66" s="4"/>
      <c r="AG66">
        <f t="shared" si="19"/>
        <v>20</v>
      </c>
      <c r="AI66" s="4">
        <f t="shared" si="20"/>
        <v>30454.065116279075</v>
      </c>
      <c r="AN66" s="4">
        <f t="shared" si="21"/>
        <v>794.56046511627892</v>
      </c>
      <c r="AO66" s="4">
        <f t="shared" si="23"/>
        <v>30454.065116279075</v>
      </c>
      <c r="AP66" s="4">
        <f t="shared" si="22"/>
        <v>1063.2139534883722</v>
      </c>
      <c r="AQ66" s="4">
        <f t="shared" si="24"/>
        <v>21857.153488372089</v>
      </c>
    </row>
    <row r="67" spans="1:43" x14ac:dyDescent="0.25">
      <c r="A67" s="20">
        <f t="shared" si="0"/>
        <v>39107</v>
      </c>
      <c r="B67" s="71"/>
      <c r="C67" s="71"/>
      <c r="D67" s="15" t="str">
        <f t="shared" si="10"/>
        <v>US total</v>
      </c>
      <c r="E67" s="67">
        <v>11799.6</v>
      </c>
      <c r="F67">
        <v>7858.4</v>
      </c>
      <c r="G67" s="34">
        <v>22957.200000000001</v>
      </c>
      <c r="H67">
        <v>19500.099999999999</v>
      </c>
      <c r="I67" s="4">
        <f t="shared" si="5"/>
        <v>34756.800000000003</v>
      </c>
      <c r="J67" s="35">
        <f t="shared" si="5"/>
        <v>27358.5</v>
      </c>
      <c r="K67" s="31">
        <f t="shared" si="6"/>
        <v>27.042052744119751</v>
      </c>
      <c r="L67" s="4">
        <f t="shared" si="25"/>
        <v>788.60000000000582</v>
      </c>
      <c r="M67">
        <v>21</v>
      </c>
      <c r="V67" s="34">
        <v>20517.599999999999</v>
      </c>
      <c r="X67">
        <v>28972.6</v>
      </c>
      <c r="AE67" s="4">
        <f t="shared" si="18"/>
        <v>794.56046511627892</v>
      </c>
      <c r="AF67" s="4"/>
      <c r="AG67">
        <f t="shared" si="19"/>
        <v>21</v>
      </c>
      <c r="AI67" s="4">
        <f t="shared" si="20"/>
        <v>31248.625581395354</v>
      </c>
      <c r="AN67" s="4">
        <f t="shared" si="21"/>
        <v>794.56046511627892</v>
      </c>
      <c r="AO67" s="4">
        <f t="shared" si="23"/>
        <v>31248.625581395354</v>
      </c>
      <c r="AP67" s="4">
        <f t="shared" si="22"/>
        <v>1063.2139534883722</v>
      </c>
      <c r="AQ67" s="4">
        <f t="shared" si="24"/>
        <v>22920.367441860461</v>
      </c>
    </row>
    <row r="68" spans="1:43" x14ac:dyDescent="0.25">
      <c r="A68" s="20">
        <f t="shared" si="0"/>
        <v>39114</v>
      </c>
      <c r="B68" s="71"/>
      <c r="C68" s="71"/>
      <c r="D68" s="15" t="str">
        <f t="shared" si="10"/>
        <v>US total</v>
      </c>
      <c r="E68" s="67">
        <v>11687.2</v>
      </c>
      <c r="F68">
        <v>8455</v>
      </c>
      <c r="G68" s="34">
        <v>23987</v>
      </c>
      <c r="H68">
        <v>20517.599999999999</v>
      </c>
      <c r="I68" s="4">
        <f t="shared" si="5"/>
        <v>35674.199999999997</v>
      </c>
      <c r="J68" s="35">
        <f t="shared" si="5"/>
        <v>28972.6</v>
      </c>
      <c r="K68" s="31">
        <f t="shared" si="6"/>
        <v>23.130820154214661</v>
      </c>
      <c r="L68" s="4">
        <f t="shared" si="25"/>
        <v>917.39999999999418</v>
      </c>
      <c r="M68">
        <f t="shared" ref="M68:M73" si="26">+M67+1</f>
        <v>22</v>
      </c>
      <c r="V68" s="34">
        <v>21340.400000000001</v>
      </c>
      <c r="X68">
        <v>30169.8</v>
      </c>
      <c r="AE68" s="4">
        <f t="shared" si="18"/>
        <v>794.56046511627892</v>
      </c>
      <c r="AF68" s="4"/>
      <c r="AG68">
        <f t="shared" si="19"/>
        <v>22</v>
      </c>
      <c r="AI68" s="4">
        <f t="shared" si="20"/>
        <v>32043.186046511633</v>
      </c>
      <c r="AN68" s="4">
        <f t="shared" si="21"/>
        <v>794.56046511627892</v>
      </c>
      <c r="AO68" s="4">
        <f t="shared" si="23"/>
        <v>32043.186046511633</v>
      </c>
      <c r="AP68" s="4">
        <f t="shared" si="22"/>
        <v>1063.2139534883722</v>
      </c>
      <c r="AQ68" s="4">
        <f t="shared" si="24"/>
        <v>23983.581395348832</v>
      </c>
    </row>
    <row r="69" spans="1:43" x14ac:dyDescent="0.25">
      <c r="A69" s="20">
        <f t="shared" si="0"/>
        <v>39121</v>
      </c>
      <c r="B69" s="71"/>
      <c r="C69" s="71"/>
      <c r="D69" s="15" t="str">
        <f t="shared" si="10"/>
        <v>US total</v>
      </c>
      <c r="E69" s="67">
        <v>12076.9</v>
      </c>
      <c r="F69">
        <v>8829.4</v>
      </c>
      <c r="G69" s="34">
        <v>24983.599999999999</v>
      </c>
      <c r="H69">
        <v>21340.400000000001</v>
      </c>
      <c r="I69" s="4">
        <f t="shared" si="5"/>
        <v>37060.5</v>
      </c>
      <c r="J69" s="35">
        <f t="shared" si="5"/>
        <v>30169.800000000003</v>
      </c>
      <c r="K69" s="31">
        <f t="shared" si="6"/>
        <v>22.839727144362886</v>
      </c>
      <c r="L69" s="4">
        <f t="shared" si="25"/>
        <v>1386.3000000000029</v>
      </c>
      <c r="M69">
        <f t="shared" si="26"/>
        <v>23</v>
      </c>
      <c r="V69" s="34">
        <v>22379.599999999999</v>
      </c>
      <c r="X69">
        <v>31660.400000000001</v>
      </c>
      <c r="AE69" s="4">
        <f t="shared" si="18"/>
        <v>794.56046511627892</v>
      </c>
      <c r="AF69" s="4"/>
      <c r="AG69">
        <f t="shared" si="19"/>
        <v>23</v>
      </c>
      <c r="AI69" s="4">
        <f t="shared" si="20"/>
        <v>32837.746511627913</v>
      </c>
      <c r="AN69" s="4">
        <f t="shared" si="21"/>
        <v>794.56046511627892</v>
      </c>
      <c r="AO69" s="4">
        <f t="shared" si="23"/>
        <v>32837.746511627913</v>
      </c>
      <c r="AP69" s="4">
        <f t="shared" si="22"/>
        <v>1063.2139534883722</v>
      </c>
      <c r="AQ69" s="4">
        <f t="shared" si="24"/>
        <v>25046.795348837204</v>
      </c>
    </row>
    <row r="70" spans="1:43" x14ac:dyDescent="0.25">
      <c r="A70" s="20">
        <f t="shared" ref="A70:A116" si="27">+A71-7</f>
        <v>39128</v>
      </c>
      <c r="B70" s="71"/>
      <c r="C70" s="71"/>
      <c r="D70" s="15" t="str">
        <f t="shared" si="10"/>
        <v>US total</v>
      </c>
      <c r="E70" s="67">
        <v>11657.4</v>
      </c>
      <c r="F70">
        <v>9280.7999999999993</v>
      </c>
      <c r="G70" s="34">
        <v>26214.1</v>
      </c>
      <c r="H70">
        <v>22372.1</v>
      </c>
      <c r="I70" s="4">
        <f t="shared" si="5"/>
        <v>37871.5</v>
      </c>
      <c r="J70" s="35">
        <f t="shared" si="5"/>
        <v>31652.899999999998</v>
      </c>
      <c r="K70" s="31">
        <f t="shared" si="6"/>
        <v>19.646225148406636</v>
      </c>
      <c r="L70" s="4">
        <f t="shared" si="25"/>
        <v>811</v>
      </c>
      <c r="M70">
        <f t="shared" si="26"/>
        <v>24</v>
      </c>
      <c r="V70" s="34">
        <v>23339.1</v>
      </c>
      <c r="X70">
        <v>32273.9</v>
      </c>
      <c r="AE70" s="4">
        <f t="shared" si="18"/>
        <v>794.56046511627892</v>
      </c>
      <c r="AF70" s="4"/>
      <c r="AG70">
        <f t="shared" si="19"/>
        <v>24</v>
      </c>
      <c r="AI70" s="4">
        <f t="shared" si="20"/>
        <v>33632.306976744192</v>
      </c>
      <c r="AN70" s="4">
        <f t="shared" si="21"/>
        <v>794.56046511627881</v>
      </c>
      <c r="AO70" s="4">
        <f t="shared" si="23"/>
        <v>33632.306976744192</v>
      </c>
      <c r="AP70" s="4">
        <f t="shared" si="22"/>
        <v>1063.2139534883722</v>
      </c>
      <c r="AQ70" s="4">
        <f t="shared" si="24"/>
        <v>26110.009302325576</v>
      </c>
    </row>
    <row r="71" spans="1:43" x14ac:dyDescent="0.25">
      <c r="A71" s="20">
        <f t="shared" si="27"/>
        <v>39135</v>
      </c>
      <c r="B71" s="71"/>
      <c r="C71" s="71"/>
      <c r="D71" s="15" t="str">
        <f t="shared" si="10"/>
        <v>US total</v>
      </c>
      <c r="E71" s="63">
        <v>11083.8</v>
      </c>
      <c r="F71">
        <v>8934.7999999999993</v>
      </c>
      <c r="G71" s="34">
        <v>27105.8</v>
      </c>
      <c r="H71">
        <v>23324.7</v>
      </c>
      <c r="I71" s="4">
        <f t="shared" si="5"/>
        <v>38189.599999999999</v>
      </c>
      <c r="J71" s="35">
        <f t="shared" si="5"/>
        <v>32259.5</v>
      </c>
      <c r="K71" s="31">
        <f t="shared" si="6"/>
        <v>18.382491979106931</v>
      </c>
      <c r="L71" s="4">
        <f t="shared" si="25"/>
        <v>318.09999999999854</v>
      </c>
      <c r="M71">
        <f t="shared" si="26"/>
        <v>25</v>
      </c>
      <c r="V71" s="34">
        <v>24440.9</v>
      </c>
      <c r="X71">
        <v>33687.199999999997</v>
      </c>
      <c r="AE71" s="4">
        <f t="shared" si="18"/>
        <v>794.56046511627881</v>
      </c>
      <c r="AF71" s="4"/>
      <c r="AG71">
        <f t="shared" si="19"/>
        <v>25</v>
      </c>
      <c r="AI71" s="4">
        <f t="shared" si="20"/>
        <v>34426.867441860471</v>
      </c>
      <c r="AN71" s="4">
        <f t="shared" si="21"/>
        <v>794.56046511627881</v>
      </c>
      <c r="AO71" s="4">
        <f t="shared" si="23"/>
        <v>34426.867441860471</v>
      </c>
      <c r="AP71" s="4">
        <f t="shared" si="22"/>
        <v>1063.2139534883722</v>
      </c>
      <c r="AQ71" s="4">
        <f t="shared" si="24"/>
        <v>27173.223255813948</v>
      </c>
    </row>
    <row r="72" spans="1:43" x14ac:dyDescent="0.25">
      <c r="A72" s="20">
        <f t="shared" si="27"/>
        <v>39142</v>
      </c>
      <c r="B72" s="71"/>
      <c r="C72" s="71"/>
      <c r="D72" s="15" t="str">
        <f t="shared" si="10"/>
        <v>US total</v>
      </c>
      <c r="E72" s="63">
        <v>10730.9</v>
      </c>
      <c r="F72">
        <v>9246.2999999999993</v>
      </c>
      <c r="G72" s="34">
        <v>28647</v>
      </c>
      <c r="H72">
        <v>24376</v>
      </c>
      <c r="I72" s="4">
        <f t="shared" si="5"/>
        <v>39377.9</v>
      </c>
      <c r="J72" s="35">
        <f t="shared" si="5"/>
        <v>33622.300000000003</v>
      </c>
      <c r="K72" s="31">
        <f t="shared" si="6"/>
        <v>17.118400585325809</v>
      </c>
      <c r="L72" s="4">
        <f t="shared" si="25"/>
        <v>1188.3000000000029</v>
      </c>
      <c r="M72">
        <f t="shared" si="26"/>
        <v>26</v>
      </c>
      <c r="V72" s="34">
        <v>25213.1</v>
      </c>
      <c r="X72">
        <v>34655.699999999997</v>
      </c>
      <c r="AE72" s="4">
        <f t="shared" si="18"/>
        <v>794.56046511627881</v>
      </c>
      <c r="AF72" s="4"/>
      <c r="AG72">
        <f t="shared" si="19"/>
        <v>26</v>
      </c>
      <c r="AI72" s="4">
        <f t="shared" si="20"/>
        <v>35221.427906976751</v>
      </c>
      <c r="AN72" s="4">
        <f t="shared" si="21"/>
        <v>794.56046511627881</v>
      </c>
      <c r="AO72" s="4">
        <f t="shared" si="23"/>
        <v>35221.427906976751</v>
      </c>
      <c r="AP72" s="4">
        <f t="shared" si="22"/>
        <v>1063.2139534883722</v>
      </c>
      <c r="AQ72" s="4">
        <f t="shared" si="24"/>
        <v>28236.437209302319</v>
      </c>
    </row>
    <row r="73" spans="1:43" x14ac:dyDescent="0.25">
      <c r="A73" s="20">
        <f t="shared" si="27"/>
        <v>39149</v>
      </c>
      <c r="B73" s="71"/>
      <c r="C73" s="71"/>
      <c r="D73" s="15" t="str">
        <f t="shared" si="10"/>
        <v>US total</v>
      </c>
      <c r="E73" s="63">
        <v>10329.700000000001</v>
      </c>
      <c r="F73">
        <v>9442.6</v>
      </c>
      <c r="G73" s="34">
        <v>29682.2</v>
      </c>
      <c r="H73">
        <v>25209.7</v>
      </c>
      <c r="I73" s="4">
        <f t="shared" si="5"/>
        <v>40011.9</v>
      </c>
      <c r="J73" s="35">
        <f t="shared" si="5"/>
        <v>34652.300000000003</v>
      </c>
      <c r="K73" s="31">
        <f t="shared" si="6"/>
        <v>15.466794411914941</v>
      </c>
      <c r="L73" s="4">
        <f t="shared" ref="L73:L78" si="28">+I73-I72</f>
        <v>634</v>
      </c>
      <c r="M73">
        <f t="shared" si="26"/>
        <v>27</v>
      </c>
      <c r="V73" s="34">
        <v>26425.7</v>
      </c>
      <c r="X73">
        <v>35567.1</v>
      </c>
      <c r="AE73" s="4">
        <f t="shared" si="18"/>
        <v>794.56046511627881</v>
      </c>
      <c r="AF73" s="4"/>
      <c r="AG73">
        <f t="shared" si="19"/>
        <v>27</v>
      </c>
      <c r="AI73" s="4">
        <f t="shared" si="20"/>
        <v>36015.98837209303</v>
      </c>
      <c r="AN73" s="4">
        <f t="shared" si="21"/>
        <v>794.56046511627881</v>
      </c>
      <c r="AO73" s="4">
        <f t="shared" si="23"/>
        <v>36015.98837209303</v>
      </c>
      <c r="AP73" s="4">
        <f t="shared" si="22"/>
        <v>1063.2139534883725</v>
      </c>
      <c r="AQ73" s="4">
        <f t="shared" si="24"/>
        <v>29299.651162790691</v>
      </c>
    </row>
    <row r="74" spans="1:43" x14ac:dyDescent="0.25">
      <c r="A74" s="20">
        <f t="shared" si="27"/>
        <v>39156</v>
      </c>
      <c r="B74" s="71"/>
      <c r="C74" s="71"/>
      <c r="D74" s="15" t="str">
        <f t="shared" si="10"/>
        <v>US total</v>
      </c>
      <c r="E74" s="63">
        <v>10065.6</v>
      </c>
      <c r="F74">
        <v>9141.4</v>
      </c>
      <c r="G74" s="34">
        <v>30587.200000000001</v>
      </c>
      <c r="H74">
        <v>26413.8</v>
      </c>
      <c r="I74" s="4">
        <f t="shared" si="5"/>
        <v>40652.800000000003</v>
      </c>
      <c r="J74" s="35">
        <f t="shared" si="5"/>
        <v>35555.199999999997</v>
      </c>
      <c r="K74" s="31">
        <f t="shared" si="6"/>
        <v>14.337143371433726</v>
      </c>
      <c r="L74" s="4">
        <f t="shared" si="28"/>
        <v>640.90000000000146</v>
      </c>
      <c r="M74">
        <f t="shared" ref="M74:M79" si="29">+M73+1</f>
        <v>28</v>
      </c>
      <c r="O74" s="4">
        <f t="shared" ref="O74:O79" si="30">AVERAGE(L70:L73)</f>
        <v>737.85000000000036</v>
      </c>
      <c r="V74" s="34">
        <v>27320.9</v>
      </c>
      <c r="X74">
        <v>36605.9</v>
      </c>
      <c r="AE74" s="4">
        <f t="shared" si="18"/>
        <v>794.56046511627881</v>
      </c>
      <c r="AF74" s="4"/>
      <c r="AG74">
        <f t="shared" si="19"/>
        <v>28</v>
      </c>
      <c r="AI74" s="4">
        <f t="shared" si="20"/>
        <v>36810.54883720931</v>
      </c>
      <c r="AN74" s="4">
        <f t="shared" si="21"/>
        <v>794.56046511627881</v>
      </c>
      <c r="AO74" s="4">
        <f t="shared" si="23"/>
        <v>36810.54883720931</v>
      </c>
      <c r="AP74" s="4">
        <f t="shared" si="22"/>
        <v>1063.2139534883725</v>
      </c>
      <c r="AQ74" s="4">
        <f t="shared" si="24"/>
        <v>30362.865116279063</v>
      </c>
    </row>
    <row r="75" spans="1:43" x14ac:dyDescent="0.25">
      <c r="A75" s="20">
        <f t="shared" si="27"/>
        <v>39163</v>
      </c>
      <c r="B75" s="71"/>
      <c r="C75" s="71"/>
      <c r="D75" s="15" t="str">
        <f t="shared" si="10"/>
        <v>US total</v>
      </c>
      <c r="E75" s="63">
        <v>10042.6</v>
      </c>
      <c r="F75">
        <v>9285</v>
      </c>
      <c r="G75" s="34">
        <v>31733.7</v>
      </c>
      <c r="H75">
        <v>27309.1</v>
      </c>
      <c r="I75" s="4">
        <f t="shared" si="5"/>
        <v>41776.300000000003</v>
      </c>
      <c r="J75" s="35">
        <f t="shared" si="5"/>
        <v>36594.1</v>
      </c>
      <c r="K75" s="31">
        <f t="shared" si="6"/>
        <v>14.161299225831492</v>
      </c>
      <c r="L75" s="4">
        <f t="shared" si="28"/>
        <v>1123.5</v>
      </c>
      <c r="M75">
        <f t="shared" si="29"/>
        <v>29</v>
      </c>
      <c r="O75" s="4">
        <f t="shared" si="30"/>
        <v>695.32500000000073</v>
      </c>
      <c r="P75" s="5">
        <f t="shared" ref="P75:P84" si="31">+L75/O75</f>
        <v>1.6157911767878312</v>
      </c>
      <c r="V75" s="34">
        <v>28510.5</v>
      </c>
      <c r="X75">
        <v>37265.300000000003</v>
      </c>
      <c r="AE75" s="4">
        <f t="shared" si="18"/>
        <v>794.56046511627881</v>
      </c>
      <c r="AF75" s="4"/>
      <c r="AG75">
        <f t="shared" si="19"/>
        <v>29</v>
      </c>
      <c r="AI75" s="4">
        <f t="shared" si="20"/>
        <v>37605.109302325589</v>
      </c>
      <c r="AN75" s="4">
        <f t="shared" si="21"/>
        <v>794.56046511627869</v>
      </c>
      <c r="AO75" s="4">
        <f t="shared" si="23"/>
        <v>37605.109302325589</v>
      </c>
      <c r="AP75" s="4">
        <f t="shared" si="22"/>
        <v>1063.2139534883725</v>
      </c>
      <c r="AQ75" s="4">
        <f t="shared" si="24"/>
        <v>31426.079069767435</v>
      </c>
    </row>
    <row r="76" spans="1:43" x14ac:dyDescent="0.25">
      <c r="A76" s="20">
        <f t="shared" si="27"/>
        <v>39170</v>
      </c>
      <c r="B76" s="71"/>
      <c r="C76" s="71"/>
      <c r="D76" s="15" t="str">
        <f t="shared" si="10"/>
        <v>US total</v>
      </c>
      <c r="E76" s="63">
        <v>9655.9</v>
      </c>
      <c r="F76">
        <v>8754.7999999999993</v>
      </c>
      <c r="G76" s="34">
        <v>32670</v>
      </c>
      <c r="H76">
        <v>28498.6</v>
      </c>
      <c r="I76" s="4">
        <f t="shared" si="5"/>
        <v>42325.9</v>
      </c>
      <c r="J76" s="35">
        <f t="shared" si="5"/>
        <v>37253.399999999994</v>
      </c>
      <c r="K76" s="31">
        <f t="shared" si="6"/>
        <v>13.616206842865374</v>
      </c>
      <c r="L76" s="4">
        <f t="shared" si="28"/>
        <v>549.59999999999854</v>
      </c>
      <c r="M76">
        <f t="shared" si="29"/>
        <v>30</v>
      </c>
      <c r="O76" s="4">
        <f t="shared" si="30"/>
        <v>896.67500000000109</v>
      </c>
      <c r="P76" s="5">
        <f t="shared" si="31"/>
        <v>0.61293110658822636</v>
      </c>
      <c r="V76" s="34">
        <v>29392.6</v>
      </c>
      <c r="X76">
        <v>38080</v>
      </c>
      <c r="AE76" s="4">
        <f t="shared" si="18"/>
        <v>794.56046511627869</v>
      </c>
      <c r="AF76" s="4"/>
      <c r="AG76">
        <f t="shared" si="19"/>
        <v>30</v>
      </c>
      <c r="AI76" s="4">
        <f t="shared" si="20"/>
        <v>38399.669767441868</v>
      </c>
      <c r="AN76" s="4">
        <f t="shared" si="21"/>
        <v>794.56046511627869</v>
      </c>
      <c r="AO76" s="4">
        <f t="shared" si="23"/>
        <v>38399.669767441868</v>
      </c>
      <c r="AP76" s="4">
        <f t="shared" si="22"/>
        <v>1063.2139534883725</v>
      </c>
      <c r="AQ76" s="4">
        <f t="shared" si="24"/>
        <v>32489.293023255806</v>
      </c>
    </row>
    <row r="77" spans="1:43" x14ac:dyDescent="0.25">
      <c r="A77" s="20">
        <f t="shared" si="27"/>
        <v>39177</v>
      </c>
      <c r="B77" s="71"/>
      <c r="C77" s="71"/>
      <c r="D77" s="15" t="str">
        <f t="shared" si="10"/>
        <v>US total</v>
      </c>
      <c r="E77">
        <v>10246.5</v>
      </c>
      <c r="F77">
        <v>8687.4</v>
      </c>
      <c r="G77">
        <v>33405</v>
      </c>
      <c r="H77">
        <v>29380.7</v>
      </c>
      <c r="I77" s="4">
        <f t="shared" ref="I77:J79" si="32">+E77+G77</f>
        <v>43651.5</v>
      </c>
      <c r="J77" s="35">
        <f t="shared" si="32"/>
        <v>38068.1</v>
      </c>
      <c r="K77" s="31">
        <f t="shared" si="6"/>
        <v>14.666873313876971</v>
      </c>
      <c r="L77" s="4">
        <f t="shared" si="28"/>
        <v>1325.5999999999985</v>
      </c>
      <c r="M77">
        <f t="shared" si="29"/>
        <v>31</v>
      </c>
      <c r="O77" s="4">
        <f t="shared" si="30"/>
        <v>737</v>
      </c>
      <c r="P77" s="5">
        <f t="shared" si="31"/>
        <v>1.7986431478968772</v>
      </c>
      <c r="V77" s="34">
        <v>30294.7</v>
      </c>
      <c r="X77">
        <v>39183.1</v>
      </c>
      <c r="AE77" s="4">
        <f t="shared" si="18"/>
        <v>794.56046511627869</v>
      </c>
      <c r="AF77" s="4"/>
      <c r="AG77">
        <f t="shared" si="19"/>
        <v>31</v>
      </c>
      <c r="AI77" s="4">
        <f t="shared" si="20"/>
        <v>39194.230232558148</v>
      </c>
      <c r="AN77" s="4">
        <f t="shared" si="21"/>
        <v>794.56046511627869</v>
      </c>
      <c r="AO77" s="4">
        <f t="shared" si="23"/>
        <v>39194.230232558148</v>
      </c>
      <c r="AP77" s="4">
        <f t="shared" si="22"/>
        <v>1063.2139534883722</v>
      </c>
      <c r="AQ77" s="4">
        <f t="shared" si="24"/>
        <v>33552.506976744182</v>
      </c>
    </row>
    <row r="78" spans="1:43" x14ac:dyDescent="0.25">
      <c r="A78" s="20">
        <f t="shared" si="27"/>
        <v>39184</v>
      </c>
      <c r="B78" s="71"/>
      <c r="C78" s="71"/>
      <c r="D78" s="15" t="str">
        <f t="shared" si="10"/>
        <v>US total</v>
      </c>
      <c r="E78">
        <v>10152.299999999999</v>
      </c>
      <c r="F78">
        <v>8888.4</v>
      </c>
      <c r="G78">
        <v>34302.400000000001</v>
      </c>
      <c r="H78">
        <v>30282.2</v>
      </c>
      <c r="I78" s="4">
        <f t="shared" si="32"/>
        <v>44454.7</v>
      </c>
      <c r="J78" s="35">
        <f t="shared" si="32"/>
        <v>39170.6</v>
      </c>
      <c r="K78" s="31">
        <f t="shared" si="6"/>
        <v>13.489964412084564</v>
      </c>
      <c r="L78" s="4">
        <f t="shared" si="28"/>
        <v>803.19999999999709</v>
      </c>
      <c r="M78">
        <f t="shared" si="29"/>
        <v>32</v>
      </c>
      <c r="O78" s="4">
        <f t="shared" si="30"/>
        <v>909.89999999999964</v>
      </c>
      <c r="P78" s="5">
        <f t="shared" si="31"/>
        <v>0.8827343664138888</v>
      </c>
      <c r="V78">
        <v>31477.3</v>
      </c>
      <c r="X78">
        <v>39952.699999999997</v>
      </c>
      <c r="AE78" s="4">
        <f t="shared" si="18"/>
        <v>794.56046511627869</v>
      </c>
      <c r="AF78" s="4"/>
      <c r="AG78">
        <f t="shared" si="19"/>
        <v>32</v>
      </c>
      <c r="AI78" s="4">
        <f t="shared" si="20"/>
        <v>39988.790697674427</v>
      </c>
      <c r="AN78" s="4">
        <f t="shared" si="21"/>
        <v>794.56046511627869</v>
      </c>
      <c r="AO78" s="4">
        <f t="shared" si="23"/>
        <v>39988.790697674427</v>
      </c>
      <c r="AP78" s="4">
        <f t="shared" si="22"/>
        <v>1063.2139534883722</v>
      </c>
      <c r="AQ78" s="4">
        <f t="shared" si="24"/>
        <v>34615.720930232557</v>
      </c>
    </row>
    <row r="79" spans="1:43" x14ac:dyDescent="0.25">
      <c r="A79" s="20">
        <f t="shared" si="27"/>
        <v>39191</v>
      </c>
      <c r="B79" s="71"/>
      <c r="C79" s="71"/>
      <c r="D79" s="15" t="str">
        <f t="shared" si="10"/>
        <v>US total</v>
      </c>
      <c r="E79">
        <v>10350.4</v>
      </c>
      <c r="F79">
        <v>8475.4</v>
      </c>
      <c r="G79">
        <v>35209.9</v>
      </c>
      <c r="H79">
        <v>31477.7</v>
      </c>
      <c r="I79" s="4">
        <f t="shared" si="32"/>
        <v>45560.3</v>
      </c>
      <c r="J79" s="35">
        <f t="shared" si="32"/>
        <v>39953.1</v>
      </c>
      <c r="K79" s="31">
        <f t="shared" ref="K79:K96" si="33">+(I79/J79-1)*100</f>
        <v>14.034455398955291</v>
      </c>
      <c r="L79" s="4">
        <f t="shared" ref="L79:L84" si="34">+I79-I78</f>
        <v>1105.6000000000058</v>
      </c>
      <c r="M79">
        <f t="shared" si="29"/>
        <v>33</v>
      </c>
      <c r="O79" s="4">
        <f t="shared" si="30"/>
        <v>950.47499999999854</v>
      </c>
      <c r="P79" s="5">
        <f t="shared" si="31"/>
        <v>1.1632078697493438</v>
      </c>
      <c r="V79" s="34">
        <v>32532.400000000001</v>
      </c>
      <c r="X79">
        <v>41234.9</v>
      </c>
      <c r="AE79" s="4">
        <f t="shared" si="18"/>
        <v>794.56046511627869</v>
      </c>
      <c r="AF79" s="4"/>
      <c r="AG79">
        <f t="shared" si="19"/>
        <v>33</v>
      </c>
      <c r="AI79" s="4">
        <f t="shared" si="20"/>
        <v>40783.351162790706</v>
      </c>
      <c r="AN79" s="4">
        <f t="shared" si="21"/>
        <v>794.56046511627858</v>
      </c>
      <c r="AO79" s="4">
        <f t="shared" si="23"/>
        <v>40783.351162790706</v>
      </c>
      <c r="AP79" s="4">
        <f t="shared" si="22"/>
        <v>1063.213953488372</v>
      </c>
      <c r="AQ79" s="4">
        <f t="shared" si="24"/>
        <v>35678.934883720933</v>
      </c>
    </row>
    <row r="80" spans="1:43" x14ac:dyDescent="0.25">
      <c r="A80" s="20">
        <f t="shared" si="27"/>
        <v>39198</v>
      </c>
      <c r="B80" s="71"/>
      <c r="C80" s="71"/>
      <c r="D80" s="15" t="str">
        <f t="shared" si="10"/>
        <v>US total</v>
      </c>
      <c r="E80">
        <v>9879.7000000000007</v>
      </c>
      <c r="F80">
        <v>8702.5</v>
      </c>
      <c r="G80">
        <v>36295.599999999999</v>
      </c>
      <c r="H80">
        <v>32532.799999999999</v>
      </c>
      <c r="I80" s="4">
        <f t="shared" ref="I80:J167" si="35">+E80+G80</f>
        <v>46175.3</v>
      </c>
      <c r="J80" s="35">
        <f t="shared" si="35"/>
        <v>41235.300000000003</v>
      </c>
      <c r="K80" s="31">
        <f t="shared" si="33"/>
        <v>11.980026821679491</v>
      </c>
      <c r="L80" s="4">
        <f t="shared" si="34"/>
        <v>615</v>
      </c>
      <c r="M80">
        <f t="shared" ref="M80:M87" si="36">+M79+1</f>
        <v>34</v>
      </c>
      <c r="O80" s="4">
        <f t="shared" ref="O80:O85" si="37">AVERAGE(L76:L79)</f>
        <v>946</v>
      </c>
      <c r="P80" s="5">
        <f t="shared" si="31"/>
        <v>0.65010570824524316</v>
      </c>
      <c r="Q80" s="70" t="s">
        <v>57</v>
      </c>
      <c r="V80" s="34">
        <v>33637.1</v>
      </c>
      <c r="X80">
        <v>42340</v>
      </c>
      <c r="AE80" s="4">
        <f t="shared" si="18"/>
        <v>794.56046511627858</v>
      </c>
      <c r="AF80" s="4"/>
      <c r="AG80">
        <f t="shared" si="19"/>
        <v>34</v>
      </c>
      <c r="AI80" s="4">
        <f t="shared" si="20"/>
        <v>41577.911627906986</v>
      </c>
      <c r="AN80" s="4">
        <f t="shared" si="21"/>
        <v>794.56046511627858</v>
      </c>
      <c r="AO80" s="4">
        <f t="shared" si="23"/>
        <v>41577.911627906986</v>
      </c>
      <c r="AP80" s="4">
        <f t="shared" si="22"/>
        <v>1063.2139534883718</v>
      </c>
      <c r="AQ80" s="4">
        <f t="shared" si="24"/>
        <v>36742.148837209308</v>
      </c>
    </row>
    <row r="81" spans="1:43" x14ac:dyDescent="0.25">
      <c r="A81" s="20">
        <f t="shared" si="27"/>
        <v>39205</v>
      </c>
      <c r="B81" s="71"/>
      <c r="C81" s="71"/>
      <c r="D81" s="15" t="str">
        <f t="shared" si="10"/>
        <v>US total</v>
      </c>
      <c r="E81">
        <v>9467.7000000000007</v>
      </c>
      <c r="F81">
        <v>8702.9</v>
      </c>
      <c r="G81">
        <v>37161.699999999997</v>
      </c>
      <c r="H81">
        <v>33637.5</v>
      </c>
      <c r="I81" s="4">
        <f t="shared" si="35"/>
        <v>46629.399999999994</v>
      </c>
      <c r="J81" s="35">
        <f t="shared" si="35"/>
        <v>42340.4</v>
      </c>
      <c r="K81" s="31">
        <f t="shared" si="33"/>
        <v>10.129805103400047</v>
      </c>
      <c r="L81" s="4">
        <f t="shared" si="34"/>
        <v>454.09999999999127</v>
      </c>
      <c r="M81">
        <f t="shared" si="36"/>
        <v>35</v>
      </c>
      <c r="O81" s="4">
        <f t="shared" si="37"/>
        <v>962.35000000000036</v>
      </c>
      <c r="P81" s="5">
        <f t="shared" si="31"/>
        <v>0.47186574531094833</v>
      </c>
      <c r="Q81" s="63">
        <v>1653.8</v>
      </c>
      <c r="V81" s="34">
        <v>34723</v>
      </c>
      <c r="X81">
        <v>43879.9</v>
      </c>
      <c r="AE81" s="4">
        <f t="shared" si="18"/>
        <v>794.56046511627858</v>
      </c>
      <c r="AF81" s="4"/>
      <c r="AG81">
        <f t="shared" si="19"/>
        <v>35</v>
      </c>
      <c r="AI81" s="4">
        <f t="shared" si="20"/>
        <v>42372.472093023265</v>
      </c>
      <c r="AN81" s="4">
        <f t="shared" si="21"/>
        <v>794.56046511627846</v>
      </c>
      <c r="AO81" s="4">
        <f t="shared" si="23"/>
        <v>42372.472093023265</v>
      </c>
      <c r="AP81" s="4">
        <f t="shared" si="22"/>
        <v>1063.213953488372</v>
      </c>
      <c r="AQ81" s="4">
        <f t="shared" si="24"/>
        <v>37805.362790697676</v>
      </c>
    </row>
    <row r="82" spans="1:43" x14ac:dyDescent="0.25">
      <c r="A82" s="20">
        <f t="shared" si="27"/>
        <v>39212</v>
      </c>
      <c r="B82" s="71"/>
      <c r="C82" s="71"/>
      <c r="D82" s="15" t="str">
        <f t="shared" si="10"/>
        <v>US total</v>
      </c>
      <c r="E82">
        <v>9834.7999999999993</v>
      </c>
      <c r="F82">
        <v>9156.9</v>
      </c>
      <c r="G82">
        <v>38308.5</v>
      </c>
      <c r="H82">
        <v>34723.4</v>
      </c>
      <c r="I82" s="4">
        <f t="shared" si="35"/>
        <v>48143.3</v>
      </c>
      <c r="J82" s="35">
        <f t="shared" si="35"/>
        <v>43880.3</v>
      </c>
      <c r="K82" s="31">
        <f t="shared" si="33"/>
        <v>9.7150657584383016</v>
      </c>
      <c r="L82" s="4">
        <f t="shared" si="34"/>
        <v>1513.9000000000087</v>
      </c>
      <c r="M82">
        <f t="shared" si="36"/>
        <v>36</v>
      </c>
      <c r="O82" s="4">
        <f t="shared" si="37"/>
        <v>744.47499999999854</v>
      </c>
      <c r="P82" s="5">
        <f t="shared" si="31"/>
        <v>2.0335135498170009</v>
      </c>
      <c r="Q82">
        <v>2001.8</v>
      </c>
      <c r="V82" s="34">
        <v>36200.800000000003</v>
      </c>
      <c r="X82">
        <v>45016.3</v>
      </c>
      <c r="AE82" s="4">
        <f t="shared" si="18"/>
        <v>794.56046511627846</v>
      </c>
      <c r="AF82" s="4"/>
      <c r="AG82">
        <f t="shared" si="19"/>
        <v>36</v>
      </c>
      <c r="AI82" s="4">
        <f t="shared" si="20"/>
        <v>43167.032558139545</v>
      </c>
      <c r="AN82" s="4">
        <f t="shared" si="21"/>
        <v>794.56046511627846</v>
      </c>
      <c r="AO82" s="4">
        <f t="shared" si="23"/>
        <v>43167.032558139545</v>
      </c>
      <c r="AP82" s="4">
        <f t="shared" si="22"/>
        <v>1063.2139534883718</v>
      </c>
      <c r="AQ82" s="4">
        <f t="shared" si="24"/>
        <v>38868.576744186052</v>
      </c>
    </row>
    <row r="83" spans="1:43" x14ac:dyDescent="0.25">
      <c r="A83" s="20">
        <f t="shared" si="27"/>
        <v>39219</v>
      </c>
      <c r="B83" s="71"/>
      <c r="C83" s="71"/>
      <c r="D83" s="15" t="str">
        <f t="shared" si="10"/>
        <v>US total</v>
      </c>
      <c r="E83">
        <v>9682.1</v>
      </c>
      <c r="F83">
        <v>8815.5</v>
      </c>
      <c r="G83">
        <v>39119.4</v>
      </c>
      <c r="H83">
        <v>36201.199999999997</v>
      </c>
      <c r="I83" s="4">
        <f t="shared" si="35"/>
        <v>48801.5</v>
      </c>
      <c r="J83" s="35">
        <f t="shared" si="35"/>
        <v>45016.7</v>
      </c>
      <c r="K83" s="31">
        <f t="shared" si="33"/>
        <v>8.4075465327311925</v>
      </c>
      <c r="L83" s="4">
        <f t="shared" si="34"/>
        <v>658.19999999999709</v>
      </c>
      <c r="M83">
        <f t="shared" si="36"/>
        <v>37</v>
      </c>
      <c r="O83" s="4">
        <f t="shared" si="37"/>
        <v>922.15000000000146</v>
      </c>
      <c r="P83" s="5">
        <f t="shared" si="31"/>
        <v>0.71376674076885116</v>
      </c>
      <c r="Q83">
        <v>2414.9</v>
      </c>
      <c r="V83" s="34">
        <v>37454.9</v>
      </c>
      <c r="X83">
        <v>46172.3</v>
      </c>
      <c r="AE83" s="4">
        <f t="shared" si="18"/>
        <v>794.56046511627846</v>
      </c>
      <c r="AF83" s="4"/>
      <c r="AG83">
        <f t="shared" si="19"/>
        <v>37</v>
      </c>
      <c r="AI83" s="4">
        <f t="shared" si="20"/>
        <v>43961.593023255824</v>
      </c>
      <c r="AN83" s="4">
        <f t="shared" si="21"/>
        <v>794.56046511627835</v>
      </c>
      <c r="AO83" s="4">
        <f t="shared" si="23"/>
        <v>43961.593023255824</v>
      </c>
      <c r="AP83" s="4">
        <f t="shared" si="22"/>
        <v>1063.2139534883715</v>
      </c>
      <c r="AQ83" s="4">
        <f t="shared" si="24"/>
        <v>39931.790697674427</v>
      </c>
    </row>
    <row r="84" spans="1:43" x14ac:dyDescent="0.25">
      <c r="A84" s="20">
        <f t="shared" si="27"/>
        <v>39226</v>
      </c>
      <c r="B84" s="71"/>
      <c r="C84" s="71"/>
      <c r="D84" s="15" t="str">
        <f t="shared" ref="D84:D90" si="38">+D83</f>
        <v>US total</v>
      </c>
      <c r="E84">
        <v>9268.2000000000007</v>
      </c>
      <c r="F84">
        <v>8717.4</v>
      </c>
      <c r="G84">
        <v>40209.4</v>
      </c>
      <c r="H84">
        <v>37455.4</v>
      </c>
      <c r="I84" s="4">
        <f t="shared" si="35"/>
        <v>49477.600000000006</v>
      </c>
      <c r="J84" s="35">
        <f t="shared" si="35"/>
        <v>46172.800000000003</v>
      </c>
      <c r="K84" s="31">
        <f t="shared" si="33"/>
        <v>7.1574606694850607</v>
      </c>
      <c r="L84" s="4">
        <f t="shared" si="34"/>
        <v>676.10000000000582</v>
      </c>
      <c r="M84">
        <f t="shared" si="36"/>
        <v>38</v>
      </c>
      <c r="O84" s="4">
        <f t="shared" si="37"/>
        <v>810.29999999999927</v>
      </c>
      <c r="P84" s="5">
        <f t="shared" si="31"/>
        <v>0.83438232753302044</v>
      </c>
      <c r="Q84" s="72">
        <v>3104.4</v>
      </c>
      <c r="V84" s="34">
        <v>38619.199999999997</v>
      </c>
      <c r="X84">
        <v>47039.6</v>
      </c>
      <c r="AE84" s="4">
        <f t="shared" si="18"/>
        <v>794.56046511627835</v>
      </c>
      <c r="AF84" s="4"/>
      <c r="AG84">
        <f t="shared" si="19"/>
        <v>38</v>
      </c>
      <c r="AI84" s="4">
        <f t="shared" si="20"/>
        <v>44756.153488372103</v>
      </c>
      <c r="AN84" s="4">
        <f t="shared" si="21"/>
        <v>794.56046511627835</v>
      </c>
      <c r="AO84" s="4">
        <f t="shared" si="23"/>
        <v>44756.153488372103</v>
      </c>
      <c r="AP84" s="4">
        <f t="shared" si="22"/>
        <v>1063.2139534883718</v>
      </c>
      <c r="AQ84" s="4">
        <f t="shared" si="24"/>
        <v>40995.004651162795</v>
      </c>
    </row>
    <row r="85" spans="1:43" x14ac:dyDescent="0.25">
      <c r="A85" s="20">
        <f t="shared" si="27"/>
        <v>39233</v>
      </c>
      <c r="B85" s="71"/>
      <c r="C85" s="71"/>
      <c r="D85" s="15" t="str">
        <f t="shared" si="38"/>
        <v>US total</v>
      </c>
      <c r="E85">
        <v>8642.2999999999993</v>
      </c>
      <c r="F85">
        <v>8420.4</v>
      </c>
      <c r="G85">
        <v>41211.1</v>
      </c>
      <c r="H85">
        <v>38619.599999999999</v>
      </c>
      <c r="I85" s="4">
        <f t="shared" si="35"/>
        <v>49853.399999999994</v>
      </c>
      <c r="J85" s="35">
        <f t="shared" si="35"/>
        <v>47040</v>
      </c>
      <c r="K85" s="31">
        <f t="shared" si="33"/>
        <v>5.9808673469387674</v>
      </c>
      <c r="L85" s="4">
        <f t="shared" ref="L85:L90" si="39">+I85-I84</f>
        <v>375.79999999998836</v>
      </c>
      <c r="M85">
        <f t="shared" si="36"/>
        <v>39</v>
      </c>
      <c r="O85" s="4">
        <f t="shared" si="37"/>
        <v>825.57500000000073</v>
      </c>
      <c r="P85" s="5">
        <f t="shared" ref="P85:P90" si="40">+L85/O85</f>
        <v>0.45519789237802505</v>
      </c>
      <c r="Q85">
        <v>3297.8</v>
      </c>
      <c r="V85" s="34">
        <v>39758.400000000001</v>
      </c>
      <c r="X85">
        <v>48504.3</v>
      </c>
      <c r="AE85" s="4">
        <f t="shared" si="18"/>
        <v>794.56046511627835</v>
      </c>
      <c r="AF85" s="4"/>
      <c r="AG85">
        <f t="shared" si="19"/>
        <v>39</v>
      </c>
      <c r="AI85" s="4">
        <f t="shared" si="20"/>
        <v>45550.713953488383</v>
      </c>
      <c r="AN85" s="4">
        <f t="shared" si="21"/>
        <v>794.56046511627824</v>
      </c>
      <c r="AO85" s="4">
        <f t="shared" si="23"/>
        <v>45550.713953488383</v>
      </c>
      <c r="AP85" s="4">
        <f t="shared" si="22"/>
        <v>1063.213953488372</v>
      </c>
      <c r="AQ85" s="4">
        <f t="shared" si="24"/>
        <v>42058.218604651163</v>
      </c>
    </row>
    <row r="86" spans="1:43" x14ac:dyDescent="0.25">
      <c r="A86" s="20">
        <f t="shared" si="27"/>
        <v>39240</v>
      </c>
      <c r="B86" s="71"/>
      <c r="C86" s="71"/>
      <c r="D86" s="15" t="str">
        <f t="shared" si="38"/>
        <v>US total</v>
      </c>
      <c r="E86">
        <v>8343.1</v>
      </c>
      <c r="F86">
        <v>8745.9</v>
      </c>
      <c r="G86">
        <v>42042.2</v>
      </c>
      <c r="H86">
        <v>39758.800000000003</v>
      </c>
      <c r="I86" s="4">
        <f t="shared" si="35"/>
        <v>50385.299999999996</v>
      </c>
      <c r="J86" s="35">
        <f t="shared" si="35"/>
        <v>48504.700000000004</v>
      </c>
      <c r="K86" s="31">
        <f t="shared" si="33"/>
        <v>3.877150049376632</v>
      </c>
      <c r="L86" s="4">
        <f t="shared" si="39"/>
        <v>531.90000000000146</v>
      </c>
      <c r="M86">
        <f t="shared" si="36"/>
        <v>40</v>
      </c>
      <c r="O86" s="4">
        <f t="shared" ref="O86:O91" si="41">AVERAGE(L82:L85)</f>
        <v>806</v>
      </c>
      <c r="P86" s="5">
        <f t="shared" si="40"/>
        <v>0.65992555831265687</v>
      </c>
      <c r="Q86">
        <v>3352.6</v>
      </c>
      <c r="V86" s="34">
        <v>41042.199999999997</v>
      </c>
      <c r="X86">
        <v>50079.5</v>
      </c>
      <c r="AE86" s="4">
        <f t="shared" si="18"/>
        <v>794.56046511627824</v>
      </c>
      <c r="AF86" s="4"/>
      <c r="AG86">
        <f t="shared" si="19"/>
        <v>40</v>
      </c>
      <c r="AI86" s="4">
        <f t="shared" si="20"/>
        <v>46345.274418604662</v>
      </c>
      <c r="AN86" s="4">
        <f t="shared" si="21"/>
        <v>794.56046511627812</v>
      </c>
      <c r="AO86" s="4">
        <f t="shared" si="23"/>
        <v>46345.274418604662</v>
      </c>
      <c r="AP86" s="4">
        <f t="shared" si="22"/>
        <v>1063.2139534883718</v>
      </c>
      <c r="AQ86" s="4">
        <f t="shared" si="24"/>
        <v>43121.432558139539</v>
      </c>
    </row>
    <row r="87" spans="1:43" x14ac:dyDescent="0.25">
      <c r="A87" s="20">
        <f t="shared" si="27"/>
        <v>39247</v>
      </c>
      <c r="B87" s="71"/>
      <c r="C87" s="71"/>
      <c r="D87" s="15" t="str">
        <f t="shared" si="38"/>
        <v>US total</v>
      </c>
      <c r="E87">
        <v>8273.7000000000007</v>
      </c>
      <c r="F87">
        <v>9037.2999999999993</v>
      </c>
      <c r="G87">
        <v>42933.2</v>
      </c>
      <c r="H87">
        <v>41042.6</v>
      </c>
      <c r="I87" s="4">
        <f t="shared" si="35"/>
        <v>51206.899999999994</v>
      </c>
      <c r="J87" s="35">
        <f t="shared" si="35"/>
        <v>50079.899999999994</v>
      </c>
      <c r="K87" s="31">
        <f t="shared" si="33"/>
        <v>2.2504038546402816</v>
      </c>
      <c r="L87" s="4">
        <f t="shared" si="39"/>
        <v>821.59999999999854</v>
      </c>
      <c r="M87">
        <f t="shared" si="36"/>
        <v>41</v>
      </c>
      <c r="O87" s="4">
        <f t="shared" si="41"/>
        <v>560.49999999999818</v>
      </c>
      <c r="P87" s="5">
        <f t="shared" si="40"/>
        <v>1.4658340767172189</v>
      </c>
      <c r="Q87">
        <v>3514.2</v>
      </c>
      <c r="V87" s="34">
        <v>42219.8</v>
      </c>
      <c r="X87">
        <v>51433.3</v>
      </c>
      <c r="AE87" s="4">
        <f t="shared" si="18"/>
        <v>794.56046511627812</v>
      </c>
      <c r="AF87" s="4"/>
      <c r="AG87">
        <f t="shared" si="19"/>
        <v>41</v>
      </c>
      <c r="AI87" s="4">
        <f t="shared" si="20"/>
        <v>47139.834883720941</v>
      </c>
      <c r="AN87" s="4">
        <f t="shared" si="21"/>
        <v>794.56046511627801</v>
      </c>
      <c r="AO87" s="4">
        <f t="shared" si="23"/>
        <v>47139.834883720941</v>
      </c>
      <c r="AP87" s="4">
        <f t="shared" si="22"/>
        <v>1063.2139534883715</v>
      </c>
      <c r="AQ87" s="4">
        <f t="shared" si="24"/>
        <v>44184.646511627914</v>
      </c>
    </row>
    <row r="88" spans="1:43" x14ac:dyDescent="0.25">
      <c r="A88" s="20">
        <f t="shared" si="27"/>
        <v>39254</v>
      </c>
      <c r="B88" s="71"/>
      <c r="C88" s="71"/>
      <c r="D88" s="15" t="str">
        <f t="shared" si="38"/>
        <v>US total</v>
      </c>
      <c r="E88">
        <v>8170.7</v>
      </c>
      <c r="F88">
        <v>9213.5</v>
      </c>
      <c r="G88">
        <v>43788.9</v>
      </c>
      <c r="H88">
        <v>42220.2</v>
      </c>
      <c r="I88" s="4">
        <f t="shared" si="35"/>
        <v>51959.6</v>
      </c>
      <c r="J88" s="35">
        <f t="shared" si="35"/>
        <v>51433.7</v>
      </c>
      <c r="K88" s="31">
        <f t="shared" si="33"/>
        <v>1.0224813692190082</v>
      </c>
      <c r="L88" s="4">
        <f t="shared" si="39"/>
        <v>752.70000000000437</v>
      </c>
      <c r="M88">
        <f t="shared" ref="M88:M95" si="42">+M87+1</f>
        <v>42</v>
      </c>
      <c r="O88" s="4">
        <f t="shared" si="41"/>
        <v>601.34999999999854</v>
      </c>
      <c r="P88" s="5">
        <f t="shared" si="40"/>
        <v>1.2516837116488004</v>
      </c>
      <c r="Q88">
        <v>3740.3</v>
      </c>
      <c r="V88" s="34">
        <v>43249.2</v>
      </c>
      <c r="X88">
        <v>52249</v>
      </c>
      <c r="AE88" s="4">
        <f t="shared" si="18"/>
        <v>794.56046511627801</v>
      </c>
      <c r="AF88" s="4"/>
      <c r="AG88">
        <f t="shared" si="19"/>
        <v>42</v>
      </c>
      <c r="AI88" s="4">
        <f t="shared" si="20"/>
        <v>47934.395348837221</v>
      </c>
      <c r="AN88" s="4">
        <f t="shared" si="21"/>
        <v>794.5604651162779</v>
      </c>
      <c r="AO88" s="4">
        <f t="shared" si="23"/>
        <v>47934.395348837221</v>
      </c>
      <c r="AP88" s="4">
        <f t="shared" si="22"/>
        <v>1063.2139534883718</v>
      </c>
      <c r="AQ88" s="4">
        <f t="shared" si="24"/>
        <v>45247.860465116282</v>
      </c>
    </row>
    <row r="89" spans="1:43" x14ac:dyDescent="0.25">
      <c r="A89" s="20">
        <f t="shared" si="27"/>
        <v>39261</v>
      </c>
      <c r="B89" s="71"/>
      <c r="C89" s="71"/>
      <c r="D89" s="15" t="str">
        <f t="shared" si="38"/>
        <v>US total</v>
      </c>
      <c r="E89">
        <v>8377.6</v>
      </c>
      <c r="F89">
        <v>8999.7999999999993</v>
      </c>
      <c r="G89">
        <v>44649.8</v>
      </c>
      <c r="H89">
        <v>43223.199999999997</v>
      </c>
      <c r="I89" s="4">
        <f t="shared" si="35"/>
        <v>53027.4</v>
      </c>
      <c r="J89" s="35">
        <f t="shared" si="35"/>
        <v>52223</v>
      </c>
      <c r="K89" s="31">
        <f t="shared" si="33"/>
        <v>1.5403174846332135</v>
      </c>
      <c r="L89" s="4">
        <f t="shared" si="39"/>
        <v>1067.8000000000029</v>
      </c>
      <c r="M89">
        <f t="shared" si="42"/>
        <v>43</v>
      </c>
      <c r="O89" s="4">
        <f t="shared" si="41"/>
        <v>620.49999999999818</v>
      </c>
      <c r="P89" s="5">
        <f t="shared" si="40"/>
        <v>1.7208702659145947</v>
      </c>
      <c r="Q89">
        <v>4626.3</v>
      </c>
      <c r="V89" s="34">
        <v>44156.6</v>
      </c>
      <c r="X89">
        <v>52812.2</v>
      </c>
      <c r="AE89" s="4">
        <f t="shared" si="18"/>
        <v>794.5604651162779</v>
      </c>
      <c r="AF89" s="4"/>
      <c r="AG89">
        <f t="shared" si="19"/>
        <v>43</v>
      </c>
      <c r="AI89" s="4">
        <f t="shared" si="20"/>
        <v>48728.9558139535</v>
      </c>
      <c r="AN89" s="4">
        <f t="shared" si="21"/>
        <v>794.56046511627778</v>
      </c>
      <c r="AO89" s="4">
        <f t="shared" si="23"/>
        <v>48728.9558139535</v>
      </c>
      <c r="AP89" s="4">
        <f t="shared" si="22"/>
        <v>1063.2139534883722</v>
      </c>
      <c r="AQ89" s="4">
        <f t="shared" si="24"/>
        <v>46311.07441860465</v>
      </c>
    </row>
    <row r="90" spans="1:43" x14ac:dyDescent="0.25">
      <c r="A90" s="20">
        <f t="shared" si="27"/>
        <v>39268</v>
      </c>
      <c r="B90" s="71"/>
      <c r="C90" s="71"/>
      <c r="D90" s="15" t="str">
        <f t="shared" si="38"/>
        <v>US total</v>
      </c>
      <c r="E90">
        <v>8572.7999999999993</v>
      </c>
      <c r="F90">
        <v>8655.6</v>
      </c>
      <c r="G90">
        <v>45462.400000000001</v>
      </c>
      <c r="H90">
        <v>44156.6</v>
      </c>
      <c r="I90" s="4">
        <f t="shared" si="35"/>
        <v>54035.199999999997</v>
      </c>
      <c r="J90" s="35">
        <f t="shared" si="35"/>
        <v>52812.2</v>
      </c>
      <c r="K90" s="31">
        <f t="shared" si="33"/>
        <v>2.3157527995425253</v>
      </c>
      <c r="L90" s="4">
        <f t="shared" si="39"/>
        <v>1007.7999999999956</v>
      </c>
      <c r="M90">
        <f t="shared" si="42"/>
        <v>44</v>
      </c>
      <c r="O90" s="4">
        <f t="shared" si="41"/>
        <v>793.50000000000182</v>
      </c>
      <c r="P90" s="5">
        <f t="shared" si="40"/>
        <v>1.2700693131694938</v>
      </c>
      <c r="Q90">
        <v>5119.7</v>
      </c>
      <c r="V90" s="34">
        <v>45358.3</v>
      </c>
      <c r="X90">
        <v>53152.3</v>
      </c>
      <c r="AE90" s="4">
        <f t="shared" si="18"/>
        <v>794.56046511627778</v>
      </c>
      <c r="AF90" s="4"/>
      <c r="AG90">
        <f t="shared" si="19"/>
        <v>44</v>
      </c>
      <c r="AI90" s="4">
        <f t="shared" si="20"/>
        <v>49523.51627906978</v>
      </c>
      <c r="AN90" s="4">
        <f t="shared" ref="AN90:AN97" si="43">(AH$55-AO90)/(52-AG90)</f>
        <v>794.56046511627756</v>
      </c>
      <c r="AO90" s="4">
        <f t="shared" ref="AO90:AO98" si="44">+AO89+AN89</f>
        <v>49523.51627906978</v>
      </c>
      <c r="AP90" s="4">
        <f t="shared" si="22"/>
        <v>1063.2139534883718</v>
      </c>
      <c r="AQ90" s="4">
        <f t="shared" si="24"/>
        <v>47374.288372093026</v>
      </c>
    </row>
    <row r="91" spans="1:43" x14ac:dyDescent="0.25">
      <c r="A91" s="20">
        <f t="shared" si="27"/>
        <v>39275</v>
      </c>
      <c r="B91" s="71"/>
      <c r="C91" s="71"/>
      <c r="D91" s="15" t="str">
        <f t="shared" ref="D91:D96" si="45">+D90</f>
        <v>US total</v>
      </c>
      <c r="E91">
        <v>8041.4</v>
      </c>
      <c r="F91">
        <v>7794</v>
      </c>
      <c r="G91">
        <v>46663.4</v>
      </c>
      <c r="H91">
        <v>45355</v>
      </c>
      <c r="I91" s="4">
        <f t="shared" si="35"/>
        <v>54704.800000000003</v>
      </c>
      <c r="J91" s="35">
        <f t="shared" si="35"/>
        <v>53149</v>
      </c>
      <c r="K91" s="31">
        <f t="shared" si="33"/>
        <v>2.9272422811341681</v>
      </c>
      <c r="L91" s="4">
        <f t="shared" ref="L91:L96" si="46">+I91-I90</f>
        <v>669.60000000000582</v>
      </c>
      <c r="M91">
        <f t="shared" si="42"/>
        <v>45</v>
      </c>
      <c r="O91" s="4">
        <f t="shared" si="41"/>
        <v>912.47500000000036</v>
      </c>
      <c r="P91" s="5">
        <f t="shared" ref="P91:P96" si="47">+L91/O91</f>
        <v>0.73382832406367904</v>
      </c>
      <c r="Q91">
        <v>5617.9</v>
      </c>
      <c r="V91" s="34">
        <v>46741</v>
      </c>
      <c r="X91">
        <v>54128.1</v>
      </c>
      <c r="AE91" s="4">
        <f t="shared" si="18"/>
        <v>794.56046511627756</v>
      </c>
      <c r="AF91" s="4"/>
      <c r="AG91">
        <f t="shared" si="19"/>
        <v>45</v>
      </c>
      <c r="AI91" s="4">
        <f t="shared" si="20"/>
        <v>50318.076744186059</v>
      </c>
      <c r="AN91" s="4">
        <f t="shared" si="43"/>
        <v>794.56046511627733</v>
      </c>
      <c r="AO91" s="4">
        <f t="shared" si="44"/>
        <v>50318.076744186059</v>
      </c>
      <c r="AP91" s="4">
        <f t="shared" si="22"/>
        <v>1063.2139534883713</v>
      </c>
      <c r="AQ91" s="4">
        <f t="shared" si="24"/>
        <v>48437.502325581401</v>
      </c>
    </row>
    <row r="92" spans="1:43" x14ac:dyDescent="0.25">
      <c r="A92" s="20">
        <f t="shared" si="27"/>
        <v>39282</v>
      </c>
      <c r="B92" s="71"/>
      <c r="C92" s="71"/>
      <c r="D92" s="15" t="str">
        <f t="shared" si="45"/>
        <v>US total</v>
      </c>
      <c r="E92">
        <v>7540.4</v>
      </c>
      <c r="F92">
        <v>7387.1</v>
      </c>
      <c r="G92">
        <v>47576.9</v>
      </c>
      <c r="H92">
        <v>46737.8</v>
      </c>
      <c r="I92" s="4">
        <f t="shared" si="35"/>
        <v>55117.3</v>
      </c>
      <c r="J92" s="35">
        <f t="shared" si="35"/>
        <v>54124.9</v>
      </c>
      <c r="K92" s="31">
        <f t="shared" si="33"/>
        <v>1.8335368748949143</v>
      </c>
      <c r="L92" s="4">
        <f t="shared" si="46"/>
        <v>412.5</v>
      </c>
      <c r="M92">
        <f t="shared" si="42"/>
        <v>46</v>
      </c>
      <c r="O92" s="4">
        <f t="shared" ref="O92:O97" si="48">AVERAGE(L88:L91)</f>
        <v>874.47500000000218</v>
      </c>
      <c r="P92" s="5">
        <f t="shared" si="47"/>
        <v>0.47171159838760279</v>
      </c>
      <c r="Q92">
        <v>5998.8</v>
      </c>
      <c r="V92" s="34">
        <v>47911.4</v>
      </c>
      <c r="X92">
        <v>55025.1</v>
      </c>
      <c r="AE92" s="4">
        <f t="shared" si="18"/>
        <v>794.56046511627733</v>
      </c>
      <c r="AF92" s="4"/>
      <c r="AG92">
        <f t="shared" si="19"/>
        <v>46</v>
      </c>
      <c r="AI92" s="4">
        <f t="shared" si="20"/>
        <v>51112.637209302338</v>
      </c>
      <c r="AN92" s="4">
        <f t="shared" si="43"/>
        <v>794.56046511627699</v>
      </c>
      <c r="AO92" s="4">
        <f t="shared" si="44"/>
        <v>51112.637209302338</v>
      </c>
      <c r="AP92" s="4">
        <f t="shared" si="22"/>
        <v>1063.2139534883718</v>
      </c>
      <c r="AQ92" s="4">
        <f t="shared" si="24"/>
        <v>49500.716279069769</v>
      </c>
    </row>
    <row r="93" spans="1:43" x14ac:dyDescent="0.25">
      <c r="A93" s="20">
        <f t="shared" si="27"/>
        <v>39289</v>
      </c>
      <c r="B93" s="71"/>
      <c r="C93" s="71"/>
      <c r="D93" s="15" t="str">
        <f t="shared" si="45"/>
        <v>US total</v>
      </c>
      <c r="E93">
        <v>7270.4</v>
      </c>
      <c r="F93">
        <v>7113.7</v>
      </c>
      <c r="G93">
        <v>48652.9</v>
      </c>
      <c r="H93">
        <v>47911.4</v>
      </c>
      <c r="I93" s="4">
        <f t="shared" si="35"/>
        <v>55923.3</v>
      </c>
      <c r="J93" s="35">
        <f t="shared" si="35"/>
        <v>55025.1</v>
      </c>
      <c r="K93" s="31">
        <f t="shared" si="33"/>
        <v>1.6323459657501926</v>
      </c>
      <c r="L93" s="4">
        <f t="shared" si="46"/>
        <v>806</v>
      </c>
      <c r="M93">
        <f t="shared" si="42"/>
        <v>47</v>
      </c>
      <c r="O93" s="4">
        <f t="shared" si="48"/>
        <v>789.42500000000109</v>
      </c>
      <c r="P93" s="5">
        <f t="shared" si="47"/>
        <v>1.0209962947715094</v>
      </c>
      <c r="Q93">
        <v>6969</v>
      </c>
      <c r="V93" s="34">
        <v>49226.2</v>
      </c>
      <c r="X93">
        <v>56187.6</v>
      </c>
      <c r="AE93" s="4">
        <f t="shared" si="18"/>
        <v>794.56046511627699</v>
      </c>
      <c r="AF93" s="4"/>
      <c r="AG93">
        <f t="shared" si="19"/>
        <v>47</v>
      </c>
      <c r="AI93" s="4">
        <f t="shared" si="20"/>
        <v>51907.197674418618</v>
      </c>
      <c r="AN93" s="4">
        <f t="shared" si="43"/>
        <v>794.56046511627642</v>
      </c>
      <c r="AO93" s="4">
        <f t="shared" si="44"/>
        <v>51907.197674418618</v>
      </c>
      <c r="AP93" s="4">
        <f t="shared" si="22"/>
        <v>1063.2139534883725</v>
      </c>
      <c r="AQ93" s="4">
        <f t="shared" si="24"/>
        <v>50563.930232558138</v>
      </c>
    </row>
    <row r="94" spans="1:43" x14ac:dyDescent="0.25">
      <c r="A94" s="20">
        <f t="shared" si="27"/>
        <v>39296</v>
      </c>
      <c r="B94" s="71"/>
      <c r="C94" s="71"/>
      <c r="D94" s="15" t="str">
        <f t="shared" si="45"/>
        <v>US total</v>
      </c>
      <c r="E94">
        <v>6844</v>
      </c>
      <c r="F94">
        <v>6961.4</v>
      </c>
      <c r="G94">
        <v>49391.199999999997</v>
      </c>
      <c r="H94">
        <v>49226.2</v>
      </c>
      <c r="I94" s="4">
        <f t="shared" si="35"/>
        <v>56235.199999999997</v>
      </c>
      <c r="J94" s="35">
        <f t="shared" si="35"/>
        <v>56187.6</v>
      </c>
      <c r="K94" s="31">
        <f t="shared" si="33"/>
        <v>8.4716200727563695E-2</v>
      </c>
      <c r="L94" s="4">
        <f t="shared" si="46"/>
        <v>311.89999999999418</v>
      </c>
      <c r="M94">
        <f t="shared" si="42"/>
        <v>48</v>
      </c>
      <c r="O94" s="4">
        <f t="shared" si="48"/>
        <v>723.97500000000036</v>
      </c>
      <c r="P94" s="5">
        <f t="shared" si="47"/>
        <v>0.43081598121481268</v>
      </c>
      <c r="Q94">
        <v>7993.4</v>
      </c>
      <c r="V94" s="34">
        <v>50450.2</v>
      </c>
      <c r="X94">
        <v>56756.1</v>
      </c>
      <c r="AE94" s="4">
        <f t="shared" si="18"/>
        <v>794.56046511627642</v>
      </c>
      <c r="AF94" s="4"/>
      <c r="AG94">
        <f t="shared" si="19"/>
        <v>48</v>
      </c>
      <c r="AI94" s="4">
        <f t="shared" si="20"/>
        <v>52701.758139534897</v>
      </c>
      <c r="AN94" s="4">
        <f t="shared" si="43"/>
        <v>794.56046511627574</v>
      </c>
      <c r="AO94" s="4">
        <f t="shared" si="44"/>
        <v>52701.758139534897</v>
      </c>
      <c r="AP94" s="4">
        <f t="shared" si="22"/>
        <v>1063.2139534883718</v>
      </c>
      <c r="AQ94" s="4">
        <f t="shared" si="24"/>
        <v>51627.144186046513</v>
      </c>
    </row>
    <row r="95" spans="1:43" x14ac:dyDescent="0.25">
      <c r="A95" s="20">
        <f t="shared" si="27"/>
        <v>39303</v>
      </c>
      <c r="B95" s="71"/>
      <c r="C95" s="71"/>
      <c r="D95" s="15" t="str">
        <f t="shared" si="45"/>
        <v>US total</v>
      </c>
      <c r="E95">
        <v>5488.5</v>
      </c>
      <c r="F95">
        <v>6305.9</v>
      </c>
      <c r="G95">
        <v>50509.7</v>
      </c>
      <c r="H95">
        <v>50450.2</v>
      </c>
      <c r="I95" s="4">
        <f t="shared" si="35"/>
        <v>55998.2</v>
      </c>
      <c r="J95" s="35">
        <f t="shared" si="35"/>
        <v>56756.1</v>
      </c>
      <c r="K95" s="31">
        <f t="shared" si="33"/>
        <v>-1.3353630711060105</v>
      </c>
      <c r="L95" s="4">
        <f t="shared" si="46"/>
        <v>-237</v>
      </c>
      <c r="M95">
        <f t="shared" si="42"/>
        <v>49</v>
      </c>
      <c r="O95" s="4">
        <f t="shared" si="48"/>
        <v>550</v>
      </c>
      <c r="P95" s="5">
        <f t="shared" si="47"/>
        <v>-0.43090909090909091</v>
      </c>
      <c r="Q95">
        <v>9695.2999999999993</v>
      </c>
      <c r="V95" s="34">
        <v>51632.3</v>
      </c>
      <c r="X95">
        <v>56937.2</v>
      </c>
      <c r="AE95" s="4">
        <f t="shared" si="18"/>
        <v>794.56046511627574</v>
      </c>
      <c r="AF95" s="4"/>
      <c r="AG95">
        <f t="shared" si="19"/>
        <v>49</v>
      </c>
      <c r="AI95" s="4">
        <f t="shared" si="20"/>
        <v>53496.318604651169</v>
      </c>
      <c r="AN95" s="4">
        <f t="shared" si="43"/>
        <v>794.56046511627699</v>
      </c>
      <c r="AO95" s="4">
        <f t="shared" si="44"/>
        <v>53496.318604651169</v>
      </c>
      <c r="AP95" s="4">
        <f t="shared" si="22"/>
        <v>1063.2139534883706</v>
      </c>
      <c r="AQ95" s="4">
        <f t="shared" si="24"/>
        <v>52690.358139534888</v>
      </c>
    </row>
    <row r="96" spans="1:43" x14ac:dyDescent="0.25">
      <c r="A96" s="20">
        <f t="shared" si="27"/>
        <v>39310</v>
      </c>
      <c r="B96" s="71"/>
      <c r="C96" s="71"/>
      <c r="D96" s="15" t="str">
        <f t="shared" si="45"/>
        <v>US total</v>
      </c>
      <c r="E96">
        <v>4677.3</v>
      </c>
      <c r="F96">
        <v>5304.9</v>
      </c>
      <c r="G96">
        <v>51460.1</v>
      </c>
      <c r="H96">
        <v>51632.3</v>
      </c>
      <c r="I96" s="4">
        <f t="shared" si="35"/>
        <v>56137.4</v>
      </c>
      <c r="J96" s="35">
        <f t="shared" si="35"/>
        <v>56937.200000000004</v>
      </c>
      <c r="K96" s="31">
        <f t="shared" si="33"/>
        <v>-1.4047055352212623</v>
      </c>
      <c r="L96" s="4">
        <f t="shared" si="46"/>
        <v>139.20000000000437</v>
      </c>
      <c r="M96">
        <f>+M95+1</f>
        <v>50</v>
      </c>
      <c r="O96" s="4">
        <f t="shared" si="48"/>
        <v>323.34999999999854</v>
      </c>
      <c r="P96" s="5">
        <f t="shared" si="47"/>
        <v>0.43049327354261635</v>
      </c>
      <c r="Q96">
        <v>10665</v>
      </c>
      <c r="V96" s="34">
        <v>53120.3</v>
      </c>
      <c r="X96">
        <v>56590.400000000001</v>
      </c>
      <c r="AE96" s="4">
        <f t="shared" si="18"/>
        <v>794.56046511627699</v>
      </c>
      <c r="AF96" s="4"/>
      <c r="AG96">
        <f t="shared" si="19"/>
        <v>50</v>
      </c>
      <c r="AI96" s="4">
        <f t="shared" si="20"/>
        <v>54290.879069767449</v>
      </c>
      <c r="AN96" s="4">
        <f t="shared" si="43"/>
        <v>794.56046511627574</v>
      </c>
      <c r="AO96" s="4">
        <f t="shared" si="44"/>
        <v>54290.879069767449</v>
      </c>
      <c r="AP96" s="4">
        <f t="shared" si="22"/>
        <v>1063.2139534883718</v>
      </c>
      <c r="AQ96" s="4">
        <f t="shared" si="24"/>
        <v>53753.572093023256</v>
      </c>
    </row>
    <row r="97" spans="1:43" x14ac:dyDescent="0.25">
      <c r="A97" s="20">
        <f t="shared" si="27"/>
        <v>39317</v>
      </c>
      <c r="B97" s="71"/>
      <c r="C97" s="71"/>
      <c r="D97" s="15" t="str">
        <f>+D96</f>
        <v>US total</v>
      </c>
      <c r="E97">
        <v>3583.6</v>
      </c>
      <c r="F97">
        <v>3470.1</v>
      </c>
      <c r="G97">
        <v>52726.2</v>
      </c>
      <c r="H97">
        <v>53120.3</v>
      </c>
      <c r="I97" s="4">
        <f t="shared" si="35"/>
        <v>56309.799999999996</v>
      </c>
      <c r="J97" s="35">
        <f t="shared" si="35"/>
        <v>56590.400000000001</v>
      </c>
      <c r="K97" s="31">
        <f t="shared" ref="K97:K224" si="49">+(I97/J97-1)*100</f>
        <v>-0.49584381803274846</v>
      </c>
      <c r="L97" s="4">
        <f>+I97-I96</f>
        <v>172.39999999999418</v>
      </c>
      <c r="M97">
        <f>+M96+1</f>
        <v>51</v>
      </c>
      <c r="O97" s="4">
        <f t="shared" si="48"/>
        <v>255.02499999999964</v>
      </c>
      <c r="P97" s="5">
        <f>+L97/O97</f>
        <v>0.67601215567099082</v>
      </c>
      <c r="Q97">
        <v>12098.3</v>
      </c>
      <c r="V97" s="34">
        <v>54353.599999999999</v>
      </c>
      <c r="X97">
        <v>56807.8</v>
      </c>
      <c r="AE97" s="4">
        <f t="shared" si="18"/>
        <v>794.56046511627574</v>
      </c>
      <c r="AF97" s="4"/>
      <c r="AG97">
        <f t="shared" si="19"/>
        <v>51</v>
      </c>
      <c r="AI97" s="4">
        <f t="shared" si="20"/>
        <v>55085.439534883728</v>
      </c>
      <c r="AN97" s="4">
        <f t="shared" si="43"/>
        <v>794.5604651162721</v>
      </c>
      <c r="AO97" s="4">
        <f t="shared" si="44"/>
        <v>55085.439534883728</v>
      </c>
      <c r="AP97" s="4">
        <f t="shared" si="22"/>
        <v>1063.2139534883754</v>
      </c>
      <c r="AQ97" s="4">
        <f t="shared" si="24"/>
        <v>54816.786046511625</v>
      </c>
    </row>
    <row r="98" spans="1:43" x14ac:dyDescent="0.25">
      <c r="A98" s="20">
        <f t="shared" si="27"/>
        <v>39324</v>
      </c>
      <c r="B98" s="71"/>
      <c r="C98" s="71"/>
      <c r="D98" s="15" t="str">
        <f>+D97</f>
        <v>US total</v>
      </c>
      <c r="E98">
        <v>2770.7</v>
      </c>
      <c r="F98">
        <v>2454.1999999999998</v>
      </c>
      <c r="G98">
        <v>53799.3</v>
      </c>
      <c r="H98">
        <v>54353.599999999999</v>
      </c>
      <c r="I98" s="4">
        <f t="shared" si="35"/>
        <v>56570</v>
      </c>
      <c r="J98" s="35">
        <f t="shared" si="35"/>
        <v>56807.799999999996</v>
      </c>
      <c r="K98" s="31">
        <f t="shared" si="49"/>
        <v>-0.41860448741193323</v>
      </c>
      <c r="L98" s="4">
        <f>+I98-I97</f>
        <v>260.20000000000437</v>
      </c>
      <c r="M98">
        <f>+M97+1</f>
        <v>52</v>
      </c>
      <c r="O98" s="4">
        <f>AVERAGE(L94:L97)</f>
        <v>96.624999999998181</v>
      </c>
      <c r="P98" s="5">
        <f>+L98/O98</f>
        <v>2.6928848641656846</v>
      </c>
      <c r="Q98">
        <v>12954</v>
      </c>
      <c r="R98" s="4">
        <f>+I99-Q98</f>
        <v>3711.9000000000015</v>
      </c>
      <c r="AE98" s="4">
        <f t="shared" si="18"/>
        <v>794.5604651162721</v>
      </c>
      <c r="AF98" s="4"/>
      <c r="AG98">
        <f t="shared" si="19"/>
        <v>52</v>
      </c>
      <c r="AI98" s="4">
        <f t="shared" si="20"/>
        <v>55880</v>
      </c>
      <c r="AN98" s="4"/>
      <c r="AO98" s="4">
        <f t="shared" si="44"/>
        <v>55880</v>
      </c>
      <c r="AP98" s="4" t="e">
        <f t="shared" si="22"/>
        <v>#DIV/0!</v>
      </c>
      <c r="AQ98" s="4">
        <f t="shared" si="24"/>
        <v>55880</v>
      </c>
    </row>
    <row r="99" spans="1:43" x14ac:dyDescent="0.25">
      <c r="A99" s="20">
        <f t="shared" si="27"/>
        <v>39331</v>
      </c>
      <c r="B99" s="71"/>
      <c r="C99" s="71"/>
      <c r="D99" s="16" t="s">
        <v>13</v>
      </c>
      <c r="E99">
        <v>15761.7</v>
      </c>
      <c r="F99">
        <v>11500.1</v>
      </c>
      <c r="G99">
        <v>904.2</v>
      </c>
      <c r="H99">
        <v>1103.2</v>
      </c>
      <c r="I99" s="4">
        <f t="shared" si="35"/>
        <v>16665.900000000001</v>
      </c>
      <c r="J99" s="35">
        <f t="shared" si="35"/>
        <v>12603.300000000001</v>
      </c>
      <c r="K99" s="31">
        <f t="shared" si="49"/>
        <v>32.234414796124831</v>
      </c>
      <c r="L99" s="4">
        <f t="shared" ref="L99:L107" si="50">+I99-I98</f>
        <v>-39904.1</v>
      </c>
      <c r="N99">
        <v>1</v>
      </c>
      <c r="O99" t="s">
        <v>130</v>
      </c>
    </row>
    <row r="100" spans="1:43" x14ac:dyDescent="0.25">
      <c r="A100" s="20">
        <f t="shared" si="27"/>
        <v>39338</v>
      </c>
      <c r="B100" s="71"/>
      <c r="C100" s="71"/>
      <c r="D100" s="15" t="str">
        <f t="shared" ref="D100:D107" si="51">+D99</f>
        <v>US Total</v>
      </c>
      <c r="E100">
        <v>16919.900000000001</v>
      </c>
      <c r="F100">
        <v>11138.2</v>
      </c>
      <c r="G100">
        <v>1778.3</v>
      </c>
      <c r="H100">
        <v>2478.4</v>
      </c>
      <c r="I100" s="4">
        <f t="shared" si="35"/>
        <v>18698.2</v>
      </c>
      <c r="J100" s="35">
        <f t="shared" si="35"/>
        <v>13616.6</v>
      </c>
      <c r="K100" s="31">
        <f t="shared" si="49"/>
        <v>37.319154561344249</v>
      </c>
      <c r="L100" s="4">
        <f t="shared" si="50"/>
        <v>2032.2999999999993</v>
      </c>
      <c r="N100">
        <v>2</v>
      </c>
    </row>
    <row r="101" spans="1:43" x14ac:dyDescent="0.25">
      <c r="A101" s="20">
        <f t="shared" si="27"/>
        <v>39345</v>
      </c>
      <c r="B101" s="71"/>
      <c r="C101" s="71"/>
      <c r="D101" s="15" t="str">
        <f t="shared" si="51"/>
        <v>US Total</v>
      </c>
      <c r="E101">
        <v>17414.7</v>
      </c>
      <c r="F101">
        <v>10731.6</v>
      </c>
      <c r="G101">
        <v>2981.4</v>
      </c>
      <c r="H101">
        <v>3714.7</v>
      </c>
      <c r="I101" s="4">
        <f t="shared" si="35"/>
        <v>20396.100000000002</v>
      </c>
      <c r="J101" s="35">
        <f t="shared" si="35"/>
        <v>14446.3</v>
      </c>
      <c r="K101" s="31">
        <f t="shared" si="49"/>
        <v>41.1856323072344</v>
      </c>
      <c r="L101" s="4">
        <f t="shared" si="50"/>
        <v>1697.9000000000015</v>
      </c>
      <c r="N101">
        <v>3</v>
      </c>
      <c r="R101" s="4">
        <f>+I101-I100</f>
        <v>1697.9000000000015</v>
      </c>
    </row>
    <row r="102" spans="1:43" x14ac:dyDescent="0.25">
      <c r="A102" s="20">
        <f t="shared" si="27"/>
        <v>39352</v>
      </c>
      <c r="B102" s="71"/>
      <c r="C102" s="71"/>
      <c r="D102" s="15" t="str">
        <f t="shared" si="51"/>
        <v>US Total</v>
      </c>
      <c r="E102">
        <v>17340.599999999999</v>
      </c>
      <c r="F102">
        <v>10706.6</v>
      </c>
      <c r="G102">
        <v>4206.1000000000004</v>
      </c>
      <c r="H102">
        <v>4897.8999999999996</v>
      </c>
      <c r="I102" s="4">
        <f t="shared" si="35"/>
        <v>21546.699999999997</v>
      </c>
      <c r="J102" s="35">
        <f t="shared" si="35"/>
        <v>15604.5</v>
      </c>
      <c r="K102" s="31">
        <f t="shared" si="49"/>
        <v>38.080041013810103</v>
      </c>
      <c r="L102" s="4">
        <f t="shared" si="50"/>
        <v>1150.5999999999949</v>
      </c>
      <c r="N102">
        <v>4</v>
      </c>
    </row>
    <row r="103" spans="1:43" x14ac:dyDescent="0.25">
      <c r="A103" s="20">
        <f t="shared" si="27"/>
        <v>39359</v>
      </c>
      <c r="B103" s="71"/>
      <c r="C103" s="71"/>
      <c r="D103" s="15" t="str">
        <f t="shared" si="51"/>
        <v>US Total</v>
      </c>
      <c r="E103">
        <v>18468.099999999999</v>
      </c>
      <c r="F103">
        <v>10893.3</v>
      </c>
      <c r="G103">
        <v>5398.3</v>
      </c>
      <c r="H103">
        <v>5998</v>
      </c>
      <c r="I103" s="4">
        <f t="shared" si="35"/>
        <v>23866.399999999998</v>
      </c>
      <c r="J103" s="35">
        <f t="shared" si="35"/>
        <v>16891.3</v>
      </c>
      <c r="K103" s="31">
        <f t="shared" si="49"/>
        <v>41.294038943124555</v>
      </c>
      <c r="L103" s="4">
        <f t="shared" si="50"/>
        <v>2319.7000000000007</v>
      </c>
      <c r="M103" s="4">
        <f t="shared" ref="M103:M108" si="52">AVERAGE(L100:L103)</f>
        <v>1800.1249999999991</v>
      </c>
      <c r="N103" s="4">
        <f t="shared" ref="N103:N108" si="53">+N102+1</f>
        <v>5</v>
      </c>
    </row>
    <row r="104" spans="1:43" x14ac:dyDescent="0.25">
      <c r="A104" s="20">
        <f t="shared" si="27"/>
        <v>39366</v>
      </c>
      <c r="B104" s="71"/>
      <c r="C104" s="71"/>
      <c r="D104" s="15" t="str">
        <f t="shared" si="51"/>
        <v>US Total</v>
      </c>
      <c r="E104">
        <v>19158.2</v>
      </c>
      <c r="F104">
        <v>10625.6</v>
      </c>
      <c r="G104">
        <v>6503.3</v>
      </c>
      <c r="H104">
        <v>7086</v>
      </c>
      <c r="I104" s="4">
        <f t="shared" si="35"/>
        <v>25661.5</v>
      </c>
      <c r="J104" s="35">
        <f t="shared" si="35"/>
        <v>17711.599999999999</v>
      </c>
      <c r="K104" s="31">
        <f t="shared" si="49"/>
        <v>44.885272928476262</v>
      </c>
      <c r="L104" s="4">
        <f t="shared" si="50"/>
        <v>1795.1000000000022</v>
      </c>
      <c r="M104" s="4">
        <f t="shared" si="52"/>
        <v>1740.8249999999998</v>
      </c>
      <c r="N104" s="4">
        <f t="shared" si="53"/>
        <v>6</v>
      </c>
    </row>
    <row r="105" spans="1:43" x14ac:dyDescent="0.25">
      <c r="A105" s="20">
        <f t="shared" si="27"/>
        <v>39373</v>
      </c>
      <c r="B105" s="71"/>
      <c r="C105" s="71"/>
      <c r="D105" s="15" t="str">
        <f t="shared" si="51"/>
        <v>US Total</v>
      </c>
      <c r="E105">
        <v>19421.3</v>
      </c>
      <c r="F105">
        <v>10871.5</v>
      </c>
      <c r="G105">
        <v>7785.7</v>
      </c>
      <c r="H105">
        <v>7886</v>
      </c>
      <c r="I105" s="4">
        <f t="shared" si="35"/>
        <v>27207</v>
      </c>
      <c r="J105" s="35">
        <f t="shared" si="35"/>
        <v>18757.5</v>
      </c>
      <c r="K105" s="31">
        <f t="shared" si="49"/>
        <v>45.045981607357064</v>
      </c>
      <c r="L105" s="4">
        <f t="shared" si="50"/>
        <v>1545.5</v>
      </c>
      <c r="M105" s="4">
        <f t="shared" si="52"/>
        <v>1702.7249999999995</v>
      </c>
      <c r="N105" s="4">
        <f t="shared" si="53"/>
        <v>7</v>
      </c>
    </row>
    <row r="106" spans="1:43" x14ac:dyDescent="0.25">
      <c r="A106" s="20">
        <f t="shared" si="27"/>
        <v>39380</v>
      </c>
      <c r="B106" s="71"/>
      <c r="C106" s="71"/>
      <c r="D106" s="15" t="str">
        <f t="shared" si="51"/>
        <v>US Total</v>
      </c>
      <c r="E106">
        <v>18806.400000000001</v>
      </c>
      <c r="F106">
        <v>10796.9</v>
      </c>
      <c r="G106">
        <v>9010.7000000000007</v>
      </c>
      <c r="H106">
        <v>8987.7999999999993</v>
      </c>
      <c r="I106" s="4">
        <f t="shared" si="35"/>
        <v>27817.100000000002</v>
      </c>
      <c r="J106" s="35">
        <f t="shared" si="35"/>
        <v>19784.699999999997</v>
      </c>
      <c r="K106" s="31">
        <f t="shared" si="49"/>
        <v>40.59904875990037</v>
      </c>
      <c r="L106" s="4">
        <f t="shared" si="50"/>
        <v>610.10000000000218</v>
      </c>
      <c r="M106" s="4">
        <f t="shared" si="52"/>
        <v>1567.6000000000013</v>
      </c>
      <c r="N106" s="4">
        <f t="shared" si="53"/>
        <v>8</v>
      </c>
    </row>
    <row r="107" spans="1:43" x14ac:dyDescent="0.25">
      <c r="A107" s="20">
        <f t="shared" si="27"/>
        <v>39387</v>
      </c>
      <c r="B107" s="71"/>
      <c r="C107" s="71"/>
      <c r="D107" s="15" t="str">
        <f t="shared" si="51"/>
        <v>US Total</v>
      </c>
      <c r="E107">
        <v>18788.3</v>
      </c>
      <c r="F107">
        <v>11552.1</v>
      </c>
      <c r="G107">
        <v>10533.9</v>
      </c>
      <c r="H107">
        <v>10161.799999999999</v>
      </c>
      <c r="I107" s="4">
        <f t="shared" si="35"/>
        <v>29322.199999999997</v>
      </c>
      <c r="J107" s="35">
        <f t="shared" si="35"/>
        <v>21713.9</v>
      </c>
      <c r="K107" s="31">
        <f t="shared" si="49"/>
        <v>35.03884608476595</v>
      </c>
      <c r="L107" s="4">
        <f t="shared" si="50"/>
        <v>1505.0999999999949</v>
      </c>
      <c r="M107" s="4">
        <f t="shared" si="52"/>
        <v>1363.9499999999998</v>
      </c>
      <c r="N107" s="4">
        <f t="shared" si="53"/>
        <v>9</v>
      </c>
    </row>
    <row r="108" spans="1:43" x14ac:dyDescent="0.25">
      <c r="A108" s="20">
        <f t="shared" si="27"/>
        <v>39394</v>
      </c>
      <c r="B108" s="71"/>
      <c r="C108" s="71"/>
      <c r="D108" s="15" t="str">
        <f t="shared" ref="D108:D115" si="54">+D107</f>
        <v>US Total</v>
      </c>
      <c r="E108">
        <v>18642.400000000001</v>
      </c>
      <c r="F108">
        <v>11943.8</v>
      </c>
      <c r="G108">
        <v>12043.6</v>
      </c>
      <c r="H108">
        <v>11165.7</v>
      </c>
      <c r="I108" s="4">
        <f t="shared" si="35"/>
        <v>30686</v>
      </c>
      <c r="J108" s="35">
        <f t="shared" si="35"/>
        <v>23109.5</v>
      </c>
      <c r="K108" s="31">
        <f t="shared" si="49"/>
        <v>32.785218200307241</v>
      </c>
      <c r="L108" s="4">
        <f t="shared" ref="L108:L113" si="55">+I108-I107</f>
        <v>1363.8000000000029</v>
      </c>
      <c r="M108" s="4">
        <f t="shared" si="52"/>
        <v>1256.125</v>
      </c>
      <c r="N108" s="4">
        <f t="shared" si="53"/>
        <v>10</v>
      </c>
    </row>
    <row r="109" spans="1:43" x14ac:dyDescent="0.25">
      <c r="A109" s="20">
        <f t="shared" si="27"/>
        <v>39401</v>
      </c>
      <c r="B109" s="71"/>
      <c r="C109" s="71"/>
      <c r="D109" s="15" t="str">
        <f t="shared" si="54"/>
        <v>US Total</v>
      </c>
      <c r="E109">
        <v>19111.3</v>
      </c>
      <c r="F109">
        <v>11765.1</v>
      </c>
      <c r="G109">
        <v>13420.3</v>
      </c>
      <c r="H109">
        <v>12386.6</v>
      </c>
      <c r="I109" s="4">
        <f t="shared" si="35"/>
        <v>32531.599999999999</v>
      </c>
      <c r="J109" s="35">
        <f t="shared" si="35"/>
        <v>24151.7</v>
      </c>
      <c r="K109" s="31">
        <f t="shared" si="49"/>
        <v>34.696936447537837</v>
      </c>
      <c r="L109" s="4">
        <f t="shared" si="55"/>
        <v>1845.5999999999985</v>
      </c>
      <c r="M109" s="4">
        <f t="shared" ref="M109:M114" si="56">AVERAGE(L106:L109)</f>
        <v>1331.1499999999996</v>
      </c>
      <c r="N109" s="4">
        <f t="shared" ref="N109:N114" si="57">+N108+1</f>
        <v>11</v>
      </c>
    </row>
    <row r="110" spans="1:43" x14ac:dyDescent="0.25">
      <c r="A110" s="20">
        <f t="shared" si="27"/>
        <v>39408</v>
      </c>
      <c r="B110" s="71"/>
      <c r="C110" s="71"/>
      <c r="D110" s="15" t="str">
        <f t="shared" si="54"/>
        <v>US Total</v>
      </c>
      <c r="E110">
        <v>19513.3</v>
      </c>
      <c r="F110">
        <v>11889</v>
      </c>
      <c r="G110">
        <v>14859.8</v>
      </c>
      <c r="H110">
        <v>13283.9</v>
      </c>
      <c r="I110" s="4">
        <f t="shared" si="35"/>
        <v>34373.1</v>
      </c>
      <c r="J110" s="35">
        <f t="shared" si="35"/>
        <v>25172.9</v>
      </c>
      <c r="K110" s="31">
        <f t="shared" si="49"/>
        <v>36.548033798251289</v>
      </c>
      <c r="L110" s="4">
        <f t="shared" si="55"/>
        <v>1841.5</v>
      </c>
      <c r="M110" s="4">
        <f t="shared" si="56"/>
        <v>1638.9999999999991</v>
      </c>
      <c r="N110" s="4">
        <f t="shared" si="57"/>
        <v>12</v>
      </c>
    </row>
    <row r="111" spans="1:43" x14ac:dyDescent="0.25">
      <c r="A111" s="20">
        <f t="shared" si="27"/>
        <v>39415</v>
      </c>
      <c r="B111" s="71"/>
      <c r="C111" s="71"/>
      <c r="D111" s="15" t="str">
        <f t="shared" si="54"/>
        <v>US Total</v>
      </c>
      <c r="E111">
        <v>19044.3</v>
      </c>
      <c r="F111">
        <v>11329.3</v>
      </c>
      <c r="G111">
        <v>16387.900000000001</v>
      </c>
      <c r="H111">
        <v>14656.3</v>
      </c>
      <c r="I111" s="4">
        <f t="shared" si="35"/>
        <v>35432.199999999997</v>
      </c>
      <c r="J111" s="35">
        <f t="shared" si="35"/>
        <v>25985.599999999999</v>
      </c>
      <c r="K111" s="31">
        <f t="shared" si="49"/>
        <v>36.353211009174302</v>
      </c>
      <c r="L111" s="4">
        <f t="shared" si="55"/>
        <v>1059.0999999999985</v>
      </c>
      <c r="M111" s="4">
        <f t="shared" si="56"/>
        <v>1527.5</v>
      </c>
      <c r="N111" s="4">
        <f t="shared" si="57"/>
        <v>13</v>
      </c>
    </row>
    <row r="112" spans="1:43" x14ac:dyDescent="0.25">
      <c r="A112" s="20">
        <f t="shared" si="27"/>
        <v>39422</v>
      </c>
      <c r="B112" s="71"/>
      <c r="C112" s="71"/>
      <c r="D112" s="15" t="str">
        <f t="shared" si="54"/>
        <v>US Total</v>
      </c>
      <c r="E112">
        <v>19144.2</v>
      </c>
      <c r="F112">
        <v>11493</v>
      </c>
      <c r="G112">
        <v>17444</v>
      </c>
      <c r="H112">
        <v>15892.9</v>
      </c>
      <c r="I112" s="4">
        <f t="shared" si="35"/>
        <v>36588.199999999997</v>
      </c>
      <c r="J112" s="35">
        <f t="shared" si="35"/>
        <v>27385.9</v>
      </c>
      <c r="K112" s="31">
        <f t="shared" si="49"/>
        <v>33.60232820539035</v>
      </c>
      <c r="L112" s="67">
        <f t="shared" si="55"/>
        <v>1156</v>
      </c>
      <c r="M112" s="4">
        <f t="shared" si="56"/>
        <v>1475.5499999999993</v>
      </c>
      <c r="N112" s="4">
        <f t="shared" si="57"/>
        <v>14</v>
      </c>
    </row>
    <row r="113" spans="1:15" x14ac:dyDescent="0.25">
      <c r="A113" s="20">
        <f t="shared" si="27"/>
        <v>39429</v>
      </c>
      <c r="B113" s="71"/>
      <c r="C113" s="71"/>
      <c r="D113" s="15" t="str">
        <f t="shared" si="54"/>
        <v>US Total</v>
      </c>
      <c r="E113">
        <v>19082.5</v>
      </c>
      <c r="F113">
        <v>11854.8</v>
      </c>
      <c r="G113">
        <v>18662.099999999999</v>
      </c>
      <c r="H113">
        <v>16792.599999999999</v>
      </c>
      <c r="I113" s="4">
        <f t="shared" si="35"/>
        <v>37744.6</v>
      </c>
      <c r="J113" s="35">
        <f t="shared" si="35"/>
        <v>28647.399999999998</v>
      </c>
      <c r="K113" s="31">
        <f t="shared" si="49"/>
        <v>31.755761430356678</v>
      </c>
      <c r="L113" s="67">
        <f t="shared" si="55"/>
        <v>1156.4000000000015</v>
      </c>
      <c r="M113" s="4">
        <f t="shared" si="56"/>
        <v>1303.25</v>
      </c>
      <c r="N113" s="4">
        <f t="shared" si="57"/>
        <v>15</v>
      </c>
    </row>
    <row r="114" spans="1:15" x14ac:dyDescent="0.25">
      <c r="A114" s="20">
        <f t="shared" si="27"/>
        <v>39436</v>
      </c>
      <c r="B114" s="71"/>
      <c r="C114" s="71"/>
      <c r="D114" s="15" t="str">
        <f t="shared" si="54"/>
        <v>US Total</v>
      </c>
      <c r="E114">
        <v>19243.400000000001</v>
      </c>
      <c r="F114">
        <v>11890.1</v>
      </c>
      <c r="G114">
        <v>19924.599999999999</v>
      </c>
      <c r="H114">
        <v>17911</v>
      </c>
      <c r="I114" s="4">
        <f t="shared" si="35"/>
        <v>39168</v>
      </c>
      <c r="J114" s="35">
        <f t="shared" si="35"/>
        <v>29801.1</v>
      </c>
      <c r="K114" s="31">
        <f t="shared" si="49"/>
        <v>31.431390116472222</v>
      </c>
      <c r="L114" s="67">
        <f t="shared" ref="L114:L119" si="58">+I114-I113</f>
        <v>1423.4000000000015</v>
      </c>
      <c r="M114" s="4">
        <f t="shared" si="56"/>
        <v>1198.7250000000004</v>
      </c>
      <c r="N114" s="4">
        <f t="shared" si="57"/>
        <v>16</v>
      </c>
    </row>
    <row r="115" spans="1:15" x14ac:dyDescent="0.25">
      <c r="A115" s="20">
        <f t="shared" si="27"/>
        <v>39443</v>
      </c>
      <c r="B115" s="71"/>
      <c r="C115" s="71"/>
      <c r="D115" s="15" t="str">
        <f t="shared" si="54"/>
        <v>US Total</v>
      </c>
      <c r="E115">
        <v>18803.5</v>
      </c>
      <c r="F115">
        <v>11503.1</v>
      </c>
      <c r="G115">
        <v>21065.3</v>
      </c>
      <c r="H115">
        <v>18862.8</v>
      </c>
      <c r="I115" s="4">
        <f t="shared" si="35"/>
        <v>39868.800000000003</v>
      </c>
      <c r="J115" s="35">
        <f t="shared" si="35"/>
        <v>30365.9</v>
      </c>
      <c r="K115" s="31">
        <f t="shared" si="49"/>
        <v>31.294643004159273</v>
      </c>
      <c r="L115" s="67">
        <f t="shared" si="58"/>
        <v>700.80000000000291</v>
      </c>
      <c r="M115" s="4">
        <f t="shared" ref="M115:M120" si="59">AVERAGE(L112:L115)</f>
        <v>1109.1500000000015</v>
      </c>
      <c r="N115" s="4">
        <f t="shared" ref="N115:N120" si="60">+N114+1</f>
        <v>17</v>
      </c>
      <c r="O115" s="4">
        <f t="shared" ref="O115:O120" si="61">+J115-J114</f>
        <v>564.80000000000291</v>
      </c>
    </row>
    <row r="116" spans="1:15" x14ac:dyDescent="0.25">
      <c r="A116" s="20">
        <f t="shared" si="27"/>
        <v>39450</v>
      </c>
      <c r="B116" s="71"/>
      <c r="C116" s="71"/>
      <c r="D116" s="15" t="str">
        <f t="shared" ref="D116:D122" si="62">+D115</f>
        <v>US Total</v>
      </c>
      <c r="E116">
        <v>18496.3</v>
      </c>
      <c r="F116">
        <v>11827.1</v>
      </c>
      <c r="G116">
        <v>21979.3</v>
      </c>
      <c r="H116">
        <v>19715.7</v>
      </c>
      <c r="I116" s="4">
        <f t="shared" si="35"/>
        <v>40475.599999999999</v>
      </c>
      <c r="J116" s="35">
        <f t="shared" si="35"/>
        <v>31542.800000000003</v>
      </c>
      <c r="K116" s="31">
        <f t="shared" si="49"/>
        <v>28.319616521044399</v>
      </c>
      <c r="L116" s="67">
        <f t="shared" si="58"/>
        <v>606.79999999999563</v>
      </c>
      <c r="M116" s="4">
        <f t="shared" si="59"/>
        <v>971.85000000000036</v>
      </c>
      <c r="N116" s="4">
        <f t="shared" si="60"/>
        <v>18</v>
      </c>
      <c r="O116" s="4">
        <f t="shared" si="61"/>
        <v>1176.9000000000015</v>
      </c>
    </row>
    <row r="117" spans="1:15" x14ac:dyDescent="0.25">
      <c r="A117" s="20">
        <f>+A118-7</f>
        <v>39457</v>
      </c>
      <c r="B117" s="71"/>
      <c r="C117" s="71"/>
      <c r="D117" s="15" t="str">
        <f t="shared" si="62"/>
        <v>US Total</v>
      </c>
      <c r="E117">
        <v>19363.099999999999</v>
      </c>
      <c r="F117">
        <v>12245.8</v>
      </c>
      <c r="G117">
        <v>23481.8</v>
      </c>
      <c r="H117">
        <v>20720.900000000001</v>
      </c>
      <c r="I117" s="4">
        <f t="shared" si="35"/>
        <v>42844.899999999994</v>
      </c>
      <c r="J117" s="35">
        <f t="shared" si="35"/>
        <v>32966.699999999997</v>
      </c>
      <c r="K117" s="31">
        <f t="shared" si="49"/>
        <v>29.964175971510642</v>
      </c>
      <c r="L117" s="67">
        <f t="shared" si="58"/>
        <v>2369.2999999999956</v>
      </c>
      <c r="M117" s="4">
        <f t="shared" si="59"/>
        <v>1275.0749999999989</v>
      </c>
      <c r="N117" s="4">
        <f t="shared" si="60"/>
        <v>19</v>
      </c>
      <c r="O117" s="4">
        <f t="shared" si="61"/>
        <v>1423.8999999999942</v>
      </c>
    </row>
    <row r="118" spans="1:15" x14ac:dyDescent="0.25">
      <c r="A118" s="20">
        <v>39464</v>
      </c>
      <c r="B118" s="71"/>
      <c r="C118" s="71"/>
      <c r="D118" s="15" t="str">
        <f t="shared" si="62"/>
        <v>US Total</v>
      </c>
      <c r="E118">
        <v>19623.400000000001</v>
      </c>
      <c r="F118">
        <v>12204.2</v>
      </c>
      <c r="G118">
        <v>24816.6</v>
      </c>
      <c r="H118">
        <v>21755.3</v>
      </c>
      <c r="I118" s="4">
        <f t="shared" si="35"/>
        <v>44440</v>
      </c>
      <c r="J118" s="35">
        <f t="shared" si="35"/>
        <v>33959.5</v>
      </c>
      <c r="K118" s="31">
        <f t="shared" si="49"/>
        <v>30.861761804502418</v>
      </c>
      <c r="L118" s="67">
        <f t="shared" si="58"/>
        <v>1595.1000000000058</v>
      </c>
      <c r="M118" s="4">
        <f t="shared" si="59"/>
        <v>1318</v>
      </c>
      <c r="N118" s="4">
        <f t="shared" si="60"/>
        <v>20</v>
      </c>
      <c r="O118" s="4">
        <f t="shared" si="61"/>
        <v>992.80000000000291</v>
      </c>
    </row>
    <row r="119" spans="1:15" x14ac:dyDescent="0.25">
      <c r="A119" s="20">
        <f t="shared" ref="A119:A124" si="63">+A118+7</f>
        <v>39471</v>
      </c>
      <c r="B119" s="71"/>
      <c r="C119" s="71"/>
      <c r="D119" s="15" t="str">
        <f t="shared" si="62"/>
        <v>US Total</v>
      </c>
      <c r="E119">
        <v>20019.7</v>
      </c>
      <c r="F119">
        <v>11799.6</v>
      </c>
      <c r="G119">
        <v>26308</v>
      </c>
      <c r="H119">
        <v>22957.200000000001</v>
      </c>
      <c r="I119" s="4">
        <f t="shared" si="35"/>
        <v>46327.7</v>
      </c>
      <c r="J119" s="35">
        <f t="shared" si="35"/>
        <v>34756.800000000003</v>
      </c>
      <c r="K119" s="31">
        <f t="shared" si="49"/>
        <v>33.29103945127283</v>
      </c>
      <c r="L119" s="67">
        <f t="shared" si="58"/>
        <v>1887.6999999999971</v>
      </c>
      <c r="M119" s="4">
        <f t="shared" si="59"/>
        <v>1614.7249999999985</v>
      </c>
      <c r="N119" s="4">
        <f t="shared" si="60"/>
        <v>21</v>
      </c>
      <c r="O119" s="4">
        <f t="shared" si="61"/>
        <v>797.30000000000291</v>
      </c>
    </row>
    <row r="120" spans="1:15" x14ac:dyDescent="0.25">
      <c r="A120" s="20">
        <f t="shared" si="63"/>
        <v>39478</v>
      </c>
      <c r="B120" s="71"/>
      <c r="C120" s="71"/>
      <c r="D120" s="15" t="str">
        <f t="shared" si="62"/>
        <v>US Total</v>
      </c>
      <c r="E120">
        <v>19799.400000000001</v>
      </c>
      <c r="F120">
        <v>11687.2</v>
      </c>
      <c r="G120">
        <v>27557.9</v>
      </c>
      <c r="H120">
        <v>23977.4</v>
      </c>
      <c r="I120" s="4">
        <f t="shared" si="35"/>
        <v>47357.3</v>
      </c>
      <c r="J120" s="35">
        <f t="shared" si="35"/>
        <v>35664.600000000006</v>
      </c>
      <c r="K120" s="31">
        <f t="shared" si="49"/>
        <v>32.785170729518896</v>
      </c>
      <c r="L120" s="67">
        <f t="shared" ref="L120:L125" si="64">+I120-I119</f>
        <v>1029.6000000000058</v>
      </c>
      <c r="M120" s="4">
        <f t="shared" si="59"/>
        <v>1720.4250000000011</v>
      </c>
      <c r="N120" s="4">
        <f t="shared" si="60"/>
        <v>22</v>
      </c>
      <c r="O120" s="4">
        <f t="shared" si="61"/>
        <v>907.80000000000291</v>
      </c>
    </row>
    <row r="121" spans="1:15" x14ac:dyDescent="0.25">
      <c r="A121" s="20">
        <f t="shared" si="63"/>
        <v>39485</v>
      </c>
      <c r="B121" s="71"/>
      <c r="C121" s="71"/>
      <c r="D121" s="15" t="str">
        <f t="shared" si="62"/>
        <v>US Total</v>
      </c>
      <c r="E121">
        <v>19586.3</v>
      </c>
      <c r="F121">
        <v>12076.9</v>
      </c>
      <c r="G121">
        <v>28695.4</v>
      </c>
      <c r="H121">
        <v>24974</v>
      </c>
      <c r="I121" s="4">
        <f t="shared" si="35"/>
        <v>48281.7</v>
      </c>
      <c r="J121" s="35">
        <f t="shared" si="35"/>
        <v>37050.9</v>
      </c>
      <c r="K121" s="31">
        <f t="shared" si="49"/>
        <v>30.311814287912032</v>
      </c>
      <c r="L121" s="67">
        <f t="shared" si="64"/>
        <v>924.39999999999418</v>
      </c>
      <c r="M121" s="4">
        <f t="shared" ref="M121:M126" si="65">AVERAGE(L118:L121)</f>
        <v>1359.2000000000007</v>
      </c>
      <c r="N121" s="4">
        <f t="shared" ref="N121:N126" si="66">+N120+1</f>
        <v>23</v>
      </c>
      <c r="O121" s="4">
        <f t="shared" ref="O121:O126" si="67">+J121-J120</f>
        <v>1386.2999999999956</v>
      </c>
    </row>
    <row r="122" spans="1:15" x14ac:dyDescent="0.25">
      <c r="A122" s="20">
        <f t="shared" si="63"/>
        <v>39492</v>
      </c>
      <c r="B122" s="71"/>
      <c r="C122" s="71"/>
      <c r="D122" s="15" t="str">
        <f t="shared" si="62"/>
        <v>US Total</v>
      </c>
      <c r="E122">
        <v>19316.2</v>
      </c>
      <c r="F122">
        <v>11657.4</v>
      </c>
      <c r="G122">
        <v>30106.9</v>
      </c>
      <c r="H122">
        <v>26214.1</v>
      </c>
      <c r="I122" s="4">
        <f t="shared" si="35"/>
        <v>49423.100000000006</v>
      </c>
      <c r="J122" s="35">
        <f t="shared" si="35"/>
        <v>37871.5</v>
      </c>
      <c r="K122" s="31">
        <f t="shared" si="49"/>
        <v>30.502092602616759</v>
      </c>
      <c r="L122" s="67">
        <f t="shared" si="64"/>
        <v>1141.4000000000087</v>
      </c>
      <c r="M122" s="4">
        <f t="shared" si="65"/>
        <v>1245.7750000000015</v>
      </c>
      <c r="N122" s="4">
        <f t="shared" si="66"/>
        <v>24</v>
      </c>
      <c r="O122" s="4">
        <f t="shared" si="67"/>
        <v>820.59999999999854</v>
      </c>
    </row>
    <row r="123" spans="1:15" x14ac:dyDescent="0.25">
      <c r="A123" s="20">
        <f t="shared" si="63"/>
        <v>39499</v>
      </c>
      <c r="B123" s="71"/>
      <c r="C123" s="71"/>
      <c r="D123" s="15" t="str">
        <f t="shared" ref="D123:D128" si="68">+D122</f>
        <v>US Total</v>
      </c>
      <c r="E123">
        <v>18669.7</v>
      </c>
      <c r="F123">
        <v>11083.8</v>
      </c>
      <c r="G123">
        <v>31354.7</v>
      </c>
      <c r="H123">
        <v>27105.8</v>
      </c>
      <c r="I123" s="4">
        <f t="shared" si="35"/>
        <v>50024.4</v>
      </c>
      <c r="J123" s="35">
        <f t="shared" si="35"/>
        <v>38189.599999999999</v>
      </c>
      <c r="K123" s="31">
        <f t="shared" si="49"/>
        <v>30.989588788570721</v>
      </c>
      <c r="L123" s="67">
        <f t="shared" si="64"/>
        <v>601.29999999999563</v>
      </c>
      <c r="M123" s="4">
        <f t="shared" si="65"/>
        <v>924.17500000000109</v>
      </c>
      <c r="N123" s="4">
        <f t="shared" si="66"/>
        <v>25</v>
      </c>
      <c r="O123" s="4">
        <f t="shared" si="67"/>
        <v>318.09999999999854</v>
      </c>
    </row>
    <row r="124" spans="1:15" x14ac:dyDescent="0.25">
      <c r="A124" s="20">
        <f t="shared" si="63"/>
        <v>39506</v>
      </c>
      <c r="B124" s="71"/>
      <c r="C124" s="71"/>
      <c r="D124" s="15" t="str">
        <f t="shared" si="68"/>
        <v>US Total</v>
      </c>
      <c r="E124">
        <v>17985.599999999999</v>
      </c>
      <c r="F124">
        <v>10730.9</v>
      </c>
      <c r="G124">
        <v>32686.799999999999</v>
      </c>
      <c r="H124">
        <v>28531.5</v>
      </c>
      <c r="I124" s="4">
        <f t="shared" si="35"/>
        <v>50672.399999999994</v>
      </c>
      <c r="J124" s="35">
        <f t="shared" si="35"/>
        <v>39262.400000000001</v>
      </c>
      <c r="K124" s="31">
        <f t="shared" si="49"/>
        <v>29.060882676555664</v>
      </c>
      <c r="L124" s="67">
        <f t="shared" si="64"/>
        <v>647.99999999999272</v>
      </c>
      <c r="M124" s="4">
        <f t="shared" si="65"/>
        <v>828.77499999999782</v>
      </c>
      <c r="N124" s="4">
        <f t="shared" si="66"/>
        <v>26</v>
      </c>
      <c r="O124" s="4">
        <f t="shared" si="67"/>
        <v>1072.8000000000029</v>
      </c>
    </row>
    <row r="125" spans="1:15" x14ac:dyDescent="0.25">
      <c r="A125" s="20">
        <f t="shared" ref="A125:A134" si="69">+A124+7</f>
        <v>39513</v>
      </c>
      <c r="B125" s="71"/>
      <c r="C125" s="71"/>
      <c r="D125" s="15" t="str">
        <f t="shared" si="68"/>
        <v>US Total</v>
      </c>
      <c r="E125">
        <v>17692.099999999999</v>
      </c>
      <c r="F125">
        <v>10329.700000000001</v>
      </c>
      <c r="G125">
        <v>33749.1</v>
      </c>
      <c r="H125">
        <v>29682.2</v>
      </c>
      <c r="I125" s="4">
        <f t="shared" si="35"/>
        <v>51441.2</v>
      </c>
      <c r="J125" s="35">
        <f t="shared" si="35"/>
        <v>40011.9</v>
      </c>
      <c r="K125" s="31">
        <f t="shared" si="49"/>
        <v>28.564751986284076</v>
      </c>
      <c r="L125" s="67">
        <f t="shared" si="64"/>
        <v>768.80000000000291</v>
      </c>
      <c r="M125" s="4">
        <f t="shared" si="65"/>
        <v>789.875</v>
      </c>
      <c r="N125" s="4">
        <f t="shared" si="66"/>
        <v>27</v>
      </c>
      <c r="O125" s="4">
        <f t="shared" si="67"/>
        <v>749.5</v>
      </c>
    </row>
    <row r="126" spans="1:15" x14ac:dyDescent="0.25">
      <c r="A126" s="20">
        <f t="shared" si="69"/>
        <v>39520</v>
      </c>
      <c r="B126" s="71"/>
      <c r="C126" s="71"/>
      <c r="D126" s="15" t="str">
        <f t="shared" si="68"/>
        <v>US Total</v>
      </c>
      <c r="E126">
        <v>16968.900000000001</v>
      </c>
      <c r="F126">
        <v>10065.6</v>
      </c>
      <c r="G126">
        <v>35221.9</v>
      </c>
      <c r="H126">
        <v>30587.200000000001</v>
      </c>
      <c r="I126" s="4">
        <f t="shared" si="35"/>
        <v>52190.8</v>
      </c>
      <c r="J126" s="35">
        <f t="shared" si="35"/>
        <v>40652.800000000003</v>
      </c>
      <c r="K126" s="31">
        <f t="shared" si="49"/>
        <v>28.381808879093207</v>
      </c>
      <c r="L126" s="67">
        <f t="shared" ref="L126:L131" si="70">+I126-I125</f>
        <v>749.60000000000582</v>
      </c>
      <c r="M126" s="4">
        <f t="shared" si="65"/>
        <v>691.92499999999927</v>
      </c>
      <c r="N126" s="4">
        <f t="shared" si="66"/>
        <v>28</v>
      </c>
      <c r="O126" s="4">
        <f t="shared" si="67"/>
        <v>640.90000000000146</v>
      </c>
    </row>
    <row r="127" spans="1:15" x14ac:dyDescent="0.25">
      <c r="A127" s="20">
        <f t="shared" si="69"/>
        <v>39527</v>
      </c>
      <c r="B127" s="71"/>
      <c r="C127" s="71"/>
      <c r="D127" s="15" t="str">
        <f t="shared" si="68"/>
        <v>US Total</v>
      </c>
      <c r="E127">
        <v>16312.3</v>
      </c>
      <c r="F127">
        <v>10042.6</v>
      </c>
      <c r="G127">
        <v>36511</v>
      </c>
      <c r="H127">
        <v>31733.7</v>
      </c>
      <c r="I127" s="4">
        <f t="shared" si="35"/>
        <v>52823.3</v>
      </c>
      <c r="J127" s="35">
        <f t="shared" si="35"/>
        <v>41776.300000000003</v>
      </c>
      <c r="K127" s="31">
        <f t="shared" si="49"/>
        <v>26.443222592714054</v>
      </c>
      <c r="L127" s="67">
        <f t="shared" si="70"/>
        <v>632.5</v>
      </c>
      <c r="M127" s="4">
        <f t="shared" ref="M127:M132" si="71">AVERAGE(L124:L127)</f>
        <v>699.72500000000036</v>
      </c>
      <c r="N127" s="4">
        <f t="shared" ref="N127:N132" si="72">+N126+1</f>
        <v>29</v>
      </c>
      <c r="O127" s="4">
        <f t="shared" ref="O127:O132" si="73">+J127-J126</f>
        <v>1123.5</v>
      </c>
    </row>
    <row r="128" spans="1:15" x14ac:dyDescent="0.25">
      <c r="A128" s="20">
        <f t="shared" si="69"/>
        <v>39534</v>
      </c>
      <c r="B128" s="71"/>
      <c r="C128" s="71"/>
      <c r="D128" s="15" t="str">
        <f t="shared" si="68"/>
        <v>US Total</v>
      </c>
      <c r="E128">
        <v>15871.1</v>
      </c>
      <c r="F128">
        <v>9655.9</v>
      </c>
      <c r="G128">
        <v>37656.6</v>
      </c>
      <c r="H128">
        <v>32670.9</v>
      </c>
      <c r="I128" s="4">
        <f t="shared" si="35"/>
        <v>53527.7</v>
      </c>
      <c r="J128" s="35">
        <f t="shared" si="35"/>
        <v>42326.8</v>
      </c>
      <c r="K128" s="31">
        <f t="shared" si="49"/>
        <v>26.462902936201171</v>
      </c>
      <c r="L128" s="67">
        <f t="shared" si="70"/>
        <v>704.39999999999418</v>
      </c>
      <c r="M128" s="4">
        <f t="shared" si="71"/>
        <v>713.82500000000073</v>
      </c>
      <c r="N128" s="4">
        <f t="shared" si="72"/>
        <v>30</v>
      </c>
      <c r="O128" s="4">
        <f t="shared" si="73"/>
        <v>550.5</v>
      </c>
    </row>
    <row r="129" spans="1:16" x14ac:dyDescent="0.25">
      <c r="A129" s="20">
        <f t="shared" si="69"/>
        <v>39541</v>
      </c>
      <c r="B129" s="71"/>
      <c r="C129" s="71"/>
      <c r="D129" s="15" t="str">
        <f t="shared" ref="D129:D134" si="74">+D128</f>
        <v>US Total</v>
      </c>
      <c r="E129">
        <v>15090.3</v>
      </c>
      <c r="F129">
        <v>10246.52</v>
      </c>
      <c r="G129">
        <v>38905.800000000003</v>
      </c>
      <c r="H129">
        <v>33403.800000000003</v>
      </c>
      <c r="I129" s="4">
        <f t="shared" si="35"/>
        <v>53996.100000000006</v>
      </c>
      <c r="J129" s="35">
        <f t="shared" si="35"/>
        <v>43650.320000000007</v>
      </c>
      <c r="K129" s="31">
        <f t="shared" si="49"/>
        <v>23.701498637352469</v>
      </c>
      <c r="L129" s="67">
        <f t="shared" si="70"/>
        <v>468.40000000000873</v>
      </c>
      <c r="M129" s="4">
        <f t="shared" si="71"/>
        <v>638.72500000000218</v>
      </c>
      <c r="N129" s="4">
        <f t="shared" si="72"/>
        <v>31</v>
      </c>
      <c r="O129" s="4">
        <f t="shared" si="73"/>
        <v>1323.5200000000041</v>
      </c>
    </row>
    <row r="130" spans="1:16" x14ac:dyDescent="0.25">
      <c r="A130" s="20">
        <f t="shared" si="69"/>
        <v>39548</v>
      </c>
      <c r="B130" s="71"/>
      <c r="C130" s="71"/>
      <c r="D130" s="15" t="str">
        <f t="shared" si="74"/>
        <v>US Total</v>
      </c>
      <c r="E130">
        <v>14847</v>
      </c>
      <c r="F130">
        <v>10152.299999999999</v>
      </c>
      <c r="G130">
        <v>40018</v>
      </c>
      <c r="H130">
        <v>34301.300000000003</v>
      </c>
      <c r="I130" s="4">
        <f t="shared" si="35"/>
        <v>54865</v>
      </c>
      <c r="J130" s="35">
        <f t="shared" si="35"/>
        <v>44453.600000000006</v>
      </c>
      <c r="K130" s="31">
        <f t="shared" si="49"/>
        <v>23.420825309986128</v>
      </c>
      <c r="L130" s="67">
        <f t="shared" si="70"/>
        <v>868.89999999999418</v>
      </c>
      <c r="M130" s="4">
        <f t="shared" si="71"/>
        <v>668.54999999999927</v>
      </c>
      <c r="N130" s="4">
        <f t="shared" si="72"/>
        <v>32</v>
      </c>
      <c r="O130" s="4">
        <f t="shared" si="73"/>
        <v>803.27999999999884</v>
      </c>
    </row>
    <row r="131" spans="1:16" x14ac:dyDescent="0.25">
      <c r="A131" s="20">
        <f t="shared" si="69"/>
        <v>39555</v>
      </c>
      <c r="B131" s="71"/>
      <c r="C131" s="71"/>
      <c r="D131" s="15" t="str">
        <f t="shared" si="74"/>
        <v>US Total</v>
      </c>
      <c r="E131">
        <v>14512.4</v>
      </c>
      <c r="F131">
        <v>10350.4</v>
      </c>
      <c r="G131">
        <v>41127.9</v>
      </c>
      <c r="H131">
        <v>35208.699999999997</v>
      </c>
      <c r="I131" s="4">
        <f t="shared" si="35"/>
        <v>55640.3</v>
      </c>
      <c r="J131" s="35">
        <f t="shared" si="35"/>
        <v>45559.1</v>
      </c>
      <c r="K131" s="31">
        <f t="shared" si="49"/>
        <v>22.127741768384368</v>
      </c>
      <c r="L131" s="67">
        <f t="shared" si="70"/>
        <v>775.30000000000291</v>
      </c>
      <c r="M131" s="4">
        <f t="shared" si="71"/>
        <v>704.25</v>
      </c>
      <c r="N131" s="4">
        <f t="shared" si="72"/>
        <v>33</v>
      </c>
      <c r="O131" s="4">
        <f t="shared" si="73"/>
        <v>1105.4999999999927</v>
      </c>
    </row>
    <row r="132" spans="1:16" x14ac:dyDescent="0.25">
      <c r="A132" s="20">
        <f t="shared" si="69"/>
        <v>39562</v>
      </c>
      <c r="B132" s="71"/>
      <c r="C132" s="71"/>
      <c r="D132" s="15" t="str">
        <f t="shared" si="74"/>
        <v>US Total</v>
      </c>
      <c r="E132">
        <v>14059.9</v>
      </c>
      <c r="F132">
        <v>9879.7000000000007</v>
      </c>
      <c r="G132">
        <v>42131.6</v>
      </c>
      <c r="H132">
        <v>36294.400000000001</v>
      </c>
      <c r="I132" s="4">
        <f t="shared" si="35"/>
        <v>56191.5</v>
      </c>
      <c r="J132" s="35">
        <f t="shared" si="35"/>
        <v>46174.100000000006</v>
      </c>
      <c r="K132" s="31">
        <f t="shared" si="49"/>
        <v>21.694846244972823</v>
      </c>
      <c r="L132" s="67">
        <f t="shared" ref="L132:L137" si="75">+I132-I131</f>
        <v>551.19999999999709</v>
      </c>
      <c r="M132" s="4">
        <f t="shared" si="71"/>
        <v>665.95000000000073</v>
      </c>
      <c r="N132" s="4">
        <f t="shared" si="72"/>
        <v>34</v>
      </c>
      <c r="O132" s="4">
        <f t="shared" si="73"/>
        <v>615.00000000000728</v>
      </c>
    </row>
    <row r="133" spans="1:16" x14ac:dyDescent="0.25">
      <c r="A133" s="20">
        <f t="shared" si="69"/>
        <v>39569</v>
      </c>
      <c r="B133" s="71"/>
      <c r="C133" s="71"/>
      <c r="D133" s="15" t="str">
        <f t="shared" si="74"/>
        <v>US Total</v>
      </c>
      <c r="E133">
        <v>13459.6</v>
      </c>
      <c r="F133">
        <v>9467.7000000000007</v>
      </c>
      <c r="G133">
        <v>43069.1</v>
      </c>
      <c r="H133">
        <v>37161.699999999997</v>
      </c>
      <c r="I133" s="4">
        <f t="shared" si="35"/>
        <v>56528.7</v>
      </c>
      <c r="J133" s="35">
        <f t="shared" si="35"/>
        <v>46629.399999999994</v>
      </c>
      <c r="K133" s="31">
        <f t="shared" si="49"/>
        <v>21.229739177428854</v>
      </c>
      <c r="L133" s="67">
        <f t="shared" si="75"/>
        <v>337.19999999999709</v>
      </c>
      <c r="M133" s="4">
        <f t="shared" ref="M133:M138" si="76">AVERAGE(L130:L133)</f>
        <v>633.14999999999782</v>
      </c>
      <c r="N133" s="4">
        <f t="shared" ref="N133:N138" si="77">+N132+1</f>
        <v>35</v>
      </c>
      <c r="O133" s="4">
        <f t="shared" ref="O133:O138" si="78">+J133-J132</f>
        <v>455.29999999998836</v>
      </c>
      <c r="P133">
        <v>2381</v>
      </c>
    </row>
    <row r="134" spans="1:16" x14ac:dyDescent="0.25">
      <c r="A134" s="20">
        <f t="shared" si="69"/>
        <v>39576</v>
      </c>
      <c r="B134" s="71"/>
      <c r="C134" s="71"/>
      <c r="D134" s="15" t="str">
        <f t="shared" si="74"/>
        <v>US Total</v>
      </c>
      <c r="E134">
        <v>13011.9</v>
      </c>
      <c r="F134">
        <v>9834.7999999999993</v>
      </c>
      <c r="G134">
        <v>44064</v>
      </c>
      <c r="H134">
        <v>38308.5</v>
      </c>
      <c r="I134" s="4">
        <f t="shared" si="35"/>
        <v>57075.9</v>
      </c>
      <c r="J134" s="35">
        <f t="shared" si="35"/>
        <v>48143.3</v>
      </c>
      <c r="K134" s="31">
        <f t="shared" si="49"/>
        <v>18.554191341266591</v>
      </c>
      <c r="L134" s="67">
        <f t="shared" si="75"/>
        <v>547.20000000000437</v>
      </c>
      <c r="M134" s="4">
        <f t="shared" si="76"/>
        <v>552.72500000000036</v>
      </c>
      <c r="N134" s="4">
        <f t="shared" si="77"/>
        <v>36</v>
      </c>
      <c r="O134" s="4">
        <f t="shared" si="78"/>
        <v>1513.9000000000087</v>
      </c>
      <c r="P134" s="72">
        <v>2520.6</v>
      </c>
    </row>
    <row r="135" spans="1:16" x14ac:dyDescent="0.25">
      <c r="A135" s="20">
        <f t="shared" ref="A135:A140" si="79">+A134+7</f>
        <v>39583</v>
      </c>
      <c r="B135" s="71"/>
      <c r="C135" s="71"/>
      <c r="D135" s="15" t="str">
        <f t="shared" ref="D135:D140" si="80">+D134</f>
        <v>US Total</v>
      </c>
      <c r="E135">
        <v>12775</v>
      </c>
      <c r="F135">
        <v>9682.1</v>
      </c>
      <c r="G135">
        <v>44808.1</v>
      </c>
      <c r="H135">
        <v>39119.4</v>
      </c>
      <c r="I135" s="4">
        <f t="shared" si="35"/>
        <v>57583.1</v>
      </c>
      <c r="J135" s="35">
        <f t="shared" si="35"/>
        <v>48801.5</v>
      </c>
      <c r="K135" s="31">
        <f t="shared" si="49"/>
        <v>17.99452885669497</v>
      </c>
      <c r="L135" s="67">
        <f t="shared" si="75"/>
        <v>507.19999999999709</v>
      </c>
      <c r="M135" s="4">
        <f t="shared" si="76"/>
        <v>485.69999999999891</v>
      </c>
      <c r="N135" s="4">
        <f t="shared" si="77"/>
        <v>37</v>
      </c>
      <c r="O135" s="4">
        <f t="shared" si="78"/>
        <v>658.19999999999709</v>
      </c>
      <c r="P135" s="63">
        <v>2789.5</v>
      </c>
    </row>
    <row r="136" spans="1:16" x14ac:dyDescent="0.25">
      <c r="A136" s="20">
        <f t="shared" si="79"/>
        <v>39590</v>
      </c>
      <c r="B136" s="71"/>
      <c r="C136" s="71"/>
      <c r="D136" s="15" t="str">
        <f t="shared" si="80"/>
        <v>US Total</v>
      </c>
      <c r="E136">
        <v>12180</v>
      </c>
      <c r="F136">
        <v>9268.2000000000007</v>
      </c>
      <c r="G136">
        <v>45880.6</v>
      </c>
      <c r="H136">
        <v>40209.4</v>
      </c>
      <c r="I136" s="4">
        <f t="shared" si="35"/>
        <v>58060.6</v>
      </c>
      <c r="J136" s="35">
        <f t="shared" si="35"/>
        <v>49477.600000000006</v>
      </c>
      <c r="K136" s="31">
        <f t="shared" si="49"/>
        <v>17.347244005368069</v>
      </c>
      <c r="L136" s="67">
        <f t="shared" si="75"/>
        <v>477.5</v>
      </c>
      <c r="M136" s="4">
        <f t="shared" si="76"/>
        <v>467.27499999999964</v>
      </c>
      <c r="N136" s="4">
        <f t="shared" si="77"/>
        <v>38</v>
      </c>
      <c r="O136" s="4">
        <f t="shared" si="78"/>
        <v>676.10000000000582</v>
      </c>
      <c r="P136" s="72">
        <v>3015.5</v>
      </c>
    </row>
    <row r="137" spans="1:16" x14ac:dyDescent="0.25">
      <c r="A137" s="20">
        <f t="shared" si="79"/>
        <v>39597</v>
      </c>
      <c r="B137" s="71"/>
      <c r="C137" s="71"/>
      <c r="D137" s="15" t="str">
        <f t="shared" si="80"/>
        <v>US Total</v>
      </c>
      <c r="E137">
        <v>11725</v>
      </c>
      <c r="F137">
        <v>8642.2999999999993</v>
      </c>
      <c r="G137">
        <v>46865.7</v>
      </c>
      <c r="H137">
        <v>41211.1</v>
      </c>
      <c r="I137" s="4">
        <f t="shared" si="35"/>
        <v>58590.7</v>
      </c>
      <c r="J137" s="35">
        <f t="shared" si="35"/>
        <v>49853.399999999994</v>
      </c>
      <c r="K137" s="31">
        <f t="shared" si="49"/>
        <v>17.525986191513532</v>
      </c>
      <c r="L137" s="67">
        <f t="shared" si="75"/>
        <v>530.09999999999854</v>
      </c>
      <c r="M137" s="4">
        <f t="shared" si="76"/>
        <v>515.5</v>
      </c>
      <c r="N137" s="4">
        <f t="shared" si="77"/>
        <v>39</v>
      </c>
      <c r="O137" s="4">
        <f t="shared" si="78"/>
        <v>375.79999999998836</v>
      </c>
      <c r="P137" s="72">
        <v>3187.7</v>
      </c>
    </row>
    <row r="138" spans="1:16" x14ac:dyDescent="0.25">
      <c r="A138" s="20">
        <f t="shared" si="79"/>
        <v>39604</v>
      </c>
      <c r="B138" s="71"/>
      <c r="C138" s="71"/>
      <c r="D138" s="15" t="str">
        <f t="shared" si="80"/>
        <v>US Total</v>
      </c>
      <c r="E138">
        <v>11084.7</v>
      </c>
      <c r="F138">
        <v>8343.1</v>
      </c>
      <c r="G138">
        <v>48030.7</v>
      </c>
      <c r="H138">
        <v>42037</v>
      </c>
      <c r="I138" s="4">
        <f t="shared" si="35"/>
        <v>59115.399999999994</v>
      </c>
      <c r="J138" s="35">
        <f t="shared" si="35"/>
        <v>50380.1</v>
      </c>
      <c r="K138" s="31">
        <f t="shared" si="49"/>
        <v>17.338790514508705</v>
      </c>
      <c r="L138" s="67">
        <f t="shared" ref="L138:L143" si="81">+I138-I137</f>
        <v>524.69999999999709</v>
      </c>
      <c r="M138" s="4">
        <f t="shared" si="76"/>
        <v>509.87499999999818</v>
      </c>
      <c r="N138" s="4">
        <f t="shared" si="77"/>
        <v>40</v>
      </c>
      <c r="O138" s="4">
        <f t="shared" si="78"/>
        <v>526.70000000000437</v>
      </c>
      <c r="P138" s="72">
        <v>3241.6</v>
      </c>
    </row>
    <row r="139" spans="1:16" x14ac:dyDescent="0.25">
      <c r="A139" s="20">
        <f t="shared" si="79"/>
        <v>39611</v>
      </c>
      <c r="B139" s="71"/>
      <c r="C139" s="71"/>
      <c r="D139" s="15" t="str">
        <f t="shared" si="80"/>
        <v>US Total</v>
      </c>
      <c r="E139">
        <v>10340.6</v>
      </c>
      <c r="F139">
        <v>8273.7000000000007</v>
      </c>
      <c r="G139">
        <v>49117.7</v>
      </c>
      <c r="H139">
        <v>42933.2</v>
      </c>
      <c r="I139" s="4">
        <f t="shared" si="35"/>
        <v>59458.299999999996</v>
      </c>
      <c r="J139" s="35">
        <f t="shared" si="35"/>
        <v>51206.899999999994</v>
      </c>
      <c r="K139" s="31">
        <f t="shared" si="49"/>
        <v>16.113844032737788</v>
      </c>
      <c r="L139" s="67">
        <f t="shared" si="81"/>
        <v>342.90000000000146</v>
      </c>
      <c r="M139" s="4">
        <f t="shared" ref="M139:M145" si="82">AVERAGE(L136:L139)</f>
        <v>468.79999999999927</v>
      </c>
      <c r="N139" s="4">
        <f t="shared" ref="N139:N144" si="83">+N138+1</f>
        <v>41</v>
      </c>
      <c r="O139" s="4">
        <f t="shared" ref="O139:O144" si="84">+J139-J138</f>
        <v>826.79999999999563</v>
      </c>
      <c r="P139" s="72">
        <v>3466.6</v>
      </c>
    </row>
    <row r="140" spans="1:16" x14ac:dyDescent="0.25">
      <c r="A140" s="20">
        <f t="shared" si="79"/>
        <v>39618</v>
      </c>
      <c r="B140" s="71"/>
      <c r="C140" s="71"/>
      <c r="D140" s="15" t="str">
        <f t="shared" si="80"/>
        <v>US Total</v>
      </c>
      <c r="E140">
        <v>9588</v>
      </c>
      <c r="F140">
        <v>8170.7</v>
      </c>
      <c r="G140">
        <v>50096.6</v>
      </c>
      <c r="H140">
        <v>43788.9</v>
      </c>
      <c r="I140" s="4">
        <f t="shared" si="35"/>
        <v>59684.6</v>
      </c>
      <c r="J140" s="35">
        <f t="shared" si="35"/>
        <v>51959.6</v>
      </c>
      <c r="K140" s="31">
        <f t="shared" si="49"/>
        <v>14.867319994765161</v>
      </c>
      <c r="L140" s="67">
        <f t="shared" si="81"/>
        <v>226.30000000000291</v>
      </c>
      <c r="M140" s="4">
        <f t="shared" si="82"/>
        <v>406</v>
      </c>
      <c r="N140" s="4">
        <f t="shared" si="83"/>
        <v>42</v>
      </c>
      <c r="O140" s="4">
        <f t="shared" si="84"/>
        <v>752.70000000000437</v>
      </c>
      <c r="P140" s="72">
        <v>3638.2</v>
      </c>
    </row>
    <row r="141" spans="1:16" x14ac:dyDescent="0.25">
      <c r="A141" s="20">
        <f t="shared" ref="A141:A146" si="85">+A140+7</f>
        <v>39625</v>
      </c>
      <c r="B141" s="71"/>
      <c r="C141" s="71"/>
      <c r="D141" s="15" t="str">
        <f t="shared" ref="D141:D147" si="86">+D140</f>
        <v>US Total</v>
      </c>
      <c r="E141">
        <v>8724.4</v>
      </c>
      <c r="F141">
        <v>8377.6</v>
      </c>
      <c r="G141">
        <v>51286.1</v>
      </c>
      <c r="H141">
        <v>44649.8</v>
      </c>
      <c r="I141" s="4">
        <f t="shared" si="35"/>
        <v>60010.5</v>
      </c>
      <c r="J141" s="35">
        <f t="shared" si="35"/>
        <v>53027.4</v>
      </c>
      <c r="K141" s="31">
        <f t="shared" si="49"/>
        <v>13.16885232917322</v>
      </c>
      <c r="L141" s="67">
        <f t="shared" si="81"/>
        <v>325.90000000000146</v>
      </c>
      <c r="M141" s="4">
        <f t="shared" si="82"/>
        <v>354.95000000000073</v>
      </c>
      <c r="N141" s="4">
        <f t="shared" si="83"/>
        <v>43</v>
      </c>
      <c r="O141" s="4">
        <f t="shared" si="84"/>
        <v>1067.8000000000029</v>
      </c>
      <c r="P141" s="72">
        <v>3940.7</v>
      </c>
    </row>
    <row r="142" spans="1:16" x14ac:dyDescent="0.25">
      <c r="A142" s="20">
        <f t="shared" si="85"/>
        <v>39632</v>
      </c>
      <c r="B142" s="71"/>
      <c r="C142" s="71"/>
      <c r="D142" s="15" t="str">
        <f t="shared" si="86"/>
        <v>US Total</v>
      </c>
      <c r="E142">
        <v>8131.2</v>
      </c>
      <c r="F142">
        <v>8572.7999999999993</v>
      </c>
      <c r="G142">
        <v>52216.7</v>
      </c>
      <c r="H142">
        <v>45462.400000000001</v>
      </c>
      <c r="I142" s="4">
        <f t="shared" si="35"/>
        <v>60347.899999999994</v>
      </c>
      <c r="J142" s="35">
        <f t="shared" si="35"/>
        <v>54035.199999999997</v>
      </c>
      <c r="K142" s="31">
        <f t="shared" si="49"/>
        <v>11.68256988037426</v>
      </c>
      <c r="L142" s="67">
        <f t="shared" si="81"/>
        <v>337.39999999999418</v>
      </c>
      <c r="M142" s="4">
        <f t="shared" si="82"/>
        <v>308.125</v>
      </c>
      <c r="N142" s="4">
        <f t="shared" si="83"/>
        <v>44</v>
      </c>
      <c r="O142" s="4">
        <f t="shared" si="84"/>
        <v>1007.7999999999956</v>
      </c>
      <c r="P142" s="72">
        <v>4247.6000000000004</v>
      </c>
    </row>
    <row r="143" spans="1:16" x14ac:dyDescent="0.25">
      <c r="A143" s="20">
        <f t="shared" si="85"/>
        <v>39639</v>
      </c>
      <c r="B143" s="71"/>
      <c r="C143" s="71"/>
      <c r="D143" s="15" t="str">
        <f t="shared" si="86"/>
        <v>US Total</v>
      </c>
      <c r="E143">
        <v>7811.3</v>
      </c>
      <c r="F143">
        <v>8041.4</v>
      </c>
      <c r="G143">
        <v>52905.7</v>
      </c>
      <c r="H143">
        <v>46663.4</v>
      </c>
      <c r="I143" s="4">
        <f t="shared" si="35"/>
        <v>60717</v>
      </c>
      <c r="J143" s="35">
        <f t="shared" si="35"/>
        <v>54704.800000000003</v>
      </c>
      <c r="K143" s="35">
        <f t="shared" si="49"/>
        <v>10.990260452464851</v>
      </c>
      <c r="L143" s="67">
        <f t="shared" si="81"/>
        <v>369.10000000000582</v>
      </c>
      <c r="M143" s="4">
        <f t="shared" si="82"/>
        <v>314.67500000000109</v>
      </c>
      <c r="N143" s="4">
        <f t="shared" si="83"/>
        <v>45</v>
      </c>
      <c r="O143" s="4">
        <f t="shared" si="84"/>
        <v>669.60000000000582</v>
      </c>
      <c r="P143" s="72">
        <v>4708.3999999999996</v>
      </c>
    </row>
    <row r="144" spans="1:16" x14ac:dyDescent="0.25">
      <c r="A144" s="20">
        <f t="shared" si="85"/>
        <v>39646</v>
      </c>
      <c r="B144" s="71"/>
      <c r="C144" s="71"/>
      <c r="D144" s="15" t="str">
        <f t="shared" si="86"/>
        <v>US Total</v>
      </c>
      <c r="E144">
        <v>7387.6</v>
      </c>
      <c r="F144">
        <v>7540.4</v>
      </c>
      <c r="G144">
        <v>53652.9</v>
      </c>
      <c r="H144">
        <v>47576.5</v>
      </c>
      <c r="I144" s="4">
        <f t="shared" si="35"/>
        <v>61040.5</v>
      </c>
      <c r="J144" s="35">
        <f t="shared" si="35"/>
        <v>55116.9</v>
      </c>
      <c r="K144" s="31">
        <f t="shared" si="49"/>
        <v>10.747338837997056</v>
      </c>
      <c r="L144" s="67">
        <f>+I144-I143</f>
        <v>323.5</v>
      </c>
      <c r="M144" s="4">
        <f t="shared" si="82"/>
        <v>338.97500000000036</v>
      </c>
      <c r="N144" s="4">
        <f t="shared" si="83"/>
        <v>46</v>
      </c>
      <c r="O144" s="4">
        <f t="shared" si="84"/>
        <v>412.09999999999854</v>
      </c>
      <c r="P144" s="72">
        <v>5208</v>
      </c>
    </row>
    <row r="145" spans="1:17" x14ac:dyDescent="0.25">
      <c r="A145" s="20">
        <f t="shared" si="85"/>
        <v>39653</v>
      </c>
      <c r="B145" s="71"/>
      <c r="C145" s="71"/>
      <c r="D145" s="15" t="str">
        <f t="shared" si="86"/>
        <v>US Total</v>
      </c>
      <c r="E145">
        <v>6215.7</v>
      </c>
      <c r="F145">
        <v>7270.4</v>
      </c>
      <c r="G145">
        <v>54887.9</v>
      </c>
      <c r="H145">
        <v>48622.5</v>
      </c>
      <c r="I145" s="4">
        <f t="shared" si="35"/>
        <v>61103.6</v>
      </c>
      <c r="J145" s="35">
        <f t="shared" si="35"/>
        <v>55892.9</v>
      </c>
      <c r="K145" s="31">
        <f t="shared" si="49"/>
        <v>9.3226509986062531</v>
      </c>
      <c r="L145" s="67">
        <f>+I145-I144</f>
        <v>63.099999999998545</v>
      </c>
      <c r="M145" s="4">
        <f t="shared" si="82"/>
        <v>273.27499999999964</v>
      </c>
      <c r="N145" s="4">
        <f t="shared" ref="N145:N150" si="87">+N144+1</f>
        <v>47</v>
      </c>
      <c r="O145" s="4">
        <f t="shared" ref="O145:O184" si="88">+J145-J144</f>
        <v>776</v>
      </c>
      <c r="P145" s="72">
        <v>6033.7</v>
      </c>
    </row>
    <row r="146" spans="1:17" x14ac:dyDescent="0.25">
      <c r="A146" s="20">
        <f t="shared" si="85"/>
        <v>39660</v>
      </c>
      <c r="B146" s="71"/>
      <c r="C146" s="71"/>
      <c r="D146" s="15" t="str">
        <f t="shared" si="86"/>
        <v>US Total</v>
      </c>
      <c r="E146">
        <v>5677.2</v>
      </c>
      <c r="F146">
        <v>6844</v>
      </c>
      <c r="G146">
        <v>55764.3</v>
      </c>
      <c r="H146">
        <v>49360.9</v>
      </c>
      <c r="I146" s="4">
        <f t="shared" si="35"/>
        <v>61441.5</v>
      </c>
      <c r="J146" s="35">
        <f t="shared" si="35"/>
        <v>56204.9</v>
      </c>
      <c r="K146" s="31">
        <f t="shared" si="49"/>
        <v>9.3169812596410662</v>
      </c>
      <c r="L146" s="67">
        <f>+I146-I145</f>
        <v>337.90000000000146</v>
      </c>
      <c r="M146" s="4">
        <f t="shared" ref="M146:M153" si="89">AVERAGE(L143:L146)</f>
        <v>273.40000000000146</v>
      </c>
      <c r="N146" s="4">
        <f t="shared" si="87"/>
        <v>48</v>
      </c>
      <c r="O146" s="4">
        <f t="shared" si="88"/>
        <v>312</v>
      </c>
      <c r="P146" s="72">
        <v>6752.1</v>
      </c>
    </row>
    <row r="147" spans="1:17" x14ac:dyDescent="0.25">
      <c r="A147" s="20">
        <f t="shared" ref="A147:A154" si="90">+A146+7</f>
        <v>39667</v>
      </c>
      <c r="B147" s="71"/>
      <c r="C147" s="71"/>
      <c r="D147" s="15" t="str">
        <f t="shared" si="86"/>
        <v>US Total</v>
      </c>
      <c r="E147">
        <v>5124</v>
      </c>
      <c r="F147">
        <v>5488.5</v>
      </c>
      <c r="G147">
        <v>56703.4</v>
      </c>
      <c r="H147">
        <v>50504.3</v>
      </c>
      <c r="I147" s="4">
        <f t="shared" si="35"/>
        <v>61827.4</v>
      </c>
      <c r="J147" s="35">
        <f t="shared" si="35"/>
        <v>55992.800000000003</v>
      </c>
      <c r="K147" s="31">
        <f t="shared" si="49"/>
        <v>10.420268320212589</v>
      </c>
      <c r="L147" s="67">
        <f>+I147-I146</f>
        <v>385.90000000000146</v>
      </c>
      <c r="M147" s="4">
        <f t="shared" si="89"/>
        <v>277.60000000000036</v>
      </c>
      <c r="N147" s="4">
        <f t="shared" si="87"/>
        <v>49</v>
      </c>
      <c r="O147" s="4">
        <f t="shared" si="88"/>
        <v>-212.09999999999854</v>
      </c>
      <c r="P147" s="72">
        <v>7701.1</v>
      </c>
    </row>
    <row r="148" spans="1:17" x14ac:dyDescent="0.25">
      <c r="A148" s="20">
        <f t="shared" si="90"/>
        <v>39674</v>
      </c>
      <c r="B148" s="71"/>
      <c r="C148" s="71"/>
      <c r="D148" s="15" t="str">
        <f t="shared" ref="D148:D153" si="91">+D147</f>
        <v>US Total</v>
      </c>
      <c r="E148">
        <v>4230.2</v>
      </c>
      <c r="F148">
        <v>4677.3</v>
      </c>
      <c r="G148">
        <v>57793.9</v>
      </c>
      <c r="H148">
        <v>51454.400000000001</v>
      </c>
      <c r="I148" s="4">
        <f t="shared" si="35"/>
        <v>62024.1</v>
      </c>
      <c r="J148" s="35">
        <f t="shared" si="35"/>
        <v>56131.700000000004</v>
      </c>
      <c r="K148" s="31">
        <f t="shared" si="49"/>
        <v>10.497455092220598</v>
      </c>
      <c r="L148" s="4">
        <f>AVERAGE(L77:L94)</f>
        <v>772.7388888888886</v>
      </c>
      <c r="M148" s="4">
        <f t="shared" si="89"/>
        <v>389.90972222222251</v>
      </c>
      <c r="N148" s="4">
        <f t="shared" si="87"/>
        <v>50</v>
      </c>
      <c r="O148" s="4">
        <f t="shared" si="88"/>
        <v>138.90000000000146</v>
      </c>
      <c r="P148" s="72">
        <v>8196</v>
      </c>
      <c r="Q148" s="4"/>
    </row>
    <row r="149" spans="1:17" x14ac:dyDescent="0.25">
      <c r="A149" s="20">
        <f t="shared" si="90"/>
        <v>39681</v>
      </c>
      <c r="B149" s="71"/>
      <c r="C149" s="71"/>
      <c r="D149" s="15" t="str">
        <f t="shared" si="91"/>
        <v>US Total</v>
      </c>
      <c r="E149">
        <v>3711.7</v>
      </c>
      <c r="F149">
        <v>3583.6</v>
      </c>
      <c r="G149">
        <v>58615.4</v>
      </c>
      <c r="H149">
        <v>52721.1</v>
      </c>
      <c r="I149" s="4">
        <f t="shared" si="35"/>
        <v>62327.1</v>
      </c>
      <c r="J149" s="35">
        <f t="shared" si="35"/>
        <v>56304.7</v>
      </c>
      <c r="K149" s="31">
        <f t="shared" si="49"/>
        <v>10.696087537985278</v>
      </c>
      <c r="L149" s="4">
        <f>AVERAGE(L78:L95)</f>
        <v>685.92777777777758</v>
      </c>
      <c r="M149" s="4">
        <f t="shared" si="89"/>
        <v>545.61666666666724</v>
      </c>
      <c r="N149" s="4">
        <f t="shared" si="87"/>
        <v>51</v>
      </c>
      <c r="O149" s="4">
        <f t="shared" si="88"/>
        <v>172.99999999999272</v>
      </c>
      <c r="P149" s="72">
        <v>8739.9</v>
      </c>
      <c r="Q149" s="4"/>
    </row>
    <row r="150" spans="1:17" x14ac:dyDescent="0.25">
      <c r="A150" s="20">
        <f t="shared" si="90"/>
        <v>39688</v>
      </c>
      <c r="B150" s="71"/>
      <c r="C150" s="71"/>
      <c r="D150" s="15" t="str">
        <f t="shared" si="91"/>
        <v>US Total</v>
      </c>
      <c r="E150">
        <v>2861</v>
      </c>
      <c r="F150">
        <v>2770.7</v>
      </c>
      <c r="G150">
        <v>59666.400000000001</v>
      </c>
      <c r="H150">
        <v>53794.3</v>
      </c>
      <c r="I150" s="4">
        <f t="shared" si="35"/>
        <v>62527.4</v>
      </c>
      <c r="J150" s="35">
        <f t="shared" si="35"/>
        <v>56565</v>
      </c>
      <c r="K150" s="31">
        <f t="shared" si="49"/>
        <v>10.540793777070622</v>
      </c>
      <c r="L150" s="4">
        <f>AVERAGE(L79:L96)</f>
        <v>649.03888888888912</v>
      </c>
      <c r="M150" s="4">
        <f t="shared" si="89"/>
        <v>623.40138888888919</v>
      </c>
      <c r="N150" s="4">
        <f t="shared" si="87"/>
        <v>52</v>
      </c>
      <c r="O150" s="4">
        <f t="shared" si="88"/>
        <v>260.30000000000291</v>
      </c>
      <c r="P150" s="72">
        <v>9129.2000000000007</v>
      </c>
      <c r="Q150" s="4">
        <f>+I150-DATA!N128</f>
        <v>62522</v>
      </c>
    </row>
    <row r="151" spans="1:17" x14ac:dyDescent="0.25">
      <c r="A151" s="20">
        <f t="shared" si="90"/>
        <v>39695</v>
      </c>
      <c r="B151" s="71"/>
      <c r="C151" s="71"/>
      <c r="D151" s="15" t="str">
        <f t="shared" si="91"/>
        <v>US Total</v>
      </c>
      <c r="E151">
        <v>11883.8</v>
      </c>
      <c r="F151">
        <v>15761.7</v>
      </c>
      <c r="G151">
        <v>199.3</v>
      </c>
      <c r="H151">
        <v>883.5</v>
      </c>
      <c r="I151" s="4">
        <f t="shared" si="35"/>
        <v>12083.099999999999</v>
      </c>
      <c r="J151" s="35">
        <f t="shared" si="35"/>
        <v>16645.2</v>
      </c>
      <c r="K151" s="31">
        <f t="shared" si="49"/>
        <v>-27.407901376973555</v>
      </c>
      <c r="L151" s="4">
        <f>AVERAGE(L80:L97)</f>
        <v>597.194444444444</v>
      </c>
      <c r="M151" s="4">
        <f t="shared" si="89"/>
        <v>676.2249999999998</v>
      </c>
      <c r="N151" s="4">
        <v>1</v>
      </c>
      <c r="O151" s="4">
        <f t="shared" si="88"/>
        <v>-39919.800000000003</v>
      </c>
      <c r="P151" s="72">
        <v>11883.8</v>
      </c>
    </row>
    <row r="152" spans="1:17" x14ac:dyDescent="0.25">
      <c r="A152" s="20">
        <f t="shared" si="90"/>
        <v>39702</v>
      </c>
      <c r="B152" s="71"/>
      <c r="C152" s="71"/>
      <c r="D152" s="15" t="str">
        <f t="shared" si="91"/>
        <v>US Total</v>
      </c>
      <c r="E152">
        <v>11346.4</v>
      </c>
      <c r="F152">
        <v>16919.900000000001</v>
      </c>
      <c r="G152">
        <v>1062.0999999999999</v>
      </c>
      <c r="H152">
        <v>1757.4</v>
      </c>
      <c r="I152" s="4">
        <f t="shared" si="35"/>
        <v>12408.5</v>
      </c>
      <c r="J152" s="35">
        <f t="shared" si="35"/>
        <v>18677.300000000003</v>
      </c>
      <c r="K152" s="31">
        <f t="shared" si="49"/>
        <v>-33.563737799360723</v>
      </c>
      <c r="L152" s="4">
        <f t="shared" ref="L152:L184" si="92">+I152-I151</f>
        <v>325.40000000000146</v>
      </c>
      <c r="M152" s="4">
        <f t="shared" si="89"/>
        <v>564.39027777777801</v>
      </c>
      <c r="N152" s="4">
        <f>+N151+1</f>
        <v>2</v>
      </c>
      <c r="O152" s="4">
        <f t="shared" si="88"/>
        <v>2032.1000000000022</v>
      </c>
    </row>
    <row r="153" spans="1:17" x14ac:dyDescent="0.25">
      <c r="A153" s="20">
        <f t="shared" si="90"/>
        <v>39709</v>
      </c>
      <c r="B153" s="71"/>
      <c r="C153" s="71"/>
      <c r="D153" s="15" t="str">
        <f t="shared" si="91"/>
        <v>US Total</v>
      </c>
      <c r="E153">
        <v>10900</v>
      </c>
      <c r="F153">
        <v>17414.7</v>
      </c>
      <c r="G153">
        <v>2056.3000000000002</v>
      </c>
      <c r="H153">
        <v>2960.4</v>
      </c>
      <c r="I153" s="4">
        <f t="shared" si="35"/>
        <v>12956.3</v>
      </c>
      <c r="J153" s="35">
        <f t="shared" si="35"/>
        <v>20375.100000000002</v>
      </c>
      <c r="K153" s="31">
        <f t="shared" si="49"/>
        <v>-36.411109638725712</v>
      </c>
      <c r="L153" s="4">
        <f t="shared" si="92"/>
        <v>547.79999999999927</v>
      </c>
      <c r="M153" s="4">
        <f t="shared" si="89"/>
        <v>529.85833333333346</v>
      </c>
      <c r="N153" s="4">
        <f t="shared" ref="N153:N202" si="93">+N152+1</f>
        <v>3</v>
      </c>
      <c r="O153" s="4">
        <f t="shared" si="88"/>
        <v>1697.7999999999993</v>
      </c>
    </row>
    <row r="154" spans="1:17" x14ac:dyDescent="0.25">
      <c r="A154" s="20">
        <f t="shared" si="90"/>
        <v>39716</v>
      </c>
      <c r="B154" s="71"/>
      <c r="C154" s="71"/>
      <c r="D154" s="15" t="str">
        <f t="shared" ref="D154:D161" si="94">+D153</f>
        <v>US Total</v>
      </c>
      <c r="E154">
        <v>10302.6</v>
      </c>
      <c r="F154">
        <v>18468.099999999999</v>
      </c>
      <c r="G154">
        <v>3220.2</v>
      </c>
      <c r="H154">
        <v>5316.8</v>
      </c>
      <c r="I154" s="4">
        <f t="shared" si="35"/>
        <v>13522.8</v>
      </c>
      <c r="J154" s="35">
        <f t="shared" si="35"/>
        <v>23784.899999999998</v>
      </c>
      <c r="K154" s="31">
        <f t="shared" si="49"/>
        <v>-43.145441015097809</v>
      </c>
      <c r="L154" s="4">
        <f t="shared" si="92"/>
        <v>566.5</v>
      </c>
      <c r="M154" s="4"/>
      <c r="N154" s="4">
        <f t="shared" si="93"/>
        <v>4</v>
      </c>
      <c r="O154" s="4">
        <f t="shared" si="88"/>
        <v>3409.7999999999956</v>
      </c>
    </row>
    <row r="155" spans="1:17" x14ac:dyDescent="0.25">
      <c r="A155" s="20">
        <f t="shared" ref="A155:A161" si="95">+A154+7</f>
        <v>39723</v>
      </c>
      <c r="B155" s="71"/>
      <c r="C155" s="71"/>
      <c r="D155" s="15" t="str">
        <f t="shared" si="94"/>
        <v>US Total</v>
      </c>
      <c r="E155">
        <v>10435.200000000001</v>
      </c>
      <c r="F155">
        <v>18468.099999999999</v>
      </c>
      <c r="G155">
        <v>4045.5</v>
      </c>
      <c r="H155">
        <v>5361.8</v>
      </c>
      <c r="I155" s="4">
        <f t="shared" si="35"/>
        <v>14480.7</v>
      </c>
      <c r="J155" s="35">
        <f t="shared" si="35"/>
        <v>23829.899999999998</v>
      </c>
      <c r="K155" s="31">
        <f t="shared" si="49"/>
        <v>-39.233064343534792</v>
      </c>
      <c r="L155" s="4">
        <f t="shared" si="92"/>
        <v>957.90000000000146</v>
      </c>
      <c r="N155" s="4">
        <f t="shared" si="93"/>
        <v>5</v>
      </c>
      <c r="O155" s="4">
        <f t="shared" si="88"/>
        <v>45</v>
      </c>
    </row>
    <row r="156" spans="1:17" x14ac:dyDescent="0.25">
      <c r="A156" s="20">
        <f t="shared" si="95"/>
        <v>39730</v>
      </c>
      <c r="B156" s="71"/>
      <c r="C156" s="71"/>
      <c r="D156" s="15" t="str">
        <f t="shared" si="94"/>
        <v>US Total</v>
      </c>
      <c r="E156">
        <v>10486.9</v>
      </c>
      <c r="F156">
        <v>19158.2</v>
      </c>
      <c r="G156">
        <v>4969</v>
      </c>
      <c r="H156">
        <v>6478</v>
      </c>
      <c r="I156" s="4">
        <f t="shared" si="35"/>
        <v>15455.9</v>
      </c>
      <c r="J156" s="35">
        <f t="shared" si="35"/>
        <v>25636.2</v>
      </c>
      <c r="K156" s="31">
        <f t="shared" si="49"/>
        <v>-39.71064354311482</v>
      </c>
      <c r="L156" s="4">
        <f t="shared" si="92"/>
        <v>975.19999999999891</v>
      </c>
      <c r="N156" s="4">
        <f t="shared" si="93"/>
        <v>6</v>
      </c>
      <c r="O156" s="4">
        <f t="shared" si="88"/>
        <v>1806.3000000000029</v>
      </c>
    </row>
    <row r="157" spans="1:17" x14ac:dyDescent="0.25">
      <c r="A157" s="20">
        <f t="shared" si="95"/>
        <v>39737</v>
      </c>
      <c r="B157" s="71"/>
      <c r="C157" s="71"/>
      <c r="D157" s="15" t="str">
        <f t="shared" si="94"/>
        <v>US Total</v>
      </c>
      <c r="E157">
        <v>10522.9</v>
      </c>
      <c r="F157">
        <v>19421.3</v>
      </c>
      <c r="G157">
        <v>5722.6</v>
      </c>
      <c r="H157">
        <v>7760.5</v>
      </c>
      <c r="I157" s="4">
        <f t="shared" si="35"/>
        <v>16245.5</v>
      </c>
      <c r="J157" s="35">
        <f t="shared" si="35"/>
        <v>27181.8</v>
      </c>
      <c r="K157" s="31">
        <f t="shared" si="49"/>
        <v>-40.233906510974251</v>
      </c>
      <c r="L157" s="4">
        <f t="shared" si="92"/>
        <v>789.60000000000036</v>
      </c>
      <c r="N157" s="4">
        <f t="shared" si="93"/>
        <v>7</v>
      </c>
      <c r="O157" s="4">
        <f t="shared" si="88"/>
        <v>1545.5999999999985</v>
      </c>
    </row>
    <row r="158" spans="1:17" x14ac:dyDescent="0.25">
      <c r="A158" s="20">
        <f t="shared" si="95"/>
        <v>39744</v>
      </c>
      <c r="B158" s="71"/>
      <c r="C158" s="71"/>
      <c r="D158" s="15" t="str">
        <f t="shared" si="94"/>
        <v>US Total</v>
      </c>
      <c r="E158">
        <v>10332.9</v>
      </c>
      <c r="F158">
        <v>18806.400000000001</v>
      </c>
      <c r="G158">
        <v>6325.7</v>
      </c>
      <c r="H158">
        <v>9010.7000000000007</v>
      </c>
      <c r="I158" s="4">
        <f t="shared" si="35"/>
        <v>16658.599999999999</v>
      </c>
      <c r="J158" s="35">
        <f t="shared" si="35"/>
        <v>27817.100000000002</v>
      </c>
      <c r="K158" s="31">
        <f t="shared" si="49"/>
        <v>-40.113814883650711</v>
      </c>
      <c r="L158" s="4">
        <f t="shared" si="92"/>
        <v>413.09999999999854</v>
      </c>
      <c r="N158" s="4">
        <f t="shared" si="93"/>
        <v>8</v>
      </c>
      <c r="O158" s="4">
        <f t="shared" si="88"/>
        <v>635.30000000000291</v>
      </c>
    </row>
    <row r="159" spans="1:17" x14ac:dyDescent="0.25">
      <c r="A159" s="20">
        <f t="shared" si="95"/>
        <v>39751</v>
      </c>
      <c r="B159" s="71"/>
      <c r="C159" s="71"/>
      <c r="D159" s="15" t="str">
        <f t="shared" si="94"/>
        <v>US Total</v>
      </c>
      <c r="E159">
        <v>10185.9</v>
      </c>
      <c r="F159">
        <v>18788.3</v>
      </c>
      <c r="G159">
        <v>6944</v>
      </c>
      <c r="H159">
        <v>10533.9</v>
      </c>
      <c r="I159" s="4">
        <f t="shared" si="35"/>
        <v>17129.900000000001</v>
      </c>
      <c r="J159" s="35">
        <f t="shared" si="35"/>
        <v>29322.199999999997</v>
      </c>
      <c r="K159" s="31">
        <f t="shared" si="49"/>
        <v>-41.580440758196843</v>
      </c>
      <c r="L159" s="4">
        <f t="shared" si="92"/>
        <v>471.30000000000291</v>
      </c>
      <c r="N159" s="4">
        <f t="shared" si="93"/>
        <v>9</v>
      </c>
      <c r="O159" s="4">
        <f t="shared" si="88"/>
        <v>1505.0999999999949</v>
      </c>
    </row>
    <row r="160" spans="1:17" x14ac:dyDescent="0.25">
      <c r="A160" s="20">
        <f t="shared" si="95"/>
        <v>39758</v>
      </c>
      <c r="B160" s="71"/>
      <c r="C160" s="71"/>
      <c r="D160" s="15" t="str">
        <f t="shared" si="94"/>
        <v>US Total</v>
      </c>
      <c r="E160">
        <v>9732.7999999999993</v>
      </c>
      <c r="F160">
        <v>18642.400000000001</v>
      </c>
      <c r="G160">
        <v>7752.6</v>
      </c>
      <c r="H160">
        <v>12043.6</v>
      </c>
      <c r="I160" s="4">
        <f t="shared" si="35"/>
        <v>17485.400000000001</v>
      </c>
      <c r="J160" s="35">
        <f t="shared" si="35"/>
        <v>30686</v>
      </c>
      <c r="K160" s="31">
        <f t="shared" si="49"/>
        <v>-43.018314540832947</v>
      </c>
      <c r="L160" s="4">
        <f t="shared" si="92"/>
        <v>355.5</v>
      </c>
      <c r="N160" s="4">
        <f t="shared" si="93"/>
        <v>10</v>
      </c>
      <c r="O160" s="4">
        <f t="shared" si="88"/>
        <v>1363.8000000000029</v>
      </c>
    </row>
    <row r="161" spans="1:15" x14ac:dyDescent="0.25">
      <c r="A161" s="20">
        <f t="shared" si="95"/>
        <v>39765</v>
      </c>
      <c r="B161" s="71"/>
      <c r="C161" s="71"/>
      <c r="D161" s="15" t="str">
        <f t="shared" si="94"/>
        <v>US Total</v>
      </c>
      <c r="E161">
        <v>9410.7000000000007</v>
      </c>
      <c r="F161">
        <v>19111.3</v>
      </c>
      <c r="G161">
        <v>8458.1</v>
      </c>
      <c r="H161">
        <v>13420.3</v>
      </c>
      <c r="I161" s="4">
        <f t="shared" si="35"/>
        <v>17868.800000000003</v>
      </c>
      <c r="J161" s="35">
        <f t="shared" si="35"/>
        <v>32531.599999999999</v>
      </c>
      <c r="K161" s="31">
        <f t="shared" si="49"/>
        <v>-45.072483370015604</v>
      </c>
      <c r="L161" s="4">
        <f t="shared" si="92"/>
        <v>383.40000000000146</v>
      </c>
      <c r="N161" s="4">
        <f t="shared" si="93"/>
        <v>11</v>
      </c>
      <c r="O161" s="4">
        <f t="shared" si="88"/>
        <v>1845.5999999999985</v>
      </c>
    </row>
    <row r="162" spans="1:15" x14ac:dyDescent="0.25">
      <c r="A162" s="20">
        <f t="shared" ref="A162:A255" si="96">+A161+7</f>
        <v>39772</v>
      </c>
      <c r="B162" s="71"/>
      <c r="C162" s="71"/>
      <c r="D162" s="15" t="str">
        <f t="shared" ref="D162:D176" si="97">+D161</f>
        <v>US Total</v>
      </c>
      <c r="E162">
        <v>9110.1</v>
      </c>
      <c r="F162">
        <v>19513.3</v>
      </c>
      <c r="G162">
        <v>9224</v>
      </c>
      <c r="H162">
        <v>14847.8</v>
      </c>
      <c r="I162" s="4">
        <f t="shared" si="35"/>
        <v>18334.099999999999</v>
      </c>
      <c r="J162" s="35">
        <f t="shared" si="35"/>
        <v>34361.1</v>
      </c>
      <c r="K162" s="31">
        <f t="shared" si="49"/>
        <v>-46.642860676753664</v>
      </c>
      <c r="L162" s="4">
        <f t="shared" si="92"/>
        <v>465.29999999999563</v>
      </c>
      <c r="N162" s="4">
        <f t="shared" si="93"/>
        <v>12</v>
      </c>
      <c r="O162" s="4">
        <f t="shared" si="88"/>
        <v>1829.5</v>
      </c>
    </row>
    <row r="163" spans="1:15" x14ac:dyDescent="0.25">
      <c r="A163" s="20">
        <f t="shared" si="96"/>
        <v>39779</v>
      </c>
      <c r="B163" s="71"/>
      <c r="C163" s="71"/>
      <c r="D163" s="15" t="str">
        <f t="shared" si="97"/>
        <v>US Total</v>
      </c>
      <c r="E163">
        <v>8523.5</v>
      </c>
      <c r="F163">
        <v>19044.3</v>
      </c>
      <c r="G163">
        <v>10197.6</v>
      </c>
      <c r="H163">
        <v>16370.5</v>
      </c>
      <c r="I163" s="4">
        <f t="shared" si="35"/>
        <v>18721.099999999999</v>
      </c>
      <c r="J163" s="35">
        <f t="shared" si="35"/>
        <v>35414.800000000003</v>
      </c>
      <c r="K163" s="31">
        <f t="shared" si="49"/>
        <v>-47.137637371946198</v>
      </c>
      <c r="L163" s="4">
        <f t="shared" si="92"/>
        <v>387</v>
      </c>
      <c r="N163" s="4">
        <f t="shared" si="93"/>
        <v>13</v>
      </c>
      <c r="O163" s="4">
        <f t="shared" si="88"/>
        <v>1053.7000000000044</v>
      </c>
    </row>
    <row r="164" spans="1:15" x14ac:dyDescent="0.25">
      <c r="A164" s="20">
        <f t="shared" si="96"/>
        <v>39786</v>
      </c>
      <c r="B164" s="71"/>
      <c r="C164" s="71"/>
      <c r="D164" s="15" t="str">
        <f t="shared" si="97"/>
        <v>US Total</v>
      </c>
      <c r="E164">
        <v>8763.6</v>
      </c>
      <c r="F164">
        <v>19144.2</v>
      </c>
      <c r="G164">
        <v>10843.1</v>
      </c>
      <c r="H164">
        <v>17426.5</v>
      </c>
      <c r="I164" s="4">
        <f t="shared" si="35"/>
        <v>19606.7</v>
      </c>
      <c r="J164" s="35">
        <f t="shared" si="35"/>
        <v>36570.699999999997</v>
      </c>
      <c r="K164" s="31">
        <f t="shared" si="49"/>
        <v>-46.386861613258702</v>
      </c>
      <c r="L164" s="4">
        <f t="shared" si="92"/>
        <v>885.60000000000218</v>
      </c>
      <c r="N164" s="4">
        <f t="shared" si="93"/>
        <v>14</v>
      </c>
      <c r="O164" s="4">
        <f t="shared" si="88"/>
        <v>1155.8999999999942</v>
      </c>
    </row>
    <row r="165" spans="1:15" x14ac:dyDescent="0.25">
      <c r="A165" s="20">
        <f t="shared" si="96"/>
        <v>39793</v>
      </c>
      <c r="B165" s="71"/>
      <c r="C165" s="71"/>
      <c r="D165" s="15" t="str">
        <f t="shared" si="97"/>
        <v>US Total</v>
      </c>
      <c r="E165">
        <v>8665.9</v>
      </c>
      <c r="F165">
        <v>19082.5</v>
      </c>
      <c r="G165">
        <v>11553.3</v>
      </c>
      <c r="H165">
        <v>18656.599999999999</v>
      </c>
      <c r="I165" s="4">
        <f t="shared" si="35"/>
        <v>20219.199999999997</v>
      </c>
      <c r="J165" s="35">
        <f t="shared" si="35"/>
        <v>37739.1</v>
      </c>
      <c r="K165" s="31">
        <f t="shared" si="49"/>
        <v>-46.423735595178485</v>
      </c>
      <c r="L165" s="4">
        <f t="shared" si="92"/>
        <v>612.49999999999636</v>
      </c>
      <c r="N165" s="4">
        <f>+N164+1</f>
        <v>15</v>
      </c>
      <c r="O165" s="4">
        <f t="shared" si="88"/>
        <v>1168.4000000000015</v>
      </c>
    </row>
    <row r="166" spans="1:15" x14ac:dyDescent="0.25">
      <c r="A166" s="20">
        <f t="shared" si="96"/>
        <v>39800</v>
      </c>
      <c r="B166" s="71"/>
      <c r="C166" s="71"/>
      <c r="D166" s="15" t="str">
        <f t="shared" si="97"/>
        <v>US Total</v>
      </c>
      <c r="E166">
        <v>8386</v>
      </c>
      <c r="F166">
        <v>19243.400000000001</v>
      </c>
      <c r="G166">
        <v>12384.6</v>
      </c>
      <c r="H166">
        <v>19916.599999999999</v>
      </c>
      <c r="I166" s="4">
        <f t="shared" si="35"/>
        <v>20770.599999999999</v>
      </c>
      <c r="J166" s="35">
        <f t="shared" si="35"/>
        <v>39160</v>
      </c>
      <c r="K166" s="31">
        <f t="shared" si="49"/>
        <v>-46.959652706843727</v>
      </c>
      <c r="L166" s="4">
        <f t="shared" si="92"/>
        <v>551.40000000000146</v>
      </c>
      <c r="N166" s="4">
        <f t="shared" si="93"/>
        <v>16</v>
      </c>
      <c r="O166" s="4">
        <f t="shared" si="88"/>
        <v>1420.9000000000015</v>
      </c>
    </row>
    <row r="167" spans="1:15" x14ac:dyDescent="0.25">
      <c r="A167" s="20">
        <f t="shared" si="96"/>
        <v>39807</v>
      </c>
      <c r="B167" s="71"/>
      <c r="C167" s="71"/>
      <c r="D167" s="15" t="str">
        <f t="shared" si="97"/>
        <v>US Total</v>
      </c>
      <c r="E167">
        <v>8053.8</v>
      </c>
      <c r="F167">
        <v>18803.5</v>
      </c>
      <c r="G167">
        <v>12986.7</v>
      </c>
      <c r="H167">
        <v>21057.3</v>
      </c>
      <c r="I167" s="4">
        <f t="shared" si="35"/>
        <v>21040.5</v>
      </c>
      <c r="J167" s="35">
        <f t="shared" si="35"/>
        <v>39860.800000000003</v>
      </c>
      <c r="K167" s="31">
        <f t="shared" si="49"/>
        <v>-47.21505840324329</v>
      </c>
      <c r="L167" s="4">
        <f t="shared" si="92"/>
        <v>269.90000000000146</v>
      </c>
      <c r="N167" s="4">
        <f t="shared" si="93"/>
        <v>17</v>
      </c>
      <c r="O167" s="4">
        <f t="shared" si="88"/>
        <v>700.80000000000291</v>
      </c>
    </row>
    <row r="168" spans="1:15" x14ac:dyDescent="0.25">
      <c r="A168" s="20">
        <f t="shared" si="96"/>
        <v>39814</v>
      </c>
      <c r="B168" s="71"/>
      <c r="C168" s="71"/>
      <c r="D168" s="15" t="str">
        <f t="shared" si="97"/>
        <v>US Total</v>
      </c>
      <c r="E168">
        <v>7702.9</v>
      </c>
      <c r="F168">
        <v>18496.3</v>
      </c>
      <c r="G168">
        <v>13598.2</v>
      </c>
      <c r="H168">
        <v>21971.3</v>
      </c>
      <c r="I168" s="4">
        <f t="shared" ref="I168:J170" si="98">+E168+G168</f>
        <v>21301.1</v>
      </c>
      <c r="J168" s="35">
        <f t="shared" si="98"/>
        <v>40467.599999999999</v>
      </c>
      <c r="K168" s="31">
        <f t="shared" si="49"/>
        <v>-47.362581423163221</v>
      </c>
      <c r="L168" s="4">
        <f t="shared" si="92"/>
        <v>260.59999999999854</v>
      </c>
      <c r="N168" s="4">
        <f t="shared" si="93"/>
        <v>18</v>
      </c>
      <c r="O168" s="4">
        <f t="shared" si="88"/>
        <v>606.79999999999563</v>
      </c>
    </row>
    <row r="169" spans="1:15" x14ac:dyDescent="0.25">
      <c r="A169" s="20">
        <f t="shared" si="96"/>
        <v>39821</v>
      </c>
      <c r="B169" s="71"/>
      <c r="C169" s="71"/>
      <c r="D169" s="15" t="str">
        <f t="shared" si="97"/>
        <v>US Total</v>
      </c>
      <c r="E169">
        <v>7307.4</v>
      </c>
      <c r="F169">
        <v>19363.099999999999</v>
      </c>
      <c r="G169">
        <v>14209.9</v>
      </c>
      <c r="H169">
        <v>23473.7</v>
      </c>
      <c r="I169" s="4">
        <f t="shared" si="98"/>
        <v>21517.3</v>
      </c>
      <c r="J169" s="35">
        <f t="shared" si="98"/>
        <v>42836.800000000003</v>
      </c>
      <c r="K169" s="31">
        <f t="shared" si="49"/>
        <v>-49.769123744070519</v>
      </c>
      <c r="L169" s="4">
        <f t="shared" si="92"/>
        <v>216.20000000000073</v>
      </c>
      <c r="N169" s="4">
        <f t="shared" si="93"/>
        <v>19</v>
      </c>
      <c r="O169" s="4">
        <f t="shared" si="88"/>
        <v>2369.2000000000044</v>
      </c>
    </row>
    <row r="170" spans="1:15" x14ac:dyDescent="0.25">
      <c r="A170" s="20">
        <f t="shared" si="96"/>
        <v>39828</v>
      </c>
      <c r="B170" s="71"/>
      <c r="C170" s="71"/>
      <c r="D170" s="15" t="str">
        <f t="shared" si="97"/>
        <v>US Total</v>
      </c>
      <c r="E170">
        <v>7709.4</v>
      </c>
      <c r="F170">
        <v>19623.400000000001</v>
      </c>
      <c r="G170">
        <v>14893.9</v>
      </c>
      <c r="H170">
        <v>24808.6</v>
      </c>
      <c r="I170" s="4">
        <f t="shared" si="98"/>
        <v>22603.3</v>
      </c>
      <c r="J170" s="35">
        <f t="shared" si="98"/>
        <v>44432</v>
      </c>
      <c r="K170" s="31">
        <f t="shared" si="49"/>
        <v>-49.128330932661143</v>
      </c>
      <c r="L170" s="4">
        <f t="shared" si="92"/>
        <v>1086</v>
      </c>
      <c r="N170" s="4">
        <f t="shared" si="93"/>
        <v>20</v>
      </c>
      <c r="O170" s="4">
        <f t="shared" si="88"/>
        <v>1595.1999999999971</v>
      </c>
    </row>
    <row r="171" spans="1:15" x14ac:dyDescent="0.25">
      <c r="A171" s="20">
        <f t="shared" si="96"/>
        <v>39835</v>
      </c>
      <c r="B171" s="71"/>
      <c r="C171" s="71"/>
      <c r="D171" s="15" t="str">
        <f t="shared" si="97"/>
        <v>US Total</v>
      </c>
      <c r="E171">
        <v>8078.4</v>
      </c>
      <c r="F171">
        <v>20019.7</v>
      </c>
      <c r="G171">
        <v>15632.6</v>
      </c>
      <c r="H171">
        <v>26300</v>
      </c>
      <c r="I171" s="4">
        <f t="shared" ref="I171:J206" si="99">+E171+G171</f>
        <v>23711</v>
      </c>
      <c r="J171" s="35">
        <f t="shared" si="99"/>
        <v>46319.7</v>
      </c>
      <c r="K171" s="31">
        <f t="shared" si="49"/>
        <v>-48.810117509396648</v>
      </c>
      <c r="L171" s="4">
        <f t="shared" si="92"/>
        <v>1107.7000000000007</v>
      </c>
      <c r="N171" s="4">
        <f t="shared" si="93"/>
        <v>21</v>
      </c>
      <c r="O171" s="4">
        <f t="shared" si="88"/>
        <v>1887.6999999999971</v>
      </c>
    </row>
    <row r="172" spans="1:15" x14ac:dyDescent="0.25">
      <c r="A172" s="20">
        <f t="shared" si="96"/>
        <v>39842</v>
      </c>
      <c r="B172" s="71"/>
      <c r="C172" s="71"/>
      <c r="D172" s="15" t="str">
        <f t="shared" si="97"/>
        <v>US Total</v>
      </c>
      <c r="E172">
        <v>8497</v>
      </c>
      <c r="F172">
        <v>19799.400000000001</v>
      </c>
      <c r="G172">
        <v>16378.2</v>
      </c>
      <c r="H172">
        <v>27549.9</v>
      </c>
      <c r="I172" s="76">
        <f t="shared" si="99"/>
        <v>24875.200000000001</v>
      </c>
      <c r="J172" s="35">
        <f t="shared" si="99"/>
        <v>47349.3</v>
      </c>
      <c r="K172" s="31">
        <f t="shared" si="49"/>
        <v>-47.464482051477006</v>
      </c>
      <c r="L172" s="4">
        <f t="shared" si="92"/>
        <v>1164.2000000000007</v>
      </c>
      <c r="N172" s="4">
        <f t="shared" si="93"/>
        <v>22</v>
      </c>
      <c r="O172" s="4">
        <f t="shared" si="88"/>
        <v>1029.6000000000058</v>
      </c>
    </row>
    <row r="173" spans="1:15" x14ac:dyDescent="0.25">
      <c r="A173" s="20">
        <f t="shared" si="96"/>
        <v>39849</v>
      </c>
      <c r="B173" s="71"/>
      <c r="C173" s="71"/>
      <c r="D173" s="15" t="str">
        <f t="shared" si="97"/>
        <v>US Total</v>
      </c>
      <c r="E173">
        <v>9473.4</v>
      </c>
      <c r="F173">
        <v>19586.3</v>
      </c>
      <c r="G173">
        <v>16945.599999999999</v>
      </c>
      <c r="H173">
        <v>28695.4</v>
      </c>
      <c r="I173" s="76">
        <f t="shared" si="99"/>
        <v>26419</v>
      </c>
      <c r="J173" s="35">
        <f t="shared" si="99"/>
        <v>48281.7</v>
      </c>
      <c r="K173" s="31">
        <f t="shared" si="49"/>
        <v>-45.281545595950433</v>
      </c>
      <c r="L173" s="4">
        <f t="shared" si="92"/>
        <v>1543.7999999999993</v>
      </c>
      <c r="N173" s="4">
        <f t="shared" si="93"/>
        <v>23</v>
      </c>
      <c r="O173" s="4">
        <f t="shared" si="88"/>
        <v>932.39999999999418</v>
      </c>
    </row>
    <row r="174" spans="1:15" x14ac:dyDescent="0.25">
      <c r="A174" s="20">
        <f t="shared" si="96"/>
        <v>39856</v>
      </c>
      <c r="B174" s="71"/>
      <c r="C174" s="71"/>
      <c r="D174" s="15" t="str">
        <f t="shared" si="97"/>
        <v>US Total</v>
      </c>
      <c r="E174">
        <v>9894.4</v>
      </c>
      <c r="F174">
        <v>19316.2</v>
      </c>
      <c r="G174">
        <v>17856.900000000001</v>
      </c>
      <c r="H174">
        <v>30106.9</v>
      </c>
      <c r="I174" s="4">
        <f t="shared" si="99"/>
        <v>27751.300000000003</v>
      </c>
      <c r="J174" s="35">
        <f t="shared" si="99"/>
        <v>49423.100000000006</v>
      </c>
      <c r="K174" s="31">
        <f t="shared" si="49"/>
        <v>-43.84953594574197</v>
      </c>
      <c r="L174" s="4">
        <f t="shared" si="92"/>
        <v>1332.3000000000029</v>
      </c>
      <c r="N174" s="4">
        <f t="shared" si="93"/>
        <v>24</v>
      </c>
      <c r="O174" s="4">
        <f t="shared" si="88"/>
        <v>1141.4000000000087</v>
      </c>
    </row>
    <row r="175" spans="1:15" x14ac:dyDescent="0.25">
      <c r="A175" s="20">
        <f t="shared" si="96"/>
        <v>39863</v>
      </c>
      <c r="B175" s="71"/>
      <c r="C175" s="71"/>
      <c r="D175" s="15" t="str">
        <f t="shared" si="97"/>
        <v>US Total</v>
      </c>
      <c r="E175">
        <v>9571.6</v>
      </c>
      <c r="F175">
        <v>18669.7</v>
      </c>
      <c r="G175">
        <v>18628.599999999999</v>
      </c>
      <c r="H175">
        <v>31354.7</v>
      </c>
      <c r="I175" s="4">
        <f t="shared" si="99"/>
        <v>28200.199999999997</v>
      </c>
      <c r="J175" s="35">
        <f t="shared" si="99"/>
        <v>50024.4</v>
      </c>
      <c r="K175" s="31">
        <f t="shared" si="49"/>
        <v>-43.627109970334487</v>
      </c>
      <c r="L175" s="4">
        <f t="shared" si="92"/>
        <v>448.89999999999418</v>
      </c>
      <c r="N175" s="4">
        <f t="shared" si="93"/>
        <v>25</v>
      </c>
      <c r="O175" s="4">
        <f t="shared" si="88"/>
        <v>601.29999999999563</v>
      </c>
    </row>
    <row r="176" spans="1:15" x14ac:dyDescent="0.25">
      <c r="A176" s="20">
        <f t="shared" si="96"/>
        <v>39870</v>
      </c>
      <c r="B176" s="71"/>
      <c r="C176" s="71"/>
      <c r="D176" s="15" t="str">
        <f t="shared" si="97"/>
        <v>US Total</v>
      </c>
      <c r="E176">
        <v>9455.4</v>
      </c>
      <c r="F176">
        <v>17985.599999999999</v>
      </c>
      <c r="G176">
        <v>19536.7</v>
      </c>
      <c r="H176">
        <v>32686.799999999999</v>
      </c>
      <c r="I176" s="4">
        <f t="shared" si="99"/>
        <v>28992.1</v>
      </c>
      <c r="J176" s="35">
        <f t="shared" si="99"/>
        <v>50672.399999999994</v>
      </c>
      <c r="K176" s="31">
        <f t="shared" si="49"/>
        <v>-42.785224303565649</v>
      </c>
      <c r="L176" s="4">
        <f t="shared" si="92"/>
        <v>791.90000000000146</v>
      </c>
      <c r="N176" s="4">
        <f t="shared" si="93"/>
        <v>26</v>
      </c>
      <c r="O176" s="4">
        <f t="shared" si="88"/>
        <v>647.99999999999272</v>
      </c>
    </row>
    <row r="177" spans="1:16" x14ac:dyDescent="0.25">
      <c r="A177" s="20">
        <f t="shared" si="96"/>
        <v>39877</v>
      </c>
      <c r="B177" s="71"/>
      <c r="C177" s="71"/>
      <c r="D177" s="15" t="str">
        <f t="shared" ref="D177:D244" si="100">+D176</f>
        <v>US Total</v>
      </c>
      <c r="E177">
        <v>9478.4</v>
      </c>
      <c r="F177">
        <v>17692.099999999999</v>
      </c>
      <c r="G177">
        <v>20606.099999999999</v>
      </c>
      <c r="H177">
        <v>33749.1</v>
      </c>
      <c r="I177" s="4">
        <f t="shared" si="99"/>
        <v>30084.5</v>
      </c>
      <c r="J177" s="35">
        <f t="shared" si="99"/>
        <v>51441.2</v>
      </c>
      <c r="K177" s="31">
        <f t="shared" si="49"/>
        <v>-41.516722004929896</v>
      </c>
      <c r="L177" s="4">
        <f t="shared" si="92"/>
        <v>1092.4000000000015</v>
      </c>
      <c r="N177" s="4">
        <f t="shared" si="93"/>
        <v>27</v>
      </c>
      <c r="O177" s="4">
        <f t="shared" si="88"/>
        <v>768.80000000000291</v>
      </c>
    </row>
    <row r="178" spans="1:16" x14ac:dyDescent="0.25">
      <c r="A178" s="20">
        <f t="shared" si="96"/>
        <v>39884</v>
      </c>
      <c r="B178" s="71"/>
      <c r="C178" s="71"/>
      <c r="D178" s="15" t="str">
        <f t="shared" si="100"/>
        <v>US Total</v>
      </c>
      <c r="E178">
        <v>8985.5</v>
      </c>
      <c r="F178">
        <v>16968.900000000001</v>
      </c>
      <c r="G178">
        <v>21539.599999999999</v>
      </c>
      <c r="H178">
        <v>35221.9</v>
      </c>
      <c r="I178" s="4">
        <f t="shared" si="99"/>
        <v>30525.1</v>
      </c>
      <c r="J178" s="35">
        <f t="shared" si="99"/>
        <v>52190.8</v>
      </c>
      <c r="K178" s="31">
        <f t="shared" si="49"/>
        <v>-41.512488791127943</v>
      </c>
      <c r="L178" s="4">
        <f t="shared" si="92"/>
        <v>440.59999999999854</v>
      </c>
      <c r="N178" s="4">
        <f t="shared" si="93"/>
        <v>28</v>
      </c>
      <c r="O178" s="4">
        <f t="shared" si="88"/>
        <v>749.60000000000582</v>
      </c>
    </row>
    <row r="179" spans="1:16" x14ac:dyDescent="0.25">
      <c r="A179" s="20">
        <f t="shared" si="96"/>
        <v>39891</v>
      </c>
      <c r="B179" s="71"/>
      <c r="C179" s="71"/>
      <c r="D179" s="15" t="str">
        <f t="shared" si="100"/>
        <v>US Total</v>
      </c>
      <c r="E179">
        <v>9400.4</v>
      </c>
      <c r="F179">
        <v>16312.3</v>
      </c>
      <c r="G179">
        <v>22316</v>
      </c>
      <c r="H179">
        <v>36511</v>
      </c>
      <c r="I179" s="4">
        <f t="shared" si="99"/>
        <v>31716.400000000001</v>
      </c>
      <c r="J179" s="35">
        <f t="shared" si="99"/>
        <v>52823.3</v>
      </c>
      <c r="K179" s="31">
        <f t="shared" si="49"/>
        <v>-39.957556608542063</v>
      </c>
      <c r="L179" s="4">
        <f t="shared" si="92"/>
        <v>1191.3000000000029</v>
      </c>
      <c r="N179" s="4">
        <f t="shared" si="93"/>
        <v>29</v>
      </c>
      <c r="O179" s="4">
        <f t="shared" si="88"/>
        <v>632.5</v>
      </c>
    </row>
    <row r="180" spans="1:16" x14ac:dyDescent="0.25">
      <c r="A180" s="20">
        <f t="shared" si="96"/>
        <v>39898</v>
      </c>
      <c r="B180" s="71"/>
      <c r="C180" s="71"/>
      <c r="D180" s="15" t="str">
        <f t="shared" si="100"/>
        <v>US Total</v>
      </c>
      <c r="E180">
        <v>9657</v>
      </c>
      <c r="F180">
        <v>15871</v>
      </c>
      <c r="G180">
        <v>23310</v>
      </c>
      <c r="H180">
        <v>37651</v>
      </c>
      <c r="I180" s="4">
        <f t="shared" si="99"/>
        <v>32967</v>
      </c>
      <c r="J180" s="35">
        <f t="shared" si="99"/>
        <v>53522</v>
      </c>
      <c r="K180" s="31">
        <f t="shared" si="49"/>
        <v>-38.404768132730474</v>
      </c>
      <c r="L180" s="4">
        <f t="shared" si="92"/>
        <v>1250.5999999999985</v>
      </c>
      <c r="N180" s="4">
        <f t="shared" si="93"/>
        <v>30</v>
      </c>
      <c r="O180" s="4">
        <f t="shared" si="88"/>
        <v>698.69999999999709</v>
      </c>
    </row>
    <row r="181" spans="1:16" x14ac:dyDescent="0.25">
      <c r="A181" s="20">
        <f t="shared" si="96"/>
        <v>39905</v>
      </c>
      <c r="B181" s="71"/>
      <c r="C181" s="71"/>
      <c r="D181" s="15" t="str">
        <f t="shared" si="100"/>
        <v>US Total</v>
      </c>
      <c r="E181">
        <v>9663.6</v>
      </c>
      <c r="F181">
        <v>15090.3</v>
      </c>
      <c r="G181">
        <v>24366.799999999999</v>
      </c>
      <c r="H181">
        <v>38905.800000000003</v>
      </c>
      <c r="I181" s="4">
        <f t="shared" si="99"/>
        <v>34030.400000000001</v>
      </c>
      <c r="J181" s="35">
        <f t="shared" si="99"/>
        <v>53996.100000000006</v>
      </c>
      <c r="K181" s="31">
        <f t="shared" si="49"/>
        <v>-36.976189021058936</v>
      </c>
      <c r="L181" s="4">
        <f t="shared" si="92"/>
        <v>1063.4000000000015</v>
      </c>
      <c r="N181" s="4">
        <f t="shared" si="93"/>
        <v>31</v>
      </c>
      <c r="O181" s="4">
        <f t="shared" si="88"/>
        <v>474.10000000000582</v>
      </c>
    </row>
    <row r="182" spans="1:16" x14ac:dyDescent="0.25">
      <c r="A182" s="20">
        <f t="shared" si="96"/>
        <v>39912</v>
      </c>
      <c r="B182" s="71"/>
      <c r="C182" s="71"/>
      <c r="D182" s="15" t="str">
        <f t="shared" si="100"/>
        <v>US Total</v>
      </c>
      <c r="E182">
        <v>9678.6</v>
      </c>
      <c r="F182">
        <v>14847</v>
      </c>
      <c r="G182">
        <v>25231.4</v>
      </c>
      <c r="H182">
        <v>40018</v>
      </c>
      <c r="I182" s="4">
        <f t="shared" si="99"/>
        <v>34910</v>
      </c>
      <c r="J182" s="35">
        <f t="shared" si="99"/>
        <v>54865</v>
      </c>
      <c r="K182" s="31">
        <f t="shared" si="49"/>
        <v>-36.371092682037734</v>
      </c>
      <c r="L182" s="4">
        <f t="shared" si="92"/>
        <v>879.59999999999854</v>
      </c>
      <c r="N182" s="4">
        <f t="shared" si="93"/>
        <v>32</v>
      </c>
      <c r="O182" s="4">
        <f t="shared" si="88"/>
        <v>868.89999999999418</v>
      </c>
    </row>
    <row r="183" spans="1:16" x14ac:dyDescent="0.25">
      <c r="A183" s="20">
        <f t="shared" si="96"/>
        <v>39919</v>
      </c>
      <c r="B183" s="71"/>
      <c r="C183" s="71"/>
      <c r="D183" s="15" t="str">
        <f t="shared" si="100"/>
        <v>US Total</v>
      </c>
      <c r="E183">
        <v>9866</v>
      </c>
      <c r="F183">
        <v>14512</v>
      </c>
      <c r="G183">
        <v>26248.400000000001</v>
      </c>
      <c r="H183">
        <v>41127.9</v>
      </c>
      <c r="I183" s="4">
        <f t="shared" si="99"/>
        <v>36114.400000000001</v>
      </c>
      <c r="J183" s="35">
        <f t="shared" si="99"/>
        <v>55639.9</v>
      </c>
      <c r="K183" s="31">
        <f t="shared" si="49"/>
        <v>-35.09262238070162</v>
      </c>
      <c r="L183" s="4">
        <f t="shared" si="92"/>
        <v>1204.4000000000015</v>
      </c>
      <c r="N183" s="4">
        <f t="shared" si="93"/>
        <v>33</v>
      </c>
      <c r="O183" s="4">
        <f t="shared" si="88"/>
        <v>774.90000000000146</v>
      </c>
    </row>
    <row r="184" spans="1:16" x14ac:dyDescent="0.25">
      <c r="A184" s="20">
        <f t="shared" si="96"/>
        <v>39926</v>
      </c>
      <c r="B184" s="71"/>
      <c r="C184" s="71"/>
      <c r="D184" s="15" t="str">
        <f t="shared" si="100"/>
        <v>US Total</v>
      </c>
      <c r="E184">
        <v>10253.4</v>
      </c>
      <c r="F184">
        <v>14059.9</v>
      </c>
      <c r="G184">
        <v>27086.3</v>
      </c>
      <c r="H184">
        <v>42131.6</v>
      </c>
      <c r="I184" s="4">
        <f t="shared" si="99"/>
        <v>37339.699999999997</v>
      </c>
      <c r="J184" s="35">
        <f t="shared" si="99"/>
        <v>56191.5</v>
      </c>
      <c r="K184" s="31">
        <f t="shared" si="49"/>
        <v>-33.549202281483858</v>
      </c>
      <c r="L184" s="4">
        <f t="shared" si="92"/>
        <v>1225.2999999999956</v>
      </c>
      <c r="N184" s="4">
        <f t="shared" si="93"/>
        <v>34</v>
      </c>
      <c r="O184" s="4">
        <f t="shared" si="88"/>
        <v>551.59999999999854</v>
      </c>
    </row>
    <row r="185" spans="1:16" x14ac:dyDescent="0.25">
      <c r="A185" s="20">
        <f t="shared" si="96"/>
        <v>39933</v>
      </c>
      <c r="B185" s="71"/>
      <c r="C185" s="71"/>
      <c r="D185" s="15" t="str">
        <f t="shared" si="100"/>
        <v>US Total</v>
      </c>
      <c r="E185">
        <v>10052</v>
      </c>
      <c r="F185">
        <v>13459.6</v>
      </c>
      <c r="G185">
        <v>27876.3</v>
      </c>
      <c r="H185">
        <v>43069.1</v>
      </c>
      <c r="I185" s="4">
        <f t="shared" si="99"/>
        <v>37928.300000000003</v>
      </c>
      <c r="J185" s="35">
        <f t="shared" si="99"/>
        <v>56528.7</v>
      </c>
      <c r="K185" s="31">
        <f t="shared" si="49"/>
        <v>-32.904347703025181</v>
      </c>
      <c r="L185" s="4">
        <f t="shared" ref="L185:L190" si="101">+I185-I184</f>
        <v>588.60000000000582</v>
      </c>
      <c r="N185" s="4">
        <f t="shared" si="93"/>
        <v>35</v>
      </c>
      <c r="O185" s="4">
        <f t="shared" ref="O185:O190" si="102">+J185-J184</f>
        <v>337.19999999999709</v>
      </c>
      <c r="P185">
        <v>805.3</v>
      </c>
    </row>
    <row r="186" spans="1:16" x14ac:dyDescent="0.25">
      <c r="A186" s="20">
        <f t="shared" si="96"/>
        <v>39940</v>
      </c>
      <c r="B186" s="71"/>
      <c r="C186" s="71"/>
      <c r="D186" s="15" t="str">
        <f t="shared" si="100"/>
        <v>US Total</v>
      </c>
      <c r="E186">
        <v>9716.5</v>
      </c>
      <c r="F186">
        <v>13011.9</v>
      </c>
      <c r="G186">
        <v>29148.6</v>
      </c>
      <c r="H186">
        <v>44064</v>
      </c>
      <c r="I186" s="4">
        <f t="shared" si="99"/>
        <v>38865.1</v>
      </c>
      <c r="J186" s="35">
        <f t="shared" si="99"/>
        <v>57075.9</v>
      </c>
      <c r="K186" s="31">
        <f t="shared" si="49"/>
        <v>-31.906286190844124</v>
      </c>
      <c r="L186" s="4">
        <f t="shared" si="101"/>
        <v>936.79999999999563</v>
      </c>
      <c r="N186" s="4">
        <f t="shared" si="93"/>
        <v>36</v>
      </c>
      <c r="O186" s="4">
        <f t="shared" si="102"/>
        <v>547.20000000000437</v>
      </c>
      <c r="P186">
        <v>1051.3</v>
      </c>
    </row>
    <row r="187" spans="1:16" x14ac:dyDescent="0.25">
      <c r="A187" s="20">
        <f t="shared" si="96"/>
        <v>39947</v>
      </c>
      <c r="B187" s="71"/>
      <c r="C187" s="71"/>
      <c r="D187" s="15" t="str">
        <f t="shared" si="100"/>
        <v>US Total</v>
      </c>
      <c r="E187">
        <v>9691.7000000000007</v>
      </c>
      <c r="F187">
        <v>12775</v>
      </c>
      <c r="G187">
        <v>29856.9</v>
      </c>
      <c r="H187">
        <v>44808.1</v>
      </c>
      <c r="I187" s="4">
        <f t="shared" si="99"/>
        <v>39548.600000000006</v>
      </c>
      <c r="J187" s="35">
        <f t="shared" si="99"/>
        <v>57583.1</v>
      </c>
      <c r="K187" s="31">
        <f t="shared" si="49"/>
        <v>-31.319084939852139</v>
      </c>
      <c r="L187" s="4">
        <f t="shared" si="101"/>
        <v>683.50000000000728</v>
      </c>
      <c r="N187" s="4">
        <f t="shared" si="93"/>
        <v>37</v>
      </c>
      <c r="O187" s="4">
        <f t="shared" si="102"/>
        <v>507.19999999999709</v>
      </c>
      <c r="P187" s="63">
        <v>1189.9000000000001</v>
      </c>
    </row>
    <row r="188" spans="1:16" x14ac:dyDescent="0.25">
      <c r="A188" s="20">
        <f t="shared" si="96"/>
        <v>39954</v>
      </c>
      <c r="B188" s="71"/>
      <c r="C188" s="71"/>
      <c r="D188" s="15" t="str">
        <f t="shared" si="100"/>
        <v>US Total</v>
      </c>
      <c r="E188">
        <v>9637.7000000000007</v>
      </c>
      <c r="F188">
        <v>12180</v>
      </c>
      <c r="G188">
        <v>30667</v>
      </c>
      <c r="H188">
        <v>45880.6</v>
      </c>
      <c r="I188" s="4">
        <f t="shared" si="99"/>
        <v>40304.699999999997</v>
      </c>
      <c r="J188" s="35">
        <f t="shared" si="99"/>
        <v>58060.6</v>
      </c>
      <c r="K188" s="31">
        <f t="shared" si="49"/>
        <v>-30.581668119172043</v>
      </c>
      <c r="L188" s="4">
        <f t="shared" si="101"/>
        <v>756.09999999999127</v>
      </c>
      <c r="N188" s="4">
        <f t="shared" si="93"/>
        <v>38</v>
      </c>
      <c r="O188" s="4">
        <f t="shared" si="102"/>
        <v>477.5</v>
      </c>
      <c r="P188" s="63">
        <v>1457.1</v>
      </c>
    </row>
    <row r="189" spans="1:16" x14ac:dyDescent="0.25">
      <c r="A189" s="20">
        <f t="shared" si="96"/>
        <v>39961</v>
      </c>
      <c r="B189" s="71"/>
      <c r="C189" s="71"/>
      <c r="D189" s="15" t="str">
        <f t="shared" si="100"/>
        <v>US Total</v>
      </c>
      <c r="E189">
        <v>9386.1</v>
      </c>
      <c r="F189">
        <v>11725</v>
      </c>
      <c r="G189">
        <v>31523.1</v>
      </c>
      <c r="H189">
        <v>46865.7</v>
      </c>
      <c r="I189" s="4">
        <f t="shared" si="99"/>
        <v>40909.199999999997</v>
      </c>
      <c r="J189" s="35">
        <f t="shared" si="99"/>
        <v>58590.7</v>
      </c>
      <c r="K189" s="31">
        <f t="shared" si="49"/>
        <v>-30.177997532031529</v>
      </c>
      <c r="L189" s="4">
        <f t="shared" si="101"/>
        <v>604.5</v>
      </c>
      <c r="N189" s="4">
        <f t="shared" si="93"/>
        <v>39</v>
      </c>
      <c r="O189" s="4">
        <f t="shared" si="102"/>
        <v>530.09999999999854</v>
      </c>
      <c r="P189" s="63">
        <v>1511.3</v>
      </c>
    </row>
    <row r="190" spans="1:16" x14ac:dyDescent="0.25">
      <c r="A190" s="20">
        <f t="shared" si="96"/>
        <v>39968</v>
      </c>
      <c r="B190" s="71"/>
      <c r="C190" s="71"/>
      <c r="D190" s="15" t="str">
        <f t="shared" si="100"/>
        <v>US Total</v>
      </c>
      <c r="E190">
        <v>9475</v>
      </c>
      <c r="F190">
        <v>11084.7</v>
      </c>
      <c r="G190">
        <v>32147.4</v>
      </c>
      <c r="H190">
        <v>48030.7</v>
      </c>
      <c r="I190" s="4">
        <f t="shared" si="99"/>
        <v>41622.400000000001</v>
      </c>
      <c r="J190" s="35">
        <f t="shared" si="99"/>
        <v>59115.399999999994</v>
      </c>
      <c r="K190" s="31">
        <f t="shared" si="49"/>
        <v>-29.591274016584499</v>
      </c>
      <c r="L190" s="4">
        <f t="shared" si="101"/>
        <v>713.20000000000437</v>
      </c>
      <c r="N190" s="4">
        <f t="shared" si="93"/>
        <v>40</v>
      </c>
      <c r="O190" s="4">
        <f t="shared" si="102"/>
        <v>524.69999999999709</v>
      </c>
      <c r="P190" s="63">
        <v>1661.2</v>
      </c>
    </row>
    <row r="191" spans="1:16" x14ac:dyDescent="0.25">
      <c r="A191" s="20">
        <f t="shared" si="96"/>
        <v>39975</v>
      </c>
      <c r="B191" s="71"/>
      <c r="C191" s="71"/>
      <c r="D191" s="15" t="str">
        <f t="shared" si="100"/>
        <v>US Total</v>
      </c>
      <c r="E191">
        <v>9424.4</v>
      </c>
      <c r="F191">
        <v>10340.6</v>
      </c>
      <c r="G191">
        <v>32965.199999999997</v>
      </c>
      <c r="H191">
        <v>49112.7</v>
      </c>
      <c r="I191" s="4">
        <f t="shared" si="99"/>
        <v>42389.599999999999</v>
      </c>
      <c r="J191" s="35">
        <f t="shared" si="99"/>
        <v>59453.299999999996</v>
      </c>
      <c r="K191" s="31">
        <f t="shared" si="49"/>
        <v>-28.701014073230581</v>
      </c>
      <c r="L191" s="4">
        <f t="shared" ref="L191:L199" si="103">+I191-I190</f>
        <v>767.19999999999709</v>
      </c>
      <c r="N191" s="4">
        <f t="shared" si="93"/>
        <v>41</v>
      </c>
      <c r="O191" s="4">
        <f t="shared" ref="O191:O196" si="104">+J191-J190</f>
        <v>337.90000000000146</v>
      </c>
      <c r="P191" s="63">
        <v>2037.4</v>
      </c>
    </row>
    <row r="192" spans="1:16" x14ac:dyDescent="0.25">
      <c r="A192" s="20">
        <f t="shared" si="96"/>
        <v>39982</v>
      </c>
      <c r="B192" s="71"/>
      <c r="C192" s="71"/>
      <c r="D192" s="15" t="str">
        <f t="shared" si="100"/>
        <v>US Total</v>
      </c>
      <c r="E192">
        <v>9072.4</v>
      </c>
      <c r="F192">
        <v>9588</v>
      </c>
      <c r="G192">
        <v>34003.699999999997</v>
      </c>
      <c r="H192">
        <v>50096.6</v>
      </c>
      <c r="I192" s="4">
        <f t="shared" si="99"/>
        <v>43076.1</v>
      </c>
      <c r="J192" s="35">
        <f t="shared" si="99"/>
        <v>59684.6</v>
      </c>
      <c r="K192" s="31">
        <f t="shared" si="49"/>
        <v>-27.827111181108698</v>
      </c>
      <c r="L192" s="4">
        <f t="shared" si="103"/>
        <v>686.5</v>
      </c>
      <c r="N192" s="4">
        <f t="shared" si="93"/>
        <v>42</v>
      </c>
      <c r="O192" s="4">
        <f t="shared" si="104"/>
        <v>231.30000000000291</v>
      </c>
      <c r="P192" s="63">
        <v>2287.6999999999998</v>
      </c>
    </row>
    <row r="193" spans="1:16" x14ac:dyDescent="0.25">
      <c r="A193" s="20">
        <f t="shared" si="96"/>
        <v>39989</v>
      </c>
      <c r="B193" s="71"/>
      <c r="C193" s="71"/>
      <c r="D193" s="15" t="str">
        <f t="shared" si="100"/>
        <v>US Total</v>
      </c>
      <c r="E193">
        <v>9485</v>
      </c>
      <c r="F193">
        <v>8724.4</v>
      </c>
      <c r="G193">
        <v>34746.199999999997</v>
      </c>
      <c r="H193">
        <v>51286.1</v>
      </c>
      <c r="I193" s="4">
        <f t="shared" si="99"/>
        <v>44231.199999999997</v>
      </c>
      <c r="J193" s="35">
        <f t="shared" si="99"/>
        <v>60010.5</v>
      </c>
      <c r="K193" s="31">
        <f t="shared" si="49"/>
        <v>-26.294231842760851</v>
      </c>
      <c r="L193" s="4">
        <f t="shared" si="103"/>
        <v>1155.0999999999985</v>
      </c>
      <c r="N193" s="4">
        <f t="shared" si="93"/>
        <v>43</v>
      </c>
      <c r="O193" s="4">
        <f t="shared" si="104"/>
        <v>325.90000000000146</v>
      </c>
      <c r="P193" s="63">
        <v>2404.6999999999998</v>
      </c>
    </row>
    <row r="194" spans="1:16" x14ac:dyDescent="0.25">
      <c r="A194" s="20">
        <f t="shared" si="96"/>
        <v>39996</v>
      </c>
      <c r="B194" s="71"/>
      <c r="C194" s="71"/>
      <c r="D194" s="15" t="str">
        <f t="shared" si="100"/>
        <v>US Total</v>
      </c>
      <c r="E194">
        <v>9266.2000000000007</v>
      </c>
      <c r="F194">
        <v>8131.2</v>
      </c>
      <c r="G194">
        <v>35714</v>
      </c>
      <c r="H194">
        <v>52216.7</v>
      </c>
      <c r="I194" s="4">
        <f t="shared" si="99"/>
        <v>44980.2</v>
      </c>
      <c r="J194" s="35">
        <f t="shared" si="99"/>
        <v>60347.899999999994</v>
      </c>
      <c r="K194" s="31">
        <f t="shared" si="49"/>
        <v>-25.465177744378842</v>
      </c>
      <c r="L194" s="4">
        <f t="shared" si="103"/>
        <v>749</v>
      </c>
      <c r="N194" s="4">
        <f t="shared" si="93"/>
        <v>44</v>
      </c>
      <c r="O194" s="4">
        <f t="shared" si="104"/>
        <v>337.39999999999418</v>
      </c>
      <c r="P194" s="63">
        <v>2820.1</v>
      </c>
    </row>
    <row r="195" spans="1:16" x14ac:dyDescent="0.25">
      <c r="A195" s="20">
        <f t="shared" si="96"/>
        <v>40003</v>
      </c>
      <c r="B195" s="71"/>
      <c r="C195" s="71"/>
      <c r="D195" s="15" t="str">
        <f t="shared" si="100"/>
        <v>US Total</v>
      </c>
      <c r="E195">
        <v>8996.4</v>
      </c>
      <c r="F195">
        <v>7811.3</v>
      </c>
      <c r="G195">
        <v>36683.5</v>
      </c>
      <c r="H195">
        <v>52905.7</v>
      </c>
      <c r="I195" s="4">
        <f t="shared" si="99"/>
        <v>45679.9</v>
      </c>
      <c r="J195" s="35">
        <f t="shared" si="99"/>
        <v>60717</v>
      </c>
      <c r="K195" s="31">
        <f t="shared" si="49"/>
        <v>-24.765881054729309</v>
      </c>
      <c r="L195" s="4">
        <f t="shared" si="103"/>
        <v>699.70000000000437</v>
      </c>
      <c r="N195" s="4">
        <f t="shared" si="93"/>
        <v>45</v>
      </c>
      <c r="O195" s="4">
        <f t="shared" si="104"/>
        <v>369.10000000000582</v>
      </c>
      <c r="P195" s="63">
        <v>3288.1</v>
      </c>
    </row>
    <row r="196" spans="1:16" x14ac:dyDescent="0.25">
      <c r="A196" s="20">
        <f t="shared" si="96"/>
        <v>40010</v>
      </c>
      <c r="B196" s="71"/>
      <c r="C196" s="71"/>
      <c r="D196" s="15" t="str">
        <f t="shared" si="100"/>
        <v>US Total</v>
      </c>
      <c r="E196">
        <v>8832.5</v>
      </c>
      <c r="F196">
        <v>7387.6</v>
      </c>
      <c r="G196">
        <v>37605.1</v>
      </c>
      <c r="H196">
        <v>53652.9</v>
      </c>
      <c r="I196" s="4">
        <f t="shared" si="99"/>
        <v>46437.599999999999</v>
      </c>
      <c r="J196" s="35">
        <f t="shared" si="99"/>
        <v>61040.5</v>
      </c>
      <c r="K196" s="31">
        <f t="shared" si="49"/>
        <v>-23.923296827516161</v>
      </c>
      <c r="L196" s="4">
        <f t="shared" si="103"/>
        <v>757.69999999999709</v>
      </c>
      <c r="N196" s="4">
        <f t="shared" si="93"/>
        <v>46</v>
      </c>
      <c r="O196" s="4">
        <f t="shared" si="104"/>
        <v>323.5</v>
      </c>
      <c r="P196" s="63">
        <v>3865.2</v>
      </c>
    </row>
    <row r="197" spans="1:16" x14ac:dyDescent="0.25">
      <c r="A197" s="20">
        <f t="shared" si="96"/>
        <v>40017</v>
      </c>
      <c r="B197" s="71"/>
      <c r="C197" s="71"/>
      <c r="D197" s="15" t="str">
        <f t="shared" si="100"/>
        <v>US Total</v>
      </c>
      <c r="E197">
        <v>7837.1</v>
      </c>
      <c r="F197">
        <v>6215.7</v>
      </c>
      <c r="G197">
        <v>39085.800000000003</v>
      </c>
      <c r="H197">
        <v>54887.9</v>
      </c>
      <c r="I197" s="4">
        <f t="shared" si="99"/>
        <v>46922.9</v>
      </c>
      <c r="J197" s="35">
        <f t="shared" si="99"/>
        <v>61103.6</v>
      </c>
      <c r="K197" s="31">
        <f t="shared" si="49"/>
        <v>-23.207634247409313</v>
      </c>
      <c r="L197" s="4">
        <f t="shared" si="103"/>
        <v>485.30000000000291</v>
      </c>
      <c r="N197" s="4">
        <f t="shared" si="93"/>
        <v>47</v>
      </c>
      <c r="O197" s="4">
        <f t="shared" ref="O197:O202" si="105">+J197-J196</f>
        <v>63.099999999998545</v>
      </c>
      <c r="P197" s="63">
        <v>4635.5</v>
      </c>
    </row>
    <row r="198" spans="1:16" x14ac:dyDescent="0.25">
      <c r="A198" s="20">
        <f t="shared" si="96"/>
        <v>40024</v>
      </c>
      <c r="B198" s="71"/>
      <c r="C198" s="71"/>
      <c r="D198" s="15" t="str">
        <f t="shared" si="100"/>
        <v>US Total</v>
      </c>
      <c r="E198">
        <v>7070.4</v>
      </c>
      <c r="F198">
        <v>5677.2</v>
      </c>
      <c r="G198">
        <v>40248.6</v>
      </c>
      <c r="H198">
        <v>55764.3</v>
      </c>
      <c r="I198" s="4">
        <f t="shared" si="99"/>
        <v>47319</v>
      </c>
      <c r="J198" s="35">
        <f t="shared" si="99"/>
        <v>61441.5</v>
      </c>
      <c r="K198" s="31">
        <f t="shared" si="49"/>
        <v>-22.985278679719734</v>
      </c>
      <c r="L198" s="4">
        <f t="shared" si="103"/>
        <v>396.09999999999854</v>
      </c>
      <c r="N198" s="4">
        <f t="shared" si="93"/>
        <v>48</v>
      </c>
      <c r="O198" s="4">
        <f t="shared" si="105"/>
        <v>337.90000000000146</v>
      </c>
      <c r="P198">
        <v>5364.7</v>
      </c>
    </row>
    <row r="199" spans="1:16" x14ac:dyDescent="0.25">
      <c r="A199" s="20">
        <f t="shared" si="96"/>
        <v>40031</v>
      </c>
      <c r="B199" s="71"/>
      <c r="C199" s="71"/>
      <c r="D199" s="15" t="str">
        <f t="shared" si="100"/>
        <v>US Total</v>
      </c>
      <c r="E199">
        <v>6653.8</v>
      </c>
      <c r="F199">
        <v>5124</v>
      </c>
      <c r="G199">
        <v>41206.400000000001</v>
      </c>
      <c r="H199">
        <v>56703.4</v>
      </c>
      <c r="I199" s="4">
        <f t="shared" si="99"/>
        <v>47860.200000000004</v>
      </c>
      <c r="J199" s="35">
        <f t="shared" si="99"/>
        <v>61827.4</v>
      </c>
      <c r="K199" s="31">
        <f t="shared" si="49"/>
        <v>-22.590631338209267</v>
      </c>
      <c r="L199" s="4">
        <f t="shared" si="103"/>
        <v>541.20000000000437</v>
      </c>
      <c r="N199" s="4">
        <f t="shared" si="93"/>
        <v>49</v>
      </c>
      <c r="O199" s="4">
        <f t="shared" si="105"/>
        <v>385.90000000000146</v>
      </c>
      <c r="P199" s="63">
        <v>5657.3</v>
      </c>
    </row>
    <row r="200" spans="1:16" x14ac:dyDescent="0.25">
      <c r="A200" s="20">
        <f t="shared" si="96"/>
        <v>40038</v>
      </c>
      <c r="B200" s="71"/>
      <c r="C200" s="71"/>
      <c r="D200" s="15" t="str">
        <f t="shared" si="100"/>
        <v>US Total</v>
      </c>
      <c r="E200">
        <v>6107.2</v>
      </c>
      <c r="F200">
        <v>4230.2</v>
      </c>
      <c r="G200">
        <v>42330</v>
      </c>
      <c r="H200">
        <v>57793.9</v>
      </c>
      <c r="I200" s="4">
        <f t="shared" si="99"/>
        <v>48437.2</v>
      </c>
      <c r="J200" s="35">
        <f t="shared" si="99"/>
        <v>62024.1</v>
      </c>
      <c r="K200" s="31">
        <f t="shared" si="49"/>
        <v>-21.905839826777019</v>
      </c>
      <c r="L200" s="4">
        <f>+I200-I199</f>
        <v>576.99999999999272</v>
      </c>
      <c r="N200" s="4">
        <f t="shared" si="93"/>
        <v>50</v>
      </c>
      <c r="O200" s="4">
        <f t="shared" si="105"/>
        <v>196.69999999999709</v>
      </c>
      <c r="P200" s="63">
        <v>6515.7</v>
      </c>
    </row>
    <row r="201" spans="1:16" x14ac:dyDescent="0.25">
      <c r="A201" s="20">
        <f t="shared" si="96"/>
        <v>40045</v>
      </c>
      <c r="B201" s="71"/>
      <c r="C201" s="71"/>
      <c r="D201" s="15" t="str">
        <f t="shared" si="100"/>
        <v>US Total</v>
      </c>
      <c r="E201">
        <v>5097.8999999999996</v>
      </c>
      <c r="F201">
        <v>3711.7</v>
      </c>
      <c r="G201">
        <v>43605</v>
      </c>
      <c r="H201">
        <v>58615.4</v>
      </c>
      <c r="I201" s="4">
        <f t="shared" si="99"/>
        <v>48702.9</v>
      </c>
      <c r="J201" s="35">
        <f t="shared" si="99"/>
        <v>62327.1</v>
      </c>
      <c r="K201" s="31">
        <f t="shared" si="49"/>
        <v>-21.859191266720245</v>
      </c>
      <c r="L201" s="4">
        <f>+I201-I200</f>
        <v>265.70000000000437</v>
      </c>
      <c r="N201" s="4">
        <f t="shared" si="93"/>
        <v>51</v>
      </c>
      <c r="O201" s="4">
        <f t="shared" si="105"/>
        <v>303</v>
      </c>
      <c r="P201" s="63">
        <v>7223.3</v>
      </c>
    </row>
    <row r="202" spans="1:16" x14ac:dyDescent="0.25">
      <c r="A202" s="20">
        <f t="shared" si="96"/>
        <v>40052</v>
      </c>
      <c r="B202" s="71"/>
      <c r="C202" s="71"/>
      <c r="D202" s="15" t="str">
        <f t="shared" si="100"/>
        <v>US Total</v>
      </c>
      <c r="E202">
        <v>4397.7</v>
      </c>
      <c r="F202">
        <v>2861</v>
      </c>
      <c r="G202">
        <v>44650</v>
      </c>
      <c r="H202">
        <v>59666.400000000001</v>
      </c>
      <c r="I202" s="4">
        <f t="shared" si="99"/>
        <v>49047.7</v>
      </c>
      <c r="J202" s="35">
        <f t="shared" si="99"/>
        <v>62527.4</v>
      </c>
      <c r="K202" s="31">
        <f t="shared" si="49"/>
        <v>-21.558068942575581</v>
      </c>
      <c r="L202" s="4">
        <f t="shared" ref="L202:L224" si="106">+I202-I201</f>
        <v>344.79999999999563</v>
      </c>
      <c r="N202" s="4">
        <f t="shared" si="93"/>
        <v>52</v>
      </c>
      <c r="O202" s="4">
        <f t="shared" si="105"/>
        <v>200.30000000000291</v>
      </c>
      <c r="P202" s="63">
        <v>7817.3</v>
      </c>
    </row>
    <row r="203" spans="1:16" x14ac:dyDescent="0.25">
      <c r="A203" s="20">
        <f t="shared" si="96"/>
        <v>40059</v>
      </c>
      <c r="B203" s="71"/>
      <c r="C203" s="71"/>
      <c r="D203" s="15" t="str">
        <f t="shared" si="100"/>
        <v>US Total</v>
      </c>
      <c r="E203">
        <v>12131.4</v>
      </c>
      <c r="F203">
        <v>11883.8</v>
      </c>
      <c r="G203">
        <v>537</v>
      </c>
      <c r="H203">
        <v>199.3</v>
      </c>
      <c r="I203" s="4">
        <f t="shared" si="99"/>
        <v>12668.4</v>
      </c>
      <c r="J203" s="35">
        <f t="shared" si="99"/>
        <v>12083.099999999999</v>
      </c>
      <c r="K203" s="31">
        <f t="shared" si="49"/>
        <v>4.8439556074186374</v>
      </c>
      <c r="L203" s="4">
        <f t="shared" si="106"/>
        <v>-36379.299999999996</v>
      </c>
      <c r="N203">
        <v>1</v>
      </c>
    </row>
    <row r="204" spans="1:16" x14ac:dyDescent="0.25">
      <c r="A204" s="20">
        <f t="shared" si="96"/>
        <v>40066</v>
      </c>
      <c r="B204" s="71"/>
      <c r="C204" s="71"/>
      <c r="D204" s="15" t="str">
        <f t="shared" si="100"/>
        <v>US Total</v>
      </c>
      <c r="E204">
        <v>11934.6</v>
      </c>
      <c r="F204">
        <v>11346.4</v>
      </c>
      <c r="G204">
        <v>1699.4</v>
      </c>
      <c r="H204">
        <v>862.7</v>
      </c>
      <c r="I204" s="4">
        <f t="shared" si="99"/>
        <v>13634</v>
      </c>
      <c r="J204" s="35">
        <f t="shared" si="99"/>
        <v>12209.1</v>
      </c>
      <c r="K204" s="31">
        <f t="shared" si="49"/>
        <v>11.670802925686585</v>
      </c>
      <c r="L204" s="4">
        <f t="shared" si="106"/>
        <v>965.60000000000036</v>
      </c>
      <c r="N204">
        <f>+N203+1</f>
        <v>2</v>
      </c>
    </row>
    <row r="205" spans="1:16" x14ac:dyDescent="0.25">
      <c r="A205" s="20">
        <f t="shared" si="96"/>
        <v>40073</v>
      </c>
      <c r="B205" s="71"/>
      <c r="C205" s="71"/>
      <c r="D205" s="15" t="str">
        <f t="shared" si="100"/>
        <v>US Total</v>
      </c>
      <c r="E205">
        <v>11569.5</v>
      </c>
      <c r="F205">
        <v>10900</v>
      </c>
      <c r="G205">
        <v>2737.7</v>
      </c>
      <c r="H205">
        <v>2056.3000000000002</v>
      </c>
      <c r="I205" s="4">
        <f t="shared" si="99"/>
        <v>14307.2</v>
      </c>
      <c r="J205" s="35">
        <f t="shared" si="99"/>
        <v>12956.3</v>
      </c>
      <c r="K205" s="31">
        <f t="shared" si="49"/>
        <v>10.426587837577106</v>
      </c>
      <c r="L205" s="4">
        <f t="shared" si="106"/>
        <v>673.20000000000073</v>
      </c>
      <c r="N205">
        <f>+N204+1</f>
        <v>3</v>
      </c>
    </row>
    <row r="206" spans="1:16" x14ac:dyDescent="0.25">
      <c r="A206" s="20">
        <f t="shared" si="96"/>
        <v>40080</v>
      </c>
      <c r="B206" s="71"/>
      <c r="C206" s="71"/>
      <c r="D206" s="15" t="str">
        <f t="shared" si="100"/>
        <v>US Total</v>
      </c>
      <c r="E206">
        <v>11827.8</v>
      </c>
      <c r="F206">
        <v>10302.6</v>
      </c>
      <c r="G206">
        <v>3702.9</v>
      </c>
      <c r="H206">
        <v>3220.2</v>
      </c>
      <c r="I206" s="4">
        <f t="shared" si="99"/>
        <v>15530.699999999999</v>
      </c>
      <c r="J206" s="35">
        <f t="shared" si="99"/>
        <v>13522.8</v>
      </c>
      <c r="K206" s="31">
        <f t="shared" si="49"/>
        <v>14.848256278285564</v>
      </c>
      <c r="L206" s="4">
        <f t="shared" si="106"/>
        <v>1223.4999999999982</v>
      </c>
      <c r="N206">
        <f>+N205+1</f>
        <v>4</v>
      </c>
    </row>
    <row r="207" spans="1:16" x14ac:dyDescent="0.25">
      <c r="A207" s="20">
        <f t="shared" si="96"/>
        <v>40087</v>
      </c>
      <c r="B207" s="71"/>
      <c r="C207" s="71"/>
      <c r="D207" s="15" t="str">
        <f t="shared" si="100"/>
        <v>US Total</v>
      </c>
      <c r="E207">
        <v>11205.5</v>
      </c>
      <c r="F207">
        <v>10435.200000000001</v>
      </c>
      <c r="G207">
        <v>4847.1000000000004</v>
      </c>
      <c r="H207">
        <v>4045.5</v>
      </c>
      <c r="I207" s="4">
        <f t="shared" ref="I207:I224" si="107">+E207+G207</f>
        <v>16052.6</v>
      </c>
      <c r="J207" s="35">
        <f t="shared" ref="J207:J224" si="108">+F207+H207</f>
        <v>14480.7</v>
      </c>
      <c r="K207" s="31">
        <f t="shared" si="49"/>
        <v>10.855138218456295</v>
      </c>
      <c r="L207" s="4">
        <f t="shared" si="106"/>
        <v>521.90000000000146</v>
      </c>
      <c r="N207">
        <f>+N206+1</f>
        <v>5</v>
      </c>
    </row>
    <row r="208" spans="1:16" x14ac:dyDescent="0.25">
      <c r="A208" s="20">
        <f t="shared" si="96"/>
        <v>40094</v>
      </c>
      <c r="B208" s="71"/>
      <c r="C208" s="71"/>
      <c r="D208" s="15" t="str">
        <f t="shared" si="100"/>
        <v>US Total</v>
      </c>
      <c r="E208">
        <v>11167.2</v>
      </c>
      <c r="F208">
        <v>10486.9</v>
      </c>
      <c r="G208">
        <v>5517.3</v>
      </c>
      <c r="H208">
        <v>4918.6000000000004</v>
      </c>
      <c r="I208" s="4">
        <f t="shared" si="107"/>
        <v>16684.5</v>
      </c>
      <c r="J208" s="35">
        <f t="shared" si="108"/>
        <v>15405.5</v>
      </c>
      <c r="K208" s="31">
        <f t="shared" si="49"/>
        <v>8.3022297231508233</v>
      </c>
      <c r="L208" s="4">
        <f t="shared" si="106"/>
        <v>631.89999999999964</v>
      </c>
      <c r="N208">
        <f>+N207+1</f>
        <v>6</v>
      </c>
    </row>
    <row r="209" spans="1:14" x14ac:dyDescent="0.25">
      <c r="A209" s="20">
        <f t="shared" si="96"/>
        <v>40101</v>
      </c>
      <c r="B209" s="71"/>
      <c r="C209" s="71"/>
      <c r="D209" s="15" t="str">
        <f t="shared" si="100"/>
        <v>US Total</v>
      </c>
      <c r="E209">
        <v>10584.1</v>
      </c>
      <c r="F209">
        <v>10522.9</v>
      </c>
      <c r="G209">
        <v>6334.8</v>
      </c>
      <c r="H209">
        <v>5672.2</v>
      </c>
      <c r="I209" s="4">
        <f t="shared" si="107"/>
        <v>16918.900000000001</v>
      </c>
      <c r="J209" s="35">
        <f t="shared" si="108"/>
        <v>16195.099999999999</v>
      </c>
      <c r="K209" s="31">
        <f t="shared" si="49"/>
        <v>4.4692530456743373</v>
      </c>
      <c r="L209" s="4">
        <f t="shared" si="106"/>
        <v>234.40000000000146</v>
      </c>
      <c r="N209">
        <f t="shared" ref="N209:N253" si="109">+N208+1</f>
        <v>7</v>
      </c>
    </row>
    <row r="210" spans="1:14" x14ac:dyDescent="0.25">
      <c r="A210" s="20">
        <f t="shared" si="96"/>
        <v>40108</v>
      </c>
      <c r="B210" s="71"/>
      <c r="C210" s="71"/>
      <c r="D210" s="15" t="str">
        <f t="shared" si="100"/>
        <v>US Total</v>
      </c>
      <c r="E210">
        <v>10284.299999999999</v>
      </c>
      <c r="F210">
        <v>10332.9</v>
      </c>
      <c r="G210">
        <v>7001.7</v>
      </c>
      <c r="H210">
        <v>6275.6</v>
      </c>
      <c r="I210" s="4">
        <f t="shared" si="107"/>
        <v>17286</v>
      </c>
      <c r="J210" s="35">
        <f t="shared" si="108"/>
        <v>16608.5</v>
      </c>
      <c r="K210" s="31">
        <f t="shared" si="49"/>
        <v>4.0792365355089233</v>
      </c>
      <c r="L210" s="4">
        <f t="shared" si="106"/>
        <v>367.09999999999854</v>
      </c>
      <c r="N210">
        <f t="shared" si="109"/>
        <v>8</v>
      </c>
    </row>
    <row r="211" spans="1:14" x14ac:dyDescent="0.25">
      <c r="A211" s="20">
        <f t="shared" si="96"/>
        <v>40115</v>
      </c>
      <c r="B211" s="71"/>
      <c r="C211" s="71"/>
      <c r="D211" s="15" t="str">
        <f t="shared" si="100"/>
        <v>US Total</v>
      </c>
      <c r="E211">
        <v>10140.1</v>
      </c>
      <c r="F211">
        <v>10185.9</v>
      </c>
      <c r="G211">
        <v>7709.9</v>
      </c>
      <c r="H211">
        <v>6893.6</v>
      </c>
      <c r="I211" s="4">
        <f t="shared" si="107"/>
        <v>17850</v>
      </c>
      <c r="J211" s="35">
        <f t="shared" si="108"/>
        <v>17079.5</v>
      </c>
      <c r="K211" s="31">
        <f t="shared" si="49"/>
        <v>4.5112561843145382</v>
      </c>
      <c r="L211" s="4">
        <f t="shared" si="106"/>
        <v>564</v>
      </c>
      <c r="N211">
        <f t="shared" si="109"/>
        <v>9</v>
      </c>
    </row>
    <row r="212" spans="1:14" x14ac:dyDescent="0.25">
      <c r="A212" s="20">
        <f t="shared" si="96"/>
        <v>40122</v>
      </c>
      <c r="B212" s="71"/>
      <c r="C212" s="71"/>
      <c r="D212" s="15" t="str">
        <f t="shared" si="100"/>
        <v>US Total</v>
      </c>
      <c r="E212">
        <v>9870.5</v>
      </c>
      <c r="F212">
        <v>9732.7999999999993</v>
      </c>
      <c r="G212">
        <v>8468</v>
      </c>
      <c r="H212">
        <v>7702.2</v>
      </c>
      <c r="I212" s="4">
        <f t="shared" si="107"/>
        <v>18338.5</v>
      </c>
      <c r="J212" s="35">
        <f t="shared" si="108"/>
        <v>17435</v>
      </c>
      <c r="K212" s="31">
        <f t="shared" si="49"/>
        <v>5.1821049612847725</v>
      </c>
      <c r="L212" s="4">
        <f t="shared" si="106"/>
        <v>488.5</v>
      </c>
      <c r="N212">
        <f t="shared" si="109"/>
        <v>10</v>
      </c>
    </row>
    <row r="213" spans="1:14" x14ac:dyDescent="0.25">
      <c r="A213" s="20">
        <f t="shared" si="96"/>
        <v>40129</v>
      </c>
      <c r="B213" s="71"/>
      <c r="C213" s="71"/>
      <c r="D213" s="15" t="str">
        <f t="shared" si="100"/>
        <v>US Total</v>
      </c>
      <c r="E213">
        <v>9540.2000000000007</v>
      </c>
      <c r="F213">
        <v>9410.7000000000007</v>
      </c>
      <c r="G213">
        <v>9151.2000000000007</v>
      </c>
      <c r="H213">
        <v>8458.1</v>
      </c>
      <c r="I213" s="4">
        <f t="shared" si="107"/>
        <v>18691.400000000001</v>
      </c>
      <c r="J213" s="35">
        <f t="shared" si="108"/>
        <v>17868.800000000003</v>
      </c>
      <c r="K213" s="31">
        <f t="shared" si="49"/>
        <v>4.6035547994269344</v>
      </c>
      <c r="L213" s="4">
        <f t="shared" si="106"/>
        <v>352.90000000000146</v>
      </c>
      <c r="N213">
        <f t="shared" si="109"/>
        <v>11</v>
      </c>
    </row>
    <row r="214" spans="1:14" x14ac:dyDescent="0.25">
      <c r="A214" s="20">
        <f t="shared" si="96"/>
        <v>40136</v>
      </c>
      <c r="B214" s="71"/>
      <c r="C214" s="71"/>
      <c r="D214" s="15" t="str">
        <f t="shared" si="100"/>
        <v>US Total</v>
      </c>
      <c r="E214">
        <v>10135.9</v>
      </c>
      <c r="F214">
        <v>9110.1</v>
      </c>
      <c r="G214">
        <v>9779.1</v>
      </c>
      <c r="H214">
        <v>9224</v>
      </c>
      <c r="I214" s="4">
        <f t="shared" si="107"/>
        <v>19915</v>
      </c>
      <c r="J214" s="35">
        <f t="shared" si="108"/>
        <v>18334.099999999999</v>
      </c>
      <c r="K214" s="31">
        <f t="shared" si="49"/>
        <v>8.6227303221865448</v>
      </c>
      <c r="L214" s="4">
        <f t="shared" si="106"/>
        <v>1223.5999999999985</v>
      </c>
      <c r="N214">
        <f t="shared" si="109"/>
        <v>12</v>
      </c>
    </row>
    <row r="215" spans="1:14" x14ac:dyDescent="0.25">
      <c r="A215" s="20">
        <f t="shared" si="96"/>
        <v>40143</v>
      </c>
      <c r="B215" s="71"/>
      <c r="C215" s="71"/>
      <c r="D215" s="15" t="str">
        <f t="shared" si="100"/>
        <v>US Total</v>
      </c>
      <c r="E215">
        <v>9915.4</v>
      </c>
      <c r="F215">
        <v>8523.5</v>
      </c>
      <c r="G215">
        <v>10658.6</v>
      </c>
      <c r="H215">
        <v>10154.5</v>
      </c>
      <c r="I215" s="4">
        <f t="shared" si="107"/>
        <v>20574</v>
      </c>
      <c r="J215" s="35">
        <f t="shared" si="108"/>
        <v>18678</v>
      </c>
      <c r="K215" s="31">
        <f t="shared" si="49"/>
        <v>10.150979762287182</v>
      </c>
      <c r="L215" s="4">
        <f t="shared" si="106"/>
        <v>659</v>
      </c>
      <c r="N215">
        <f t="shared" si="109"/>
        <v>13</v>
      </c>
    </row>
    <row r="216" spans="1:14" x14ac:dyDescent="0.25">
      <c r="A216" s="20">
        <f t="shared" si="96"/>
        <v>40150</v>
      </c>
      <c r="B216" s="71"/>
      <c r="C216" s="71"/>
      <c r="D216" s="15" t="str">
        <f t="shared" si="100"/>
        <v>US Total</v>
      </c>
      <c r="E216">
        <v>10056.6</v>
      </c>
      <c r="F216">
        <v>8763.6</v>
      </c>
      <c r="G216">
        <v>11365.1</v>
      </c>
      <c r="H216">
        <v>10843.1</v>
      </c>
      <c r="I216" s="4">
        <f t="shared" si="107"/>
        <v>21421.7</v>
      </c>
      <c r="J216" s="35">
        <f t="shared" si="108"/>
        <v>19606.7</v>
      </c>
      <c r="K216" s="31">
        <f t="shared" si="49"/>
        <v>9.2570396854136483</v>
      </c>
      <c r="L216" s="4">
        <f t="shared" si="106"/>
        <v>847.70000000000073</v>
      </c>
      <c r="N216">
        <f t="shared" si="109"/>
        <v>14</v>
      </c>
    </row>
    <row r="217" spans="1:14" x14ac:dyDescent="0.25">
      <c r="A217" s="20">
        <f t="shared" si="96"/>
        <v>40157</v>
      </c>
      <c r="B217" s="71"/>
      <c r="C217" s="71"/>
      <c r="D217" s="15" t="str">
        <f t="shared" si="100"/>
        <v>US Total</v>
      </c>
      <c r="E217">
        <v>10507.3</v>
      </c>
      <c r="F217">
        <v>8665.9</v>
      </c>
      <c r="G217">
        <v>12141.5</v>
      </c>
      <c r="H217">
        <v>11553.3</v>
      </c>
      <c r="I217" s="4">
        <f t="shared" si="107"/>
        <v>22648.799999999999</v>
      </c>
      <c r="J217" s="35">
        <f t="shared" si="108"/>
        <v>20219.199999999997</v>
      </c>
      <c r="K217" s="31">
        <f t="shared" si="49"/>
        <v>12.016301337342728</v>
      </c>
      <c r="L217" s="4">
        <f t="shared" si="106"/>
        <v>1227.0999999999985</v>
      </c>
      <c r="N217">
        <f t="shared" si="109"/>
        <v>15</v>
      </c>
    </row>
    <row r="218" spans="1:14" x14ac:dyDescent="0.25">
      <c r="A218" s="20">
        <f t="shared" si="96"/>
        <v>40164</v>
      </c>
      <c r="B218" s="71"/>
      <c r="C218" s="71"/>
      <c r="D218" s="15" t="str">
        <f t="shared" si="100"/>
        <v>US Total</v>
      </c>
      <c r="E218">
        <v>11684.4</v>
      </c>
      <c r="F218">
        <v>8386</v>
      </c>
      <c r="G218">
        <v>12556.2</v>
      </c>
      <c r="H218">
        <v>12384.6</v>
      </c>
      <c r="I218" s="4">
        <f t="shared" si="107"/>
        <v>24240.6</v>
      </c>
      <c r="J218" s="35">
        <f t="shared" si="108"/>
        <v>20770.599999999999</v>
      </c>
      <c r="K218" s="31">
        <f t="shared" si="49"/>
        <v>16.706306028713659</v>
      </c>
      <c r="L218" s="4">
        <f t="shared" si="106"/>
        <v>1591.7999999999993</v>
      </c>
      <c r="N218">
        <f t="shared" si="109"/>
        <v>16</v>
      </c>
    </row>
    <row r="219" spans="1:14" x14ac:dyDescent="0.25">
      <c r="A219" s="20">
        <f t="shared" si="96"/>
        <v>40171</v>
      </c>
      <c r="B219" s="71"/>
      <c r="C219" s="71"/>
      <c r="D219" s="15" t="str">
        <f t="shared" si="100"/>
        <v>US Total</v>
      </c>
      <c r="E219">
        <v>11593.4</v>
      </c>
      <c r="F219">
        <v>8053.8</v>
      </c>
      <c r="G219">
        <v>13419.8</v>
      </c>
      <c r="H219">
        <v>12986.7</v>
      </c>
      <c r="I219" s="4">
        <f t="shared" si="107"/>
        <v>25013.199999999997</v>
      </c>
      <c r="J219" s="35">
        <f t="shared" si="108"/>
        <v>21040.5</v>
      </c>
      <c r="K219" s="31">
        <f t="shared" si="49"/>
        <v>18.881205294550973</v>
      </c>
      <c r="L219" s="4">
        <f t="shared" si="106"/>
        <v>772.59999999999854</v>
      </c>
      <c r="N219">
        <f t="shared" si="109"/>
        <v>17</v>
      </c>
    </row>
    <row r="220" spans="1:14" x14ac:dyDescent="0.25">
      <c r="A220" s="20">
        <f t="shared" si="96"/>
        <v>40178</v>
      </c>
      <c r="B220" s="71"/>
      <c r="C220" s="71"/>
      <c r="D220" s="15" t="str">
        <f t="shared" si="100"/>
        <v>US Total</v>
      </c>
      <c r="E220">
        <v>11160.4</v>
      </c>
      <c r="F220">
        <v>7702.9</v>
      </c>
      <c r="G220">
        <v>14217.8</v>
      </c>
      <c r="H220">
        <v>13598.2</v>
      </c>
      <c r="I220" s="4">
        <f t="shared" si="107"/>
        <v>25378.199999999997</v>
      </c>
      <c r="J220" s="35">
        <f t="shared" si="108"/>
        <v>21301.1</v>
      </c>
      <c r="K220" s="31">
        <f t="shared" si="49"/>
        <v>19.140326086446223</v>
      </c>
      <c r="L220" s="4">
        <f t="shared" si="106"/>
        <v>365</v>
      </c>
      <c r="N220">
        <f t="shared" si="109"/>
        <v>18</v>
      </c>
    </row>
    <row r="221" spans="1:14" x14ac:dyDescent="0.25">
      <c r="A221" s="20">
        <f t="shared" si="96"/>
        <v>40185</v>
      </c>
      <c r="B221" s="71"/>
      <c r="C221" s="71"/>
      <c r="D221" s="15" t="str">
        <f t="shared" si="100"/>
        <v>US Total</v>
      </c>
      <c r="E221">
        <v>10829.3</v>
      </c>
      <c r="F221">
        <v>7307.4</v>
      </c>
      <c r="G221">
        <v>14875.9</v>
      </c>
      <c r="H221">
        <v>14209.9</v>
      </c>
      <c r="I221" s="4">
        <f t="shared" si="107"/>
        <v>25705.199999999997</v>
      </c>
      <c r="J221" s="35">
        <f t="shared" si="108"/>
        <v>21517.3</v>
      </c>
      <c r="K221" s="31">
        <f t="shared" si="49"/>
        <v>19.462943770826246</v>
      </c>
      <c r="L221" s="4">
        <f t="shared" si="106"/>
        <v>327</v>
      </c>
      <c r="N221">
        <f t="shared" si="109"/>
        <v>19</v>
      </c>
    </row>
    <row r="222" spans="1:14" x14ac:dyDescent="0.25">
      <c r="A222" s="20">
        <f t="shared" si="96"/>
        <v>40192</v>
      </c>
      <c r="B222" s="71"/>
      <c r="C222" s="71"/>
      <c r="D222" s="15" t="str">
        <f t="shared" si="100"/>
        <v>US Total</v>
      </c>
      <c r="E222">
        <v>11603.8</v>
      </c>
      <c r="F222">
        <v>7709.4</v>
      </c>
      <c r="G222">
        <v>15711.8</v>
      </c>
      <c r="H222">
        <v>14893.9</v>
      </c>
      <c r="I222" s="4">
        <f t="shared" si="107"/>
        <v>27315.599999999999</v>
      </c>
      <c r="J222" s="35">
        <f t="shared" si="108"/>
        <v>22603.3</v>
      </c>
      <c r="K222" s="31">
        <f t="shared" si="49"/>
        <v>20.84784080200679</v>
      </c>
      <c r="L222" s="4">
        <f t="shared" si="106"/>
        <v>1610.4000000000015</v>
      </c>
      <c r="N222">
        <f t="shared" si="109"/>
        <v>20</v>
      </c>
    </row>
    <row r="223" spans="1:14" x14ac:dyDescent="0.25">
      <c r="A223" s="20">
        <f t="shared" si="96"/>
        <v>40199</v>
      </c>
      <c r="B223" s="71"/>
      <c r="C223" s="71"/>
      <c r="D223" s="15" t="str">
        <f t="shared" si="100"/>
        <v>US Total</v>
      </c>
      <c r="E223">
        <v>11974.3</v>
      </c>
      <c r="F223">
        <v>8078.4</v>
      </c>
      <c r="G223">
        <v>16243.6</v>
      </c>
      <c r="H223">
        <v>15632.6</v>
      </c>
      <c r="I223" s="4">
        <f t="shared" si="107"/>
        <v>28217.9</v>
      </c>
      <c r="J223" s="35">
        <f t="shared" si="108"/>
        <v>23711</v>
      </c>
      <c r="K223" s="31">
        <f t="shared" si="49"/>
        <v>19.007633587786277</v>
      </c>
      <c r="L223" s="4">
        <f t="shared" si="106"/>
        <v>902.30000000000291</v>
      </c>
      <c r="N223">
        <f t="shared" si="109"/>
        <v>21</v>
      </c>
    </row>
    <row r="224" spans="1:14" x14ac:dyDescent="0.25">
      <c r="A224" s="20">
        <f t="shared" si="96"/>
        <v>40206</v>
      </c>
      <c r="B224" s="71"/>
      <c r="C224" s="71"/>
      <c r="D224" s="15" t="str">
        <f t="shared" si="100"/>
        <v>US Total</v>
      </c>
      <c r="E224">
        <v>11774.5</v>
      </c>
      <c r="F224">
        <v>8497</v>
      </c>
      <c r="G224">
        <v>17366.599999999999</v>
      </c>
      <c r="H224">
        <v>16378.2</v>
      </c>
      <c r="I224" s="4">
        <f t="shared" si="107"/>
        <v>29141.1</v>
      </c>
      <c r="J224" s="35">
        <f t="shared" si="108"/>
        <v>24875.200000000001</v>
      </c>
      <c r="K224" s="31">
        <f t="shared" si="49"/>
        <v>17.149208850582088</v>
      </c>
      <c r="L224" s="4">
        <f t="shared" si="106"/>
        <v>923.19999999999709</v>
      </c>
      <c r="N224">
        <f t="shared" si="109"/>
        <v>22</v>
      </c>
    </row>
    <row r="225" spans="1:18" x14ac:dyDescent="0.25">
      <c r="A225" s="20">
        <f t="shared" si="96"/>
        <v>40213</v>
      </c>
      <c r="B225" s="71"/>
      <c r="C225" s="71"/>
      <c r="D225" s="15" t="str">
        <f t="shared" si="100"/>
        <v>US Total</v>
      </c>
      <c r="E225">
        <v>11913.9</v>
      </c>
      <c r="F225">
        <v>9473.4</v>
      </c>
      <c r="G225">
        <v>17970.5</v>
      </c>
      <c r="H225">
        <v>16945.599999999999</v>
      </c>
      <c r="I225" s="4">
        <f t="shared" ref="I225:I292" si="110">+E225+G225</f>
        <v>29884.400000000001</v>
      </c>
      <c r="J225" s="35">
        <f t="shared" ref="J225:J292" si="111">+F225+H225</f>
        <v>26419</v>
      </c>
      <c r="K225" s="31">
        <f t="shared" ref="K225:K294" si="112">+(I225/J225-1)*100</f>
        <v>13.117074832506903</v>
      </c>
      <c r="L225" s="4">
        <f t="shared" ref="L225:L242" si="113">+I225-I224</f>
        <v>743.30000000000291</v>
      </c>
      <c r="N225">
        <f t="shared" si="109"/>
        <v>23</v>
      </c>
    </row>
    <row r="226" spans="1:18" x14ac:dyDescent="0.25">
      <c r="A226" s="20">
        <f t="shared" si="96"/>
        <v>40220</v>
      </c>
      <c r="B226" s="71"/>
      <c r="C226" s="71"/>
      <c r="D226" s="15" t="str">
        <f t="shared" si="100"/>
        <v>US Total</v>
      </c>
      <c r="E226">
        <v>12236.3</v>
      </c>
      <c r="F226">
        <v>9894.4</v>
      </c>
      <c r="G226">
        <v>18622.7</v>
      </c>
      <c r="H226">
        <v>17856.900000000001</v>
      </c>
      <c r="I226" s="4">
        <f t="shared" si="110"/>
        <v>30859</v>
      </c>
      <c r="J226" s="35">
        <f t="shared" si="111"/>
        <v>27751.300000000003</v>
      </c>
      <c r="K226" s="31">
        <f t="shared" si="112"/>
        <v>11.198394309455772</v>
      </c>
      <c r="L226" s="4">
        <f t="shared" si="113"/>
        <v>974.59999999999854</v>
      </c>
      <c r="N226">
        <f t="shared" si="109"/>
        <v>24</v>
      </c>
    </row>
    <row r="227" spans="1:18" x14ac:dyDescent="0.25">
      <c r="A227" s="20">
        <f t="shared" si="96"/>
        <v>40227</v>
      </c>
      <c r="B227" s="71"/>
      <c r="C227" s="71"/>
      <c r="D227" s="15" t="str">
        <f t="shared" si="100"/>
        <v>US Total</v>
      </c>
      <c r="E227">
        <v>11397</v>
      </c>
      <c r="F227">
        <v>9571.6</v>
      </c>
      <c r="G227">
        <v>19838.7</v>
      </c>
      <c r="H227">
        <v>18628.599999999999</v>
      </c>
      <c r="I227" s="4">
        <f t="shared" si="110"/>
        <v>31235.7</v>
      </c>
      <c r="J227" s="35">
        <f t="shared" si="111"/>
        <v>28200.199999999997</v>
      </c>
      <c r="K227" s="31">
        <f t="shared" si="112"/>
        <v>10.764108055971256</v>
      </c>
      <c r="L227" s="4">
        <f t="shared" si="113"/>
        <v>376.70000000000073</v>
      </c>
      <c r="N227">
        <f t="shared" si="109"/>
        <v>25</v>
      </c>
    </row>
    <row r="228" spans="1:18" x14ac:dyDescent="0.25">
      <c r="A228" s="20">
        <f t="shared" si="96"/>
        <v>40234</v>
      </c>
      <c r="B228" s="71"/>
      <c r="C228" s="71"/>
      <c r="D228" s="15" t="str">
        <f t="shared" si="100"/>
        <v>US Total</v>
      </c>
      <c r="E228">
        <v>11103.1</v>
      </c>
      <c r="F228">
        <v>9455.4</v>
      </c>
      <c r="G228">
        <v>20894.099999999999</v>
      </c>
      <c r="H228">
        <v>20894.099999999999</v>
      </c>
      <c r="I228" s="4">
        <f t="shared" si="110"/>
        <v>31997.199999999997</v>
      </c>
      <c r="J228" s="35">
        <f t="shared" si="111"/>
        <v>30349.5</v>
      </c>
      <c r="K228" s="31">
        <f t="shared" si="112"/>
        <v>5.4290844989208997</v>
      </c>
      <c r="L228" s="4">
        <f t="shared" si="113"/>
        <v>761.49999999999636</v>
      </c>
      <c r="N228">
        <f t="shared" si="109"/>
        <v>26</v>
      </c>
    </row>
    <row r="229" spans="1:18" x14ac:dyDescent="0.25">
      <c r="A229" s="20">
        <f t="shared" si="96"/>
        <v>40241</v>
      </c>
      <c r="B229" s="71"/>
      <c r="C229" s="71"/>
      <c r="D229" s="15" t="str">
        <f t="shared" si="100"/>
        <v>US Total</v>
      </c>
      <c r="E229">
        <v>10476.799999999999</v>
      </c>
      <c r="F229">
        <v>9478.4</v>
      </c>
      <c r="G229">
        <v>21858.9</v>
      </c>
      <c r="H229">
        <v>20606.099999999999</v>
      </c>
      <c r="I229" s="4">
        <f t="shared" si="110"/>
        <v>32335.7</v>
      </c>
      <c r="J229" s="35">
        <f t="shared" si="111"/>
        <v>30084.5</v>
      </c>
      <c r="K229" s="31">
        <f t="shared" si="112"/>
        <v>7.4829230999351903</v>
      </c>
      <c r="L229" s="4">
        <f t="shared" si="113"/>
        <v>338.50000000000364</v>
      </c>
      <c r="N229">
        <f t="shared" si="109"/>
        <v>27</v>
      </c>
    </row>
    <row r="230" spans="1:18" x14ac:dyDescent="0.25">
      <c r="A230" s="20">
        <f t="shared" si="96"/>
        <v>40248</v>
      </c>
      <c r="B230" s="71"/>
      <c r="C230" s="71"/>
      <c r="D230" s="15" t="str">
        <f t="shared" si="100"/>
        <v>US Total</v>
      </c>
      <c r="E230">
        <v>10269.200000000001</v>
      </c>
      <c r="F230">
        <v>8985.5</v>
      </c>
      <c r="G230">
        <v>22814.2</v>
      </c>
      <c r="H230">
        <v>21539.599999999999</v>
      </c>
      <c r="I230" s="4">
        <f t="shared" si="110"/>
        <v>33083.4</v>
      </c>
      <c r="J230" s="35">
        <f t="shared" si="111"/>
        <v>30525.1</v>
      </c>
      <c r="K230" s="31">
        <f t="shared" si="112"/>
        <v>8.3809717249083704</v>
      </c>
      <c r="L230" s="4">
        <f t="shared" si="113"/>
        <v>747.70000000000073</v>
      </c>
      <c r="N230">
        <f t="shared" si="109"/>
        <v>28</v>
      </c>
    </row>
    <row r="231" spans="1:18" x14ac:dyDescent="0.25">
      <c r="A231" s="20">
        <f t="shared" si="96"/>
        <v>40255</v>
      </c>
      <c r="B231" s="71"/>
      <c r="C231" s="71"/>
      <c r="D231" s="15" t="str">
        <f t="shared" si="100"/>
        <v>US Total</v>
      </c>
      <c r="E231">
        <v>9715.2000000000007</v>
      </c>
      <c r="F231">
        <v>9400.4</v>
      </c>
      <c r="G231">
        <v>23975</v>
      </c>
      <c r="H231">
        <v>22316</v>
      </c>
      <c r="I231" s="4">
        <f t="shared" si="110"/>
        <v>33690.199999999997</v>
      </c>
      <c r="J231" s="35">
        <f t="shared" si="111"/>
        <v>31716.400000000001</v>
      </c>
      <c r="K231" s="31">
        <f t="shared" si="112"/>
        <v>6.2232788084397805</v>
      </c>
      <c r="L231" s="4">
        <f t="shared" si="113"/>
        <v>606.79999999999563</v>
      </c>
      <c r="N231">
        <f t="shared" si="109"/>
        <v>29</v>
      </c>
    </row>
    <row r="232" spans="1:18" x14ac:dyDescent="0.25">
      <c r="A232" s="20">
        <f t="shared" si="96"/>
        <v>40262</v>
      </c>
      <c r="B232" s="71"/>
      <c r="C232" s="71"/>
      <c r="D232" s="15" t="str">
        <f t="shared" si="100"/>
        <v>US Total</v>
      </c>
      <c r="E232">
        <v>9326.7000000000007</v>
      </c>
      <c r="F232">
        <v>9657.2999999999993</v>
      </c>
      <c r="G232">
        <v>25189.599999999999</v>
      </c>
      <c r="H232">
        <v>23310.3</v>
      </c>
      <c r="I232" s="4">
        <f t="shared" si="110"/>
        <v>34516.300000000003</v>
      </c>
      <c r="J232" s="35">
        <f t="shared" si="111"/>
        <v>32967.599999999999</v>
      </c>
      <c r="K232" s="31">
        <f t="shared" si="112"/>
        <v>4.6976425338817629</v>
      </c>
      <c r="L232" s="4">
        <f t="shared" si="113"/>
        <v>826.10000000000582</v>
      </c>
      <c r="N232">
        <f t="shared" si="109"/>
        <v>30</v>
      </c>
    </row>
    <row r="233" spans="1:18" x14ac:dyDescent="0.25">
      <c r="A233" s="20">
        <f t="shared" si="96"/>
        <v>40269</v>
      </c>
      <c r="B233" s="71"/>
      <c r="C233" s="71"/>
      <c r="D233" s="15" t="str">
        <f t="shared" si="100"/>
        <v>US Total</v>
      </c>
      <c r="E233">
        <v>9809.1</v>
      </c>
      <c r="F233">
        <v>9663.6</v>
      </c>
      <c r="G233">
        <v>26065</v>
      </c>
      <c r="H233">
        <v>24366.799999999999</v>
      </c>
      <c r="I233" s="4">
        <f t="shared" si="110"/>
        <v>35874.1</v>
      </c>
      <c r="J233" s="35">
        <f t="shared" si="111"/>
        <v>34030.400000000001</v>
      </c>
      <c r="K233" s="31">
        <f t="shared" si="112"/>
        <v>5.4178029056373145</v>
      </c>
      <c r="L233" s="4">
        <f t="shared" si="113"/>
        <v>1357.7999999999956</v>
      </c>
      <c r="N233">
        <f t="shared" si="109"/>
        <v>31</v>
      </c>
    </row>
    <row r="234" spans="1:18" x14ac:dyDescent="0.25">
      <c r="A234" s="20">
        <f t="shared" si="96"/>
        <v>40276</v>
      </c>
      <c r="B234" s="71"/>
      <c r="C234" s="71"/>
      <c r="D234" s="15" t="str">
        <f t="shared" si="100"/>
        <v>US Total</v>
      </c>
      <c r="E234">
        <v>9702.2000000000007</v>
      </c>
      <c r="F234">
        <v>9678.6</v>
      </c>
      <c r="G234">
        <v>27178.2</v>
      </c>
      <c r="H234">
        <v>25221.5</v>
      </c>
      <c r="I234" s="4">
        <f t="shared" si="110"/>
        <v>36880.400000000001</v>
      </c>
      <c r="J234" s="35">
        <f t="shared" si="111"/>
        <v>34900.1</v>
      </c>
      <c r="K234" s="31">
        <f t="shared" si="112"/>
        <v>5.674195775943347</v>
      </c>
      <c r="L234" s="4">
        <f t="shared" si="113"/>
        <v>1006.3000000000029</v>
      </c>
      <c r="N234">
        <f t="shared" si="109"/>
        <v>32</v>
      </c>
    </row>
    <row r="235" spans="1:18" x14ac:dyDescent="0.25">
      <c r="A235" s="20">
        <f t="shared" si="96"/>
        <v>40283</v>
      </c>
      <c r="B235" s="71"/>
      <c r="C235" s="71"/>
      <c r="D235" s="15" t="str">
        <f t="shared" si="100"/>
        <v>US Total</v>
      </c>
      <c r="E235">
        <v>10027.6</v>
      </c>
      <c r="F235">
        <v>9866</v>
      </c>
      <c r="G235">
        <v>28333.8</v>
      </c>
      <c r="H235">
        <v>26248.400000000001</v>
      </c>
      <c r="I235" s="4">
        <f t="shared" si="110"/>
        <v>38361.4</v>
      </c>
      <c r="J235" s="35">
        <f t="shared" si="111"/>
        <v>36114.400000000001</v>
      </c>
      <c r="K235" s="31">
        <f t="shared" si="112"/>
        <v>6.221894867421307</v>
      </c>
      <c r="L235" s="4">
        <f t="shared" si="113"/>
        <v>1481</v>
      </c>
      <c r="N235">
        <f t="shared" si="109"/>
        <v>33</v>
      </c>
      <c r="P235" s="4"/>
      <c r="Q235" s="4"/>
    </row>
    <row r="236" spans="1:18" x14ac:dyDescent="0.25">
      <c r="A236" s="20">
        <f t="shared" si="96"/>
        <v>40290</v>
      </c>
      <c r="B236" s="71"/>
      <c r="C236" s="71"/>
      <c r="D236" s="15" t="str">
        <f t="shared" si="100"/>
        <v>US Total</v>
      </c>
      <c r="E236">
        <v>10342.5</v>
      </c>
      <c r="F236">
        <v>10253.4</v>
      </c>
      <c r="G236">
        <v>29247.599999999999</v>
      </c>
      <c r="H236">
        <v>27086.3</v>
      </c>
      <c r="I236" s="4">
        <f t="shared" si="110"/>
        <v>39590.1</v>
      </c>
      <c r="J236" s="35">
        <f t="shared" si="111"/>
        <v>37339.699999999997</v>
      </c>
      <c r="K236" s="31">
        <f t="shared" si="112"/>
        <v>6.0268293532085293</v>
      </c>
      <c r="L236" s="4">
        <f t="shared" si="113"/>
        <v>1228.6999999999971</v>
      </c>
      <c r="N236">
        <f t="shared" si="109"/>
        <v>34</v>
      </c>
      <c r="O236" s="63">
        <v>883.1</v>
      </c>
      <c r="P236" s="4"/>
      <c r="Q236" s="4"/>
      <c r="R236" s="5"/>
    </row>
    <row r="237" spans="1:18" x14ac:dyDescent="0.25">
      <c r="A237" s="20">
        <f t="shared" si="96"/>
        <v>40297</v>
      </c>
      <c r="B237" s="71"/>
      <c r="C237" s="71"/>
      <c r="D237" s="15" t="str">
        <f t="shared" si="100"/>
        <v>US Total</v>
      </c>
      <c r="E237">
        <v>11337.9</v>
      </c>
      <c r="F237">
        <v>10052</v>
      </c>
      <c r="G237">
        <v>30083.599999999999</v>
      </c>
      <c r="H237">
        <v>27876.3</v>
      </c>
      <c r="I237" s="4">
        <f t="shared" si="110"/>
        <v>41421.5</v>
      </c>
      <c r="J237" s="35">
        <f t="shared" si="111"/>
        <v>37928.300000000003</v>
      </c>
      <c r="K237" s="31">
        <f t="shared" si="112"/>
        <v>9.2100094124967224</v>
      </c>
      <c r="L237" s="4">
        <f t="shared" si="113"/>
        <v>1831.4000000000015</v>
      </c>
      <c r="N237">
        <f t="shared" si="109"/>
        <v>35</v>
      </c>
      <c r="O237" s="63">
        <v>913.5</v>
      </c>
    </row>
    <row r="238" spans="1:18" x14ac:dyDescent="0.25">
      <c r="A238" s="20">
        <f t="shared" si="96"/>
        <v>40304</v>
      </c>
      <c r="B238" s="71"/>
      <c r="C238" s="71"/>
      <c r="D238" s="15" t="str">
        <f t="shared" si="100"/>
        <v>US Total</v>
      </c>
      <c r="E238">
        <v>11123.7</v>
      </c>
      <c r="F238">
        <v>9716.5</v>
      </c>
      <c r="G238">
        <v>31116.799999999999</v>
      </c>
      <c r="H238">
        <v>29148.6</v>
      </c>
      <c r="I238" s="4">
        <f t="shared" si="110"/>
        <v>42240.5</v>
      </c>
      <c r="J238" s="35">
        <f t="shared" si="111"/>
        <v>38865.1</v>
      </c>
      <c r="K238" s="31">
        <f t="shared" si="112"/>
        <v>8.6849126851596949</v>
      </c>
      <c r="L238" s="4">
        <f t="shared" si="113"/>
        <v>819</v>
      </c>
      <c r="N238">
        <f t="shared" si="109"/>
        <v>36</v>
      </c>
      <c r="O238" s="63">
        <v>1034.4000000000001</v>
      </c>
    </row>
    <row r="239" spans="1:18" x14ac:dyDescent="0.25">
      <c r="A239" s="20">
        <f t="shared" si="96"/>
        <v>40311</v>
      </c>
      <c r="B239" s="71"/>
      <c r="C239" s="71"/>
      <c r="D239" s="15" t="str">
        <f t="shared" si="100"/>
        <v>US Total</v>
      </c>
      <c r="E239">
        <v>11498.9</v>
      </c>
      <c r="F239">
        <v>9691.7000000000007</v>
      </c>
      <c r="G239">
        <v>32095.8</v>
      </c>
      <c r="H239">
        <v>29856.9</v>
      </c>
      <c r="I239" s="4">
        <f t="shared" si="110"/>
        <v>43594.7</v>
      </c>
      <c r="J239" s="35">
        <f t="shared" si="111"/>
        <v>39548.600000000006</v>
      </c>
      <c r="K239" s="31">
        <f t="shared" si="112"/>
        <v>10.230703488871896</v>
      </c>
      <c r="L239" s="4">
        <f t="shared" si="113"/>
        <v>1354.1999999999971</v>
      </c>
      <c r="N239">
        <f t="shared" si="109"/>
        <v>37</v>
      </c>
      <c r="O239" s="63">
        <v>1273.4000000000001</v>
      </c>
    </row>
    <row r="240" spans="1:18" x14ac:dyDescent="0.25">
      <c r="A240" s="20">
        <f t="shared" si="96"/>
        <v>40318</v>
      </c>
      <c r="B240" s="71"/>
      <c r="C240" s="71"/>
      <c r="D240" s="15" t="str">
        <f t="shared" si="100"/>
        <v>US Total</v>
      </c>
      <c r="E240">
        <v>11289.9</v>
      </c>
      <c r="F240">
        <v>9637.7000000000007</v>
      </c>
      <c r="G240">
        <v>33335.599999999999</v>
      </c>
      <c r="H240">
        <v>30667</v>
      </c>
      <c r="I240" s="4">
        <f t="shared" si="110"/>
        <v>44625.5</v>
      </c>
      <c r="J240" s="35">
        <f t="shared" si="111"/>
        <v>40304.699999999997</v>
      </c>
      <c r="K240" s="31">
        <f t="shared" si="112"/>
        <v>10.720337826605842</v>
      </c>
      <c r="L240" s="4">
        <f t="shared" si="113"/>
        <v>1030.8000000000029</v>
      </c>
      <c r="N240">
        <f t="shared" si="109"/>
        <v>38</v>
      </c>
      <c r="O240" s="63">
        <v>1099.4000000000001</v>
      </c>
    </row>
    <row r="241" spans="1:16" x14ac:dyDescent="0.25">
      <c r="A241" s="20">
        <f t="shared" si="96"/>
        <v>40325</v>
      </c>
      <c r="B241" s="71"/>
      <c r="C241" s="71"/>
      <c r="D241" s="15" t="str">
        <f t="shared" si="100"/>
        <v>US Total</v>
      </c>
      <c r="E241">
        <v>10262.1</v>
      </c>
      <c r="F241">
        <v>9386.1</v>
      </c>
      <c r="G241">
        <v>34562.1</v>
      </c>
      <c r="H241">
        <v>31523.1</v>
      </c>
      <c r="I241" s="4">
        <f t="shared" si="110"/>
        <v>44824.2</v>
      </c>
      <c r="J241" s="35">
        <f t="shared" si="111"/>
        <v>40909.199999999997</v>
      </c>
      <c r="K241" s="31">
        <f t="shared" si="112"/>
        <v>9.5699744800680442</v>
      </c>
      <c r="L241" s="4">
        <f t="shared" si="113"/>
        <v>198.69999999999709</v>
      </c>
      <c r="N241">
        <f t="shared" si="109"/>
        <v>39</v>
      </c>
      <c r="O241" s="63">
        <v>1213.8</v>
      </c>
    </row>
    <row r="242" spans="1:16" x14ac:dyDescent="0.25">
      <c r="A242" s="20">
        <f t="shared" si="96"/>
        <v>40332</v>
      </c>
      <c r="B242" s="71"/>
      <c r="C242" s="71"/>
      <c r="D242" s="15" t="str">
        <f t="shared" si="100"/>
        <v>US Total</v>
      </c>
      <c r="E242">
        <v>10369</v>
      </c>
      <c r="F242">
        <v>9475</v>
      </c>
      <c r="G242">
        <v>35474.1</v>
      </c>
      <c r="H242">
        <v>32147.4</v>
      </c>
      <c r="I242" s="4">
        <f t="shared" si="110"/>
        <v>45843.1</v>
      </c>
      <c r="J242" s="35">
        <f t="shared" si="111"/>
        <v>41622.400000000001</v>
      </c>
      <c r="K242" s="31">
        <f t="shared" si="112"/>
        <v>10.140453217498258</v>
      </c>
      <c r="L242" s="4">
        <f t="shared" si="113"/>
        <v>1018.9000000000015</v>
      </c>
      <c r="N242">
        <f t="shared" si="109"/>
        <v>40</v>
      </c>
      <c r="O242" s="63">
        <v>1357.3</v>
      </c>
    </row>
    <row r="243" spans="1:16" x14ac:dyDescent="0.25">
      <c r="A243" s="20">
        <f t="shared" si="96"/>
        <v>40339</v>
      </c>
      <c r="B243" s="71"/>
      <c r="C243" s="71"/>
      <c r="D243" s="15" t="str">
        <f t="shared" si="100"/>
        <v>US Total</v>
      </c>
      <c r="E243">
        <v>10386.4</v>
      </c>
      <c r="F243">
        <v>9424.4</v>
      </c>
      <c r="G243">
        <v>36547.1</v>
      </c>
      <c r="H243">
        <v>32965.199999999997</v>
      </c>
      <c r="I243" s="4">
        <f t="shared" si="110"/>
        <v>46933.5</v>
      </c>
      <c r="J243" s="35">
        <f t="shared" si="111"/>
        <v>42389.599999999999</v>
      </c>
      <c r="K243" s="31">
        <f t="shared" si="112"/>
        <v>10.719374563572192</v>
      </c>
      <c r="L243" s="4">
        <f t="shared" ref="L243:L249" si="114">+I243-I242</f>
        <v>1090.4000000000015</v>
      </c>
      <c r="N243">
        <f t="shared" si="109"/>
        <v>41</v>
      </c>
      <c r="O243" s="63">
        <v>1493</v>
      </c>
    </row>
    <row r="244" spans="1:16" x14ac:dyDescent="0.25">
      <c r="A244" s="20">
        <f t="shared" si="96"/>
        <v>40346</v>
      </c>
      <c r="B244" s="71"/>
      <c r="C244" s="71"/>
      <c r="D244" s="15" t="str">
        <f t="shared" si="100"/>
        <v>US Total</v>
      </c>
      <c r="E244">
        <v>10691.7</v>
      </c>
      <c r="F244">
        <v>9072.4</v>
      </c>
      <c r="G244">
        <v>37365.199999999997</v>
      </c>
      <c r="H244">
        <v>34003.699999999997</v>
      </c>
      <c r="I244" s="4">
        <f t="shared" si="110"/>
        <v>48056.899999999994</v>
      </c>
      <c r="J244" s="35">
        <f t="shared" si="111"/>
        <v>43076.1</v>
      </c>
      <c r="K244" s="31">
        <f t="shared" si="112"/>
        <v>11.562792360496887</v>
      </c>
      <c r="L244" s="4">
        <f t="shared" si="114"/>
        <v>1123.3999999999942</v>
      </c>
      <c r="N244">
        <f t="shared" si="109"/>
        <v>42</v>
      </c>
      <c r="O244" s="63">
        <v>1826.1</v>
      </c>
    </row>
    <row r="245" spans="1:16" x14ac:dyDescent="0.25">
      <c r="A245" s="20">
        <f t="shared" si="96"/>
        <v>40353</v>
      </c>
      <c r="B245" s="71"/>
      <c r="C245" s="71"/>
      <c r="D245" s="15" t="str">
        <f t="shared" ref="D245:D328" si="115">+D244</f>
        <v>US Total</v>
      </c>
      <c r="E245">
        <v>10388.9</v>
      </c>
      <c r="F245">
        <v>9485</v>
      </c>
      <c r="G245">
        <v>38317.599999999999</v>
      </c>
      <c r="H245">
        <v>34746.199999999997</v>
      </c>
      <c r="I245" s="4">
        <f t="shared" si="110"/>
        <v>48706.5</v>
      </c>
      <c r="J245" s="35">
        <f t="shared" si="111"/>
        <v>44231.199999999997</v>
      </c>
      <c r="K245" s="31">
        <f t="shared" si="112"/>
        <v>10.117971024977845</v>
      </c>
      <c r="L245" s="4">
        <f t="shared" si="114"/>
        <v>649.60000000000582</v>
      </c>
      <c r="N245">
        <f t="shared" si="109"/>
        <v>43</v>
      </c>
      <c r="O245" s="63">
        <v>1902.7</v>
      </c>
    </row>
    <row r="246" spans="1:16" x14ac:dyDescent="0.25">
      <c r="A246" s="20">
        <f t="shared" si="96"/>
        <v>40360</v>
      </c>
      <c r="B246" s="71"/>
      <c r="C246" s="71"/>
      <c r="D246" s="15" t="str">
        <f t="shared" si="115"/>
        <v>US Total</v>
      </c>
      <c r="E246">
        <v>9859.6</v>
      </c>
      <c r="F246">
        <v>9266.2000000000007</v>
      </c>
      <c r="G246">
        <v>39348.1</v>
      </c>
      <c r="H246">
        <v>35714</v>
      </c>
      <c r="I246" s="4">
        <f t="shared" si="110"/>
        <v>49207.7</v>
      </c>
      <c r="J246" s="35">
        <f t="shared" si="111"/>
        <v>44980.2</v>
      </c>
      <c r="K246" s="31">
        <f t="shared" si="112"/>
        <v>9.398579819565045</v>
      </c>
      <c r="L246" s="4">
        <f t="shared" si="114"/>
        <v>501.19999999999709</v>
      </c>
      <c r="N246">
        <f t="shared" si="109"/>
        <v>44</v>
      </c>
      <c r="O246" s="63">
        <v>2227.4</v>
      </c>
      <c r="P246">
        <f>+O246-O245</f>
        <v>324.70000000000005</v>
      </c>
    </row>
    <row r="247" spans="1:16" x14ac:dyDescent="0.25">
      <c r="A247" s="20">
        <f t="shared" si="96"/>
        <v>40367</v>
      </c>
      <c r="B247" s="71"/>
      <c r="C247" s="71"/>
      <c r="D247" s="15" t="str">
        <f t="shared" si="115"/>
        <v>US Total</v>
      </c>
      <c r="E247">
        <v>9495</v>
      </c>
      <c r="F247">
        <v>8996.4</v>
      </c>
      <c r="G247">
        <v>40390.9</v>
      </c>
      <c r="H247">
        <v>36683.5</v>
      </c>
      <c r="I247" s="4">
        <f t="shared" si="110"/>
        <v>49885.9</v>
      </c>
      <c r="J247" s="35">
        <f t="shared" si="111"/>
        <v>45679.9</v>
      </c>
      <c r="K247" s="31">
        <f t="shared" si="112"/>
        <v>9.2075508046208565</v>
      </c>
      <c r="L247" s="4">
        <f t="shared" si="114"/>
        <v>678.20000000000437</v>
      </c>
      <c r="N247">
        <f t="shared" si="109"/>
        <v>45</v>
      </c>
      <c r="O247" s="63">
        <v>2572.6999999999998</v>
      </c>
      <c r="P247">
        <f>+O247-O246</f>
        <v>345.29999999999973</v>
      </c>
    </row>
    <row r="248" spans="1:16" x14ac:dyDescent="0.25">
      <c r="A248" s="20">
        <f t="shared" si="96"/>
        <v>40374</v>
      </c>
      <c r="B248" s="71"/>
      <c r="C248" s="71"/>
      <c r="D248" s="15" t="str">
        <f t="shared" si="115"/>
        <v>US Total</v>
      </c>
      <c r="E248">
        <v>9160.7000000000007</v>
      </c>
      <c r="F248">
        <v>8832.5</v>
      </c>
      <c r="G248">
        <v>41339.300000000003</v>
      </c>
      <c r="H248">
        <v>37605.1</v>
      </c>
      <c r="I248" s="4">
        <f t="shared" si="110"/>
        <v>50500</v>
      </c>
      <c r="J248" s="35">
        <f t="shared" si="111"/>
        <v>46437.599999999999</v>
      </c>
      <c r="K248" s="31">
        <f t="shared" si="112"/>
        <v>8.7480834496184166</v>
      </c>
      <c r="L248" s="4">
        <f t="shared" si="114"/>
        <v>614.09999999999854</v>
      </c>
      <c r="N248">
        <f t="shared" si="109"/>
        <v>46</v>
      </c>
      <c r="O248" s="63">
        <v>3113.5</v>
      </c>
      <c r="P248">
        <f>+O248-O247</f>
        <v>540.80000000000018</v>
      </c>
    </row>
    <row r="249" spans="1:16" x14ac:dyDescent="0.25">
      <c r="A249" s="20">
        <f t="shared" si="96"/>
        <v>40381</v>
      </c>
      <c r="B249" s="71"/>
      <c r="C249" s="71"/>
      <c r="D249" s="15" t="str">
        <f t="shared" si="115"/>
        <v>US Total</v>
      </c>
      <c r="E249">
        <v>8393.7000000000007</v>
      </c>
      <c r="F249">
        <v>7837.1</v>
      </c>
      <c r="G249">
        <v>42538.5</v>
      </c>
      <c r="H249">
        <v>39059.1</v>
      </c>
      <c r="I249" s="4">
        <f t="shared" si="110"/>
        <v>50932.2</v>
      </c>
      <c r="J249" s="35">
        <f t="shared" si="111"/>
        <v>46896.2</v>
      </c>
      <c r="K249" s="31">
        <f t="shared" si="112"/>
        <v>8.6062410173958668</v>
      </c>
      <c r="L249" s="4">
        <f t="shared" si="114"/>
        <v>432.19999999999709</v>
      </c>
      <c r="N249">
        <f t="shared" si="109"/>
        <v>47</v>
      </c>
      <c r="O249" s="63">
        <v>3641.7</v>
      </c>
      <c r="P249">
        <f t="shared" ref="P249:P254" si="116">+O249-O248</f>
        <v>528.19999999999982</v>
      </c>
    </row>
    <row r="250" spans="1:16" x14ac:dyDescent="0.25">
      <c r="A250" s="20">
        <f t="shared" si="96"/>
        <v>40388</v>
      </c>
      <c r="B250" s="71"/>
      <c r="C250" s="71"/>
      <c r="D250" s="15" t="str">
        <f t="shared" si="115"/>
        <v>US Total</v>
      </c>
      <c r="E250">
        <v>8032.6</v>
      </c>
      <c r="F250">
        <v>7070.4</v>
      </c>
      <c r="G250">
        <v>43371.8</v>
      </c>
      <c r="H250">
        <v>40248.6</v>
      </c>
      <c r="I250" s="4">
        <f t="shared" si="110"/>
        <v>51404.4</v>
      </c>
      <c r="J250" s="35">
        <f t="shared" si="111"/>
        <v>47319</v>
      </c>
      <c r="K250" s="31">
        <f t="shared" si="112"/>
        <v>8.6337412033221419</v>
      </c>
      <c r="L250" s="4">
        <f t="shared" ref="L250:L294" si="117">+I250-I249</f>
        <v>472.20000000000437</v>
      </c>
      <c r="N250">
        <f t="shared" si="109"/>
        <v>48</v>
      </c>
      <c r="O250" s="63">
        <v>4463.5</v>
      </c>
      <c r="P250">
        <f t="shared" si="116"/>
        <v>821.80000000000018</v>
      </c>
    </row>
    <row r="251" spans="1:16" x14ac:dyDescent="0.25">
      <c r="A251" s="20">
        <f t="shared" si="96"/>
        <v>40395</v>
      </c>
      <c r="B251" s="71"/>
      <c r="C251" s="71"/>
      <c r="D251" s="15" t="str">
        <f t="shared" si="115"/>
        <v>US Total</v>
      </c>
      <c r="E251">
        <v>7464.1</v>
      </c>
      <c r="F251">
        <v>6653.8</v>
      </c>
      <c r="G251">
        <v>44379.4</v>
      </c>
      <c r="H251">
        <v>41206.400000000001</v>
      </c>
      <c r="I251" s="4">
        <f t="shared" si="110"/>
        <v>51843.5</v>
      </c>
      <c r="J251" s="35">
        <f t="shared" si="111"/>
        <v>47860.200000000004</v>
      </c>
      <c r="K251" s="31">
        <f t="shared" si="112"/>
        <v>8.3227817685675998</v>
      </c>
      <c r="L251" s="4">
        <f t="shared" si="117"/>
        <v>439.09999999999854</v>
      </c>
      <c r="N251">
        <f t="shared" si="109"/>
        <v>49</v>
      </c>
      <c r="O251" s="63">
        <v>4942.3</v>
      </c>
      <c r="P251">
        <f t="shared" si="116"/>
        <v>478.80000000000018</v>
      </c>
    </row>
    <row r="252" spans="1:16" x14ac:dyDescent="0.25">
      <c r="A252" s="20">
        <f t="shared" si="96"/>
        <v>40402</v>
      </c>
      <c r="B252" s="71"/>
      <c r="C252" s="71"/>
      <c r="D252" s="15" t="str">
        <f t="shared" si="115"/>
        <v>US Total</v>
      </c>
      <c r="E252">
        <v>7052.9</v>
      </c>
      <c r="F252">
        <v>6107.2</v>
      </c>
      <c r="G252">
        <v>45385.5</v>
      </c>
      <c r="H252">
        <v>42330</v>
      </c>
      <c r="I252" s="4">
        <f t="shared" si="110"/>
        <v>52438.400000000001</v>
      </c>
      <c r="J252" s="35">
        <f t="shared" si="111"/>
        <v>48437.2</v>
      </c>
      <c r="K252" s="31">
        <f t="shared" si="112"/>
        <v>8.2605930978669306</v>
      </c>
      <c r="L252" s="4">
        <f t="shared" si="117"/>
        <v>594.90000000000146</v>
      </c>
      <c r="N252">
        <f t="shared" si="109"/>
        <v>50</v>
      </c>
      <c r="O252" s="63">
        <v>7236</v>
      </c>
      <c r="P252">
        <f t="shared" si="116"/>
        <v>2293.6999999999998</v>
      </c>
    </row>
    <row r="253" spans="1:16" x14ac:dyDescent="0.25">
      <c r="A253" s="20">
        <f t="shared" si="96"/>
        <v>40409</v>
      </c>
      <c r="B253" s="71"/>
      <c r="C253" s="71"/>
      <c r="D253" s="15" t="str">
        <f t="shared" si="115"/>
        <v>US Total</v>
      </c>
      <c r="E253">
        <v>5923.3</v>
      </c>
      <c r="F253">
        <v>5097.8999999999996</v>
      </c>
      <c r="G253">
        <v>46557.4</v>
      </c>
      <c r="H253">
        <v>43605</v>
      </c>
      <c r="I253" s="4">
        <f t="shared" si="110"/>
        <v>52480.700000000004</v>
      </c>
      <c r="J253" s="35">
        <f t="shared" si="111"/>
        <v>48702.9</v>
      </c>
      <c r="K253" s="31">
        <f t="shared" si="112"/>
        <v>7.7568276221744448</v>
      </c>
      <c r="L253" s="4">
        <f t="shared" si="117"/>
        <v>42.30000000000291</v>
      </c>
      <c r="N253">
        <f t="shared" si="109"/>
        <v>51</v>
      </c>
      <c r="O253" s="63">
        <v>8929.6</v>
      </c>
      <c r="P253">
        <f t="shared" si="116"/>
        <v>1693.6000000000004</v>
      </c>
    </row>
    <row r="254" spans="1:16" x14ac:dyDescent="0.25">
      <c r="A254" s="20">
        <f t="shared" si="96"/>
        <v>40416</v>
      </c>
      <c r="B254" s="71"/>
      <c r="C254" s="71"/>
      <c r="D254" s="15" t="str">
        <f t="shared" si="115"/>
        <v>US Total</v>
      </c>
      <c r="E254">
        <v>4752.6000000000004</v>
      </c>
      <c r="F254">
        <v>4397.7</v>
      </c>
      <c r="G254">
        <v>47699.6</v>
      </c>
      <c r="H254">
        <v>44650</v>
      </c>
      <c r="I254" s="4">
        <f t="shared" si="110"/>
        <v>52452.2</v>
      </c>
      <c r="J254" s="35">
        <f t="shared" si="111"/>
        <v>49047.7</v>
      </c>
      <c r="K254" s="31">
        <f t="shared" si="112"/>
        <v>6.9412021358799647</v>
      </c>
      <c r="L254" s="4">
        <f t="shared" si="117"/>
        <v>-28.500000000007276</v>
      </c>
      <c r="O254" s="63">
        <v>10616.3</v>
      </c>
      <c r="P254">
        <f t="shared" si="116"/>
        <v>1686.6999999999989</v>
      </c>
    </row>
    <row r="255" spans="1:16" s="59" customFormat="1" x14ac:dyDescent="0.25">
      <c r="A255" s="121">
        <f t="shared" si="96"/>
        <v>40423</v>
      </c>
      <c r="B255" s="71"/>
      <c r="C255" s="71"/>
      <c r="D255" s="15" t="str">
        <f t="shared" si="115"/>
        <v>US Total</v>
      </c>
      <c r="E255" s="59">
        <v>15102.5</v>
      </c>
      <c r="F255" s="59">
        <v>12131.4</v>
      </c>
      <c r="G255" s="59">
        <v>285.8</v>
      </c>
      <c r="H255" s="59">
        <v>537</v>
      </c>
      <c r="I255" s="59">
        <f t="shared" si="110"/>
        <v>15388.3</v>
      </c>
      <c r="J255" s="59">
        <f t="shared" si="111"/>
        <v>12668.4</v>
      </c>
      <c r="K255" s="59">
        <f t="shared" si="112"/>
        <v>21.469956742761511</v>
      </c>
    </row>
    <row r="256" spans="1:16" x14ac:dyDescent="0.25">
      <c r="A256" s="20">
        <f t="shared" ref="A256:A319" si="118">+A255+7</f>
        <v>40430</v>
      </c>
      <c r="B256" s="71"/>
      <c r="C256" s="71"/>
      <c r="D256" s="15" t="str">
        <f t="shared" si="115"/>
        <v>US Total</v>
      </c>
      <c r="E256">
        <v>14587.5</v>
      </c>
      <c r="F256">
        <v>11934.6</v>
      </c>
      <c r="G256">
        <v>1385</v>
      </c>
      <c r="H256">
        <v>1699.4</v>
      </c>
      <c r="I256" s="4">
        <f t="shared" si="110"/>
        <v>15972.5</v>
      </c>
      <c r="J256" s="35">
        <f t="shared" si="111"/>
        <v>13634</v>
      </c>
      <c r="K256" s="31">
        <f t="shared" si="112"/>
        <v>17.151973008654831</v>
      </c>
      <c r="L256" s="4">
        <f t="shared" si="117"/>
        <v>584.20000000000073</v>
      </c>
    </row>
    <row r="257" spans="1:12" x14ac:dyDescent="0.25">
      <c r="A257" s="20">
        <f t="shared" si="118"/>
        <v>40437</v>
      </c>
      <c r="B257" s="71"/>
      <c r="C257" s="71"/>
      <c r="D257" s="15" t="str">
        <f t="shared" si="115"/>
        <v>US Total</v>
      </c>
      <c r="E257">
        <v>14157.5</v>
      </c>
      <c r="F257">
        <v>11569.5</v>
      </c>
      <c r="G257">
        <v>2376.8000000000002</v>
      </c>
      <c r="H257">
        <v>2737.7</v>
      </c>
      <c r="I257" s="4">
        <f t="shared" si="110"/>
        <v>16534.3</v>
      </c>
      <c r="J257" s="35">
        <f t="shared" si="111"/>
        <v>14307.2</v>
      </c>
      <c r="K257" s="31">
        <f t="shared" si="112"/>
        <v>15.566288302393193</v>
      </c>
      <c r="L257" s="4">
        <f t="shared" si="117"/>
        <v>561.79999999999927</v>
      </c>
    </row>
    <row r="258" spans="1:12" x14ac:dyDescent="0.25">
      <c r="A258" s="20">
        <f t="shared" si="118"/>
        <v>40444</v>
      </c>
      <c r="B258" s="71"/>
      <c r="C258" s="71"/>
      <c r="D258" s="15" t="str">
        <f t="shared" si="115"/>
        <v>US Total</v>
      </c>
      <c r="E258">
        <v>14141.6</v>
      </c>
      <c r="F258">
        <v>11827.8</v>
      </c>
      <c r="G258">
        <v>3318.6</v>
      </c>
      <c r="H258">
        <v>3702.4</v>
      </c>
      <c r="I258" s="4">
        <f t="shared" si="110"/>
        <v>17460.2</v>
      </c>
      <c r="J258" s="35">
        <f t="shared" si="111"/>
        <v>15530.199999999999</v>
      </c>
      <c r="K258" s="31">
        <f t="shared" si="112"/>
        <v>12.427399518357785</v>
      </c>
      <c r="L258" s="4">
        <f t="shared" si="117"/>
        <v>925.90000000000146</v>
      </c>
    </row>
    <row r="259" spans="1:12" x14ac:dyDescent="0.25">
      <c r="A259" s="20">
        <f t="shared" si="118"/>
        <v>40451</v>
      </c>
      <c r="B259" s="71"/>
      <c r="C259" s="71"/>
      <c r="D259" s="15" t="str">
        <f t="shared" si="115"/>
        <v>US Total</v>
      </c>
      <c r="E259">
        <v>13770.2</v>
      </c>
      <c r="F259">
        <v>11205.5</v>
      </c>
      <c r="G259">
        <v>4297.1000000000004</v>
      </c>
      <c r="H259">
        <v>4846.6000000000004</v>
      </c>
      <c r="I259" s="4">
        <f t="shared" si="110"/>
        <v>18067.300000000003</v>
      </c>
      <c r="J259" s="35">
        <f t="shared" si="111"/>
        <v>16052.1</v>
      </c>
      <c r="K259" s="31">
        <f t="shared" si="112"/>
        <v>12.554120644650869</v>
      </c>
      <c r="L259" s="4">
        <f t="shared" si="117"/>
        <v>607.10000000000218</v>
      </c>
    </row>
    <row r="260" spans="1:12" x14ac:dyDescent="0.25">
      <c r="A260" s="20">
        <f t="shared" si="118"/>
        <v>40458</v>
      </c>
      <c r="B260" s="71"/>
      <c r="C260" s="71"/>
      <c r="D260" s="15" t="str">
        <f t="shared" si="115"/>
        <v>US Total</v>
      </c>
      <c r="E260">
        <v>13868.4</v>
      </c>
      <c r="F260">
        <v>11167.2</v>
      </c>
      <c r="G260">
        <v>5104.8999999999996</v>
      </c>
      <c r="H260">
        <v>5516.8</v>
      </c>
      <c r="I260" s="4">
        <f t="shared" si="110"/>
        <v>18973.3</v>
      </c>
      <c r="J260" s="35">
        <f t="shared" si="111"/>
        <v>16684</v>
      </c>
      <c r="K260" s="31">
        <f t="shared" si="112"/>
        <v>13.721529609206428</v>
      </c>
      <c r="L260" s="4">
        <f t="shared" si="117"/>
        <v>905.99999999999636</v>
      </c>
    </row>
    <row r="261" spans="1:12" x14ac:dyDescent="0.25">
      <c r="A261" s="20">
        <f t="shared" si="118"/>
        <v>40465</v>
      </c>
      <c r="B261" s="71"/>
      <c r="C261" s="71"/>
      <c r="D261" s="15" t="str">
        <f t="shared" si="115"/>
        <v>US Total</v>
      </c>
      <c r="E261">
        <v>13247.4</v>
      </c>
      <c r="F261">
        <v>10584.1</v>
      </c>
      <c r="G261">
        <v>5938.4</v>
      </c>
      <c r="H261">
        <v>6334.8</v>
      </c>
      <c r="I261" s="4">
        <f t="shared" si="110"/>
        <v>19185.8</v>
      </c>
      <c r="J261" s="35">
        <f t="shared" si="111"/>
        <v>16918.900000000001</v>
      </c>
      <c r="K261" s="31">
        <f t="shared" si="112"/>
        <v>13.398625206130399</v>
      </c>
      <c r="L261" s="4">
        <f t="shared" si="117"/>
        <v>212.5</v>
      </c>
    </row>
    <row r="262" spans="1:12" x14ac:dyDescent="0.25">
      <c r="A262" s="20">
        <f t="shared" si="118"/>
        <v>40472</v>
      </c>
      <c r="B262" s="71"/>
      <c r="C262" s="71"/>
      <c r="D262" s="15" t="str">
        <f t="shared" si="115"/>
        <v>US Total</v>
      </c>
      <c r="E262">
        <v>13216.5</v>
      </c>
      <c r="F262">
        <v>10284.299999999999</v>
      </c>
      <c r="G262">
        <v>6520.1</v>
      </c>
      <c r="H262">
        <v>7001.7</v>
      </c>
      <c r="I262" s="4">
        <f t="shared" si="110"/>
        <v>19736.599999999999</v>
      </c>
      <c r="J262" s="35">
        <f t="shared" si="111"/>
        <v>17286</v>
      </c>
      <c r="K262" s="31">
        <f t="shared" si="112"/>
        <v>14.176790466273271</v>
      </c>
      <c r="L262" s="4">
        <f t="shared" si="117"/>
        <v>550.79999999999927</v>
      </c>
    </row>
    <row r="263" spans="1:12" x14ac:dyDescent="0.25">
      <c r="A263" s="20">
        <f t="shared" si="118"/>
        <v>40479</v>
      </c>
      <c r="B263" s="71"/>
      <c r="C263" s="71"/>
      <c r="D263" s="15" t="str">
        <f t="shared" si="115"/>
        <v>US Total</v>
      </c>
      <c r="E263">
        <v>12797.8</v>
      </c>
      <c r="F263">
        <v>10140.1</v>
      </c>
      <c r="G263">
        <v>7381.8</v>
      </c>
      <c r="H263">
        <v>7709.9</v>
      </c>
      <c r="I263" s="4">
        <f t="shared" si="110"/>
        <v>20179.599999999999</v>
      </c>
      <c r="J263" s="35">
        <f t="shared" si="111"/>
        <v>17850</v>
      </c>
      <c r="K263" s="31">
        <f t="shared" si="112"/>
        <v>13.050980392156863</v>
      </c>
      <c r="L263" s="4">
        <f t="shared" si="117"/>
        <v>443</v>
      </c>
    </row>
    <row r="264" spans="1:12" x14ac:dyDescent="0.25">
      <c r="A264" s="20">
        <f t="shared" si="118"/>
        <v>40486</v>
      </c>
      <c r="B264" s="71"/>
      <c r="C264" s="71"/>
      <c r="D264" s="15" t="str">
        <f t="shared" si="115"/>
        <v>US Total</v>
      </c>
      <c r="E264">
        <v>12620.4</v>
      </c>
      <c r="F264">
        <v>9870.5</v>
      </c>
      <c r="G264">
        <v>8132.8</v>
      </c>
      <c r="H264">
        <v>8468</v>
      </c>
      <c r="I264" s="4">
        <f t="shared" si="110"/>
        <v>20753.2</v>
      </c>
      <c r="J264" s="35">
        <f t="shared" si="111"/>
        <v>18338.5</v>
      </c>
      <c r="K264" s="31">
        <f t="shared" si="112"/>
        <v>13.167380101971272</v>
      </c>
      <c r="L264" s="4">
        <f t="shared" si="117"/>
        <v>573.60000000000218</v>
      </c>
    </row>
    <row r="265" spans="1:12" x14ac:dyDescent="0.25">
      <c r="A265" s="20">
        <f t="shared" si="118"/>
        <v>40493</v>
      </c>
      <c r="B265" s="71"/>
      <c r="C265" s="71"/>
      <c r="D265" s="15" t="str">
        <f t="shared" si="115"/>
        <v>US Total</v>
      </c>
      <c r="E265">
        <v>12375.4</v>
      </c>
      <c r="F265">
        <v>9540.2000000000007</v>
      </c>
      <c r="G265">
        <v>8911.6</v>
      </c>
      <c r="H265">
        <v>9151.2000000000007</v>
      </c>
      <c r="I265" s="4">
        <f t="shared" si="110"/>
        <v>21287</v>
      </c>
      <c r="J265" s="35">
        <f t="shared" si="111"/>
        <v>18691.400000000001</v>
      </c>
      <c r="K265" s="31">
        <f t="shared" si="112"/>
        <v>13.886600254662573</v>
      </c>
      <c r="L265" s="4">
        <f t="shared" si="117"/>
        <v>533.79999999999927</v>
      </c>
    </row>
    <row r="266" spans="1:12" x14ac:dyDescent="0.25">
      <c r="A266" s="20">
        <f t="shared" si="118"/>
        <v>40500</v>
      </c>
      <c r="B266" s="71"/>
      <c r="C266" s="71"/>
      <c r="D266" s="15" t="str">
        <f t="shared" si="115"/>
        <v>US Total</v>
      </c>
      <c r="E266">
        <v>12415.5</v>
      </c>
      <c r="F266">
        <v>10135.9</v>
      </c>
      <c r="G266">
        <v>9694.5</v>
      </c>
      <c r="H266">
        <v>9779.1</v>
      </c>
      <c r="I266" s="4">
        <f t="shared" si="110"/>
        <v>22110</v>
      </c>
      <c r="J266" s="35">
        <f t="shared" si="111"/>
        <v>19915</v>
      </c>
      <c r="K266" s="31">
        <f t="shared" si="112"/>
        <v>11.021842832036155</v>
      </c>
      <c r="L266" s="4">
        <f t="shared" si="117"/>
        <v>823</v>
      </c>
    </row>
    <row r="267" spans="1:12" x14ac:dyDescent="0.25">
      <c r="A267" s="20">
        <f t="shared" si="118"/>
        <v>40507</v>
      </c>
      <c r="B267" s="71"/>
      <c r="C267" s="71"/>
      <c r="D267" s="15" t="str">
        <f t="shared" si="115"/>
        <v>US Total</v>
      </c>
      <c r="E267">
        <v>12389.1</v>
      </c>
      <c r="F267">
        <v>9915.4</v>
      </c>
      <c r="G267">
        <v>10479</v>
      </c>
      <c r="H267">
        <v>10658.6</v>
      </c>
      <c r="I267" s="4">
        <f t="shared" si="110"/>
        <v>22868.1</v>
      </c>
      <c r="J267" s="35">
        <f t="shared" si="111"/>
        <v>20574</v>
      </c>
      <c r="K267" s="31">
        <f t="shared" si="112"/>
        <v>11.15048118985127</v>
      </c>
      <c r="L267" s="4">
        <f t="shared" si="117"/>
        <v>758.09999999999854</v>
      </c>
    </row>
    <row r="268" spans="1:12" x14ac:dyDescent="0.25">
      <c r="A268" s="20">
        <f t="shared" si="118"/>
        <v>40514</v>
      </c>
      <c r="B268" s="71"/>
      <c r="C268" s="71"/>
      <c r="D268" s="15" t="str">
        <f t="shared" si="115"/>
        <v>US Total</v>
      </c>
      <c r="E268">
        <v>12365</v>
      </c>
      <c r="F268">
        <v>10056.6</v>
      </c>
      <c r="G268">
        <v>11174.2</v>
      </c>
      <c r="H268">
        <v>11365.1</v>
      </c>
      <c r="I268" s="4">
        <f t="shared" si="110"/>
        <v>23539.200000000001</v>
      </c>
      <c r="J268" s="35">
        <f t="shared" si="111"/>
        <v>21421.7</v>
      </c>
      <c r="K268" s="31">
        <f t="shared" si="112"/>
        <v>9.8848364042069434</v>
      </c>
      <c r="L268" s="4">
        <f t="shared" si="117"/>
        <v>671.10000000000218</v>
      </c>
    </row>
    <row r="269" spans="1:12" x14ac:dyDescent="0.25">
      <c r="A269" s="20">
        <f t="shared" si="118"/>
        <v>40521</v>
      </c>
      <c r="B269" s="71"/>
      <c r="C269" s="71"/>
      <c r="D269" s="15" t="str">
        <f t="shared" si="115"/>
        <v>US Total</v>
      </c>
      <c r="E269">
        <v>12365.3</v>
      </c>
      <c r="F269">
        <v>10507.3</v>
      </c>
      <c r="G269">
        <v>11984.7</v>
      </c>
      <c r="H269">
        <v>12141.5</v>
      </c>
      <c r="I269" s="4">
        <f t="shared" si="110"/>
        <v>24350</v>
      </c>
      <c r="J269" s="35">
        <f t="shared" si="111"/>
        <v>22648.799999999999</v>
      </c>
      <c r="K269" s="31">
        <f t="shared" si="112"/>
        <v>7.5112147221927827</v>
      </c>
      <c r="L269" s="4">
        <f t="shared" si="117"/>
        <v>810.79999999999927</v>
      </c>
    </row>
    <row r="270" spans="1:12" x14ac:dyDescent="0.25">
      <c r="A270" s="20">
        <f t="shared" si="118"/>
        <v>40528</v>
      </c>
      <c r="B270" s="71"/>
      <c r="C270" s="71"/>
      <c r="D270" s="15" t="str">
        <f t="shared" si="115"/>
        <v>US Total</v>
      </c>
      <c r="E270">
        <v>12442.6</v>
      </c>
      <c r="F270">
        <v>11684.4</v>
      </c>
      <c r="G270">
        <v>12813.5</v>
      </c>
      <c r="H270">
        <v>12556.2</v>
      </c>
      <c r="I270" s="4">
        <f t="shared" si="110"/>
        <v>25256.1</v>
      </c>
      <c r="J270" s="35">
        <f t="shared" si="111"/>
        <v>24240.6</v>
      </c>
      <c r="K270" s="31">
        <f t="shared" si="112"/>
        <v>4.1892527412687786</v>
      </c>
      <c r="L270" s="4">
        <f t="shared" si="117"/>
        <v>906.09999999999854</v>
      </c>
    </row>
    <row r="271" spans="1:12" x14ac:dyDescent="0.25">
      <c r="A271" s="20">
        <f t="shared" si="118"/>
        <v>40535</v>
      </c>
      <c r="B271" s="71"/>
      <c r="C271" s="71"/>
      <c r="D271" s="15" t="str">
        <f t="shared" si="115"/>
        <v>US Total</v>
      </c>
      <c r="E271">
        <v>12058.9</v>
      </c>
      <c r="F271">
        <v>11593.4</v>
      </c>
      <c r="G271">
        <v>13953.7</v>
      </c>
      <c r="H271">
        <v>13419.8</v>
      </c>
      <c r="I271" s="4">
        <f t="shared" si="110"/>
        <v>26012.6</v>
      </c>
      <c r="J271" s="35">
        <f t="shared" si="111"/>
        <v>25013.199999999997</v>
      </c>
      <c r="K271" s="31">
        <f t="shared" si="112"/>
        <v>3.9954903810788034</v>
      </c>
      <c r="L271" s="4">
        <f t="shared" si="117"/>
        <v>756.5</v>
      </c>
    </row>
    <row r="272" spans="1:12" x14ac:dyDescent="0.25">
      <c r="A272" s="20">
        <f t="shared" si="118"/>
        <v>40542</v>
      </c>
      <c r="B272" s="71"/>
      <c r="C272" s="71"/>
      <c r="D272" s="15" t="str">
        <f t="shared" si="115"/>
        <v>US Total</v>
      </c>
      <c r="E272">
        <v>11814.2</v>
      </c>
      <c r="F272">
        <v>11160.1</v>
      </c>
      <c r="G272">
        <v>14510.1</v>
      </c>
      <c r="H272">
        <v>14217.8</v>
      </c>
      <c r="I272" s="4">
        <f t="shared" si="110"/>
        <v>26324.300000000003</v>
      </c>
      <c r="J272" s="35">
        <f t="shared" si="111"/>
        <v>25377.9</v>
      </c>
      <c r="K272" s="31">
        <f t="shared" si="112"/>
        <v>3.7292289748166674</v>
      </c>
      <c r="L272" s="4">
        <f t="shared" si="117"/>
        <v>311.70000000000437</v>
      </c>
    </row>
    <row r="273" spans="1:12" x14ac:dyDescent="0.25">
      <c r="A273" s="20">
        <f t="shared" si="118"/>
        <v>40549</v>
      </c>
      <c r="B273" s="71"/>
      <c r="C273" s="71"/>
      <c r="D273" s="15" t="str">
        <f t="shared" si="115"/>
        <v>US Total</v>
      </c>
      <c r="E273">
        <v>11737.7</v>
      </c>
      <c r="F273">
        <v>10829.3</v>
      </c>
      <c r="G273">
        <v>15025.8</v>
      </c>
      <c r="H273">
        <v>14875.9</v>
      </c>
      <c r="I273" s="4">
        <f t="shared" si="110"/>
        <v>26763.5</v>
      </c>
      <c r="J273" s="35">
        <f t="shared" si="111"/>
        <v>25705.199999999997</v>
      </c>
      <c r="K273" s="31">
        <f t="shared" si="112"/>
        <v>4.1170658076965072</v>
      </c>
      <c r="L273" s="4">
        <f t="shared" si="117"/>
        <v>439.19999999999709</v>
      </c>
    </row>
    <row r="274" spans="1:12" x14ac:dyDescent="0.25">
      <c r="A274" s="20">
        <f t="shared" si="118"/>
        <v>40556</v>
      </c>
      <c r="B274" s="71"/>
      <c r="C274" s="71"/>
      <c r="D274" s="15" t="str">
        <f t="shared" si="115"/>
        <v>US Total</v>
      </c>
      <c r="E274">
        <v>12055.4</v>
      </c>
      <c r="F274">
        <v>11603.8</v>
      </c>
      <c r="G274">
        <v>15612.9</v>
      </c>
      <c r="H274">
        <v>15687.3</v>
      </c>
      <c r="I274" s="4">
        <f t="shared" si="110"/>
        <v>27668.3</v>
      </c>
      <c r="J274" s="35">
        <f t="shared" si="111"/>
        <v>27291.1</v>
      </c>
      <c r="K274" s="31">
        <f t="shared" si="112"/>
        <v>1.3821355680056824</v>
      </c>
      <c r="L274" s="4">
        <f t="shared" si="117"/>
        <v>904.79999999999927</v>
      </c>
    </row>
    <row r="275" spans="1:12" x14ac:dyDescent="0.25">
      <c r="A275" s="20">
        <f t="shared" si="118"/>
        <v>40563</v>
      </c>
      <c r="B275" s="71"/>
      <c r="C275" s="71"/>
      <c r="D275" s="15" t="str">
        <f t="shared" si="115"/>
        <v>US Total</v>
      </c>
      <c r="E275">
        <v>11700</v>
      </c>
      <c r="F275">
        <v>11974.3</v>
      </c>
      <c r="G275">
        <v>16383</v>
      </c>
      <c r="H275">
        <v>16219.1</v>
      </c>
      <c r="I275" s="4">
        <f t="shared" si="110"/>
        <v>28083</v>
      </c>
      <c r="J275" s="35">
        <f t="shared" si="111"/>
        <v>28193.4</v>
      </c>
      <c r="K275" s="31">
        <f t="shared" si="112"/>
        <v>-0.39158100832110687</v>
      </c>
      <c r="L275" s="4">
        <f t="shared" si="117"/>
        <v>414.70000000000073</v>
      </c>
    </row>
    <row r="276" spans="1:12" x14ac:dyDescent="0.25">
      <c r="A276" s="20">
        <f t="shared" si="118"/>
        <v>40570</v>
      </c>
      <c r="B276" s="71"/>
      <c r="C276" s="71"/>
      <c r="D276" s="15" t="str">
        <f t="shared" si="115"/>
        <v>US Total</v>
      </c>
      <c r="E276">
        <v>12004.9</v>
      </c>
      <c r="F276">
        <v>11774.5</v>
      </c>
      <c r="G276">
        <v>17244.8</v>
      </c>
      <c r="H276">
        <v>17342.099999999999</v>
      </c>
      <c r="I276" s="4">
        <f t="shared" si="110"/>
        <v>29249.699999999997</v>
      </c>
      <c r="J276" s="35">
        <f t="shared" si="111"/>
        <v>29116.6</v>
      </c>
      <c r="K276" s="31">
        <f t="shared" si="112"/>
        <v>0.45712754923308285</v>
      </c>
      <c r="L276" s="4">
        <f t="shared" si="117"/>
        <v>1166.6999999999971</v>
      </c>
    </row>
    <row r="277" spans="1:12" x14ac:dyDescent="0.25">
      <c r="A277" s="20">
        <f t="shared" si="118"/>
        <v>40577</v>
      </c>
      <c r="B277" s="71"/>
      <c r="C277" s="71"/>
      <c r="D277" s="15" t="str">
        <f t="shared" si="115"/>
        <v>US Total</v>
      </c>
      <c r="E277">
        <v>12443.1</v>
      </c>
      <c r="F277">
        <v>11913.9</v>
      </c>
      <c r="G277">
        <v>17913.900000000001</v>
      </c>
      <c r="H277">
        <v>17946</v>
      </c>
      <c r="I277" s="4">
        <f t="shared" si="110"/>
        <v>30357</v>
      </c>
      <c r="J277" s="35">
        <f t="shared" si="111"/>
        <v>29859.9</v>
      </c>
      <c r="K277" s="31">
        <f t="shared" si="112"/>
        <v>1.6647744969005229</v>
      </c>
      <c r="L277" s="4">
        <f t="shared" si="117"/>
        <v>1107.3000000000029</v>
      </c>
    </row>
    <row r="278" spans="1:12" x14ac:dyDescent="0.25">
      <c r="A278" s="20">
        <f t="shared" si="118"/>
        <v>40584</v>
      </c>
      <c r="B278" s="71"/>
      <c r="C278" s="71"/>
      <c r="D278" s="15" t="str">
        <f t="shared" si="115"/>
        <v>US Total</v>
      </c>
      <c r="E278">
        <v>12797.6</v>
      </c>
      <c r="F278">
        <v>12236.3</v>
      </c>
      <c r="G278">
        <v>18589.8</v>
      </c>
      <c r="H278">
        <v>18598.2</v>
      </c>
      <c r="I278" s="4">
        <f t="shared" si="110"/>
        <v>31387.4</v>
      </c>
      <c r="J278" s="35">
        <f t="shared" si="111"/>
        <v>30834.5</v>
      </c>
      <c r="K278" s="31">
        <f t="shared" si="112"/>
        <v>1.7931213413546532</v>
      </c>
      <c r="L278" s="4">
        <f t="shared" si="117"/>
        <v>1030.4000000000015</v>
      </c>
    </row>
    <row r="279" spans="1:12" x14ac:dyDescent="0.25">
      <c r="A279" s="20">
        <f t="shared" si="118"/>
        <v>40591</v>
      </c>
      <c r="B279" s="71"/>
      <c r="C279" s="71"/>
      <c r="D279" s="15" t="str">
        <f t="shared" si="115"/>
        <v>US Total</v>
      </c>
      <c r="E279">
        <v>13238.3</v>
      </c>
      <c r="F279">
        <v>11397</v>
      </c>
      <c r="G279">
        <v>19650.400000000001</v>
      </c>
      <c r="H279">
        <v>19838.7</v>
      </c>
      <c r="I279" s="4">
        <f t="shared" si="110"/>
        <v>32888.699999999997</v>
      </c>
      <c r="J279" s="35">
        <f t="shared" si="111"/>
        <v>31235.7</v>
      </c>
      <c r="K279" s="31">
        <f t="shared" si="112"/>
        <v>5.2920216290974542</v>
      </c>
      <c r="L279" s="4">
        <f t="shared" si="117"/>
        <v>1501.2999999999956</v>
      </c>
    </row>
    <row r="280" spans="1:12" x14ac:dyDescent="0.25">
      <c r="A280" s="20">
        <f t="shared" si="118"/>
        <v>40598</v>
      </c>
      <c r="B280" s="71"/>
      <c r="C280" s="71"/>
      <c r="D280" s="15" t="str">
        <f t="shared" si="115"/>
        <v>US Total</v>
      </c>
      <c r="E280">
        <v>13518.7</v>
      </c>
      <c r="F280">
        <v>11103.1</v>
      </c>
      <c r="G280">
        <v>20450.5</v>
      </c>
      <c r="H280">
        <v>20894.099999999999</v>
      </c>
      <c r="I280" s="4">
        <f t="shared" si="110"/>
        <v>33969.199999999997</v>
      </c>
      <c r="J280" s="35">
        <f t="shared" si="111"/>
        <v>31997.199999999997</v>
      </c>
      <c r="K280" s="31">
        <f t="shared" si="112"/>
        <v>6.1630392659357769</v>
      </c>
      <c r="L280" s="4">
        <f t="shared" si="117"/>
        <v>1080.5</v>
      </c>
    </row>
    <row r="281" spans="1:12" x14ac:dyDescent="0.25">
      <c r="A281" s="20">
        <f t="shared" si="118"/>
        <v>40605</v>
      </c>
      <c r="B281" s="71"/>
      <c r="C281" s="71"/>
      <c r="D281" s="15" t="str">
        <f t="shared" si="115"/>
        <v>US Total</v>
      </c>
      <c r="E281">
        <v>12791</v>
      </c>
      <c r="F281">
        <v>10476.799999999999</v>
      </c>
      <c r="G281">
        <v>21655.4</v>
      </c>
      <c r="H281">
        <v>21858.9</v>
      </c>
      <c r="I281" s="4">
        <f t="shared" si="110"/>
        <v>34446.400000000001</v>
      </c>
      <c r="J281" s="35">
        <f t="shared" si="111"/>
        <v>32335.7</v>
      </c>
      <c r="K281" s="31">
        <f t="shared" si="112"/>
        <v>6.527460361148818</v>
      </c>
      <c r="L281" s="4">
        <f t="shared" si="117"/>
        <v>477.20000000000437</v>
      </c>
    </row>
    <row r="282" spans="1:12" x14ac:dyDescent="0.25">
      <c r="A282" s="20">
        <f t="shared" si="118"/>
        <v>40612</v>
      </c>
      <c r="B282" s="71"/>
      <c r="C282" s="71"/>
      <c r="D282" s="15" t="str">
        <f t="shared" si="115"/>
        <v>US Total</v>
      </c>
      <c r="E282">
        <v>12946.7</v>
      </c>
      <c r="F282">
        <v>10269.200000000001</v>
      </c>
      <c r="G282">
        <v>22536</v>
      </c>
      <c r="H282">
        <v>22814.2</v>
      </c>
      <c r="I282" s="4">
        <f t="shared" si="110"/>
        <v>35482.699999999997</v>
      </c>
      <c r="J282" s="35">
        <f t="shared" si="111"/>
        <v>33083.4</v>
      </c>
      <c r="K282" s="31">
        <f t="shared" si="112"/>
        <v>7.2522775772743797</v>
      </c>
      <c r="L282" s="4">
        <f t="shared" si="117"/>
        <v>1036.2999999999956</v>
      </c>
    </row>
    <row r="283" spans="1:12" x14ac:dyDescent="0.25">
      <c r="A283" s="20">
        <f t="shared" si="118"/>
        <v>40619</v>
      </c>
      <c r="B283" s="71"/>
      <c r="C283" s="71"/>
      <c r="D283" s="15" t="str">
        <f t="shared" si="115"/>
        <v>US Total</v>
      </c>
      <c r="E283">
        <v>12961.9</v>
      </c>
      <c r="F283">
        <v>9715.2000000000007</v>
      </c>
      <c r="G283">
        <v>23415.8</v>
      </c>
      <c r="H283">
        <v>23975</v>
      </c>
      <c r="I283" s="4">
        <f t="shared" si="110"/>
        <v>36377.699999999997</v>
      </c>
      <c r="J283" s="35">
        <f t="shared" si="111"/>
        <v>33690.199999999997</v>
      </c>
      <c r="K283" s="31">
        <f t="shared" si="112"/>
        <v>7.9770971974045812</v>
      </c>
      <c r="L283" s="4">
        <f t="shared" si="117"/>
        <v>895</v>
      </c>
    </row>
    <row r="284" spans="1:12" x14ac:dyDescent="0.25">
      <c r="A284" s="20">
        <f t="shared" si="118"/>
        <v>40626</v>
      </c>
      <c r="B284" s="71"/>
      <c r="C284" s="71"/>
      <c r="D284" s="15" t="str">
        <f t="shared" si="115"/>
        <v>US Total</v>
      </c>
      <c r="E284">
        <v>13856.8</v>
      </c>
      <c r="F284">
        <v>9326.7000000000007</v>
      </c>
      <c r="G284">
        <v>24435.8</v>
      </c>
      <c r="H284">
        <v>25170.2</v>
      </c>
      <c r="I284" s="4">
        <f t="shared" si="110"/>
        <v>38292.6</v>
      </c>
      <c r="J284" s="35">
        <f t="shared" si="111"/>
        <v>34496.9</v>
      </c>
      <c r="K284" s="31">
        <f t="shared" si="112"/>
        <v>11.003017662456616</v>
      </c>
      <c r="L284" s="4">
        <f t="shared" si="117"/>
        <v>1914.9000000000015</v>
      </c>
    </row>
    <row r="285" spans="1:12" x14ac:dyDescent="0.25">
      <c r="A285" s="20">
        <f t="shared" si="118"/>
        <v>40633</v>
      </c>
      <c r="B285" s="71"/>
      <c r="C285" s="71"/>
      <c r="D285" s="15" t="str">
        <f t="shared" si="115"/>
        <v>US Total</v>
      </c>
      <c r="E285">
        <v>13460.9</v>
      </c>
      <c r="F285">
        <v>9809.1</v>
      </c>
      <c r="G285">
        <v>25451.3</v>
      </c>
      <c r="H285">
        <v>26045.599999999999</v>
      </c>
      <c r="I285" s="4">
        <f t="shared" si="110"/>
        <v>38912.199999999997</v>
      </c>
      <c r="J285" s="35">
        <f t="shared" si="111"/>
        <v>35854.699999999997</v>
      </c>
      <c r="K285" s="31">
        <f t="shared" si="112"/>
        <v>8.527473385637041</v>
      </c>
      <c r="L285" s="4">
        <f t="shared" si="117"/>
        <v>619.59999999999854</v>
      </c>
    </row>
    <row r="286" spans="1:12" x14ac:dyDescent="0.25">
      <c r="A286" s="20">
        <f t="shared" si="118"/>
        <v>40640</v>
      </c>
      <c r="B286" s="71"/>
      <c r="C286" s="71"/>
      <c r="D286" s="15" t="str">
        <f t="shared" si="115"/>
        <v>US Total</v>
      </c>
      <c r="E286">
        <v>13210.8</v>
      </c>
      <c r="F286">
        <v>9702.2000000000007</v>
      </c>
      <c r="G286">
        <v>26549.4</v>
      </c>
      <c r="H286">
        <v>27158.7</v>
      </c>
      <c r="I286" s="4">
        <f t="shared" si="110"/>
        <v>39760.199999999997</v>
      </c>
      <c r="J286" s="35">
        <f t="shared" si="111"/>
        <v>36860.9</v>
      </c>
      <c r="K286" s="31">
        <f t="shared" si="112"/>
        <v>7.8655160346057684</v>
      </c>
      <c r="L286" s="4">
        <f t="shared" si="117"/>
        <v>848</v>
      </c>
    </row>
    <row r="287" spans="1:12" x14ac:dyDescent="0.25">
      <c r="A287" s="20">
        <f t="shared" si="118"/>
        <v>40647</v>
      </c>
      <c r="B287" s="71"/>
      <c r="C287" s="71"/>
      <c r="D287" s="15" t="str">
        <f t="shared" si="115"/>
        <v>US Total</v>
      </c>
      <c r="E287">
        <v>12888.9</v>
      </c>
      <c r="F287">
        <v>10027.6</v>
      </c>
      <c r="G287">
        <v>27484.7</v>
      </c>
      <c r="H287">
        <v>28314.400000000001</v>
      </c>
      <c r="I287" s="4">
        <f t="shared" si="110"/>
        <v>40373.599999999999</v>
      </c>
      <c r="J287" s="35">
        <f t="shared" si="111"/>
        <v>38342</v>
      </c>
      <c r="K287" s="31">
        <f t="shared" si="112"/>
        <v>5.298628136247463</v>
      </c>
      <c r="L287" s="4">
        <f t="shared" si="117"/>
        <v>613.40000000000146</v>
      </c>
    </row>
    <row r="288" spans="1:12" x14ac:dyDescent="0.25">
      <c r="A288" s="20">
        <f t="shared" si="118"/>
        <v>40654</v>
      </c>
      <c r="B288" s="71"/>
      <c r="C288" s="71"/>
      <c r="D288" s="15" t="str">
        <f t="shared" si="115"/>
        <v>US Total</v>
      </c>
      <c r="E288">
        <v>12330</v>
      </c>
      <c r="F288">
        <v>10342.5</v>
      </c>
      <c r="G288">
        <v>28392.5</v>
      </c>
      <c r="H288">
        <v>29228.2</v>
      </c>
      <c r="I288" s="4">
        <f t="shared" si="110"/>
        <v>40722.5</v>
      </c>
      <c r="J288" s="35">
        <f t="shared" si="111"/>
        <v>39570.699999999997</v>
      </c>
      <c r="K288" s="31">
        <f t="shared" si="112"/>
        <v>2.9107395118105117</v>
      </c>
      <c r="L288" s="4">
        <f t="shared" si="117"/>
        <v>348.90000000000146</v>
      </c>
    </row>
    <row r="289" spans="1:13" x14ac:dyDescent="0.25">
      <c r="A289" s="20">
        <f t="shared" si="118"/>
        <v>40661</v>
      </c>
      <c r="B289" s="71"/>
      <c r="C289" s="71"/>
      <c r="D289" s="15" t="str">
        <f t="shared" si="115"/>
        <v>US Total</v>
      </c>
      <c r="E289">
        <v>11815.7</v>
      </c>
      <c r="F289">
        <v>11337.9</v>
      </c>
      <c r="G289">
        <v>29191.1</v>
      </c>
      <c r="H289">
        <v>30083.599999999999</v>
      </c>
      <c r="I289" s="4">
        <f t="shared" si="110"/>
        <v>41006.800000000003</v>
      </c>
      <c r="J289" s="35">
        <f t="shared" si="111"/>
        <v>41421.5</v>
      </c>
      <c r="K289" s="31">
        <f t="shared" si="112"/>
        <v>-1.0011708895138915</v>
      </c>
      <c r="L289" s="4">
        <f t="shared" si="117"/>
        <v>284.30000000000291</v>
      </c>
      <c r="M289">
        <v>3227</v>
      </c>
    </row>
    <row r="290" spans="1:13" x14ac:dyDescent="0.25">
      <c r="A290" s="20">
        <f t="shared" si="118"/>
        <v>40668</v>
      </c>
      <c r="B290" s="71"/>
      <c r="C290" s="71"/>
      <c r="D290" s="15" t="str">
        <f t="shared" si="115"/>
        <v>US Total</v>
      </c>
      <c r="E290">
        <v>11389.2</v>
      </c>
      <c r="F290">
        <v>11123.7</v>
      </c>
      <c r="G290">
        <v>30051.4</v>
      </c>
      <c r="H290">
        <v>31116.799999999999</v>
      </c>
      <c r="I290" s="4">
        <f t="shared" si="110"/>
        <v>41440.600000000006</v>
      </c>
      <c r="J290" s="35">
        <f t="shared" si="111"/>
        <v>42240.5</v>
      </c>
      <c r="K290" s="31">
        <f t="shared" si="112"/>
        <v>-1.8936802357926497</v>
      </c>
      <c r="L290" s="4">
        <f t="shared" si="117"/>
        <v>433.80000000000291</v>
      </c>
      <c r="M290">
        <v>3250.6</v>
      </c>
    </row>
    <row r="291" spans="1:13" x14ac:dyDescent="0.25">
      <c r="A291" s="20">
        <f t="shared" si="118"/>
        <v>40675</v>
      </c>
      <c r="B291" s="71"/>
      <c r="C291" s="71"/>
      <c r="D291" s="15" t="str">
        <f t="shared" si="115"/>
        <v>US Total</v>
      </c>
      <c r="E291">
        <v>11270.8</v>
      </c>
      <c r="F291">
        <v>11498.9</v>
      </c>
      <c r="G291">
        <v>31013</v>
      </c>
      <c r="H291">
        <v>32095.8</v>
      </c>
      <c r="I291" s="4">
        <f t="shared" si="110"/>
        <v>42283.8</v>
      </c>
      <c r="J291" s="35">
        <f t="shared" si="111"/>
        <v>43594.7</v>
      </c>
      <c r="K291" s="31">
        <f t="shared" si="112"/>
        <v>-3.0070169080186226</v>
      </c>
      <c r="L291" s="4">
        <f t="shared" si="117"/>
        <v>843.19999999999709</v>
      </c>
      <c r="M291">
        <v>3559</v>
      </c>
    </row>
    <row r="292" spans="1:13" x14ac:dyDescent="0.25">
      <c r="A292" s="20">
        <f t="shared" si="118"/>
        <v>40682</v>
      </c>
      <c r="B292" s="71"/>
      <c r="C292" s="71"/>
      <c r="D292" s="15" t="str">
        <f t="shared" si="115"/>
        <v>US Total</v>
      </c>
      <c r="E292">
        <v>11043.7</v>
      </c>
      <c r="F292">
        <v>11289.9</v>
      </c>
      <c r="G292">
        <v>31966.799999999999</v>
      </c>
      <c r="H292">
        <v>33335.599999999999</v>
      </c>
      <c r="I292" s="4">
        <f t="shared" si="110"/>
        <v>43010.5</v>
      </c>
      <c r="J292" s="35">
        <f t="shared" si="111"/>
        <v>44625.5</v>
      </c>
      <c r="K292" s="31">
        <f t="shared" si="112"/>
        <v>-3.6190070699487986</v>
      </c>
      <c r="L292" s="4">
        <f t="shared" si="117"/>
        <v>726.69999999999709</v>
      </c>
      <c r="M292">
        <v>3612</v>
      </c>
    </row>
    <row r="293" spans="1:13" x14ac:dyDescent="0.25">
      <c r="A293" s="20">
        <f t="shared" si="118"/>
        <v>40689</v>
      </c>
      <c r="B293" s="71"/>
      <c r="C293" s="71"/>
      <c r="D293" s="15" t="str">
        <f t="shared" si="115"/>
        <v>US Total</v>
      </c>
      <c r="E293">
        <v>10614.8</v>
      </c>
      <c r="F293">
        <v>10262.1</v>
      </c>
      <c r="G293">
        <v>32867.300000000003</v>
      </c>
      <c r="H293">
        <v>34562.1</v>
      </c>
      <c r="I293" s="4">
        <f t="shared" ref="I293:I302" si="119">+E293+G293</f>
        <v>43482.100000000006</v>
      </c>
      <c r="J293" s="35">
        <f t="shared" ref="J293:J302" si="120">+F293+H293</f>
        <v>44824.2</v>
      </c>
      <c r="K293" s="31">
        <f t="shared" si="112"/>
        <v>-2.9941415574622487</v>
      </c>
      <c r="L293" s="4">
        <f t="shared" si="117"/>
        <v>471.60000000000582</v>
      </c>
      <c r="M293">
        <v>3841.3</v>
      </c>
    </row>
    <row r="294" spans="1:13" x14ac:dyDescent="0.25">
      <c r="A294" s="20">
        <f t="shared" si="118"/>
        <v>40696</v>
      </c>
      <c r="B294" s="71"/>
      <c r="C294" s="71"/>
      <c r="D294" s="15" t="str">
        <f t="shared" si="115"/>
        <v>US Total</v>
      </c>
      <c r="E294">
        <v>9931.1</v>
      </c>
      <c r="F294">
        <v>10369</v>
      </c>
      <c r="G294">
        <v>33871.300000000003</v>
      </c>
      <c r="H294">
        <v>35474.1</v>
      </c>
      <c r="I294" s="4">
        <f t="shared" si="119"/>
        <v>43802.400000000001</v>
      </c>
      <c r="J294" s="35">
        <f t="shared" si="120"/>
        <v>45843.1</v>
      </c>
      <c r="K294" s="31">
        <f t="shared" si="112"/>
        <v>-4.451487792055941</v>
      </c>
      <c r="L294" s="4">
        <f t="shared" si="117"/>
        <v>320.29999999999563</v>
      </c>
      <c r="M294">
        <v>3871.2</v>
      </c>
    </row>
    <row r="295" spans="1:13" x14ac:dyDescent="0.25">
      <c r="A295" s="20">
        <f t="shared" si="118"/>
        <v>40703</v>
      </c>
      <c r="B295" s="71"/>
      <c r="C295" s="71"/>
      <c r="D295" s="15" t="str">
        <f t="shared" si="115"/>
        <v>US Total</v>
      </c>
      <c r="E295">
        <v>9406.6</v>
      </c>
      <c r="F295">
        <v>10386.4</v>
      </c>
      <c r="G295">
        <v>34691.599999999999</v>
      </c>
      <c r="H295">
        <v>36547.1</v>
      </c>
      <c r="I295" s="4">
        <f t="shared" si="119"/>
        <v>44098.2</v>
      </c>
      <c r="J295" s="35">
        <f t="shared" si="120"/>
        <v>46933.5</v>
      </c>
      <c r="K295" s="31">
        <f t="shared" ref="K295:K302" si="121">+(I295/J295-1)*100</f>
        <v>-6.0411007063185256</v>
      </c>
      <c r="L295" s="4">
        <f t="shared" ref="L295:L302" si="122">+I295-I294</f>
        <v>295.79999999999563</v>
      </c>
      <c r="M295">
        <v>4470.2</v>
      </c>
    </row>
    <row r="296" spans="1:13" x14ac:dyDescent="0.25">
      <c r="A296" s="20">
        <f t="shared" si="118"/>
        <v>40710</v>
      </c>
      <c r="B296" s="71"/>
      <c r="C296" s="71"/>
      <c r="D296" s="15" t="str">
        <f t="shared" si="115"/>
        <v>US Total</v>
      </c>
      <c r="E296">
        <v>8649.6</v>
      </c>
      <c r="F296">
        <v>10691.7</v>
      </c>
      <c r="G296">
        <v>35859.4</v>
      </c>
      <c r="H296">
        <v>37365.199999999997</v>
      </c>
      <c r="I296" s="4">
        <f t="shared" si="119"/>
        <v>44509</v>
      </c>
      <c r="J296" s="35">
        <f t="shared" si="120"/>
        <v>48056.899999999994</v>
      </c>
      <c r="K296" s="31">
        <f t="shared" si="121"/>
        <v>-7.3827067497071024</v>
      </c>
      <c r="L296" s="4">
        <f t="shared" si="122"/>
        <v>410.80000000000291</v>
      </c>
      <c r="M296">
        <v>4590.5</v>
      </c>
    </row>
    <row r="297" spans="1:13" x14ac:dyDescent="0.25">
      <c r="A297" s="20">
        <f t="shared" si="118"/>
        <v>40717</v>
      </c>
      <c r="B297" s="71"/>
      <c r="C297" s="71"/>
      <c r="D297" s="15" t="str">
        <f t="shared" si="115"/>
        <v>US Total</v>
      </c>
      <c r="E297">
        <v>8686.1</v>
      </c>
      <c r="F297">
        <v>10388.9</v>
      </c>
      <c r="G297">
        <v>36514.6</v>
      </c>
      <c r="H297">
        <v>38317.599999999999</v>
      </c>
      <c r="I297" s="4">
        <f t="shared" si="119"/>
        <v>45200.7</v>
      </c>
      <c r="J297" s="35">
        <f t="shared" si="120"/>
        <v>48706.5</v>
      </c>
      <c r="K297" s="31">
        <f t="shared" si="121"/>
        <v>-7.1978072741831216</v>
      </c>
      <c r="L297" s="4">
        <f t="shared" si="122"/>
        <v>691.69999999999709</v>
      </c>
      <c r="M297">
        <v>4833.1000000000004</v>
      </c>
    </row>
    <row r="298" spans="1:13" x14ac:dyDescent="0.25">
      <c r="A298" s="20">
        <f t="shared" si="118"/>
        <v>40724</v>
      </c>
      <c r="B298" s="71"/>
      <c r="C298" s="71"/>
      <c r="D298" s="15" t="str">
        <f t="shared" si="115"/>
        <v>US Total</v>
      </c>
      <c r="E298">
        <v>8267.1</v>
      </c>
      <c r="F298">
        <v>9859.6</v>
      </c>
      <c r="G298">
        <v>37555.4</v>
      </c>
      <c r="H298">
        <v>39348.1</v>
      </c>
      <c r="I298" s="4">
        <f t="shared" si="119"/>
        <v>45822.5</v>
      </c>
      <c r="J298" s="35">
        <f t="shared" si="120"/>
        <v>49207.7</v>
      </c>
      <c r="K298" s="31">
        <f t="shared" si="121"/>
        <v>-6.879411149068126</v>
      </c>
      <c r="L298" s="4">
        <f t="shared" si="122"/>
        <v>621.80000000000291</v>
      </c>
      <c r="M298">
        <v>5701.9</v>
      </c>
    </row>
    <row r="299" spans="1:13" x14ac:dyDescent="0.25">
      <c r="A299" s="20">
        <f t="shared" si="118"/>
        <v>40731</v>
      </c>
      <c r="B299" s="71"/>
      <c r="C299" s="71"/>
      <c r="D299" s="15" t="str">
        <f t="shared" si="115"/>
        <v>US Total</v>
      </c>
      <c r="E299">
        <v>7888</v>
      </c>
      <c r="F299">
        <v>9495</v>
      </c>
      <c r="G299">
        <v>38415.9</v>
      </c>
      <c r="H299">
        <v>40390.9</v>
      </c>
      <c r="I299" s="4">
        <f t="shared" si="119"/>
        <v>46303.9</v>
      </c>
      <c r="J299" s="35">
        <f t="shared" si="120"/>
        <v>49885.9</v>
      </c>
      <c r="K299" s="31">
        <f t="shared" si="121"/>
        <v>-7.1803856400305506</v>
      </c>
      <c r="L299" s="4">
        <f t="shared" si="122"/>
        <v>481.40000000000146</v>
      </c>
      <c r="M299">
        <v>6900.9</v>
      </c>
    </row>
    <row r="300" spans="1:13" x14ac:dyDescent="0.25">
      <c r="A300" s="20">
        <f t="shared" si="118"/>
        <v>40738</v>
      </c>
      <c r="B300" s="71"/>
      <c r="C300" s="71"/>
      <c r="D300" s="15" t="str">
        <f t="shared" si="115"/>
        <v>US Total</v>
      </c>
      <c r="E300">
        <v>7390.9</v>
      </c>
      <c r="F300">
        <v>9160.7000000000007</v>
      </c>
      <c r="G300">
        <v>39341.699999999997</v>
      </c>
      <c r="H300">
        <v>41338.699999999997</v>
      </c>
      <c r="I300" s="4">
        <f t="shared" si="119"/>
        <v>46732.6</v>
      </c>
      <c r="J300" s="35">
        <f t="shared" si="120"/>
        <v>50499.399999999994</v>
      </c>
      <c r="K300" s="31">
        <f t="shared" si="121"/>
        <v>-7.4590985239428527</v>
      </c>
      <c r="L300" s="4">
        <f t="shared" si="122"/>
        <v>428.69999999999709</v>
      </c>
      <c r="M300">
        <v>7373.7</v>
      </c>
    </row>
    <row r="301" spans="1:13" x14ac:dyDescent="0.25">
      <c r="A301" s="20">
        <f t="shared" si="118"/>
        <v>40745</v>
      </c>
      <c r="B301" s="71"/>
      <c r="C301" s="71"/>
      <c r="D301" s="15" t="str">
        <f t="shared" si="115"/>
        <v>US Total</v>
      </c>
      <c r="E301">
        <v>6716.5</v>
      </c>
      <c r="F301">
        <v>8393.7000000000007</v>
      </c>
      <c r="G301">
        <v>40347.599999999999</v>
      </c>
      <c r="H301">
        <v>42537.9</v>
      </c>
      <c r="I301" s="4">
        <f t="shared" si="119"/>
        <v>47064.1</v>
      </c>
      <c r="J301" s="35">
        <f t="shared" si="120"/>
        <v>50931.600000000006</v>
      </c>
      <c r="K301" s="31">
        <f t="shared" si="121"/>
        <v>-7.5935175804412332</v>
      </c>
      <c r="L301" s="4">
        <f t="shared" si="122"/>
        <v>331.5</v>
      </c>
      <c r="M301">
        <v>7527.1</v>
      </c>
    </row>
    <row r="302" spans="1:13" x14ac:dyDescent="0.25">
      <c r="A302" s="20">
        <f t="shared" si="118"/>
        <v>40752</v>
      </c>
      <c r="B302" s="71"/>
      <c r="C302" s="71"/>
      <c r="D302" s="15" t="str">
        <f t="shared" si="115"/>
        <v>US Total</v>
      </c>
      <c r="E302">
        <v>6235.5</v>
      </c>
      <c r="F302">
        <v>8032.6</v>
      </c>
      <c r="G302">
        <v>41126</v>
      </c>
      <c r="H302">
        <v>43371.199999999997</v>
      </c>
      <c r="I302" s="4">
        <f t="shared" si="119"/>
        <v>47361.5</v>
      </c>
      <c r="J302" s="35">
        <f t="shared" si="120"/>
        <v>51403.799999999996</v>
      </c>
      <c r="K302" s="31">
        <f t="shared" si="121"/>
        <v>-7.863815515584438</v>
      </c>
      <c r="L302" s="4">
        <f t="shared" si="122"/>
        <v>297.40000000000146</v>
      </c>
      <c r="M302">
        <v>7988.3</v>
      </c>
    </row>
    <row r="303" spans="1:13" x14ac:dyDescent="0.25">
      <c r="A303" s="20">
        <f t="shared" si="118"/>
        <v>40759</v>
      </c>
      <c r="B303" s="71"/>
      <c r="C303" s="71"/>
      <c r="D303" s="15" t="str">
        <f t="shared" si="115"/>
        <v>US Total</v>
      </c>
      <c r="E303">
        <v>5728.2</v>
      </c>
      <c r="F303">
        <v>7464.1</v>
      </c>
      <c r="G303">
        <v>42074.7</v>
      </c>
      <c r="H303">
        <v>44379.4</v>
      </c>
      <c r="I303" s="4">
        <f>+E303+G303</f>
        <v>47802.899999999994</v>
      </c>
      <c r="J303" s="35">
        <f>+F303+H303</f>
        <v>51843.5</v>
      </c>
      <c r="K303" s="31">
        <f t="shared" ref="K303:K366" si="123">+(I303/J303-1)*100</f>
        <v>-7.7938410794024415</v>
      </c>
      <c r="L303" s="4">
        <f t="shared" ref="L303:L352" si="124">+I303-I302</f>
        <v>441.39999999999418</v>
      </c>
      <c r="M303">
        <v>8299.4</v>
      </c>
    </row>
    <row r="304" spans="1:13" x14ac:dyDescent="0.25">
      <c r="A304" s="20">
        <f t="shared" si="118"/>
        <v>40766</v>
      </c>
      <c r="B304" s="71"/>
      <c r="C304" s="71"/>
      <c r="D304" s="15" t="str">
        <f t="shared" si="115"/>
        <v>US Total</v>
      </c>
      <c r="E304">
        <v>5069.2</v>
      </c>
      <c r="F304">
        <v>7052.9</v>
      </c>
      <c r="G304">
        <v>42977.2</v>
      </c>
      <c r="H304">
        <v>45385.5</v>
      </c>
      <c r="I304" s="4">
        <f t="shared" ref="I304:I367" si="125">+E304+G304</f>
        <v>48046.399999999994</v>
      </c>
      <c r="J304" s="35">
        <f t="shared" ref="J304:J367" si="126">+F304+H304</f>
        <v>52438.400000000001</v>
      </c>
      <c r="K304" s="31">
        <f t="shared" si="123"/>
        <v>-8.3755415878440367</v>
      </c>
      <c r="L304" s="4">
        <f t="shared" si="124"/>
        <v>243.5</v>
      </c>
      <c r="M304">
        <v>8580</v>
      </c>
    </row>
    <row r="305" spans="1:13" x14ac:dyDescent="0.25">
      <c r="A305" s="20">
        <f t="shared" si="118"/>
        <v>40773</v>
      </c>
      <c r="B305" s="71"/>
      <c r="C305" s="71"/>
      <c r="D305" s="15" t="str">
        <f t="shared" si="115"/>
        <v>US Total</v>
      </c>
      <c r="E305">
        <v>4626.7</v>
      </c>
      <c r="F305">
        <v>5923.3</v>
      </c>
      <c r="G305">
        <v>43803.4</v>
      </c>
      <c r="H305">
        <v>46497.7</v>
      </c>
      <c r="I305" s="4">
        <f t="shared" si="125"/>
        <v>48430.1</v>
      </c>
      <c r="J305" s="35">
        <f t="shared" si="126"/>
        <v>52421</v>
      </c>
      <c r="K305" s="31">
        <f t="shared" si="123"/>
        <v>-7.6131702943476931</v>
      </c>
      <c r="L305" s="4">
        <f t="shared" si="124"/>
        <v>383.70000000000437</v>
      </c>
      <c r="M305">
        <v>8732.2999999999993</v>
      </c>
    </row>
    <row r="306" spans="1:13" x14ac:dyDescent="0.25">
      <c r="A306" s="20">
        <f t="shared" si="118"/>
        <v>40780</v>
      </c>
      <c r="B306" s="71"/>
      <c r="C306" s="71"/>
      <c r="D306" s="15" t="str">
        <f t="shared" si="115"/>
        <v>US Total</v>
      </c>
      <c r="E306">
        <v>3540.1</v>
      </c>
      <c r="F306">
        <v>4752.6000000000004</v>
      </c>
      <c r="G306">
        <v>44569.2</v>
      </c>
      <c r="H306">
        <v>47639.9</v>
      </c>
      <c r="I306" s="4">
        <f t="shared" si="125"/>
        <v>48109.299999999996</v>
      </c>
      <c r="J306" s="35">
        <f t="shared" si="126"/>
        <v>52392.5</v>
      </c>
      <c r="K306" s="31">
        <f t="shared" si="123"/>
        <v>-8.1752159183089308</v>
      </c>
      <c r="L306" s="4">
        <f t="shared" si="124"/>
        <v>-320.80000000000291</v>
      </c>
      <c r="M306">
        <v>9690.2000000000007</v>
      </c>
    </row>
    <row r="307" spans="1:13" x14ac:dyDescent="0.25">
      <c r="A307" s="20">
        <f t="shared" si="118"/>
        <v>40787</v>
      </c>
      <c r="B307" s="71"/>
      <c r="C307" s="71"/>
      <c r="D307" s="15" t="str">
        <f t="shared" si="115"/>
        <v>US Total</v>
      </c>
      <c r="E307" s="66">
        <v>13170.5</v>
      </c>
      <c r="F307" s="66">
        <v>15102.5</v>
      </c>
      <c r="G307" s="66">
        <v>136</v>
      </c>
      <c r="H307" s="66">
        <v>285.8</v>
      </c>
      <c r="I307" s="66">
        <f t="shared" si="125"/>
        <v>13306.5</v>
      </c>
      <c r="J307" s="35">
        <f t="shared" si="126"/>
        <v>15388.3</v>
      </c>
      <c r="K307" s="31">
        <f t="shared" si="123"/>
        <v>-13.528459933845838</v>
      </c>
      <c r="L307" s="4">
        <f t="shared" si="124"/>
        <v>-34802.799999999996</v>
      </c>
      <c r="M307">
        <v>591.29999999999995</v>
      </c>
    </row>
    <row r="308" spans="1:13" x14ac:dyDescent="0.25">
      <c r="A308" s="20">
        <f t="shared" si="118"/>
        <v>40794</v>
      </c>
      <c r="B308" s="71"/>
      <c r="C308" s="71"/>
      <c r="D308" s="15" t="str">
        <f t="shared" si="115"/>
        <v>US Total</v>
      </c>
      <c r="E308" s="66">
        <v>13812.9</v>
      </c>
      <c r="F308" s="66">
        <v>14587.5</v>
      </c>
      <c r="G308" s="66">
        <v>620.9</v>
      </c>
      <c r="H308" s="66">
        <v>1385</v>
      </c>
      <c r="I308" s="66">
        <f t="shared" si="125"/>
        <v>14433.8</v>
      </c>
      <c r="J308" s="35">
        <f t="shared" si="126"/>
        <v>15972.5</v>
      </c>
      <c r="K308" s="31">
        <f t="shared" si="123"/>
        <v>-9.6334324620441443</v>
      </c>
      <c r="L308" s="4">
        <f t="shared" si="124"/>
        <v>1127.2999999999993</v>
      </c>
      <c r="M308">
        <v>632.5</v>
      </c>
    </row>
    <row r="309" spans="1:13" x14ac:dyDescent="0.25">
      <c r="A309" s="20">
        <f t="shared" si="118"/>
        <v>40801</v>
      </c>
      <c r="B309" s="71"/>
      <c r="C309" s="71"/>
      <c r="D309" s="15" t="str">
        <f t="shared" si="115"/>
        <v>US Total</v>
      </c>
      <c r="E309" s="66">
        <v>13783.6</v>
      </c>
      <c r="F309" s="66">
        <v>14157.5</v>
      </c>
      <c r="G309" s="66">
        <v>1248.3</v>
      </c>
      <c r="H309" s="66">
        <v>2376.8000000000002</v>
      </c>
      <c r="I309" s="66">
        <f t="shared" si="125"/>
        <v>15031.9</v>
      </c>
      <c r="J309" s="35">
        <f t="shared" si="126"/>
        <v>16534.3</v>
      </c>
      <c r="K309" s="31">
        <f t="shared" si="123"/>
        <v>-9.0865655032266286</v>
      </c>
      <c r="L309" s="4">
        <f t="shared" si="124"/>
        <v>598.10000000000036</v>
      </c>
      <c r="M309">
        <v>632.5</v>
      </c>
    </row>
    <row r="310" spans="1:13" x14ac:dyDescent="0.25">
      <c r="A310" s="20">
        <f t="shared" si="118"/>
        <v>40808</v>
      </c>
      <c r="B310" s="71"/>
      <c r="C310" s="71"/>
      <c r="D310" s="15" t="str">
        <f t="shared" si="115"/>
        <v>US Total</v>
      </c>
      <c r="E310" s="66">
        <v>13748.4</v>
      </c>
      <c r="F310" s="66">
        <v>14141.6</v>
      </c>
      <c r="G310" s="66">
        <v>2071.4</v>
      </c>
      <c r="H310" s="66">
        <v>3340.5</v>
      </c>
      <c r="I310" s="4">
        <f t="shared" si="125"/>
        <v>15819.8</v>
      </c>
      <c r="J310" s="35">
        <f t="shared" si="126"/>
        <v>17482.099999999999</v>
      </c>
      <c r="K310" s="31">
        <f t="shared" si="123"/>
        <v>-9.5085830649635827</v>
      </c>
      <c r="L310" s="4">
        <f t="shared" si="124"/>
        <v>787.89999999999964</v>
      </c>
      <c r="M310">
        <v>657.5</v>
      </c>
    </row>
    <row r="311" spans="1:13" x14ac:dyDescent="0.25">
      <c r="A311" s="20">
        <f t="shared" si="118"/>
        <v>40815</v>
      </c>
      <c r="B311" s="71"/>
      <c r="C311" s="71"/>
      <c r="D311" s="15" t="str">
        <f t="shared" si="115"/>
        <v>US Total</v>
      </c>
      <c r="E311" s="145">
        <v>14282.1</v>
      </c>
      <c r="F311" s="66">
        <v>13770.2</v>
      </c>
      <c r="G311" s="66">
        <v>2827.1</v>
      </c>
      <c r="H311" s="66">
        <v>4297.1000000000004</v>
      </c>
      <c r="I311" s="4">
        <f t="shared" si="125"/>
        <v>17109.2</v>
      </c>
      <c r="J311" s="35">
        <f t="shared" si="126"/>
        <v>18067.300000000003</v>
      </c>
      <c r="K311" s="31">
        <f t="shared" si="123"/>
        <v>-5.3029506345718573</v>
      </c>
      <c r="L311" s="4">
        <f t="shared" si="124"/>
        <v>1289.4000000000015</v>
      </c>
      <c r="M311">
        <v>659.3</v>
      </c>
    </row>
    <row r="312" spans="1:13" ht="15" x14ac:dyDescent="0.35">
      <c r="A312" s="20">
        <f t="shared" si="118"/>
        <v>40822</v>
      </c>
      <c r="B312" s="71"/>
      <c r="C312" s="71"/>
      <c r="D312" s="15" t="str">
        <f t="shared" si="115"/>
        <v>US Total</v>
      </c>
      <c r="E312" s="148">
        <v>14630</v>
      </c>
      <c r="F312" s="66">
        <v>13868.4</v>
      </c>
      <c r="G312" s="66">
        <v>3738.2</v>
      </c>
      <c r="H312" s="66">
        <v>5104.8999999999996</v>
      </c>
      <c r="I312" s="4">
        <f t="shared" si="125"/>
        <v>18368.2</v>
      </c>
      <c r="J312" s="35">
        <f t="shared" si="126"/>
        <v>18973.3</v>
      </c>
      <c r="K312" s="31">
        <f t="shared" si="123"/>
        <v>-3.189218533412741</v>
      </c>
      <c r="L312" s="4">
        <f t="shared" si="124"/>
        <v>1259</v>
      </c>
      <c r="M312">
        <v>744.6</v>
      </c>
    </row>
    <row r="313" spans="1:13" x14ac:dyDescent="0.25">
      <c r="A313" s="20">
        <f t="shared" si="118"/>
        <v>40829</v>
      </c>
      <c r="B313" s="71"/>
      <c r="C313" s="71"/>
      <c r="D313" s="15" t="str">
        <f t="shared" si="115"/>
        <v>US Total</v>
      </c>
      <c r="E313" s="145">
        <v>15829.2</v>
      </c>
      <c r="F313" s="66">
        <v>13247.4</v>
      </c>
      <c r="G313" s="66">
        <v>4301.6000000000004</v>
      </c>
      <c r="H313" s="66">
        <v>5919.8</v>
      </c>
      <c r="I313" s="4">
        <f t="shared" si="125"/>
        <v>20130.800000000003</v>
      </c>
      <c r="J313" s="35">
        <f t="shared" si="126"/>
        <v>19167.2</v>
      </c>
      <c r="K313" s="31">
        <f t="shared" si="123"/>
        <v>5.0273383697149399</v>
      </c>
      <c r="L313" s="4">
        <f t="shared" si="124"/>
        <v>1762.6000000000022</v>
      </c>
    </row>
    <row r="314" spans="1:13" x14ac:dyDescent="0.25">
      <c r="A314" s="20">
        <f t="shared" si="118"/>
        <v>40836</v>
      </c>
      <c r="B314" s="71"/>
      <c r="C314" s="71"/>
      <c r="D314" s="15" t="str">
        <f t="shared" si="115"/>
        <v>US Total</v>
      </c>
      <c r="E314" s="145">
        <v>15448.3</v>
      </c>
      <c r="F314" s="66">
        <v>13216.5</v>
      </c>
      <c r="G314" s="66">
        <v>4978.7</v>
      </c>
      <c r="H314" s="66">
        <v>6501.5</v>
      </c>
      <c r="I314" s="4">
        <f t="shared" si="125"/>
        <v>20427</v>
      </c>
      <c r="J314" s="35">
        <f t="shared" si="126"/>
        <v>19718</v>
      </c>
      <c r="K314" s="31">
        <f t="shared" si="123"/>
        <v>3.5956993609899568</v>
      </c>
      <c r="L314" s="4">
        <f t="shared" si="124"/>
        <v>296.19999999999709</v>
      </c>
      <c r="M314">
        <v>853</v>
      </c>
    </row>
    <row r="315" spans="1:13" x14ac:dyDescent="0.25">
      <c r="A315" s="20">
        <f t="shared" si="118"/>
        <v>40843</v>
      </c>
      <c r="B315" s="71"/>
      <c r="C315" s="71"/>
      <c r="D315" s="15" t="str">
        <f t="shared" si="115"/>
        <v>US Total</v>
      </c>
      <c r="E315" s="145">
        <v>15364</v>
      </c>
      <c r="F315" s="66">
        <v>12797.8</v>
      </c>
      <c r="G315" s="66">
        <v>5725.6</v>
      </c>
      <c r="H315" s="66">
        <v>7381.8</v>
      </c>
      <c r="I315" s="4">
        <f t="shared" si="125"/>
        <v>21089.599999999999</v>
      </c>
      <c r="J315" s="35">
        <f t="shared" si="126"/>
        <v>20179.599999999999</v>
      </c>
      <c r="K315" s="31">
        <f t="shared" si="123"/>
        <v>4.5095046482586332</v>
      </c>
      <c r="L315" s="4">
        <f t="shared" si="124"/>
        <v>662.59999999999854</v>
      </c>
      <c r="M315">
        <v>853</v>
      </c>
    </row>
    <row r="316" spans="1:13" x14ac:dyDescent="0.25">
      <c r="A316" s="20">
        <f t="shared" si="118"/>
        <v>40850</v>
      </c>
      <c r="B316" s="71"/>
      <c r="C316" s="71"/>
      <c r="D316" s="15" t="str">
        <f t="shared" si="115"/>
        <v>US Total</v>
      </c>
      <c r="E316" s="145">
        <v>14991.4</v>
      </c>
      <c r="F316" s="66">
        <v>12620.4</v>
      </c>
      <c r="G316" s="66">
        <v>6350</v>
      </c>
      <c r="H316" s="66">
        <v>8132.8</v>
      </c>
      <c r="I316" s="34">
        <f t="shared" si="125"/>
        <v>21341.4</v>
      </c>
      <c r="J316" s="151">
        <f t="shared" si="126"/>
        <v>20753.2</v>
      </c>
      <c r="K316" s="31">
        <f t="shared" si="123"/>
        <v>2.8342617042191209</v>
      </c>
      <c r="L316" s="4">
        <f t="shared" si="124"/>
        <v>251.80000000000291</v>
      </c>
    </row>
    <row r="317" spans="1:13" x14ac:dyDescent="0.25">
      <c r="A317" s="20">
        <f t="shared" si="118"/>
        <v>40857</v>
      </c>
      <c r="B317" s="71"/>
      <c r="C317" s="71"/>
      <c r="D317" s="15" t="str">
        <f t="shared" si="115"/>
        <v>US Total</v>
      </c>
      <c r="E317" s="145">
        <v>14305.3</v>
      </c>
      <c r="F317" s="66">
        <v>12375.4</v>
      </c>
      <c r="G317" s="66">
        <v>7245.1</v>
      </c>
      <c r="H317" s="66">
        <v>8911.6</v>
      </c>
      <c r="I317" s="34">
        <f t="shared" si="125"/>
        <v>21550.400000000001</v>
      </c>
      <c r="J317" s="151">
        <f t="shared" si="126"/>
        <v>21287</v>
      </c>
      <c r="K317" s="31">
        <f t="shared" si="123"/>
        <v>1.2373749236623377</v>
      </c>
      <c r="L317" s="4">
        <f t="shared" si="124"/>
        <v>209</v>
      </c>
    </row>
    <row r="318" spans="1:13" x14ac:dyDescent="0.25">
      <c r="A318" s="20">
        <f t="shared" si="118"/>
        <v>40864</v>
      </c>
      <c r="B318" s="71"/>
      <c r="C318" s="71"/>
      <c r="D318" s="15" t="str">
        <f t="shared" si="115"/>
        <v>US Total</v>
      </c>
      <c r="E318" s="145">
        <v>13643.3</v>
      </c>
      <c r="F318" s="66">
        <v>12415.5</v>
      </c>
      <c r="G318" s="66">
        <v>8219.1</v>
      </c>
      <c r="H318" s="66">
        <v>9694.6</v>
      </c>
      <c r="I318" s="4">
        <f t="shared" si="125"/>
        <v>21862.400000000001</v>
      </c>
      <c r="J318" s="35">
        <f t="shared" si="126"/>
        <v>22110.1</v>
      </c>
      <c r="K318" s="31">
        <f t="shared" si="123"/>
        <v>-1.1203024861940802</v>
      </c>
      <c r="L318" s="4">
        <f t="shared" si="124"/>
        <v>312</v>
      </c>
      <c r="M318">
        <v>891</v>
      </c>
    </row>
    <row r="319" spans="1:13" x14ac:dyDescent="0.25">
      <c r="A319" s="20">
        <f t="shared" si="118"/>
        <v>40871</v>
      </c>
      <c r="B319" s="71"/>
      <c r="C319" s="71"/>
      <c r="D319" s="15" t="str">
        <f t="shared" si="115"/>
        <v>US Total</v>
      </c>
      <c r="E319" s="145">
        <v>13113.6</v>
      </c>
      <c r="F319" s="66">
        <v>12389.1</v>
      </c>
      <c r="G319" s="66">
        <v>9029.4</v>
      </c>
      <c r="H319" s="66">
        <v>10479</v>
      </c>
      <c r="I319" s="4">
        <f t="shared" si="125"/>
        <v>22143</v>
      </c>
      <c r="J319" s="35">
        <f t="shared" si="126"/>
        <v>22868.1</v>
      </c>
      <c r="K319" s="31">
        <f t="shared" si="123"/>
        <v>-3.1707925013446658</v>
      </c>
      <c r="L319" s="4">
        <f t="shared" si="124"/>
        <v>280.59999999999854</v>
      </c>
      <c r="M319">
        <v>962.6</v>
      </c>
    </row>
    <row r="320" spans="1:13" x14ac:dyDescent="0.25">
      <c r="A320" s="20">
        <f t="shared" ref="A320:A383" si="127">+A319+7</f>
        <v>40878</v>
      </c>
      <c r="B320" s="71"/>
      <c r="C320" s="71"/>
      <c r="D320" s="15" t="str">
        <f t="shared" si="115"/>
        <v>US Total</v>
      </c>
      <c r="E320" s="145">
        <v>12772.5</v>
      </c>
      <c r="F320" s="66">
        <v>12365</v>
      </c>
      <c r="G320" s="66">
        <v>10066</v>
      </c>
      <c r="H320" s="66">
        <v>11174.2</v>
      </c>
      <c r="I320" s="4">
        <f t="shared" si="125"/>
        <v>22838.5</v>
      </c>
      <c r="J320" s="35">
        <f t="shared" si="126"/>
        <v>23539.200000000001</v>
      </c>
      <c r="K320" s="31">
        <f t="shared" si="123"/>
        <v>-2.9767366775421467</v>
      </c>
      <c r="L320" s="4">
        <f t="shared" si="124"/>
        <v>695.5</v>
      </c>
    </row>
    <row r="321" spans="1:18" x14ac:dyDescent="0.25">
      <c r="A321" s="20">
        <f t="shared" si="127"/>
        <v>40885</v>
      </c>
      <c r="B321" s="71"/>
      <c r="C321" s="71"/>
      <c r="D321" s="15" t="str">
        <f t="shared" si="115"/>
        <v>US Total</v>
      </c>
      <c r="E321" s="145">
        <v>12390.3</v>
      </c>
      <c r="F321" s="66">
        <v>12365.3</v>
      </c>
      <c r="G321" s="66">
        <v>10947.9</v>
      </c>
      <c r="H321" s="66">
        <v>11984.7</v>
      </c>
      <c r="I321" s="4">
        <f t="shared" si="125"/>
        <v>23338.199999999997</v>
      </c>
      <c r="J321" s="35">
        <f t="shared" si="126"/>
        <v>24350</v>
      </c>
      <c r="K321" s="31">
        <f t="shared" si="123"/>
        <v>-4.1552361396304027</v>
      </c>
      <c r="L321" s="4">
        <f t="shared" si="124"/>
        <v>499.69999999999709</v>
      </c>
      <c r="M321">
        <v>976.3</v>
      </c>
    </row>
    <row r="322" spans="1:18" x14ac:dyDescent="0.25">
      <c r="A322" s="20">
        <f t="shared" si="127"/>
        <v>40892</v>
      </c>
      <c r="B322" s="71"/>
      <c r="C322" s="71"/>
      <c r="D322" s="15" t="str">
        <f t="shared" si="115"/>
        <v>US Total</v>
      </c>
      <c r="E322" s="145">
        <v>11804.4</v>
      </c>
      <c r="F322" s="66">
        <v>12442.6</v>
      </c>
      <c r="G322" s="66">
        <v>12248.7</v>
      </c>
      <c r="H322" s="66">
        <v>12813.5</v>
      </c>
      <c r="I322" s="4">
        <f t="shared" si="125"/>
        <v>24053.1</v>
      </c>
      <c r="J322" s="35">
        <f t="shared" si="126"/>
        <v>25256.1</v>
      </c>
      <c r="K322" s="31">
        <f t="shared" si="123"/>
        <v>-4.7632057205981955</v>
      </c>
      <c r="L322" s="4">
        <f t="shared" si="124"/>
        <v>714.90000000000146</v>
      </c>
      <c r="M322" s="63">
        <v>1214.3</v>
      </c>
    </row>
    <row r="323" spans="1:18" x14ac:dyDescent="0.25">
      <c r="A323" s="20">
        <f t="shared" si="127"/>
        <v>40899</v>
      </c>
      <c r="B323" s="71"/>
      <c r="C323" s="71"/>
      <c r="D323" s="15" t="str">
        <f t="shared" si="115"/>
        <v>US Total</v>
      </c>
      <c r="E323" s="145">
        <v>11176.9</v>
      </c>
      <c r="F323" s="66">
        <v>12058.9</v>
      </c>
      <c r="G323" s="66">
        <v>13195</v>
      </c>
      <c r="H323" s="66">
        <v>13896.3</v>
      </c>
      <c r="I323" s="4">
        <f t="shared" si="125"/>
        <v>24371.9</v>
      </c>
      <c r="J323" s="35">
        <f t="shared" si="126"/>
        <v>25955.199999999997</v>
      </c>
      <c r="K323" s="31">
        <f t="shared" si="123"/>
        <v>-6.1001263715941167</v>
      </c>
      <c r="L323" s="4">
        <f t="shared" si="124"/>
        <v>318.80000000000291</v>
      </c>
      <c r="M323">
        <v>1240.7</v>
      </c>
    </row>
    <row r="324" spans="1:18" x14ac:dyDescent="0.25">
      <c r="A324" s="20">
        <f t="shared" si="127"/>
        <v>40906</v>
      </c>
      <c r="B324" s="71"/>
      <c r="C324" s="71"/>
      <c r="D324" s="15" t="str">
        <f t="shared" si="115"/>
        <v>US Total</v>
      </c>
      <c r="E324" s="145">
        <v>10900.2</v>
      </c>
      <c r="F324" s="66">
        <v>11814.2</v>
      </c>
      <c r="G324" s="66">
        <v>13771.2</v>
      </c>
      <c r="H324" s="66">
        <v>14510.1</v>
      </c>
      <c r="I324" s="4">
        <f t="shared" si="125"/>
        <v>24671.4</v>
      </c>
      <c r="J324" s="35">
        <f t="shared" si="126"/>
        <v>26324.300000000003</v>
      </c>
      <c r="K324" s="31">
        <f t="shared" si="123"/>
        <v>-6.2789893748361862</v>
      </c>
      <c r="L324" s="4">
        <f t="shared" si="124"/>
        <v>299.5</v>
      </c>
      <c r="M324">
        <v>1247.2</v>
      </c>
    </row>
    <row r="325" spans="1:18" x14ac:dyDescent="0.25">
      <c r="A325" s="20">
        <f t="shared" si="127"/>
        <v>40913</v>
      </c>
      <c r="B325" s="71"/>
      <c r="C325" s="71"/>
      <c r="D325" s="15" t="str">
        <f t="shared" si="115"/>
        <v>US Total</v>
      </c>
      <c r="E325" s="145">
        <v>10473.5</v>
      </c>
      <c r="F325" s="66">
        <v>11737.7</v>
      </c>
      <c r="G325" s="66">
        <v>14519.4</v>
      </c>
      <c r="H325" s="66">
        <v>15025.08</v>
      </c>
      <c r="I325" s="4">
        <f t="shared" si="125"/>
        <v>24992.9</v>
      </c>
      <c r="J325" s="35">
        <f t="shared" si="126"/>
        <v>26762.78</v>
      </c>
      <c r="K325" s="31">
        <f t="shared" si="123"/>
        <v>-6.6132143222789157</v>
      </c>
      <c r="L325" s="4">
        <f t="shared" si="124"/>
        <v>321.5</v>
      </c>
    </row>
    <row r="326" spans="1:18" x14ac:dyDescent="0.25">
      <c r="A326" s="20">
        <f t="shared" si="127"/>
        <v>40920</v>
      </c>
      <c r="B326" s="71"/>
      <c r="C326" s="71"/>
      <c r="D326" s="15" t="str">
        <f t="shared" si="115"/>
        <v>US Total</v>
      </c>
      <c r="E326" s="145">
        <v>10479.6</v>
      </c>
      <c r="F326" s="66">
        <v>12055.4</v>
      </c>
      <c r="G326" s="66">
        <v>15273.1</v>
      </c>
      <c r="H326" s="66">
        <v>15612.9</v>
      </c>
      <c r="I326" s="4">
        <f t="shared" si="125"/>
        <v>25752.7</v>
      </c>
      <c r="J326" s="35">
        <f t="shared" si="126"/>
        <v>27668.3</v>
      </c>
      <c r="K326" s="31">
        <f t="shared" si="123"/>
        <v>-6.9234466880870871</v>
      </c>
      <c r="L326" s="4">
        <f t="shared" si="124"/>
        <v>759.79999999999927</v>
      </c>
    </row>
    <row r="327" spans="1:18" x14ac:dyDescent="0.25">
      <c r="A327" s="20">
        <f t="shared" si="127"/>
        <v>40927</v>
      </c>
      <c r="B327" s="71"/>
      <c r="C327" s="71"/>
      <c r="D327" s="15" t="str">
        <f t="shared" si="115"/>
        <v>US Total</v>
      </c>
      <c r="E327" s="145">
        <v>10497.1</v>
      </c>
      <c r="F327" s="66">
        <v>11700</v>
      </c>
      <c r="G327" s="66">
        <v>16213.8</v>
      </c>
      <c r="H327" s="66">
        <v>16383</v>
      </c>
      <c r="I327" s="4">
        <f t="shared" si="125"/>
        <v>26710.9</v>
      </c>
      <c r="J327" s="35">
        <f t="shared" si="126"/>
        <v>28083</v>
      </c>
      <c r="K327" s="31">
        <f t="shared" si="123"/>
        <v>-4.8858740163087884</v>
      </c>
      <c r="L327" s="4">
        <f t="shared" si="124"/>
        <v>958.20000000000073</v>
      </c>
    </row>
    <row r="328" spans="1:18" x14ac:dyDescent="0.25">
      <c r="A328" s="20">
        <f t="shared" si="127"/>
        <v>40934</v>
      </c>
      <c r="B328" s="71"/>
      <c r="C328" s="71"/>
      <c r="D328" s="15" t="str">
        <f t="shared" si="115"/>
        <v>US Total</v>
      </c>
      <c r="E328" s="145">
        <v>10739.4</v>
      </c>
      <c r="F328" s="66">
        <v>12004.9</v>
      </c>
      <c r="G328" s="66">
        <v>16883.400000000001</v>
      </c>
      <c r="H328" s="66">
        <v>17244.8</v>
      </c>
      <c r="I328" s="4">
        <f t="shared" si="125"/>
        <v>27622.800000000003</v>
      </c>
      <c r="J328" s="35">
        <f t="shared" si="126"/>
        <v>29249.699999999997</v>
      </c>
      <c r="K328" s="31">
        <f t="shared" si="123"/>
        <v>-5.5621083293161728</v>
      </c>
      <c r="L328" s="4">
        <f t="shared" si="124"/>
        <v>911.90000000000146</v>
      </c>
    </row>
    <row r="329" spans="1:18" x14ac:dyDescent="0.25">
      <c r="A329" s="20">
        <f t="shared" si="127"/>
        <v>40941</v>
      </c>
      <c r="B329" s="71"/>
      <c r="C329" s="71"/>
      <c r="D329" s="15" t="str">
        <f t="shared" ref="D329:D362" si="128">+D328</f>
        <v>US Total</v>
      </c>
      <c r="E329" s="145">
        <v>10344.6</v>
      </c>
      <c r="F329" s="66">
        <v>12443.1</v>
      </c>
      <c r="G329" s="66">
        <v>17972.400000000001</v>
      </c>
      <c r="H329" s="66">
        <v>17913.900000000001</v>
      </c>
      <c r="I329" s="4">
        <f t="shared" si="125"/>
        <v>28317</v>
      </c>
      <c r="J329" s="35">
        <f t="shared" si="126"/>
        <v>30357</v>
      </c>
      <c r="K329" s="31">
        <f t="shared" si="123"/>
        <v>-6.7200316236782243</v>
      </c>
      <c r="L329" s="4">
        <f t="shared" si="124"/>
        <v>694.19999999999709</v>
      </c>
    </row>
    <row r="330" spans="1:18" x14ac:dyDescent="0.25">
      <c r="A330" s="20">
        <f t="shared" si="127"/>
        <v>40948</v>
      </c>
      <c r="B330" s="71"/>
      <c r="C330" s="71"/>
      <c r="D330" s="15" t="str">
        <f t="shared" si="128"/>
        <v>US Total</v>
      </c>
      <c r="E330" s="145">
        <v>10664.4</v>
      </c>
      <c r="F330" s="66">
        <v>12797.6</v>
      </c>
      <c r="G330" s="66">
        <v>18658.400000000001</v>
      </c>
      <c r="H330" s="66">
        <v>18589.8</v>
      </c>
      <c r="I330" s="4">
        <f t="shared" si="125"/>
        <v>29322.800000000003</v>
      </c>
      <c r="J330" s="35">
        <f t="shared" si="126"/>
        <v>31387.4</v>
      </c>
      <c r="K330" s="31">
        <f t="shared" si="123"/>
        <v>-6.577798734524043</v>
      </c>
      <c r="L330" s="4">
        <f t="shared" si="124"/>
        <v>1005.8000000000029</v>
      </c>
    </row>
    <row r="331" spans="1:18" x14ac:dyDescent="0.25">
      <c r="A331" s="20">
        <f t="shared" si="127"/>
        <v>40955</v>
      </c>
      <c r="B331" s="71"/>
      <c r="C331" s="71"/>
      <c r="D331" s="15" t="str">
        <f t="shared" si="128"/>
        <v>US Total</v>
      </c>
      <c r="E331" s="145">
        <v>10728.9</v>
      </c>
      <c r="F331" s="66">
        <v>13238.3</v>
      </c>
      <c r="G331" s="66">
        <v>19434.7</v>
      </c>
      <c r="H331" s="66">
        <v>19650.400000000001</v>
      </c>
      <c r="I331" s="4">
        <f t="shared" si="125"/>
        <v>30163.599999999999</v>
      </c>
      <c r="J331" s="35">
        <f t="shared" si="126"/>
        <v>32888.699999999997</v>
      </c>
      <c r="K331" s="31">
        <f t="shared" si="123"/>
        <v>-8.2858246145332544</v>
      </c>
      <c r="L331" s="4">
        <f t="shared" si="124"/>
        <v>840.79999999999563</v>
      </c>
    </row>
    <row r="332" spans="1:18" x14ac:dyDescent="0.25">
      <c r="A332" s="20">
        <f t="shared" si="127"/>
        <v>40962</v>
      </c>
      <c r="B332" s="71"/>
      <c r="C332" s="71"/>
      <c r="D332" s="15" t="str">
        <f t="shared" si="128"/>
        <v>US Total</v>
      </c>
      <c r="E332" s="145">
        <v>10600.7</v>
      </c>
      <c r="F332" s="66">
        <v>13518.7</v>
      </c>
      <c r="G332" s="66">
        <v>20252.8</v>
      </c>
      <c r="H332" s="66">
        <v>20450.5</v>
      </c>
      <c r="I332" s="4">
        <f t="shared" si="125"/>
        <v>30853.5</v>
      </c>
      <c r="J332" s="35">
        <f t="shared" si="126"/>
        <v>33969.199999999997</v>
      </c>
      <c r="K332" s="31">
        <f t="shared" si="123"/>
        <v>-9.1721324022938315</v>
      </c>
      <c r="L332" s="4">
        <f t="shared" si="124"/>
        <v>689.90000000000146</v>
      </c>
    </row>
    <row r="333" spans="1:18" x14ac:dyDescent="0.25">
      <c r="A333" s="20">
        <f t="shared" si="127"/>
        <v>40969</v>
      </c>
      <c r="B333" s="71"/>
      <c r="C333" s="71"/>
      <c r="D333" s="15" t="str">
        <f t="shared" si="128"/>
        <v>US Total</v>
      </c>
      <c r="E333" s="145">
        <v>10277.200000000001</v>
      </c>
      <c r="F333" s="66">
        <v>12791</v>
      </c>
      <c r="G333" s="66">
        <v>21022</v>
      </c>
      <c r="H333" s="66">
        <v>21655.4</v>
      </c>
      <c r="I333" s="4">
        <f t="shared" si="125"/>
        <v>31299.200000000001</v>
      </c>
      <c r="J333" s="35">
        <f t="shared" si="126"/>
        <v>34446.400000000001</v>
      </c>
      <c r="K333" s="31">
        <f t="shared" si="123"/>
        <v>-9.1365135398764448</v>
      </c>
      <c r="L333" s="4">
        <f t="shared" si="124"/>
        <v>445.70000000000073</v>
      </c>
    </row>
    <row r="334" spans="1:18" x14ac:dyDescent="0.25">
      <c r="A334" s="20">
        <f t="shared" si="127"/>
        <v>40976</v>
      </c>
      <c r="B334" s="71"/>
      <c r="C334" s="71"/>
      <c r="D334" s="15" t="str">
        <f t="shared" si="128"/>
        <v>US Total</v>
      </c>
      <c r="E334" s="145">
        <v>10078</v>
      </c>
      <c r="F334" s="66">
        <v>12946.7</v>
      </c>
      <c r="G334" s="66">
        <v>22057.599999999999</v>
      </c>
      <c r="H334" s="66">
        <v>22536</v>
      </c>
      <c r="I334" s="4">
        <f t="shared" si="125"/>
        <v>32135.599999999999</v>
      </c>
      <c r="J334" s="35">
        <f t="shared" si="126"/>
        <v>35482.699999999997</v>
      </c>
      <c r="K334" s="31">
        <f t="shared" si="123"/>
        <v>-9.4330476542089485</v>
      </c>
      <c r="L334" s="4">
        <f t="shared" si="124"/>
        <v>836.39999999999782</v>
      </c>
      <c r="R334">
        <v>2009</v>
      </c>
    </row>
    <row r="335" spans="1:18" x14ac:dyDescent="0.25">
      <c r="A335" s="20">
        <f t="shared" si="127"/>
        <v>40983</v>
      </c>
      <c r="B335" s="71"/>
      <c r="C335" s="71"/>
      <c r="D335" s="15" t="str">
        <f t="shared" si="128"/>
        <v>US Total</v>
      </c>
      <c r="E335" s="145">
        <v>10432</v>
      </c>
      <c r="F335" s="66">
        <v>12961.9</v>
      </c>
      <c r="G335" s="66">
        <v>22565.7</v>
      </c>
      <c r="H335" s="66">
        <v>23415.8</v>
      </c>
      <c r="I335" s="4">
        <f t="shared" si="125"/>
        <v>32997.699999999997</v>
      </c>
      <c r="J335" s="35">
        <f t="shared" si="126"/>
        <v>36377.699999999997</v>
      </c>
      <c r="K335" s="31">
        <f t="shared" si="123"/>
        <v>-9.2914065485173669</v>
      </c>
      <c r="L335" s="4">
        <f t="shared" si="124"/>
        <v>862.09999999999854</v>
      </c>
      <c r="R335">
        <v>2010</v>
      </c>
    </row>
    <row r="336" spans="1:18" x14ac:dyDescent="0.25">
      <c r="A336" s="20">
        <f t="shared" si="127"/>
        <v>40990</v>
      </c>
      <c r="B336" s="71"/>
      <c r="C336" s="71"/>
      <c r="D336" s="15" t="str">
        <f t="shared" si="128"/>
        <v>US Total</v>
      </c>
      <c r="E336" s="145">
        <v>9919</v>
      </c>
      <c r="F336" s="66">
        <v>13856.8</v>
      </c>
      <c r="G336" s="66">
        <v>23209.4</v>
      </c>
      <c r="H336" s="66">
        <v>24435.8</v>
      </c>
      <c r="I336" s="4">
        <f t="shared" si="125"/>
        <v>33128.400000000001</v>
      </c>
      <c r="J336" s="35">
        <f t="shared" si="126"/>
        <v>38292.6</v>
      </c>
      <c r="K336" s="31">
        <f t="shared" si="123"/>
        <v>-13.486156594224463</v>
      </c>
      <c r="L336" s="4">
        <f t="shared" si="124"/>
        <v>130.70000000000437</v>
      </c>
      <c r="R336">
        <v>2011</v>
      </c>
    </row>
    <row r="337" spans="1:26" x14ac:dyDescent="0.25">
      <c r="A337" s="20">
        <f t="shared" si="127"/>
        <v>40997</v>
      </c>
      <c r="B337" s="71"/>
      <c r="C337" s="71"/>
      <c r="D337" s="15" t="str">
        <f t="shared" si="128"/>
        <v>US Total</v>
      </c>
      <c r="E337" s="145">
        <v>10063.5</v>
      </c>
      <c r="F337" s="66">
        <v>13460.9</v>
      </c>
      <c r="G337" s="66">
        <v>24002.5</v>
      </c>
      <c r="H337" s="66">
        <v>25451.3</v>
      </c>
      <c r="I337" s="4">
        <f t="shared" si="125"/>
        <v>34066</v>
      </c>
      <c r="J337" s="35">
        <f t="shared" si="126"/>
        <v>38912.199999999997</v>
      </c>
      <c r="K337" s="31">
        <f t="shared" si="123"/>
        <v>-12.454191744491439</v>
      </c>
      <c r="L337" s="4">
        <f t="shared" si="124"/>
        <v>937.59999999999854</v>
      </c>
      <c r="R337">
        <v>2012</v>
      </c>
    </row>
    <row r="338" spans="1:26" x14ac:dyDescent="0.25">
      <c r="A338" s="20">
        <f t="shared" si="127"/>
        <v>41004</v>
      </c>
      <c r="B338" s="71"/>
      <c r="C338" s="71"/>
      <c r="D338" s="15" t="str">
        <f t="shared" si="128"/>
        <v>US Total</v>
      </c>
      <c r="E338" s="145">
        <v>10364.799999999999</v>
      </c>
      <c r="F338" s="66">
        <v>13210.8</v>
      </c>
      <c r="G338" s="66">
        <v>24660.400000000001</v>
      </c>
      <c r="H338" s="66">
        <v>26549.4</v>
      </c>
      <c r="I338" s="4">
        <f t="shared" si="125"/>
        <v>35025.199999999997</v>
      </c>
      <c r="J338" s="35">
        <f t="shared" si="126"/>
        <v>39760.199999999997</v>
      </c>
      <c r="K338" s="31">
        <f t="shared" si="123"/>
        <v>-11.908893818441557</v>
      </c>
      <c r="L338" s="4">
        <f t="shared" si="124"/>
        <v>959.19999999999709</v>
      </c>
    </row>
    <row r="339" spans="1:26" x14ac:dyDescent="0.25">
      <c r="A339" s="20">
        <f t="shared" si="127"/>
        <v>41011</v>
      </c>
      <c r="B339" s="71"/>
      <c r="C339" s="71"/>
      <c r="D339" s="15" t="str">
        <f t="shared" si="128"/>
        <v>US Total</v>
      </c>
      <c r="E339" s="145">
        <v>9550.7000000000007</v>
      </c>
      <c r="F339" s="66">
        <v>12888.9</v>
      </c>
      <c r="G339" s="66">
        <v>25774.9</v>
      </c>
      <c r="H339" s="66">
        <v>27484.7</v>
      </c>
      <c r="I339" s="4">
        <f t="shared" si="125"/>
        <v>35325.600000000006</v>
      </c>
      <c r="J339" s="35">
        <f t="shared" si="126"/>
        <v>40373.599999999999</v>
      </c>
      <c r="K339" s="31">
        <f t="shared" si="123"/>
        <v>-12.50321992589215</v>
      </c>
      <c r="L339" s="4">
        <f t="shared" si="124"/>
        <v>300.40000000000873</v>
      </c>
    </row>
    <row r="340" spans="1:26" x14ac:dyDescent="0.25">
      <c r="A340" s="20">
        <f t="shared" si="127"/>
        <v>41018</v>
      </c>
      <c r="B340" s="71"/>
      <c r="C340" s="71"/>
      <c r="D340" s="15" t="str">
        <f t="shared" si="128"/>
        <v>US Total</v>
      </c>
      <c r="E340" s="145">
        <v>9496.1</v>
      </c>
      <c r="F340" s="66">
        <v>12330</v>
      </c>
      <c r="G340" s="66">
        <v>26475.1</v>
      </c>
      <c r="H340" s="66">
        <v>28392.5</v>
      </c>
      <c r="I340" s="4">
        <f t="shared" si="125"/>
        <v>35971.199999999997</v>
      </c>
      <c r="J340" s="35">
        <f t="shared" si="126"/>
        <v>40722.5</v>
      </c>
      <c r="K340" s="31">
        <f t="shared" si="123"/>
        <v>-11.667505678678868</v>
      </c>
      <c r="L340" s="4">
        <f t="shared" si="124"/>
        <v>645.59999999999127</v>
      </c>
    </row>
    <row r="341" spans="1:26" x14ac:dyDescent="0.25">
      <c r="A341" s="20">
        <f t="shared" si="127"/>
        <v>41025</v>
      </c>
      <c r="B341" s="71"/>
      <c r="C341" s="71"/>
      <c r="D341" s="15" t="str">
        <f t="shared" si="128"/>
        <v>US Total</v>
      </c>
      <c r="E341" s="145">
        <v>10163.4</v>
      </c>
      <c r="F341" s="66">
        <v>11815.7</v>
      </c>
      <c r="G341" s="66">
        <v>27139.7</v>
      </c>
      <c r="H341" s="66">
        <v>29191.1</v>
      </c>
      <c r="I341" s="4">
        <f t="shared" si="125"/>
        <v>37303.1</v>
      </c>
      <c r="J341" s="35">
        <f t="shared" si="126"/>
        <v>41006.800000000003</v>
      </c>
      <c r="K341" s="31">
        <f t="shared" si="123"/>
        <v>-9.0319166577250698</v>
      </c>
      <c r="L341" s="4">
        <f t="shared" si="124"/>
        <v>1331.9000000000015</v>
      </c>
    </row>
    <row r="342" spans="1:26" x14ac:dyDescent="0.25">
      <c r="A342" s="20">
        <f t="shared" si="127"/>
        <v>41032</v>
      </c>
      <c r="B342" s="71"/>
      <c r="C342" s="71"/>
      <c r="D342" s="15" t="str">
        <f t="shared" si="128"/>
        <v>US Total</v>
      </c>
      <c r="E342" s="145">
        <v>9690.7000000000007</v>
      </c>
      <c r="F342" s="66">
        <v>11389.2</v>
      </c>
      <c r="G342" s="66">
        <v>27836.5</v>
      </c>
      <c r="H342" s="66">
        <v>30051.4</v>
      </c>
      <c r="I342" s="4">
        <f t="shared" si="125"/>
        <v>37527.199999999997</v>
      </c>
      <c r="J342" s="35">
        <f t="shared" si="126"/>
        <v>41440.600000000006</v>
      </c>
      <c r="K342" s="31">
        <f t="shared" si="123"/>
        <v>-9.443396089824974</v>
      </c>
      <c r="L342" s="4">
        <f t="shared" si="124"/>
        <v>224.09999999999854</v>
      </c>
      <c r="M342">
        <v>4429.3</v>
      </c>
      <c r="R342" s="220"/>
      <c r="S342" s="220"/>
      <c r="T342" s="220"/>
      <c r="U342" s="220"/>
      <c r="V342" s="220"/>
      <c r="W342" s="220"/>
      <c r="X342" s="220"/>
      <c r="Y342" s="220"/>
      <c r="Z342" s="173"/>
    </row>
    <row r="343" spans="1:26" ht="13.8" thickBot="1" x14ac:dyDescent="0.3">
      <c r="A343" s="20">
        <f t="shared" si="127"/>
        <v>41039</v>
      </c>
      <c r="B343" s="71"/>
      <c r="C343" s="71"/>
      <c r="D343" s="15" t="str">
        <f t="shared" si="128"/>
        <v>US Total</v>
      </c>
      <c r="E343" s="145">
        <v>9363.5</v>
      </c>
      <c r="F343" s="66">
        <v>11270.8</v>
      </c>
      <c r="G343" s="66">
        <v>28503.200000000001</v>
      </c>
      <c r="H343" s="66">
        <v>31013</v>
      </c>
      <c r="I343" s="4">
        <f t="shared" si="125"/>
        <v>37866.699999999997</v>
      </c>
      <c r="J343" s="35">
        <f t="shared" si="126"/>
        <v>42283.8</v>
      </c>
      <c r="K343" s="31">
        <f t="shared" si="123"/>
        <v>-10.446317502211267</v>
      </c>
      <c r="L343" s="4">
        <f t="shared" si="124"/>
        <v>339.5</v>
      </c>
      <c r="M343">
        <v>4955</v>
      </c>
      <c r="R343" s="221" t="s">
        <v>329</v>
      </c>
      <c r="S343" s="221"/>
      <c r="T343" s="221"/>
      <c r="U343" s="221"/>
      <c r="V343" s="221"/>
      <c r="W343" s="221"/>
      <c r="X343" s="221"/>
      <c r="Y343" s="221"/>
      <c r="Z343" s="221"/>
    </row>
    <row r="344" spans="1:26" x14ac:dyDescent="0.25">
      <c r="A344" s="20">
        <f t="shared" si="127"/>
        <v>41046</v>
      </c>
      <c r="B344" s="71"/>
      <c r="C344" s="71"/>
      <c r="D344" s="15" t="str">
        <f t="shared" si="128"/>
        <v>US Total</v>
      </c>
      <c r="E344" s="145">
        <v>8830.2999999999993</v>
      </c>
      <c r="F344" s="66">
        <v>11043.7</v>
      </c>
      <c r="G344" s="66">
        <v>29192.5</v>
      </c>
      <c r="H344" s="66">
        <v>31966.799999999999</v>
      </c>
      <c r="I344" s="4">
        <f t="shared" si="125"/>
        <v>38022.800000000003</v>
      </c>
      <c r="J344" s="35">
        <f t="shared" si="126"/>
        <v>43010.5</v>
      </c>
      <c r="K344" s="31">
        <f t="shared" si="123"/>
        <v>-11.596470629264942</v>
      </c>
      <c r="L344" s="4">
        <f t="shared" si="124"/>
        <v>156.10000000000582</v>
      </c>
      <c r="M344">
        <v>5280.9</v>
      </c>
      <c r="R344" s="178" t="s">
        <v>316</v>
      </c>
      <c r="S344" s="179" t="s">
        <v>317</v>
      </c>
      <c r="T344" s="179" t="s">
        <v>318</v>
      </c>
      <c r="U344" s="179" t="s">
        <v>319</v>
      </c>
      <c r="V344" s="179" t="s">
        <v>320</v>
      </c>
      <c r="W344" s="179" t="s">
        <v>321</v>
      </c>
      <c r="X344" s="179" t="s">
        <v>322</v>
      </c>
      <c r="Y344" s="179" t="s">
        <v>323</v>
      </c>
      <c r="Z344" s="180" t="s">
        <v>324</v>
      </c>
    </row>
    <row r="345" spans="1:26" ht="16.8" x14ac:dyDescent="0.25">
      <c r="A345" s="20">
        <f t="shared" si="127"/>
        <v>41053</v>
      </c>
      <c r="B345" s="71"/>
      <c r="C345" s="71"/>
      <c r="D345" s="15" t="str">
        <f t="shared" si="128"/>
        <v>US Total</v>
      </c>
      <c r="E345" s="145">
        <v>8203.9</v>
      </c>
      <c r="F345" s="66">
        <v>10614.8</v>
      </c>
      <c r="G345" s="66">
        <v>30007.7</v>
      </c>
      <c r="H345" s="66">
        <v>32867.300000000003</v>
      </c>
      <c r="I345" s="4">
        <f t="shared" si="125"/>
        <v>38211.599999999999</v>
      </c>
      <c r="J345" s="35">
        <f t="shared" si="126"/>
        <v>43482.100000000006</v>
      </c>
      <c r="K345" s="31">
        <f t="shared" si="123"/>
        <v>-12.121079708661743</v>
      </c>
      <c r="L345" s="4">
        <f t="shared" si="124"/>
        <v>188.79999999999563</v>
      </c>
      <c r="M345">
        <v>5374.9</v>
      </c>
      <c r="R345" s="181" t="s">
        <v>0</v>
      </c>
      <c r="S345" s="174" t="s">
        <v>325</v>
      </c>
      <c r="T345" s="174" t="s">
        <v>326</v>
      </c>
      <c r="U345" s="175">
        <v>46965</v>
      </c>
      <c r="V345" s="175">
        <v>50295</v>
      </c>
      <c r="W345" s="175">
        <v>46590</v>
      </c>
      <c r="X345" s="175">
        <v>39184</v>
      </c>
      <c r="Y345" s="175">
        <v>29211</v>
      </c>
      <c r="Z345" s="182">
        <v>0</v>
      </c>
    </row>
    <row r="346" spans="1:26" ht="16.8" x14ac:dyDescent="0.25">
      <c r="A346" s="20">
        <f t="shared" si="127"/>
        <v>41060</v>
      </c>
      <c r="B346" s="71"/>
      <c r="C346" s="71"/>
      <c r="D346" s="15" t="str">
        <f t="shared" si="128"/>
        <v>US Total</v>
      </c>
      <c r="E346" s="145">
        <v>7722.8</v>
      </c>
      <c r="F346" s="66">
        <v>9931.1</v>
      </c>
      <c r="G346" s="66">
        <v>30740.6</v>
      </c>
      <c r="H346" s="66">
        <v>33871.300000000003</v>
      </c>
      <c r="I346" s="4">
        <f t="shared" si="125"/>
        <v>38463.4</v>
      </c>
      <c r="J346" s="35">
        <f t="shared" si="126"/>
        <v>43802.400000000001</v>
      </c>
      <c r="K346" s="31">
        <f t="shared" si="123"/>
        <v>-12.188829835808079</v>
      </c>
      <c r="L346" s="4">
        <f t="shared" si="124"/>
        <v>251.80000000000291</v>
      </c>
      <c r="M346">
        <v>5522.1</v>
      </c>
      <c r="R346" s="183" t="s">
        <v>327</v>
      </c>
      <c r="S346" s="176" t="s">
        <v>325</v>
      </c>
      <c r="T346" s="176" t="s">
        <v>326</v>
      </c>
      <c r="U346" s="177">
        <v>34817</v>
      </c>
      <c r="V346" s="177">
        <v>40798</v>
      </c>
      <c r="W346" s="177">
        <v>40849</v>
      </c>
      <c r="X346" s="177">
        <v>37063</v>
      </c>
      <c r="Y346" s="177">
        <v>36605</v>
      </c>
      <c r="Z346" s="184">
        <v>0</v>
      </c>
    </row>
    <row r="347" spans="1:26" ht="17.399999999999999" thickBot="1" x14ac:dyDescent="0.3">
      <c r="A347" s="20">
        <f t="shared" si="127"/>
        <v>41067</v>
      </c>
      <c r="B347" s="71"/>
      <c r="C347" s="71"/>
      <c r="D347" s="15" t="str">
        <f t="shared" si="128"/>
        <v>US Total</v>
      </c>
      <c r="E347" s="145">
        <v>7382</v>
      </c>
      <c r="F347" s="66">
        <v>9406.6</v>
      </c>
      <c r="G347" s="66">
        <v>31173.5</v>
      </c>
      <c r="H347" s="66">
        <v>34691.599999999999</v>
      </c>
      <c r="I347" s="4">
        <f t="shared" si="125"/>
        <v>38555.5</v>
      </c>
      <c r="J347" s="35">
        <f t="shared" si="126"/>
        <v>44098.2</v>
      </c>
      <c r="K347" s="31">
        <f t="shared" si="123"/>
        <v>-12.568993745776469</v>
      </c>
      <c r="L347" s="4">
        <f t="shared" si="124"/>
        <v>92.099999999998545</v>
      </c>
      <c r="M347">
        <v>5599.8</v>
      </c>
      <c r="R347" s="185" t="s">
        <v>47</v>
      </c>
      <c r="S347" s="186" t="s">
        <v>325</v>
      </c>
      <c r="T347" s="186" t="s">
        <v>326</v>
      </c>
      <c r="U347" s="187">
        <v>27635</v>
      </c>
      <c r="V347" s="187">
        <v>23930</v>
      </c>
      <c r="W347" s="187">
        <v>35076</v>
      </c>
      <c r="X347" s="187">
        <v>28563</v>
      </c>
      <c r="Y347" s="187">
        <v>28576</v>
      </c>
      <c r="Z347" s="188">
        <v>0</v>
      </c>
    </row>
    <row r="348" spans="1:26" x14ac:dyDescent="0.25">
      <c r="A348" s="20">
        <f t="shared" si="127"/>
        <v>41074</v>
      </c>
      <c r="B348" s="71"/>
      <c r="C348" s="71"/>
      <c r="D348" s="15" t="str">
        <f t="shared" si="128"/>
        <v>US Total</v>
      </c>
      <c r="E348" s="145">
        <v>6840.1</v>
      </c>
      <c r="F348" s="66">
        <v>8649.6</v>
      </c>
      <c r="G348" s="66">
        <v>31886.7</v>
      </c>
      <c r="H348" s="66">
        <v>35859.4</v>
      </c>
      <c r="I348" s="4">
        <f t="shared" si="125"/>
        <v>38726.800000000003</v>
      </c>
      <c r="J348" s="35">
        <f t="shared" si="126"/>
        <v>44509</v>
      </c>
      <c r="K348" s="31">
        <f t="shared" si="123"/>
        <v>-12.991080455638182</v>
      </c>
      <c r="L348" s="4">
        <f t="shared" si="124"/>
        <v>171.30000000000291</v>
      </c>
      <c r="M348">
        <v>5810.3</v>
      </c>
      <c r="R348" s="222"/>
      <c r="S348" s="222"/>
      <c r="T348" s="222"/>
      <c r="U348" s="222"/>
      <c r="V348" s="222"/>
      <c r="W348" s="222"/>
      <c r="X348" s="222"/>
      <c r="Y348" s="222"/>
      <c r="Z348" s="222"/>
    </row>
    <row r="349" spans="1:26" x14ac:dyDescent="0.25">
      <c r="A349" s="20">
        <f t="shared" si="127"/>
        <v>41081</v>
      </c>
      <c r="B349" s="71"/>
      <c r="C349" s="71"/>
      <c r="D349" s="15" t="str">
        <f t="shared" si="128"/>
        <v>US Total</v>
      </c>
      <c r="E349" s="145">
        <v>6367.6</v>
      </c>
      <c r="F349" s="66">
        <v>8686.1</v>
      </c>
      <c r="G349" s="66">
        <v>32552.1</v>
      </c>
      <c r="H349" s="66">
        <v>36514.6</v>
      </c>
      <c r="I349" s="4">
        <f t="shared" si="125"/>
        <v>38919.699999999997</v>
      </c>
      <c r="J349" s="35">
        <f t="shared" si="126"/>
        <v>45200.7</v>
      </c>
      <c r="K349" s="31">
        <f t="shared" si="123"/>
        <v>-13.89580249863387</v>
      </c>
      <c r="L349" s="4">
        <f t="shared" si="124"/>
        <v>192.89999999999418</v>
      </c>
      <c r="M349">
        <v>5910.3</v>
      </c>
      <c r="R349" s="220" t="s">
        <v>328</v>
      </c>
      <c r="S349" s="220"/>
      <c r="T349" s="220"/>
      <c r="U349" s="220"/>
      <c r="V349" s="220"/>
      <c r="W349" s="220"/>
      <c r="X349" s="220"/>
      <c r="Y349" s="220"/>
      <c r="Z349" s="220"/>
    </row>
    <row r="350" spans="1:26" x14ac:dyDescent="0.25">
      <c r="A350" s="20">
        <f t="shared" si="127"/>
        <v>41088</v>
      </c>
      <c r="B350" s="71"/>
      <c r="C350" s="71"/>
      <c r="D350" s="15" t="str">
        <f t="shared" si="128"/>
        <v>US Total</v>
      </c>
      <c r="E350" s="145">
        <v>5741.8</v>
      </c>
      <c r="F350" s="66">
        <v>8267.1</v>
      </c>
      <c r="G350" s="66">
        <v>33197.199999999997</v>
      </c>
      <c r="H350" s="66">
        <v>37555.4</v>
      </c>
      <c r="I350" s="4">
        <f t="shared" si="125"/>
        <v>38939</v>
      </c>
      <c r="J350" s="35">
        <f t="shared" si="126"/>
        <v>45822.5</v>
      </c>
      <c r="K350" s="31">
        <f t="shared" si="123"/>
        <v>-15.02209613181298</v>
      </c>
      <c r="L350" s="4">
        <f t="shared" si="124"/>
        <v>19.30000000000291</v>
      </c>
      <c r="M350">
        <v>6044.4</v>
      </c>
      <c r="R350" s="220"/>
      <c r="S350" s="220"/>
      <c r="T350" s="220"/>
      <c r="U350" s="220"/>
      <c r="V350" s="220"/>
      <c r="W350" s="220"/>
      <c r="X350" s="220"/>
      <c r="Y350" s="220"/>
      <c r="Z350" s="220"/>
    </row>
    <row r="351" spans="1:26" x14ac:dyDescent="0.25">
      <c r="A351" s="20">
        <f t="shared" si="127"/>
        <v>41095</v>
      </c>
      <c r="B351" s="71"/>
      <c r="C351" s="71"/>
      <c r="D351" s="15" t="str">
        <f t="shared" si="128"/>
        <v>US Total</v>
      </c>
      <c r="E351" s="145">
        <v>5309.2</v>
      </c>
      <c r="F351" s="66">
        <v>7888</v>
      </c>
      <c r="G351" s="66">
        <v>33802.6</v>
      </c>
      <c r="H351" s="66">
        <v>38415.9</v>
      </c>
      <c r="I351" s="4">
        <f t="shared" si="125"/>
        <v>39111.799999999996</v>
      </c>
      <c r="J351" s="35">
        <f t="shared" si="126"/>
        <v>46303.9</v>
      </c>
      <c r="K351" s="31">
        <f t="shared" si="123"/>
        <v>-15.532384961094003</v>
      </c>
      <c r="L351" s="4">
        <f t="shared" si="124"/>
        <v>172.79999999999563</v>
      </c>
      <c r="M351">
        <v>6536.5</v>
      </c>
      <c r="R351" s="220"/>
      <c r="S351" s="220"/>
      <c r="T351" s="220"/>
      <c r="U351" s="220"/>
      <c r="V351" s="220"/>
      <c r="W351" s="220"/>
      <c r="X351" s="220"/>
      <c r="Y351" s="220"/>
      <c r="Z351" s="220"/>
    </row>
    <row r="352" spans="1:26" x14ac:dyDescent="0.25">
      <c r="A352" s="20">
        <f t="shared" si="127"/>
        <v>41102</v>
      </c>
      <c r="B352" s="71"/>
      <c r="C352" s="71"/>
      <c r="D352" s="15" t="str">
        <f t="shared" si="128"/>
        <v>US Total</v>
      </c>
      <c r="E352" s="145">
        <v>4658.8999999999996</v>
      </c>
      <c r="F352" s="66">
        <v>7390.9</v>
      </c>
      <c r="G352" s="66">
        <v>34484.800000000003</v>
      </c>
      <c r="H352" s="66">
        <v>39341.699999999997</v>
      </c>
      <c r="I352" s="4">
        <f t="shared" si="125"/>
        <v>39143.700000000004</v>
      </c>
      <c r="J352" s="35">
        <f t="shared" si="126"/>
        <v>46732.6</v>
      </c>
      <c r="K352" s="31">
        <f t="shared" si="123"/>
        <v>-16.238985205188662</v>
      </c>
      <c r="L352" s="4">
        <f t="shared" si="124"/>
        <v>31.900000000008731</v>
      </c>
      <c r="M352">
        <v>6685.3</v>
      </c>
      <c r="R352" s="220"/>
      <c r="S352" s="220"/>
      <c r="T352" s="220"/>
      <c r="U352" s="220"/>
      <c r="V352" s="220"/>
      <c r="W352" s="220"/>
      <c r="X352" s="220"/>
      <c r="Y352" s="220"/>
      <c r="Z352" s="220"/>
    </row>
    <row r="353" spans="1:26" x14ac:dyDescent="0.25">
      <c r="A353" s="20">
        <f t="shared" si="127"/>
        <v>41109</v>
      </c>
      <c r="B353" s="71"/>
      <c r="C353" s="71"/>
      <c r="D353" s="15" t="str">
        <f t="shared" si="128"/>
        <v>US Total</v>
      </c>
      <c r="E353" s="145">
        <v>4136.5</v>
      </c>
      <c r="F353" s="66">
        <v>6716.5</v>
      </c>
      <c r="G353" s="66">
        <v>34998</v>
      </c>
      <c r="H353" s="66">
        <v>40347.599999999999</v>
      </c>
      <c r="I353" s="4">
        <f t="shared" si="125"/>
        <v>39134.5</v>
      </c>
      <c r="J353" s="35">
        <f t="shared" si="126"/>
        <v>47064.1</v>
      </c>
      <c r="K353" s="31">
        <f t="shared" si="123"/>
        <v>-16.848510860719735</v>
      </c>
      <c r="L353" s="4">
        <f t="shared" ref="L353:L382" si="129">+I353-I352</f>
        <v>-9.2000000000043656</v>
      </c>
      <c r="M353">
        <v>6554</v>
      </c>
      <c r="R353" s="220"/>
      <c r="S353" s="220"/>
      <c r="T353" s="220"/>
      <c r="U353" s="220"/>
      <c r="V353" s="220"/>
      <c r="W353" s="220"/>
      <c r="X353" s="220"/>
      <c r="Y353" s="220"/>
      <c r="Z353" s="220"/>
    </row>
    <row r="354" spans="1:26" x14ac:dyDescent="0.25">
      <c r="A354" s="20">
        <f t="shared" si="127"/>
        <v>41116</v>
      </c>
      <c r="B354" s="71"/>
      <c r="C354" s="71"/>
      <c r="D354" s="15" t="str">
        <f t="shared" si="128"/>
        <v>US Total</v>
      </c>
      <c r="E354" s="145">
        <v>3732.3</v>
      </c>
      <c r="F354" s="66">
        <v>6235.5</v>
      </c>
      <c r="G354" s="66">
        <v>35580.699999999997</v>
      </c>
      <c r="H354" s="66">
        <v>41126</v>
      </c>
      <c r="I354" s="4">
        <f t="shared" si="125"/>
        <v>39313</v>
      </c>
      <c r="J354" s="35">
        <f t="shared" si="126"/>
        <v>47361.5</v>
      </c>
      <c r="K354" s="31">
        <f t="shared" si="123"/>
        <v>-16.993760755043652</v>
      </c>
      <c r="L354" s="4">
        <f t="shared" si="129"/>
        <v>178.5</v>
      </c>
      <c r="M354">
        <v>6577</v>
      </c>
    </row>
    <row r="355" spans="1:26" x14ac:dyDescent="0.25">
      <c r="A355" s="20">
        <f t="shared" si="127"/>
        <v>41123</v>
      </c>
      <c r="B355" s="71"/>
      <c r="C355" s="71"/>
      <c r="D355" s="15" t="str">
        <f t="shared" si="128"/>
        <v>US Total</v>
      </c>
      <c r="E355" s="145">
        <v>3430.4</v>
      </c>
      <c r="F355" s="66">
        <v>5728.2</v>
      </c>
      <c r="G355" s="66">
        <v>36057.199999999997</v>
      </c>
      <c r="H355" s="66">
        <v>42074.7</v>
      </c>
      <c r="I355" s="4">
        <f t="shared" si="125"/>
        <v>39487.599999999999</v>
      </c>
      <c r="J355" s="35">
        <f t="shared" si="126"/>
        <v>47802.899999999994</v>
      </c>
      <c r="K355" s="31">
        <f t="shared" si="123"/>
        <v>-17.394969761248792</v>
      </c>
      <c r="L355" s="4">
        <f t="shared" si="129"/>
        <v>174.59999999999854</v>
      </c>
      <c r="M355">
        <v>7505.3</v>
      </c>
      <c r="N355">
        <f>+M355-M354</f>
        <v>928.30000000000018</v>
      </c>
    </row>
    <row r="356" spans="1:26" x14ac:dyDescent="0.25">
      <c r="A356" s="20">
        <f t="shared" si="127"/>
        <v>41130</v>
      </c>
      <c r="B356" s="71"/>
      <c r="C356" s="71"/>
      <c r="D356" s="15" t="str">
        <f t="shared" si="128"/>
        <v>US Total</v>
      </c>
      <c r="E356" s="145">
        <v>2920.3</v>
      </c>
      <c r="F356" s="66">
        <v>5069.2</v>
      </c>
      <c r="G356" s="66">
        <v>36690.199999999997</v>
      </c>
      <c r="H356" s="66">
        <v>42977.2</v>
      </c>
      <c r="I356" s="4">
        <f t="shared" si="125"/>
        <v>39610.5</v>
      </c>
      <c r="J356" s="35">
        <f t="shared" si="126"/>
        <v>48046.399999999994</v>
      </c>
      <c r="K356" s="31">
        <f t="shared" si="123"/>
        <v>-17.557819108195403</v>
      </c>
      <c r="L356" s="4">
        <f t="shared" si="129"/>
        <v>122.90000000000146</v>
      </c>
      <c r="M356">
        <v>7635.9</v>
      </c>
      <c r="N356">
        <f>+M356-M355</f>
        <v>130.59999999999945</v>
      </c>
    </row>
    <row r="357" spans="1:26" x14ac:dyDescent="0.25">
      <c r="A357" s="20">
        <f t="shared" si="127"/>
        <v>41137</v>
      </c>
      <c r="B357" s="71"/>
      <c r="C357" s="71"/>
      <c r="D357" s="15" t="str">
        <f t="shared" si="128"/>
        <v>US Total</v>
      </c>
      <c r="E357" s="145">
        <v>2427.4</v>
      </c>
      <c r="F357" s="66">
        <v>4626.7</v>
      </c>
      <c r="G357" s="66">
        <v>37291.5</v>
      </c>
      <c r="H357" s="66">
        <v>43803.4</v>
      </c>
      <c r="I357" s="4">
        <f t="shared" si="125"/>
        <v>39718.9</v>
      </c>
      <c r="J357" s="35">
        <f t="shared" si="126"/>
        <v>48430.1</v>
      </c>
      <c r="K357" s="31">
        <f t="shared" si="123"/>
        <v>-17.98716087722304</v>
      </c>
      <c r="L357" s="4">
        <f t="shared" si="129"/>
        <v>108.40000000000146</v>
      </c>
      <c r="M357">
        <v>7852.8</v>
      </c>
      <c r="N357">
        <f>+M357-M356</f>
        <v>216.90000000000055</v>
      </c>
    </row>
    <row r="358" spans="1:26" x14ac:dyDescent="0.25">
      <c r="A358" s="20">
        <f t="shared" si="127"/>
        <v>41144</v>
      </c>
      <c r="B358" s="71"/>
      <c r="C358" s="71"/>
      <c r="D358" s="15" t="str">
        <f t="shared" si="128"/>
        <v>US Total</v>
      </c>
      <c r="E358" s="145">
        <v>2020.9</v>
      </c>
      <c r="F358" s="66">
        <v>3540</v>
      </c>
      <c r="G358" s="66">
        <v>37664.300000000003</v>
      </c>
      <c r="H358" s="66">
        <v>44569.2</v>
      </c>
      <c r="I358" s="4">
        <f t="shared" si="125"/>
        <v>39685.200000000004</v>
      </c>
      <c r="J358" s="35">
        <f t="shared" si="126"/>
        <v>48109.2</v>
      </c>
      <c r="K358" s="31">
        <f t="shared" si="123"/>
        <v>-17.510164376044479</v>
      </c>
      <c r="L358" s="4">
        <f t="shared" si="129"/>
        <v>-33.69999999999709</v>
      </c>
      <c r="M358">
        <v>8021.2</v>
      </c>
      <c r="N358">
        <f>+M358-M357</f>
        <v>168.39999999999964</v>
      </c>
    </row>
    <row r="359" spans="1:26" x14ac:dyDescent="0.25">
      <c r="A359" s="20">
        <f t="shared" si="127"/>
        <v>41151</v>
      </c>
      <c r="C359" s="71"/>
      <c r="D359" s="15" t="str">
        <f t="shared" si="128"/>
        <v>US Total</v>
      </c>
      <c r="E359" s="145">
        <v>1681.4</v>
      </c>
      <c r="F359" s="66">
        <v>13170.5</v>
      </c>
      <c r="G359" s="66">
        <v>37899.599999999999</v>
      </c>
      <c r="H359" s="66">
        <v>136</v>
      </c>
      <c r="I359" s="4">
        <f t="shared" si="125"/>
        <v>39581</v>
      </c>
      <c r="J359" s="35">
        <f t="shared" si="126"/>
        <v>13306.5</v>
      </c>
      <c r="K359" s="31">
        <f t="shared" si="123"/>
        <v>197.4561304625559</v>
      </c>
      <c r="L359" s="4">
        <f t="shared" si="129"/>
        <v>-104.20000000000437</v>
      </c>
      <c r="M359">
        <v>8150.4</v>
      </c>
      <c r="N359">
        <f>+M359-M358</f>
        <v>129.19999999999982</v>
      </c>
    </row>
    <row r="360" spans="1:26" x14ac:dyDescent="0.25">
      <c r="A360" s="20">
        <f t="shared" si="127"/>
        <v>41158</v>
      </c>
      <c r="B360" s="71">
        <f>AVERAGE(I203,I255,I307)</f>
        <v>13787.733333333332</v>
      </c>
      <c r="C360" s="71">
        <f>AVERAGE(G203,G255,G307)</f>
        <v>319.59999999999997</v>
      </c>
      <c r="D360" s="15" t="str">
        <f t="shared" si="128"/>
        <v>US Total</v>
      </c>
      <c r="E360" s="145">
        <v>9783</v>
      </c>
      <c r="F360" s="66">
        <v>13170.5</v>
      </c>
      <c r="G360" s="66">
        <v>249.4</v>
      </c>
      <c r="H360" s="66">
        <v>136</v>
      </c>
      <c r="I360" s="4">
        <f t="shared" si="125"/>
        <v>10032.4</v>
      </c>
      <c r="J360" s="35">
        <f t="shared" si="126"/>
        <v>13306.5</v>
      </c>
      <c r="K360" s="31">
        <f t="shared" si="123"/>
        <v>-24.605268102055391</v>
      </c>
    </row>
    <row r="361" spans="1:26" x14ac:dyDescent="0.25">
      <c r="A361" s="20">
        <f t="shared" si="127"/>
        <v>41165</v>
      </c>
      <c r="B361" s="71">
        <f t="shared" ref="B361:B424" si="130">AVERAGE(I204,I256,I308)</f>
        <v>14680.1</v>
      </c>
      <c r="C361" s="71">
        <f t="shared" ref="C361:C420" si="131">AVERAGE(G204,G256,G308)</f>
        <v>1235.1000000000001</v>
      </c>
      <c r="D361" s="15" t="str">
        <f t="shared" si="128"/>
        <v>US Total</v>
      </c>
      <c r="E361" s="145">
        <v>9112.9</v>
      </c>
      <c r="F361" s="66">
        <v>13783.6</v>
      </c>
      <c r="G361" s="66">
        <v>989.4</v>
      </c>
      <c r="H361" s="66">
        <v>1248.3</v>
      </c>
      <c r="I361" s="67">
        <f t="shared" si="125"/>
        <v>10102.299999999999</v>
      </c>
      <c r="J361" s="35">
        <f t="shared" si="126"/>
        <v>15031.9</v>
      </c>
      <c r="K361" s="31">
        <f t="shared" si="123"/>
        <v>-32.794257545619651</v>
      </c>
      <c r="L361" s="4">
        <f t="shared" si="129"/>
        <v>69.899999999999636</v>
      </c>
    </row>
    <row r="362" spans="1:26" x14ac:dyDescent="0.25">
      <c r="A362" s="20">
        <f t="shared" si="127"/>
        <v>41172</v>
      </c>
      <c r="B362" s="71">
        <f t="shared" si="130"/>
        <v>15291.133333333333</v>
      </c>
      <c r="C362" s="71">
        <f t="shared" si="131"/>
        <v>2120.9333333333334</v>
      </c>
      <c r="D362" s="15" t="str">
        <f t="shared" si="128"/>
        <v>US Total</v>
      </c>
      <c r="E362" s="145">
        <v>8433.7000000000007</v>
      </c>
      <c r="F362" s="66">
        <v>13748.4</v>
      </c>
      <c r="G362" s="66">
        <v>1668.7</v>
      </c>
      <c r="H362" s="66">
        <v>2071.4</v>
      </c>
      <c r="I362" s="67">
        <f t="shared" si="125"/>
        <v>10102.400000000001</v>
      </c>
      <c r="J362" s="35">
        <f t="shared" si="126"/>
        <v>15819.8</v>
      </c>
      <c r="K362" s="31">
        <f t="shared" si="123"/>
        <v>-36.140785597795158</v>
      </c>
      <c r="L362" s="5">
        <f t="shared" si="129"/>
        <v>0.10000000000218279</v>
      </c>
    </row>
    <row r="363" spans="1:26" x14ac:dyDescent="0.25">
      <c r="A363" s="20">
        <f t="shared" si="127"/>
        <v>41179</v>
      </c>
      <c r="B363" s="71">
        <f t="shared" si="130"/>
        <v>16270.233333333332</v>
      </c>
      <c r="C363" s="71">
        <f t="shared" si="131"/>
        <v>3030.9666666666667</v>
      </c>
      <c r="D363" t="s">
        <v>13</v>
      </c>
      <c r="E363" s="145">
        <v>8330.5</v>
      </c>
      <c r="F363" s="66">
        <v>14282.1</v>
      </c>
      <c r="G363" s="66">
        <v>2098.6999999999998</v>
      </c>
      <c r="H363" s="66">
        <v>2827.1</v>
      </c>
      <c r="I363" s="4">
        <f t="shared" si="125"/>
        <v>10429.200000000001</v>
      </c>
      <c r="J363" s="35">
        <f t="shared" si="126"/>
        <v>17109.2</v>
      </c>
      <c r="K363" s="31">
        <f t="shared" si="123"/>
        <v>-39.043321721646826</v>
      </c>
      <c r="L363" s="5">
        <f t="shared" si="129"/>
        <v>326.79999999999927</v>
      </c>
    </row>
    <row r="364" spans="1:26" x14ac:dyDescent="0.25">
      <c r="A364" s="20">
        <f t="shared" si="127"/>
        <v>41186</v>
      </c>
      <c r="B364" s="71">
        <f t="shared" si="130"/>
        <v>17076.366666666669</v>
      </c>
      <c r="C364" s="71">
        <f t="shared" si="131"/>
        <v>3990.4333333333338</v>
      </c>
      <c r="D364" t="s">
        <v>13</v>
      </c>
      <c r="E364" s="145">
        <v>7813.9</v>
      </c>
      <c r="F364" s="66">
        <v>14630</v>
      </c>
      <c r="G364" s="66">
        <v>2619.6</v>
      </c>
      <c r="H364" s="66">
        <v>3738.1</v>
      </c>
      <c r="I364" s="4">
        <f t="shared" si="125"/>
        <v>10433.5</v>
      </c>
      <c r="J364" s="35">
        <f t="shared" si="126"/>
        <v>18368.099999999999</v>
      </c>
      <c r="K364" s="31">
        <f t="shared" si="123"/>
        <v>-43.197717782459797</v>
      </c>
      <c r="L364" s="5">
        <f t="shared" si="129"/>
        <v>4.2999999999992724</v>
      </c>
    </row>
    <row r="365" spans="1:26" x14ac:dyDescent="0.25">
      <c r="A365" s="20">
        <f t="shared" si="127"/>
        <v>41193</v>
      </c>
      <c r="B365" s="71">
        <f t="shared" si="130"/>
        <v>18008.666666666668</v>
      </c>
      <c r="C365" s="71">
        <f t="shared" si="131"/>
        <v>4786.8</v>
      </c>
      <c r="D365" t="s">
        <v>13</v>
      </c>
      <c r="E365" s="145">
        <v>7563</v>
      </c>
      <c r="F365" s="66">
        <v>15829.2</v>
      </c>
      <c r="G365" s="66">
        <v>3037.3</v>
      </c>
      <c r="H365" s="66">
        <v>4301.6000000000004</v>
      </c>
      <c r="I365" s="4">
        <f t="shared" si="125"/>
        <v>10600.3</v>
      </c>
      <c r="J365" s="35">
        <f t="shared" si="126"/>
        <v>20130.800000000003</v>
      </c>
      <c r="K365" s="31">
        <f t="shared" si="123"/>
        <v>-47.342877580622734</v>
      </c>
      <c r="L365" s="5">
        <f t="shared" si="129"/>
        <v>166.79999999999927</v>
      </c>
    </row>
    <row r="366" spans="1:26" x14ac:dyDescent="0.25">
      <c r="A366" s="20">
        <f t="shared" si="127"/>
        <v>41200</v>
      </c>
      <c r="B366" s="71">
        <f t="shared" si="130"/>
        <v>18745.166666666668</v>
      </c>
      <c r="C366" s="71">
        <f t="shared" si="131"/>
        <v>5524.9333333333343</v>
      </c>
      <c r="D366" t="s">
        <v>13</v>
      </c>
      <c r="E366" s="145">
        <v>7415.2</v>
      </c>
      <c r="F366" s="66">
        <v>15488.3</v>
      </c>
      <c r="G366" s="66">
        <v>3327.3</v>
      </c>
      <c r="H366" s="66">
        <v>4978.7</v>
      </c>
      <c r="I366" s="4">
        <f t="shared" si="125"/>
        <v>10742.5</v>
      </c>
      <c r="J366" s="35">
        <f t="shared" si="126"/>
        <v>20467</v>
      </c>
      <c r="K366" s="31">
        <f t="shared" si="123"/>
        <v>-47.513069819709777</v>
      </c>
      <c r="L366" s="5">
        <f t="shared" si="129"/>
        <v>142.20000000000073</v>
      </c>
    </row>
    <row r="367" spans="1:26" x14ac:dyDescent="0.25">
      <c r="A367" s="20">
        <f t="shared" si="127"/>
        <v>41207</v>
      </c>
      <c r="B367" s="71">
        <f t="shared" si="130"/>
        <v>19149.866666666665</v>
      </c>
      <c r="C367" s="71">
        <f t="shared" si="131"/>
        <v>6166.833333333333</v>
      </c>
      <c r="D367" t="s">
        <v>13</v>
      </c>
      <c r="E367" s="145">
        <v>7194.7</v>
      </c>
      <c r="F367" s="66">
        <v>15364</v>
      </c>
      <c r="G367" s="66">
        <v>3715.8</v>
      </c>
      <c r="H367" s="66">
        <v>5725.6</v>
      </c>
      <c r="I367" s="4">
        <f t="shared" si="125"/>
        <v>10910.5</v>
      </c>
      <c r="J367" s="35">
        <f t="shared" si="126"/>
        <v>21089.599999999999</v>
      </c>
      <c r="K367" s="31">
        <f t="shared" ref="K367:K430" si="132">+(I367/J367-1)*100</f>
        <v>-48.265969956755924</v>
      </c>
      <c r="L367" s="5">
        <f t="shared" si="129"/>
        <v>168</v>
      </c>
    </row>
    <row r="368" spans="1:26" x14ac:dyDescent="0.25">
      <c r="A368" s="20">
        <f t="shared" si="127"/>
        <v>41214</v>
      </c>
      <c r="B368" s="71">
        <f t="shared" si="130"/>
        <v>19706.399999999998</v>
      </c>
      <c r="C368" s="71">
        <f t="shared" si="131"/>
        <v>6939.1000000000013</v>
      </c>
      <c r="D368" t="s">
        <v>13</v>
      </c>
      <c r="E368" s="145">
        <v>6956.8</v>
      </c>
      <c r="F368" s="66">
        <v>14991.4</v>
      </c>
      <c r="G368" s="66">
        <v>4111.3</v>
      </c>
      <c r="H368" s="66">
        <v>6350</v>
      </c>
      <c r="I368" s="4">
        <f t="shared" ref="I368:I431" si="133">+E368+G368</f>
        <v>11068.1</v>
      </c>
      <c r="J368" s="35">
        <f t="shared" ref="J368:J431" si="134">+F368+H368</f>
        <v>21341.4</v>
      </c>
      <c r="K368" s="31">
        <f t="shared" si="132"/>
        <v>-48.137891609735071</v>
      </c>
      <c r="L368" s="5">
        <f t="shared" si="129"/>
        <v>157.60000000000036</v>
      </c>
    </row>
    <row r="369" spans="1:18" x14ac:dyDescent="0.25">
      <c r="A369" s="20">
        <f t="shared" si="127"/>
        <v>41221</v>
      </c>
      <c r="B369" s="71">
        <f t="shared" si="130"/>
        <v>20144.366666666665</v>
      </c>
      <c r="C369" s="71">
        <f t="shared" si="131"/>
        <v>7650.2666666666664</v>
      </c>
      <c r="D369" t="s">
        <v>13</v>
      </c>
      <c r="E369" s="145">
        <v>6828.6</v>
      </c>
      <c r="F369" s="66">
        <v>14305.3</v>
      </c>
      <c r="G369" s="66">
        <v>4343.3</v>
      </c>
      <c r="H369" s="66">
        <v>7240.1</v>
      </c>
      <c r="I369" s="4">
        <f t="shared" si="133"/>
        <v>11171.900000000001</v>
      </c>
      <c r="J369" s="35">
        <f t="shared" si="134"/>
        <v>21545.4</v>
      </c>
      <c r="K369" s="31">
        <f t="shared" si="132"/>
        <v>-48.147168305067432</v>
      </c>
      <c r="L369" s="5">
        <f t="shared" si="129"/>
        <v>103.80000000000109</v>
      </c>
    </row>
    <row r="370" spans="1:18" x14ac:dyDescent="0.25">
      <c r="A370" s="20">
        <f t="shared" si="127"/>
        <v>41228</v>
      </c>
      <c r="B370" s="71">
        <f t="shared" si="130"/>
        <v>20509.600000000002</v>
      </c>
      <c r="C370" s="71">
        <f t="shared" si="131"/>
        <v>8435.9666666666672</v>
      </c>
      <c r="D370" t="s">
        <v>13</v>
      </c>
      <c r="E370" s="145">
        <v>7203.8</v>
      </c>
      <c r="F370" s="66">
        <v>13643.3</v>
      </c>
      <c r="G370" s="66">
        <v>4737.8999999999996</v>
      </c>
      <c r="H370" s="66">
        <v>8214.1</v>
      </c>
      <c r="I370" s="4">
        <f t="shared" si="133"/>
        <v>11941.7</v>
      </c>
      <c r="J370" s="35">
        <f t="shared" si="134"/>
        <v>21857.4</v>
      </c>
      <c r="K370" s="31">
        <f t="shared" si="132"/>
        <v>-45.365414001665336</v>
      </c>
      <c r="L370" s="5">
        <f t="shared" si="129"/>
        <v>769.79999999999927</v>
      </c>
    </row>
    <row r="371" spans="1:18" x14ac:dyDescent="0.25">
      <c r="A371" s="20">
        <f t="shared" si="127"/>
        <v>41235</v>
      </c>
      <c r="B371" s="71">
        <f t="shared" si="130"/>
        <v>21295.8</v>
      </c>
      <c r="C371" s="71">
        <f t="shared" si="131"/>
        <v>9230.9</v>
      </c>
      <c r="D371" t="s">
        <v>13</v>
      </c>
      <c r="E371" s="145">
        <v>7071.1</v>
      </c>
      <c r="F371" s="66">
        <v>13113.6</v>
      </c>
      <c r="G371" s="66">
        <v>5106.7</v>
      </c>
      <c r="H371" s="66">
        <v>9024.4</v>
      </c>
      <c r="I371" s="4">
        <f t="shared" si="133"/>
        <v>12177.8</v>
      </c>
      <c r="J371" s="35">
        <f t="shared" si="134"/>
        <v>22138</v>
      </c>
      <c r="K371" s="31">
        <f t="shared" si="132"/>
        <v>-44.991417472219716</v>
      </c>
      <c r="L371" s="5">
        <f t="shared" si="129"/>
        <v>236.09999999999854</v>
      </c>
    </row>
    <row r="372" spans="1:18" x14ac:dyDescent="0.25">
      <c r="A372" s="20">
        <f t="shared" si="127"/>
        <v>41242</v>
      </c>
      <c r="B372" s="71">
        <f t="shared" si="130"/>
        <v>21861.7</v>
      </c>
      <c r="C372" s="71">
        <f t="shared" si="131"/>
        <v>10055.666666666666</v>
      </c>
      <c r="D372" t="s">
        <v>13</v>
      </c>
      <c r="E372" s="145">
        <v>6830</v>
      </c>
      <c r="F372" s="66">
        <v>12772.5</v>
      </c>
      <c r="G372" s="66">
        <v>5399.4</v>
      </c>
      <c r="H372" s="66">
        <v>10061</v>
      </c>
      <c r="I372" s="4">
        <f t="shared" si="133"/>
        <v>12229.4</v>
      </c>
      <c r="J372" s="35">
        <f t="shared" si="134"/>
        <v>22833.5</v>
      </c>
      <c r="K372" s="31">
        <f t="shared" si="132"/>
        <v>-46.440974883395015</v>
      </c>
      <c r="L372" s="5">
        <f t="shared" si="129"/>
        <v>51.600000000000364</v>
      </c>
    </row>
    <row r="373" spans="1:18" x14ac:dyDescent="0.25">
      <c r="A373" s="20">
        <f t="shared" si="127"/>
        <v>41249</v>
      </c>
      <c r="B373" s="71">
        <f t="shared" si="130"/>
        <v>22599.8</v>
      </c>
      <c r="C373" s="71">
        <f t="shared" si="131"/>
        <v>10868.433333333334</v>
      </c>
      <c r="D373" t="s">
        <v>13</v>
      </c>
      <c r="E373" s="145">
        <v>6830.4</v>
      </c>
      <c r="F373" s="66">
        <v>12390.3</v>
      </c>
      <c r="G373" s="66">
        <v>5657.9</v>
      </c>
      <c r="H373" s="66">
        <v>10947.9</v>
      </c>
      <c r="I373" s="4">
        <f t="shared" si="133"/>
        <v>12488.3</v>
      </c>
      <c r="J373" s="35">
        <f t="shared" si="134"/>
        <v>23338.199999999997</v>
      </c>
      <c r="K373" s="31">
        <f t="shared" si="132"/>
        <v>-46.489874968935055</v>
      </c>
      <c r="L373" s="5">
        <f t="shared" si="129"/>
        <v>258.89999999999964</v>
      </c>
    </row>
    <row r="374" spans="1:18" x14ac:dyDescent="0.25">
      <c r="A374" s="20">
        <f t="shared" si="127"/>
        <v>41256</v>
      </c>
      <c r="B374" s="71">
        <f t="shared" si="130"/>
        <v>23445.666666666668</v>
      </c>
      <c r="C374" s="71">
        <f t="shared" si="131"/>
        <v>11691.366666666667</v>
      </c>
      <c r="D374" t="s">
        <v>13</v>
      </c>
      <c r="E374" s="145">
        <v>6511.4</v>
      </c>
      <c r="F374" s="66">
        <v>11804.4</v>
      </c>
      <c r="G374" s="66">
        <v>6091.3</v>
      </c>
      <c r="H374" s="66">
        <v>12248.7</v>
      </c>
      <c r="I374" s="4">
        <f t="shared" si="133"/>
        <v>12602.7</v>
      </c>
      <c r="J374" s="35">
        <f t="shared" si="134"/>
        <v>24053.1</v>
      </c>
      <c r="K374" s="31">
        <f t="shared" si="132"/>
        <v>-47.604674657320665</v>
      </c>
      <c r="L374" s="5">
        <f t="shared" si="129"/>
        <v>114.40000000000146</v>
      </c>
    </row>
    <row r="375" spans="1:18" x14ac:dyDescent="0.25">
      <c r="A375" s="20">
        <f t="shared" si="127"/>
        <v>41263</v>
      </c>
      <c r="B375" s="71">
        <f t="shared" si="130"/>
        <v>24516.599999999995</v>
      </c>
      <c r="C375" s="71">
        <f t="shared" si="131"/>
        <v>12539.466666666667</v>
      </c>
      <c r="D375" t="s">
        <v>13</v>
      </c>
      <c r="E375">
        <v>6329.1</v>
      </c>
      <c r="F375" s="66">
        <v>11176.9</v>
      </c>
      <c r="G375" s="66">
        <v>6377.9</v>
      </c>
      <c r="H375" s="66">
        <v>13195</v>
      </c>
      <c r="I375" s="4">
        <f t="shared" si="133"/>
        <v>12707</v>
      </c>
      <c r="J375" s="35">
        <f t="shared" si="134"/>
        <v>24371.9</v>
      </c>
      <c r="K375" s="31">
        <f t="shared" si="132"/>
        <v>-47.86208707568963</v>
      </c>
      <c r="L375" s="5">
        <f t="shared" si="129"/>
        <v>104.29999999999927</v>
      </c>
      <c r="M375" s="117" t="s">
        <v>335</v>
      </c>
      <c r="N375" s="117" t="s">
        <v>336</v>
      </c>
      <c r="O375" s="117" t="s">
        <v>337</v>
      </c>
      <c r="Q375" s="190" t="s">
        <v>332</v>
      </c>
    </row>
    <row r="376" spans="1:18" x14ac:dyDescent="0.25">
      <c r="A376" s="20">
        <f t="shared" si="127"/>
        <v>41270</v>
      </c>
      <c r="B376" s="71">
        <f t="shared" si="130"/>
        <v>25132.566666666666</v>
      </c>
      <c r="C376" s="71">
        <f t="shared" si="131"/>
        <v>13522.833333333334</v>
      </c>
      <c r="D376" t="s">
        <v>13</v>
      </c>
      <c r="E376" s="145">
        <v>6173</v>
      </c>
      <c r="F376" s="66">
        <v>10900.2</v>
      </c>
      <c r="G376" s="66">
        <v>6583.2</v>
      </c>
      <c r="H376" s="66">
        <v>13771.2</v>
      </c>
      <c r="I376" s="4">
        <f t="shared" si="133"/>
        <v>12756.2</v>
      </c>
      <c r="J376" s="35">
        <f t="shared" si="134"/>
        <v>24671.4</v>
      </c>
      <c r="K376" s="21">
        <f>+I376/J376-1</f>
        <v>-0.48295597331322904</v>
      </c>
      <c r="L376" s="5">
        <f t="shared" si="129"/>
        <v>49.200000000000728</v>
      </c>
      <c r="M376" s="1">
        <f>+I376/B376-1</f>
        <v>-0.49244340344599369</v>
      </c>
      <c r="N376">
        <f>+G376/C376</f>
        <v>0.486821055745221</v>
      </c>
      <c r="Q376">
        <v>29210</v>
      </c>
      <c r="R376" s="117" t="s">
        <v>333</v>
      </c>
    </row>
    <row r="377" spans="1:18" x14ac:dyDescent="0.25">
      <c r="A377" s="20">
        <f t="shared" si="127"/>
        <v>41277</v>
      </c>
      <c r="B377" s="71">
        <f t="shared" si="130"/>
        <v>25457.966666666664</v>
      </c>
      <c r="C377" s="71">
        <f t="shared" si="131"/>
        <v>14166.366666666669</v>
      </c>
      <c r="D377" t="s">
        <v>13</v>
      </c>
      <c r="E377" s="145">
        <v>6078.8</v>
      </c>
      <c r="F377" s="66">
        <v>10473.5</v>
      </c>
      <c r="G377" s="66">
        <v>6690</v>
      </c>
      <c r="H377" s="66">
        <v>14519.4</v>
      </c>
      <c r="I377" s="4">
        <f t="shared" si="133"/>
        <v>12768.8</v>
      </c>
      <c r="J377" s="35">
        <f t="shared" si="134"/>
        <v>24992.9</v>
      </c>
      <c r="K377" s="31">
        <f t="shared" si="132"/>
        <v>-48.91029052250839</v>
      </c>
      <c r="L377" s="5">
        <f t="shared" si="129"/>
        <v>12.599999999998545</v>
      </c>
      <c r="M377" s="1">
        <f t="shared" ref="M377:M384" si="135">+I377/B377</f>
        <v>0.50156401597928091</v>
      </c>
      <c r="N377" s="1">
        <f t="shared" ref="N377:N384" si="136">+G377/C377-1</f>
        <v>-0.52775470539376135</v>
      </c>
      <c r="O377" s="1">
        <f t="shared" ref="O377:O384" si="137">+G377/H377-1</f>
        <v>-0.5392371585602711</v>
      </c>
      <c r="Q377">
        <v>24130</v>
      </c>
      <c r="R377" s="117" t="s">
        <v>334</v>
      </c>
    </row>
    <row r="378" spans="1:18" x14ac:dyDescent="0.25">
      <c r="A378" s="20">
        <f t="shared" si="127"/>
        <v>41284</v>
      </c>
      <c r="B378" s="71">
        <f t="shared" si="130"/>
        <v>25820.533333333336</v>
      </c>
      <c r="C378" s="71">
        <f t="shared" si="131"/>
        <v>14807.033333333333</v>
      </c>
      <c r="D378" t="s">
        <v>13</v>
      </c>
      <c r="E378" s="145">
        <v>6225.2</v>
      </c>
      <c r="F378">
        <v>10479.6</v>
      </c>
      <c r="G378" s="66">
        <v>6936.9</v>
      </c>
      <c r="H378" s="66">
        <v>15273.1</v>
      </c>
      <c r="I378" s="4">
        <f t="shared" si="133"/>
        <v>13162.099999999999</v>
      </c>
      <c r="J378" s="35">
        <f t="shared" si="134"/>
        <v>25752.7</v>
      </c>
      <c r="K378" s="31">
        <f t="shared" si="132"/>
        <v>-48.890407607745992</v>
      </c>
      <c r="L378" s="5">
        <f t="shared" si="129"/>
        <v>393.29999999999927</v>
      </c>
      <c r="M378" s="1">
        <f t="shared" si="135"/>
        <v>0.50975321965980547</v>
      </c>
      <c r="N378" s="1">
        <f t="shared" si="136"/>
        <v>-0.53151317729637493</v>
      </c>
      <c r="O378" s="1">
        <f t="shared" si="137"/>
        <v>-0.54580929870163886</v>
      </c>
    </row>
    <row r="379" spans="1:18" x14ac:dyDescent="0.25">
      <c r="A379" s="20">
        <f t="shared" si="127"/>
        <v>41291</v>
      </c>
      <c r="B379" s="71">
        <f t="shared" si="130"/>
        <v>26912.199999999997</v>
      </c>
      <c r="C379" s="71">
        <f t="shared" si="131"/>
        <v>15532.599999999999</v>
      </c>
      <c r="D379" t="s">
        <v>13</v>
      </c>
      <c r="E379" s="145">
        <v>5994.2</v>
      </c>
      <c r="F379" s="66">
        <v>10497.1</v>
      </c>
      <c r="G379" s="66">
        <v>7306.4</v>
      </c>
      <c r="H379" s="66">
        <v>16213.8</v>
      </c>
      <c r="I379" s="4">
        <f t="shared" si="133"/>
        <v>13300.599999999999</v>
      </c>
      <c r="J379" s="35">
        <f t="shared" si="134"/>
        <v>26710.9</v>
      </c>
      <c r="K379" s="31">
        <f t="shared" si="132"/>
        <v>-50.205346880861377</v>
      </c>
      <c r="L379" s="5">
        <f t="shared" si="129"/>
        <v>138.5</v>
      </c>
      <c r="M379" s="1">
        <f t="shared" si="135"/>
        <v>0.4942219513826443</v>
      </c>
      <c r="N379" s="1">
        <f t="shared" si="136"/>
        <v>-0.52960869397267674</v>
      </c>
      <c r="O379" s="1">
        <f t="shared" si="137"/>
        <v>-0.54937152302359715</v>
      </c>
    </row>
    <row r="380" spans="1:18" x14ac:dyDescent="0.25">
      <c r="A380" s="20">
        <f t="shared" si="127"/>
        <v>41298</v>
      </c>
      <c r="B380" s="71">
        <f t="shared" si="130"/>
        <v>27670.600000000002</v>
      </c>
      <c r="C380" s="71">
        <f t="shared" si="131"/>
        <v>16280.133333333331</v>
      </c>
      <c r="D380" t="s">
        <v>13</v>
      </c>
      <c r="E380" s="145">
        <v>5571.8</v>
      </c>
      <c r="F380" s="66">
        <v>10739.4</v>
      </c>
      <c r="G380" s="66">
        <v>7915.6</v>
      </c>
      <c r="H380" s="66">
        <v>16883.400000000001</v>
      </c>
      <c r="I380" s="4">
        <f t="shared" si="133"/>
        <v>13487.400000000001</v>
      </c>
      <c r="J380" s="35">
        <f t="shared" si="134"/>
        <v>27622.800000000003</v>
      </c>
      <c r="K380" s="31">
        <f t="shared" si="132"/>
        <v>-51.172944089665066</v>
      </c>
      <c r="L380" s="5">
        <f t="shared" si="129"/>
        <v>186.80000000000291</v>
      </c>
      <c r="M380" s="1">
        <f t="shared" si="135"/>
        <v>0.4874270886789589</v>
      </c>
      <c r="N380" s="1">
        <f t="shared" si="136"/>
        <v>-0.51378776586596331</v>
      </c>
      <c r="O380" s="1">
        <f t="shared" si="137"/>
        <v>-0.53116078514991061</v>
      </c>
    </row>
    <row r="381" spans="1:18" x14ac:dyDescent="0.25">
      <c r="A381" s="20">
        <f t="shared" si="127"/>
        <v>41305</v>
      </c>
      <c r="B381" s="71">
        <f t="shared" si="130"/>
        <v>28671.200000000001</v>
      </c>
      <c r="C381" s="71">
        <f t="shared" si="131"/>
        <v>17164.933333333331</v>
      </c>
      <c r="D381" t="s">
        <v>13</v>
      </c>
      <c r="E381" s="145">
        <v>5532.1</v>
      </c>
      <c r="F381" s="145">
        <v>10344.6</v>
      </c>
      <c r="G381" s="145">
        <v>8124.3</v>
      </c>
      <c r="H381" s="145">
        <v>17972.400000000001</v>
      </c>
      <c r="I381" s="4">
        <f t="shared" si="133"/>
        <v>13656.400000000001</v>
      </c>
      <c r="J381" s="35">
        <f t="shared" si="134"/>
        <v>28317</v>
      </c>
      <c r="K381" s="31">
        <f t="shared" si="132"/>
        <v>-51.773139810008118</v>
      </c>
      <c r="L381" s="5">
        <f t="shared" si="129"/>
        <v>169</v>
      </c>
      <c r="M381" s="1">
        <f t="shared" si="135"/>
        <v>0.47631072295543964</v>
      </c>
      <c r="N381" s="1">
        <f t="shared" si="136"/>
        <v>-0.52669201550447808</v>
      </c>
      <c r="O381" s="1">
        <f t="shared" si="137"/>
        <v>-0.54795686719636771</v>
      </c>
    </row>
    <row r="382" spans="1:18" x14ac:dyDescent="0.25">
      <c r="A382" s="20">
        <f t="shared" si="127"/>
        <v>41312</v>
      </c>
      <c r="B382" s="71">
        <f t="shared" si="130"/>
        <v>29519.466666666664</v>
      </c>
      <c r="C382" s="71">
        <f t="shared" si="131"/>
        <v>17952.266666666666</v>
      </c>
      <c r="D382" t="s">
        <v>13</v>
      </c>
      <c r="E382" s="145">
        <v>5365.2</v>
      </c>
      <c r="F382" s="145">
        <v>10664.4</v>
      </c>
      <c r="G382" s="145">
        <v>8516.6</v>
      </c>
      <c r="H382" s="145">
        <v>18658.400000000001</v>
      </c>
      <c r="I382" s="4">
        <f t="shared" si="133"/>
        <v>13881.8</v>
      </c>
      <c r="J382" s="35">
        <f t="shared" si="134"/>
        <v>29322.800000000003</v>
      </c>
      <c r="K382" s="31">
        <f t="shared" si="132"/>
        <v>-52.658681981256919</v>
      </c>
      <c r="L382" s="5">
        <f t="shared" si="129"/>
        <v>225.39999999999782</v>
      </c>
      <c r="M382" s="1">
        <f t="shared" si="135"/>
        <v>0.4702591736074726</v>
      </c>
      <c r="N382" s="1">
        <f t="shared" si="136"/>
        <v>-0.52559751043507963</v>
      </c>
      <c r="O382" s="1">
        <f t="shared" si="137"/>
        <v>-0.5435514299189641</v>
      </c>
    </row>
    <row r="383" spans="1:18" x14ac:dyDescent="0.25">
      <c r="A383" s="20">
        <f t="shared" si="127"/>
        <v>41319</v>
      </c>
      <c r="B383" s="71">
        <f t="shared" si="130"/>
        <v>30523.066666666669</v>
      </c>
      <c r="C383" s="71">
        <f t="shared" si="131"/>
        <v>18623.633333333335</v>
      </c>
      <c r="D383" t="s">
        <v>13</v>
      </c>
      <c r="E383" s="145">
        <v>5470.2</v>
      </c>
      <c r="F383" s="145">
        <v>10728.9</v>
      </c>
      <c r="G383" s="145">
        <v>8773.4</v>
      </c>
      <c r="H383" s="145">
        <v>19434.7</v>
      </c>
      <c r="I383" s="4">
        <f t="shared" si="133"/>
        <v>14243.599999999999</v>
      </c>
      <c r="J383" s="35">
        <f t="shared" si="134"/>
        <v>30163.599999999999</v>
      </c>
      <c r="K383" s="31">
        <f t="shared" si="132"/>
        <v>-52.778846026336382</v>
      </c>
      <c r="L383" s="5">
        <f>+I383-I382</f>
        <v>361.79999999999927</v>
      </c>
      <c r="M383" s="1">
        <f t="shared" si="135"/>
        <v>0.46665035841745905</v>
      </c>
      <c r="N383" s="1">
        <f t="shared" si="136"/>
        <v>-0.52891039879436352</v>
      </c>
      <c r="O383" s="1">
        <f t="shared" si="137"/>
        <v>-0.54857034067930044</v>
      </c>
    </row>
    <row r="384" spans="1:18" x14ac:dyDescent="0.25">
      <c r="A384" s="20">
        <f t="shared" ref="A384:A447" si="138">+A383+7</f>
        <v>41326</v>
      </c>
      <c r="B384" s="71">
        <f t="shared" si="130"/>
        <v>31429.333333333332</v>
      </c>
      <c r="C384" s="71">
        <f t="shared" si="131"/>
        <v>19641.266666666666</v>
      </c>
      <c r="D384" t="s">
        <v>13</v>
      </c>
      <c r="E384" s="145">
        <v>5476.5</v>
      </c>
      <c r="F384" s="145">
        <v>10600.7</v>
      </c>
      <c r="G384" s="145">
        <v>9069.7000000000007</v>
      </c>
      <c r="H384" s="145">
        <v>20252.8</v>
      </c>
      <c r="I384" s="4">
        <f t="shared" si="133"/>
        <v>14546.2</v>
      </c>
      <c r="J384" s="35">
        <f t="shared" si="134"/>
        <v>30853.5</v>
      </c>
      <c r="K384" s="31">
        <f t="shared" si="132"/>
        <v>-52.853971186413204</v>
      </c>
      <c r="L384" s="5">
        <f t="shared" ref="L384:L402" si="139">+I384-I383</f>
        <v>302.60000000000218</v>
      </c>
      <c r="M384" s="1">
        <f t="shared" si="135"/>
        <v>0.46282241642626848</v>
      </c>
      <c r="N384" s="1">
        <f t="shared" si="136"/>
        <v>-0.5382324290015239</v>
      </c>
      <c r="O384" s="1">
        <f t="shared" si="137"/>
        <v>-0.55217550165902973</v>
      </c>
    </row>
    <row r="385" spans="1:15" x14ac:dyDescent="0.25">
      <c r="A385" s="20">
        <f t="shared" si="138"/>
        <v>41333</v>
      </c>
      <c r="B385" s="71">
        <f t="shared" si="130"/>
        <v>32273.3</v>
      </c>
      <c r="C385" s="71">
        <f t="shared" si="131"/>
        <v>20532.466666666664</v>
      </c>
      <c r="D385" t="s">
        <v>13</v>
      </c>
      <c r="E385" s="145">
        <v>5059.3999999999996</v>
      </c>
      <c r="F385" s="145">
        <v>10277.200000000001</v>
      </c>
      <c r="G385" s="145">
        <v>9437</v>
      </c>
      <c r="H385" s="145">
        <v>21022</v>
      </c>
      <c r="I385" s="4">
        <f t="shared" si="133"/>
        <v>14496.4</v>
      </c>
      <c r="J385" s="35">
        <f t="shared" si="134"/>
        <v>31299.200000000001</v>
      </c>
      <c r="K385" s="31">
        <f t="shared" si="132"/>
        <v>-53.684439218893779</v>
      </c>
      <c r="L385" s="5">
        <f t="shared" si="139"/>
        <v>-49.800000000001091</v>
      </c>
    </row>
    <row r="386" spans="1:15" x14ac:dyDescent="0.25">
      <c r="A386" s="20">
        <f t="shared" si="138"/>
        <v>41340</v>
      </c>
      <c r="B386" s="71">
        <f t="shared" si="130"/>
        <v>32693.766666666666</v>
      </c>
      <c r="C386" s="71">
        <f t="shared" si="131"/>
        <v>21512.100000000002</v>
      </c>
      <c r="D386" t="s">
        <v>13</v>
      </c>
      <c r="E386" s="145">
        <v>4933.5</v>
      </c>
      <c r="F386" s="145">
        <v>10078</v>
      </c>
      <c r="G386" s="145">
        <v>9845.2000000000007</v>
      </c>
      <c r="H386" s="145">
        <v>22057.7</v>
      </c>
      <c r="I386" s="4">
        <f t="shared" si="133"/>
        <v>14778.7</v>
      </c>
      <c r="J386" s="35">
        <f t="shared" si="134"/>
        <v>32135.7</v>
      </c>
      <c r="K386" s="31">
        <f t="shared" si="132"/>
        <v>-54.011582134510839</v>
      </c>
      <c r="L386" s="5">
        <f t="shared" si="139"/>
        <v>282.30000000000109</v>
      </c>
    </row>
    <row r="387" spans="1:15" x14ac:dyDescent="0.25">
      <c r="A387" s="20">
        <f t="shared" si="138"/>
        <v>41347</v>
      </c>
      <c r="B387" s="71">
        <f t="shared" si="130"/>
        <v>33567.233333333337</v>
      </c>
      <c r="C387" s="71">
        <f t="shared" si="131"/>
        <v>22469.266666666663</v>
      </c>
      <c r="D387" t="s">
        <v>13</v>
      </c>
      <c r="E387" s="145">
        <v>4607.2</v>
      </c>
      <c r="F387" s="145">
        <v>10432</v>
      </c>
      <c r="G387" s="145">
        <v>10263.6</v>
      </c>
      <c r="H387" s="145">
        <v>22565.7</v>
      </c>
      <c r="I387" s="4">
        <f t="shared" si="133"/>
        <v>14870.8</v>
      </c>
      <c r="J387" s="35">
        <f t="shared" si="134"/>
        <v>32997.699999999997</v>
      </c>
      <c r="K387" s="31">
        <f t="shared" si="132"/>
        <v>-54.933828721395741</v>
      </c>
      <c r="L387" s="5">
        <f t="shared" si="139"/>
        <v>92.099999999998545</v>
      </c>
      <c r="O387" s="4"/>
    </row>
    <row r="388" spans="1:15" x14ac:dyDescent="0.25">
      <c r="A388" s="20">
        <f t="shared" si="138"/>
        <v>41354</v>
      </c>
      <c r="B388" s="71">
        <f t="shared" si="130"/>
        <v>34355.199999999997</v>
      </c>
      <c r="C388" s="71">
        <f t="shared" si="131"/>
        <v>23318.833333333332</v>
      </c>
      <c r="D388" t="s">
        <v>13</v>
      </c>
      <c r="E388" s="145">
        <v>4517.8999999999996</v>
      </c>
      <c r="F388" s="145">
        <v>9919</v>
      </c>
      <c r="G388" s="145">
        <v>10648.8</v>
      </c>
      <c r="H388" s="145">
        <v>23209.4</v>
      </c>
      <c r="I388" s="4">
        <f t="shared" si="133"/>
        <v>15166.699999999999</v>
      </c>
      <c r="J388" s="35">
        <f t="shared" si="134"/>
        <v>33128.400000000001</v>
      </c>
      <c r="K388" s="31">
        <f t="shared" si="132"/>
        <v>-54.218434937998829</v>
      </c>
      <c r="L388" s="5">
        <f t="shared" si="139"/>
        <v>295.89999999999964</v>
      </c>
    </row>
    <row r="389" spans="1:15" x14ac:dyDescent="0.25">
      <c r="A389" s="20">
        <f t="shared" si="138"/>
        <v>41361</v>
      </c>
      <c r="B389" s="71">
        <f t="shared" si="130"/>
        <v>35312.433333333327</v>
      </c>
      <c r="C389" s="71">
        <f t="shared" si="131"/>
        <v>24278.266666666663</v>
      </c>
      <c r="D389" t="s">
        <v>13</v>
      </c>
      <c r="E389" s="145">
        <v>4306</v>
      </c>
      <c r="F389" s="145">
        <v>10063.5</v>
      </c>
      <c r="G389" s="145">
        <v>11214.3</v>
      </c>
      <c r="H389" s="145">
        <v>24002.5</v>
      </c>
      <c r="I389" s="4">
        <f t="shared" si="133"/>
        <v>15520.3</v>
      </c>
      <c r="J389" s="35">
        <f t="shared" si="134"/>
        <v>34066</v>
      </c>
      <c r="K389" s="31">
        <f t="shared" si="132"/>
        <v>-54.440497857100922</v>
      </c>
      <c r="L389" s="5">
        <f t="shared" si="139"/>
        <v>353.60000000000036</v>
      </c>
    </row>
    <row r="390" spans="1:15" x14ac:dyDescent="0.25">
      <c r="A390" s="20">
        <f t="shared" si="138"/>
        <v>41368</v>
      </c>
      <c r="B390" s="71">
        <f t="shared" si="130"/>
        <v>36284.1</v>
      </c>
      <c r="C390" s="71">
        <f t="shared" si="131"/>
        <v>25172.933333333334</v>
      </c>
      <c r="D390" t="s">
        <v>13</v>
      </c>
      <c r="E390" s="145">
        <v>4211.3999999999996</v>
      </c>
      <c r="F390" s="145">
        <v>10364.799999999999</v>
      </c>
      <c r="G390" s="145">
        <v>11494.1</v>
      </c>
      <c r="H390" s="145">
        <v>24660.400000000001</v>
      </c>
      <c r="I390" s="4">
        <f t="shared" si="133"/>
        <v>15705.5</v>
      </c>
      <c r="J390" s="35">
        <f t="shared" si="134"/>
        <v>35025.199999999997</v>
      </c>
      <c r="K390" s="31">
        <f t="shared" si="132"/>
        <v>-55.159428068933217</v>
      </c>
      <c r="L390" s="5">
        <f t="shared" si="139"/>
        <v>185.20000000000073</v>
      </c>
    </row>
    <row r="391" spans="1:15" x14ac:dyDescent="0.25">
      <c r="A391" s="20">
        <f t="shared" si="138"/>
        <v>41375</v>
      </c>
      <c r="B391" s="71">
        <f t="shared" si="130"/>
        <v>37221.933333333334</v>
      </c>
      <c r="C391" s="71">
        <f t="shared" si="131"/>
        <v>26129.333333333332</v>
      </c>
      <c r="D391" t="s">
        <v>13</v>
      </c>
      <c r="E391" s="145">
        <v>4310.2</v>
      </c>
      <c r="F391" s="145">
        <v>9550.7000000000007</v>
      </c>
      <c r="G391" s="145">
        <v>11795.6</v>
      </c>
      <c r="H391" s="145">
        <v>25774.9</v>
      </c>
      <c r="I391" s="4">
        <f t="shared" si="133"/>
        <v>16105.8</v>
      </c>
      <c r="J391" s="35">
        <f t="shared" si="134"/>
        <v>35325.600000000006</v>
      </c>
      <c r="K391" s="31">
        <f t="shared" si="132"/>
        <v>-54.407568448943543</v>
      </c>
      <c r="L391" s="5">
        <f t="shared" si="139"/>
        <v>400.29999999999927</v>
      </c>
    </row>
    <row r="392" spans="1:15" x14ac:dyDescent="0.25">
      <c r="A392" s="20">
        <f t="shared" si="138"/>
        <v>41382</v>
      </c>
      <c r="B392" s="71">
        <f t="shared" si="130"/>
        <v>38020.200000000004</v>
      </c>
      <c r="C392" s="71">
        <f t="shared" si="131"/>
        <v>27197.8</v>
      </c>
      <c r="D392" t="s">
        <v>13</v>
      </c>
      <c r="E392" s="145">
        <v>4302.8999999999996</v>
      </c>
      <c r="F392" s="145">
        <v>9496.1</v>
      </c>
      <c r="G392" s="145">
        <v>12117.7</v>
      </c>
      <c r="H392" s="145">
        <v>26475.1</v>
      </c>
      <c r="I392" s="4">
        <f t="shared" si="133"/>
        <v>16420.599999999999</v>
      </c>
      <c r="J392" s="35">
        <f t="shared" si="134"/>
        <v>35971.199999999997</v>
      </c>
      <c r="K392" s="31">
        <f t="shared" si="132"/>
        <v>-54.35070278444978</v>
      </c>
      <c r="L392" s="5">
        <f t="shared" si="139"/>
        <v>314.79999999999927</v>
      </c>
    </row>
    <row r="393" spans="1:15" x14ac:dyDescent="0.25">
      <c r="A393" s="20">
        <f t="shared" si="138"/>
        <v>41389</v>
      </c>
      <c r="B393" s="71">
        <f t="shared" si="130"/>
        <v>38761.26666666667</v>
      </c>
      <c r="C393" s="71">
        <f t="shared" si="131"/>
        <v>28038.399999999998</v>
      </c>
      <c r="D393" t="s">
        <v>13</v>
      </c>
      <c r="E393" s="145">
        <v>4228.3</v>
      </c>
      <c r="F393" s="145">
        <v>10163.4</v>
      </c>
      <c r="G393" s="145">
        <v>12521.5</v>
      </c>
      <c r="H393" s="145">
        <v>27139.7</v>
      </c>
      <c r="I393" s="4">
        <f t="shared" si="133"/>
        <v>16749.8</v>
      </c>
      <c r="J393" s="35">
        <f t="shared" si="134"/>
        <v>37303.1</v>
      </c>
      <c r="K393" s="31">
        <f t="shared" si="132"/>
        <v>-55.098101766341131</v>
      </c>
      <c r="L393" s="5">
        <f t="shared" si="139"/>
        <v>329.20000000000073</v>
      </c>
      <c r="M393" s="63">
        <v>3454</v>
      </c>
    </row>
    <row r="394" spans="1:15" x14ac:dyDescent="0.25">
      <c r="A394" s="20">
        <f t="shared" si="138"/>
        <v>41396</v>
      </c>
      <c r="B394" s="71">
        <f t="shared" si="130"/>
        <v>39910.466666666667</v>
      </c>
      <c r="C394" s="71">
        <f t="shared" si="131"/>
        <v>28804.799999999999</v>
      </c>
      <c r="D394" t="s">
        <v>13</v>
      </c>
      <c r="E394" s="145">
        <v>4152.1000000000004</v>
      </c>
      <c r="F394" s="145">
        <v>9690.7000000000007</v>
      </c>
      <c r="G394" s="145">
        <v>12713.6</v>
      </c>
      <c r="H394" s="145">
        <v>27836.5</v>
      </c>
      <c r="I394" s="4">
        <f t="shared" si="133"/>
        <v>16865.7</v>
      </c>
      <c r="J394" s="35">
        <f t="shared" si="134"/>
        <v>37527.199999999997</v>
      </c>
      <c r="K394" s="31">
        <f t="shared" si="132"/>
        <v>-55.057398367051093</v>
      </c>
      <c r="L394" s="5">
        <f t="shared" si="139"/>
        <v>115.90000000000146</v>
      </c>
      <c r="M394" s="63">
        <v>3623.9</v>
      </c>
    </row>
    <row r="395" spans="1:15" x14ac:dyDescent="0.25">
      <c r="A395" s="20">
        <f t="shared" si="138"/>
        <v>41403</v>
      </c>
      <c r="B395" s="71">
        <f t="shared" si="130"/>
        <v>40402.76666666667</v>
      </c>
      <c r="C395" s="71">
        <f t="shared" si="131"/>
        <v>29668.233333333334</v>
      </c>
      <c r="D395" t="s">
        <v>13</v>
      </c>
      <c r="E395" s="145">
        <v>4073.5</v>
      </c>
      <c r="F395" s="145">
        <v>9363.5</v>
      </c>
      <c r="G395" s="145">
        <v>13012.1</v>
      </c>
      <c r="H395" s="145">
        <v>28503.200000000001</v>
      </c>
      <c r="I395" s="4">
        <f t="shared" si="133"/>
        <v>17085.599999999999</v>
      </c>
      <c r="J395" s="35">
        <f t="shared" si="134"/>
        <v>37866.699999999997</v>
      </c>
      <c r="K395" s="31">
        <f t="shared" si="132"/>
        <v>-54.879617183435577</v>
      </c>
      <c r="L395" s="5">
        <f t="shared" si="139"/>
        <v>219.89999999999782</v>
      </c>
      <c r="M395">
        <v>3662.5</v>
      </c>
    </row>
    <row r="396" spans="1:15" x14ac:dyDescent="0.25">
      <c r="A396" s="20">
        <f t="shared" si="138"/>
        <v>41410</v>
      </c>
      <c r="B396" s="71">
        <f t="shared" si="130"/>
        <v>41248.400000000001</v>
      </c>
      <c r="C396" s="71">
        <f t="shared" si="131"/>
        <v>30537.333333333332</v>
      </c>
      <c r="D396" t="s">
        <v>13</v>
      </c>
      <c r="E396" s="145">
        <v>3908</v>
      </c>
      <c r="F396" s="145">
        <v>8830.2999999999993</v>
      </c>
      <c r="G396" s="145">
        <v>13282.1</v>
      </c>
      <c r="H396" s="145">
        <v>29192.5</v>
      </c>
      <c r="I396" s="4">
        <f t="shared" si="133"/>
        <v>17190.099999999999</v>
      </c>
      <c r="J396" s="35">
        <f t="shared" si="134"/>
        <v>38022.800000000003</v>
      </c>
      <c r="K396" s="31">
        <f t="shared" si="132"/>
        <v>-54.790020724407462</v>
      </c>
      <c r="L396" s="5">
        <f t="shared" si="139"/>
        <v>104.5</v>
      </c>
      <c r="M396">
        <v>4004.1</v>
      </c>
    </row>
    <row r="397" spans="1:15" x14ac:dyDescent="0.25">
      <c r="A397" s="20">
        <f t="shared" si="138"/>
        <v>41417</v>
      </c>
      <c r="B397" s="71">
        <f t="shared" si="130"/>
        <v>41886.26666666667</v>
      </c>
      <c r="C397" s="71">
        <f t="shared" si="131"/>
        <v>31498.3</v>
      </c>
      <c r="D397" t="s">
        <v>13</v>
      </c>
      <c r="E397" s="145">
        <v>3639.1</v>
      </c>
      <c r="F397" s="145">
        <v>8203.9</v>
      </c>
      <c r="G397" s="145">
        <v>13636.8</v>
      </c>
      <c r="H397" s="145">
        <v>30007.7</v>
      </c>
      <c r="I397" s="4">
        <f t="shared" si="133"/>
        <v>17275.899999999998</v>
      </c>
      <c r="J397" s="35">
        <f t="shared" si="134"/>
        <v>38211.599999999999</v>
      </c>
      <c r="K397" s="31">
        <f t="shared" si="132"/>
        <v>-54.788859927351908</v>
      </c>
      <c r="L397" s="5">
        <f t="shared" si="139"/>
        <v>85.799999999999272</v>
      </c>
      <c r="M397">
        <v>4793.7</v>
      </c>
    </row>
    <row r="398" spans="1:15" x14ac:dyDescent="0.25">
      <c r="A398" s="20">
        <f t="shared" si="138"/>
        <v>41424</v>
      </c>
      <c r="B398" s="71">
        <f t="shared" si="130"/>
        <v>42172.633333333331</v>
      </c>
      <c r="C398" s="71">
        <f t="shared" si="131"/>
        <v>32479.033333333329</v>
      </c>
      <c r="D398" t="s">
        <v>13</v>
      </c>
      <c r="E398" s="145">
        <v>3386.5</v>
      </c>
      <c r="F398" s="145">
        <v>7722.8</v>
      </c>
      <c r="G398" s="145">
        <v>13996.6</v>
      </c>
      <c r="H398" s="145">
        <v>30740.6</v>
      </c>
      <c r="I398" s="4">
        <f t="shared" si="133"/>
        <v>17383.099999999999</v>
      </c>
      <c r="J398" s="35">
        <f t="shared" si="134"/>
        <v>38463.4</v>
      </c>
      <c r="K398" s="31">
        <f t="shared" si="132"/>
        <v>-54.806127383434642</v>
      </c>
      <c r="L398" s="5">
        <f t="shared" si="139"/>
        <v>107.20000000000073</v>
      </c>
      <c r="M398">
        <v>4845.3</v>
      </c>
    </row>
    <row r="399" spans="1:15" x14ac:dyDescent="0.25">
      <c r="A399" s="20">
        <f t="shared" si="138"/>
        <v>41431</v>
      </c>
      <c r="B399" s="71">
        <f t="shared" si="130"/>
        <v>42702.966666666667</v>
      </c>
      <c r="C399" s="71">
        <f t="shared" si="131"/>
        <v>33362</v>
      </c>
      <c r="D399" t="s">
        <v>13</v>
      </c>
      <c r="E399" s="145">
        <v>3235.2</v>
      </c>
      <c r="F399" s="145">
        <v>7382</v>
      </c>
      <c r="G399" s="145">
        <v>14229.4</v>
      </c>
      <c r="H399" s="145">
        <v>31173.5</v>
      </c>
      <c r="I399" s="4">
        <f t="shared" si="133"/>
        <v>17464.599999999999</v>
      </c>
      <c r="J399" s="35">
        <f t="shared" si="134"/>
        <v>38555.5</v>
      </c>
      <c r="K399" s="31">
        <f t="shared" si="132"/>
        <v>-54.702701300722346</v>
      </c>
      <c r="L399" s="5">
        <f t="shared" si="139"/>
        <v>81.5</v>
      </c>
      <c r="M399">
        <v>4913.3</v>
      </c>
    </row>
    <row r="400" spans="1:15" x14ac:dyDescent="0.25">
      <c r="A400" s="20">
        <f t="shared" si="138"/>
        <v>41438</v>
      </c>
      <c r="B400" s="71">
        <f t="shared" si="130"/>
        <v>43195.73333333333</v>
      </c>
      <c r="C400" s="71">
        <f t="shared" si="131"/>
        <v>34137.4</v>
      </c>
      <c r="D400" t="s">
        <v>13</v>
      </c>
      <c r="E400" s="145">
        <v>3046.2</v>
      </c>
      <c r="F400" s="145">
        <v>6840.1</v>
      </c>
      <c r="G400" s="145">
        <v>14551.8</v>
      </c>
      <c r="H400" s="145">
        <v>31886.7</v>
      </c>
      <c r="I400" s="4">
        <f t="shared" si="133"/>
        <v>17598</v>
      </c>
      <c r="J400" s="35">
        <f t="shared" si="134"/>
        <v>38726.800000000003</v>
      </c>
      <c r="K400" s="31">
        <f t="shared" si="132"/>
        <v>-54.558600245824593</v>
      </c>
      <c r="L400" s="5">
        <f t="shared" si="139"/>
        <v>133.40000000000146</v>
      </c>
      <c r="M400">
        <v>4990.3999999999996</v>
      </c>
    </row>
    <row r="401" spans="1:13" x14ac:dyDescent="0.25">
      <c r="A401" s="20">
        <f t="shared" si="138"/>
        <v>41445</v>
      </c>
      <c r="B401" s="71">
        <f t="shared" si="130"/>
        <v>43764.233333333337</v>
      </c>
      <c r="C401" s="71">
        <f t="shared" si="131"/>
        <v>35037.1</v>
      </c>
      <c r="D401" t="s">
        <v>13</v>
      </c>
      <c r="E401" s="145">
        <v>3231.6</v>
      </c>
      <c r="F401" s="145">
        <v>6367.6</v>
      </c>
      <c r="G401" s="145">
        <v>14703</v>
      </c>
      <c r="H401" s="145">
        <v>32552.1</v>
      </c>
      <c r="I401" s="4">
        <f t="shared" si="133"/>
        <v>17934.599999999999</v>
      </c>
      <c r="J401" s="35">
        <f t="shared" si="134"/>
        <v>38919.699999999997</v>
      </c>
      <c r="K401" s="31">
        <f t="shared" si="132"/>
        <v>-53.918966487408696</v>
      </c>
      <c r="L401" s="5">
        <f t="shared" si="139"/>
        <v>336.59999999999854</v>
      </c>
      <c r="M401">
        <v>5144</v>
      </c>
    </row>
    <row r="402" spans="1:13" x14ac:dyDescent="0.25">
      <c r="A402" s="20">
        <f t="shared" si="138"/>
        <v>41452</v>
      </c>
      <c r="B402" s="71">
        <f t="shared" si="130"/>
        <v>44275.633333333331</v>
      </c>
      <c r="C402" s="71">
        <f t="shared" si="131"/>
        <v>35794.766666666663</v>
      </c>
      <c r="D402" t="s">
        <v>13</v>
      </c>
      <c r="E402" s="145">
        <v>3111.3</v>
      </c>
      <c r="F402" s="145">
        <v>5741.8</v>
      </c>
      <c r="G402" s="145">
        <v>15056.4</v>
      </c>
      <c r="H402" s="145">
        <v>33197.199999999997</v>
      </c>
      <c r="I402" s="4">
        <f t="shared" si="133"/>
        <v>18167.7</v>
      </c>
      <c r="J402" s="35">
        <f t="shared" si="134"/>
        <v>38939</v>
      </c>
      <c r="K402" s="31">
        <f t="shared" si="132"/>
        <v>-53.343177790903717</v>
      </c>
      <c r="L402" s="5">
        <f t="shared" si="139"/>
        <v>233.10000000000218</v>
      </c>
      <c r="M402">
        <v>5225.5</v>
      </c>
    </row>
    <row r="403" spans="1:13" x14ac:dyDescent="0.25">
      <c r="A403" s="20">
        <f t="shared" si="138"/>
        <v>41459</v>
      </c>
      <c r="B403" s="71">
        <f t="shared" si="130"/>
        <v>44656.4</v>
      </c>
      <c r="C403" s="71">
        <f t="shared" si="131"/>
        <v>36700.23333333333</v>
      </c>
      <c r="D403" t="s">
        <v>13</v>
      </c>
      <c r="E403" s="145">
        <v>3237.5</v>
      </c>
      <c r="F403" s="145">
        <v>5309.2</v>
      </c>
      <c r="G403" s="145">
        <v>15322.2</v>
      </c>
      <c r="H403" s="145">
        <v>33802.6</v>
      </c>
      <c r="I403" s="4">
        <f t="shared" si="133"/>
        <v>18559.7</v>
      </c>
      <c r="J403" s="35">
        <f t="shared" si="134"/>
        <v>39111.799999999996</v>
      </c>
      <c r="K403" s="31">
        <f t="shared" si="132"/>
        <v>-52.547057409784244</v>
      </c>
      <c r="L403" s="5">
        <f t="shared" ref="L403:L411" si="140">+I403-I402</f>
        <v>392</v>
      </c>
      <c r="M403">
        <v>5883.2</v>
      </c>
    </row>
    <row r="404" spans="1:13" x14ac:dyDescent="0.25">
      <c r="A404" s="20">
        <f t="shared" si="138"/>
        <v>41466</v>
      </c>
      <c r="B404" s="71">
        <f t="shared" si="130"/>
        <v>45100.533333333333</v>
      </c>
      <c r="C404" s="71">
        <f t="shared" si="131"/>
        <v>37536.466666666667</v>
      </c>
      <c r="D404" t="s">
        <v>13</v>
      </c>
      <c r="E404" s="145">
        <v>2983.1</v>
      </c>
      <c r="F404" s="145">
        <v>4658.8999999999996</v>
      </c>
      <c r="G404" s="145">
        <v>15729.5</v>
      </c>
      <c r="H404" s="145">
        <v>34484.800000000003</v>
      </c>
      <c r="I404" s="4">
        <f t="shared" si="133"/>
        <v>18712.599999999999</v>
      </c>
      <c r="J404" s="35">
        <f t="shared" si="134"/>
        <v>39143.700000000004</v>
      </c>
      <c r="K404" s="31">
        <f t="shared" si="132"/>
        <v>-52.195116966459487</v>
      </c>
      <c r="L404" s="5">
        <f t="shared" si="140"/>
        <v>152.89999999999782</v>
      </c>
      <c r="M404">
        <v>7474</v>
      </c>
    </row>
    <row r="405" spans="1:13" x14ac:dyDescent="0.25">
      <c r="A405" s="20">
        <f t="shared" si="138"/>
        <v>41473</v>
      </c>
      <c r="B405" s="71">
        <f t="shared" si="130"/>
        <v>45458.76666666667</v>
      </c>
      <c r="C405" s="71">
        <f t="shared" si="131"/>
        <v>38388.6</v>
      </c>
      <c r="D405" t="s">
        <v>13</v>
      </c>
      <c r="E405" s="145">
        <v>2715.3</v>
      </c>
      <c r="F405" s="145">
        <v>4136.5</v>
      </c>
      <c r="G405" s="145">
        <v>15969.4</v>
      </c>
      <c r="H405" s="145">
        <v>34998</v>
      </c>
      <c r="I405" s="4">
        <f t="shared" si="133"/>
        <v>18684.7</v>
      </c>
      <c r="J405" s="35">
        <f t="shared" si="134"/>
        <v>39134.5</v>
      </c>
      <c r="K405" s="31">
        <f t="shared" si="132"/>
        <v>-52.255171268318236</v>
      </c>
      <c r="L405" s="5">
        <f t="shared" si="140"/>
        <v>-27.899999999997817</v>
      </c>
      <c r="M405">
        <v>7990</v>
      </c>
    </row>
    <row r="406" spans="1:13" x14ac:dyDescent="0.25">
      <c r="A406" s="20">
        <f t="shared" si="138"/>
        <v>41480</v>
      </c>
      <c r="B406" s="71">
        <f t="shared" si="130"/>
        <v>45710.266666666663</v>
      </c>
      <c r="C406" s="71">
        <f t="shared" si="131"/>
        <v>39294.700000000004</v>
      </c>
      <c r="D406" t="s">
        <v>13</v>
      </c>
      <c r="E406" s="145">
        <v>2521.1999999999998</v>
      </c>
      <c r="F406" s="145">
        <v>3732.3</v>
      </c>
      <c r="G406" s="145">
        <v>16297.5</v>
      </c>
      <c r="H406" s="145">
        <v>35580.699999999997</v>
      </c>
      <c r="I406" s="4">
        <f t="shared" si="133"/>
        <v>18818.7</v>
      </c>
      <c r="J406" s="35">
        <f t="shared" si="134"/>
        <v>39313</v>
      </c>
      <c r="K406" s="31">
        <f t="shared" si="132"/>
        <v>-52.131101671202906</v>
      </c>
      <c r="L406" s="5">
        <f t="shared" si="140"/>
        <v>134</v>
      </c>
      <c r="M406">
        <v>9081.1</v>
      </c>
    </row>
    <row r="407" spans="1:13" x14ac:dyDescent="0.25">
      <c r="A407" s="20">
        <f t="shared" si="138"/>
        <v>41487</v>
      </c>
      <c r="B407" s="71">
        <f t="shared" si="130"/>
        <v>46026.299999999996</v>
      </c>
      <c r="C407" s="71">
        <f t="shared" si="131"/>
        <v>40026.166666666664</v>
      </c>
      <c r="D407" t="s">
        <v>13</v>
      </c>
      <c r="E407" s="145">
        <v>2380.9</v>
      </c>
      <c r="F407" s="145">
        <v>3430.4</v>
      </c>
      <c r="G407" s="145">
        <v>16727.8</v>
      </c>
      <c r="H407" s="145">
        <v>36057.199999999997</v>
      </c>
      <c r="I407" s="4">
        <f t="shared" si="133"/>
        <v>19108.7</v>
      </c>
      <c r="J407" s="35">
        <f t="shared" si="134"/>
        <v>39487.599999999999</v>
      </c>
      <c r="K407" s="31">
        <f t="shared" si="132"/>
        <v>-51.608353001955045</v>
      </c>
      <c r="L407" s="5">
        <f t="shared" si="140"/>
        <v>290</v>
      </c>
      <c r="M407">
        <v>9302</v>
      </c>
    </row>
    <row r="408" spans="1:13" x14ac:dyDescent="0.25">
      <c r="A408" s="20">
        <f t="shared" si="138"/>
        <v>41494</v>
      </c>
      <c r="B408" s="71">
        <f t="shared" si="130"/>
        <v>46378</v>
      </c>
      <c r="C408" s="71">
        <f t="shared" si="131"/>
        <v>40837.1</v>
      </c>
      <c r="D408" t="s">
        <v>13</v>
      </c>
      <c r="E408" s="145">
        <v>1944.4</v>
      </c>
      <c r="F408" s="145">
        <v>2920.3</v>
      </c>
      <c r="G408" s="145">
        <v>17105.3</v>
      </c>
      <c r="H408" s="145">
        <v>36690.199999999997</v>
      </c>
      <c r="I408" s="4">
        <f t="shared" si="133"/>
        <v>19049.7</v>
      </c>
      <c r="J408" s="35">
        <f t="shared" si="134"/>
        <v>39610.5</v>
      </c>
      <c r="K408" s="31">
        <f t="shared" si="132"/>
        <v>-51.907448782519779</v>
      </c>
      <c r="L408" s="5">
        <f t="shared" si="140"/>
        <v>-59</v>
      </c>
      <c r="M408">
        <v>10138.1</v>
      </c>
    </row>
    <row r="409" spans="1:13" x14ac:dyDescent="0.25">
      <c r="A409" s="20">
        <f t="shared" si="138"/>
        <v>41501</v>
      </c>
      <c r="B409" s="71">
        <f t="shared" si="130"/>
        <v>46698.433333333327</v>
      </c>
      <c r="C409" s="71">
        <f t="shared" si="131"/>
        <v>41684.299999999996</v>
      </c>
      <c r="D409" t="s">
        <v>13</v>
      </c>
      <c r="E409" s="145">
        <v>1829.1</v>
      </c>
      <c r="F409" s="145">
        <v>2427.4</v>
      </c>
      <c r="G409" s="145">
        <v>17278.8</v>
      </c>
      <c r="H409" s="145">
        <v>37291.5</v>
      </c>
      <c r="I409" s="4">
        <f t="shared" si="133"/>
        <v>19107.899999999998</v>
      </c>
      <c r="J409" s="35">
        <f t="shared" si="134"/>
        <v>39718.9</v>
      </c>
      <c r="K409" s="31">
        <f t="shared" si="132"/>
        <v>-51.892172240419555</v>
      </c>
      <c r="L409" s="5">
        <f t="shared" si="140"/>
        <v>58.19999999999709</v>
      </c>
      <c r="M409">
        <v>10527.5</v>
      </c>
    </row>
    <row r="410" spans="1:13" x14ac:dyDescent="0.25">
      <c r="A410" s="20">
        <f t="shared" si="138"/>
        <v>41508</v>
      </c>
      <c r="B410" s="71">
        <f t="shared" si="130"/>
        <v>46876.566666666673</v>
      </c>
      <c r="C410" s="71">
        <f t="shared" si="131"/>
        <v>42550.76666666667</v>
      </c>
      <c r="D410" t="s">
        <v>13</v>
      </c>
      <c r="E410" s="145">
        <v>1484.7</v>
      </c>
      <c r="F410" s="145">
        <v>2020.9</v>
      </c>
      <c r="G410" s="145">
        <v>17608.099999999999</v>
      </c>
      <c r="H410" s="145">
        <v>37664.300000000003</v>
      </c>
      <c r="I410" s="4">
        <f t="shared" si="133"/>
        <v>19092.8</v>
      </c>
      <c r="J410" s="35">
        <f t="shared" si="134"/>
        <v>39685.200000000004</v>
      </c>
      <c r="K410" s="31">
        <f t="shared" si="132"/>
        <v>-51.889369336679671</v>
      </c>
      <c r="L410" s="5">
        <f t="shared" si="140"/>
        <v>-15.099999999998545</v>
      </c>
      <c r="M410">
        <v>11246.3</v>
      </c>
    </row>
    <row r="411" spans="1:13" x14ac:dyDescent="0.25">
      <c r="A411" s="20">
        <f t="shared" si="138"/>
        <v>41515</v>
      </c>
      <c r="B411" s="71">
        <f t="shared" si="130"/>
        <v>46748.9</v>
      </c>
      <c r="C411" s="71">
        <f t="shared" si="131"/>
        <v>43311.033333333333</v>
      </c>
      <c r="D411" t="s">
        <v>13</v>
      </c>
      <c r="E411" s="145">
        <v>1000.1</v>
      </c>
      <c r="F411" s="145">
        <v>1681.4</v>
      </c>
      <c r="G411" s="145">
        <v>17979.5</v>
      </c>
      <c r="H411" s="145">
        <v>37899.599999999999</v>
      </c>
      <c r="I411" s="4">
        <f t="shared" si="133"/>
        <v>18979.599999999999</v>
      </c>
      <c r="J411" s="35">
        <f t="shared" si="134"/>
        <v>39581</v>
      </c>
      <c r="K411" s="31">
        <f t="shared" si="132"/>
        <v>-52.048710239761498</v>
      </c>
      <c r="L411" s="5">
        <f t="shared" si="140"/>
        <v>-113.20000000000073</v>
      </c>
      <c r="M411">
        <v>11574.6</v>
      </c>
    </row>
    <row r="412" spans="1:13" x14ac:dyDescent="0.25">
      <c r="A412" s="20">
        <f t="shared" si="138"/>
        <v>41522</v>
      </c>
      <c r="B412" s="71">
        <f t="shared" si="130"/>
        <v>22758.600000000002</v>
      </c>
      <c r="C412" s="71">
        <f t="shared" si="131"/>
        <v>12773.800000000001</v>
      </c>
      <c r="D412" t="s">
        <v>13</v>
      </c>
      <c r="E412" s="145">
        <v>12612.1</v>
      </c>
      <c r="F412" s="145">
        <v>9783</v>
      </c>
      <c r="G412" s="145">
        <v>171.2</v>
      </c>
      <c r="H412" s="145">
        <v>249.4</v>
      </c>
      <c r="I412" s="4">
        <f t="shared" si="133"/>
        <v>12783.300000000001</v>
      </c>
      <c r="J412" s="35">
        <f t="shared" si="134"/>
        <v>10032.4</v>
      </c>
      <c r="K412" s="31">
        <f t="shared" si="132"/>
        <v>27.420158685857832</v>
      </c>
      <c r="L412" s="67">
        <f>+E412-M411</f>
        <v>1037.5</v>
      </c>
    </row>
    <row r="413" spans="1:13" x14ac:dyDescent="0.25">
      <c r="A413" s="20">
        <f t="shared" si="138"/>
        <v>41529</v>
      </c>
      <c r="B413" s="71">
        <f t="shared" si="130"/>
        <v>13479.566666666666</v>
      </c>
      <c r="C413" s="71">
        <f t="shared" si="131"/>
        <v>751.76666666666677</v>
      </c>
      <c r="D413" t="s">
        <v>13</v>
      </c>
      <c r="E413" s="145">
        <v>12530.6</v>
      </c>
      <c r="F413" s="145">
        <v>9112.9</v>
      </c>
      <c r="G413" s="145">
        <v>690</v>
      </c>
      <c r="H413" s="145">
        <v>989.1</v>
      </c>
      <c r="I413" s="4">
        <f t="shared" si="133"/>
        <v>13220.6</v>
      </c>
      <c r="J413" s="35">
        <f t="shared" si="134"/>
        <v>10102</v>
      </c>
      <c r="K413" s="31">
        <f t="shared" si="132"/>
        <v>30.871114630766193</v>
      </c>
      <c r="L413" s="67">
        <f t="shared" ref="L413:L435" si="141">+I413-I412</f>
        <v>437.29999999999927</v>
      </c>
    </row>
    <row r="414" spans="1:13" x14ac:dyDescent="0.25">
      <c r="A414" s="20">
        <f t="shared" si="138"/>
        <v>41536</v>
      </c>
      <c r="B414" s="71">
        <f t="shared" si="130"/>
        <v>13889.5</v>
      </c>
      <c r="C414" s="71">
        <f t="shared" si="131"/>
        <v>1538.1666666666667</v>
      </c>
      <c r="D414" t="s">
        <v>13</v>
      </c>
      <c r="E414" s="145">
        <v>12691.6</v>
      </c>
      <c r="F414" s="145">
        <v>8433.7000000000007</v>
      </c>
      <c r="G414" s="145">
        <v>1169.0999999999999</v>
      </c>
      <c r="H414" s="145">
        <v>1668.7</v>
      </c>
      <c r="I414" s="4">
        <f t="shared" si="133"/>
        <v>13860.7</v>
      </c>
      <c r="J414" s="35">
        <f t="shared" si="134"/>
        <v>10102.400000000001</v>
      </c>
      <c r="K414" s="31">
        <f t="shared" si="132"/>
        <v>37.202050997782685</v>
      </c>
      <c r="L414" s="67">
        <f t="shared" si="141"/>
        <v>640.10000000000036</v>
      </c>
    </row>
    <row r="415" spans="1:13" x14ac:dyDescent="0.25">
      <c r="A415" s="20">
        <f t="shared" si="138"/>
        <v>41543</v>
      </c>
      <c r="B415" s="71">
        <f t="shared" si="130"/>
        <v>14460.800000000001</v>
      </c>
      <c r="C415" s="71">
        <f t="shared" si="131"/>
        <v>2352.9</v>
      </c>
      <c r="D415" t="s">
        <v>13</v>
      </c>
      <c r="E415" s="145">
        <v>12921</v>
      </c>
      <c r="F415" s="145">
        <v>8330.5</v>
      </c>
      <c r="G415" s="145">
        <v>1715.3</v>
      </c>
      <c r="H415" s="145">
        <v>2098.6999999999998</v>
      </c>
      <c r="I415" s="4">
        <f t="shared" si="133"/>
        <v>14636.3</v>
      </c>
      <c r="J415" s="35">
        <f t="shared" si="134"/>
        <v>10429.200000000001</v>
      </c>
      <c r="K415" s="31">
        <f t="shared" si="132"/>
        <v>40.339623365167007</v>
      </c>
      <c r="L415" s="67">
        <f t="shared" si="141"/>
        <v>775.59999999999854</v>
      </c>
    </row>
    <row r="416" spans="1:13" x14ac:dyDescent="0.25">
      <c r="A416" s="20">
        <f t="shared" si="138"/>
        <v>41550</v>
      </c>
      <c r="B416" s="71">
        <f t="shared" si="130"/>
        <v>15201.9</v>
      </c>
      <c r="C416" s="71">
        <f t="shared" si="131"/>
        <v>3074.3000000000006</v>
      </c>
      <c r="D416" t="s">
        <v>13</v>
      </c>
      <c r="E416" s="145">
        <v>13644</v>
      </c>
      <c r="F416" s="145">
        <v>7813.9</v>
      </c>
      <c r="G416" s="145">
        <v>2333.4</v>
      </c>
      <c r="H416" s="145">
        <v>2619.6</v>
      </c>
      <c r="I416" s="4">
        <f t="shared" si="133"/>
        <v>15977.4</v>
      </c>
      <c r="J416" s="35">
        <f t="shared" si="134"/>
        <v>10433.5</v>
      </c>
      <c r="K416" s="31">
        <f t="shared" si="132"/>
        <v>53.135572914170702</v>
      </c>
      <c r="L416" s="197">
        <f t="shared" si="141"/>
        <v>1341.1000000000004</v>
      </c>
    </row>
    <row r="417" spans="1:15" x14ac:dyDescent="0.25">
      <c r="A417" s="20">
        <f t="shared" si="138"/>
        <v>41557</v>
      </c>
      <c r="B417" s="71">
        <f t="shared" si="130"/>
        <v>15925</v>
      </c>
      <c r="C417" s="71">
        <f t="shared" si="131"/>
        <v>3820.8999999999996</v>
      </c>
      <c r="D417" t="s">
        <v>13</v>
      </c>
      <c r="E417" s="145"/>
      <c r="I417" s="4">
        <f t="shared" si="133"/>
        <v>0</v>
      </c>
      <c r="J417" s="35">
        <f t="shared" si="134"/>
        <v>0</v>
      </c>
      <c r="K417" s="31" t="e">
        <f t="shared" si="132"/>
        <v>#DIV/0!</v>
      </c>
      <c r="L417" s="197">
        <f t="shared" si="141"/>
        <v>-15977.4</v>
      </c>
    </row>
    <row r="418" spans="1:15" x14ac:dyDescent="0.25">
      <c r="A418" s="20">
        <f t="shared" si="138"/>
        <v>41564</v>
      </c>
      <c r="B418" s="71">
        <f t="shared" si="130"/>
        <v>16638.966666666671</v>
      </c>
      <c r="C418" s="71">
        <f t="shared" si="131"/>
        <v>4425.7666666666664</v>
      </c>
      <c r="D418" t="s">
        <v>13</v>
      </c>
      <c r="E418" s="145"/>
      <c r="I418" s="4">
        <f t="shared" si="133"/>
        <v>0</v>
      </c>
      <c r="J418" s="35">
        <f t="shared" si="134"/>
        <v>0</v>
      </c>
      <c r="K418" s="31" t="e">
        <f t="shared" si="132"/>
        <v>#DIV/0!</v>
      </c>
      <c r="L418" s="197">
        <f t="shared" si="141"/>
        <v>0</v>
      </c>
    </row>
    <row r="419" spans="1:15" x14ac:dyDescent="0.25">
      <c r="A419" s="20">
        <f t="shared" si="138"/>
        <v>41571</v>
      </c>
      <c r="B419" s="71">
        <f t="shared" si="130"/>
        <v>16968.7</v>
      </c>
      <c r="C419" s="71">
        <f t="shared" si="131"/>
        <v>4942.0333333333328</v>
      </c>
      <c r="D419" t="s">
        <v>13</v>
      </c>
      <c r="E419" s="145">
        <v>16105.1</v>
      </c>
      <c r="F419" s="145">
        <v>7194.7</v>
      </c>
      <c r="G419" s="145">
        <v>4427.7</v>
      </c>
      <c r="H419" s="145">
        <v>3715.8</v>
      </c>
      <c r="I419" s="4">
        <f t="shared" si="133"/>
        <v>20532.8</v>
      </c>
      <c r="J419" s="35">
        <f t="shared" si="134"/>
        <v>10910.5</v>
      </c>
      <c r="K419" s="31">
        <f t="shared" si="132"/>
        <v>88.193025067595428</v>
      </c>
      <c r="L419" s="197">
        <f t="shared" si="141"/>
        <v>20532.8</v>
      </c>
    </row>
    <row r="420" spans="1:15" ht="15" x14ac:dyDescent="0.25">
      <c r="A420" s="20">
        <f t="shared" si="138"/>
        <v>41578</v>
      </c>
      <c r="B420" s="71">
        <f t="shared" si="130"/>
        <v>17393.233333333334</v>
      </c>
      <c r="C420" s="71">
        <f t="shared" si="131"/>
        <v>5607.7333333333336</v>
      </c>
      <c r="D420" t="s">
        <v>13</v>
      </c>
      <c r="E420" s="145">
        <v>17113.5</v>
      </c>
      <c r="F420" s="145">
        <v>6956.8</v>
      </c>
      <c r="G420" s="145">
        <v>5138</v>
      </c>
      <c r="H420" s="145">
        <v>4111.3</v>
      </c>
      <c r="I420" s="4">
        <f t="shared" si="133"/>
        <v>22251.5</v>
      </c>
      <c r="J420" s="35">
        <f t="shared" si="134"/>
        <v>11068.1</v>
      </c>
      <c r="K420" s="31">
        <f t="shared" si="132"/>
        <v>101.04173254668822</v>
      </c>
      <c r="L420" s="197">
        <f t="shared" si="141"/>
        <v>1718.7000000000007</v>
      </c>
      <c r="O420" s="123"/>
    </row>
    <row r="421" spans="1:15" ht="15" x14ac:dyDescent="0.25">
      <c r="A421" s="20">
        <f t="shared" si="138"/>
        <v>41585</v>
      </c>
      <c r="B421" s="71">
        <f t="shared" si="130"/>
        <v>17720.900000000001</v>
      </c>
      <c r="C421" s="71">
        <f t="shared" ref="C421:C428" si="142">AVERAGE(G264,G316,G368)</f>
        <v>6198.0333333333328</v>
      </c>
      <c r="D421" t="s">
        <v>13</v>
      </c>
      <c r="E421" s="145">
        <v>17852.599999999999</v>
      </c>
      <c r="F421" s="145">
        <v>6828.6</v>
      </c>
      <c r="G421" s="145">
        <v>5601.8</v>
      </c>
      <c r="H421" s="145">
        <v>4343.3</v>
      </c>
      <c r="I421" s="4">
        <f t="shared" si="133"/>
        <v>23454.399999999998</v>
      </c>
      <c r="J421" s="35">
        <f t="shared" si="134"/>
        <v>11171.900000000001</v>
      </c>
      <c r="K421" s="31">
        <f t="shared" si="132"/>
        <v>109.94101271941203</v>
      </c>
      <c r="L421" s="197">
        <f t="shared" si="141"/>
        <v>1202.8999999999978</v>
      </c>
      <c r="M421" s="123"/>
    </row>
    <row r="422" spans="1:15" x14ac:dyDescent="0.25">
      <c r="A422" s="20">
        <f t="shared" si="138"/>
        <v>41592</v>
      </c>
      <c r="B422" s="71">
        <f t="shared" si="130"/>
        <v>18003.100000000002</v>
      </c>
      <c r="C422" s="71">
        <f t="shared" si="142"/>
        <v>6833.333333333333</v>
      </c>
      <c r="D422" t="s">
        <v>13</v>
      </c>
      <c r="E422" s="145">
        <v>18041</v>
      </c>
      <c r="F422" s="145">
        <v>7203.8</v>
      </c>
      <c r="G422" s="145">
        <v>6358.1</v>
      </c>
      <c r="H422" s="145">
        <v>4737.8999999999996</v>
      </c>
      <c r="I422" s="4">
        <f t="shared" si="133"/>
        <v>24399.1</v>
      </c>
      <c r="J422" s="35">
        <f t="shared" si="134"/>
        <v>11941.7</v>
      </c>
      <c r="K422" s="31">
        <f t="shared" si="132"/>
        <v>104.31848061833739</v>
      </c>
      <c r="L422" s="197">
        <f t="shared" si="141"/>
        <v>944.70000000000073</v>
      </c>
    </row>
    <row r="423" spans="1:15" x14ac:dyDescent="0.25">
      <c r="A423" s="20">
        <f t="shared" si="138"/>
        <v>41599</v>
      </c>
      <c r="B423" s="71">
        <f t="shared" si="130"/>
        <v>18638.033333333336</v>
      </c>
      <c r="C423" s="71">
        <f t="shared" si="142"/>
        <v>7550.5</v>
      </c>
      <c r="D423" t="s">
        <v>13</v>
      </c>
      <c r="E423" s="145">
        <v>18347.400000000001</v>
      </c>
      <c r="F423" s="145">
        <v>7071.1</v>
      </c>
      <c r="G423" s="145">
        <v>7059.1</v>
      </c>
      <c r="H423" s="145">
        <v>5106.7</v>
      </c>
      <c r="I423" s="4">
        <f t="shared" si="133"/>
        <v>25406.5</v>
      </c>
      <c r="J423" s="35">
        <f t="shared" si="134"/>
        <v>12177.8</v>
      </c>
      <c r="K423" s="31">
        <f t="shared" si="132"/>
        <v>108.62963753715778</v>
      </c>
      <c r="L423" s="197">
        <f t="shared" si="141"/>
        <v>1007.4000000000015</v>
      </c>
    </row>
    <row r="424" spans="1:15" x14ac:dyDescent="0.25">
      <c r="A424" s="20">
        <f t="shared" si="138"/>
        <v>41606</v>
      </c>
      <c r="B424" s="71">
        <f t="shared" si="130"/>
        <v>19062.966666666664</v>
      </c>
      <c r="C424" s="71">
        <f t="shared" si="142"/>
        <v>8205.0333333333347</v>
      </c>
      <c r="D424" t="s">
        <v>13</v>
      </c>
      <c r="E424" s="145">
        <v>17898.900000000001</v>
      </c>
      <c r="F424" s="145">
        <v>6830</v>
      </c>
      <c r="G424" s="145">
        <v>8101.2</v>
      </c>
      <c r="H424" s="145">
        <v>5399.5</v>
      </c>
      <c r="I424" s="4">
        <f t="shared" si="133"/>
        <v>26000.100000000002</v>
      </c>
      <c r="J424" s="35">
        <f t="shared" si="134"/>
        <v>12229.5</v>
      </c>
      <c r="K424" s="31">
        <f t="shared" si="132"/>
        <v>112.6014963817</v>
      </c>
      <c r="L424" s="197">
        <f t="shared" si="141"/>
        <v>593.60000000000218</v>
      </c>
    </row>
    <row r="425" spans="1:15" x14ac:dyDescent="0.25">
      <c r="A425" s="20">
        <f t="shared" si="138"/>
        <v>41613</v>
      </c>
      <c r="B425" s="71">
        <f t="shared" ref="B425:B463" si="143">AVERAGE(I268,I320,I372)</f>
        <v>19535.7</v>
      </c>
      <c r="C425" s="71">
        <f t="shared" si="142"/>
        <v>8879.8666666666668</v>
      </c>
      <c r="D425" t="s">
        <v>13</v>
      </c>
      <c r="E425" s="145">
        <v>17616.900000000001</v>
      </c>
      <c r="F425" s="145">
        <v>6830.4</v>
      </c>
      <c r="G425" s="145">
        <v>9078.7000000000007</v>
      </c>
      <c r="H425" s="145">
        <v>5657.9</v>
      </c>
      <c r="I425" s="4">
        <f t="shared" si="133"/>
        <v>26695.600000000002</v>
      </c>
      <c r="J425" s="35">
        <f t="shared" si="134"/>
        <v>12488.3</v>
      </c>
      <c r="K425" s="31">
        <f t="shared" si="132"/>
        <v>113.76488393135978</v>
      </c>
      <c r="L425" s="197">
        <f t="shared" si="141"/>
        <v>695.5</v>
      </c>
    </row>
    <row r="426" spans="1:15" x14ac:dyDescent="0.25">
      <c r="A426" s="20">
        <f t="shared" si="138"/>
        <v>41620</v>
      </c>
      <c r="B426" s="71">
        <f t="shared" si="143"/>
        <v>20058.833333333332</v>
      </c>
      <c r="C426" s="71">
        <f t="shared" si="142"/>
        <v>9530.1666666666661</v>
      </c>
      <c r="D426" t="s">
        <v>13</v>
      </c>
      <c r="E426" s="145">
        <v>17750.599999999999</v>
      </c>
      <c r="F426" s="145">
        <v>6511.4</v>
      </c>
      <c r="G426" s="145">
        <v>9772</v>
      </c>
      <c r="H426" s="145">
        <v>6091.3</v>
      </c>
      <c r="I426" s="4">
        <f t="shared" si="133"/>
        <v>27522.6</v>
      </c>
      <c r="J426" s="35">
        <f t="shared" si="134"/>
        <v>12602.7</v>
      </c>
      <c r="K426" s="31">
        <f t="shared" si="132"/>
        <v>118.38653621842936</v>
      </c>
      <c r="L426" s="197">
        <f t="shared" si="141"/>
        <v>826.99999999999636</v>
      </c>
    </row>
    <row r="427" spans="1:15" x14ac:dyDescent="0.25">
      <c r="A427" s="20">
        <f t="shared" si="138"/>
        <v>41627</v>
      </c>
      <c r="B427" s="71">
        <f t="shared" si="143"/>
        <v>20637.3</v>
      </c>
      <c r="C427" s="71">
        <f t="shared" si="142"/>
        <v>10384.5</v>
      </c>
      <c r="D427" t="s">
        <v>13</v>
      </c>
      <c r="E427" s="145">
        <v>17880.900000000001</v>
      </c>
      <c r="F427" s="145">
        <v>6321.9</v>
      </c>
      <c r="G427" s="145">
        <v>10701.3</v>
      </c>
      <c r="H427" s="145">
        <v>6377.9</v>
      </c>
      <c r="I427" s="4">
        <f t="shared" si="133"/>
        <v>28582.2</v>
      </c>
      <c r="J427" s="35">
        <f t="shared" si="134"/>
        <v>12699.8</v>
      </c>
      <c r="K427" s="31">
        <f t="shared" si="132"/>
        <v>125.06023716908929</v>
      </c>
      <c r="L427" s="197">
        <f t="shared" si="141"/>
        <v>1059.6000000000022</v>
      </c>
    </row>
    <row r="428" spans="1:15" x14ac:dyDescent="0.25">
      <c r="A428" s="20">
        <f t="shared" si="138"/>
        <v>41634</v>
      </c>
      <c r="B428" s="71">
        <f t="shared" si="143"/>
        <v>21030.5</v>
      </c>
      <c r="C428" s="71">
        <f t="shared" si="142"/>
        <v>11175.533333333333</v>
      </c>
      <c r="D428" t="s">
        <v>13</v>
      </c>
      <c r="E428" s="145">
        <v>17191.099999999999</v>
      </c>
      <c r="F428" s="145">
        <v>6173</v>
      </c>
      <c r="G428" s="145">
        <v>11347.7</v>
      </c>
      <c r="H428" s="145">
        <v>6583.2</v>
      </c>
      <c r="I428" s="4">
        <f t="shared" si="133"/>
        <v>28538.799999999999</v>
      </c>
      <c r="J428" s="35">
        <f t="shared" si="134"/>
        <v>12756.2</v>
      </c>
      <c r="K428" s="31">
        <f t="shared" si="132"/>
        <v>123.72493375770213</v>
      </c>
      <c r="L428" s="197">
        <f t="shared" si="141"/>
        <v>-43.400000000001455</v>
      </c>
    </row>
    <row r="429" spans="1:15" x14ac:dyDescent="0.25">
      <c r="A429" s="20">
        <f t="shared" si="138"/>
        <v>41641</v>
      </c>
      <c r="B429" s="71">
        <f t="shared" si="143"/>
        <v>21250.633333333335</v>
      </c>
      <c r="C429" s="71">
        <f t="shared" ref="C429:C436" si="144">AVERAGE(G272,G324,G376)</f>
        <v>11621.5</v>
      </c>
      <c r="D429" t="s">
        <v>13</v>
      </c>
      <c r="E429" s="145">
        <v>16743.099999999999</v>
      </c>
      <c r="F429" s="145">
        <v>6078.8</v>
      </c>
      <c r="G429" s="145">
        <v>11899.6</v>
      </c>
      <c r="H429" s="145">
        <v>6690</v>
      </c>
      <c r="I429" s="4">
        <f t="shared" si="133"/>
        <v>28642.699999999997</v>
      </c>
      <c r="J429" s="35">
        <f t="shared" si="134"/>
        <v>12768.8</v>
      </c>
      <c r="K429" s="31">
        <f t="shared" si="132"/>
        <v>124.31786855460186</v>
      </c>
      <c r="L429" s="197">
        <f t="shared" si="141"/>
        <v>103.89999999999782</v>
      </c>
    </row>
    <row r="430" spans="1:15" x14ac:dyDescent="0.25">
      <c r="A430" s="20">
        <f t="shared" si="138"/>
        <v>41648</v>
      </c>
      <c r="B430" s="71">
        <f t="shared" si="143"/>
        <v>21508.399999999998</v>
      </c>
      <c r="C430" s="71">
        <f t="shared" si="144"/>
        <v>12078.4</v>
      </c>
      <c r="D430" t="s">
        <v>13</v>
      </c>
      <c r="E430" s="206">
        <v>16889.599999999999</v>
      </c>
      <c r="F430" s="207">
        <f>E378</f>
        <v>6225.2</v>
      </c>
      <c r="G430" s="206">
        <v>12577.4</v>
      </c>
      <c r="H430" s="208">
        <f>G378</f>
        <v>6936.9</v>
      </c>
      <c r="I430" s="4">
        <f t="shared" si="133"/>
        <v>29467</v>
      </c>
      <c r="J430" s="35">
        <f t="shared" si="134"/>
        <v>13162.099999999999</v>
      </c>
      <c r="K430" s="31">
        <f t="shared" si="132"/>
        <v>123.87764870347438</v>
      </c>
      <c r="L430" s="197">
        <f t="shared" si="141"/>
        <v>824.30000000000291</v>
      </c>
    </row>
    <row r="431" spans="1:15" x14ac:dyDescent="0.25">
      <c r="A431" s="20">
        <f t="shared" si="138"/>
        <v>41655</v>
      </c>
      <c r="B431" s="71">
        <f t="shared" si="143"/>
        <v>22194.366666666669</v>
      </c>
      <c r="C431" s="71">
        <f t="shared" si="144"/>
        <v>12607.633333333333</v>
      </c>
      <c r="D431" t="s">
        <v>13</v>
      </c>
      <c r="E431" s="145">
        <v>16783.5</v>
      </c>
      <c r="F431" s="207">
        <f t="shared" ref="F431:F443" si="145">E379</f>
        <v>5994.2</v>
      </c>
      <c r="G431" s="145">
        <v>13312.5</v>
      </c>
      <c r="H431" s="208">
        <f t="shared" ref="H431:H443" si="146">G379</f>
        <v>7306.4</v>
      </c>
      <c r="I431" s="4">
        <f t="shared" si="133"/>
        <v>30096</v>
      </c>
      <c r="J431" s="35">
        <f t="shared" si="134"/>
        <v>13300.599999999999</v>
      </c>
      <c r="K431" s="31">
        <f t="shared" ref="K431:K474" si="147">+(I431/J431-1)*100</f>
        <v>126.27550636813379</v>
      </c>
      <c r="L431" s="197">
        <f t="shared" si="141"/>
        <v>629</v>
      </c>
    </row>
    <row r="432" spans="1:15" x14ac:dyDescent="0.25">
      <c r="A432" s="20">
        <f t="shared" si="138"/>
        <v>41662</v>
      </c>
      <c r="B432" s="71">
        <f t="shared" si="143"/>
        <v>22698.166666666668</v>
      </c>
      <c r="C432" s="71">
        <f t="shared" si="144"/>
        <v>13301.066666666666</v>
      </c>
      <c r="D432" t="s">
        <v>13</v>
      </c>
      <c r="E432" s="145">
        <v>17617.3</v>
      </c>
      <c r="F432" s="207">
        <f t="shared" si="145"/>
        <v>5571.8</v>
      </c>
      <c r="G432" s="145">
        <v>14256.6</v>
      </c>
      <c r="H432" s="208">
        <f t="shared" si="146"/>
        <v>7915.6</v>
      </c>
      <c r="I432" s="4">
        <f t="shared" ref="I432:I474" si="148">+E432+G432</f>
        <v>31873.9</v>
      </c>
      <c r="J432" s="35">
        <f t="shared" ref="J432:J474" si="149">+F432+H432</f>
        <v>13487.400000000001</v>
      </c>
      <c r="K432" s="31">
        <f t="shared" si="147"/>
        <v>136.32353159244923</v>
      </c>
      <c r="L432" s="197">
        <f t="shared" si="141"/>
        <v>1777.9000000000015</v>
      </c>
    </row>
    <row r="433" spans="1:22" ht="15" x14ac:dyDescent="0.25">
      <c r="A433" s="20">
        <f t="shared" si="138"/>
        <v>41669</v>
      </c>
      <c r="B433" s="71">
        <f t="shared" si="143"/>
        <v>23453.3</v>
      </c>
      <c r="C433" s="71">
        <f t="shared" si="144"/>
        <v>14014.599999999999</v>
      </c>
      <c r="D433" t="s">
        <v>13</v>
      </c>
      <c r="E433" s="145">
        <v>18570</v>
      </c>
      <c r="F433" s="207">
        <f t="shared" si="145"/>
        <v>5532.1</v>
      </c>
      <c r="G433" s="145">
        <v>14940.8</v>
      </c>
      <c r="H433" s="208">
        <f t="shared" si="146"/>
        <v>8124.3</v>
      </c>
      <c r="I433" s="4">
        <f t="shared" si="148"/>
        <v>33510.800000000003</v>
      </c>
      <c r="J433" s="35">
        <f t="shared" si="149"/>
        <v>13656.400000000001</v>
      </c>
      <c r="K433" s="31">
        <f t="shared" si="147"/>
        <v>145.38531384552294</v>
      </c>
      <c r="L433" s="197">
        <f t="shared" si="141"/>
        <v>1636.9000000000015</v>
      </c>
      <c r="M433" s="123"/>
    </row>
    <row r="434" spans="1:22" ht="15" x14ac:dyDescent="0.25">
      <c r="A434" s="20">
        <f t="shared" si="138"/>
        <v>41676</v>
      </c>
      <c r="B434" s="71">
        <f t="shared" si="143"/>
        <v>24110.133333333331</v>
      </c>
      <c r="C434" s="71">
        <f t="shared" si="144"/>
        <v>14670.200000000003</v>
      </c>
      <c r="D434" t="s">
        <v>13</v>
      </c>
      <c r="E434" s="145">
        <v>18887.3</v>
      </c>
      <c r="F434" s="207">
        <f t="shared" si="145"/>
        <v>5365.2</v>
      </c>
      <c r="G434" s="145">
        <v>15717</v>
      </c>
      <c r="H434" s="208">
        <f t="shared" si="146"/>
        <v>8516.6</v>
      </c>
      <c r="I434" s="4">
        <f t="shared" si="148"/>
        <v>34604.300000000003</v>
      </c>
      <c r="J434" s="35">
        <f t="shared" si="149"/>
        <v>13881.8</v>
      </c>
      <c r="K434" s="31">
        <f t="shared" si="147"/>
        <v>149.27819158898706</v>
      </c>
      <c r="L434" s="197">
        <f t="shared" si="141"/>
        <v>1093.5</v>
      </c>
      <c r="N434" s="123"/>
      <c r="O434" s="59"/>
      <c r="P434" s="59"/>
      <c r="Q434" s="59"/>
      <c r="R434" s="59"/>
      <c r="S434" s="59"/>
      <c r="T434" s="59"/>
      <c r="U434" s="59"/>
      <c r="V434" s="59"/>
    </row>
    <row r="435" spans="1:22" ht="15" x14ac:dyDescent="0.25">
      <c r="A435" s="20">
        <f t="shared" si="138"/>
        <v>41683</v>
      </c>
      <c r="B435" s="71">
        <f t="shared" si="143"/>
        <v>24864</v>
      </c>
      <c r="C435" s="71">
        <f t="shared" si="144"/>
        <v>15254.933333333332</v>
      </c>
      <c r="D435" t="s">
        <v>13</v>
      </c>
      <c r="E435" s="145">
        <v>18833.8</v>
      </c>
      <c r="F435" s="207">
        <f t="shared" si="145"/>
        <v>5470.2</v>
      </c>
      <c r="G435" s="145">
        <v>16641.900000000001</v>
      </c>
      <c r="H435" s="208">
        <f t="shared" si="146"/>
        <v>8773.4</v>
      </c>
      <c r="I435" s="4">
        <f t="shared" si="148"/>
        <v>35475.699999999997</v>
      </c>
      <c r="J435" s="35">
        <f t="shared" si="149"/>
        <v>14243.599999999999</v>
      </c>
      <c r="K435" s="31">
        <f t="shared" si="147"/>
        <v>149.0641410879272</v>
      </c>
      <c r="L435" s="197">
        <f t="shared" si="141"/>
        <v>871.39999999999418</v>
      </c>
      <c r="N435" s="123"/>
    </row>
    <row r="436" spans="1:22" x14ac:dyDescent="0.25">
      <c r="A436" s="20">
        <f t="shared" si="138"/>
        <v>41690</v>
      </c>
      <c r="B436" s="71">
        <f t="shared" si="143"/>
        <v>25765.3</v>
      </c>
      <c r="C436" s="71">
        <f t="shared" si="144"/>
        <v>15952.833333333336</v>
      </c>
      <c r="D436" t="s">
        <v>13</v>
      </c>
      <c r="E436" s="145">
        <v>18821.5</v>
      </c>
      <c r="F436" s="207">
        <f t="shared" si="145"/>
        <v>5476.5</v>
      </c>
      <c r="G436" s="145">
        <v>17315</v>
      </c>
      <c r="H436" s="208">
        <f t="shared" si="146"/>
        <v>9069.7000000000007</v>
      </c>
      <c r="I436" s="4">
        <f t="shared" si="148"/>
        <v>36136.5</v>
      </c>
      <c r="J436" s="35">
        <f t="shared" si="149"/>
        <v>14546.2</v>
      </c>
      <c r="K436" s="31">
        <f t="shared" si="147"/>
        <v>148.42570568258378</v>
      </c>
      <c r="L436">
        <v>1660.2</v>
      </c>
    </row>
    <row r="437" spans="1:22" x14ac:dyDescent="0.25">
      <c r="A437" s="20">
        <f t="shared" si="138"/>
        <v>41697</v>
      </c>
      <c r="B437" s="71">
        <f t="shared" si="143"/>
        <v>26456.3</v>
      </c>
      <c r="C437" s="71">
        <f t="shared" ref="C437:C443" si="150">AVERAGE(G280,G332,G384)</f>
        <v>16591</v>
      </c>
      <c r="D437" t="s">
        <v>13</v>
      </c>
      <c r="F437" s="207">
        <f t="shared" si="145"/>
        <v>5059.3999999999996</v>
      </c>
      <c r="H437" s="208">
        <f t="shared" si="146"/>
        <v>9437</v>
      </c>
      <c r="I437" s="4">
        <f t="shared" si="148"/>
        <v>0</v>
      </c>
      <c r="J437" s="35">
        <f t="shared" si="149"/>
        <v>14496.4</v>
      </c>
      <c r="K437" s="31">
        <f t="shared" si="147"/>
        <v>-100</v>
      </c>
    </row>
    <row r="438" spans="1:22" x14ac:dyDescent="0.25">
      <c r="A438" s="20">
        <f t="shared" si="138"/>
        <v>41704</v>
      </c>
      <c r="B438" s="71">
        <f t="shared" si="143"/>
        <v>26747.333333333332</v>
      </c>
      <c r="C438" s="71">
        <f t="shared" si="150"/>
        <v>17371.466666666667</v>
      </c>
      <c r="D438" t="s">
        <v>13</v>
      </c>
      <c r="F438" s="207">
        <f t="shared" si="145"/>
        <v>4933.5</v>
      </c>
      <c r="H438" s="208">
        <f t="shared" si="146"/>
        <v>9845.2000000000007</v>
      </c>
      <c r="I438" s="4">
        <f t="shared" si="148"/>
        <v>0</v>
      </c>
      <c r="J438" s="35">
        <f t="shared" si="149"/>
        <v>14778.7</v>
      </c>
      <c r="K438" s="31">
        <f t="shared" si="147"/>
        <v>-100</v>
      </c>
    </row>
    <row r="439" spans="1:22" x14ac:dyDescent="0.25">
      <c r="A439" s="20">
        <f t="shared" si="138"/>
        <v>41711</v>
      </c>
      <c r="B439" s="71">
        <f t="shared" si="143"/>
        <v>27465.666666666661</v>
      </c>
      <c r="C439" s="71">
        <f t="shared" si="150"/>
        <v>18146.266666666666</v>
      </c>
      <c r="D439" t="s">
        <v>13</v>
      </c>
      <c r="F439" s="207">
        <f t="shared" si="145"/>
        <v>4607.2</v>
      </c>
      <c r="H439" s="208">
        <f t="shared" si="146"/>
        <v>10263.6</v>
      </c>
      <c r="I439" s="4">
        <f t="shared" si="148"/>
        <v>0</v>
      </c>
      <c r="J439" s="35">
        <f t="shared" si="149"/>
        <v>14870.8</v>
      </c>
      <c r="K439" s="31">
        <f t="shared" si="147"/>
        <v>-100</v>
      </c>
    </row>
    <row r="440" spans="1:22" x14ac:dyDescent="0.25">
      <c r="A440" s="20">
        <f t="shared" si="138"/>
        <v>41718</v>
      </c>
      <c r="B440" s="71">
        <f t="shared" si="143"/>
        <v>28082.066666666666</v>
      </c>
      <c r="C440" s="71">
        <f t="shared" si="150"/>
        <v>18748.366666666665</v>
      </c>
      <c r="D440" t="s">
        <v>13</v>
      </c>
      <c r="F440" s="207">
        <f t="shared" si="145"/>
        <v>4517.8999999999996</v>
      </c>
      <c r="H440" s="208">
        <f t="shared" si="146"/>
        <v>10648.8</v>
      </c>
      <c r="I440" s="4">
        <f t="shared" si="148"/>
        <v>0</v>
      </c>
      <c r="J440" s="35">
        <f t="shared" si="149"/>
        <v>15166.699999999999</v>
      </c>
      <c r="K440" s="31">
        <f t="shared" si="147"/>
        <v>-100</v>
      </c>
    </row>
    <row r="441" spans="1:22" x14ac:dyDescent="0.25">
      <c r="A441" s="20">
        <f t="shared" si="138"/>
        <v>41725</v>
      </c>
      <c r="B441" s="71">
        <f t="shared" si="143"/>
        <v>28862.566666666666</v>
      </c>
      <c r="C441" s="71">
        <f t="shared" si="150"/>
        <v>19431.333333333332</v>
      </c>
      <c r="D441" t="s">
        <v>13</v>
      </c>
      <c r="F441" s="207">
        <f t="shared" si="145"/>
        <v>4306</v>
      </c>
      <c r="H441" s="208">
        <f t="shared" si="146"/>
        <v>11214.3</v>
      </c>
      <c r="I441" s="4">
        <f t="shared" si="148"/>
        <v>0</v>
      </c>
      <c r="J441" s="35">
        <f t="shared" si="149"/>
        <v>15520.3</v>
      </c>
      <c r="K441" s="31">
        <f t="shared" si="147"/>
        <v>-100</v>
      </c>
    </row>
    <row r="442" spans="1:22" x14ac:dyDescent="0.25">
      <c r="A442" s="20">
        <f t="shared" si="138"/>
        <v>41732</v>
      </c>
      <c r="B442" s="71">
        <f t="shared" si="143"/>
        <v>29499.5</v>
      </c>
      <c r="C442" s="71">
        <f t="shared" si="150"/>
        <v>20222.7</v>
      </c>
      <c r="D442" t="s">
        <v>13</v>
      </c>
      <c r="F442" s="207">
        <f t="shared" si="145"/>
        <v>4211.3999999999996</v>
      </c>
      <c r="H442" s="208">
        <f t="shared" si="146"/>
        <v>11494.1</v>
      </c>
      <c r="I442" s="4">
        <f t="shared" si="148"/>
        <v>0</v>
      </c>
      <c r="J442" s="35">
        <f t="shared" si="149"/>
        <v>15705.5</v>
      </c>
      <c r="K442" s="31">
        <f t="shared" si="147"/>
        <v>-100</v>
      </c>
    </row>
    <row r="443" spans="1:22" x14ac:dyDescent="0.25">
      <c r="A443" s="20">
        <f t="shared" si="138"/>
        <v>41739</v>
      </c>
      <c r="B443" s="71">
        <f t="shared" si="143"/>
        <v>30163.633333333331</v>
      </c>
      <c r="C443" s="71">
        <f t="shared" si="150"/>
        <v>20901.3</v>
      </c>
      <c r="D443" t="s">
        <v>13</v>
      </c>
      <c r="F443" s="207">
        <f t="shared" si="145"/>
        <v>4310.2</v>
      </c>
      <c r="H443" s="208">
        <f t="shared" si="146"/>
        <v>11795.6</v>
      </c>
      <c r="I443" s="4">
        <f t="shared" si="148"/>
        <v>0</v>
      </c>
      <c r="J443" s="35">
        <f t="shared" si="149"/>
        <v>16105.8</v>
      </c>
      <c r="K443" s="31">
        <f t="shared" si="147"/>
        <v>-100</v>
      </c>
    </row>
    <row r="444" spans="1:22" x14ac:dyDescent="0.25">
      <c r="A444" s="20">
        <f t="shared" si="138"/>
        <v>41746</v>
      </c>
      <c r="B444" s="71">
        <f t="shared" si="143"/>
        <v>30601.666666666672</v>
      </c>
      <c r="I444" s="4">
        <f t="shared" si="148"/>
        <v>0</v>
      </c>
      <c r="J444" s="35">
        <f t="shared" si="149"/>
        <v>0</v>
      </c>
      <c r="K444" s="31" t="e">
        <f t="shared" si="147"/>
        <v>#DIV/0!</v>
      </c>
    </row>
    <row r="445" spans="1:22" x14ac:dyDescent="0.25">
      <c r="A445" s="20">
        <f t="shared" si="138"/>
        <v>41753</v>
      </c>
      <c r="B445" s="71">
        <f t="shared" si="143"/>
        <v>31038.099999999995</v>
      </c>
      <c r="I445" s="4">
        <f t="shared" si="148"/>
        <v>0</v>
      </c>
      <c r="J445" s="35">
        <f t="shared" si="149"/>
        <v>0</v>
      </c>
      <c r="K445" s="31" t="e">
        <f t="shared" si="147"/>
        <v>#DIV/0!</v>
      </c>
    </row>
    <row r="446" spans="1:22" x14ac:dyDescent="0.25">
      <c r="A446" s="20">
        <f t="shared" si="138"/>
        <v>41760</v>
      </c>
      <c r="B446" s="71">
        <f t="shared" si="143"/>
        <v>31686.566666666666</v>
      </c>
      <c r="I446" s="4">
        <f t="shared" si="148"/>
        <v>0</v>
      </c>
      <c r="J446" s="35">
        <f t="shared" si="149"/>
        <v>0</v>
      </c>
      <c r="K446" s="31" t="e">
        <f t="shared" si="147"/>
        <v>#DIV/0!</v>
      </c>
    </row>
    <row r="447" spans="1:22" x14ac:dyDescent="0.25">
      <c r="A447" s="20">
        <f t="shared" si="138"/>
        <v>41767</v>
      </c>
      <c r="B447" s="71">
        <f t="shared" si="143"/>
        <v>31944.5</v>
      </c>
      <c r="I447" s="4">
        <f t="shared" si="148"/>
        <v>0</v>
      </c>
      <c r="J447" s="35">
        <f t="shared" si="149"/>
        <v>0</v>
      </c>
      <c r="K447" s="31" t="e">
        <f t="shared" si="147"/>
        <v>#DIV/0!</v>
      </c>
    </row>
    <row r="448" spans="1:22" x14ac:dyDescent="0.25">
      <c r="A448" s="20">
        <f t="shared" ref="A448:A511" si="151">+A447+7</f>
        <v>41774</v>
      </c>
      <c r="B448" s="71">
        <f t="shared" si="143"/>
        <v>32412.033333333336</v>
      </c>
      <c r="I448" s="4">
        <f t="shared" si="148"/>
        <v>0</v>
      </c>
      <c r="J448" s="35">
        <f t="shared" si="149"/>
        <v>0</v>
      </c>
      <c r="K448" s="31" t="e">
        <f t="shared" si="147"/>
        <v>#DIV/0!</v>
      </c>
    </row>
    <row r="449" spans="1:11" x14ac:dyDescent="0.25">
      <c r="A449" s="20">
        <f t="shared" si="151"/>
        <v>41781</v>
      </c>
      <c r="B449" s="71">
        <f t="shared" si="143"/>
        <v>32741.133333333331</v>
      </c>
      <c r="I449" s="4">
        <f t="shared" si="148"/>
        <v>0</v>
      </c>
      <c r="J449" s="35">
        <f t="shared" si="149"/>
        <v>0</v>
      </c>
      <c r="K449" s="31" t="e">
        <f t="shared" si="147"/>
        <v>#DIV/0!</v>
      </c>
    </row>
    <row r="450" spans="1:11" x14ac:dyDescent="0.25">
      <c r="A450" s="20">
        <f t="shared" si="151"/>
        <v>41788</v>
      </c>
      <c r="B450" s="71">
        <f t="shared" si="143"/>
        <v>32989.866666666669</v>
      </c>
      <c r="I450" s="4">
        <f t="shared" si="148"/>
        <v>0</v>
      </c>
      <c r="J450" s="35">
        <f t="shared" si="149"/>
        <v>0</v>
      </c>
      <c r="K450" s="31" t="e">
        <f t="shared" si="147"/>
        <v>#DIV/0!</v>
      </c>
    </row>
    <row r="451" spans="1:11" x14ac:dyDescent="0.25">
      <c r="A451" s="20">
        <f t="shared" si="151"/>
        <v>41795</v>
      </c>
      <c r="B451" s="71">
        <f t="shared" si="143"/>
        <v>33216.299999999996</v>
      </c>
      <c r="I451" s="4">
        <f t="shared" si="148"/>
        <v>0</v>
      </c>
      <c r="J451" s="35">
        <f t="shared" si="149"/>
        <v>0</v>
      </c>
      <c r="K451" s="31" t="e">
        <f t="shared" si="147"/>
        <v>#DIV/0!</v>
      </c>
    </row>
    <row r="452" spans="1:11" x14ac:dyDescent="0.25">
      <c r="A452" s="20">
        <f t="shared" si="151"/>
        <v>41802</v>
      </c>
      <c r="B452" s="71">
        <f t="shared" si="143"/>
        <v>33372.766666666663</v>
      </c>
      <c r="I452" s="4">
        <f t="shared" si="148"/>
        <v>0</v>
      </c>
      <c r="J452" s="35">
        <f t="shared" si="149"/>
        <v>0</v>
      </c>
      <c r="K452" s="31" t="e">
        <f t="shared" si="147"/>
        <v>#DIV/0!</v>
      </c>
    </row>
    <row r="453" spans="1:11" x14ac:dyDescent="0.25">
      <c r="A453" s="20">
        <f t="shared" si="151"/>
        <v>41809</v>
      </c>
      <c r="B453" s="71">
        <f t="shared" si="143"/>
        <v>33611.26666666667</v>
      </c>
      <c r="I453" s="4">
        <f t="shared" si="148"/>
        <v>0</v>
      </c>
      <c r="J453" s="35">
        <f t="shared" si="149"/>
        <v>0</v>
      </c>
      <c r="K453" s="31" t="e">
        <f t="shared" si="147"/>
        <v>#DIV/0!</v>
      </c>
    </row>
    <row r="454" spans="1:11" x14ac:dyDescent="0.25">
      <c r="A454" s="20">
        <f t="shared" si="151"/>
        <v>41816</v>
      </c>
      <c r="B454" s="71">
        <f t="shared" si="143"/>
        <v>34018.333333333336</v>
      </c>
      <c r="I454" s="4">
        <f t="shared" si="148"/>
        <v>0</v>
      </c>
      <c r="J454" s="35">
        <f t="shared" si="149"/>
        <v>0</v>
      </c>
      <c r="K454" s="31" t="e">
        <f t="shared" si="147"/>
        <v>#DIV/0!</v>
      </c>
    </row>
    <row r="455" spans="1:11" x14ac:dyDescent="0.25">
      <c r="A455" s="20">
        <f t="shared" si="151"/>
        <v>41823</v>
      </c>
      <c r="B455" s="71">
        <f t="shared" si="143"/>
        <v>34309.73333333333</v>
      </c>
      <c r="I455" s="4">
        <f t="shared" si="148"/>
        <v>0</v>
      </c>
      <c r="J455" s="35">
        <f t="shared" si="149"/>
        <v>0</v>
      </c>
      <c r="K455" s="31" t="e">
        <f t="shared" si="147"/>
        <v>#DIV/0!</v>
      </c>
    </row>
    <row r="456" spans="1:11" x14ac:dyDescent="0.25">
      <c r="A456" s="20">
        <f t="shared" si="151"/>
        <v>41830</v>
      </c>
      <c r="B456" s="71">
        <f t="shared" si="143"/>
        <v>34658.466666666667</v>
      </c>
      <c r="I456" s="4">
        <f t="shared" si="148"/>
        <v>0</v>
      </c>
      <c r="J456" s="35">
        <f t="shared" si="149"/>
        <v>0</v>
      </c>
      <c r="K456" s="31" t="e">
        <f t="shared" si="147"/>
        <v>#DIV/0!</v>
      </c>
    </row>
    <row r="457" spans="1:11" x14ac:dyDescent="0.25">
      <c r="A457" s="20">
        <f t="shared" si="151"/>
        <v>41837</v>
      </c>
      <c r="B457" s="71">
        <f t="shared" si="143"/>
        <v>34862.966666666667</v>
      </c>
      <c r="I457" s="4">
        <f t="shared" si="148"/>
        <v>0</v>
      </c>
      <c r="J457" s="35">
        <f t="shared" si="149"/>
        <v>0</v>
      </c>
      <c r="K457" s="31" t="e">
        <f t="shared" si="147"/>
        <v>#DIV/0!</v>
      </c>
    </row>
    <row r="458" spans="1:11" x14ac:dyDescent="0.25">
      <c r="A458" s="20">
        <f t="shared" si="151"/>
        <v>41844</v>
      </c>
      <c r="B458" s="71">
        <f t="shared" si="143"/>
        <v>34961.1</v>
      </c>
      <c r="I458" s="4">
        <f t="shared" si="148"/>
        <v>0</v>
      </c>
      <c r="J458" s="35">
        <f t="shared" si="149"/>
        <v>0</v>
      </c>
      <c r="K458" s="31" t="e">
        <f t="shared" si="147"/>
        <v>#DIV/0!</v>
      </c>
    </row>
    <row r="459" spans="1:11" x14ac:dyDescent="0.25">
      <c r="A459" s="20">
        <f t="shared" si="151"/>
        <v>41851</v>
      </c>
      <c r="B459" s="71">
        <f t="shared" si="143"/>
        <v>35164.400000000001</v>
      </c>
      <c r="I459" s="4">
        <f t="shared" si="148"/>
        <v>0</v>
      </c>
      <c r="J459" s="35">
        <f t="shared" si="149"/>
        <v>0</v>
      </c>
      <c r="K459" s="31" t="e">
        <f t="shared" si="147"/>
        <v>#DIV/0!</v>
      </c>
    </row>
    <row r="460" spans="1:11" x14ac:dyDescent="0.25">
      <c r="A460" s="20">
        <f t="shared" si="151"/>
        <v>41858</v>
      </c>
      <c r="B460" s="71">
        <f t="shared" si="143"/>
        <v>35466.400000000001</v>
      </c>
      <c r="I460" s="4">
        <f t="shared" si="148"/>
        <v>0</v>
      </c>
      <c r="J460" s="35">
        <f t="shared" si="149"/>
        <v>0</v>
      </c>
      <c r="K460" s="31" t="e">
        <f t="shared" si="147"/>
        <v>#DIV/0!</v>
      </c>
    </row>
    <row r="461" spans="1:11" x14ac:dyDescent="0.25">
      <c r="A461" s="20">
        <f t="shared" si="151"/>
        <v>41865</v>
      </c>
      <c r="B461" s="71">
        <f t="shared" si="143"/>
        <v>35568.866666666661</v>
      </c>
      <c r="I461" s="4">
        <f t="shared" si="148"/>
        <v>0</v>
      </c>
      <c r="J461" s="35">
        <f t="shared" si="149"/>
        <v>0</v>
      </c>
      <c r="K461" s="31" t="e">
        <f t="shared" si="147"/>
        <v>#DIV/0!</v>
      </c>
    </row>
    <row r="462" spans="1:11" x14ac:dyDescent="0.25">
      <c r="A462" s="20">
        <f t="shared" si="151"/>
        <v>41872</v>
      </c>
      <c r="B462" s="71">
        <f t="shared" si="143"/>
        <v>35752.299999999996</v>
      </c>
      <c r="I462" s="4">
        <f t="shared" si="148"/>
        <v>0</v>
      </c>
      <c r="J462" s="35">
        <f t="shared" si="149"/>
        <v>0</v>
      </c>
      <c r="K462" s="31" t="e">
        <f t="shared" si="147"/>
        <v>#DIV/0!</v>
      </c>
    </row>
    <row r="463" spans="1:11" x14ac:dyDescent="0.25">
      <c r="A463" s="20">
        <f t="shared" si="151"/>
        <v>41879</v>
      </c>
      <c r="B463" s="71">
        <f t="shared" si="143"/>
        <v>35629.1</v>
      </c>
      <c r="I463" s="4">
        <f t="shared" si="148"/>
        <v>0</v>
      </c>
      <c r="J463" s="35">
        <f t="shared" si="149"/>
        <v>0</v>
      </c>
      <c r="K463" s="31" t="e">
        <f t="shared" si="147"/>
        <v>#DIV/0!</v>
      </c>
    </row>
    <row r="464" spans="1:11" x14ac:dyDescent="0.25">
      <c r="A464" s="20">
        <f t="shared" si="151"/>
        <v>41886</v>
      </c>
      <c r="I464" s="4">
        <f t="shared" si="148"/>
        <v>0</v>
      </c>
      <c r="J464" s="35">
        <f t="shared" si="149"/>
        <v>0</v>
      </c>
      <c r="K464" s="31" t="e">
        <f t="shared" si="147"/>
        <v>#DIV/0!</v>
      </c>
    </row>
    <row r="465" spans="1:11" x14ac:dyDescent="0.25">
      <c r="A465" s="20">
        <f t="shared" si="151"/>
        <v>41893</v>
      </c>
      <c r="I465" s="4">
        <f t="shared" si="148"/>
        <v>0</v>
      </c>
      <c r="J465" s="35">
        <f t="shared" si="149"/>
        <v>0</v>
      </c>
      <c r="K465" s="31" t="e">
        <f t="shared" si="147"/>
        <v>#DIV/0!</v>
      </c>
    </row>
    <row r="466" spans="1:11" x14ac:dyDescent="0.25">
      <c r="A466" s="20">
        <f t="shared" si="151"/>
        <v>41900</v>
      </c>
      <c r="I466" s="4">
        <f t="shared" si="148"/>
        <v>0</v>
      </c>
      <c r="J466" s="35">
        <f t="shared" si="149"/>
        <v>0</v>
      </c>
      <c r="K466" s="31" t="e">
        <f t="shared" si="147"/>
        <v>#DIV/0!</v>
      </c>
    </row>
    <row r="467" spans="1:11" x14ac:dyDescent="0.25">
      <c r="A467" s="20">
        <f t="shared" si="151"/>
        <v>41907</v>
      </c>
      <c r="I467" s="4">
        <f t="shared" si="148"/>
        <v>0</v>
      </c>
      <c r="J467" s="35">
        <f t="shared" si="149"/>
        <v>0</v>
      </c>
      <c r="K467" s="31" t="e">
        <f t="shared" si="147"/>
        <v>#DIV/0!</v>
      </c>
    </row>
    <row r="468" spans="1:11" x14ac:dyDescent="0.25">
      <c r="A468" s="20">
        <f t="shared" si="151"/>
        <v>41914</v>
      </c>
      <c r="I468" s="4">
        <f t="shared" si="148"/>
        <v>0</v>
      </c>
      <c r="J468" s="35">
        <f t="shared" si="149"/>
        <v>0</v>
      </c>
      <c r="K468" s="31" t="e">
        <f t="shared" si="147"/>
        <v>#DIV/0!</v>
      </c>
    </row>
    <row r="469" spans="1:11" x14ac:dyDescent="0.25">
      <c r="A469" s="20">
        <f t="shared" si="151"/>
        <v>41921</v>
      </c>
      <c r="I469" s="4">
        <f t="shared" si="148"/>
        <v>0</v>
      </c>
      <c r="J469" s="35">
        <f t="shared" si="149"/>
        <v>0</v>
      </c>
      <c r="K469" s="31" t="e">
        <f t="shared" si="147"/>
        <v>#DIV/0!</v>
      </c>
    </row>
    <row r="470" spans="1:11" x14ac:dyDescent="0.25">
      <c r="A470" s="20">
        <f t="shared" si="151"/>
        <v>41928</v>
      </c>
      <c r="I470" s="4">
        <f t="shared" si="148"/>
        <v>0</v>
      </c>
      <c r="J470" s="35">
        <f t="shared" si="149"/>
        <v>0</v>
      </c>
      <c r="K470" s="31" t="e">
        <f t="shared" si="147"/>
        <v>#DIV/0!</v>
      </c>
    </row>
    <row r="471" spans="1:11" x14ac:dyDescent="0.25">
      <c r="A471" s="20">
        <f t="shared" si="151"/>
        <v>41935</v>
      </c>
      <c r="I471" s="4">
        <f t="shared" si="148"/>
        <v>0</v>
      </c>
      <c r="J471" s="35">
        <f t="shared" si="149"/>
        <v>0</v>
      </c>
      <c r="K471" s="31" t="e">
        <f t="shared" si="147"/>
        <v>#DIV/0!</v>
      </c>
    </row>
    <row r="472" spans="1:11" x14ac:dyDescent="0.25">
      <c r="A472" s="20">
        <f t="shared" si="151"/>
        <v>41942</v>
      </c>
      <c r="I472" s="4">
        <f t="shared" si="148"/>
        <v>0</v>
      </c>
      <c r="J472" s="35">
        <f t="shared" si="149"/>
        <v>0</v>
      </c>
      <c r="K472" s="31" t="e">
        <f t="shared" si="147"/>
        <v>#DIV/0!</v>
      </c>
    </row>
    <row r="473" spans="1:11" x14ac:dyDescent="0.25">
      <c r="A473" s="20">
        <f t="shared" si="151"/>
        <v>41949</v>
      </c>
      <c r="I473" s="4">
        <f t="shared" si="148"/>
        <v>0</v>
      </c>
      <c r="J473" s="35">
        <f t="shared" si="149"/>
        <v>0</v>
      </c>
      <c r="K473" s="31" t="e">
        <f t="shared" si="147"/>
        <v>#DIV/0!</v>
      </c>
    </row>
    <row r="474" spans="1:11" x14ac:dyDescent="0.25">
      <c r="A474" s="20">
        <f t="shared" si="151"/>
        <v>41956</v>
      </c>
      <c r="I474" s="4">
        <f t="shared" si="148"/>
        <v>0</v>
      </c>
      <c r="J474" s="35">
        <f t="shared" si="149"/>
        <v>0</v>
      </c>
      <c r="K474" s="31" t="e">
        <f t="shared" si="147"/>
        <v>#DIV/0!</v>
      </c>
    </row>
    <row r="475" spans="1:11" x14ac:dyDescent="0.25">
      <c r="A475" s="20">
        <f t="shared" si="151"/>
        <v>41963</v>
      </c>
    </row>
    <row r="476" spans="1:11" x14ac:dyDescent="0.25">
      <c r="A476" s="20">
        <f t="shared" si="151"/>
        <v>41970</v>
      </c>
    </row>
    <row r="477" spans="1:11" x14ac:dyDescent="0.25">
      <c r="A477" s="20">
        <f t="shared" si="151"/>
        <v>41977</v>
      </c>
    </row>
    <row r="478" spans="1:11" x14ac:dyDescent="0.25">
      <c r="A478" s="20">
        <f t="shared" si="151"/>
        <v>41984</v>
      </c>
    </row>
    <row r="479" spans="1:11" x14ac:dyDescent="0.25">
      <c r="A479" s="20">
        <f t="shared" si="151"/>
        <v>41991</v>
      </c>
    </row>
    <row r="480" spans="1:11" x14ac:dyDescent="0.25">
      <c r="A480" s="20">
        <f t="shared" si="151"/>
        <v>41998</v>
      </c>
    </row>
    <row r="481" spans="1:1" x14ac:dyDescent="0.25">
      <c r="A481" s="20">
        <f t="shared" si="151"/>
        <v>42005</v>
      </c>
    </row>
    <row r="482" spans="1:1" x14ac:dyDescent="0.25">
      <c r="A482" s="20">
        <f t="shared" si="151"/>
        <v>42012</v>
      </c>
    </row>
    <row r="483" spans="1:1" x14ac:dyDescent="0.25">
      <c r="A483" s="20">
        <f t="shared" si="151"/>
        <v>42019</v>
      </c>
    </row>
    <row r="484" spans="1:1" x14ac:dyDescent="0.25">
      <c r="A484" s="20">
        <f t="shared" si="151"/>
        <v>42026</v>
      </c>
    </row>
    <row r="485" spans="1:1" x14ac:dyDescent="0.25">
      <c r="A485" s="20">
        <f t="shared" si="151"/>
        <v>42033</v>
      </c>
    </row>
    <row r="486" spans="1:1" x14ac:dyDescent="0.25">
      <c r="A486" s="20">
        <f t="shared" si="151"/>
        <v>42040</v>
      </c>
    </row>
    <row r="487" spans="1:1" x14ac:dyDescent="0.25">
      <c r="A487" s="20">
        <f t="shared" si="151"/>
        <v>42047</v>
      </c>
    </row>
    <row r="488" spans="1:1" x14ac:dyDescent="0.25">
      <c r="A488" s="20">
        <f t="shared" si="151"/>
        <v>42054</v>
      </c>
    </row>
    <row r="489" spans="1:1" x14ac:dyDescent="0.25">
      <c r="A489" s="20">
        <f t="shared" si="151"/>
        <v>42061</v>
      </c>
    </row>
    <row r="490" spans="1:1" x14ac:dyDescent="0.25">
      <c r="A490" s="20">
        <f t="shared" si="151"/>
        <v>42068</v>
      </c>
    </row>
    <row r="491" spans="1:1" x14ac:dyDescent="0.25">
      <c r="A491" s="20">
        <f t="shared" si="151"/>
        <v>42075</v>
      </c>
    </row>
    <row r="492" spans="1:1" x14ac:dyDescent="0.25">
      <c r="A492" s="20">
        <f t="shared" si="151"/>
        <v>42082</v>
      </c>
    </row>
    <row r="493" spans="1:1" x14ac:dyDescent="0.25">
      <c r="A493" s="20">
        <f t="shared" si="151"/>
        <v>42089</v>
      </c>
    </row>
    <row r="494" spans="1:1" x14ac:dyDescent="0.25">
      <c r="A494" s="20">
        <f t="shared" si="151"/>
        <v>42096</v>
      </c>
    </row>
    <row r="495" spans="1:1" x14ac:dyDescent="0.25">
      <c r="A495" s="20">
        <f t="shared" si="151"/>
        <v>42103</v>
      </c>
    </row>
    <row r="496" spans="1:1" x14ac:dyDescent="0.25">
      <c r="A496" s="20">
        <f t="shared" si="151"/>
        <v>42110</v>
      </c>
    </row>
    <row r="497" spans="1:1" x14ac:dyDescent="0.25">
      <c r="A497" s="20">
        <f t="shared" si="151"/>
        <v>42117</v>
      </c>
    </row>
    <row r="498" spans="1:1" x14ac:dyDescent="0.25">
      <c r="A498" s="20">
        <f t="shared" si="151"/>
        <v>42124</v>
      </c>
    </row>
    <row r="499" spans="1:1" x14ac:dyDescent="0.25">
      <c r="A499" s="20">
        <f t="shared" si="151"/>
        <v>42131</v>
      </c>
    </row>
    <row r="500" spans="1:1" x14ac:dyDescent="0.25">
      <c r="A500" s="20">
        <f t="shared" si="151"/>
        <v>42138</v>
      </c>
    </row>
    <row r="501" spans="1:1" x14ac:dyDescent="0.25">
      <c r="A501" s="20">
        <f t="shared" si="151"/>
        <v>42145</v>
      </c>
    </row>
    <row r="502" spans="1:1" x14ac:dyDescent="0.25">
      <c r="A502" s="20">
        <f t="shared" si="151"/>
        <v>42152</v>
      </c>
    </row>
    <row r="503" spans="1:1" x14ac:dyDescent="0.25">
      <c r="A503" s="20">
        <f t="shared" si="151"/>
        <v>42159</v>
      </c>
    </row>
    <row r="504" spans="1:1" x14ac:dyDescent="0.25">
      <c r="A504" s="20">
        <f t="shared" si="151"/>
        <v>42166</v>
      </c>
    </row>
    <row r="505" spans="1:1" x14ac:dyDescent="0.25">
      <c r="A505" s="20">
        <f t="shared" si="151"/>
        <v>42173</v>
      </c>
    </row>
    <row r="506" spans="1:1" x14ac:dyDescent="0.25">
      <c r="A506" s="20">
        <f t="shared" si="151"/>
        <v>42180</v>
      </c>
    </row>
    <row r="507" spans="1:1" x14ac:dyDescent="0.25">
      <c r="A507" s="20">
        <f t="shared" si="151"/>
        <v>42187</v>
      </c>
    </row>
    <row r="508" spans="1:1" x14ac:dyDescent="0.25">
      <c r="A508" s="20">
        <f t="shared" si="151"/>
        <v>42194</v>
      </c>
    </row>
    <row r="509" spans="1:1" x14ac:dyDescent="0.25">
      <c r="A509" s="20">
        <f t="shared" si="151"/>
        <v>42201</v>
      </c>
    </row>
    <row r="510" spans="1:1" x14ac:dyDescent="0.25">
      <c r="A510" s="20">
        <f t="shared" si="151"/>
        <v>42208</v>
      </c>
    </row>
    <row r="511" spans="1:1" x14ac:dyDescent="0.25">
      <c r="A511" s="20">
        <f t="shared" si="151"/>
        <v>42215</v>
      </c>
    </row>
    <row r="512" spans="1:1" x14ac:dyDescent="0.25">
      <c r="A512" s="20">
        <f t="shared" ref="A512:A575" si="152">+A511+7</f>
        <v>42222</v>
      </c>
    </row>
    <row r="513" spans="1:1" x14ac:dyDescent="0.25">
      <c r="A513" s="20">
        <f t="shared" si="152"/>
        <v>42229</v>
      </c>
    </row>
    <row r="514" spans="1:1" x14ac:dyDescent="0.25">
      <c r="A514" s="20">
        <f t="shared" si="152"/>
        <v>42236</v>
      </c>
    </row>
    <row r="515" spans="1:1" x14ac:dyDescent="0.25">
      <c r="A515" s="20">
        <f t="shared" si="152"/>
        <v>42243</v>
      </c>
    </row>
    <row r="516" spans="1:1" x14ac:dyDescent="0.25">
      <c r="A516" s="20">
        <f t="shared" si="152"/>
        <v>42250</v>
      </c>
    </row>
    <row r="517" spans="1:1" x14ac:dyDescent="0.25">
      <c r="A517" s="20">
        <f t="shared" si="152"/>
        <v>42257</v>
      </c>
    </row>
    <row r="518" spans="1:1" x14ac:dyDescent="0.25">
      <c r="A518" s="20">
        <f t="shared" si="152"/>
        <v>42264</v>
      </c>
    </row>
    <row r="519" spans="1:1" x14ac:dyDescent="0.25">
      <c r="A519" s="20">
        <f t="shared" si="152"/>
        <v>42271</v>
      </c>
    </row>
    <row r="520" spans="1:1" x14ac:dyDescent="0.25">
      <c r="A520" s="20">
        <f t="shared" si="152"/>
        <v>42278</v>
      </c>
    </row>
    <row r="521" spans="1:1" x14ac:dyDescent="0.25">
      <c r="A521" s="20">
        <f t="shared" si="152"/>
        <v>42285</v>
      </c>
    </row>
    <row r="522" spans="1:1" x14ac:dyDescent="0.25">
      <c r="A522" s="20">
        <f t="shared" si="152"/>
        <v>42292</v>
      </c>
    </row>
    <row r="523" spans="1:1" x14ac:dyDescent="0.25">
      <c r="A523" s="20">
        <f t="shared" si="152"/>
        <v>42299</v>
      </c>
    </row>
    <row r="524" spans="1:1" x14ac:dyDescent="0.25">
      <c r="A524" s="20">
        <f t="shared" si="152"/>
        <v>42306</v>
      </c>
    </row>
    <row r="525" spans="1:1" x14ac:dyDescent="0.25">
      <c r="A525" s="20">
        <f t="shared" si="152"/>
        <v>42313</v>
      </c>
    </row>
    <row r="526" spans="1:1" x14ac:dyDescent="0.25">
      <c r="A526" s="20">
        <f t="shared" si="152"/>
        <v>42320</v>
      </c>
    </row>
    <row r="527" spans="1:1" x14ac:dyDescent="0.25">
      <c r="A527" s="20">
        <f t="shared" si="152"/>
        <v>42327</v>
      </c>
    </row>
    <row r="528" spans="1:1" x14ac:dyDescent="0.25">
      <c r="A528" s="20">
        <f t="shared" si="152"/>
        <v>42334</v>
      </c>
    </row>
    <row r="529" spans="1:1" x14ac:dyDescent="0.25">
      <c r="A529" s="20">
        <f t="shared" si="152"/>
        <v>42341</v>
      </c>
    </row>
    <row r="530" spans="1:1" x14ac:dyDescent="0.25">
      <c r="A530" s="20">
        <f t="shared" si="152"/>
        <v>42348</v>
      </c>
    </row>
    <row r="531" spans="1:1" x14ac:dyDescent="0.25">
      <c r="A531" s="20">
        <f t="shared" si="152"/>
        <v>42355</v>
      </c>
    </row>
    <row r="532" spans="1:1" x14ac:dyDescent="0.25">
      <c r="A532" s="20">
        <f t="shared" si="152"/>
        <v>42362</v>
      </c>
    </row>
    <row r="533" spans="1:1" x14ac:dyDescent="0.25">
      <c r="A533" s="20">
        <f t="shared" si="152"/>
        <v>42369</v>
      </c>
    </row>
    <row r="534" spans="1:1" x14ac:dyDescent="0.25">
      <c r="A534" s="20">
        <f t="shared" si="152"/>
        <v>42376</v>
      </c>
    </row>
    <row r="535" spans="1:1" x14ac:dyDescent="0.25">
      <c r="A535" s="20">
        <f t="shared" si="152"/>
        <v>42383</v>
      </c>
    </row>
    <row r="536" spans="1:1" x14ac:dyDescent="0.25">
      <c r="A536" s="20">
        <f t="shared" si="152"/>
        <v>42390</v>
      </c>
    </row>
    <row r="537" spans="1:1" x14ac:dyDescent="0.25">
      <c r="A537" s="20">
        <f t="shared" si="152"/>
        <v>42397</v>
      </c>
    </row>
    <row r="538" spans="1:1" x14ac:dyDescent="0.25">
      <c r="A538" s="20">
        <f t="shared" si="152"/>
        <v>42404</v>
      </c>
    </row>
    <row r="539" spans="1:1" x14ac:dyDescent="0.25">
      <c r="A539" s="20">
        <f t="shared" si="152"/>
        <v>42411</v>
      </c>
    </row>
    <row r="540" spans="1:1" x14ac:dyDescent="0.25">
      <c r="A540" s="20">
        <f t="shared" si="152"/>
        <v>42418</v>
      </c>
    </row>
    <row r="541" spans="1:1" x14ac:dyDescent="0.25">
      <c r="A541" s="20">
        <f t="shared" si="152"/>
        <v>42425</v>
      </c>
    </row>
    <row r="542" spans="1:1" x14ac:dyDescent="0.25">
      <c r="A542" s="20">
        <f t="shared" si="152"/>
        <v>42432</v>
      </c>
    </row>
    <row r="543" spans="1:1" x14ac:dyDescent="0.25">
      <c r="A543" s="20">
        <f t="shared" si="152"/>
        <v>42439</v>
      </c>
    </row>
    <row r="544" spans="1:1" x14ac:dyDescent="0.25">
      <c r="A544" s="20">
        <f t="shared" si="152"/>
        <v>42446</v>
      </c>
    </row>
    <row r="545" spans="1:1" x14ac:dyDescent="0.25">
      <c r="A545" s="20">
        <f t="shared" si="152"/>
        <v>42453</v>
      </c>
    </row>
    <row r="546" spans="1:1" x14ac:dyDescent="0.25">
      <c r="A546" s="20">
        <f t="shared" si="152"/>
        <v>42460</v>
      </c>
    </row>
    <row r="547" spans="1:1" x14ac:dyDescent="0.25">
      <c r="A547" s="20">
        <f t="shared" si="152"/>
        <v>42467</v>
      </c>
    </row>
    <row r="548" spans="1:1" x14ac:dyDescent="0.25">
      <c r="A548" s="20">
        <f t="shared" si="152"/>
        <v>42474</v>
      </c>
    </row>
    <row r="549" spans="1:1" x14ac:dyDescent="0.25">
      <c r="A549" s="20">
        <f t="shared" si="152"/>
        <v>42481</v>
      </c>
    </row>
    <row r="550" spans="1:1" x14ac:dyDescent="0.25">
      <c r="A550" s="20">
        <f t="shared" si="152"/>
        <v>42488</v>
      </c>
    </row>
    <row r="551" spans="1:1" x14ac:dyDescent="0.25">
      <c r="A551" s="20">
        <f t="shared" si="152"/>
        <v>42495</v>
      </c>
    </row>
    <row r="552" spans="1:1" x14ac:dyDescent="0.25">
      <c r="A552" s="20">
        <f t="shared" si="152"/>
        <v>42502</v>
      </c>
    </row>
    <row r="553" spans="1:1" x14ac:dyDescent="0.25">
      <c r="A553" s="20">
        <f t="shared" si="152"/>
        <v>42509</v>
      </c>
    </row>
    <row r="554" spans="1:1" x14ac:dyDescent="0.25">
      <c r="A554" s="20">
        <f t="shared" si="152"/>
        <v>42516</v>
      </c>
    </row>
    <row r="555" spans="1:1" x14ac:dyDescent="0.25">
      <c r="A555" s="20">
        <f t="shared" si="152"/>
        <v>42523</v>
      </c>
    </row>
    <row r="556" spans="1:1" x14ac:dyDescent="0.25">
      <c r="A556" s="20">
        <f t="shared" si="152"/>
        <v>42530</v>
      </c>
    </row>
    <row r="557" spans="1:1" x14ac:dyDescent="0.25">
      <c r="A557" s="20">
        <f t="shared" si="152"/>
        <v>42537</v>
      </c>
    </row>
    <row r="558" spans="1:1" x14ac:dyDescent="0.25">
      <c r="A558" s="20">
        <f t="shared" si="152"/>
        <v>42544</v>
      </c>
    </row>
    <row r="559" spans="1:1" x14ac:dyDescent="0.25">
      <c r="A559" s="20">
        <f t="shared" si="152"/>
        <v>42551</v>
      </c>
    </row>
    <row r="560" spans="1:1" x14ac:dyDescent="0.25">
      <c r="A560" s="20">
        <f t="shared" si="152"/>
        <v>42558</v>
      </c>
    </row>
    <row r="561" spans="1:1" x14ac:dyDescent="0.25">
      <c r="A561" s="20">
        <f t="shared" si="152"/>
        <v>42565</v>
      </c>
    </row>
    <row r="562" spans="1:1" x14ac:dyDescent="0.25">
      <c r="A562" s="20">
        <f t="shared" si="152"/>
        <v>42572</v>
      </c>
    </row>
    <row r="563" spans="1:1" x14ac:dyDescent="0.25">
      <c r="A563" s="20">
        <f t="shared" si="152"/>
        <v>42579</v>
      </c>
    </row>
    <row r="564" spans="1:1" x14ac:dyDescent="0.25">
      <c r="A564" s="20">
        <f t="shared" si="152"/>
        <v>42586</v>
      </c>
    </row>
    <row r="565" spans="1:1" x14ac:dyDescent="0.25">
      <c r="A565" s="20">
        <f t="shared" si="152"/>
        <v>42593</v>
      </c>
    </row>
    <row r="566" spans="1:1" x14ac:dyDescent="0.25">
      <c r="A566" s="20">
        <f t="shared" si="152"/>
        <v>42600</v>
      </c>
    </row>
    <row r="567" spans="1:1" x14ac:dyDescent="0.25">
      <c r="A567" s="20">
        <f t="shared" si="152"/>
        <v>42607</v>
      </c>
    </row>
    <row r="568" spans="1:1" x14ac:dyDescent="0.25">
      <c r="A568" s="20">
        <f t="shared" si="152"/>
        <v>42614</v>
      </c>
    </row>
    <row r="569" spans="1:1" x14ac:dyDescent="0.25">
      <c r="A569" s="20">
        <f t="shared" si="152"/>
        <v>42621</v>
      </c>
    </row>
    <row r="570" spans="1:1" x14ac:dyDescent="0.25">
      <c r="A570" s="20">
        <f t="shared" si="152"/>
        <v>42628</v>
      </c>
    </row>
    <row r="571" spans="1:1" x14ac:dyDescent="0.25">
      <c r="A571" s="20">
        <f t="shared" si="152"/>
        <v>42635</v>
      </c>
    </row>
    <row r="572" spans="1:1" x14ac:dyDescent="0.25">
      <c r="A572" s="20">
        <f t="shared" si="152"/>
        <v>42642</v>
      </c>
    </row>
    <row r="573" spans="1:1" x14ac:dyDescent="0.25">
      <c r="A573" s="20">
        <f t="shared" si="152"/>
        <v>42649</v>
      </c>
    </row>
    <row r="574" spans="1:1" x14ac:dyDescent="0.25">
      <c r="A574" s="20">
        <f t="shared" si="152"/>
        <v>42656</v>
      </c>
    </row>
    <row r="575" spans="1:1" x14ac:dyDescent="0.25">
      <c r="A575" s="20">
        <f t="shared" si="152"/>
        <v>42663</v>
      </c>
    </row>
    <row r="576" spans="1:1" x14ac:dyDescent="0.25">
      <c r="A576" s="20">
        <f t="shared" ref="A576:A639" si="153">+A575+7</f>
        <v>42670</v>
      </c>
    </row>
    <row r="577" spans="1:1" x14ac:dyDescent="0.25">
      <c r="A577" s="20">
        <f t="shared" si="153"/>
        <v>42677</v>
      </c>
    </row>
    <row r="578" spans="1:1" x14ac:dyDescent="0.25">
      <c r="A578" s="20">
        <f t="shared" si="153"/>
        <v>42684</v>
      </c>
    </row>
    <row r="579" spans="1:1" x14ac:dyDescent="0.25">
      <c r="A579" s="20">
        <f t="shared" si="153"/>
        <v>42691</v>
      </c>
    </row>
    <row r="580" spans="1:1" x14ac:dyDescent="0.25">
      <c r="A580" s="20">
        <f t="shared" si="153"/>
        <v>42698</v>
      </c>
    </row>
    <row r="581" spans="1:1" x14ac:dyDescent="0.25">
      <c r="A581" s="20">
        <f t="shared" si="153"/>
        <v>42705</v>
      </c>
    </row>
    <row r="582" spans="1:1" x14ac:dyDescent="0.25">
      <c r="A582" s="20">
        <f t="shared" si="153"/>
        <v>42712</v>
      </c>
    </row>
    <row r="583" spans="1:1" x14ac:dyDescent="0.25">
      <c r="A583" s="20">
        <f t="shared" si="153"/>
        <v>42719</v>
      </c>
    </row>
    <row r="584" spans="1:1" x14ac:dyDescent="0.25">
      <c r="A584" s="20">
        <f t="shared" si="153"/>
        <v>42726</v>
      </c>
    </row>
    <row r="585" spans="1:1" x14ac:dyDescent="0.25">
      <c r="A585" s="20">
        <f t="shared" si="153"/>
        <v>42733</v>
      </c>
    </row>
    <row r="586" spans="1:1" x14ac:dyDescent="0.25">
      <c r="A586" s="20">
        <f t="shared" si="153"/>
        <v>42740</v>
      </c>
    </row>
    <row r="587" spans="1:1" x14ac:dyDescent="0.25">
      <c r="A587" s="20">
        <f t="shared" si="153"/>
        <v>42747</v>
      </c>
    </row>
    <row r="588" spans="1:1" x14ac:dyDescent="0.25">
      <c r="A588" s="20">
        <f t="shared" si="153"/>
        <v>42754</v>
      </c>
    </row>
    <row r="589" spans="1:1" x14ac:dyDescent="0.25">
      <c r="A589" s="20">
        <f t="shared" si="153"/>
        <v>42761</v>
      </c>
    </row>
    <row r="590" spans="1:1" x14ac:dyDescent="0.25">
      <c r="A590" s="20">
        <f t="shared" si="153"/>
        <v>42768</v>
      </c>
    </row>
    <row r="591" spans="1:1" x14ac:dyDescent="0.25">
      <c r="A591" s="20">
        <f t="shared" si="153"/>
        <v>42775</v>
      </c>
    </row>
    <row r="592" spans="1:1" x14ac:dyDescent="0.25">
      <c r="A592" s="20">
        <f t="shared" si="153"/>
        <v>42782</v>
      </c>
    </row>
    <row r="593" spans="1:1" x14ac:dyDescent="0.25">
      <c r="A593" s="20">
        <f t="shared" si="153"/>
        <v>42789</v>
      </c>
    </row>
    <row r="594" spans="1:1" x14ac:dyDescent="0.25">
      <c r="A594" s="20">
        <f t="shared" si="153"/>
        <v>42796</v>
      </c>
    </row>
    <row r="595" spans="1:1" x14ac:dyDescent="0.25">
      <c r="A595" s="20">
        <f t="shared" si="153"/>
        <v>42803</v>
      </c>
    </row>
    <row r="596" spans="1:1" x14ac:dyDescent="0.25">
      <c r="A596" s="20">
        <f t="shared" si="153"/>
        <v>42810</v>
      </c>
    </row>
    <row r="597" spans="1:1" x14ac:dyDescent="0.25">
      <c r="A597" s="20">
        <f t="shared" si="153"/>
        <v>42817</v>
      </c>
    </row>
    <row r="598" spans="1:1" x14ac:dyDescent="0.25">
      <c r="A598" s="20">
        <f t="shared" si="153"/>
        <v>42824</v>
      </c>
    </row>
    <row r="599" spans="1:1" x14ac:dyDescent="0.25">
      <c r="A599" s="20">
        <f t="shared" si="153"/>
        <v>42831</v>
      </c>
    </row>
    <row r="600" spans="1:1" x14ac:dyDescent="0.25">
      <c r="A600" s="20">
        <f t="shared" si="153"/>
        <v>42838</v>
      </c>
    </row>
    <row r="601" spans="1:1" x14ac:dyDescent="0.25">
      <c r="A601" s="20">
        <f t="shared" si="153"/>
        <v>42845</v>
      </c>
    </row>
    <row r="602" spans="1:1" x14ac:dyDescent="0.25">
      <c r="A602" s="20">
        <f t="shared" si="153"/>
        <v>42852</v>
      </c>
    </row>
    <row r="603" spans="1:1" x14ac:dyDescent="0.25">
      <c r="A603" s="20">
        <f t="shared" si="153"/>
        <v>42859</v>
      </c>
    </row>
    <row r="604" spans="1:1" x14ac:dyDescent="0.25">
      <c r="A604" s="20">
        <f t="shared" si="153"/>
        <v>42866</v>
      </c>
    </row>
    <row r="605" spans="1:1" x14ac:dyDescent="0.25">
      <c r="A605" s="20">
        <f t="shared" si="153"/>
        <v>42873</v>
      </c>
    </row>
    <row r="606" spans="1:1" x14ac:dyDescent="0.25">
      <c r="A606" s="20">
        <f t="shared" si="153"/>
        <v>42880</v>
      </c>
    </row>
    <row r="607" spans="1:1" x14ac:dyDescent="0.25">
      <c r="A607" s="20">
        <f t="shared" si="153"/>
        <v>42887</v>
      </c>
    </row>
    <row r="608" spans="1:1" x14ac:dyDescent="0.25">
      <c r="A608" s="20">
        <f t="shared" si="153"/>
        <v>42894</v>
      </c>
    </row>
    <row r="609" spans="1:1" x14ac:dyDescent="0.25">
      <c r="A609" s="20">
        <f t="shared" si="153"/>
        <v>42901</v>
      </c>
    </row>
    <row r="610" spans="1:1" x14ac:dyDescent="0.25">
      <c r="A610" s="20">
        <f t="shared" si="153"/>
        <v>42908</v>
      </c>
    </row>
    <row r="611" spans="1:1" x14ac:dyDescent="0.25">
      <c r="A611" s="20">
        <f t="shared" si="153"/>
        <v>42915</v>
      </c>
    </row>
    <row r="612" spans="1:1" x14ac:dyDescent="0.25">
      <c r="A612" s="20">
        <f t="shared" si="153"/>
        <v>42922</v>
      </c>
    </row>
    <row r="613" spans="1:1" x14ac:dyDescent="0.25">
      <c r="A613" s="20">
        <f t="shared" si="153"/>
        <v>42929</v>
      </c>
    </row>
    <row r="614" spans="1:1" x14ac:dyDescent="0.25">
      <c r="A614" s="20">
        <f t="shared" si="153"/>
        <v>42936</v>
      </c>
    </row>
    <row r="615" spans="1:1" x14ac:dyDescent="0.25">
      <c r="A615" s="20">
        <f t="shared" si="153"/>
        <v>42943</v>
      </c>
    </row>
    <row r="616" spans="1:1" x14ac:dyDescent="0.25">
      <c r="A616" s="20">
        <f t="shared" si="153"/>
        <v>42950</v>
      </c>
    </row>
    <row r="617" spans="1:1" x14ac:dyDescent="0.25">
      <c r="A617" s="20">
        <f t="shared" si="153"/>
        <v>42957</v>
      </c>
    </row>
    <row r="618" spans="1:1" x14ac:dyDescent="0.25">
      <c r="A618" s="20">
        <f t="shared" si="153"/>
        <v>42964</v>
      </c>
    </row>
    <row r="619" spans="1:1" x14ac:dyDescent="0.25">
      <c r="A619" s="20">
        <f t="shared" si="153"/>
        <v>42971</v>
      </c>
    </row>
    <row r="620" spans="1:1" x14ac:dyDescent="0.25">
      <c r="A620" s="20">
        <f t="shared" si="153"/>
        <v>42978</v>
      </c>
    </row>
    <row r="621" spans="1:1" x14ac:dyDescent="0.25">
      <c r="A621" s="20">
        <f t="shared" si="153"/>
        <v>42985</v>
      </c>
    </row>
    <row r="622" spans="1:1" x14ac:dyDescent="0.25">
      <c r="A622" s="20">
        <f t="shared" si="153"/>
        <v>42992</v>
      </c>
    </row>
    <row r="623" spans="1:1" x14ac:dyDescent="0.25">
      <c r="A623" s="20">
        <f t="shared" si="153"/>
        <v>42999</v>
      </c>
    </row>
    <row r="624" spans="1:1" x14ac:dyDescent="0.25">
      <c r="A624" s="20">
        <f t="shared" si="153"/>
        <v>43006</v>
      </c>
    </row>
    <row r="625" spans="1:1" x14ac:dyDescent="0.25">
      <c r="A625" s="20">
        <f t="shared" si="153"/>
        <v>43013</v>
      </c>
    </row>
    <row r="626" spans="1:1" x14ac:dyDescent="0.25">
      <c r="A626" s="20">
        <f t="shared" si="153"/>
        <v>43020</v>
      </c>
    </row>
    <row r="627" spans="1:1" x14ac:dyDescent="0.25">
      <c r="A627" s="20">
        <f t="shared" si="153"/>
        <v>43027</v>
      </c>
    </row>
    <row r="628" spans="1:1" x14ac:dyDescent="0.25">
      <c r="A628" s="20">
        <f t="shared" si="153"/>
        <v>43034</v>
      </c>
    </row>
    <row r="629" spans="1:1" x14ac:dyDescent="0.25">
      <c r="A629" s="20">
        <f t="shared" si="153"/>
        <v>43041</v>
      </c>
    </row>
    <row r="630" spans="1:1" x14ac:dyDescent="0.25">
      <c r="A630" s="20">
        <f t="shared" si="153"/>
        <v>43048</v>
      </c>
    </row>
    <row r="631" spans="1:1" x14ac:dyDescent="0.25">
      <c r="A631" s="20">
        <f t="shared" si="153"/>
        <v>43055</v>
      </c>
    </row>
    <row r="632" spans="1:1" x14ac:dyDescent="0.25">
      <c r="A632" s="20">
        <f t="shared" si="153"/>
        <v>43062</v>
      </c>
    </row>
    <row r="633" spans="1:1" x14ac:dyDescent="0.25">
      <c r="A633" s="20">
        <f t="shared" si="153"/>
        <v>43069</v>
      </c>
    </row>
    <row r="634" spans="1:1" x14ac:dyDescent="0.25">
      <c r="A634" s="20">
        <f t="shared" si="153"/>
        <v>43076</v>
      </c>
    </row>
    <row r="635" spans="1:1" x14ac:dyDescent="0.25">
      <c r="A635" s="20">
        <f t="shared" si="153"/>
        <v>43083</v>
      </c>
    </row>
    <row r="636" spans="1:1" x14ac:dyDescent="0.25">
      <c r="A636" s="20">
        <f t="shared" si="153"/>
        <v>43090</v>
      </c>
    </row>
    <row r="637" spans="1:1" x14ac:dyDescent="0.25">
      <c r="A637" s="20">
        <f t="shared" si="153"/>
        <v>43097</v>
      </c>
    </row>
    <row r="638" spans="1:1" x14ac:dyDescent="0.25">
      <c r="A638" s="20">
        <f t="shared" si="153"/>
        <v>43104</v>
      </c>
    </row>
    <row r="639" spans="1:1" x14ac:dyDescent="0.25">
      <c r="A639" s="20">
        <f t="shared" si="153"/>
        <v>43111</v>
      </c>
    </row>
    <row r="640" spans="1:1" x14ac:dyDescent="0.25">
      <c r="A640" s="20">
        <f t="shared" ref="A640:A703" si="154">+A639+7</f>
        <v>43118</v>
      </c>
    </row>
    <row r="641" spans="1:1" x14ac:dyDescent="0.25">
      <c r="A641" s="20">
        <f t="shared" si="154"/>
        <v>43125</v>
      </c>
    </row>
    <row r="642" spans="1:1" x14ac:dyDescent="0.25">
      <c r="A642" s="20">
        <f t="shared" si="154"/>
        <v>43132</v>
      </c>
    </row>
    <row r="643" spans="1:1" x14ac:dyDescent="0.25">
      <c r="A643" s="20">
        <f t="shared" si="154"/>
        <v>43139</v>
      </c>
    </row>
    <row r="644" spans="1:1" x14ac:dyDescent="0.25">
      <c r="A644" s="20">
        <f t="shared" si="154"/>
        <v>43146</v>
      </c>
    </row>
    <row r="645" spans="1:1" x14ac:dyDescent="0.25">
      <c r="A645" s="20">
        <f t="shared" si="154"/>
        <v>43153</v>
      </c>
    </row>
    <row r="646" spans="1:1" x14ac:dyDescent="0.25">
      <c r="A646" s="20">
        <f t="shared" si="154"/>
        <v>43160</v>
      </c>
    </row>
    <row r="647" spans="1:1" x14ac:dyDescent="0.25">
      <c r="A647" s="20">
        <f t="shared" si="154"/>
        <v>43167</v>
      </c>
    </row>
    <row r="648" spans="1:1" x14ac:dyDescent="0.25">
      <c r="A648" s="20">
        <f t="shared" si="154"/>
        <v>43174</v>
      </c>
    </row>
    <row r="649" spans="1:1" x14ac:dyDescent="0.25">
      <c r="A649" s="20">
        <f t="shared" si="154"/>
        <v>43181</v>
      </c>
    </row>
    <row r="650" spans="1:1" x14ac:dyDescent="0.25">
      <c r="A650" s="20">
        <f t="shared" si="154"/>
        <v>43188</v>
      </c>
    </row>
    <row r="651" spans="1:1" x14ac:dyDescent="0.25">
      <c r="A651" s="20">
        <f t="shared" si="154"/>
        <v>43195</v>
      </c>
    </row>
    <row r="652" spans="1:1" x14ac:dyDescent="0.25">
      <c r="A652" s="20">
        <f t="shared" si="154"/>
        <v>43202</v>
      </c>
    </row>
    <row r="653" spans="1:1" x14ac:dyDescent="0.25">
      <c r="A653" s="20">
        <f t="shared" si="154"/>
        <v>43209</v>
      </c>
    </row>
    <row r="654" spans="1:1" x14ac:dyDescent="0.25">
      <c r="A654" s="20">
        <f t="shared" si="154"/>
        <v>43216</v>
      </c>
    </row>
    <row r="655" spans="1:1" x14ac:dyDescent="0.25">
      <c r="A655" s="20">
        <f t="shared" si="154"/>
        <v>43223</v>
      </c>
    </row>
    <row r="656" spans="1:1" x14ac:dyDescent="0.25">
      <c r="A656" s="20">
        <f t="shared" si="154"/>
        <v>43230</v>
      </c>
    </row>
    <row r="657" spans="1:1" x14ac:dyDescent="0.25">
      <c r="A657" s="20">
        <f t="shared" si="154"/>
        <v>43237</v>
      </c>
    </row>
    <row r="658" spans="1:1" x14ac:dyDescent="0.25">
      <c r="A658" s="20">
        <f t="shared" si="154"/>
        <v>43244</v>
      </c>
    </row>
    <row r="659" spans="1:1" x14ac:dyDescent="0.25">
      <c r="A659" s="20">
        <f t="shared" si="154"/>
        <v>43251</v>
      </c>
    </row>
    <row r="660" spans="1:1" x14ac:dyDescent="0.25">
      <c r="A660" s="20">
        <f t="shared" si="154"/>
        <v>43258</v>
      </c>
    </row>
    <row r="661" spans="1:1" x14ac:dyDescent="0.25">
      <c r="A661" s="20">
        <f t="shared" si="154"/>
        <v>43265</v>
      </c>
    </row>
    <row r="662" spans="1:1" x14ac:dyDescent="0.25">
      <c r="A662" s="20">
        <f t="shared" si="154"/>
        <v>43272</v>
      </c>
    </row>
    <row r="663" spans="1:1" x14ac:dyDescent="0.25">
      <c r="A663" s="20">
        <f t="shared" si="154"/>
        <v>43279</v>
      </c>
    </row>
    <row r="664" spans="1:1" x14ac:dyDescent="0.25">
      <c r="A664" s="20">
        <f t="shared" si="154"/>
        <v>43286</v>
      </c>
    </row>
    <row r="665" spans="1:1" x14ac:dyDescent="0.25">
      <c r="A665" s="20">
        <f t="shared" si="154"/>
        <v>43293</v>
      </c>
    </row>
    <row r="666" spans="1:1" x14ac:dyDescent="0.25">
      <c r="A666" s="20">
        <f t="shared" si="154"/>
        <v>43300</v>
      </c>
    </row>
    <row r="667" spans="1:1" x14ac:dyDescent="0.25">
      <c r="A667" s="20">
        <f t="shared" si="154"/>
        <v>43307</v>
      </c>
    </row>
    <row r="668" spans="1:1" x14ac:dyDescent="0.25">
      <c r="A668" s="20">
        <f t="shared" si="154"/>
        <v>43314</v>
      </c>
    </row>
    <row r="669" spans="1:1" x14ac:dyDescent="0.25">
      <c r="A669" s="20">
        <f t="shared" si="154"/>
        <v>43321</v>
      </c>
    </row>
    <row r="670" spans="1:1" x14ac:dyDescent="0.25">
      <c r="A670" s="20">
        <f t="shared" si="154"/>
        <v>43328</v>
      </c>
    </row>
    <row r="671" spans="1:1" x14ac:dyDescent="0.25">
      <c r="A671" s="20">
        <f t="shared" si="154"/>
        <v>43335</v>
      </c>
    </row>
    <row r="672" spans="1:1" x14ac:dyDescent="0.25">
      <c r="A672" s="20">
        <f t="shared" si="154"/>
        <v>43342</v>
      </c>
    </row>
    <row r="673" spans="1:1" x14ac:dyDescent="0.25">
      <c r="A673" s="20">
        <f t="shared" si="154"/>
        <v>43349</v>
      </c>
    </row>
    <row r="674" spans="1:1" x14ac:dyDescent="0.25">
      <c r="A674" s="20">
        <f t="shared" si="154"/>
        <v>43356</v>
      </c>
    </row>
    <row r="675" spans="1:1" x14ac:dyDescent="0.25">
      <c r="A675" s="20">
        <f t="shared" si="154"/>
        <v>43363</v>
      </c>
    </row>
    <row r="676" spans="1:1" x14ac:dyDescent="0.25">
      <c r="A676" s="20">
        <f t="shared" si="154"/>
        <v>43370</v>
      </c>
    </row>
    <row r="677" spans="1:1" x14ac:dyDescent="0.25">
      <c r="A677" s="20">
        <f t="shared" si="154"/>
        <v>43377</v>
      </c>
    </row>
    <row r="678" spans="1:1" x14ac:dyDescent="0.25">
      <c r="A678" s="20">
        <f t="shared" si="154"/>
        <v>43384</v>
      </c>
    </row>
    <row r="679" spans="1:1" x14ac:dyDescent="0.25">
      <c r="A679" s="20">
        <f t="shared" si="154"/>
        <v>43391</v>
      </c>
    </row>
    <row r="680" spans="1:1" x14ac:dyDescent="0.25">
      <c r="A680" s="20">
        <f t="shared" si="154"/>
        <v>43398</v>
      </c>
    </row>
    <row r="681" spans="1:1" x14ac:dyDescent="0.25">
      <c r="A681" s="20">
        <f t="shared" si="154"/>
        <v>43405</v>
      </c>
    </row>
    <row r="682" spans="1:1" x14ac:dyDescent="0.25">
      <c r="A682" s="20">
        <f t="shared" si="154"/>
        <v>43412</v>
      </c>
    </row>
    <row r="683" spans="1:1" x14ac:dyDescent="0.25">
      <c r="A683" s="20">
        <f t="shared" si="154"/>
        <v>43419</v>
      </c>
    </row>
    <row r="684" spans="1:1" x14ac:dyDescent="0.25">
      <c r="A684" s="20">
        <f t="shared" si="154"/>
        <v>43426</v>
      </c>
    </row>
    <row r="685" spans="1:1" x14ac:dyDescent="0.25">
      <c r="A685" s="20">
        <f t="shared" si="154"/>
        <v>43433</v>
      </c>
    </row>
    <row r="686" spans="1:1" x14ac:dyDescent="0.25">
      <c r="A686" s="20">
        <f t="shared" si="154"/>
        <v>43440</v>
      </c>
    </row>
    <row r="687" spans="1:1" x14ac:dyDescent="0.25">
      <c r="A687" s="20">
        <f t="shared" si="154"/>
        <v>43447</v>
      </c>
    </row>
    <row r="688" spans="1:1" x14ac:dyDescent="0.25">
      <c r="A688" s="20">
        <f t="shared" si="154"/>
        <v>43454</v>
      </c>
    </row>
    <row r="689" spans="1:1" x14ac:dyDescent="0.25">
      <c r="A689" s="20">
        <f t="shared" si="154"/>
        <v>43461</v>
      </c>
    </row>
    <row r="690" spans="1:1" x14ac:dyDescent="0.25">
      <c r="A690" s="20">
        <f t="shared" si="154"/>
        <v>43468</v>
      </c>
    </row>
    <row r="691" spans="1:1" x14ac:dyDescent="0.25">
      <c r="A691" s="20">
        <f t="shared" si="154"/>
        <v>43475</v>
      </c>
    </row>
    <row r="692" spans="1:1" x14ac:dyDescent="0.25">
      <c r="A692" s="20">
        <f t="shared" si="154"/>
        <v>43482</v>
      </c>
    </row>
    <row r="693" spans="1:1" x14ac:dyDescent="0.25">
      <c r="A693" s="20">
        <f t="shared" si="154"/>
        <v>43489</v>
      </c>
    </row>
    <row r="694" spans="1:1" x14ac:dyDescent="0.25">
      <c r="A694" s="20">
        <f t="shared" si="154"/>
        <v>43496</v>
      </c>
    </row>
    <row r="695" spans="1:1" x14ac:dyDescent="0.25">
      <c r="A695" s="20">
        <f t="shared" si="154"/>
        <v>43503</v>
      </c>
    </row>
    <row r="696" spans="1:1" x14ac:dyDescent="0.25">
      <c r="A696" s="20">
        <f t="shared" si="154"/>
        <v>43510</v>
      </c>
    </row>
    <row r="697" spans="1:1" x14ac:dyDescent="0.25">
      <c r="A697" s="20">
        <f t="shared" si="154"/>
        <v>43517</v>
      </c>
    </row>
    <row r="698" spans="1:1" x14ac:dyDescent="0.25">
      <c r="A698" s="20">
        <f t="shared" si="154"/>
        <v>43524</v>
      </c>
    </row>
    <row r="699" spans="1:1" x14ac:dyDescent="0.25">
      <c r="A699" s="20">
        <f t="shared" si="154"/>
        <v>43531</v>
      </c>
    </row>
    <row r="700" spans="1:1" x14ac:dyDescent="0.25">
      <c r="A700" s="20">
        <f t="shared" si="154"/>
        <v>43538</v>
      </c>
    </row>
    <row r="701" spans="1:1" x14ac:dyDescent="0.25">
      <c r="A701" s="20">
        <f t="shared" si="154"/>
        <v>43545</v>
      </c>
    </row>
    <row r="702" spans="1:1" x14ac:dyDescent="0.25">
      <c r="A702" s="20">
        <f t="shared" si="154"/>
        <v>43552</v>
      </c>
    </row>
    <row r="703" spans="1:1" x14ac:dyDescent="0.25">
      <c r="A703" s="20">
        <f t="shared" si="154"/>
        <v>43559</v>
      </c>
    </row>
    <row r="704" spans="1:1" x14ac:dyDescent="0.25">
      <c r="A704" s="20">
        <f t="shared" ref="A704:A715" si="155">+A703+7</f>
        <v>43566</v>
      </c>
    </row>
    <row r="705" spans="1:1" x14ac:dyDescent="0.25">
      <c r="A705" s="20">
        <f t="shared" si="155"/>
        <v>43573</v>
      </c>
    </row>
    <row r="706" spans="1:1" x14ac:dyDescent="0.25">
      <c r="A706" s="20">
        <f t="shared" si="155"/>
        <v>43580</v>
      </c>
    </row>
    <row r="707" spans="1:1" x14ac:dyDescent="0.25">
      <c r="A707" s="20">
        <f t="shared" si="155"/>
        <v>43587</v>
      </c>
    </row>
    <row r="708" spans="1:1" x14ac:dyDescent="0.25">
      <c r="A708" s="20">
        <f t="shared" si="155"/>
        <v>43594</v>
      </c>
    </row>
    <row r="709" spans="1:1" x14ac:dyDescent="0.25">
      <c r="A709" s="20">
        <f t="shared" si="155"/>
        <v>43601</v>
      </c>
    </row>
    <row r="710" spans="1:1" x14ac:dyDescent="0.25">
      <c r="A710" s="20">
        <f t="shared" si="155"/>
        <v>43608</v>
      </c>
    </row>
    <row r="711" spans="1:1" x14ac:dyDescent="0.25">
      <c r="A711" s="20">
        <f t="shared" si="155"/>
        <v>43615</v>
      </c>
    </row>
    <row r="712" spans="1:1" x14ac:dyDescent="0.25">
      <c r="A712" s="20">
        <f t="shared" si="155"/>
        <v>43622</v>
      </c>
    </row>
    <row r="713" spans="1:1" x14ac:dyDescent="0.25">
      <c r="A713" s="20">
        <f t="shared" si="155"/>
        <v>43629</v>
      </c>
    </row>
    <row r="714" spans="1:1" x14ac:dyDescent="0.25">
      <c r="A714" s="20">
        <f t="shared" si="155"/>
        <v>43636</v>
      </c>
    </row>
    <row r="715" spans="1:1" x14ac:dyDescent="0.25">
      <c r="A715" s="20">
        <f t="shared" si="155"/>
        <v>43643</v>
      </c>
    </row>
    <row r="65536" spans="1:12" x14ac:dyDescent="0.25">
      <c r="A65536" s="20"/>
      <c r="B65536" s="71"/>
      <c r="C65536" s="71"/>
      <c r="D65536" s="15"/>
      <c r="L65536" s="4"/>
    </row>
  </sheetData>
  <mergeCells count="13">
    <mergeCell ref="R352:Z352"/>
    <mergeCell ref="R353:Z353"/>
    <mergeCell ref="R342:Y342"/>
    <mergeCell ref="R343:Z343"/>
    <mergeCell ref="R348:Z348"/>
    <mergeCell ref="R349:Z349"/>
    <mergeCell ref="R350:Z350"/>
    <mergeCell ref="G1:H1"/>
    <mergeCell ref="I1:J1"/>
    <mergeCell ref="X42:Y42"/>
    <mergeCell ref="Z42:AA42"/>
    <mergeCell ref="AA1:AH1"/>
    <mergeCell ref="R351:Z351"/>
  </mergeCells>
  <phoneticPr fontId="2" type="noConversion"/>
  <pageMargins left="0.75" right="0.75" top="1" bottom="1" header="0.5" footer="0.5"/>
  <pageSetup orientation="portrait" r:id="rId1"/>
  <headerFooter alignWithMargins="0"/>
  <ignoredErrors>
    <ignoredError sqref="K348:K362 K417:K424"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5"/>
  </sheetPr>
  <dimension ref="A1:Y715"/>
  <sheetViews>
    <sheetView workbookViewId="0">
      <pane xSplit="2" ySplit="3" topLeftCell="C397" activePane="bottomRight" state="frozen"/>
      <selection pane="topRight" activeCell="C1" sqref="C1"/>
      <selection pane="bottomLeft" activeCell="A4" sqref="A4"/>
      <selection pane="bottomRight" activeCell="F409" sqref="F409"/>
    </sheetView>
  </sheetViews>
  <sheetFormatPr defaultRowHeight="13.2" x14ac:dyDescent="0.25"/>
  <cols>
    <col min="1" max="1" width="10.33203125" bestFit="1" customWidth="1"/>
    <col min="2" max="2" width="5.88671875" customWidth="1"/>
    <col min="3" max="3" width="10.44140625" bestFit="1" customWidth="1"/>
    <col min="4" max="4" width="9.44140625" customWidth="1"/>
    <col min="5" max="5" width="10" customWidth="1"/>
    <col min="6" max="6" width="10.109375" customWidth="1"/>
    <col min="7" max="7" width="9.44140625" customWidth="1"/>
    <col min="8" max="8" width="8.88671875" customWidth="1"/>
    <col min="9" max="9" width="8.44140625" customWidth="1"/>
    <col min="10" max="10" width="10.33203125" customWidth="1"/>
    <col min="11" max="11" width="12.88671875" customWidth="1"/>
    <col min="15" max="15" width="9.33203125" bestFit="1" customWidth="1"/>
  </cols>
  <sheetData>
    <row r="1" spans="1:16" ht="13.8" thickBot="1" x14ac:dyDescent="0.3">
      <c r="B1" s="13" t="s">
        <v>8</v>
      </c>
      <c r="C1" s="6"/>
      <c r="D1" s="6"/>
      <c r="F1" s="14"/>
      <c r="G1" s="6"/>
      <c r="H1" s="6"/>
      <c r="I1" s="6"/>
      <c r="J1" s="6"/>
      <c r="K1" s="6"/>
      <c r="M1" s="7" t="s">
        <v>20</v>
      </c>
      <c r="N1" s="7"/>
      <c r="O1" s="7"/>
      <c r="P1" s="7"/>
    </row>
    <row r="2" spans="1:16" x14ac:dyDescent="0.25">
      <c r="C2" t="s">
        <v>9</v>
      </c>
      <c r="E2" s="218" t="s">
        <v>2</v>
      </c>
      <c r="F2" s="219"/>
      <c r="G2" s="218" t="s">
        <v>3</v>
      </c>
      <c r="H2" s="219"/>
      <c r="I2" s="10" t="s">
        <v>18</v>
      </c>
      <c r="J2" s="17" t="s">
        <v>34</v>
      </c>
      <c r="K2" s="12" t="s">
        <v>15</v>
      </c>
      <c r="L2" s="12" t="s">
        <v>12</v>
      </c>
      <c r="M2" t="s">
        <v>9</v>
      </c>
      <c r="O2" s="223" t="s">
        <v>2</v>
      </c>
      <c r="P2" s="224"/>
    </row>
    <row r="3" spans="1:16" x14ac:dyDescent="0.25">
      <c r="B3" s="7"/>
      <c r="C3" s="7" t="s">
        <v>36</v>
      </c>
      <c r="D3" s="7" t="s">
        <v>37</v>
      </c>
      <c r="E3" s="9" t="s">
        <v>36</v>
      </c>
      <c r="F3" s="8" t="s">
        <v>37</v>
      </c>
      <c r="G3" s="9" t="s">
        <v>36</v>
      </c>
      <c r="H3" s="8" t="s">
        <v>37</v>
      </c>
      <c r="I3" s="11" t="s">
        <v>6</v>
      </c>
      <c r="J3" s="9" t="s">
        <v>35</v>
      </c>
      <c r="K3" s="9" t="s">
        <v>7</v>
      </c>
      <c r="L3" s="9" t="s">
        <v>7</v>
      </c>
      <c r="M3" s="7">
        <v>2006</v>
      </c>
      <c r="N3" s="7">
        <v>2005</v>
      </c>
      <c r="O3" s="9">
        <v>2006</v>
      </c>
      <c r="P3" s="8">
        <v>2005</v>
      </c>
    </row>
    <row r="4" spans="1:16" x14ac:dyDescent="0.25">
      <c r="A4" s="19">
        <v>38855</v>
      </c>
      <c r="B4" s="3" t="s">
        <v>1</v>
      </c>
      <c r="C4" s="2">
        <v>2813.3</v>
      </c>
      <c r="D4" s="2">
        <v>1802.1</v>
      </c>
      <c r="E4" s="2">
        <v>11550.4</v>
      </c>
      <c r="F4" s="2">
        <v>11374.6</v>
      </c>
      <c r="G4" s="2">
        <f t="shared" ref="G4:G40" si="0">+C4+E4</f>
        <v>14363.7</v>
      </c>
      <c r="H4" s="2">
        <f t="shared" ref="H4:H40" si="1">+D4+F4</f>
        <v>13176.7</v>
      </c>
      <c r="I4" s="30">
        <f t="shared" ref="I4:I40" si="2">(G4/H4-1)*100</f>
        <v>9.0083253014791254</v>
      </c>
      <c r="J4" s="1"/>
      <c r="K4" s="4"/>
    </row>
    <row r="5" spans="1:16" x14ac:dyDescent="0.25">
      <c r="A5" s="19">
        <v>38862</v>
      </c>
      <c r="B5" s="3" t="str">
        <f>+B4</f>
        <v>Japan</v>
      </c>
      <c r="C5" s="2">
        <v>2824.7</v>
      </c>
      <c r="D5" s="2">
        <v>1815.9</v>
      </c>
      <c r="E5" s="2">
        <v>11938.3</v>
      </c>
      <c r="F5" s="2">
        <v>11744.1</v>
      </c>
      <c r="G5" s="2">
        <f t="shared" si="0"/>
        <v>14763</v>
      </c>
      <c r="H5" s="2">
        <f t="shared" si="1"/>
        <v>13560</v>
      </c>
      <c r="I5" s="30">
        <f t="shared" si="2"/>
        <v>8.8716814159291992</v>
      </c>
      <c r="J5" s="30">
        <v>283</v>
      </c>
      <c r="K5" s="4"/>
    </row>
    <row r="6" spans="1:16" x14ac:dyDescent="0.25">
      <c r="A6" s="19">
        <v>38869</v>
      </c>
      <c r="B6" s="3" t="str">
        <f t="shared" ref="B6:B12" si="3">+B5</f>
        <v>Japan</v>
      </c>
      <c r="C6" s="2">
        <v>2792.6</v>
      </c>
      <c r="D6" s="2">
        <v>1707.8</v>
      </c>
      <c r="E6" s="2">
        <v>12202.3</v>
      </c>
      <c r="F6" s="2">
        <v>12016.8</v>
      </c>
      <c r="G6" s="2">
        <f t="shared" si="0"/>
        <v>14994.9</v>
      </c>
      <c r="H6" s="2">
        <f t="shared" si="1"/>
        <v>13724.599999999999</v>
      </c>
      <c r="I6" s="30">
        <f t="shared" si="2"/>
        <v>9.255643151712988</v>
      </c>
      <c r="J6" s="30">
        <v>274.60000000000002</v>
      </c>
      <c r="K6" s="4"/>
    </row>
    <row r="7" spans="1:16" x14ac:dyDescent="0.25">
      <c r="A7" s="19">
        <v>38876</v>
      </c>
      <c r="B7" s="3" t="str">
        <f t="shared" si="3"/>
        <v>Japan</v>
      </c>
      <c r="C7" s="2">
        <v>3004</v>
      </c>
      <c r="D7" s="2">
        <v>1741.5</v>
      </c>
      <c r="E7" s="2">
        <v>12556.7</v>
      </c>
      <c r="F7" s="2">
        <v>12359.6</v>
      </c>
      <c r="G7" s="2">
        <f t="shared" si="0"/>
        <v>15560.7</v>
      </c>
      <c r="H7" s="2">
        <f t="shared" si="1"/>
        <v>14101.1</v>
      </c>
      <c r="I7" s="30">
        <f t="shared" si="2"/>
        <v>10.350965527512045</v>
      </c>
      <c r="J7" s="30">
        <v>332.6</v>
      </c>
      <c r="K7" s="4"/>
    </row>
    <row r="8" spans="1:16" x14ac:dyDescent="0.25">
      <c r="A8" s="19">
        <v>38883</v>
      </c>
      <c r="B8" s="3" t="str">
        <f t="shared" si="3"/>
        <v>Japan</v>
      </c>
      <c r="C8" s="2">
        <v>3031.1</v>
      </c>
      <c r="D8" s="2">
        <v>1513.4</v>
      </c>
      <c r="E8" s="2">
        <v>12844.1</v>
      </c>
      <c r="F8" s="2">
        <v>12754.4</v>
      </c>
      <c r="G8" s="2">
        <f t="shared" si="0"/>
        <v>15875.2</v>
      </c>
      <c r="H8" s="2">
        <f t="shared" si="1"/>
        <v>14267.8</v>
      </c>
      <c r="I8" s="30">
        <f t="shared" si="2"/>
        <v>11.265927473051217</v>
      </c>
      <c r="J8" s="30">
        <v>466.7</v>
      </c>
      <c r="K8" s="4"/>
    </row>
    <row r="9" spans="1:16" x14ac:dyDescent="0.25">
      <c r="A9" s="19">
        <v>38890</v>
      </c>
      <c r="B9" s="3" t="str">
        <f t="shared" si="3"/>
        <v>Japan</v>
      </c>
      <c r="C9" s="2">
        <v>2949.5</v>
      </c>
      <c r="D9" s="2">
        <v>1497.1</v>
      </c>
      <c r="E9" s="2">
        <v>13126.9</v>
      </c>
      <c r="F9" s="2">
        <v>13122.8</v>
      </c>
      <c r="G9" s="2">
        <f t="shared" si="0"/>
        <v>16076.4</v>
      </c>
      <c r="H9" s="2">
        <f t="shared" si="1"/>
        <v>14619.9</v>
      </c>
      <c r="I9" s="30">
        <f t="shared" si="2"/>
        <v>9.9624484435598006</v>
      </c>
      <c r="J9" s="30">
        <v>745.7</v>
      </c>
      <c r="K9" s="4"/>
    </row>
    <row r="10" spans="1:16" x14ac:dyDescent="0.25">
      <c r="A10" s="19">
        <v>38897</v>
      </c>
      <c r="B10" s="3" t="str">
        <f t="shared" si="3"/>
        <v>Japan</v>
      </c>
      <c r="C10" s="2">
        <v>2961.6</v>
      </c>
      <c r="D10" s="2">
        <v>1490.3</v>
      </c>
      <c r="E10" s="2">
        <v>13331.8</v>
      </c>
      <c r="F10" s="2">
        <v>13456.7</v>
      </c>
      <c r="G10" s="2">
        <f t="shared" si="0"/>
        <v>16293.4</v>
      </c>
      <c r="H10" s="2">
        <f t="shared" si="1"/>
        <v>14947</v>
      </c>
      <c r="I10" s="30">
        <f t="shared" si="2"/>
        <v>9.0078276577239649</v>
      </c>
      <c r="J10" s="30">
        <v>1110.5999999999999</v>
      </c>
      <c r="K10" s="4"/>
    </row>
    <row r="11" spans="1:16" x14ac:dyDescent="0.25">
      <c r="A11" s="19">
        <v>38904</v>
      </c>
      <c r="B11" s="3" t="str">
        <f t="shared" si="3"/>
        <v>Japan</v>
      </c>
      <c r="C11" s="2">
        <v>2721.1</v>
      </c>
      <c r="D11" s="2">
        <v>1578.9</v>
      </c>
      <c r="E11" s="2">
        <v>13694.2</v>
      </c>
      <c r="F11" s="2">
        <v>13583.6</v>
      </c>
      <c r="G11" s="2">
        <f t="shared" si="0"/>
        <v>16415.3</v>
      </c>
      <c r="H11" s="2">
        <f t="shared" si="1"/>
        <v>15162.5</v>
      </c>
      <c r="I11" s="30">
        <f t="shared" si="2"/>
        <v>8.2624896949711424</v>
      </c>
      <c r="J11" s="30">
        <v>1112</v>
      </c>
      <c r="K11" s="4"/>
    </row>
    <row r="12" spans="1:16" x14ac:dyDescent="0.25">
      <c r="A12" s="19">
        <v>38911</v>
      </c>
      <c r="B12" s="3" t="str">
        <f t="shared" si="3"/>
        <v>Japan</v>
      </c>
      <c r="C12" s="2">
        <v>2500.6999999999998</v>
      </c>
      <c r="D12" s="2">
        <v>1607.4</v>
      </c>
      <c r="E12" s="2">
        <v>13960.7</v>
      </c>
      <c r="F12" s="2">
        <v>13842</v>
      </c>
      <c r="G12" s="2">
        <f t="shared" si="0"/>
        <v>16461.400000000001</v>
      </c>
      <c r="H12" s="2">
        <f t="shared" si="1"/>
        <v>15449.4</v>
      </c>
      <c r="I12" s="30">
        <f t="shared" si="2"/>
        <v>6.5504161973927832</v>
      </c>
      <c r="J12" s="30">
        <v>1261.5999999999999</v>
      </c>
      <c r="K12" s="4"/>
    </row>
    <row r="13" spans="1:16" x14ac:dyDescent="0.25">
      <c r="A13" s="19">
        <v>38918</v>
      </c>
      <c r="B13" s="3" t="str">
        <f t="shared" ref="B13:B19" si="4">+B12</f>
        <v>Japan</v>
      </c>
      <c r="C13" s="2">
        <v>2281.3000000000002</v>
      </c>
      <c r="D13" s="2">
        <v>1552.8</v>
      </c>
      <c r="E13" s="2">
        <v>14358.8</v>
      </c>
      <c r="F13" s="2">
        <v>14144.5</v>
      </c>
      <c r="G13" s="2">
        <f t="shared" si="0"/>
        <v>16640.099999999999</v>
      </c>
      <c r="H13" s="2">
        <f t="shared" si="1"/>
        <v>15697.3</v>
      </c>
      <c r="I13" s="30">
        <f t="shared" si="2"/>
        <v>6.0061284424709926</v>
      </c>
      <c r="J13" s="30">
        <v>1300.2</v>
      </c>
      <c r="K13" s="4"/>
    </row>
    <row r="14" spans="1:16" x14ac:dyDescent="0.25">
      <c r="A14" s="19">
        <v>38925</v>
      </c>
      <c r="B14" s="3" t="str">
        <f t="shared" si="4"/>
        <v>Japan</v>
      </c>
      <c r="C14" s="2">
        <v>1968.2</v>
      </c>
      <c r="D14" s="2">
        <v>1445.5</v>
      </c>
      <c r="E14" s="2">
        <v>14807.1</v>
      </c>
      <c r="F14" s="2">
        <v>14319.1</v>
      </c>
      <c r="G14" s="2">
        <f t="shared" si="0"/>
        <v>16775.3</v>
      </c>
      <c r="H14" s="2">
        <f t="shared" si="1"/>
        <v>15764.6</v>
      </c>
      <c r="I14" s="30">
        <f t="shared" si="2"/>
        <v>6.4111997767149154</v>
      </c>
      <c r="J14" s="30">
        <v>1654.2</v>
      </c>
      <c r="K14" s="4"/>
    </row>
    <row r="15" spans="1:16" x14ac:dyDescent="0.25">
      <c r="A15" s="19">
        <v>38932</v>
      </c>
      <c r="B15" s="3" t="str">
        <f t="shared" si="4"/>
        <v>Japan</v>
      </c>
      <c r="C15" s="2">
        <v>1923.6</v>
      </c>
      <c r="D15" s="2">
        <v>1274.3</v>
      </c>
      <c r="E15" s="2">
        <v>15107.7</v>
      </c>
      <c r="F15" s="2">
        <v>14816.5</v>
      </c>
      <c r="G15" s="2">
        <f t="shared" si="0"/>
        <v>17031.3</v>
      </c>
      <c r="H15" s="2">
        <f t="shared" si="1"/>
        <v>16090.8</v>
      </c>
      <c r="I15" s="30">
        <f t="shared" si="2"/>
        <v>5.8449548810500351</v>
      </c>
      <c r="J15" s="30">
        <v>1909.7</v>
      </c>
      <c r="K15" s="4"/>
    </row>
    <row r="16" spans="1:16" x14ac:dyDescent="0.25">
      <c r="A16" s="19">
        <v>38939</v>
      </c>
      <c r="B16" s="3" t="str">
        <f t="shared" si="4"/>
        <v>Japan</v>
      </c>
      <c r="C16" s="2">
        <v>1751.2</v>
      </c>
      <c r="D16" s="2">
        <v>996.5</v>
      </c>
      <c r="E16" s="2">
        <v>15374.6</v>
      </c>
      <c r="F16" s="2">
        <v>15242.6</v>
      </c>
      <c r="G16" s="2">
        <f t="shared" si="0"/>
        <v>17125.8</v>
      </c>
      <c r="H16" s="2">
        <f t="shared" si="1"/>
        <v>16239.1</v>
      </c>
      <c r="I16" s="30">
        <f t="shared" si="2"/>
        <v>5.4602779710698268</v>
      </c>
      <c r="J16" s="30">
        <v>2326.1999999999998</v>
      </c>
      <c r="K16" s="4"/>
    </row>
    <row r="17" spans="1:11" x14ac:dyDescent="0.25">
      <c r="A17" s="19">
        <v>38946</v>
      </c>
      <c r="B17" s="3" t="str">
        <f t="shared" si="4"/>
        <v>Japan</v>
      </c>
      <c r="C17" s="2">
        <v>1144.7</v>
      </c>
      <c r="D17" s="2">
        <v>960.8</v>
      </c>
      <c r="E17" s="2">
        <v>15772</v>
      </c>
      <c r="F17" s="2">
        <v>15325</v>
      </c>
      <c r="G17" s="2">
        <f t="shared" si="0"/>
        <v>16916.7</v>
      </c>
      <c r="H17" s="2">
        <f t="shared" si="1"/>
        <v>16285.8</v>
      </c>
      <c r="I17" s="30">
        <f t="shared" si="2"/>
        <v>3.8739269793316877</v>
      </c>
      <c r="J17" s="30">
        <v>2872.2</v>
      </c>
      <c r="K17" s="4"/>
    </row>
    <row r="18" spans="1:11" x14ac:dyDescent="0.25">
      <c r="A18" s="19">
        <v>38953</v>
      </c>
      <c r="B18" s="3" t="str">
        <f t="shared" si="4"/>
        <v>Japan</v>
      </c>
      <c r="C18" s="2">
        <v>610.6</v>
      </c>
      <c r="D18" s="2">
        <v>709.2</v>
      </c>
      <c r="E18" s="2">
        <v>16237.2</v>
      </c>
      <c r="F18" s="2">
        <v>15699.4</v>
      </c>
      <c r="G18" s="2">
        <f t="shared" si="0"/>
        <v>16847.8</v>
      </c>
      <c r="H18" s="2">
        <f t="shared" si="1"/>
        <v>16408.599999999999</v>
      </c>
      <c r="I18" s="30">
        <f t="shared" si="2"/>
        <v>2.6766451738722497</v>
      </c>
      <c r="J18" s="30">
        <v>3377.4</v>
      </c>
      <c r="K18" s="4"/>
    </row>
    <row r="19" spans="1:11" x14ac:dyDescent="0.25">
      <c r="A19" s="19">
        <v>38960</v>
      </c>
      <c r="B19" s="3" t="str">
        <f t="shared" si="4"/>
        <v>Japan</v>
      </c>
      <c r="C19" s="2">
        <v>447</v>
      </c>
      <c r="D19" s="2">
        <v>603.5</v>
      </c>
      <c r="E19" s="2">
        <v>16473.8</v>
      </c>
      <c r="F19" s="2">
        <v>15829.6</v>
      </c>
      <c r="G19" s="2">
        <f t="shared" si="0"/>
        <v>16920.8</v>
      </c>
      <c r="H19" s="2">
        <f t="shared" si="1"/>
        <v>16433.099999999999</v>
      </c>
      <c r="I19" s="30">
        <f t="shared" si="2"/>
        <v>2.9677906177166813</v>
      </c>
      <c r="J19" s="30">
        <v>4070.9</v>
      </c>
      <c r="K19" s="4"/>
    </row>
    <row r="20" spans="1:11" x14ac:dyDescent="0.25">
      <c r="A20" s="49">
        <v>38967</v>
      </c>
      <c r="B20" s="50" t="str">
        <f t="shared" ref="B20:B27" si="5">+B19</f>
        <v>Japan</v>
      </c>
      <c r="C20" s="51">
        <v>3972.9</v>
      </c>
      <c r="D20" s="51">
        <v>2495.8000000000002</v>
      </c>
      <c r="E20" s="51">
        <v>153</v>
      </c>
      <c r="F20" s="51">
        <v>37.200000000000003</v>
      </c>
      <c r="G20" s="51">
        <f t="shared" si="0"/>
        <v>4125.8999999999996</v>
      </c>
      <c r="H20" s="51">
        <f t="shared" si="1"/>
        <v>2533</v>
      </c>
      <c r="I20" s="30">
        <f t="shared" si="2"/>
        <v>62.885906040268445</v>
      </c>
      <c r="J20" s="52"/>
      <c r="K20" s="4"/>
    </row>
    <row r="21" spans="1:11" x14ac:dyDescent="0.25">
      <c r="A21" s="57">
        <v>38974</v>
      </c>
      <c r="B21" s="58" t="str">
        <f t="shared" si="5"/>
        <v>Japan</v>
      </c>
      <c r="C21" s="2">
        <v>3473.1</v>
      </c>
      <c r="D21" s="2">
        <v>2337</v>
      </c>
      <c r="E21" s="2">
        <v>743.3</v>
      </c>
      <c r="F21" s="2">
        <v>365.6</v>
      </c>
      <c r="G21" s="2">
        <f t="shared" si="0"/>
        <v>4216.3999999999996</v>
      </c>
      <c r="H21" s="2">
        <f t="shared" si="1"/>
        <v>2702.6</v>
      </c>
      <c r="I21" s="30">
        <f t="shared" si="2"/>
        <v>56.012728483682373</v>
      </c>
      <c r="J21" s="1"/>
      <c r="K21" s="4"/>
    </row>
    <row r="22" spans="1:11" x14ac:dyDescent="0.25">
      <c r="A22" s="57">
        <v>38981</v>
      </c>
      <c r="B22" s="58" t="str">
        <f t="shared" si="5"/>
        <v>Japan</v>
      </c>
      <c r="C22" s="2">
        <v>3433.5</v>
      </c>
      <c r="D22" s="2">
        <v>2248.3000000000002</v>
      </c>
      <c r="E22" s="2">
        <v>1071.8</v>
      </c>
      <c r="F22" s="2">
        <v>679.1</v>
      </c>
      <c r="G22" s="2">
        <f t="shared" si="0"/>
        <v>4505.3</v>
      </c>
      <c r="H22" s="2">
        <f t="shared" si="1"/>
        <v>2927.4</v>
      </c>
      <c r="I22" s="30">
        <f t="shared" si="2"/>
        <v>53.901072624171633</v>
      </c>
      <c r="J22" s="1"/>
      <c r="K22" s="4"/>
    </row>
    <row r="23" spans="1:11" x14ac:dyDescent="0.25">
      <c r="A23" s="57">
        <v>38988</v>
      </c>
      <c r="B23" s="58" t="str">
        <f t="shared" si="5"/>
        <v>Japan</v>
      </c>
      <c r="C23" s="2">
        <v>3375.6</v>
      </c>
      <c r="D23" s="2">
        <v>2664</v>
      </c>
      <c r="E23" s="2">
        <v>1315</v>
      </c>
      <c r="F23" s="2">
        <v>860.1</v>
      </c>
      <c r="G23" s="2">
        <f t="shared" si="0"/>
        <v>4690.6000000000004</v>
      </c>
      <c r="H23" s="2">
        <f t="shared" si="1"/>
        <v>3524.1</v>
      </c>
      <c r="I23" s="30">
        <f t="shared" si="2"/>
        <v>33.100649811299341</v>
      </c>
      <c r="J23" s="1"/>
      <c r="K23" s="4"/>
    </row>
    <row r="24" spans="1:11" x14ac:dyDescent="0.25">
      <c r="A24" s="57">
        <v>38995</v>
      </c>
      <c r="B24" s="58" t="str">
        <f t="shared" si="5"/>
        <v>Japan</v>
      </c>
      <c r="C24" s="2">
        <v>3759.9</v>
      </c>
      <c r="D24" s="2">
        <v>2692.8</v>
      </c>
      <c r="E24" s="2">
        <v>1710.4</v>
      </c>
      <c r="F24" s="2">
        <v>1240.5</v>
      </c>
      <c r="G24" s="2">
        <f t="shared" si="0"/>
        <v>5470.3</v>
      </c>
      <c r="H24" s="2">
        <f t="shared" si="1"/>
        <v>3933.3</v>
      </c>
      <c r="I24" s="30">
        <f t="shared" si="2"/>
        <v>39.076602344087654</v>
      </c>
      <c r="J24" s="1"/>
      <c r="K24" s="4"/>
    </row>
    <row r="25" spans="1:11" x14ac:dyDescent="0.25">
      <c r="A25" s="57">
        <v>39002</v>
      </c>
      <c r="B25" s="58" t="str">
        <f t="shared" si="5"/>
        <v>Japan</v>
      </c>
      <c r="C25" s="2">
        <v>3884.4</v>
      </c>
      <c r="D25" s="2">
        <v>2704.2</v>
      </c>
      <c r="E25" s="2">
        <v>1868.6</v>
      </c>
      <c r="F25" s="2">
        <v>1638.8</v>
      </c>
      <c r="G25" s="2">
        <f t="shared" si="0"/>
        <v>5753</v>
      </c>
      <c r="H25" s="2">
        <f t="shared" si="1"/>
        <v>4343</v>
      </c>
      <c r="I25" s="30">
        <f t="shared" si="2"/>
        <v>32.466037301404562</v>
      </c>
      <c r="J25" s="1"/>
      <c r="K25" s="4"/>
    </row>
    <row r="26" spans="1:11" x14ac:dyDescent="0.25">
      <c r="A26" s="57">
        <v>39009</v>
      </c>
      <c r="B26" s="58" t="str">
        <f t="shared" si="5"/>
        <v>Japan</v>
      </c>
      <c r="C26" s="2">
        <v>4036.4</v>
      </c>
      <c r="D26" s="2">
        <v>2330</v>
      </c>
      <c r="E26" s="2">
        <v>2107.6999999999998</v>
      </c>
      <c r="F26" s="2">
        <v>2130.9</v>
      </c>
      <c r="G26" s="2">
        <f t="shared" si="0"/>
        <v>6144.1</v>
      </c>
      <c r="H26" s="2">
        <f t="shared" si="1"/>
        <v>4460.8999999999996</v>
      </c>
      <c r="I26" s="30">
        <f t="shared" si="2"/>
        <v>37.732296173417936</v>
      </c>
      <c r="J26" s="1"/>
      <c r="K26" s="4"/>
    </row>
    <row r="27" spans="1:11" x14ac:dyDescent="0.25">
      <c r="A27" s="57">
        <v>39016</v>
      </c>
      <c r="B27" s="58" t="str">
        <f t="shared" si="5"/>
        <v>Japan</v>
      </c>
      <c r="C27" s="2">
        <v>3928.8</v>
      </c>
      <c r="D27" s="2">
        <v>2449.6999999999998</v>
      </c>
      <c r="E27" s="2">
        <v>2468.8000000000002</v>
      </c>
      <c r="F27" s="2">
        <v>2414.9</v>
      </c>
      <c r="G27" s="2">
        <f t="shared" si="0"/>
        <v>6397.6</v>
      </c>
      <c r="H27" s="2">
        <f t="shared" si="1"/>
        <v>4864.6000000000004</v>
      </c>
      <c r="I27" s="30">
        <f t="shared" si="2"/>
        <v>31.513382395263733</v>
      </c>
      <c r="J27" s="1"/>
      <c r="K27" s="4"/>
    </row>
    <row r="28" spans="1:11" x14ac:dyDescent="0.25">
      <c r="A28" s="57">
        <v>39023</v>
      </c>
      <c r="B28" s="58" t="str">
        <f>+B27</f>
        <v>Japan</v>
      </c>
      <c r="C28" s="2">
        <v>4062</v>
      </c>
      <c r="D28" s="2">
        <v>2261.6</v>
      </c>
      <c r="E28" s="2">
        <v>2670.8</v>
      </c>
      <c r="F28" s="2">
        <v>2778.4</v>
      </c>
      <c r="G28" s="2">
        <f t="shared" si="0"/>
        <v>6732.8</v>
      </c>
      <c r="H28" s="2">
        <f t="shared" si="1"/>
        <v>5040</v>
      </c>
      <c r="I28" s="30">
        <f t="shared" si="2"/>
        <v>33.587301587301589</v>
      </c>
      <c r="J28" s="1"/>
      <c r="K28" s="4"/>
    </row>
    <row r="29" spans="1:11" x14ac:dyDescent="0.25">
      <c r="A29" s="57">
        <v>39030</v>
      </c>
      <c r="B29" s="58" t="str">
        <f>+B28</f>
        <v>Japan</v>
      </c>
      <c r="C29" s="2">
        <v>4166.6000000000004</v>
      </c>
      <c r="D29" s="2">
        <v>2171.5</v>
      </c>
      <c r="E29" s="2">
        <v>2911.7</v>
      </c>
      <c r="F29" s="2">
        <v>3142.1</v>
      </c>
      <c r="G29" s="2">
        <f t="shared" si="0"/>
        <v>7078.3</v>
      </c>
      <c r="H29" s="2">
        <f t="shared" si="1"/>
        <v>5313.6</v>
      </c>
      <c r="I29" s="30">
        <f t="shared" si="2"/>
        <v>33.211005721168306</v>
      </c>
      <c r="J29" s="1"/>
      <c r="K29" s="4"/>
    </row>
    <row r="30" spans="1:11" x14ac:dyDescent="0.25">
      <c r="A30" s="57">
        <v>39037</v>
      </c>
      <c r="B30" s="58" t="str">
        <f>+B29</f>
        <v>Japan</v>
      </c>
      <c r="C30" s="2">
        <v>3937.3</v>
      </c>
      <c r="D30" s="2">
        <v>2217.1</v>
      </c>
      <c r="E30" s="2">
        <v>3293</v>
      </c>
      <c r="F30" s="2">
        <v>3489.2</v>
      </c>
      <c r="G30" s="2">
        <f t="shared" si="0"/>
        <v>7230.3</v>
      </c>
      <c r="H30" s="2">
        <f t="shared" si="1"/>
        <v>5706.2999999999993</v>
      </c>
      <c r="I30" s="30">
        <f t="shared" si="2"/>
        <v>26.707323484569699</v>
      </c>
      <c r="J30" s="1"/>
      <c r="K30" s="4"/>
    </row>
    <row r="31" spans="1:11" x14ac:dyDescent="0.25">
      <c r="A31" s="57">
        <v>39044</v>
      </c>
      <c r="B31" s="58" t="str">
        <f>+B30</f>
        <v>Japan</v>
      </c>
      <c r="C31" s="2">
        <v>3890.8</v>
      </c>
      <c r="D31" s="2">
        <v>2381</v>
      </c>
      <c r="E31" s="2">
        <v>3497.8</v>
      </c>
      <c r="F31" s="2">
        <v>3651.3</v>
      </c>
      <c r="G31" s="2">
        <f t="shared" si="0"/>
        <v>7388.6</v>
      </c>
      <c r="H31" s="2">
        <f t="shared" si="1"/>
        <v>6032.3</v>
      </c>
      <c r="I31" s="30">
        <f t="shared" si="2"/>
        <v>22.483961341445212</v>
      </c>
      <c r="J31" s="1"/>
      <c r="K31" s="4"/>
    </row>
    <row r="32" spans="1:11" x14ac:dyDescent="0.25">
      <c r="A32" s="57">
        <v>39051</v>
      </c>
      <c r="B32" s="58" t="str">
        <f t="shared" ref="B32:B47" si="6">+B31</f>
        <v>Japan</v>
      </c>
      <c r="C32" s="2">
        <v>3773.3</v>
      </c>
      <c r="D32" s="2">
        <v>2363.9</v>
      </c>
      <c r="E32" s="2">
        <v>3884.6</v>
      </c>
      <c r="F32" s="2">
        <v>4000.9</v>
      </c>
      <c r="G32" s="2">
        <f t="shared" si="0"/>
        <v>7657.9</v>
      </c>
      <c r="H32" s="2">
        <f t="shared" si="1"/>
        <v>6364.8</v>
      </c>
      <c r="I32" s="30">
        <f t="shared" si="2"/>
        <v>20.316427853192543</v>
      </c>
      <c r="J32" s="1"/>
      <c r="K32" s="4"/>
    </row>
    <row r="33" spans="1:11" x14ac:dyDescent="0.25">
      <c r="A33" s="57">
        <v>39058</v>
      </c>
      <c r="B33" s="58" t="str">
        <f t="shared" si="6"/>
        <v>Japan</v>
      </c>
      <c r="C33" s="2">
        <v>3666.8</v>
      </c>
      <c r="D33" s="2">
        <v>2664</v>
      </c>
      <c r="E33" s="2">
        <v>4137.7</v>
      </c>
      <c r="F33" s="2">
        <v>4333.1000000000004</v>
      </c>
      <c r="G33" s="2">
        <f t="shared" si="0"/>
        <v>7804.5</v>
      </c>
      <c r="H33" s="2">
        <f t="shared" si="1"/>
        <v>6997.1</v>
      </c>
      <c r="I33" s="30">
        <f t="shared" si="2"/>
        <v>11.539066184562174</v>
      </c>
      <c r="J33" s="1"/>
      <c r="K33" s="4"/>
    </row>
    <row r="34" spans="1:11" x14ac:dyDescent="0.25">
      <c r="A34" s="57">
        <v>39065</v>
      </c>
      <c r="B34" s="58" t="str">
        <f t="shared" si="6"/>
        <v>Japan</v>
      </c>
      <c r="C34" s="2">
        <v>3518.2</v>
      </c>
      <c r="D34" s="2">
        <v>2741.3</v>
      </c>
      <c r="E34" s="2">
        <v>4395.1000000000004</v>
      </c>
      <c r="F34" s="2">
        <v>4572.8</v>
      </c>
      <c r="G34" s="2">
        <f t="shared" si="0"/>
        <v>7913.3</v>
      </c>
      <c r="H34" s="2">
        <f t="shared" si="1"/>
        <v>7314.1</v>
      </c>
      <c r="I34" s="30">
        <f t="shared" si="2"/>
        <v>8.1923955100422496</v>
      </c>
      <c r="J34" s="1"/>
      <c r="K34" s="4"/>
    </row>
    <row r="35" spans="1:11" x14ac:dyDescent="0.25">
      <c r="A35" s="57">
        <v>39072</v>
      </c>
      <c r="B35" s="58" t="str">
        <f t="shared" si="6"/>
        <v>Japan</v>
      </c>
      <c r="C35" s="2">
        <v>3299.1</v>
      </c>
      <c r="D35" s="2">
        <v>2641.8</v>
      </c>
      <c r="E35" s="2">
        <v>4717.8999999999996</v>
      </c>
      <c r="F35" s="2">
        <v>4707.3999999999996</v>
      </c>
      <c r="G35" s="2">
        <f t="shared" si="0"/>
        <v>8017</v>
      </c>
      <c r="H35" s="2">
        <f t="shared" si="1"/>
        <v>7349.2</v>
      </c>
      <c r="I35" s="30">
        <f t="shared" si="2"/>
        <v>9.0867033146464937</v>
      </c>
      <c r="J35" s="30">
        <v>60</v>
      </c>
      <c r="K35" s="4"/>
    </row>
    <row r="36" spans="1:11" x14ac:dyDescent="0.25">
      <c r="A36" s="57">
        <v>39079</v>
      </c>
      <c r="B36" s="58" t="str">
        <f t="shared" si="6"/>
        <v>Japan</v>
      </c>
      <c r="C36" s="2">
        <v>3110.7</v>
      </c>
      <c r="D36" s="2">
        <v>2414.8000000000002</v>
      </c>
      <c r="E36" s="2">
        <v>5058.3</v>
      </c>
      <c r="F36" s="2">
        <v>5050.1000000000004</v>
      </c>
      <c r="G36" s="2">
        <f t="shared" si="0"/>
        <v>8169</v>
      </c>
      <c r="H36" s="2">
        <f t="shared" si="1"/>
        <v>7464.9000000000005</v>
      </c>
      <c r="I36" s="30">
        <f t="shared" si="2"/>
        <v>9.432142426556279</v>
      </c>
      <c r="J36" s="1"/>
      <c r="K36" s="4"/>
    </row>
    <row r="37" spans="1:11" x14ac:dyDescent="0.25">
      <c r="A37" s="57">
        <v>39086</v>
      </c>
      <c r="B37" s="58" t="str">
        <f t="shared" si="6"/>
        <v>Japan</v>
      </c>
      <c r="C37" s="2">
        <v>3224.7</v>
      </c>
      <c r="D37" s="2">
        <v>2365</v>
      </c>
      <c r="E37" s="2">
        <v>5289</v>
      </c>
      <c r="F37" s="2">
        <v>5250.5</v>
      </c>
      <c r="G37" s="2">
        <f t="shared" si="0"/>
        <v>8513.7000000000007</v>
      </c>
      <c r="H37" s="2">
        <f t="shared" si="1"/>
        <v>7615.5</v>
      </c>
      <c r="I37" s="30">
        <f t="shared" si="2"/>
        <v>11.794366752018925</v>
      </c>
      <c r="J37" s="1"/>
      <c r="K37" s="4"/>
    </row>
    <row r="38" spans="1:11" x14ac:dyDescent="0.25">
      <c r="A38" s="57">
        <v>39093</v>
      </c>
      <c r="B38" s="58" t="str">
        <f t="shared" si="6"/>
        <v>Japan</v>
      </c>
      <c r="C38" s="2">
        <v>3741.2</v>
      </c>
      <c r="D38" s="2">
        <v>2140.8000000000002</v>
      </c>
      <c r="E38" s="2">
        <v>5370.8</v>
      </c>
      <c r="F38" s="2">
        <v>5728</v>
      </c>
      <c r="G38" s="2">
        <f t="shared" si="0"/>
        <v>9112</v>
      </c>
      <c r="H38" s="2">
        <f t="shared" si="1"/>
        <v>7868.8</v>
      </c>
      <c r="I38" s="30">
        <f t="shared" si="2"/>
        <v>15.799105327368856</v>
      </c>
      <c r="J38" s="1"/>
      <c r="K38" s="4"/>
    </row>
    <row r="39" spans="1:11" x14ac:dyDescent="0.25">
      <c r="A39" s="57">
        <v>39100</v>
      </c>
      <c r="B39" s="58" t="str">
        <f t="shared" si="6"/>
        <v>Japan</v>
      </c>
      <c r="C39" s="2">
        <v>3843.6</v>
      </c>
      <c r="D39" s="2">
        <v>2456.1</v>
      </c>
      <c r="E39" s="2">
        <v>5782.1</v>
      </c>
      <c r="F39" s="2">
        <v>6136</v>
      </c>
      <c r="G39" s="2">
        <f t="shared" si="0"/>
        <v>9625.7000000000007</v>
      </c>
      <c r="H39" s="2">
        <f t="shared" si="1"/>
        <v>8592.1</v>
      </c>
      <c r="I39" s="30">
        <f t="shared" si="2"/>
        <v>12.029655148333941</v>
      </c>
      <c r="J39" s="1"/>
      <c r="K39" s="4"/>
    </row>
    <row r="40" spans="1:11" x14ac:dyDescent="0.25">
      <c r="A40" s="57">
        <v>39107</v>
      </c>
      <c r="B40" s="58" t="str">
        <f t="shared" si="6"/>
        <v>Japan</v>
      </c>
      <c r="C40" s="2">
        <v>3928.7</v>
      </c>
      <c r="D40" s="2">
        <v>2565.8000000000002</v>
      </c>
      <c r="E40" s="2">
        <v>6013.8</v>
      </c>
      <c r="F40" s="2">
        <v>6392.4</v>
      </c>
      <c r="G40" s="2">
        <f t="shared" si="0"/>
        <v>9942.5</v>
      </c>
      <c r="H40" s="2">
        <f t="shared" si="1"/>
        <v>8958.2000000000007</v>
      </c>
      <c r="I40" s="30">
        <f t="shared" si="2"/>
        <v>10.987698421557891</v>
      </c>
      <c r="J40" s="1"/>
      <c r="K40" s="4"/>
    </row>
    <row r="41" spans="1:11" x14ac:dyDescent="0.25">
      <c r="A41" s="57">
        <v>39114</v>
      </c>
      <c r="B41" s="58" t="str">
        <f t="shared" si="6"/>
        <v>Japan</v>
      </c>
      <c r="C41">
        <v>3793.9</v>
      </c>
      <c r="D41">
        <v>2969.9</v>
      </c>
      <c r="E41">
        <v>6458.2</v>
      </c>
      <c r="F41">
        <v>6713.5</v>
      </c>
      <c r="G41" s="2">
        <f t="shared" ref="G41:H43" si="7">+C41+E41</f>
        <v>10252.1</v>
      </c>
      <c r="H41" s="2">
        <f t="shared" si="7"/>
        <v>9683.4</v>
      </c>
      <c r="I41" s="30">
        <f t="shared" ref="I41:I46" si="8">(G41/H41-1)*100</f>
        <v>5.8729371914823414</v>
      </c>
      <c r="J41" s="1"/>
      <c r="K41" s="4"/>
    </row>
    <row r="42" spans="1:11" x14ac:dyDescent="0.25">
      <c r="A42" s="57">
        <v>39121</v>
      </c>
      <c r="B42" s="58" t="str">
        <f t="shared" si="6"/>
        <v>Japan</v>
      </c>
      <c r="C42" s="2">
        <v>4317.3</v>
      </c>
      <c r="D42" s="2">
        <v>3052.7</v>
      </c>
      <c r="E42" s="2">
        <v>6619.2</v>
      </c>
      <c r="F42" s="2">
        <v>7054.9</v>
      </c>
      <c r="G42" s="2">
        <f t="shared" si="7"/>
        <v>10936.5</v>
      </c>
      <c r="H42" s="2">
        <f t="shared" si="7"/>
        <v>10107.599999999999</v>
      </c>
      <c r="I42" s="30">
        <f t="shared" si="8"/>
        <v>8.2007598242906496</v>
      </c>
      <c r="J42" s="1"/>
      <c r="K42" s="4"/>
    </row>
    <row r="43" spans="1:11" x14ac:dyDescent="0.25">
      <c r="A43" s="57">
        <v>39128</v>
      </c>
      <c r="B43" s="58" t="str">
        <f t="shared" si="6"/>
        <v>Japan</v>
      </c>
      <c r="C43">
        <v>4135</v>
      </c>
      <c r="D43">
        <v>2922.5</v>
      </c>
      <c r="E43">
        <v>6843.4</v>
      </c>
      <c r="F43">
        <v>7499.2</v>
      </c>
      <c r="G43" s="2">
        <f t="shared" si="7"/>
        <v>10978.4</v>
      </c>
      <c r="H43" s="2">
        <f t="shared" si="7"/>
        <v>10421.700000000001</v>
      </c>
      <c r="I43" s="30">
        <f t="shared" si="8"/>
        <v>5.3417388717771574</v>
      </c>
      <c r="J43" s="1"/>
      <c r="K43" s="4"/>
    </row>
    <row r="44" spans="1:11" x14ac:dyDescent="0.25">
      <c r="A44" s="57">
        <v>39135</v>
      </c>
      <c r="B44" s="58" t="str">
        <f t="shared" si="6"/>
        <v>Japan</v>
      </c>
      <c r="C44">
        <v>3940.7</v>
      </c>
      <c r="D44">
        <v>3036.3</v>
      </c>
      <c r="E44">
        <v>7141.9</v>
      </c>
      <c r="F44">
        <v>7580.1</v>
      </c>
      <c r="G44" s="2">
        <f t="shared" ref="G44:H46" si="9">+C44+E44</f>
        <v>11082.599999999999</v>
      </c>
      <c r="H44" s="2">
        <f t="shared" si="9"/>
        <v>10616.400000000001</v>
      </c>
      <c r="I44" s="30">
        <f t="shared" si="8"/>
        <v>4.3913190912173272</v>
      </c>
      <c r="J44" s="68"/>
      <c r="K44" s="4"/>
    </row>
    <row r="45" spans="1:11" x14ac:dyDescent="0.25">
      <c r="A45" s="57">
        <v>39142</v>
      </c>
      <c r="B45" s="58" t="str">
        <f t="shared" si="6"/>
        <v>Japan</v>
      </c>
      <c r="C45">
        <v>3662.4</v>
      </c>
      <c r="D45">
        <v>3396</v>
      </c>
      <c r="E45">
        <v>7679</v>
      </c>
      <c r="F45">
        <v>8049.6</v>
      </c>
      <c r="G45" s="2">
        <f t="shared" si="9"/>
        <v>11341.4</v>
      </c>
      <c r="H45" s="2">
        <f t="shared" si="9"/>
        <v>11445.6</v>
      </c>
      <c r="I45" s="30">
        <f t="shared" si="8"/>
        <v>-0.91039351366464238</v>
      </c>
      <c r="J45" s="68"/>
      <c r="K45" s="4"/>
    </row>
    <row r="46" spans="1:11" x14ac:dyDescent="0.25">
      <c r="A46" s="57">
        <v>39149</v>
      </c>
      <c r="B46" s="58" t="str">
        <f t="shared" si="6"/>
        <v>Japan</v>
      </c>
      <c r="C46">
        <v>3288.1</v>
      </c>
      <c r="D46">
        <v>3360.5</v>
      </c>
      <c r="E46">
        <v>8161.6</v>
      </c>
      <c r="F46">
        <v>8427.4</v>
      </c>
      <c r="G46" s="2">
        <f t="shared" si="9"/>
        <v>11449.7</v>
      </c>
      <c r="H46" s="2">
        <f t="shared" si="9"/>
        <v>11787.9</v>
      </c>
      <c r="I46" s="30">
        <f t="shared" si="8"/>
        <v>-2.8690436803841091</v>
      </c>
      <c r="J46" s="68"/>
      <c r="K46" s="4"/>
    </row>
    <row r="47" spans="1:11" x14ac:dyDescent="0.25">
      <c r="A47" s="57">
        <v>39156</v>
      </c>
      <c r="B47" s="58" t="str">
        <f t="shared" si="6"/>
        <v>Japan</v>
      </c>
      <c r="C47">
        <v>3240.2</v>
      </c>
      <c r="D47">
        <v>3044.1</v>
      </c>
      <c r="E47">
        <v>8401.4</v>
      </c>
      <c r="F47">
        <v>8936</v>
      </c>
      <c r="G47" s="2">
        <f t="shared" ref="G47:H49" si="10">+C47+E47</f>
        <v>11641.599999999999</v>
      </c>
      <c r="H47" s="2">
        <f t="shared" si="10"/>
        <v>11980.1</v>
      </c>
      <c r="I47" s="30">
        <f t="shared" ref="I47:I52" si="11">(G47/H47-1)*100</f>
        <v>-2.8255189856512208</v>
      </c>
      <c r="J47" s="68"/>
      <c r="K47" s="4"/>
    </row>
    <row r="48" spans="1:11" x14ac:dyDescent="0.25">
      <c r="A48" s="57">
        <v>39163</v>
      </c>
      <c r="B48" s="58" t="str">
        <f t="shared" ref="B48:B53" si="12">+B47</f>
        <v>Japan</v>
      </c>
      <c r="C48">
        <v>2910.1</v>
      </c>
      <c r="D48">
        <v>2855.4</v>
      </c>
      <c r="E48">
        <v>8674.4</v>
      </c>
      <c r="F48">
        <v>9121.6</v>
      </c>
      <c r="G48" s="2">
        <f t="shared" si="10"/>
        <v>11584.5</v>
      </c>
      <c r="H48" s="2">
        <f t="shared" si="10"/>
        <v>11977</v>
      </c>
      <c r="I48" s="30">
        <f t="shared" si="11"/>
        <v>-3.2771144693996779</v>
      </c>
      <c r="J48" s="68"/>
      <c r="K48" s="4"/>
    </row>
    <row r="49" spans="1:11" x14ac:dyDescent="0.25">
      <c r="A49" s="57">
        <v>39170</v>
      </c>
      <c r="B49" s="58" t="str">
        <f t="shared" si="12"/>
        <v>Japan</v>
      </c>
      <c r="C49">
        <v>2729.7</v>
      </c>
      <c r="D49">
        <v>2830.2</v>
      </c>
      <c r="E49">
        <v>8981.4</v>
      </c>
      <c r="F49">
        <v>9496.6</v>
      </c>
      <c r="G49" s="2">
        <f t="shared" si="10"/>
        <v>11711.099999999999</v>
      </c>
      <c r="H49" s="2">
        <f t="shared" si="10"/>
        <v>12326.8</v>
      </c>
      <c r="I49" s="30">
        <f t="shared" si="11"/>
        <v>-4.9948080604861005</v>
      </c>
      <c r="J49" s="68"/>
      <c r="K49" s="4"/>
    </row>
    <row r="50" spans="1:11" x14ac:dyDescent="0.25">
      <c r="A50" s="57">
        <v>39177</v>
      </c>
      <c r="B50" s="58" t="str">
        <f t="shared" si="12"/>
        <v>Japan</v>
      </c>
      <c r="C50">
        <v>2765.9</v>
      </c>
      <c r="D50">
        <v>2706.1</v>
      </c>
      <c r="E50">
        <v>9275.7999999999993</v>
      </c>
      <c r="F50">
        <v>9720.2999999999993</v>
      </c>
      <c r="G50" s="2">
        <f t="shared" ref="G50:H52" si="13">+C50+E50</f>
        <v>12041.699999999999</v>
      </c>
      <c r="H50" s="2">
        <f t="shared" si="13"/>
        <v>12426.4</v>
      </c>
      <c r="I50" s="30">
        <f t="shared" si="11"/>
        <v>-3.0958282366574497</v>
      </c>
      <c r="J50" s="68"/>
      <c r="K50" s="4"/>
    </row>
    <row r="51" spans="1:11" x14ac:dyDescent="0.25">
      <c r="A51" s="57">
        <v>39184</v>
      </c>
      <c r="B51" s="58" t="str">
        <f t="shared" si="12"/>
        <v>Japan</v>
      </c>
      <c r="C51">
        <v>2707.7</v>
      </c>
      <c r="D51">
        <v>2554.1999999999998</v>
      </c>
      <c r="E51">
        <v>9506.5</v>
      </c>
      <c r="F51">
        <v>9999.7000000000007</v>
      </c>
      <c r="G51" s="2">
        <f t="shared" si="13"/>
        <v>12214.2</v>
      </c>
      <c r="H51" s="2">
        <f t="shared" si="13"/>
        <v>12553.900000000001</v>
      </c>
      <c r="I51" s="30">
        <f t="shared" si="11"/>
        <v>-2.7059320211249127</v>
      </c>
      <c r="J51" s="68"/>
      <c r="K51" s="4"/>
    </row>
    <row r="52" spans="1:11" x14ac:dyDescent="0.25">
      <c r="A52" s="57">
        <v>39191</v>
      </c>
      <c r="B52" s="58" t="str">
        <f t="shared" si="12"/>
        <v>Japan</v>
      </c>
      <c r="C52">
        <v>2913.4</v>
      </c>
      <c r="D52">
        <v>2546.4</v>
      </c>
      <c r="E52">
        <v>9754.1</v>
      </c>
      <c r="F52">
        <v>10276.200000000001</v>
      </c>
      <c r="G52" s="2">
        <f t="shared" si="13"/>
        <v>12667.5</v>
      </c>
      <c r="H52" s="2">
        <f t="shared" si="13"/>
        <v>12822.6</v>
      </c>
      <c r="I52" s="30">
        <f t="shared" si="11"/>
        <v>-1.2095830798745988</v>
      </c>
      <c r="J52" s="68"/>
      <c r="K52" s="4"/>
    </row>
    <row r="53" spans="1:11" x14ac:dyDescent="0.25">
      <c r="A53" s="57">
        <v>39198</v>
      </c>
      <c r="B53" s="58" t="str">
        <f t="shared" si="12"/>
        <v>Japan</v>
      </c>
      <c r="C53">
        <v>2738.6</v>
      </c>
      <c r="D53">
        <v>2796.8</v>
      </c>
      <c r="E53">
        <v>10053.5</v>
      </c>
      <c r="F53">
        <v>10588.3</v>
      </c>
      <c r="G53" s="2">
        <f t="shared" ref="G53:H55" si="14">+C53+E53</f>
        <v>12792.1</v>
      </c>
      <c r="H53" s="2">
        <f t="shared" si="14"/>
        <v>13385.099999999999</v>
      </c>
      <c r="I53" s="30">
        <f t="shared" ref="I53:I58" si="15">(G53/H53-1)*100</f>
        <v>-4.4302993627242104</v>
      </c>
      <c r="J53" s="68"/>
      <c r="K53" s="4"/>
    </row>
    <row r="54" spans="1:11" x14ac:dyDescent="0.25">
      <c r="A54" s="57">
        <v>39205</v>
      </c>
      <c r="B54" s="58" t="str">
        <f t="shared" ref="B54:B59" si="16">+B53</f>
        <v>Japan</v>
      </c>
      <c r="C54">
        <v>2822.4</v>
      </c>
      <c r="D54">
        <v>2639.7</v>
      </c>
      <c r="E54">
        <v>10257.1</v>
      </c>
      <c r="F54">
        <v>10885.6</v>
      </c>
      <c r="G54" s="2">
        <f t="shared" si="14"/>
        <v>13079.5</v>
      </c>
      <c r="H54" s="2">
        <f t="shared" si="14"/>
        <v>13525.3</v>
      </c>
      <c r="I54" s="30">
        <f t="shared" si="15"/>
        <v>-3.29604518938581</v>
      </c>
      <c r="K54" s="4"/>
    </row>
    <row r="55" spans="1:11" x14ac:dyDescent="0.25">
      <c r="A55" s="57">
        <v>39212</v>
      </c>
      <c r="B55" s="58" t="str">
        <f t="shared" si="16"/>
        <v>Japan</v>
      </c>
      <c r="C55">
        <v>2654.1</v>
      </c>
      <c r="D55">
        <v>2778.3</v>
      </c>
      <c r="E55">
        <v>10724.7</v>
      </c>
      <c r="F55">
        <v>11040</v>
      </c>
      <c r="G55" s="2">
        <f t="shared" si="14"/>
        <v>13378.800000000001</v>
      </c>
      <c r="H55" s="2">
        <f t="shared" si="14"/>
        <v>13818.3</v>
      </c>
      <c r="I55" s="30">
        <f t="shared" si="15"/>
        <v>-3.180564903063321</v>
      </c>
      <c r="J55" s="68">
        <v>486.9</v>
      </c>
      <c r="K55" s="4"/>
    </row>
    <row r="56" spans="1:11" x14ac:dyDescent="0.25">
      <c r="A56" s="57">
        <v>39219</v>
      </c>
      <c r="B56" s="58" t="str">
        <f t="shared" si="16"/>
        <v>Japan</v>
      </c>
      <c r="C56">
        <v>2759</v>
      </c>
      <c r="D56">
        <v>2813.3</v>
      </c>
      <c r="E56">
        <v>10972.7</v>
      </c>
      <c r="F56">
        <v>11550.8</v>
      </c>
      <c r="G56" s="2">
        <f t="shared" ref="G56:H58" si="17">+C56+E56</f>
        <v>13731.7</v>
      </c>
      <c r="H56" s="2">
        <f t="shared" si="17"/>
        <v>14364.099999999999</v>
      </c>
      <c r="I56" s="30">
        <f t="shared" si="15"/>
        <v>-4.4026426995077861</v>
      </c>
      <c r="J56" s="68">
        <v>629.1</v>
      </c>
      <c r="K56" s="4"/>
    </row>
    <row r="57" spans="1:11" x14ac:dyDescent="0.25">
      <c r="A57" s="57">
        <v>39226</v>
      </c>
      <c r="B57" s="58" t="str">
        <f t="shared" si="16"/>
        <v>Japan</v>
      </c>
      <c r="C57">
        <v>2664.1</v>
      </c>
      <c r="D57">
        <v>2824.7</v>
      </c>
      <c r="E57">
        <v>11322.3</v>
      </c>
      <c r="F57">
        <v>11938.8</v>
      </c>
      <c r="G57" s="2">
        <f t="shared" si="17"/>
        <v>13986.4</v>
      </c>
      <c r="H57" s="2">
        <f t="shared" si="17"/>
        <v>14763.5</v>
      </c>
      <c r="I57" s="30">
        <f t="shared" si="15"/>
        <v>-5.2636569919057186</v>
      </c>
      <c r="J57" s="68">
        <v>781.3</v>
      </c>
      <c r="K57" s="4"/>
    </row>
    <row r="58" spans="1:11" x14ac:dyDescent="0.25">
      <c r="A58" s="57">
        <v>39233</v>
      </c>
      <c r="B58" s="58" t="str">
        <f t="shared" si="16"/>
        <v>Japan</v>
      </c>
      <c r="C58">
        <v>2442</v>
      </c>
      <c r="D58">
        <v>2792.6</v>
      </c>
      <c r="E58">
        <v>11671.6</v>
      </c>
      <c r="F58">
        <v>12202.7</v>
      </c>
      <c r="G58" s="2">
        <f t="shared" si="17"/>
        <v>14113.6</v>
      </c>
      <c r="H58" s="2">
        <f t="shared" si="17"/>
        <v>14995.300000000001</v>
      </c>
      <c r="I58" s="30">
        <f t="shared" si="15"/>
        <v>-5.8798423506031927</v>
      </c>
      <c r="J58" s="68">
        <v>806.7</v>
      </c>
      <c r="K58" s="4"/>
    </row>
    <row r="59" spans="1:11" x14ac:dyDescent="0.25">
      <c r="A59" s="57">
        <v>39240</v>
      </c>
      <c r="B59" s="58" t="str">
        <f t="shared" si="16"/>
        <v>Japan</v>
      </c>
      <c r="C59">
        <v>2276.5</v>
      </c>
      <c r="D59">
        <v>3004</v>
      </c>
      <c r="E59">
        <v>11977.8</v>
      </c>
      <c r="F59">
        <v>12557.1</v>
      </c>
      <c r="G59" s="2">
        <f t="shared" ref="G59:H61" si="18">+C59+E59</f>
        <v>14254.3</v>
      </c>
      <c r="H59" s="2">
        <f t="shared" si="18"/>
        <v>15561.1</v>
      </c>
      <c r="I59" s="30">
        <f t="shared" ref="I59:I64" si="19">(G59/H59-1)*100</f>
        <v>-8.3978639042227137</v>
      </c>
      <c r="J59" s="68">
        <v>832.1</v>
      </c>
      <c r="K59" s="4"/>
    </row>
    <row r="60" spans="1:11" x14ac:dyDescent="0.25">
      <c r="A60" s="57">
        <v>39247</v>
      </c>
      <c r="B60" s="58" t="str">
        <f t="shared" ref="B60:B65" si="20">+B59</f>
        <v>Japan</v>
      </c>
      <c r="C60">
        <v>2472.5</v>
      </c>
      <c r="D60">
        <v>3031.1</v>
      </c>
      <c r="E60">
        <v>12157</v>
      </c>
      <c r="F60">
        <v>12844.5</v>
      </c>
      <c r="G60" s="2">
        <f t="shared" si="18"/>
        <v>14629.5</v>
      </c>
      <c r="H60" s="2">
        <f t="shared" si="18"/>
        <v>15875.6</v>
      </c>
      <c r="I60" s="30">
        <f t="shared" si="19"/>
        <v>-7.8491521580286712</v>
      </c>
      <c r="J60">
        <v>857.6</v>
      </c>
      <c r="K60" s="4"/>
    </row>
    <row r="61" spans="1:11" x14ac:dyDescent="0.25">
      <c r="A61" s="57">
        <v>39254</v>
      </c>
      <c r="B61" s="58" t="str">
        <f t="shared" si="20"/>
        <v>Japan</v>
      </c>
      <c r="C61">
        <v>2358.5</v>
      </c>
      <c r="D61">
        <v>2949.5</v>
      </c>
      <c r="E61">
        <v>12465.4</v>
      </c>
      <c r="F61">
        <v>13127.3</v>
      </c>
      <c r="G61" s="2">
        <f t="shared" si="18"/>
        <v>14823.9</v>
      </c>
      <c r="H61" s="2">
        <f t="shared" si="18"/>
        <v>16076.8</v>
      </c>
      <c r="I61" s="30">
        <f t="shared" si="19"/>
        <v>-7.793217555732479</v>
      </c>
      <c r="J61" s="68">
        <v>925.2</v>
      </c>
      <c r="K61" s="4"/>
    </row>
    <row r="62" spans="1:11" x14ac:dyDescent="0.25">
      <c r="A62" s="57">
        <v>39261</v>
      </c>
      <c r="B62" s="58" t="str">
        <f t="shared" si="20"/>
        <v>Japan</v>
      </c>
      <c r="C62">
        <v>2018.5</v>
      </c>
      <c r="D62">
        <v>2961.6</v>
      </c>
      <c r="E62">
        <v>12857.7</v>
      </c>
      <c r="F62">
        <v>13331.8</v>
      </c>
      <c r="G62" s="2">
        <f t="shared" ref="G62:H64" si="21">+C62+E62</f>
        <v>14876.2</v>
      </c>
      <c r="H62" s="2">
        <f t="shared" si="21"/>
        <v>16293.4</v>
      </c>
      <c r="I62" s="30">
        <f t="shared" si="19"/>
        <v>-8.698000417346897</v>
      </c>
      <c r="J62">
        <v>995.5</v>
      </c>
      <c r="K62" s="4"/>
    </row>
    <row r="63" spans="1:11" x14ac:dyDescent="0.25">
      <c r="A63" s="57">
        <v>39268</v>
      </c>
      <c r="B63" s="58" t="str">
        <f t="shared" si="20"/>
        <v>Japan</v>
      </c>
      <c r="C63">
        <v>2205.4</v>
      </c>
      <c r="D63">
        <v>2721.1</v>
      </c>
      <c r="E63">
        <v>13049</v>
      </c>
      <c r="F63">
        <v>13694.2</v>
      </c>
      <c r="G63" s="2">
        <f t="shared" si="21"/>
        <v>15254.4</v>
      </c>
      <c r="H63" s="2">
        <f t="shared" si="21"/>
        <v>16415.3</v>
      </c>
      <c r="I63" s="30">
        <f t="shared" si="19"/>
        <v>-7.0720608213069465</v>
      </c>
      <c r="J63" s="68">
        <v>1071.8</v>
      </c>
      <c r="K63" s="4"/>
    </row>
    <row r="64" spans="1:11" x14ac:dyDescent="0.25">
      <c r="A64" s="57">
        <v>39275</v>
      </c>
      <c r="B64" s="58" t="str">
        <f t="shared" si="20"/>
        <v>Japan</v>
      </c>
      <c r="C64">
        <v>2061.4</v>
      </c>
      <c r="D64">
        <v>2500.6999999999998</v>
      </c>
      <c r="E64">
        <v>13480.4</v>
      </c>
      <c r="F64">
        <v>13960.7</v>
      </c>
      <c r="G64" s="2">
        <f t="shared" si="21"/>
        <v>15541.8</v>
      </c>
      <c r="H64" s="2">
        <f t="shared" si="21"/>
        <v>16461.400000000001</v>
      </c>
      <c r="I64" s="30">
        <f t="shared" si="19"/>
        <v>-5.5864021286160526</v>
      </c>
      <c r="J64" s="68">
        <v>1191.5999999999999</v>
      </c>
      <c r="K64" s="4"/>
    </row>
    <row r="65" spans="1:11" x14ac:dyDescent="0.25">
      <c r="A65" s="57">
        <v>39282</v>
      </c>
      <c r="B65" s="58" t="str">
        <f t="shared" si="20"/>
        <v>Japan</v>
      </c>
      <c r="C65">
        <v>1835.9</v>
      </c>
      <c r="D65">
        <v>2281.3000000000002</v>
      </c>
      <c r="E65">
        <v>13813.3</v>
      </c>
      <c r="F65">
        <v>14358.8</v>
      </c>
      <c r="G65" s="2">
        <f t="shared" ref="G65:H67" si="22">+C65+E65</f>
        <v>15649.199999999999</v>
      </c>
      <c r="H65" s="2">
        <f t="shared" si="22"/>
        <v>16640.099999999999</v>
      </c>
      <c r="I65" s="30">
        <f t="shared" ref="I65:I70" si="23">(G65/H65-1)*100</f>
        <v>-5.9548920980042164</v>
      </c>
      <c r="J65" s="68">
        <v>1265.8</v>
      </c>
      <c r="K65" s="4"/>
    </row>
    <row r="66" spans="1:11" x14ac:dyDescent="0.25">
      <c r="A66" s="57">
        <v>39289</v>
      </c>
      <c r="B66" s="58" t="str">
        <f t="shared" ref="B66:B73" si="24">+B65</f>
        <v>Japan</v>
      </c>
      <c r="C66">
        <v>2018.2</v>
      </c>
      <c r="D66">
        <v>1968.2</v>
      </c>
      <c r="E66">
        <v>13961.2</v>
      </c>
      <c r="F66">
        <v>14807.1</v>
      </c>
      <c r="G66" s="2">
        <f t="shared" si="22"/>
        <v>15979.400000000001</v>
      </c>
      <c r="H66" s="2">
        <f t="shared" si="22"/>
        <v>16775.3</v>
      </c>
      <c r="I66" s="30">
        <f t="shared" si="23"/>
        <v>-4.7444755086347046</v>
      </c>
      <c r="J66" s="68">
        <v>1586.6</v>
      </c>
      <c r="K66" s="4"/>
    </row>
    <row r="67" spans="1:11" x14ac:dyDescent="0.25">
      <c r="A67" s="57">
        <v>39296</v>
      </c>
      <c r="B67" s="58" t="str">
        <f t="shared" si="24"/>
        <v>Japan</v>
      </c>
      <c r="C67">
        <v>1955.3</v>
      </c>
      <c r="D67">
        <v>1923.6</v>
      </c>
      <c r="E67">
        <v>14150.8</v>
      </c>
      <c r="F67">
        <v>15107.7</v>
      </c>
      <c r="G67" s="2">
        <f t="shared" si="22"/>
        <v>16106.099999999999</v>
      </c>
      <c r="H67" s="2">
        <f t="shared" si="22"/>
        <v>17031.3</v>
      </c>
      <c r="I67" s="30">
        <f t="shared" si="23"/>
        <v>-5.4323510242905719</v>
      </c>
      <c r="J67" s="68">
        <v>1748.7</v>
      </c>
      <c r="K67" s="4"/>
    </row>
    <row r="68" spans="1:11" x14ac:dyDescent="0.25">
      <c r="A68" s="57">
        <v>39303</v>
      </c>
      <c r="B68" s="58" t="str">
        <f t="shared" si="24"/>
        <v>Japan</v>
      </c>
      <c r="C68">
        <v>1236</v>
      </c>
      <c r="D68">
        <v>1751.2</v>
      </c>
      <c r="E68">
        <v>14349.5</v>
      </c>
      <c r="F68">
        <v>15374.6</v>
      </c>
      <c r="G68" s="2">
        <f t="shared" ref="G68:H70" si="25">+C68+E68</f>
        <v>15585.5</v>
      </c>
      <c r="H68" s="2">
        <f t="shared" si="25"/>
        <v>17125.8</v>
      </c>
      <c r="I68" s="30">
        <f t="shared" si="23"/>
        <v>-8.9940323955669204</v>
      </c>
      <c r="J68" s="68">
        <v>2641.9</v>
      </c>
      <c r="K68" s="4"/>
    </row>
    <row r="69" spans="1:11" x14ac:dyDescent="0.25">
      <c r="A69" s="57">
        <v>39310</v>
      </c>
      <c r="B69" s="58" t="str">
        <f t="shared" si="24"/>
        <v>Japan</v>
      </c>
      <c r="C69">
        <v>1156.5999999999999</v>
      </c>
      <c r="D69">
        <v>1144.7</v>
      </c>
      <c r="E69">
        <v>14659.1</v>
      </c>
      <c r="F69">
        <v>15772</v>
      </c>
      <c r="G69" s="2">
        <f t="shared" si="25"/>
        <v>15815.7</v>
      </c>
      <c r="H69" s="2">
        <f t="shared" si="25"/>
        <v>16916.7</v>
      </c>
      <c r="I69" s="30">
        <f t="shared" si="23"/>
        <v>-6.5083615598786952</v>
      </c>
      <c r="J69" s="68">
        <v>2951.8</v>
      </c>
      <c r="K69" s="4"/>
    </row>
    <row r="70" spans="1:11" x14ac:dyDescent="0.25">
      <c r="A70" s="57">
        <v>39317</v>
      </c>
      <c r="B70" s="58" t="str">
        <f t="shared" si="24"/>
        <v>Japan</v>
      </c>
      <c r="C70">
        <v>811.9</v>
      </c>
      <c r="D70">
        <v>610.6</v>
      </c>
      <c r="E70">
        <v>15204.3</v>
      </c>
      <c r="F70">
        <v>16237.2</v>
      </c>
      <c r="G70" s="2">
        <f t="shared" si="25"/>
        <v>16016.199999999999</v>
      </c>
      <c r="H70" s="2">
        <f t="shared" si="25"/>
        <v>16847.8</v>
      </c>
      <c r="I70" s="30">
        <f t="shared" si="23"/>
        <v>-4.9359560298674054</v>
      </c>
      <c r="J70" s="68">
        <v>3241.6</v>
      </c>
      <c r="K70" s="4"/>
    </row>
    <row r="71" spans="1:11" x14ac:dyDescent="0.25">
      <c r="A71" s="57">
        <v>39324</v>
      </c>
      <c r="B71" s="58" t="str">
        <f t="shared" si="24"/>
        <v>Japan</v>
      </c>
      <c r="C71">
        <v>618.9</v>
      </c>
      <c r="D71">
        <v>447.7</v>
      </c>
      <c r="E71">
        <v>15550.6</v>
      </c>
      <c r="F71">
        <v>16473.8</v>
      </c>
      <c r="G71" s="2">
        <f t="shared" ref="G71:H73" si="26">+C71+E71</f>
        <v>16169.5</v>
      </c>
      <c r="H71" s="2">
        <f t="shared" si="26"/>
        <v>16921.5</v>
      </c>
      <c r="I71" s="30">
        <f t="shared" ref="I71:I76" si="27">(G71/H71-1)*100</f>
        <v>-4.4440504683390998</v>
      </c>
      <c r="J71">
        <v>3519.4</v>
      </c>
      <c r="K71" s="4"/>
    </row>
    <row r="72" spans="1:11" x14ac:dyDescent="0.25">
      <c r="A72" s="74">
        <v>39331</v>
      </c>
      <c r="B72" s="75" t="str">
        <f>+B71</f>
        <v>Japan</v>
      </c>
      <c r="C72">
        <v>4265.3</v>
      </c>
      <c r="D72">
        <v>3972.9</v>
      </c>
      <c r="E72">
        <v>98.4</v>
      </c>
      <c r="F72">
        <v>153</v>
      </c>
      <c r="G72" s="2">
        <f t="shared" si="26"/>
        <v>4363.7</v>
      </c>
      <c r="H72" s="2">
        <f t="shared" si="26"/>
        <v>4125.8999999999996</v>
      </c>
      <c r="I72" s="30">
        <f t="shared" si="27"/>
        <v>5.7635909740905156</v>
      </c>
      <c r="J72" s="68"/>
      <c r="K72" s="4"/>
    </row>
    <row r="73" spans="1:11" x14ac:dyDescent="0.25">
      <c r="A73" s="57">
        <f>+A72+7</f>
        <v>39338</v>
      </c>
      <c r="B73" s="58" t="str">
        <f t="shared" si="24"/>
        <v>Japan</v>
      </c>
      <c r="C73">
        <v>4557.3</v>
      </c>
      <c r="D73">
        <v>3473.1</v>
      </c>
      <c r="E73">
        <v>384.3</v>
      </c>
      <c r="F73">
        <v>743.3</v>
      </c>
      <c r="G73" s="2">
        <f t="shared" si="26"/>
        <v>4941.6000000000004</v>
      </c>
      <c r="H73" s="2">
        <f t="shared" si="26"/>
        <v>4216.3999999999996</v>
      </c>
      <c r="I73" s="30">
        <f t="shared" si="27"/>
        <v>17.199506688170029</v>
      </c>
      <c r="J73" s="68"/>
      <c r="K73" s="4"/>
    </row>
    <row r="74" spans="1:11" x14ac:dyDescent="0.25">
      <c r="A74" s="57">
        <f t="shared" ref="A74:A80" si="28">+A73+7</f>
        <v>39345</v>
      </c>
      <c r="B74" s="58" t="str">
        <f t="shared" ref="B74:B80" si="29">+B73</f>
        <v>Japan</v>
      </c>
      <c r="C74">
        <v>4546.6000000000004</v>
      </c>
      <c r="D74">
        <v>3433.5</v>
      </c>
      <c r="E74">
        <v>576.5</v>
      </c>
      <c r="F74">
        <v>1071.8</v>
      </c>
      <c r="G74" s="2">
        <f t="shared" ref="G74:H76" si="30">+C74+E74</f>
        <v>5123.1000000000004</v>
      </c>
      <c r="H74" s="2">
        <f t="shared" si="30"/>
        <v>4505.3</v>
      </c>
      <c r="I74" s="30">
        <f t="shared" si="27"/>
        <v>13.712738330410845</v>
      </c>
      <c r="J74" s="68"/>
      <c r="K74" s="4"/>
    </row>
    <row r="75" spans="1:11" x14ac:dyDescent="0.25">
      <c r="A75" s="57">
        <f t="shared" si="28"/>
        <v>39352</v>
      </c>
      <c r="B75" s="58" t="str">
        <f t="shared" si="29"/>
        <v>Japan</v>
      </c>
      <c r="C75">
        <v>4833.1000000000004</v>
      </c>
      <c r="D75">
        <v>3375.6</v>
      </c>
      <c r="E75">
        <v>825.7</v>
      </c>
      <c r="F75">
        <v>1315</v>
      </c>
      <c r="G75" s="2">
        <f t="shared" si="30"/>
        <v>5658.8</v>
      </c>
      <c r="H75" s="2">
        <f t="shared" si="30"/>
        <v>4690.6000000000004</v>
      </c>
      <c r="I75" s="30">
        <f t="shared" si="27"/>
        <v>20.641282565130247</v>
      </c>
      <c r="J75" s="68"/>
      <c r="K75" s="4"/>
    </row>
    <row r="76" spans="1:11" x14ac:dyDescent="0.25">
      <c r="A76" s="57">
        <f t="shared" si="28"/>
        <v>39359</v>
      </c>
      <c r="B76" s="58" t="str">
        <f t="shared" si="29"/>
        <v>Japan</v>
      </c>
      <c r="C76">
        <v>5092.3999999999996</v>
      </c>
      <c r="D76">
        <v>3759.9</v>
      </c>
      <c r="E76">
        <v>1066.8</v>
      </c>
      <c r="F76">
        <v>1710.4</v>
      </c>
      <c r="G76" s="2">
        <f t="shared" si="30"/>
        <v>6159.2</v>
      </c>
      <c r="H76" s="2">
        <f t="shared" si="30"/>
        <v>5470.3</v>
      </c>
      <c r="I76" s="30">
        <f t="shared" si="27"/>
        <v>12.593459225270998</v>
      </c>
      <c r="J76" s="68"/>
      <c r="K76" s="4"/>
    </row>
    <row r="77" spans="1:11" x14ac:dyDescent="0.25">
      <c r="A77" s="57">
        <f t="shared" si="28"/>
        <v>39366</v>
      </c>
      <c r="B77" s="58" t="str">
        <f t="shared" si="29"/>
        <v>Japan</v>
      </c>
      <c r="C77">
        <v>5348.3</v>
      </c>
      <c r="D77">
        <v>3884.4</v>
      </c>
      <c r="E77">
        <v>1320.7</v>
      </c>
      <c r="F77">
        <v>1868.6</v>
      </c>
      <c r="G77" s="2">
        <f t="shared" ref="G77:H79" si="31">+C77+E77</f>
        <v>6669</v>
      </c>
      <c r="H77" s="2">
        <f t="shared" si="31"/>
        <v>5753</v>
      </c>
      <c r="I77" s="30">
        <f t="shared" ref="I77:I82" si="32">(G77/H77-1)*100</f>
        <v>15.922127585607516</v>
      </c>
      <c r="J77" s="68"/>
      <c r="K77" s="4"/>
    </row>
    <row r="78" spans="1:11" x14ac:dyDescent="0.25">
      <c r="A78" s="57">
        <f t="shared" si="28"/>
        <v>39373</v>
      </c>
      <c r="B78" s="58" t="str">
        <f t="shared" si="29"/>
        <v>Japan</v>
      </c>
      <c r="C78">
        <v>5672.1</v>
      </c>
      <c r="D78">
        <v>4036.4</v>
      </c>
      <c r="E78">
        <v>1650.9</v>
      </c>
      <c r="F78">
        <v>2107.6999999999998</v>
      </c>
      <c r="G78" s="2">
        <f t="shared" si="31"/>
        <v>7323</v>
      </c>
      <c r="H78" s="2">
        <f t="shared" si="31"/>
        <v>6144.1</v>
      </c>
      <c r="I78" s="30">
        <f t="shared" si="32"/>
        <v>19.187513224068621</v>
      </c>
      <c r="J78" s="68"/>
      <c r="K78" s="4"/>
    </row>
    <row r="79" spans="1:11" x14ac:dyDescent="0.25">
      <c r="A79" s="57">
        <f t="shared" si="28"/>
        <v>39380</v>
      </c>
      <c r="B79" s="58" t="str">
        <f t="shared" si="29"/>
        <v>Japan</v>
      </c>
      <c r="C79">
        <v>5496.6</v>
      </c>
      <c r="D79">
        <v>3928.8</v>
      </c>
      <c r="E79">
        <v>1994</v>
      </c>
      <c r="F79">
        <v>2468.8000000000002</v>
      </c>
      <c r="G79" s="2">
        <f t="shared" si="31"/>
        <v>7490.6</v>
      </c>
      <c r="H79" s="2">
        <f t="shared" si="31"/>
        <v>6397.6</v>
      </c>
      <c r="I79" s="30">
        <f t="shared" si="32"/>
        <v>17.084531699387263</v>
      </c>
      <c r="J79" s="68"/>
      <c r="K79" s="4"/>
    </row>
    <row r="80" spans="1:11" x14ac:dyDescent="0.25">
      <c r="A80" s="57">
        <f t="shared" si="28"/>
        <v>39387</v>
      </c>
      <c r="B80" s="58" t="str">
        <f t="shared" si="29"/>
        <v>Japan</v>
      </c>
      <c r="C80">
        <v>5484.4</v>
      </c>
      <c r="D80">
        <v>4062.8</v>
      </c>
      <c r="E80">
        <v>2183.1</v>
      </c>
      <c r="F80">
        <v>2670.8</v>
      </c>
      <c r="G80" s="2">
        <f t="shared" ref="G80:H82" si="33">+C80+E80</f>
        <v>7667.5</v>
      </c>
      <c r="H80" s="2">
        <f t="shared" si="33"/>
        <v>6733.6</v>
      </c>
      <c r="I80" s="30">
        <f t="shared" si="32"/>
        <v>13.869252702863255</v>
      </c>
      <c r="J80" s="68"/>
      <c r="K80" s="4"/>
    </row>
    <row r="81" spans="1:11" x14ac:dyDescent="0.25">
      <c r="A81" s="57">
        <f t="shared" ref="A81:A86" si="34">+A80+7</f>
        <v>39394</v>
      </c>
      <c r="B81" s="58" t="str">
        <f t="shared" ref="B81:B86" si="35">+B80</f>
        <v>Japan</v>
      </c>
      <c r="C81">
        <v>5104.2</v>
      </c>
      <c r="D81">
        <v>4166.6000000000004</v>
      </c>
      <c r="E81">
        <v>2617.8000000000002</v>
      </c>
      <c r="F81">
        <v>2911.7</v>
      </c>
      <c r="G81" s="2">
        <f t="shared" si="33"/>
        <v>7722</v>
      </c>
      <c r="H81" s="2">
        <f t="shared" si="33"/>
        <v>7078.3</v>
      </c>
      <c r="I81" s="30">
        <f t="shared" si="32"/>
        <v>9.0939914951330145</v>
      </c>
      <c r="J81" s="68"/>
      <c r="K81" s="4"/>
    </row>
    <row r="82" spans="1:11" x14ac:dyDescent="0.25">
      <c r="A82" s="57">
        <f t="shared" si="34"/>
        <v>39401</v>
      </c>
      <c r="B82" s="58" t="str">
        <f t="shared" si="35"/>
        <v>Japan</v>
      </c>
      <c r="C82">
        <v>5168.2</v>
      </c>
      <c r="D82">
        <v>3937.3</v>
      </c>
      <c r="E82">
        <v>2886.2</v>
      </c>
      <c r="F82">
        <v>3293</v>
      </c>
      <c r="G82" s="2">
        <f t="shared" si="33"/>
        <v>8054.4</v>
      </c>
      <c r="H82" s="2">
        <f t="shared" si="33"/>
        <v>7230.3</v>
      </c>
      <c r="I82" s="30">
        <f t="shared" si="32"/>
        <v>11.397867308410436</v>
      </c>
      <c r="J82" s="68"/>
      <c r="K82" s="4"/>
    </row>
    <row r="83" spans="1:11" x14ac:dyDescent="0.25">
      <c r="A83" s="57">
        <f t="shared" si="34"/>
        <v>39408</v>
      </c>
      <c r="B83" s="58" t="str">
        <f t="shared" si="35"/>
        <v>Japan</v>
      </c>
      <c r="C83">
        <v>5081.2</v>
      </c>
      <c r="D83">
        <v>3890.8</v>
      </c>
      <c r="E83">
        <v>3208.5</v>
      </c>
      <c r="F83">
        <v>3497.8</v>
      </c>
      <c r="G83" s="2">
        <f t="shared" ref="G83:H86" si="36">+C83+E83</f>
        <v>8289.7000000000007</v>
      </c>
      <c r="H83" s="2">
        <f t="shared" si="36"/>
        <v>7388.6</v>
      </c>
      <c r="I83" s="30">
        <f t="shared" ref="I83:I88" si="37">(G83/H83-1)*100</f>
        <v>12.195815174728629</v>
      </c>
      <c r="J83" s="68"/>
      <c r="K83" s="4"/>
    </row>
    <row r="84" spans="1:11" x14ac:dyDescent="0.25">
      <c r="A84" s="57">
        <f t="shared" si="34"/>
        <v>39415</v>
      </c>
      <c r="B84" s="58" t="str">
        <f t="shared" si="35"/>
        <v>Japan</v>
      </c>
      <c r="C84">
        <v>4683.3999999999996</v>
      </c>
      <c r="D84">
        <v>3773.3</v>
      </c>
      <c r="E84">
        <v>3589.5</v>
      </c>
      <c r="F84">
        <v>3884.6</v>
      </c>
      <c r="G84" s="2">
        <f t="shared" si="36"/>
        <v>8272.9</v>
      </c>
      <c r="H84" s="2">
        <f t="shared" si="36"/>
        <v>7657.9</v>
      </c>
      <c r="I84" s="30">
        <f t="shared" si="37"/>
        <v>8.0309223155173193</v>
      </c>
      <c r="J84" s="68"/>
      <c r="K84" s="4"/>
    </row>
    <row r="85" spans="1:11" x14ac:dyDescent="0.25">
      <c r="A85" s="57">
        <f t="shared" si="34"/>
        <v>39422</v>
      </c>
      <c r="B85" s="58" t="str">
        <f t="shared" si="35"/>
        <v>Japan</v>
      </c>
      <c r="C85">
        <v>4780.2</v>
      </c>
      <c r="D85">
        <v>3666.8</v>
      </c>
      <c r="E85">
        <v>3790.7</v>
      </c>
      <c r="F85">
        <v>4137.7</v>
      </c>
      <c r="G85" s="2">
        <f t="shared" si="36"/>
        <v>8570.9</v>
      </c>
      <c r="H85" s="2">
        <f t="shared" si="36"/>
        <v>7804.5</v>
      </c>
      <c r="I85" s="30">
        <f t="shared" si="37"/>
        <v>9.8199756550707775</v>
      </c>
      <c r="J85" s="1"/>
      <c r="K85" s="4"/>
    </row>
    <row r="86" spans="1:11" x14ac:dyDescent="0.25">
      <c r="A86" s="57">
        <f t="shared" si="34"/>
        <v>39429</v>
      </c>
      <c r="B86" s="58" t="str">
        <f t="shared" si="35"/>
        <v>Japan</v>
      </c>
      <c r="C86" s="2">
        <v>4936.8999999999996</v>
      </c>
      <c r="D86" s="2">
        <v>3518.2</v>
      </c>
      <c r="E86" s="2">
        <v>3941</v>
      </c>
      <c r="F86" s="2">
        <v>4394.3</v>
      </c>
      <c r="G86" s="2">
        <f t="shared" si="36"/>
        <v>8877.9</v>
      </c>
      <c r="H86" s="2">
        <f t="shared" si="36"/>
        <v>7912.5</v>
      </c>
      <c r="I86" s="30">
        <f t="shared" si="37"/>
        <v>12.200947867298574</v>
      </c>
      <c r="J86" s="1"/>
      <c r="K86" s="4"/>
    </row>
    <row r="87" spans="1:11" x14ac:dyDescent="0.25">
      <c r="A87" s="57">
        <f>+A86+7</f>
        <v>39436</v>
      </c>
      <c r="B87" s="58" t="str">
        <f>+B86</f>
        <v>Japan</v>
      </c>
      <c r="C87">
        <v>5024.1000000000004</v>
      </c>
      <c r="D87">
        <v>3299.1</v>
      </c>
      <c r="E87">
        <v>4279.1000000000004</v>
      </c>
      <c r="F87">
        <v>4717.8999999999996</v>
      </c>
      <c r="G87" s="2">
        <f t="shared" ref="G87:H89" si="38">+C87+E87</f>
        <v>9303.2000000000007</v>
      </c>
      <c r="H87" s="2">
        <f t="shared" si="38"/>
        <v>8017</v>
      </c>
      <c r="I87" s="30">
        <f t="shared" si="37"/>
        <v>16.043407758513162</v>
      </c>
      <c r="J87" s="1"/>
      <c r="K87" s="4"/>
    </row>
    <row r="88" spans="1:11" x14ac:dyDescent="0.25">
      <c r="A88" s="57">
        <f>+A87+7</f>
        <v>39443</v>
      </c>
      <c r="B88" s="58" t="str">
        <f>+B87</f>
        <v>Japan</v>
      </c>
      <c r="C88">
        <v>4750.7</v>
      </c>
      <c r="D88">
        <v>3110.7</v>
      </c>
      <c r="E88">
        <v>4635.3</v>
      </c>
      <c r="F88">
        <v>5049.7</v>
      </c>
      <c r="G88" s="2">
        <f t="shared" si="38"/>
        <v>9386</v>
      </c>
      <c r="H88" s="2">
        <f t="shared" si="38"/>
        <v>8160.4</v>
      </c>
      <c r="I88" s="30">
        <f t="shared" si="37"/>
        <v>15.018871623940001</v>
      </c>
      <c r="J88" s="1"/>
      <c r="K88" s="4"/>
    </row>
    <row r="89" spans="1:11" x14ac:dyDescent="0.25">
      <c r="A89" s="57">
        <f>+A88+7</f>
        <v>39450</v>
      </c>
      <c r="B89" s="58" t="str">
        <f>+B88</f>
        <v>Japan</v>
      </c>
      <c r="C89">
        <v>4648.8</v>
      </c>
      <c r="D89">
        <v>3224.7</v>
      </c>
      <c r="E89">
        <v>4933.8</v>
      </c>
      <c r="F89">
        <v>5280.3</v>
      </c>
      <c r="G89" s="2">
        <f t="shared" si="38"/>
        <v>9582.6</v>
      </c>
      <c r="H89" s="2">
        <f t="shared" si="38"/>
        <v>8505</v>
      </c>
      <c r="I89" s="30">
        <f t="shared" ref="I89:I94" si="39">(G89/H89-1)*100</f>
        <v>12.670194003527335</v>
      </c>
      <c r="J89" s="1"/>
      <c r="K89" s="4"/>
    </row>
    <row r="90" spans="1:11" x14ac:dyDescent="0.25">
      <c r="A90" s="57">
        <f>+A89+7</f>
        <v>39457</v>
      </c>
      <c r="B90" s="58" t="str">
        <f>+B89</f>
        <v>Japan</v>
      </c>
      <c r="C90">
        <v>4662.3999999999996</v>
      </c>
      <c r="D90">
        <v>3741.2</v>
      </c>
      <c r="E90">
        <v>5292.8</v>
      </c>
      <c r="F90">
        <v>5362.1</v>
      </c>
      <c r="G90" s="2">
        <f t="shared" ref="G90:H92" si="40">+C90+E90</f>
        <v>9955.2000000000007</v>
      </c>
      <c r="H90" s="2">
        <f t="shared" si="40"/>
        <v>9103.2999999999993</v>
      </c>
      <c r="I90" s="30">
        <f t="shared" si="39"/>
        <v>9.3581448485714027</v>
      </c>
      <c r="J90" s="1"/>
      <c r="K90" s="4"/>
    </row>
    <row r="91" spans="1:11" x14ac:dyDescent="0.25">
      <c r="A91" s="57">
        <f>+A90+7</f>
        <v>39464</v>
      </c>
      <c r="B91" s="58" t="str">
        <f>+B90</f>
        <v>Japan</v>
      </c>
      <c r="C91">
        <v>4557.1000000000004</v>
      </c>
      <c r="D91">
        <v>3843.6</v>
      </c>
      <c r="E91">
        <v>5735.5</v>
      </c>
      <c r="F91">
        <v>5773.5</v>
      </c>
      <c r="G91" s="2">
        <f t="shared" si="40"/>
        <v>10292.6</v>
      </c>
      <c r="H91" s="2">
        <f t="shared" si="40"/>
        <v>9617.1</v>
      </c>
      <c r="I91" s="30">
        <f t="shared" si="39"/>
        <v>7.0239469278680744</v>
      </c>
      <c r="J91" s="1"/>
      <c r="K91" s="4"/>
    </row>
    <row r="92" spans="1:11" x14ac:dyDescent="0.25">
      <c r="A92" s="57">
        <f t="shared" ref="A92:A155" si="41">+A91+7</f>
        <v>39471</v>
      </c>
      <c r="B92" s="58" t="str">
        <f t="shared" ref="B92:B155" si="42">+B91</f>
        <v>Japan</v>
      </c>
      <c r="C92">
        <v>4471.7</v>
      </c>
      <c r="D92">
        <v>3928.7</v>
      </c>
      <c r="E92">
        <v>6111</v>
      </c>
      <c r="F92">
        <v>6013.8</v>
      </c>
      <c r="G92" s="2">
        <f t="shared" si="40"/>
        <v>10582.7</v>
      </c>
      <c r="H92" s="2">
        <f t="shared" si="40"/>
        <v>9942.5</v>
      </c>
      <c r="I92" s="30">
        <f t="shared" si="39"/>
        <v>6.4390243902439082</v>
      </c>
      <c r="J92" s="1"/>
      <c r="K92" s="4"/>
    </row>
    <row r="93" spans="1:11" x14ac:dyDescent="0.25">
      <c r="A93" s="57">
        <f t="shared" si="41"/>
        <v>39478</v>
      </c>
      <c r="B93" s="58" t="str">
        <f t="shared" si="42"/>
        <v>Japan</v>
      </c>
      <c r="C93">
        <v>4311.3999999999996</v>
      </c>
      <c r="D93">
        <v>3793.9</v>
      </c>
      <c r="E93">
        <v>6405.1</v>
      </c>
      <c r="F93">
        <v>6448.6</v>
      </c>
      <c r="G93" s="2">
        <f t="shared" ref="G93:H95" si="43">+C93+E93</f>
        <v>10716.5</v>
      </c>
      <c r="H93" s="2">
        <f t="shared" si="43"/>
        <v>10242.5</v>
      </c>
      <c r="I93" s="30">
        <f t="shared" si="39"/>
        <v>4.6277764217720341</v>
      </c>
      <c r="J93" s="1">
        <v>1.7</v>
      </c>
      <c r="K93" s="4"/>
    </row>
    <row r="94" spans="1:11" x14ac:dyDescent="0.25">
      <c r="A94" s="57">
        <f t="shared" si="41"/>
        <v>39485</v>
      </c>
      <c r="B94" s="58" t="str">
        <f t="shared" si="42"/>
        <v>Japan</v>
      </c>
      <c r="C94">
        <v>4297.3999999999996</v>
      </c>
      <c r="D94">
        <v>4317.3</v>
      </c>
      <c r="E94">
        <v>6608.6</v>
      </c>
      <c r="F94">
        <v>6609.6</v>
      </c>
      <c r="G94" s="2">
        <f t="shared" si="43"/>
        <v>10906</v>
      </c>
      <c r="H94" s="2">
        <f t="shared" si="43"/>
        <v>10926.900000000001</v>
      </c>
      <c r="I94" s="30">
        <f t="shared" si="39"/>
        <v>-0.19127108328987896</v>
      </c>
      <c r="J94" s="1"/>
      <c r="K94" s="4"/>
    </row>
    <row r="95" spans="1:11" x14ac:dyDescent="0.25">
      <c r="A95" s="57">
        <f t="shared" si="41"/>
        <v>39492</v>
      </c>
      <c r="B95" s="58" t="str">
        <f t="shared" si="42"/>
        <v>Japan</v>
      </c>
      <c r="C95">
        <v>4173.8999999999996</v>
      </c>
      <c r="D95">
        <v>4135</v>
      </c>
      <c r="E95">
        <v>7091.3</v>
      </c>
      <c r="F95">
        <v>6843.4</v>
      </c>
      <c r="G95" s="2">
        <f t="shared" si="43"/>
        <v>11265.2</v>
      </c>
      <c r="H95" s="2">
        <f t="shared" si="43"/>
        <v>10978.4</v>
      </c>
      <c r="I95" s="30">
        <f t="shared" ref="I95:I100" si="44">(G95/H95-1)*100</f>
        <v>2.6124025358886582</v>
      </c>
      <c r="J95" s="1"/>
      <c r="K95" s="4"/>
    </row>
    <row r="96" spans="1:11" x14ac:dyDescent="0.25">
      <c r="A96" s="57">
        <f t="shared" si="41"/>
        <v>39499</v>
      </c>
      <c r="B96" s="58" t="str">
        <f t="shared" si="42"/>
        <v>Japan</v>
      </c>
      <c r="C96">
        <v>4263.8999999999996</v>
      </c>
      <c r="D96">
        <v>3940.7</v>
      </c>
      <c r="E96">
        <v>7257.4</v>
      </c>
      <c r="F96">
        <v>7141.9</v>
      </c>
      <c r="G96" s="2">
        <f t="shared" ref="G96:H98" si="45">+C96+E96</f>
        <v>11521.3</v>
      </c>
      <c r="H96" s="2">
        <f t="shared" si="45"/>
        <v>11082.599999999999</v>
      </c>
      <c r="I96" s="30">
        <f t="shared" si="44"/>
        <v>3.9584574016927609</v>
      </c>
      <c r="J96" s="1"/>
      <c r="K96" s="4"/>
    </row>
    <row r="97" spans="1:11" x14ac:dyDescent="0.25">
      <c r="A97" s="57">
        <f t="shared" si="41"/>
        <v>39506</v>
      </c>
      <c r="B97" s="58" t="str">
        <f t="shared" si="42"/>
        <v>Japan</v>
      </c>
      <c r="C97">
        <v>4158.5</v>
      </c>
      <c r="D97">
        <v>3662.4</v>
      </c>
      <c r="E97">
        <v>7603.5</v>
      </c>
      <c r="F97">
        <v>7621.2</v>
      </c>
      <c r="G97" s="2">
        <f t="shared" si="45"/>
        <v>11762</v>
      </c>
      <c r="H97" s="2">
        <f t="shared" si="45"/>
        <v>11283.6</v>
      </c>
      <c r="I97" s="30">
        <f t="shared" si="44"/>
        <v>4.239781629976247</v>
      </c>
      <c r="J97" s="1"/>
      <c r="K97" s="4"/>
    </row>
    <row r="98" spans="1:11" x14ac:dyDescent="0.25">
      <c r="A98" s="57">
        <f t="shared" si="41"/>
        <v>39513</v>
      </c>
      <c r="B98" s="58" t="str">
        <f t="shared" si="42"/>
        <v>Japan</v>
      </c>
      <c r="C98">
        <v>4158.5</v>
      </c>
      <c r="D98">
        <v>3662.4</v>
      </c>
      <c r="E98">
        <v>7603.5</v>
      </c>
      <c r="F98">
        <v>7621.2</v>
      </c>
      <c r="G98" s="2">
        <f t="shared" si="45"/>
        <v>11762</v>
      </c>
      <c r="H98" s="2">
        <f t="shared" si="45"/>
        <v>11283.6</v>
      </c>
      <c r="I98" s="30">
        <f t="shared" si="44"/>
        <v>4.239781629976247</v>
      </c>
      <c r="J98" s="83">
        <v>315</v>
      </c>
      <c r="K98" s="4"/>
    </row>
    <row r="99" spans="1:11" x14ac:dyDescent="0.25">
      <c r="A99" s="57">
        <f t="shared" si="41"/>
        <v>39520</v>
      </c>
      <c r="B99" s="58" t="str">
        <f t="shared" si="42"/>
        <v>Japan</v>
      </c>
      <c r="C99">
        <v>4082.1</v>
      </c>
      <c r="D99">
        <v>3240.2</v>
      </c>
      <c r="E99">
        <v>8242.2000000000007</v>
      </c>
      <c r="F99">
        <v>8401.4</v>
      </c>
      <c r="G99" s="2">
        <f t="shared" ref="G99:H101" si="46">+C99+E99</f>
        <v>12324.300000000001</v>
      </c>
      <c r="H99" s="2">
        <f t="shared" si="46"/>
        <v>11641.599999999999</v>
      </c>
      <c r="I99" s="30">
        <f t="shared" si="44"/>
        <v>5.8643141836173918</v>
      </c>
      <c r="J99" s="1"/>
      <c r="K99" s="4"/>
    </row>
    <row r="100" spans="1:11" x14ac:dyDescent="0.25">
      <c r="A100" s="57">
        <f t="shared" si="41"/>
        <v>39527</v>
      </c>
      <c r="B100" s="58" t="str">
        <f t="shared" si="42"/>
        <v>Japan</v>
      </c>
      <c r="C100">
        <v>3886.8</v>
      </c>
      <c r="D100">
        <v>2910.1</v>
      </c>
      <c r="E100">
        <v>8612.1</v>
      </c>
      <c r="F100">
        <v>8674.4</v>
      </c>
      <c r="G100" s="2">
        <f t="shared" si="46"/>
        <v>12498.900000000001</v>
      </c>
      <c r="H100" s="2">
        <f t="shared" si="46"/>
        <v>11584.5</v>
      </c>
      <c r="I100" s="30">
        <f t="shared" si="44"/>
        <v>7.8933057102162474</v>
      </c>
      <c r="J100" s="83">
        <v>405</v>
      </c>
      <c r="K100" s="4"/>
    </row>
    <row r="101" spans="1:11" x14ac:dyDescent="0.25">
      <c r="A101" s="57">
        <f t="shared" si="41"/>
        <v>39534</v>
      </c>
      <c r="B101" s="58" t="str">
        <f t="shared" si="42"/>
        <v>Japan</v>
      </c>
      <c r="C101">
        <v>3648.1</v>
      </c>
      <c r="D101">
        <v>2729.7</v>
      </c>
      <c r="E101">
        <v>9001.9</v>
      </c>
      <c r="F101">
        <v>8981.4</v>
      </c>
      <c r="G101" s="2">
        <f t="shared" si="46"/>
        <v>12650</v>
      </c>
      <c r="H101" s="2">
        <f t="shared" si="46"/>
        <v>11711.099999999999</v>
      </c>
      <c r="I101" s="30">
        <f t="shared" ref="I101:I106" si="47">(G101/H101-1)*100</f>
        <v>8.0171802819547509</v>
      </c>
      <c r="J101" s="83">
        <v>405</v>
      </c>
      <c r="K101" s="4"/>
    </row>
    <row r="102" spans="1:11" x14ac:dyDescent="0.25">
      <c r="A102" s="57">
        <f t="shared" si="41"/>
        <v>39541</v>
      </c>
      <c r="B102" s="58" t="str">
        <f t="shared" si="42"/>
        <v>Japan</v>
      </c>
      <c r="C102">
        <v>3661.9</v>
      </c>
      <c r="D102">
        <v>2765.9</v>
      </c>
      <c r="E102">
        <v>9266.5</v>
      </c>
      <c r="F102">
        <v>9275.7999999999993</v>
      </c>
      <c r="G102" s="2">
        <f t="shared" ref="G102:H104" si="48">+C102+E102</f>
        <v>12928.4</v>
      </c>
      <c r="H102" s="2">
        <f t="shared" si="48"/>
        <v>12041.699999999999</v>
      </c>
      <c r="I102" s="30">
        <f t="shared" si="47"/>
        <v>7.3635782323093979</v>
      </c>
      <c r="J102" s="83">
        <v>405</v>
      </c>
      <c r="K102" s="4"/>
    </row>
    <row r="103" spans="1:11" x14ac:dyDescent="0.25">
      <c r="A103" s="57">
        <f t="shared" si="41"/>
        <v>39548</v>
      </c>
      <c r="B103" s="58" t="str">
        <f t="shared" si="42"/>
        <v>Japan</v>
      </c>
      <c r="C103">
        <v>3732</v>
      </c>
      <c r="D103">
        <v>2707.7</v>
      </c>
      <c r="E103">
        <v>9556.7999999999993</v>
      </c>
      <c r="F103">
        <v>9506.5</v>
      </c>
      <c r="G103" s="2">
        <f t="shared" si="48"/>
        <v>13288.8</v>
      </c>
      <c r="H103" s="2">
        <f t="shared" si="48"/>
        <v>12214.2</v>
      </c>
      <c r="I103" s="30">
        <f t="shared" si="47"/>
        <v>8.7979564768875473</v>
      </c>
      <c r="J103" s="1"/>
      <c r="K103" s="4"/>
    </row>
    <row r="104" spans="1:11" x14ac:dyDescent="0.25">
      <c r="A104" s="57">
        <f t="shared" si="41"/>
        <v>39555</v>
      </c>
      <c r="B104" s="58" t="str">
        <f t="shared" si="42"/>
        <v>Japan</v>
      </c>
      <c r="C104">
        <v>3918</v>
      </c>
      <c r="D104">
        <v>2913.4</v>
      </c>
      <c r="E104">
        <v>9856.5</v>
      </c>
      <c r="F104">
        <v>9754.1</v>
      </c>
      <c r="G104" s="2">
        <f t="shared" si="48"/>
        <v>13774.5</v>
      </c>
      <c r="H104" s="2">
        <f t="shared" si="48"/>
        <v>12667.5</v>
      </c>
      <c r="I104" s="30">
        <f t="shared" si="47"/>
        <v>8.7388987566607401</v>
      </c>
      <c r="J104" s="1"/>
      <c r="K104" s="4"/>
    </row>
    <row r="105" spans="1:11" x14ac:dyDescent="0.25">
      <c r="A105" s="57">
        <f t="shared" si="41"/>
        <v>39562</v>
      </c>
      <c r="B105" s="58" t="str">
        <f t="shared" si="42"/>
        <v>Japan</v>
      </c>
      <c r="C105">
        <v>3866.6</v>
      </c>
      <c r="D105">
        <v>2738.6</v>
      </c>
      <c r="E105">
        <v>10164.6</v>
      </c>
      <c r="F105">
        <v>10053.5</v>
      </c>
      <c r="G105" s="2">
        <f t="shared" ref="G105:H107" si="49">+C105+E105</f>
        <v>14031.2</v>
      </c>
      <c r="H105" s="2">
        <f t="shared" si="49"/>
        <v>12792.1</v>
      </c>
      <c r="I105" s="30">
        <f t="shared" si="47"/>
        <v>9.6864471040720481</v>
      </c>
      <c r="J105" s="1"/>
      <c r="K105" s="4"/>
    </row>
    <row r="106" spans="1:11" x14ac:dyDescent="0.25">
      <c r="A106" s="57">
        <f t="shared" si="41"/>
        <v>39569</v>
      </c>
      <c r="B106" s="58" t="str">
        <f t="shared" si="42"/>
        <v>Japan</v>
      </c>
      <c r="C106">
        <v>3861.4</v>
      </c>
      <c r="D106">
        <v>2822.4</v>
      </c>
      <c r="E106">
        <v>10355.299999999999</v>
      </c>
      <c r="F106">
        <v>10257.1</v>
      </c>
      <c r="G106" s="2">
        <f t="shared" si="49"/>
        <v>14216.699999999999</v>
      </c>
      <c r="H106" s="2">
        <f t="shared" si="49"/>
        <v>13079.5</v>
      </c>
      <c r="I106" s="30">
        <f t="shared" si="47"/>
        <v>8.6945219618486789</v>
      </c>
      <c r="J106">
        <v>414.6</v>
      </c>
      <c r="K106" s="4"/>
    </row>
    <row r="107" spans="1:11" x14ac:dyDescent="0.25">
      <c r="A107" s="57">
        <f t="shared" si="41"/>
        <v>39576</v>
      </c>
      <c r="B107" s="58" t="str">
        <f t="shared" si="42"/>
        <v>Japan</v>
      </c>
      <c r="C107">
        <v>3728.1</v>
      </c>
      <c r="D107">
        <v>2654.1</v>
      </c>
      <c r="E107">
        <v>10704.5</v>
      </c>
      <c r="F107">
        <v>10724.7</v>
      </c>
      <c r="G107" s="2">
        <f t="shared" si="49"/>
        <v>14432.6</v>
      </c>
      <c r="H107" s="2">
        <f t="shared" si="49"/>
        <v>13378.800000000001</v>
      </c>
      <c r="I107" s="30">
        <f t="shared" ref="I107:I112" si="50">(G107/H107-1)*100</f>
        <v>7.8766406553651969</v>
      </c>
      <c r="J107">
        <v>471.5</v>
      </c>
      <c r="K107" s="4"/>
    </row>
    <row r="108" spans="1:11" x14ac:dyDescent="0.25">
      <c r="A108" s="57">
        <f t="shared" si="41"/>
        <v>39583</v>
      </c>
      <c r="B108" s="58" t="str">
        <f t="shared" si="42"/>
        <v>Japan</v>
      </c>
      <c r="C108">
        <v>3668.8</v>
      </c>
      <c r="D108">
        <v>2759</v>
      </c>
      <c r="E108">
        <v>10968.7</v>
      </c>
      <c r="F108">
        <v>10972.7</v>
      </c>
      <c r="G108" s="2">
        <f t="shared" ref="G108:H110" si="51">+C108+E108</f>
        <v>14637.5</v>
      </c>
      <c r="H108" s="2">
        <f t="shared" si="51"/>
        <v>13731.7</v>
      </c>
      <c r="I108" s="30">
        <f t="shared" si="50"/>
        <v>6.5964155931166557</v>
      </c>
      <c r="J108">
        <v>589.20000000000005</v>
      </c>
      <c r="K108" s="4"/>
    </row>
    <row r="109" spans="1:11" x14ac:dyDescent="0.25">
      <c r="A109" s="57">
        <f t="shared" si="41"/>
        <v>39590</v>
      </c>
      <c r="B109" s="58" t="str">
        <f t="shared" si="42"/>
        <v>Japan</v>
      </c>
      <c r="C109">
        <v>3615.9</v>
      </c>
      <c r="D109">
        <v>2664.1</v>
      </c>
      <c r="E109">
        <v>11253.9</v>
      </c>
      <c r="F109">
        <v>11322.3</v>
      </c>
      <c r="G109" s="2">
        <f t="shared" si="51"/>
        <v>14869.8</v>
      </c>
      <c r="H109" s="2">
        <f t="shared" si="51"/>
        <v>13986.4</v>
      </c>
      <c r="I109" s="30">
        <f t="shared" si="50"/>
        <v>6.3161356746553876</v>
      </c>
      <c r="J109">
        <v>712.2</v>
      </c>
      <c r="K109" s="4"/>
    </row>
    <row r="110" spans="1:11" x14ac:dyDescent="0.25">
      <c r="A110" s="57">
        <f t="shared" si="41"/>
        <v>39597</v>
      </c>
      <c r="B110" s="58" t="str">
        <f t="shared" si="42"/>
        <v>Japan</v>
      </c>
      <c r="C110">
        <v>3273.3</v>
      </c>
      <c r="D110">
        <v>2442</v>
      </c>
      <c r="E110">
        <v>11639.3</v>
      </c>
      <c r="F110">
        <v>11671.6</v>
      </c>
      <c r="G110" s="2">
        <f t="shared" si="51"/>
        <v>14912.599999999999</v>
      </c>
      <c r="H110" s="2">
        <f t="shared" si="51"/>
        <v>14113.6</v>
      </c>
      <c r="I110" s="30">
        <f t="shared" si="50"/>
        <v>5.6612062124475448</v>
      </c>
      <c r="J110">
        <v>712.2</v>
      </c>
      <c r="K110" s="4"/>
    </row>
    <row r="111" spans="1:11" x14ac:dyDescent="0.25">
      <c r="A111" s="57">
        <f t="shared" si="41"/>
        <v>39604</v>
      </c>
      <c r="B111" s="58" t="str">
        <f t="shared" si="42"/>
        <v>Japan</v>
      </c>
      <c r="C111">
        <v>3152.7</v>
      </c>
      <c r="D111">
        <v>2276.5</v>
      </c>
      <c r="E111">
        <v>11949.5</v>
      </c>
      <c r="F111">
        <v>11977.8</v>
      </c>
      <c r="G111" s="2">
        <f t="shared" ref="G111:H113" si="52">+C111+E111</f>
        <v>15102.2</v>
      </c>
      <c r="H111" s="2">
        <f t="shared" si="52"/>
        <v>14254.3</v>
      </c>
      <c r="I111" s="30">
        <f t="shared" si="50"/>
        <v>5.9483804886946601</v>
      </c>
      <c r="J111">
        <v>734.5</v>
      </c>
      <c r="K111" s="4"/>
    </row>
    <row r="112" spans="1:11" x14ac:dyDescent="0.25">
      <c r="A112" s="57">
        <f t="shared" si="41"/>
        <v>39611</v>
      </c>
      <c r="B112" s="58" t="str">
        <f t="shared" si="42"/>
        <v>Japan</v>
      </c>
      <c r="C112">
        <v>3044.5</v>
      </c>
      <c r="D112">
        <v>2472.5</v>
      </c>
      <c r="E112">
        <v>12246.7</v>
      </c>
      <c r="F112">
        <v>12157</v>
      </c>
      <c r="G112" s="2">
        <f t="shared" si="52"/>
        <v>15291.2</v>
      </c>
      <c r="H112" s="2">
        <f t="shared" si="52"/>
        <v>14629.5</v>
      </c>
      <c r="I112" s="30">
        <f t="shared" si="50"/>
        <v>4.5230527359103156</v>
      </c>
      <c r="J112">
        <v>785.8</v>
      </c>
      <c r="K112" s="4"/>
    </row>
    <row r="113" spans="1:11" x14ac:dyDescent="0.25">
      <c r="A113" s="57">
        <f t="shared" si="41"/>
        <v>39618</v>
      </c>
      <c r="B113" s="58" t="str">
        <f t="shared" si="42"/>
        <v>Japan</v>
      </c>
      <c r="C113">
        <v>2791.8</v>
      </c>
      <c r="D113">
        <v>2358.5</v>
      </c>
      <c r="E113">
        <v>12598</v>
      </c>
      <c r="F113">
        <v>12455.2</v>
      </c>
      <c r="G113" s="2">
        <f t="shared" si="52"/>
        <v>15389.8</v>
      </c>
      <c r="H113" s="2">
        <f t="shared" si="52"/>
        <v>14813.7</v>
      </c>
      <c r="I113" s="30">
        <f t="shared" ref="I113:I118" si="53">(G113/H113-1)*100</f>
        <v>3.8889676448152555</v>
      </c>
      <c r="J113">
        <v>883.1</v>
      </c>
      <c r="K113" s="4"/>
    </row>
    <row r="114" spans="1:11" x14ac:dyDescent="0.25">
      <c r="A114" s="57">
        <f t="shared" si="41"/>
        <v>39625</v>
      </c>
      <c r="B114" s="58" t="str">
        <f t="shared" si="42"/>
        <v>Japan</v>
      </c>
      <c r="C114">
        <v>2788.5</v>
      </c>
      <c r="D114">
        <v>2018.5</v>
      </c>
      <c r="E114">
        <v>12915.4</v>
      </c>
      <c r="F114">
        <v>12857.7</v>
      </c>
      <c r="G114" s="2">
        <f t="shared" ref="G114:H116" si="54">+C114+E114</f>
        <v>15703.9</v>
      </c>
      <c r="H114" s="2">
        <f t="shared" si="54"/>
        <v>14876.2</v>
      </c>
      <c r="I114" s="30">
        <f t="shared" si="53"/>
        <v>5.5639208937766194</v>
      </c>
      <c r="J114">
        <v>929.8</v>
      </c>
      <c r="K114" s="4"/>
    </row>
    <row r="115" spans="1:11" x14ac:dyDescent="0.25">
      <c r="A115" s="57">
        <f t="shared" si="41"/>
        <v>39632</v>
      </c>
      <c r="B115" s="58" t="str">
        <f t="shared" si="42"/>
        <v>Japan</v>
      </c>
      <c r="C115">
        <v>2587.6999999999998</v>
      </c>
      <c r="D115">
        <v>2205.4</v>
      </c>
      <c r="E115">
        <v>13229.6</v>
      </c>
      <c r="F115">
        <v>13049</v>
      </c>
      <c r="G115" s="2">
        <f t="shared" si="54"/>
        <v>15817.3</v>
      </c>
      <c r="H115" s="2">
        <f t="shared" si="54"/>
        <v>15254.4</v>
      </c>
      <c r="I115" s="30">
        <f t="shared" si="53"/>
        <v>3.6900828613383618</v>
      </c>
      <c r="J115">
        <v>976.6</v>
      </c>
      <c r="K115" s="4"/>
    </row>
    <row r="116" spans="1:11" x14ac:dyDescent="0.25">
      <c r="A116" s="57">
        <f t="shared" si="41"/>
        <v>39639</v>
      </c>
      <c r="B116" s="58" t="str">
        <f t="shared" si="42"/>
        <v>Japan</v>
      </c>
      <c r="C116">
        <v>2402.1999999999998</v>
      </c>
      <c r="D116">
        <v>2061.4</v>
      </c>
      <c r="E116">
        <v>13541.5</v>
      </c>
      <c r="F116">
        <v>13480.4</v>
      </c>
      <c r="G116" s="2">
        <f t="shared" si="54"/>
        <v>15943.7</v>
      </c>
      <c r="H116" s="2">
        <f t="shared" si="54"/>
        <v>15541.8</v>
      </c>
      <c r="I116" s="30">
        <f t="shared" si="53"/>
        <v>2.5859295577088881</v>
      </c>
      <c r="J116">
        <v>1032.3</v>
      </c>
      <c r="K116" s="4"/>
    </row>
    <row r="117" spans="1:11" x14ac:dyDescent="0.25">
      <c r="A117" s="57">
        <f t="shared" si="41"/>
        <v>39646</v>
      </c>
      <c r="B117" s="58" t="str">
        <f t="shared" si="42"/>
        <v>Japan</v>
      </c>
      <c r="C117">
        <v>2161.6999999999998</v>
      </c>
      <c r="D117">
        <v>1835.9</v>
      </c>
      <c r="E117">
        <v>13893</v>
      </c>
      <c r="F117">
        <v>13813</v>
      </c>
      <c r="G117" s="2">
        <f t="shared" ref="G117:H119" si="55">+C117+E117</f>
        <v>16054.7</v>
      </c>
      <c r="H117" s="2">
        <f t="shared" si="55"/>
        <v>15648.9</v>
      </c>
      <c r="I117" s="30">
        <f t="shared" si="53"/>
        <v>2.5931535123874694</v>
      </c>
      <c r="J117">
        <v>1326.9</v>
      </c>
      <c r="K117" s="4"/>
    </row>
    <row r="118" spans="1:11" x14ac:dyDescent="0.25">
      <c r="A118" s="57">
        <f t="shared" si="41"/>
        <v>39653</v>
      </c>
      <c r="B118" s="58" t="str">
        <f t="shared" si="42"/>
        <v>Japan</v>
      </c>
      <c r="C118">
        <v>1813.7</v>
      </c>
      <c r="D118">
        <v>2018.2</v>
      </c>
      <c r="E118">
        <v>14246</v>
      </c>
      <c r="F118">
        <v>13960.8</v>
      </c>
      <c r="G118" s="2">
        <f t="shared" si="55"/>
        <v>16059.7</v>
      </c>
      <c r="H118" s="2">
        <f t="shared" si="55"/>
        <v>15979</v>
      </c>
      <c r="I118" s="30">
        <f t="shared" si="53"/>
        <v>0.50503786219413538</v>
      </c>
      <c r="J118">
        <v>1702.2</v>
      </c>
      <c r="K118" s="4"/>
    </row>
    <row r="119" spans="1:11" x14ac:dyDescent="0.25">
      <c r="A119" s="57">
        <f t="shared" si="41"/>
        <v>39660</v>
      </c>
      <c r="B119" s="58" t="str">
        <f t="shared" si="42"/>
        <v>Japan</v>
      </c>
      <c r="C119">
        <v>1656.7</v>
      </c>
      <c r="D119">
        <v>1955.3</v>
      </c>
      <c r="E119">
        <v>14630.6</v>
      </c>
      <c r="F119">
        <v>14150.5</v>
      </c>
      <c r="G119" s="2">
        <f t="shared" si="55"/>
        <v>16287.300000000001</v>
      </c>
      <c r="H119" s="2">
        <f t="shared" si="55"/>
        <v>16105.8</v>
      </c>
      <c r="I119" s="30">
        <f t="shared" ref="I119:I124" si="56">(G119/H119-1)*100</f>
        <v>1.1269232202063995</v>
      </c>
      <c r="J119">
        <v>1981</v>
      </c>
      <c r="K119" s="4"/>
    </row>
    <row r="120" spans="1:11" x14ac:dyDescent="0.25">
      <c r="A120" s="57">
        <f t="shared" si="41"/>
        <v>39667</v>
      </c>
      <c r="B120" s="58" t="str">
        <f t="shared" si="42"/>
        <v>Japan</v>
      </c>
      <c r="C120">
        <v>1269.4000000000001</v>
      </c>
      <c r="D120">
        <v>1236</v>
      </c>
      <c r="E120">
        <v>14872.8</v>
      </c>
      <c r="F120">
        <v>14349.1</v>
      </c>
      <c r="G120" s="2">
        <f t="shared" ref="G120:H122" si="57">+C120+E120</f>
        <v>16142.199999999999</v>
      </c>
      <c r="H120" s="2">
        <f t="shared" si="57"/>
        <v>15585.1</v>
      </c>
      <c r="I120" s="30">
        <f t="shared" si="56"/>
        <v>3.5745680168879135</v>
      </c>
      <c r="J120">
        <v>2570.1999999999998</v>
      </c>
      <c r="K120" s="4"/>
    </row>
    <row r="121" spans="1:11" x14ac:dyDescent="0.25">
      <c r="A121" s="57">
        <f t="shared" si="41"/>
        <v>39674</v>
      </c>
      <c r="B121" s="58" t="str">
        <f t="shared" si="42"/>
        <v>Japan</v>
      </c>
      <c r="C121">
        <v>1115.5999999999999</v>
      </c>
      <c r="D121">
        <v>1156.5999999999999</v>
      </c>
      <c r="E121">
        <v>15176</v>
      </c>
      <c r="F121">
        <v>14658.7</v>
      </c>
      <c r="G121" s="2">
        <f t="shared" si="57"/>
        <v>16291.6</v>
      </c>
      <c r="H121" s="2">
        <f t="shared" si="57"/>
        <v>15815.300000000001</v>
      </c>
      <c r="I121" s="30">
        <f t="shared" si="56"/>
        <v>3.0116406264819373</v>
      </c>
      <c r="J121">
        <v>2611.3000000000002</v>
      </c>
      <c r="K121" s="4"/>
    </row>
    <row r="122" spans="1:11" x14ac:dyDescent="0.25">
      <c r="A122" s="57">
        <f t="shared" si="41"/>
        <v>39681</v>
      </c>
      <c r="B122" s="58" t="str">
        <f t="shared" si="42"/>
        <v>Japan</v>
      </c>
      <c r="C122">
        <v>1030.5999999999999</v>
      </c>
      <c r="D122">
        <v>811.9</v>
      </c>
      <c r="E122">
        <v>15443.6</v>
      </c>
      <c r="F122">
        <v>15204.3</v>
      </c>
      <c r="G122" s="2">
        <f t="shared" si="57"/>
        <v>16474.2</v>
      </c>
      <c r="H122" s="2">
        <f t="shared" si="57"/>
        <v>16016.199999999999</v>
      </c>
      <c r="I122" s="30">
        <f t="shared" si="56"/>
        <v>2.8596046502915806</v>
      </c>
      <c r="J122">
        <v>2716.5</v>
      </c>
      <c r="K122" s="4"/>
    </row>
    <row r="123" spans="1:11" x14ac:dyDescent="0.25">
      <c r="A123" s="57">
        <f t="shared" si="41"/>
        <v>39688</v>
      </c>
      <c r="B123" s="58" t="str">
        <f t="shared" si="42"/>
        <v>Japan</v>
      </c>
      <c r="C123">
        <v>959.4</v>
      </c>
      <c r="D123">
        <v>618.9</v>
      </c>
      <c r="E123">
        <v>15692.6</v>
      </c>
      <c r="F123">
        <v>15550.6</v>
      </c>
      <c r="G123" s="2">
        <f t="shared" ref="G123:H125" si="58">+C123+E123</f>
        <v>16652</v>
      </c>
      <c r="H123" s="2">
        <f t="shared" si="58"/>
        <v>16169.5</v>
      </c>
      <c r="I123" s="30">
        <f t="shared" si="56"/>
        <v>2.9840131111042334</v>
      </c>
      <c r="J123">
        <v>2764.4</v>
      </c>
      <c r="K123" s="85">
        <f>+H123-DATA!N63</f>
        <v>16169.5</v>
      </c>
    </row>
    <row r="124" spans="1:11" x14ac:dyDescent="0.25">
      <c r="A124" s="57">
        <f t="shared" si="41"/>
        <v>39695</v>
      </c>
      <c r="B124" s="58" t="str">
        <f t="shared" si="42"/>
        <v>Japan</v>
      </c>
      <c r="C124">
        <v>3584</v>
      </c>
      <c r="D124">
        <v>4265.3</v>
      </c>
      <c r="E124">
        <v>59.4</v>
      </c>
      <c r="F124">
        <v>98.4</v>
      </c>
      <c r="G124" s="2">
        <f t="shared" si="58"/>
        <v>3643.4</v>
      </c>
      <c r="H124" s="2">
        <f t="shared" si="58"/>
        <v>4363.7</v>
      </c>
      <c r="I124" s="30">
        <f t="shared" si="56"/>
        <v>-16.506634278250097</v>
      </c>
      <c r="K124" s="4"/>
    </row>
    <row r="125" spans="1:11" x14ac:dyDescent="0.25">
      <c r="A125" s="57">
        <f t="shared" si="41"/>
        <v>39702</v>
      </c>
      <c r="B125" s="58" t="str">
        <f t="shared" si="42"/>
        <v>Japan</v>
      </c>
      <c r="C125">
        <v>3333.9</v>
      </c>
      <c r="D125">
        <v>4557.3</v>
      </c>
      <c r="E125">
        <v>499.7</v>
      </c>
      <c r="F125">
        <v>384</v>
      </c>
      <c r="G125" s="2">
        <f t="shared" si="58"/>
        <v>3833.6</v>
      </c>
      <c r="H125" s="2">
        <f t="shared" si="58"/>
        <v>4941.3</v>
      </c>
      <c r="I125" s="30">
        <f t="shared" ref="I125:I130" si="59">(G125/H125-1)*100</f>
        <v>-22.417177665796451</v>
      </c>
      <c r="K125" s="4"/>
    </row>
    <row r="126" spans="1:11" x14ac:dyDescent="0.25">
      <c r="A126" s="57">
        <f t="shared" si="41"/>
        <v>39709</v>
      </c>
      <c r="B126" s="58" t="str">
        <f t="shared" si="42"/>
        <v>Japan</v>
      </c>
      <c r="C126">
        <v>3260.6</v>
      </c>
      <c r="D126">
        <v>4546.6000000000004</v>
      </c>
      <c r="E126">
        <v>776.1</v>
      </c>
      <c r="F126">
        <v>576.20000000000005</v>
      </c>
      <c r="G126" s="2">
        <f t="shared" ref="G126:H128" si="60">+C126+E126</f>
        <v>4036.7</v>
      </c>
      <c r="H126" s="2">
        <f t="shared" si="60"/>
        <v>5122.8</v>
      </c>
      <c r="I126" s="30">
        <f t="shared" si="59"/>
        <v>-21.201296166159132</v>
      </c>
      <c r="K126" s="4"/>
    </row>
    <row r="127" spans="1:11" x14ac:dyDescent="0.25">
      <c r="A127" s="57">
        <f t="shared" si="41"/>
        <v>39716</v>
      </c>
      <c r="B127" s="58" t="str">
        <f t="shared" si="42"/>
        <v>Japan</v>
      </c>
      <c r="C127" s="86">
        <v>2976.3</v>
      </c>
      <c r="D127" s="86">
        <v>4833.1000000000004</v>
      </c>
      <c r="E127" s="86">
        <v>1291.2</v>
      </c>
      <c r="F127" s="86">
        <v>791.2</v>
      </c>
      <c r="G127" s="2">
        <f t="shared" si="60"/>
        <v>4267.5</v>
      </c>
      <c r="H127" s="2">
        <f t="shared" si="60"/>
        <v>5624.3</v>
      </c>
      <c r="I127" s="30">
        <f t="shared" si="59"/>
        <v>-24.12389097309887</v>
      </c>
      <c r="K127" s="4"/>
    </row>
    <row r="128" spans="1:11" x14ac:dyDescent="0.25">
      <c r="A128" s="57">
        <f t="shared" si="41"/>
        <v>39723</v>
      </c>
      <c r="B128" s="58" t="str">
        <f t="shared" si="42"/>
        <v>Japan</v>
      </c>
      <c r="C128">
        <v>3027.2</v>
      </c>
      <c r="D128">
        <v>5092.3999999999996</v>
      </c>
      <c r="E128">
        <v>1564.7</v>
      </c>
      <c r="F128">
        <v>1007</v>
      </c>
      <c r="G128" s="2">
        <f t="shared" si="60"/>
        <v>4591.8999999999996</v>
      </c>
      <c r="H128" s="2">
        <f t="shared" si="60"/>
        <v>6099.4</v>
      </c>
      <c r="I128" s="30">
        <f t="shared" si="59"/>
        <v>-24.715545791389314</v>
      </c>
      <c r="K128" s="4"/>
    </row>
    <row r="129" spans="1:11" x14ac:dyDescent="0.25">
      <c r="A129" s="57">
        <f t="shared" si="41"/>
        <v>39730</v>
      </c>
      <c r="B129" s="58" t="str">
        <f t="shared" si="42"/>
        <v>Japan</v>
      </c>
      <c r="C129">
        <v>3057.2</v>
      </c>
      <c r="D129">
        <v>5348.3</v>
      </c>
      <c r="E129">
        <v>1942.2</v>
      </c>
      <c r="F129">
        <v>1261</v>
      </c>
      <c r="G129" s="2">
        <f t="shared" ref="G129:H131" si="61">+C129+E129</f>
        <v>4999.3999999999996</v>
      </c>
      <c r="H129" s="2">
        <f t="shared" si="61"/>
        <v>6609.3</v>
      </c>
      <c r="I129" s="30">
        <f t="shared" si="59"/>
        <v>-24.358101463089898</v>
      </c>
      <c r="K129" s="4"/>
    </row>
    <row r="130" spans="1:11" x14ac:dyDescent="0.25">
      <c r="A130" s="57">
        <f t="shared" si="41"/>
        <v>39737</v>
      </c>
      <c r="B130" s="58" t="str">
        <f t="shared" si="42"/>
        <v>Japan</v>
      </c>
      <c r="C130">
        <v>2986</v>
      </c>
      <c r="D130">
        <v>5672.1</v>
      </c>
      <c r="E130">
        <v>2218.6</v>
      </c>
      <c r="F130">
        <v>1625.6</v>
      </c>
      <c r="G130" s="2">
        <f t="shared" si="61"/>
        <v>5204.6000000000004</v>
      </c>
      <c r="H130" s="2">
        <f t="shared" si="61"/>
        <v>7297.7000000000007</v>
      </c>
      <c r="I130" s="30">
        <f t="shared" si="59"/>
        <v>-28.681639420639382</v>
      </c>
      <c r="K130" s="4"/>
    </row>
    <row r="131" spans="1:11" x14ac:dyDescent="0.25">
      <c r="A131" s="57">
        <f t="shared" si="41"/>
        <v>39744</v>
      </c>
      <c r="B131" s="58" t="str">
        <f t="shared" si="42"/>
        <v>Japan</v>
      </c>
      <c r="C131">
        <v>3079.6</v>
      </c>
      <c r="D131">
        <v>5496.6</v>
      </c>
      <c r="E131">
        <v>2353.1999999999998</v>
      </c>
      <c r="F131">
        <v>1994</v>
      </c>
      <c r="G131" s="2">
        <f t="shared" si="61"/>
        <v>5432.7999999999993</v>
      </c>
      <c r="H131" s="2">
        <f t="shared" si="61"/>
        <v>7490.6</v>
      </c>
      <c r="I131" s="30">
        <f t="shared" ref="I131:I136" si="62">(G131/H131-1)*100</f>
        <v>-27.471764611646609</v>
      </c>
      <c r="K131" s="4"/>
    </row>
    <row r="132" spans="1:11" x14ac:dyDescent="0.25">
      <c r="A132" s="57">
        <f t="shared" si="41"/>
        <v>39751</v>
      </c>
      <c r="B132" s="58" t="str">
        <f t="shared" si="42"/>
        <v>Japan</v>
      </c>
      <c r="C132">
        <v>3265.4</v>
      </c>
      <c r="D132">
        <v>5484.4</v>
      </c>
      <c r="E132">
        <v>2414.4</v>
      </c>
      <c r="F132">
        <v>2183.1</v>
      </c>
      <c r="G132" s="2">
        <f t="shared" ref="G132:H135" si="63">+C132+E132</f>
        <v>5679.8</v>
      </c>
      <c r="H132" s="2">
        <f t="shared" si="63"/>
        <v>7667.5</v>
      </c>
      <c r="I132" s="30">
        <f t="shared" si="62"/>
        <v>-25.923703945223341</v>
      </c>
      <c r="K132" s="4"/>
    </row>
    <row r="133" spans="1:11" x14ac:dyDescent="0.25">
      <c r="A133" s="57">
        <f t="shared" si="41"/>
        <v>39758</v>
      </c>
      <c r="B133" s="58" t="str">
        <f t="shared" si="42"/>
        <v>Japan</v>
      </c>
      <c r="C133">
        <v>3033.9</v>
      </c>
      <c r="D133">
        <v>5104.2</v>
      </c>
      <c r="E133">
        <v>2839.3</v>
      </c>
      <c r="F133">
        <v>2617.8000000000002</v>
      </c>
      <c r="G133" s="2">
        <f t="shared" si="63"/>
        <v>5873.2000000000007</v>
      </c>
      <c r="H133" s="2">
        <f t="shared" si="63"/>
        <v>7722</v>
      </c>
      <c r="I133" s="30">
        <f t="shared" si="62"/>
        <v>-23.941983941983935</v>
      </c>
      <c r="K133" s="4"/>
    </row>
    <row r="134" spans="1:11" x14ac:dyDescent="0.25">
      <c r="A134" s="57">
        <f t="shared" si="41"/>
        <v>39765</v>
      </c>
      <c r="B134" s="58" t="str">
        <f t="shared" si="42"/>
        <v>Japan</v>
      </c>
      <c r="C134">
        <v>2824.6</v>
      </c>
      <c r="D134">
        <v>5168.2</v>
      </c>
      <c r="E134">
        <v>3139.3</v>
      </c>
      <c r="F134">
        <v>2828.6</v>
      </c>
      <c r="G134" s="2">
        <f t="shared" si="63"/>
        <v>5963.9</v>
      </c>
      <c r="H134" s="2">
        <f t="shared" si="63"/>
        <v>7996.7999999999993</v>
      </c>
      <c r="I134" s="30">
        <f t="shared" si="62"/>
        <v>-25.421418567426969</v>
      </c>
      <c r="J134" s="1"/>
      <c r="K134" s="4"/>
    </row>
    <row r="135" spans="1:11" x14ac:dyDescent="0.25">
      <c r="A135" s="57">
        <f t="shared" si="41"/>
        <v>39772</v>
      </c>
      <c r="B135" s="58" t="str">
        <f t="shared" si="42"/>
        <v>Japan</v>
      </c>
      <c r="C135">
        <v>2816.1</v>
      </c>
      <c r="D135">
        <v>5081.2</v>
      </c>
      <c r="E135">
        <v>3416.2</v>
      </c>
      <c r="F135">
        <v>3150.9</v>
      </c>
      <c r="G135" s="2">
        <f t="shared" si="63"/>
        <v>6232.2999999999993</v>
      </c>
      <c r="H135" s="2">
        <f t="shared" si="63"/>
        <v>8232.1</v>
      </c>
      <c r="I135" s="30">
        <f t="shared" si="62"/>
        <v>-24.292707814530935</v>
      </c>
      <c r="J135" s="1"/>
      <c r="K135" s="4"/>
    </row>
    <row r="136" spans="1:11" x14ac:dyDescent="0.25">
      <c r="A136" s="57">
        <f t="shared" si="41"/>
        <v>39779</v>
      </c>
      <c r="B136" s="58" t="str">
        <f t="shared" si="42"/>
        <v>Japan</v>
      </c>
      <c r="C136">
        <v>2402.1999999999998</v>
      </c>
      <c r="D136">
        <v>4683.3999999999996</v>
      </c>
      <c r="E136">
        <v>3873.2</v>
      </c>
      <c r="F136">
        <v>3589.5</v>
      </c>
      <c r="G136" s="2">
        <f t="shared" ref="G136:H138" si="64">+C136+E136</f>
        <v>6275.4</v>
      </c>
      <c r="H136" s="2">
        <f t="shared" si="64"/>
        <v>8272.9</v>
      </c>
      <c r="I136" s="30">
        <f t="shared" si="62"/>
        <v>-24.145100267137277</v>
      </c>
      <c r="J136" s="1"/>
      <c r="K136" s="4"/>
    </row>
    <row r="137" spans="1:11" x14ac:dyDescent="0.25">
      <c r="A137" s="57">
        <f t="shared" si="41"/>
        <v>39786</v>
      </c>
      <c r="B137" s="58" t="str">
        <f t="shared" si="42"/>
        <v>Japan</v>
      </c>
      <c r="C137">
        <v>2492.6</v>
      </c>
      <c r="D137">
        <v>4780.2</v>
      </c>
      <c r="E137">
        <v>4104.8</v>
      </c>
      <c r="F137">
        <v>3790.7</v>
      </c>
      <c r="G137" s="2">
        <f t="shared" si="64"/>
        <v>6597.4</v>
      </c>
      <c r="H137" s="2">
        <f t="shared" si="64"/>
        <v>8570.9</v>
      </c>
      <c r="I137" s="30">
        <f t="shared" ref="I137:I142" si="65">(G137/H137-1)*100</f>
        <v>-23.025586577838965</v>
      </c>
      <c r="J137" s="1"/>
      <c r="K137" s="4"/>
    </row>
    <row r="138" spans="1:11" x14ac:dyDescent="0.25">
      <c r="A138" s="57">
        <f t="shared" si="41"/>
        <v>39793</v>
      </c>
      <c r="B138" s="58" t="str">
        <f t="shared" si="42"/>
        <v>Japan</v>
      </c>
      <c r="C138">
        <v>2582.6999999999998</v>
      </c>
      <c r="D138">
        <v>4936.8999999999996</v>
      </c>
      <c r="E138">
        <v>4386.7</v>
      </c>
      <c r="F138">
        <v>3941</v>
      </c>
      <c r="G138" s="2">
        <f t="shared" si="64"/>
        <v>6969.4</v>
      </c>
      <c r="H138" s="2">
        <f t="shared" si="64"/>
        <v>8877.9</v>
      </c>
      <c r="I138" s="30">
        <f t="shared" si="65"/>
        <v>-21.49720091463071</v>
      </c>
      <c r="J138" s="1"/>
      <c r="K138" s="4"/>
    </row>
    <row r="139" spans="1:11" x14ac:dyDescent="0.25">
      <c r="A139" s="57">
        <f t="shared" si="41"/>
        <v>39800</v>
      </c>
      <c r="B139" s="58" t="str">
        <f t="shared" si="42"/>
        <v>Japan</v>
      </c>
      <c r="C139">
        <v>2557.3000000000002</v>
      </c>
      <c r="D139">
        <v>5024.1000000000004</v>
      </c>
      <c r="E139">
        <v>4675.8999999999996</v>
      </c>
      <c r="F139">
        <v>4279.1000000000004</v>
      </c>
      <c r="G139" s="2">
        <f t="shared" ref="G139:H141" si="66">+C139+E139</f>
        <v>7233.2</v>
      </c>
      <c r="H139" s="2">
        <f t="shared" si="66"/>
        <v>9303.2000000000007</v>
      </c>
      <c r="I139" s="30">
        <f t="shared" si="65"/>
        <v>-22.250408461604621</v>
      </c>
      <c r="J139" s="1"/>
      <c r="K139" s="4"/>
    </row>
    <row r="140" spans="1:11" x14ac:dyDescent="0.25">
      <c r="A140" s="57">
        <f t="shared" si="41"/>
        <v>39807</v>
      </c>
      <c r="B140" s="58" t="str">
        <f t="shared" si="42"/>
        <v>Japan</v>
      </c>
      <c r="C140">
        <v>2429.3000000000002</v>
      </c>
      <c r="D140">
        <v>4750.7</v>
      </c>
      <c r="E140">
        <v>4944.1000000000004</v>
      </c>
      <c r="F140">
        <v>4635.3</v>
      </c>
      <c r="G140" s="2">
        <f t="shared" si="66"/>
        <v>7373.4000000000005</v>
      </c>
      <c r="H140" s="2">
        <f t="shared" si="66"/>
        <v>9386</v>
      </c>
      <c r="I140" s="30">
        <f t="shared" si="65"/>
        <v>-21.442574046452158</v>
      </c>
      <c r="J140" s="1"/>
      <c r="K140" s="4"/>
    </row>
    <row r="141" spans="1:11" x14ac:dyDescent="0.25">
      <c r="A141" s="57">
        <f t="shared" si="41"/>
        <v>39814</v>
      </c>
      <c r="B141" s="58" t="str">
        <f t="shared" si="42"/>
        <v>Japan</v>
      </c>
      <c r="C141">
        <v>2274</v>
      </c>
      <c r="D141">
        <v>4648.8</v>
      </c>
      <c r="E141">
        <v>5265.4</v>
      </c>
      <c r="F141">
        <v>4933.8</v>
      </c>
      <c r="G141" s="2">
        <f t="shared" si="66"/>
        <v>7539.4</v>
      </c>
      <c r="H141" s="2">
        <f t="shared" si="66"/>
        <v>9582.6</v>
      </c>
      <c r="I141" s="30">
        <f t="shared" si="65"/>
        <v>-21.321979421033966</v>
      </c>
      <c r="J141" s="1"/>
      <c r="K141" s="4"/>
    </row>
    <row r="142" spans="1:11" x14ac:dyDescent="0.25">
      <c r="A142" s="57">
        <f t="shared" si="41"/>
        <v>39821</v>
      </c>
      <c r="B142" s="58" t="str">
        <f t="shared" si="42"/>
        <v>Japan</v>
      </c>
      <c r="C142">
        <v>2286.1</v>
      </c>
      <c r="D142">
        <v>4662.3999999999996</v>
      </c>
      <c r="E142">
        <v>5494</v>
      </c>
      <c r="F142">
        <v>5292.8</v>
      </c>
      <c r="G142" s="2">
        <f t="shared" ref="G142:H144" si="67">+C142+E142</f>
        <v>7780.1</v>
      </c>
      <c r="H142" s="2">
        <f t="shared" si="67"/>
        <v>9955.2000000000007</v>
      </c>
      <c r="I142" s="30">
        <f t="shared" si="65"/>
        <v>-21.848882995821285</v>
      </c>
      <c r="J142" s="1"/>
      <c r="K142" s="4"/>
    </row>
    <row r="143" spans="1:11" x14ac:dyDescent="0.25">
      <c r="A143" s="57">
        <f t="shared" si="41"/>
        <v>39828</v>
      </c>
      <c r="B143" s="58" t="str">
        <f t="shared" si="42"/>
        <v>Japan</v>
      </c>
      <c r="C143">
        <v>2278</v>
      </c>
      <c r="D143">
        <v>4557.1000000000004</v>
      </c>
      <c r="E143">
        <v>5846.3</v>
      </c>
      <c r="F143">
        <v>5735.5</v>
      </c>
      <c r="G143" s="2">
        <f t="shared" si="67"/>
        <v>8124.3</v>
      </c>
      <c r="H143" s="2">
        <f t="shared" si="67"/>
        <v>10292.6</v>
      </c>
      <c r="I143" s="30">
        <f t="shared" ref="I143:I148" si="68">(G143/H143-1)*100</f>
        <v>-21.066591531780109</v>
      </c>
      <c r="J143" s="1"/>
      <c r="K143" s="4"/>
    </row>
    <row r="144" spans="1:11" x14ac:dyDescent="0.25">
      <c r="A144" s="57">
        <f t="shared" si="41"/>
        <v>39835</v>
      </c>
      <c r="B144" s="58" t="str">
        <f t="shared" si="42"/>
        <v>Japan</v>
      </c>
      <c r="C144">
        <v>2476.5</v>
      </c>
      <c r="D144">
        <v>4471.7</v>
      </c>
      <c r="E144">
        <v>6053.9</v>
      </c>
      <c r="F144">
        <v>6111</v>
      </c>
      <c r="G144" s="2">
        <f t="shared" si="67"/>
        <v>8530.4</v>
      </c>
      <c r="H144" s="2">
        <f t="shared" si="67"/>
        <v>10582.7</v>
      </c>
      <c r="I144" s="30">
        <f t="shared" si="68"/>
        <v>-19.39297154790366</v>
      </c>
      <c r="J144" s="1"/>
      <c r="K144" s="4"/>
    </row>
    <row r="145" spans="1:11" x14ac:dyDescent="0.25">
      <c r="A145" s="57">
        <f t="shared" si="41"/>
        <v>39842</v>
      </c>
      <c r="B145" s="58" t="str">
        <f t="shared" si="42"/>
        <v>Japan</v>
      </c>
      <c r="C145">
        <v>2724.7</v>
      </c>
      <c r="D145">
        <v>4311.3999999999996</v>
      </c>
      <c r="E145">
        <v>6358.5</v>
      </c>
      <c r="F145">
        <v>6405.1</v>
      </c>
      <c r="G145" s="2">
        <f t="shared" ref="G145:H147" si="69">+C145+E145</f>
        <v>9083.2000000000007</v>
      </c>
      <c r="H145" s="2">
        <f t="shared" si="69"/>
        <v>10716.5</v>
      </c>
      <c r="I145" s="30">
        <f t="shared" si="68"/>
        <v>-15.240983530070441</v>
      </c>
      <c r="J145" s="1"/>
      <c r="K145" s="4"/>
    </row>
    <row r="146" spans="1:11" x14ac:dyDescent="0.25">
      <c r="A146" s="57">
        <f t="shared" si="41"/>
        <v>39849</v>
      </c>
      <c r="B146" s="58" t="str">
        <f t="shared" si="42"/>
        <v>Japan</v>
      </c>
      <c r="C146">
        <v>2355.3000000000002</v>
      </c>
      <c r="D146">
        <v>4297.3999999999996</v>
      </c>
      <c r="E146">
        <v>6559.5</v>
      </c>
      <c r="F146">
        <v>6608.6</v>
      </c>
      <c r="G146" s="2">
        <f t="shared" si="69"/>
        <v>8914.7999999999993</v>
      </c>
      <c r="H146" s="2">
        <f t="shared" si="69"/>
        <v>10906</v>
      </c>
      <c r="I146" s="30">
        <f t="shared" si="68"/>
        <v>-18.257839721254363</v>
      </c>
      <c r="J146" s="1"/>
      <c r="K146" s="4"/>
    </row>
    <row r="147" spans="1:11" x14ac:dyDescent="0.25">
      <c r="A147" s="57">
        <f t="shared" si="41"/>
        <v>39856</v>
      </c>
      <c r="B147" s="58" t="str">
        <f t="shared" si="42"/>
        <v>Japan</v>
      </c>
      <c r="C147">
        <v>2275.6</v>
      </c>
      <c r="D147">
        <v>4173.8999999999996</v>
      </c>
      <c r="E147">
        <v>7100.2</v>
      </c>
      <c r="F147">
        <v>7091.3</v>
      </c>
      <c r="G147" s="2">
        <f t="shared" si="69"/>
        <v>9375.7999999999993</v>
      </c>
      <c r="H147" s="2">
        <f t="shared" si="69"/>
        <v>11265.2</v>
      </c>
      <c r="I147" s="30">
        <f t="shared" si="68"/>
        <v>-16.772005823243276</v>
      </c>
      <c r="J147" s="1"/>
      <c r="K147" s="4"/>
    </row>
    <row r="148" spans="1:11" x14ac:dyDescent="0.25">
      <c r="A148" s="57">
        <f t="shared" si="41"/>
        <v>39863</v>
      </c>
      <c r="B148" s="58" t="str">
        <f t="shared" si="42"/>
        <v>Japan</v>
      </c>
      <c r="C148">
        <v>2114.6</v>
      </c>
      <c r="D148">
        <v>4263.8999999999996</v>
      </c>
      <c r="E148">
        <v>7516</v>
      </c>
      <c r="F148">
        <v>7257.4</v>
      </c>
      <c r="G148" s="2">
        <f t="shared" ref="G148:H150" si="70">+C148+E148</f>
        <v>9630.6</v>
      </c>
      <c r="H148" s="2">
        <f t="shared" si="70"/>
        <v>11521.3</v>
      </c>
      <c r="I148" s="30">
        <f t="shared" si="68"/>
        <v>-16.410474512424798</v>
      </c>
      <c r="J148" s="1"/>
      <c r="K148" s="4"/>
    </row>
    <row r="149" spans="1:11" x14ac:dyDescent="0.25">
      <c r="A149" s="57">
        <f t="shared" si="41"/>
        <v>39870</v>
      </c>
      <c r="B149" s="58" t="str">
        <f t="shared" si="42"/>
        <v>Japan</v>
      </c>
      <c r="C149">
        <v>1916.5</v>
      </c>
      <c r="D149">
        <v>4158.5</v>
      </c>
      <c r="E149">
        <v>7791.2</v>
      </c>
      <c r="F149">
        <v>7603.5</v>
      </c>
      <c r="G149" s="2">
        <f t="shared" si="70"/>
        <v>9707.7000000000007</v>
      </c>
      <c r="H149" s="2">
        <f t="shared" si="70"/>
        <v>11762</v>
      </c>
      <c r="I149" s="30">
        <f t="shared" ref="I149:I154" si="71">(G149/H149-1)*100</f>
        <v>-17.465567080428489</v>
      </c>
      <c r="J149" s="1"/>
      <c r="K149" s="4"/>
    </row>
    <row r="150" spans="1:11" x14ac:dyDescent="0.25">
      <c r="A150" s="57">
        <f t="shared" si="41"/>
        <v>39877</v>
      </c>
      <c r="B150" s="58" t="str">
        <f t="shared" si="42"/>
        <v>Japan</v>
      </c>
      <c r="C150">
        <v>2206.6</v>
      </c>
      <c r="D150">
        <v>4056.4</v>
      </c>
      <c r="E150">
        <v>8117.7</v>
      </c>
      <c r="F150">
        <v>7868.1</v>
      </c>
      <c r="G150" s="2">
        <f t="shared" si="70"/>
        <v>10324.299999999999</v>
      </c>
      <c r="H150" s="2">
        <f t="shared" si="70"/>
        <v>11924.5</v>
      </c>
      <c r="I150" s="30">
        <f t="shared" si="71"/>
        <v>-13.419430584091586</v>
      </c>
      <c r="J150" s="1"/>
      <c r="K150" s="4"/>
    </row>
    <row r="151" spans="1:11" x14ac:dyDescent="0.25">
      <c r="A151" s="57">
        <f t="shared" si="41"/>
        <v>39884</v>
      </c>
      <c r="B151" s="58" t="str">
        <f t="shared" si="42"/>
        <v>Japan</v>
      </c>
      <c r="C151">
        <v>2137.9</v>
      </c>
      <c r="D151">
        <v>4082.1</v>
      </c>
      <c r="E151">
        <v>8463.2000000000007</v>
      </c>
      <c r="F151">
        <v>8242.2000000000007</v>
      </c>
      <c r="G151" s="2">
        <f t="shared" ref="G151:H153" si="72">+C151+E151</f>
        <v>10601.1</v>
      </c>
      <c r="H151" s="2">
        <f t="shared" si="72"/>
        <v>12324.300000000001</v>
      </c>
      <c r="I151" s="30">
        <f t="shared" si="71"/>
        <v>-13.982132859472751</v>
      </c>
      <c r="J151" s="1"/>
      <c r="K151" s="4"/>
    </row>
    <row r="152" spans="1:11" x14ac:dyDescent="0.25">
      <c r="A152" s="57">
        <f t="shared" si="41"/>
        <v>39891</v>
      </c>
      <c r="B152" s="58" t="str">
        <f t="shared" si="42"/>
        <v>Japan</v>
      </c>
      <c r="C152">
        <v>2162.1</v>
      </c>
      <c r="D152">
        <v>3886.8</v>
      </c>
      <c r="E152">
        <v>8601.7999999999993</v>
      </c>
      <c r="F152">
        <v>8612.1</v>
      </c>
      <c r="G152" s="2">
        <f t="shared" si="72"/>
        <v>10763.9</v>
      </c>
      <c r="H152" s="2">
        <f t="shared" si="72"/>
        <v>12498.900000000001</v>
      </c>
      <c r="I152" s="30">
        <f t="shared" si="71"/>
        <v>-13.881221547496192</v>
      </c>
      <c r="J152" s="1"/>
      <c r="K152" s="4"/>
    </row>
    <row r="153" spans="1:11" x14ac:dyDescent="0.25">
      <c r="A153" s="57">
        <f t="shared" si="41"/>
        <v>39898</v>
      </c>
      <c r="B153" s="58" t="str">
        <f t="shared" si="42"/>
        <v>Japan</v>
      </c>
      <c r="C153">
        <v>2180.8000000000002</v>
      </c>
      <c r="D153">
        <v>3648.1</v>
      </c>
      <c r="E153">
        <v>8987.7000000000007</v>
      </c>
      <c r="F153">
        <v>9001.9</v>
      </c>
      <c r="G153" s="2">
        <f t="shared" si="72"/>
        <v>11168.5</v>
      </c>
      <c r="H153" s="2">
        <f t="shared" si="72"/>
        <v>12650</v>
      </c>
      <c r="I153" s="30">
        <f t="shared" si="71"/>
        <v>-11.711462450592879</v>
      </c>
      <c r="J153" s="1"/>
      <c r="K153" s="4"/>
    </row>
    <row r="154" spans="1:11" x14ac:dyDescent="0.25">
      <c r="A154" s="57">
        <f t="shared" si="41"/>
        <v>39905</v>
      </c>
      <c r="B154" s="58" t="str">
        <f t="shared" si="42"/>
        <v>Japan</v>
      </c>
      <c r="C154">
        <v>2186.6</v>
      </c>
      <c r="D154">
        <v>3661.9</v>
      </c>
      <c r="E154">
        <v>9393.7999999999993</v>
      </c>
      <c r="F154">
        <v>9266.5</v>
      </c>
      <c r="G154" s="2">
        <f t="shared" ref="G154:G193" si="73">+C154+E154</f>
        <v>11580.4</v>
      </c>
      <c r="H154" s="2">
        <f t="shared" ref="H154:H193" si="74">+D154+F154</f>
        <v>12928.4</v>
      </c>
      <c r="I154" s="30">
        <f t="shared" si="71"/>
        <v>-10.426657591039879</v>
      </c>
      <c r="J154" s="1"/>
      <c r="K154" s="4"/>
    </row>
    <row r="155" spans="1:11" x14ac:dyDescent="0.25">
      <c r="A155" s="57">
        <f t="shared" si="41"/>
        <v>39912</v>
      </c>
      <c r="B155" s="58" t="str">
        <f t="shared" si="42"/>
        <v>Japan</v>
      </c>
      <c r="C155">
        <v>2158.8000000000002</v>
      </c>
      <c r="D155">
        <v>3732</v>
      </c>
      <c r="E155">
        <v>9724.7000000000007</v>
      </c>
      <c r="F155">
        <v>9556.7999999999993</v>
      </c>
      <c r="G155" s="2">
        <f t="shared" si="73"/>
        <v>11883.5</v>
      </c>
      <c r="H155" s="2">
        <f t="shared" si="74"/>
        <v>13288.8</v>
      </c>
      <c r="I155" s="30">
        <f t="shared" ref="I155:I193" si="75">(G155/H155-1)*100</f>
        <v>-10.575070736259097</v>
      </c>
      <c r="J155" s="1"/>
      <c r="K155" s="4"/>
    </row>
    <row r="156" spans="1:11" x14ac:dyDescent="0.25">
      <c r="A156" s="57">
        <f t="shared" ref="A156:A253" si="76">+A155+7</f>
        <v>39919</v>
      </c>
      <c r="B156" s="58" t="str">
        <f t="shared" ref="B156:B171" si="77">+B155</f>
        <v>Japan</v>
      </c>
      <c r="C156">
        <v>2177.8000000000002</v>
      </c>
      <c r="D156">
        <v>3918</v>
      </c>
      <c r="E156">
        <v>10012.799999999999</v>
      </c>
      <c r="F156">
        <v>9856.5</v>
      </c>
      <c r="G156" s="2">
        <f t="shared" si="73"/>
        <v>12190.599999999999</v>
      </c>
      <c r="H156" s="2">
        <f t="shared" si="74"/>
        <v>13774.5</v>
      </c>
      <c r="I156" s="30">
        <f t="shared" si="75"/>
        <v>-11.49878398489964</v>
      </c>
      <c r="J156" s="1"/>
      <c r="K156" s="4"/>
    </row>
    <row r="157" spans="1:11" x14ac:dyDescent="0.25">
      <c r="A157" s="57">
        <f t="shared" si="76"/>
        <v>39926</v>
      </c>
      <c r="B157" s="58" t="str">
        <f t="shared" si="77"/>
        <v>Japan</v>
      </c>
      <c r="C157">
        <v>2155.5</v>
      </c>
      <c r="D157">
        <v>3866.6</v>
      </c>
      <c r="E157">
        <v>10355.4</v>
      </c>
      <c r="F157">
        <v>10164.6</v>
      </c>
      <c r="G157" s="2">
        <f t="shared" si="73"/>
        <v>12510.9</v>
      </c>
      <c r="H157" s="2">
        <f t="shared" si="74"/>
        <v>14031.2</v>
      </c>
      <c r="I157" s="30">
        <f t="shared" si="75"/>
        <v>-10.83513883345687</v>
      </c>
      <c r="J157" s="1"/>
      <c r="K157" s="4"/>
    </row>
    <row r="158" spans="1:11" x14ac:dyDescent="0.25">
      <c r="A158" s="57">
        <f t="shared" si="76"/>
        <v>39933</v>
      </c>
      <c r="B158" s="58" t="str">
        <f t="shared" si="77"/>
        <v>Japan</v>
      </c>
      <c r="C158">
        <v>2185.9</v>
      </c>
      <c r="D158">
        <v>3861.4</v>
      </c>
      <c r="E158">
        <v>10441.200000000001</v>
      </c>
      <c r="F158">
        <v>10355.299999999999</v>
      </c>
      <c r="G158" s="2">
        <f t="shared" si="73"/>
        <v>12627.1</v>
      </c>
      <c r="H158" s="2">
        <f t="shared" si="74"/>
        <v>14216.699999999999</v>
      </c>
      <c r="I158" s="30">
        <f t="shared" si="75"/>
        <v>-11.181216456702314</v>
      </c>
      <c r="J158" s="30">
        <v>47.9</v>
      </c>
      <c r="K158" s="4"/>
    </row>
    <row r="159" spans="1:11" x14ac:dyDescent="0.25">
      <c r="A159" s="57">
        <f t="shared" si="76"/>
        <v>39940</v>
      </c>
      <c r="B159" s="58" t="str">
        <f t="shared" si="77"/>
        <v>Japan</v>
      </c>
      <c r="C159">
        <v>2088</v>
      </c>
      <c r="D159">
        <v>3728.1</v>
      </c>
      <c r="E159">
        <v>10994.7</v>
      </c>
      <c r="F159">
        <v>10704.5</v>
      </c>
      <c r="G159" s="2">
        <f t="shared" si="73"/>
        <v>13082.7</v>
      </c>
      <c r="H159" s="2">
        <f t="shared" si="74"/>
        <v>14432.6</v>
      </c>
      <c r="I159" s="30">
        <f t="shared" si="75"/>
        <v>-9.3531311059684263</v>
      </c>
      <c r="J159" s="30">
        <v>47.9</v>
      </c>
      <c r="K159" s="4"/>
    </row>
    <row r="160" spans="1:11" x14ac:dyDescent="0.25">
      <c r="A160" s="57">
        <f t="shared" si="76"/>
        <v>39947</v>
      </c>
      <c r="B160" s="58" t="str">
        <f t="shared" si="77"/>
        <v>Japan</v>
      </c>
      <c r="C160">
        <v>2117.6</v>
      </c>
      <c r="D160">
        <v>3668.8</v>
      </c>
      <c r="E160">
        <v>11238</v>
      </c>
      <c r="F160">
        <v>10968.7</v>
      </c>
      <c r="G160" s="2">
        <f t="shared" si="73"/>
        <v>13355.6</v>
      </c>
      <c r="H160" s="2">
        <f t="shared" si="74"/>
        <v>14637.5</v>
      </c>
      <c r="I160" s="30">
        <f t="shared" si="75"/>
        <v>-8.7576430401366316</v>
      </c>
      <c r="J160" s="30">
        <v>47.9</v>
      </c>
      <c r="K160" s="4"/>
    </row>
    <row r="161" spans="1:11" x14ac:dyDescent="0.25">
      <c r="A161" s="57">
        <f t="shared" si="76"/>
        <v>39954</v>
      </c>
      <c r="B161" s="58" t="str">
        <f t="shared" si="77"/>
        <v>Japan</v>
      </c>
      <c r="C161">
        <v>1997.6</v>
      </c>
      <c r="D161">
        <v>3615.9</v>
      </c>
      <c r="E161">
        <v>11533.5</v>
      </c>
      <c r="F161">
        <v>11253.9</v>
      </c>
      <c r="G161" s="2">
        <f t="shared" si="73"/>
        <v>13531.1</v>
      </c>
      <c r="H161" s="2">
        <f t="shared" si="74"/>
        <v>14869.8</v>
      </c>
      <c r="I161" s="30">
        <f t="shared" si="75"/>
        <v>-9.002811066725835</v>
      </c>
      <c r="J161" s="30">
        <v>105.2</v>
      </c>
      <c r="K161" s="4"/>
    </row>
    <row r="162" spans="1:11" x14ac:dyDescent="0.25">
      <c r="A162" s="57">
        <f t="shared" si="76"/>
        <v>39961</v>
      </c>
      <c r="B162" s="58" t="str">
        <f t="shared" si="77"/>
        <v>Japan</v>
      </c>
      <c r="C162">
        <v>2069.5</v>
      </c>
      <c r="D162">
        <v>3273.3</v>
      </c>
      <c r="E162">
        <v>11675.4</v>
      </c>
      <c r="F162">
        <v>11639.3</v>
      </c>
      <c r="G162" s="2">
        <f t="shared" si="73"/>
        <v>13744.9</v>
      </c>
      <c r="H162" s="2">
        <f t="shared" si="74"/>
        <v>14912.599999999999</v>
      </c>
      <c r="I162" s="30">
        <f t="shared" si="75"/>
        <v>-7.8302911631774386</v>
      </c>
      <c r="J162" s="30">
        <v>105.2</v>
      </c>
      <c r="K162" s="4"/>
    </row>
    <row r="163" spans="1:11" x14ac:dyDescent="0.25">
      <c r="A163" s="57">
        <f t="shared" si="76"/>
        <v>39968</v>
      </c>
      <c r="B163" s="58" t="str">
        <f t="shared" si="77"/>
        <v>Japan</v>
      </c>
      <c r="C163">
        <v>2196.6</v>
      </c>
      <c r="D163">
        <v>3152.7</v>
      </c>
      <c r="E163">
        <v>11844.5</v>
      </c>
      <c r="F163">
        <v>11949.5</v>
      </c>
      <c r="G163" s="2">
        <f t="shared" si="73"/>
        <v>14041.1</v>
      </c>
      <c r="H163" s="2">
        <f t="shared" si="74"/>
        <v>15102.2</v>
      </c>
      <c r="I163" s="30">
        <f t="shared" si="75"/>
        <v>-7.0261286435088994</v>
      </c>
      <c r="J163" s="30">
        <v>162.1</v>
      </c>
      <c r="K163" s="4"/>
    </row>
    <row r="164" spans="1:11" x14ac:dyDescent="0.25">
      <c r="A164" s="57">
        <f t="shared" si="76"/>
        <v>39975</v>
      </c>
      <c r="B164" s="58" t="str">
        <f t="shared" si="77"/>
        <v>Japan</v>
      </c>
      <c r="C164">
        <v>2069.8000000000002</v>
      </c>
      <c r="D164">
        <v>3044.5</v>
      </c>
      <c r="E164">
        <v>12110.2</v>
      </c>
      <c r="F164">
        <v>12246.7</v>
      </c>
      <c r="G164" s="2">
        <f t="shared" si="73"/>
        <v>14180</v>
      </c>
      <c r="H164" s="2">
        <f t="shared" si="74"/>
        <v>15291.2</v>
      </c>
      <c r="I164" s="30">
        <f t="shared" si="75"/>
        <v>-7.2669247671863557</v>
      </c>
      <c r="J164" s="30">
        <v>202.7</v>
      </c>
      <c r="K164" s="4"/>
    </row>
    <row r="165" spans="1:11" x14ac:dyDescent="0.25">
      <c r="A165" s="57">
        <f t="shared" si="76"/>
        <v>39982</v>
      </c>
      <c r="B165" s="58" t="str">
        <f t="shared" si="77"/>
        <v>Japan</v>
      </c>
      <c r="C165">
        <v>1946.2</v>
      </c>
      <c r="D165">
        <v>2791.8</v>
      </c>
      <c r="E165">
        <v>12607.1</v>
      </c>
      <c r="F165">
        <v>12598</v>
      </c>
      <c r="G165" s="2">
        <f t="shared" si="73"/>
        <v>14553.300000000001</v>
      </c>
      <c r="H165" s="2">
        <f t="shared" si="74"/>
        <v>15389.8</v>
      </c>
      <c r="I165" s="30">
        <f t="shared" si="75"/>
        <v>-5.4354182640449995</v>
      </c>
      <c r="J165" s="30">
        <v>202.7</v>
      </c>
      <c r="K165" s="4"/>
    </row>
    <row r="166" spans="1:11" x14ac:dyDescent="0.25">
      <c r="A166" s="57">
        <f t="shared" si="76"/>
        <v>39989</v>
      </c>
      <c r="B166" s="58" t="str">
        <f t="shared" si="77"/>
        <v>Japan</v>
      </c>
      <c r="C166">
        <v>2071</v>
      </c>
      <c r="D166">
        <v>2788.5</v>
      </c>
      <c r="E166">
        <v>12851.9</v>
      </c>
      <c r="F166">
        <v>12915.4</v>
      </c>
      <c r="G166" s="2">
        <f t="shared" si="73"/>
        <v>14922.9</v>
      </c>
      <c r="H166" s="2">
        <f t="shared" si="74"/>
        <v>15703.9</v>
      </c>
      <c r="I166" s="30">
        <f t="shared" si="75"/>
        <v>-4.9732868905176471</v>
      </c>
      <c r="J166" s="30">
        <v>202.7</v>
      </c>
      <c r="K166" s="4"/>
    </row>
    <row r="167" spans="1:11" x14ac:dyDescent="0.25">
      <c r="A167" s="57">
        <f t="shared" si="76"/>
        <v>39996</v>
      </c>
      <c r="B167" s="58" t="str">
        <f t="shared" si="77"/>
        <v>Japan</v>
      </c>
      <c r="C167">
        <v>2072.5</v>
      </c>
      <c r="D167">
        <v>2587.6999999999998</v>
      </c>
      <c r="E167">
        <v>13105</v>
      </c>
      <c r="F167">
        <v>13229.6</v>
      </c>
      <c r="G167" s="2">
        <f t="shared" si="73"/>
        <v>15177.5</v>
      </c>
      <c r="H167" s="2">
        <f t="shared" si="74"/>
        <v>15817.3</v>
      </c>
      <c r="I167" s="30">
        <f t="shared" si="75"/>
        <v>-4.0449381373559241</v>
      </c>
      <c r="J167" s="30">
        <v>202.7</v>
      </c>
      <c r="K167" s="4"/>
    </row>
    <row r="168" spans="1:11" x14ac:dyDescent="0.25">
      <c r="A168" s="57">
        <f t="shared" si="76"/>
        <v>40003</v>
      </c>
      <c r="B168" s="58" t="str">
        <f t="shared" si="77"/>
        <v>Japan</v>
      </c>
      <c r="C168">
        <v>2013.1</v>
      </c>
      <c r="D168">
        <v>2402.1999999999998</v>
      </c>
      <c r="E168">
        <v>13445.7</v>
      </c>
      <c r="F168">
        <v>13541.5</v>
      </c>
      <c r="G168" s="2">
        <f t="shared" si="73"/>
        <v>15458.800000000001</v>
      </c>
      <c r="H168" s="2">
        <f t="shared" si="74"/>
        <v>15943.7</v>
      </c>
      <c r="I168" s="30">
        <f t="shared" si="75"/>
        <v>-3.041326668213773</v>
      </c>
      <c r="J168" s="30">
        <v>243.3</v>
      </c>
    </row>
    <row r="169" spans="1:11" x14ac:dyDescent="0.25">
      <c r="A169" s="57">
        <f t="shared" si="76"/>
        <v>40010</v>
      </c>
      <c r="B169" s="58" t="str">
        <f t="shared" si="77"/>
        <v>Japan</v>
      </c>
      <c r="C169">
        <v>2148.6</v>
      </c>
      <c r="D169">
        <v>2161.6999999999998</v>
      </c>
      <c r="E169">
        <v>13770.2</v>
      </c>
      <c r="F169">
        <v>13893</v>
      </c>
      <c r="G169" s="2">
        <f t="shared" si="73"/>
        <v>15918.800000000001</v>
      </c>
      <c r="H169" s="2">
        <f t="shared" si="74"/>
        <v>16054.7</v>
      </c>
      <c r="I169" s="30">
        <f t="shared" si="75"/>
        <v>-0.84648109276410644</v>
      </c>
      <c r="J169" s="30">
        <v>244.6</v>
      </c>
    </row>
    <row r="170" spans="1:11" x14ac:dyDescent="0.25">
      <c r="A170" s="57">
        <f t="shared" si="76"/>
        <v>40017</v>
      </c>
      <c r="B170" s="58" t="str">
        <f t="shared" si="77"/>
        <v>Japan</v>
      </c>
      <c r="C170">
        <v>1994.2</v>
      </c>
      <c r="D170">
        <v>1813.7</v>
      </c>
      <c r="E170">
        <v>14131.8</v>
      </c>
      <c r="F170">
        <v>14246</v>
      </c>
      <c r="G170" s="2">
        <f t="shared" si="73"/>
        <v>16126</v>
      </c>
      <c r="H170" s="2">
        <f t="shared" si="74"/>
        <v>16059.7</v>
      </c>
      <c r="I170" s="30">
        <f t="shared" si="75"/>
        <v>0.41283461085823703</v>
      </c>
      <c r="J170" s="30">
        <v>282.2</v>
      </c>
    </row>
    <row r="171" spans="1:11" x14ac:dyDescent="0.25">
      <c r="A171" s="57">
        <f t="shared" si="76"/>
        <v>40024</v>
      </c>
      <c r="B171" s="58" t="str">
        <f t="shared" si="77"/>
        <v>Japan</v>
      </c>
      <c r="C171">
        <v>2027.1</v>
      </c>
      <c r="D171">
        <v>1656.7</v>
      </c>
      <c r="E171">
        <v>14391.2</v>
      </c>
      <c r="F171">
        <v>14630.6</v>
      </c>
      <c r="G171" s="2">
        <f t="shared" si="73"/>
        <v>16418.3</v>
      </c>
      <c r="H171" s="2">
        <f t="shared" si="74"/>
        <v>16287.300000000001</v>
      </c>
      <c r="I171" s="30">
        <f t="shared" si="75"/>
        <v>0.80430765074628319</v>
      </c>
      <c r="J171" s="30">
        <v>335.5</v>
      </c>
    </row>
    <row r="172" spans="1:11" x14ac:dyDescent="0.25">
      <c r="A172" s="57">
        <f t="shared" si="76"/>
        <v>40031</v>
      </c>
      <c r="B172" s="63" t="s">
        <v>71</v>
      </c>
      <c r="C172">
        <v>1993.3</v>
      </c>
      <c r="D172">
        <v>1269.4000000000001</v>
      </c>
      <c r="E172">
        <v>14770.5</v>
      </c>
      <c r="F172">
        <v>14872.8</v>
      </c>
      <c r="G172" s="2">
        <f t="shared" si="73"/>
        <v>16763.8</v>
      </c>
      <c r="H172" s="2">
        <f t="shared" si="74"/>
        <v>16142.199999999999</v>
      </c>
      <c r="I172" s="30">
        <f t="shared" si="75"/>
        <v>3.8507762262888656</v>
      </c>
      <c r="J172" s="30">
        <v>370.5</v>
      </c>
    </row>
    <row r="173" spans="1:11" x14ac:dyDescent="0.25">
      <c r="A173" s="57">
        <f t="shared" si="76"/>
        <v>40038</v>
      </c>
      <c r="B173" s="63" t="s">
        <v>71</v>
      </c>
      <c r="C173">
        <v>2170</v>
      </c>
      <c r="D173">
        <v>1115.5999999999999</v>
      </c>
      <c r="E173">
        <v>14913.3</v>
      </c>
      <c r="F173">
        <v>15176</v>
      </c>
      <c r="G173" s="2">
        <f t="shared" si="73"/>
        <v>17083.3</v>
      </c>
      <c r="H173" s="2">
        <f t="shared" si="74"/>
        <v>16291.6</v>
      </c>
      <c r="I173" s="30">
        <f t="shared" si="75"/>
        <v>4.8595595276093029</v>
      </c>
      <c r="J173" s="30">
        <v>476.7</v>
      </c>
    </row>
    <row r="174" spans="1:11" x14ac:dyDescent="0.25">
      <c r="A174" s="57">
        <f t="shared" si="76"/>
        <v>40045</v>
      </c>
      <c r="B174" s="63" t="s">
        <v>71</v>
      </c>
      <c r="C174">
        <v>1924.9</v>
      </c>
      <c r="D174">
        <v>1030.5999999999999</v>
      </c>
      <c r="E174">
        <v>15468.4</v>
      </c>
      <c r="F174">
        <v>15443.6</v>
      </c>
      <c r="G174" s="2">
        <f t="shared" si="73"/>
        <v>17393.3</v>
      </c>
      <c r="H174" s="2">
        <f t="shared" si="74"/>
        <v>16474.2</v>
      </c>
      <c r="I174" s="30">
        <f t="shared" si="75"/>
        <v>5.5790265991671806</v>
      </c>
      <c r="J174" s="30">
        <v>495.5</v>
      </c>
    </row>
    <row r="175" spans="1:11" x14ac:dyDescent="0.25">
      <c r="A175" s="57">
        <f t="shared" si="76"/>
        <v>40052</v>
      </c>
      <c r="B175" s="63" t="s">
        <v>71</v>
      </c>
      <c r="C175">
        <v>1928.8</v>
      </c>
      <c r="D175">
        <v>959.4</v>
      </c>
      <c r="E175">
        <v>15775.1</v>
      </c>
      <c r="F175">
        <v>15692.6</v>
      </c>
      <c r="G175" s="2">
        <f t="shared" si="73"/>
        <v>17703.900000000001</v>
      </c>
      <c r="H175" s="2">
        <f t="shared" si="74"/>
        <v>16652</v>
      </c>
      <c r="I175" s="30">
        <f t="shared" si="75"/>
        <v>6.316958923853</v>
      </c>
      <c r="J175" s="30">
        <v>612.4</v>
      </c>
    </row>
    <row r="176" spans="1:11" x14ac:dyDescent="0.25">
      <c r="A176" s="57">
        <f t="shared" si="76"/>
        <v>40059</v>
      </c>
      <c r="B176" s="63" t="s">
        <v>71</v>
      </c>
      <c r="C176">
        <v>2595.1</v>
      </c>
      <c r="D176">
        <v>3584</v>
      </c>
      <c r="E176">
        <v>88.9</v>
      </c>
      <c r="F176">
        <v>59.4</v>
      </c>
      <c r="G176" s="2">
        <f t="shared" si="73"/>
        <v>2684</v>
      </c>
      <c r="H176" s="2">
        <f t="shared" si="74"/>
        <v>3643.4</v>
      </c>
      <c r="I176" s="30">
        <f t="shared" si="75"/>
        <v>-26.332546522479007</v>
      </c>
      <c r="J176" s="30"/>
    </row>
    <row r="177" spans="1:10" x14ac:dyDescent="0.25">
      <c r="A177" s="57">
        <f t="shared" si="76"/>
        <v>40066</v>
      </c>
      <c r="B177" s="63" t="s">
        <v>71</v>
      </c>
      <c r="C177">
        <v>2397.6999999999998</v>
      </c>
      <c r="D177">
        <v>3333.9</v>
      </c>
      <c r="E177">
        <v>537</v>
      </c>
      <c r="F177">
        <v>499.7</v>
      </c>
      <c r="G177" s="2">
        <f t="shared" si="73"/>
        <v>2934.7</v>
      </c>
      <c r="H177" s="2">
        <f t="shared" si="74"/>
        <v>3833.6</v>
      </c>
      <c r="I177" s="30">
        <f t="shared" si="75"/>
        <v>-23.447934056761277</v>
      </c>
      <c r="J177" s="30"/>
    </row>
    <row r="178" spans="1:10" x14ac:dyDescent="0.25">
      <c r="A178" s="57">
        <f t="shared" si="76"/>
        <v>40073</v>
      </c>
      <c r="B178" s="63" t="s">
        <v>71</v>
      </c>
      <c r="C178">
        <v>2173.9</v>
      </c>
      <c r="D178">
        <v>3260.6</v>
      </c>
      <c r="E178">
        <v>814</v>
      </c>
      <c r="F178">
        <v>776.1</v>
      </c>
      <c r="G178" s="2">
        <f t="shared" si="73"/>
        <v>2987.9</v>
      </c>
      <c r="H178" s="2">
        <f t="shared" si="74"/>
        <v>4036.7</v>
      </c>
      <c r="I178" s="30">
        <f t="shared" si="75"/>
        <v>-25.981618648896365</v>
      </c>
      <c r="J178" s="30"/>
    </row>
    <row r="179" spans="1:10" x14ac:dyDescent="0.25">
      <c r="A179" s="57">
        <f t="shared" si="76"/>
        <v>40080</v>
      </c>
      <c r="B179" s="63" t="s">
        <v>71</v>
      </c>
      <c r="C179">
        <v>2480.8000000000002</v>
      </c>
      <c r="D179">
        <v>2976.3</v>
      </c>
      <c r="E179">
        <v>1094</v>
      </c>
      <c r="F179">
        <v>1289.2</v>
      </c>
      <c r="G179" s="2">
        <f t="shared" si="73"/>
        <v>3574.8</v>
      </c>
      <c r="H179" s="2">
        <f t="shared" si="74"/>
        <v>4265.5</v>
      </c>
      <c r="I179" s="30">
        <f t="shared" si="75"/>
        <v>-16.19270894385183</v>
      </c>
    </row>
    <row r="180" spans="1:10" x14ac:dyDescent="0.25">
      <c r="A180" s="57">
        <f t="shared" si="76"/>
        <v>40087</v>
      </c>
      <c r="B180" s="63" t="s">
        <v>71</v>
      </c>
      <c r="C180">
        <v>2407.3000000000002</v>
      </c>
      <c r="D180">
        <v>3027.2</v>
      </c>
      <c r="E180">
        <v>1412.8</v>
      </c>
      <c r="F180">
        <v>1564.7</v>
      </c>
      <c r="G180" s="2">
        <f t="shared" si="73"/>
        <v>3820.1000000000004</v>
      </c>
      <c r="H180" s="2">
        <f t="shared" si="74"/>
        <v>4591.8999999999996</v>
      </c>
      <c r="I180" s="30">
        <f t="shared" si="75"/>
        <v>-16.807857313965879</v>
      </c>
    </row>
    <row r="181" spans="1:10" x14ac:dyDescent="0.25">
      <c r="A181" s="57">
        <f t="shared" si="76"/>
        <v>40094</v>
      </c>
      <c r="B181" s="63" t="s">
        <v>71</v>
      </c>
      <c r="C181">
        <v>2439.9</v>
      </c>
      <c r="D181">
        <v>3057.2</v>
      </c>
      <c r="E181">
        <v>1570.6</v>
      </c>
      <c r="F181">
        <v>1942.2</v>
      </c>
      <c r="G181" s="2">
        <f t="shared" si="73"/>
        <v>4010.5</v>
      </c>
      <c r="H181" s="2">
        <f t="shared" si="74"/>
        <v>4999.3999999999996</v>
      </c>
      <c r="I181" s="30">
        <f t="shared" si="75"/>
        <v>-19.780373644837379</v>
      </c>
    </row>
    <row r="182" spans="1:10" x14ac:dyDescent="0.25">
      <c r="A182" s="57">
        <f t="shared" si="76"/>
        <v>40101</v>
      </c>
      <c r="B182" s="63" t="s">
        <v>71</v>
      </c>
      <c r="C182">
        <v>2598.4</v>
      </c>
      <c r="D182">
        <v>2986</v>
      </c>
      <c r="E182">
        <v>1743</v>
      </c>
      <c r="F182">
        <v>2218.6</v>
      </c>
      <c r="G182" s="2">
        <f t="shared" si="73"/>
        <v>4341.3999999999996</v>
      </c>
      <c r="H182" s="2">
        <f t="shared" si="74"/>
        <v>5204.6000000000004</v>
      </c>
      <c r="I182" s="30">
        <f t="shared" si="75"/>
        <v>-16.585328363370877</v>
      </c>
    </row>
    <row r="183" spans="1:10" x14ac:dyDescent="0.25">
      <c r="A183" s="57">
        <f t="shared" si="76"/>
        <v>40108</v>
      </c>
      <c r="B183" s="63" t="s">
        <v>71</v>
      </c>
      <c r="C183">
        <v>2363.1999999999998</v>
      </c>
      <c r="D183">
        <v>3079.6</v>
      </c>
      <c r="E183">
        <v>1969.7</v>
      </c>
      <c r="F183">
        <v>2353.1999999999998</v>
      </c>
      <c r="G183" s="2">
        <f t="shared" si="73"/>
        <v>4332.8999999999996</v>
      </c>
      <c r="H183" s="2">
        <f t="shared" si="74"/>
        <v>5432.7999999999993</v>
      </c>
      <c r="I183" s="30">
        <f t="shared" si="75"/>
        <v>-20.245545575025769</v>
      </c>
    </row>
    <row r="184" spans="1:10" x14ac:dyDescent="0.25">
      <c r="A184" s="57">
        <f t="shared" si="76"/>
        <v>40115</v>
      </c>
      <c r="B184" s="63" t="s">
        <v>71</v>
      </c>
      <c r="C184">
        <v>2313.8000000000002</v>
      </c>
      <c r="D184">
        <v>3265.4</v>
      </c>
      <c r="E184">
        <v>2205.8000000000002</v>
      </c>
      <c r="F184">
        <v>2414.4</v>
      </c>
      <c r="G184" s="2">
        <f t="shared" si="73"/>
        <v>4519.6000000000004</v>
      </c>
      <c r="H184" s="2">
        <f t="shared" si="74"/>
        <v>5679.8</v>
      </c>
      <c r="I184" s="30">
        <f t="shared" si="75"/>
        <v>-20.426775590689804</v>
      </c>
    </row>
    <row r="185" spans="1:10" x14ac:dyDescent="0.25">
      <c r="A185" s="57">
        <f t="shared" si="76"/>
        <v>40122</v>
      </c>
      <c r="B185" s="63" t="s">
        <v>71</v>
      </c>
      <c r="C185">
        <v>2214</v>
      </c>
      <c r="D185">
        <v>2824.6</v>
      </c>
      <c r="E185">
        <v>2609.1999999999998</v>
      </c>
      <c r="F185">
        <v>3139.3</v>
      </c>
      <c r="G185" s="2">
        <f t="shared" si="73"/>
        <v>4823.2</v>
      </c>
      <c r="H185" s="2">
        <f t="shared" si="74"/>
        <v>5963.9</v>
      </c>
      <c r="I185" s="30">
        <f t="shared" si="75"/>
        <v>-19.126745921293107</v>
      </c>
    </row>
    <row r="186" spans="1:10" x14ac:dyDescent="0.25">
      <c r="A186" s="57">
        <f t="shared" si="76"/>
        <v>40129</v>
      </c>
      <c r="B186" s="63" t="s">
        <v>71</v>
      </c>
      <c r="C186">
        <v>2180</v>
      </c>
      <c r="D186">
        <v>2824.6</v>
      </c>
      <c r="E186">
        <v>2830.4</v>
      </c>
      <c r="F186">
        <v>3139.3</v>
      </c>
      <c r="G186" s="2">
        <f t="shared" si="73"/>
        <v>5010.3999999999996</v>
      </c>
      <c r="H186" s="2">
        <f t="shared" si="74"/>
        <v>5963.9</v>
      </c>
      <c r="I186" s="30">
        <f t="shared" si="75"/>
        <v>-15.987860292761447</v>
      </c>
    </row>
    <row r="187" spans="1:10" x14ac:dyDescent="0.25">
      <c r="A187" s="57">
        <f t="shared" si="76"/>
        <v>40136</v>
      </c>
      <c r="B187" s="63" t="s">
        <v>71</v>
      </c>
      <c r="C187">
        <v>2218.1</v>
      </c>
      <c r="D187">
        <v>2816.1</v>
      </c>
      <c r="E187">
        <v>3078.8</v>
      </c>
      <c r="F187">
        <v>3416.2</v>
      </c>
      <c r="G187" s="2">
        <f t="shared" si="73"/>
        <v>5296.9</v>
      </c>
      <c r="H187" s="2">
        <f t="shared" si="74"/>
        <v>6232.2999999999993</v>
      </c>
      <c r="I187" s="30">
        <f t="shared" si="75"/>
        <v>-15.008905219581848</v>
      </c>
    </row>
    <row r="188" spans="1:10" x14ac:dyDescent="0.25">
      <c r="A188" s="57">
        <f t="shared" si="76"/>
        <v>40143</v>
      </c>
      <c r="B188" s="63" t="s">
        <v>71</v>
      </c>
      <c r="C188">
        <v>2348.8000000000002</v>
      </c>
      <c r="D188">
        <v>2402.1999999999998</v>
      </c>
      <c r="E188">
        <v>3243.2</v>
      </c>
      <c r="F188">
        <v>3830.1</v>
      </c>
      <c r="G188" s="2">
        <f t="shared" si="73"/>
        <v>5592</v>
      </c>
      <c r="H188" s="2">
        <f t="shared" si="74"/>
        <v>6232.2999999999993</v>
      </c>
      <c r="I188" s="30">
        <f t="shared" si="75"/>
        <v>-10.273895672544631</v>
      </c>
    </row>
    <row r="189" spans="1:10" x14ac:dyDescent="0.25">
      <c r="A189" s="57">
        <f t="shared" si="76"/>
        <v>40150</v>
      </c>
      <c r="B189" s="63" t="s">
        <v>71</v>
      </c>
      <c r="C189">
        <v>2431.1</v>
      </c>
      <c r="D189">
        <v>2492.6</v>
      </c>
      <c r="E189">
        <v>3431.9</v>
      </c>
      <c r="F189">
        <v>4104.8</v>
      </c>
      <c r="G189" s="2">
        <f t="shared" si="73"/>
        <v>5863</v>
      </c>
      <c r="H189" s="2">
        <f t="shared" si="74"/>
        <v>6597.4</v>
      </c>
      <c r="I189" s="30">
        <f t="shared" si="75"/>
        <v>-11.13165792584957</v>
      </c>
    </row>
    <row r="190" spans="1:10" x14ac:dyDescent="0.25">
      <c r="A190" s="57">
        <f t="shared" si="76"/>
        <v>40157</v>
      </c>
      <c r="B190" s="63" t="s">
        <v>71</v>
      </c>
      <c r="C190">
        <v>2405.8000000000002</v>
      </c>
      <c r="D190">
        <v>2582.6999999999998</v>
      </c>
      <c r="E190">
        <v>3735.2</v>
      </c>
      <c r="F190">
        <v>4386.7</v>
      </c>
      <c r="G190" s="2">
        <f t="shared" si="73"/>
        <v>6141</v>
      </c>
      <c r="H190" s="2">
        <f t="shared" si="74"/>
        <v>6969.4</v>
      </c>
      <c r="I190" s="30">
        <f t="shared" si="75"/>
        <v>-11.886245587855482</v>
      </c>
    </row>
    <row r="191" spans="1:10" x14ac:dyDescent="0.25">
      <c r="A191" s="57">
        <f t="shared" si="76"/>
        <v>40164</v>
      </c>
      <c r="B191" s="63" t="s">
        <v>71</v>
      </c>
      <c r="C191">
        <v>2718.1</v>
      </c>
      <c r="D191">
        <v>2557.3000000000002</v>
      </c>
      <c r="E191">
        <v>3910.9</v>
      </c>
      <c r="F191">
        <v>4675.8999999999996</v>
      </c>
      <c r="G191" s="2">
        <f t="shared" si="73"/>
        <v>6629</v>
      </c>
      <c r="H191" s="2">
        <f t="shared" si="74"/>
        <v>7233.2</v>
      </c>
      <c r="I191" s="30">
        <f t="shared" si="75"/>
        <v>-8.3531493668085979</v>
      </c>
    </row>
    <row r="192" spans="1:10" x14ac:dyDescent="0.25">
      <c r="A192" s="57">
        <f t="shared" si="76"/>
        <v>40171</v>
      </c>
      <c r="B192" s="63" t="s">
        <v>71</v>
      </c>
      <c r="C192">
        <v>2477.6</v>
      </c>
      <c r="D192">
        <v>2429.3000000000002</v>
      </c>
      <c r="E192">
        <v>4246.3999999999996</v>
      </c>
      <c r="F192">
        <v>4944.1000000000004</v>
      </c>
      <c r="G192" s="2">
        <f t="shared" si="73"/>
        <v>6724</v>
      </c>
      <c r="H192" s="2">
        <f t="shared" si="74"/>
        <v>7373.4000000000005</v>
      </c>
      <c r="I192" s="30">
        <f t="shared" si="75"/>
        <v>-8.807334472563543</v>
      </c>
    </row>
    <row r="193" spans="1:10" x14ac:dyDescent="0.25">
      <c r="A193" s="57">
        <f t="shared" si="76"/>
        <v>40178</v>
      </c>
      <c r="B193" s="63" t="s">
        <v>71</v>
      </c>
      <c r="C193">
        <v>2218.8000000000002</v>
      </c>
      <c r="D193">
        <v>2274</v>
      </c>
      <c r="E193">
        <v>4544.5</v>
      </c>
      <c r="F193">
        <v>5265.4</v>
      </c>
      <c r="G193" s="2">
        <f t="shared" si="73"/>
        <v>6763.3</v>
      </c>
      <c r="H193" s="2">
        <f t="shared" si="74"/>
        <v>7539.4</v>
      </c>
      <c r="I193" s="30">
        <f t="shared" si="75"/>
        <v>-10.293922593309802</v>
      </c>
    </row>
    <row r="194" spans="1:10" x14ac:dyDescent="0.25">
      <c r="A194" s="57">
        <f t="shared" si="76"/>
        <v>40185</v>
      </c>
      <c r="B194" s="63" t="s">
        <v>71</v>
      </c>
      <c r="C194">
        <v>2114.1</v>
      </c>
      <c r="D194">
        <v>2286.1</v>
      </c>
      <c r="E194">
        <v>4773.6000000000004</v>
      </c>
      <c r="F194">
        <v>5494</v>
      </c>
      <c r="G194" s="2">
        <f t="shared" ref="G194:G214" si="78">+C194+E194</f>
        <v>6887.7000000000007</v>
      </c>
      <c r="H194" s="2">
        <f t="shared" ref="H194:H214" si="79">+D194+F194</f>
        <v>7780.1</v>
      </c>
      <c r="I194" s="30">
        <f t="shared" ref="I194:I214" si="80">(G194/H194-1)*100</f>
        <v>-11.470289584966764</v>
      </c>
    </row>
    <row r="195" spans="1:10" x14ac:dyDescent="0.25">
      <c r="A195" s="57">
        <f t="shared" si="76"/>
        <v>40192</v>
      </c>
      <c r="B195" s="63" t="s">
        <v>71</v>
      </c>
      <c r="C195">
        <v>2172.5</v>
      </c>
      <c r="D195">
        <v>2278</v>
      </c>
      <c r="E195">
        <v>5005.8999999999996</v>
      </c>
      <c r="F195">
        <v>5846.3</v>
      </c>
      <c r="G195" s="2">
        <f t="shared" si="78"/>
        <v>7178.4</v>
      </c>
      <c r="H195" s="2">
        <f t="shared" si="79"/>
        <v>8124.3</v>
      </c>
      <c r="I195" s="30">
        <f t="shared" si="80"/>
        <v>-11.642849230087526</v>
      </c>
    </row>
    <row r="196" spans="1:10" x14ac:dyDescent="0.25">
      <c r="A196" s="57">
        <f t="shared" si="76"/>
        <v>40199</v>
      </c>
      <c r="B196" s="63" t="s">
        <v>71</v>
      </c>
      <c r="C196">
        <v>2044.9</v>
      </c>
      <c r="D196">
        <v>2476.5</v>
      </c>
      <c r="E196">
        <v>5221.3999999999996</v>
      </c>
      <c r="F196">
        <v>6053.9</v>
      </c>
      <c r="G196" s="2">
        <f t="shared" si="78"/>
        <v>7266.2999999999993</v>
      </c>
      <c r="H196" s="2">
        <f t="shared" si="79"/>
        <v>8530.4</v>
      </c>
      <c r="I196" s="30">
        <f t="shared" si="80"/>
        <v>-14.81876582575261</v>
      </c>
    </row>
    <row r="197" spans="1:10" x14ac:dyDescent="0.25">
      <c r="A197" s="57">
        <f t="shared" si="76"/>
        <v>40206</v>
      </c>
      <c r="B197" s="63" t="s">
        <v>71</v>
      </c>
      <c r="C197">
        <v>1863.9</v>
      </c>
      <c r="D197">
        <v>2724.7</v>
      </c>
      <c r="E197">
        <v>5637.2</v>
      </c>
      <c r="F197">
        <v>6358.5</v>
      </c>
      <c r="G197" s="2">
        <f t="shared" si="78"/>
        <v>7501.1</v>
      </c>
      <c r="H197" s="2">
        <f t="shared" si="79"/>
        <v>9083.2000000000007</v>
      </c>
      <c r="I197" s="30">
        <f t="shared" si="80"/>
        <v>-17.417870354060248</v>
      </c>
    </row>
    <row r="198" spans="1:10" x14ac:dyDescent="0.25">
      <c r="A198" s="57">
        <f t="shared" si="76"/>
        <v>40213</v>
      </c>
      <c r="B198" s="63" t="s">
        <v>71</v>
      </c>
      <c r="C198">
        <v>1881.9</v>
      </c>
      <c r="D198">
        <v>2355.3000000000002</v>
      </c>
      <c r="E198">
        <v>5770.3</v>
      </c>
      <c r="F198">
        <v>6559.5</v>
      </c>
      <c r="G198" s="2">
        <f t="shared" si="78"/>
        <v>7652.2000000000007</v>
      </c>
      <c r="H198" s="2">
        <f t="shared" si="79"/>
        <v>8914.7999999999993</v>
      </c>
      <c r="I198" s="30">
        <f t="shared" si="80"/>
        <v>-14.162964957149892</v>
      </c>
    </row>
    <row r="199" spans="1:10" x14ac:dyDescent="0.25">
      <c r="A199" s="57">
        <f t="shared" si="76"/>
        <v>40220</v>
      </c>
      <c r="B199" s="63" t="s">
        <v>71</v>
      </c>
      <c r="C199">
        <v>1990.4</v>
      </c>
      <c r="D199">
        <v>2275.6</v>
      </c>
      <c r="E199">
        <v>5996.8</v>
      </c>
      <c r="F199">
        <v>7100.2</v>
      </c>
      <c r="G199" s="2">
        <f t="shared" si="78"/>
        <v>7987.2000000000007</v>
      </c>
      <c r="H199" s="2">
        <f t="shared" si="79"/>
        <v>9375.7999999999993</v>
      </c>
      <c r="I199" s="30">
        <f t="shared" si="80"/>
        <v>-14.810469506602086</v>
      </c>
    </row>
    <row r="200" spans="1:10" x14ac:dyDescent="0.25">
      <c r="A200" s="57">
        <f t="shared" si="76"/>
        <v>40227</v>
      </c>
      <c r="B200" s="63" t="s">
        <v>71</v>
      </c>
      <c r="C200">
        <v>1783.3</v>
      </c>
      <c r="D200">
        <v>2114.6</v>
      </c>
      <c r="E200">
        <v>6417.2</v>
      </c>
      <c r="F200">
        <v>7516</v>
      </c>
      <c r="G200" s="2">
        <f t="shared" si="78"/>
        <v>8200.5</v>
      </c>
      <c r="H200" s="2">
        <f t="shared" si="79"/>
        <v>9630.6</v>
      </c>
      <c r="I200" s="30">
        <f t="shared" si="80"/>
        <v>-14.849542084605327</v>
      </c>
    </row>
    <row r="201" spans="1:10" x14ac:dyDescent="0.25">
      <c r="A201" s="57">
        <f t="shared" si="76"/>
        <v>40234</v>
      </c>
      <c r="B201" s="63" t="s">
        <v>71</v>
      </c>
      <c r="C201">
        <v>1920.1</v>
      </c>
      <c r="D201">
        <v>1916.5</v>
      </c>
      <c r="E201">
        <v>6797.6</v>
      </c>
      <c r="F201">
        <v>7791.2</v>
      </c>
      <c r="G201" s="2">
        <f t="shared" si="78"/>
        <v>8717.7000000000007</v>
      </c>
      <c r="H201" s="2">
        <f t="shared" si="79"/>
        <v>9707.7000000000007</v>
      </c>
      <c r="I201" s="30">
        <f t="shared" si="80"/>
        <v>-10.198090175839791</v>
      </c>
    </row>
    <row r="202" spans="1:10" x14ac:dyDescent="0.25">
      <c r="A202" s="57">
        <f t="shared" si="76"/>
        <v>40241</v>
      </c>
      <c r="B202" s="63" t="s">
        <v>71</v>
      </c>
      <c r="C202">
        <v>1753.4</v>
      </c>
      <c r="D202">
        <v>2206.6</v>
      </c>
      <c r="E202">
        <v>7127.6</v>
      </c>
      <c r="F202">
        <v>8117.7</v>
      </c>
      <c r="G202" s="2">
        <f t="shared" si="78"/>
        <v>8881</v>
      </c>
      <c r="H202" s="2">
        <f t="shared" si="79"/>
        <v>10324.299999999999</v>
      </c>
      <c r="I202" s="30">
        <f t="shared" si="80"/>
        <v>-13.979640266168158</v>
      </c>
    </row>
    <row r="203" spans="1:10" x14ac:dyDescent="0.25">
      <c r="A203" s="57">
        <f t="shared" si="76"/>
        <v>40248</v>
      </c>
      <c r="B203" s="63" t="s">
        <v>71</v>
      </c>
      <c r="C203">
        <v>1993.7</v>
      </c>
      <c r="D203">
        <v>2137.9</v>
      </c>
      <c r="E203">
        <v>7312.1</v>
      </c>
      <c r="F203">
        <v>8463.2000000000007</v>
      </c>
      <c r="G203" s="2">
        <f t="shared" si="78"/>
        <v>9305.8000000000011</v>
      </c>
      <c r="H203" s="2">
        <f t="shared" si="79"/>
        <v>10601.1</v>
      </c>
      <c r="I203" s="30">
        <f t="shared" si="80"/>
        <v>-12.218543358708056</v>
      </c>
      <c r="J203">
        <v>22</v>
      </c>
    </row>
    <row r="204" spans="1:10" x14ac:dyDescent="0.25">
      <c r="A204" s="57">
        <f t="shared" si="76"/>
        <v>40255</v>
      </c>
      <c r="B204" s="63" t="s">
        <v>71</v>
      </c>
      <c r="C204">
        <v>1852.8</v>
      </c>
      <c r="D204">
        <v>2162.1</v>
      </c>
      <c r="E204">
        <v>7593</v>
      </c>
      <c r="F204">
        <v>8601.7999999999993</v>
      </c>
      <c r="G204" s="2">
        <f t="shared" si="78"/>
        <v>9445.7999999999993</v>
      </c>
      <c r="H204" s="2">
        <f t="shared" si="79"/>
        <v>10763.9</v>
      </c>
      <c r="I204" s="30">
        <f t="shared" si="80"/>
        <v>-12.24556155296872</v>
      </c>
      <c r="J204">
        <v>22</v>
      </c>
    </row>
    <row r="205" spans="1:10" x14ac:dyDescent="0.25">
      <c r="A205" s="57">
        <f t="shared" si="76"/>
        <v>40262</v>
      </c>
      <c r="B205" s="63" t="s">
        <v>71</v>
      </c>
      <c r="C205">
        <v>1869.8</v>
      </c>
      <c r="D205">
        <v>2180.8000000000002</v>
      </c>
      <c r="E205">
        <v>7899</v>
      </c>
      <c r="F205">
        <v>8987.7000000000007</v>
      </c>
      <c r="G205" s="2">
        <f t="shared" si="78"/>
        <v>9768.7999999999993</v>
      </c>
      <c r="H205" s="2">
        <f t="shared" si="79"/>
        <v>11168.5</v>
      </c>
      <c r="I205" s="30">
        <f t="shared" si="80"/>
        <v>-12.532569279670513</v>
      </c>
      <c r="J205">
        <v>22</v>
      </c>
    </row>
    <row r="206" spans="1:10" x14ac:dyDescent="0.25">
      <c r="A206" s="57">
        <f t="shared" si="76"/>
        <v>40269</v>
      </c>
      <c r="B206" s="63" t="s">
        <v>71</v>
      </c>
      <c r="C206">
        <v>1803.5</v>
      </c>
      <c r="D206">
        <v>2186.6</v>
      </c>
      <c r="E206">
        <v>8245.7999999999993</v>
      </c>
      <c r="F206">
        <v>9393.7999999999993</v>
      </c>
      <c r="G206" s="2">
        <f t="shared" si="78"/>
        <v>10049.299999999999</v>
      </c>
      <c r="H206" s="2">
        <f t="shared" si="79"/>
        <v>11580.4</v>
      </c>
      <c r="I206" s="30">
        <f t="shared" si="80"/>
        <v>-13.22147766916515</v>
      </c>
      <c r="J206">
        <v>22</v>
      </c>
    </row>
    <row r="207" spans="1:10" x14ac:dyDescent="0.25">
      <c r="A207" s="57">
        <f t="shared" si="76"/>
        <v>40276</v>
      </c>
      <c r="B207" s="63" t="s">
        <v>71</v>
      </c>
      <c r="C207">
        <v>1881.3</v>
      </c>
      <c r="D207">
        <v>2158.8000000000002</v>
      </c>
      <c r="E207">
        <v>8588.9</v>
      </c>
      <c r="F207">
        <v>9714.7999999999993</v>
      </c>
      <c r="G207" s="2">
        <f t="shared" si="78"/>
        <v>10470.199999999999</v>
      </c>
      <c r="H207" s="2">
        <f t="shared" si="79"/>
        <v>11873.599999999999</v>
      </c>
      <c r="I207" s="30">
        <f t="shared" si="80"/>
        <v>-11.819498719849076</v>
      </c>
      <c r="J207">
        <v>22</v>
      </c>
    </row>
    <row r="208" spans="1:10" x14ac:dyDescent="0.25">
      <c r="A208" s="57">
        <f t="shared" si="76"/>
        <v>40283</v>
      </c>
      <c r="B208" s="63" t="s">
        <v>71</v>
      </c>
      <c r="C208">
        <v>1898.6</v>
      </c>
      <c r="D208">
        <v>2177.8000000000002</v>
      </c>
      <c r="E208">
        <v>8908.4</v>
      </c>
      <c r="F208">
        <v>10012.799999999999</v>
      </c>
      <c r="G208" s="2">
        <f t="shared" si="78"/>
        <v>10807</v>
      </c>
      <c r="H208" s="2">
        <f t="shared" si="79"/>
        <v>12190.599999999999</v>
      </c>
      <c r="I208" s="30">
        <f t="shared" si="80"/>
        <v>-11.34972847932012</v>
      </c>
      <c r="J208">
        <v>22</v>
      </c>
    </row>
    <row r="209" spans="1:10" x14ac:dyDescent="0.25">
      <c r="A209" s="57">
        <f t="shared" si="76"/>
        <v>40290</v>
      </c>
      <c r="B209" s="63" t="s">
        <v>71</v>
      </c>
      <c r="C209">
        <v>2019.8</v>
      </c>
      <c r="D209">
        <v>2155.5</v>
      </c>
      <c r="E209">
        <v>9163.2999999999993</v>
      </c>
      <c r="F209">
        <v>10355.4</v>
      </c>
      <c r="G209" s="2">
        <f t="shared" si="78"/>
        <v>11183.099999999999</v>
      </c>
      <c r="H209" s="2">
        <f t="shared" si="79"/>
        <v>12510.9</v>
      </c>
      <c r="I209" s="30">
        <f t="shared" si="80"/>
        <v>-10.613145337265916</v>
      </c>
      <c r="J209">
        <v>22</v>
      </c>
    </row>
    <row r="210" spans="1:10" x14ac:dyDescent="0.25">
      <c r="A210" s="57">
        <f t="shared" si="76"/>
        <v>40297</v>
      </c>
      <c r="B210" s="63" t="s">
        <v>71</v>
      </c>
      <c r="C210">
        <v>2622</v>
      </c>
      <c r="D210">
        <v>2185.9</v>
      </c>
      <c r="E210">
        <v>9233.6</v>
      </c>
      <c r="F210">
        <v>10441.200000000001</v>
      </c>
      <c r="G210" s="2">
        <f t="shared" si="78"/>
        <v>11855.6</v>
      </c>
      <c r="H210" s="2">
        <f t="shared" si="79"/>
        <v>12627.1</v>
      </c>
      <c r="I210" s="30">
        <f t="shared" si="80"/>
        <v>-6.1098747931037201</v>
      </c>
      <c r="J210">
        <v>27</v>
      </c>
    </row>
    <row r="211" spans="1:10" x14ac:dyDescent="0.25">
      <c r="A211" s="57">
        <f t="shared" si="76"/>
        <v>40304</v>
      </c>
      <c r="B211" s="63" t="s">
        <v>71</v>
      </c>
      <c r="C211">
        <v>2558.6</v>
      </c>
      <c r="D211">
        <v>2088</v>
      </c>
      <c r="E211">
        <v>9570.5</v>
      </c>
      <c r="F211">
        <v>10994.7</v>
      </c>
      <c r="G211" s="2">
        <f t="shared" si="78"/>
        <v>12129.1</v>
      </c>
      <c r="H211" s="2">
        <f t="shared" si="79"/>
        <v>13082.7</v>
      </c>
      <c r="I211" s="30">
        <f t="shared" si="80"/>
        <v>-7.2890152644331856</v>
      </c>
      <c r="J211">
        <v>27</v>
      </c>
    </row>
    <row r="212" spans="1:10" x14ac:dyDescent="0.25">
      <c r="A212" s="57">
        <f t="shared" si="76"/>
        <v>40311</v>
      </c>
      <c r="B212" s="63" t="s">
        <v>71</v>
      </c>
      <c r="C212">
        <v>2788</v>
      </c>
      <c r="D212">
        <v>2117.6</v>
      </c>
      <c r="E212">
        <v>9816.2999999999993</v>
      </c>
      <c r="F212">
        <v>11238</v>
      </c>
      <c r="G212" s="2">
        <f t="shared" si="78"/>
        <v>12604.3</v>
      </c>
      <c r="H212" s="2">
        <f t="shared" si="79"/>
        <v>13355.6</v>
      </c>
      <c r="I212" s="30">
        <f t="shared" si="80"/>
        <v>-5.6253556560543982</v>
      </c>
      <c r="J212">
        <v>67</v>
      </c>
    </row>
    <row r="213" spans="1:10" x14ac:dyDescent="0.25">
      <c r="A213" s="57">
        <f t="shared" si="76"/>
        <v>40318</v>
      </c>
      <c r="B213" s="63" t="s">
        <v>71</v>
      </c>
      <c r="C213">
        <v>2750.2</v>
      </c>
      <c r="D213">
        <v>1997.6</v>
      </c>
      <c r="E213">
        <v>10209</v>
      </c>
      <c r="F213">
        <v>11533.5</v>
      </c>
      <c r="G213" s="2">
        <f t="shared" si="78"/>
        <v>12959.2</v>
      </c>
      <c r="H213" s="2">
        <f t="shared" si="79"/>
        <v>13531.1</v>
      </c>
      <c r="I213" s="30">
        <f t="shared" si="80"/>
        <v>-4.2265595553946049</v>
      </c>
      <c r="J213">
        <v>67</v>
      </c>
    </row>
    <row r="214" spans="1:10" x14ac:dyDescent="0.25">
      <c r="A214" s="57">
        <f t="shared" si="76"/>
        <v>40325</v>
      </c>
      <c r="B214" s="63" t="s">
        <v>71</v>
      </c>
      <c r="C214">
        <v>2569.6999999999998</v>
      </c>
      <c r="D214">
        <v>2069.5</v>
      </c>
      <c r="E214">
        <v>10657</v>
      </c>
      <c r="F214">
        <v>11675.4</v>
      </c>
      <c r="G214" s="2">
        <f t="shared" si="78"/>
        <v>13226.7</v>
      </c>
      <c r="H214" s="2">
        <f t="shared" si="79"/>
        <v>13744.9</v>
      </c>
      <c r="I214" s="30">
        <f t="shared" si="80"/>
        <v>-3.7701256466034616</v>
      </c>
      <c r="J214">
        <v>121.3</v>
      </c>
    </row>
    <row r="215" spans="1:10" x14ac:dyDescent="0.25">
      <c r="A215" s="57">
        <f t="shared" si="76"/>
        <v>40332</v>
      </c>
      <c r="B215" s="63" t="s">
        <v>71</v>
      </c>
      <c r="C215">
        <v>2604.8000000000002</v>
      </c>
      <c r="D215">
        <v>2196.6</v>
      </c>
      <c r="E215">
        <v>10932.2</v>
      </c>
      <c r="F215">
        <v>11844.5</v>
      </c>
      <c r="G215" s="2">
        <f t="shared" ref="G215:G246" si="81">+C215+E215</f>
        <v>13537</v>
      </c>
      <c r="H215" s="2">
        <f t="shared" ref="H215:H246" si="82">+D215+F215</f>
        <v>14041.1</v>
      </c>
      <c r="I215" s="30">
        <f t="shared" ref="I215:I246" si="83">(G215/H215-1)*100</f>
        <v>-3.5901745589733025</v>
      </c>
      <c r="J215">
        <v>121.3</v>
      </c>
    </row>
    <row r="216" spans="1:10" x14ac:dyDescent="0.25">
      <c r="A216" s="57">
        <f t="shared" si="76"/>
        <v>40339</v>
      </c>
      <c r="B216" s="63" t="s">
        <v>71</v>
      </c>
      <c r="C216">
        <v>2317.9</v>
      </c>
      <c r="D216">
        <v>2069.8000000000002</v>
      </c>
      <c r="E216">
        <v>11354.7</v>
      </c>
      <c r="F216">
        <v>12110.2</v>
      </c>
      <c r="G216" s="2">
        <f t="shared" si="81"/>
        <v>13672.6</v>
      </c>
      <c r="H216" s="2">
        <f t="shared" si="82"/>
        <v>14180</v>
      </c>
      <c r="I216" s="30">
        <f t="shared" si="83"/>
        <v>-3.5782792665726371</v>
      </c>
      <c r="J216">
        <v>121.3</v>
      </c>
    </row>
    <row r="217" spans="1:10" x14ac:dyDescent="0.25">
      <c r="A217" s="57">
        <f t="shared" si="76"/>
        <v>40346</v>
      </c>
      <c r="B217" s="63" t="s">
        <v>71</v>
      </c>
      <c r="C217">
        <v>2648.7</v>
      </c>
      <c r="D217">
        <v>1946.2</v>
      </c>
      <c r="E217">
        <v>11466.3</v>
      </c>
      <c r="F217">
        <v>12607.1</v>
      </c>
      <c r="G217" s="2">
        <f t="shared" si="81"/>
        <v>14115</v>
      </c>
      <c r="H217" s="2">
        <f t="shared" si="82"/>
        <v>14553.300000000001</v>
      </c>
      <c r="I217" s="30">
        <f t="shared" si="83"/>
        <v>-3.011688070746843</v>
      </c>
      <c r="J217">
        <v>151.80000000000001</v>
      </c>
    </row>
    <row r="218" spans="1:10" x14ac:dyDescent="0.25">
      <c r="A218" s="57">
        <f t="shared" si="76"/>
        <v>40353</v>
      </c>
      <c r="B218" s="63" t="s">
        <v>71</v>
      </c>
      <c r="C218">
        <v>2752.9</v>
      </c>
      <c r="D218">
        <v>2071</v>
      </c>
      <c r="E218">
        <v>11676.8</v>
      </c>
      <c r="F218">
        <v>12851.9</v>
      </c>
      <c r="G218" s="2">
        <f t="shared" si="81"/>
        <v>14429.699999999999</v>
      </c>
      <c r="H218" s="2">
        <f t="shared" si="82"/>
        <v>14922.9</v>
      </c>
      <c r="I218" s="30">
        <f t="shared" si="83"/>
        <v>-3.304987636451362</v>
      </c>
      <c r="J218">
        <v>154.30000000000001</v>
      </c>
    </row>
    <row r="219" spans="1:10" x14ac:dyDescent="0.25">
      <c r="A219" s="57">
        <f t="shared" si="76"/>
        <v>40360</v>
      </c>
      <c r="B219" s="63" t="s">
        <v>71</v>
      </c>
      <c r="C219">
        <v>2745</v>
      </c>
      <c r="D219">
        <v>2072.5</v>
      </c>
      <c r="E219">
        <v>11900.4</v>
      </c>
      <c r="F219">
        <v>13105</v>
      </c>
      <c r="G219" s="2">
        <f t="shared" si="81"/>
        <v>14645.4</v>
      </c>
      <c r="H219" s="2">
        <f t="shared" si="82"/>
        <v>15177.5</v>
      </c>
      <c r="I219" s="30">
        <f t="shared" si="83"/>
        <v>-3.505847471586232</v>
      </c>
      <c r="J219">
        <v>251.9</v>
      </c>
    </row>
    <row r="220" spans="1:10" x14ac:dyDescent="0.25">
      <c r="A220" s="57">
        <f t="shared" si="76"/>
        <v>40367</v>
      </c>
      <c r="B220" s="63" t="s">
        <v>71</v>
      </c>
      <c r="C220">
        <v>2750.5</v>
      </c>
      <c r="D220">
        <v>2013.1</v>
      </c>
      <c r="E220">
        <v>12108.8</v>
      </c>
      <c r="F220">
        <v>13445.7</v>
      </c>
      <c r="G220" s="2">
        <f t="shared" si="81"/>
        <v>14859.3</v>
      </c>
      <c r="H220" s="2">
        <f t="shared" si="82"/>
        <v>15458.800000000001</v>
      </c>
      <c r="I220" s="30">
        <f t="shared" si="83"/>
        <v>-3.8780500426941367</v>
      </c>
      <c r="J220">
        <v>357.9</v>
      </c>
    </row>
    <row r="221" spans="1:10" x14ac:dyDescent="0.25">
      <c r="A221" s="57">
        <f t="shared" si="76"/>
        <v>40374</v>
      </c>
      <c r="B221" s="63" t="s">
        <v>71</v>
      </c>
      <c r="C221">
        <v>2726.4</v>
      </c>
      <c r="D221">
        <v>2148.6</v>
      </c>
      <c r="E221">
        <v>12389</v>
      </c>
      <c r="F221">
        <v>13770.2</v>
      </c>
      <c r="G221" s="2">
        <f t="shared" si="81"/>
        <v>15115.4</v>
      </c>
      <c r="H221" s="2">
        <f t="shared" si="82"/>
        <v>15918.800000000001</v>
      </c>
      <c r="I221" s="30">
        <f t="shared" si="83"/>
        <v>-5.0468628288564581</v>
      </c>
      <c r="J221">
        <v>424.9</v>
      </c>
    </row>
    <row r="222" spans="1:10" x14ac:dyDescent="0.25">
      <c r="A222" s="57">
        <f t="shared" si="76"/>
        <v>40381</v>
      </c>
      <c r="B222" s="63" t="s">
        <v>71</v>
      </c>
      <c r="C222">
        <v>2690.6</v>
      </c>
      <c r="D222">
        <v>1994.2</v>
      </c>
      <c r="E222">
        <v>12690</v>
      </c>
      <c r="F222">
        <v>14131.8</v>
      </c>
      <c r="G222" s="2">
        <f t="shared" si="81"/>
        <v>15380.6</v>
      </c>
      <c r="H222" s="2">
        <f t="shared" si="82"/>
        <v>16126</v>
      </c>
      <c r="I222" s="30">
        <f t="shared" si="83"/>
        <v>-4.622349001612303</v>
      </c>
      <c r="J222">
        <v>563.6</v>
      </c>
    </row>
    <row r="223" spans="1:10" x14ac:dyDescent="0.25">
      <c r="A223" s="57">
        <f t="shared" si="76"/>
        <v>40388</v>
      </c>
      <c r="B223" s="63" t="s">
        <v>71</v>
      </c>
      <c r="C223">
        <v>2495.1999999999998</v>
      </c>
      <c r="D223">
        <v>2027.1</v>
      </c>
      <c r="E223">
        <v>13055</v>
      </c>
      <c r="F223">
        <v>14391.2</v>
      </c>
      <c r="G223" s="2">
        <f t="shared" si="81"/>
        <v>15550.2</v>
      </c>
      <c r="H223" s="2">
        <f t="shared" si="82"/>
        <v>16418.3</v>
      </c>
      <c r="I223" s="30">
        <f t="shared" si="83"/>
        <v>-5.2873927264089353</v>
      </c>
      <c r="J223">
        <v>748.6</v>
      </c>
    </row>
    <row r="224" spans="1:10" x14ac:dyDescent="0.25">
      <c r="A224" s="57">
        <f t="shared" si="76"/>
        <v>40395</v>
      </c>
      <c r="B224" s="63" t="s">
        <v>71</v>
      </c>
      <c r="C224">
        <v>2510.9</v>
      </c>
      <c r="D224">
        <v>1993.3</v>
      </c>
      <c r="E224">
        <v>13300.1</v>
      </c>
      <c r="F224">
        <v>14770.5</v>
      </c>
      <c r="G224" s="2">
        <f t="shared" si="81"/>
        <v>15811</v>
      </c>
      <c r="H224" s="2">
        <f t="shared" si="82"/>
        <v>16763.8</v>
      </c>
      <c r="I224" s="30">
        <f t="shared" si="83"/>
        <v>-5.6836755389589433</v>
      </c>
      <c r="J224">
        <v>940.9</v>
      </c>
    </row>
    <row r="225" spans="1:10" x14ac:dyDescent="0.25">
      <c r="A225" s="57">
        <f t="shared" si="76"/>
        <v>40402</v>
      </c>
      <c r="B225" s="63" t="s">
        <v>71</v>
      </c>
      <c r="C225">
        <v>2585.8000000000002</v>
      </c>
      <c r="D225">
        <v>2170</v>
      </c>
      <c r="E225">
        <v>13471.5</v>
      </c>
      <c r="F225">
        <v>14913.3</v>
      </c>
      <c r="G225" s="2">
        <f t="shared" si="81"/>
        <v>16057.3</v>
      </c>
      <c r="H225" s="2">
        <f t="shared" si="82"/>
        <v>17083.3</v>
      </c>
      <c r="I225" s="30">
        <f t="shared" si="83"/>
        <v>-6.0058653772983028</v>
      </c>
      <c r="J225">
        <v>1387.4</v>
      </c>
    </row>
    <row r="226" spans="1:10" x14ac:dyDescent="0.25">
      <c r="A226" s="57">
        <f t="shared" si="76"/>
        <v>40409</v>
      </c>
      <c r="B226" s="63" t="s">
        <v>71</v>
      </c>
      <c r="C226">
        <v>2314.9</v>
      </c>
      <c r="D226">
        <v>1924.9</v>
      </c>
      <c r="E226">
        <v>13801.5</v>
      </c>
      <c r="F226">
        <v>15468.4</v>
      </c>
      <c r="G226" s="2">
        <f t="shared" si="81"/>
        <v>16116.4</v>
      </c>
      <c r="H226" s="2">
        <f t="shared" si="82"/>
        <v>17393.3</v>
      </c>
      <c r="I226" s="30">
        <f t="shared" si="83"/>
        <v>-7.3413325820862019</v>
      </c>
      <c r="J226">
        <v>1916</v>
      </c>
    </row>
    <row r="227" spans="1:10" x14ac:dyDescent="0.25">
      <c r="A227" s="57">
        <f t="shared" si="76"/>
        <v>40416</v>
      </c>
      <c r="B227" s="63" t="s">
        <v>71</v>
      </c>
      <c r="C227">
        <v>2096.1999999999998</v>
      </c>
      <c r="D227">
        <v>1928.8</v>
      </c>
      <c r="E227">
        <v>14117.6</v>
      </c>
      <c r="F227">
        <v>15775.1</v>
      </c>
      <c r="G227" s="2">
        <f t="shared" si="81"/>
        <v>16213.8</v>
      </c>
      <c r="H227" s="2">
        <f t="shared" si="82"/>
        <v>17703.900000000001</v>
      </c>
      <c r="I227" s="30">
        <f t="shared" si="83"/>
        <v>-8.4167895209530279</v>
      </c>
      <c r="J227">
        <v>2431.3000000000002</v>
      </c>
    </row>
    <row r="228" spans="1:10" x14ac:dyDescent="0.25">
      <c r="A228" s="57">
        <f t="shared" si="76"/>
        <v>40423</v>
      </c>
      <c r="B228" s="63" t="s">
        <v>71</v>
      </c>
      <c r="C228">
        <v>4329.5</v>
      </c>
      <c r="D228">
        <v>2595.1</v>
      </c>
      <c r="E228">
        <v>166.6</v>
      </c>
      <c r="F228">
        <v>88.9</v>
      </c>
      <c r="G228" s="2">
        <f t="shared" si="81"/>
        <v>4496.1000000000004</v>
      </c>
      <c r="H228" s="2">
        <f t="shared" si="82"/>
        <v>2684</v>
      </c>
      <c r="I228" s="30">
        <f t="shared" si="83"/>
        <v>67.514903129657242</v>
      </c>
    </row>
    <row r="229" spans="1:10" x14ac:dyDescent="0.25">
      <c r="A229" s="57">
        <f t="shared" si="76"/>
        <v>40430</v>
      </c>
      <c r="B229" s="63" t="s">
        <v>71</v>
      </c>
      <c r="C229">
        <v>4391</v>
      </c>
      <c r="D229">
        <v>2397.6999999999998</v>
      </c>
      <c r="E229">
        <v>361</v>
      </c>
      <c r="F229">
        <v>537</v>
      </c>
      <c r="G229" s="2">
        <f t="shared" si="81"/>
        <v>4752</v>
      </c>
      <c r="H229" s="2">
        <f t="shared" si="82"/>
        <v>2934.7</v>
      </c>
      <c r="I229" s="30">
        <f t="shared" si="83"/>
        <v>61.924557876443927</v>
      </c>
    </row>
    <row r="230" spans="1:10" x14ac:dyDescent="0.25">
      <c r="A230" s="57">
        <f t="shared" si="76"/>
        <v>40437</v>
      </c>
      <c r="B230" s="63" t="s">
        <v>71</v>
      </c>
      <c r="C230">
        <v>4270.2</v>
      </c>
      <c r="D230">
        <v>2173.9</v>
      </c>
      <c r="E230">
        <v>567.5</v>
      </c>
      <c r="F230">
        <v>814</v>
      </c>
      <c r="G230" s="2">
        <f t="shared" si="81"/>
        <v>4837.7</v>
      </c>
      <c r="H230" s="2">
        <f t="shared" si="82"/>
        <v>2987.9</v>
      </c>
      <c r="I230" s="30">
        <f t="shared" si="83"/>
        <v>61.909702466615336</v>
      </c>
    </row>
    <row r="231" spans="1:10" x14ac:dyDescent="0.25">
      <c r="A231" s="57">
        <f t="shared" si="76"/>
        <v>40444</v>
      </c>
      <c r="B231" s="63" t="s">
        <v>71</v>
      </c>
      <c r="C231">
        <v>4442.8999999999996</v>
      </c>
      <c r="D231">
        <v>2480.8000000000002</v>
      </c>
      <c r="E231">
        <v>714.7</v>
      </c>
      <c r="F231">
        <v>1094</v>
      </c>
      <c r="G231" s="2">
        <f t="shared" si="81"/>
        <v>5157.5999999999995</v>
      </c>
      <c r="H231" s="2">
        <f t="shared" si="82"/>
        <v>3574.8</v>
      </c>
      <c r="I231" s="30">
        <f t="shared" si="83"/>
        <v>44.276602886874763</v>
      </c>
    </row>
    <row r="232" spans="1:10" x14ac:dyDescent="0.25">
      <c r="A232" s="57">
        <f t="shared" si="76"/>
        <v>40451</v>
      </c>
      <c r="B232" s="63" t="s">
        <v>71</v>
      </c>
      <c r="C232">
        <v>4244.8</v>
      </c>
      <c r="D232">
        <v>2407.3000000000002</v>
      </c>
      <c r="E232">
        <v>1079.3</v>
      </c>
      <c r="F232">
        <v>1412.8</v>
      </c>
      <c r="G232" s="2">
        <f t="shared" si="81"/>
        <v>5324.1</v>
      </c>
      <c r="H232" s="2">
        <f t="shared" si="82"/>
        <v>3820.1000000000004</v>
      </c>
      <c r="I232" s="30">
        <f t="shared" si="83"/>
        <v>39.370697102170091</v>
      </c>
    </row>
    <row r="233" spans="1:10" x14ac:dyDescent="0.25">
      <c r="A233" s="57">
        <f t="shared" si="76"/>
        <v>40458</v>
      </c>
      <c r="B233" s="63" t="s">
        <v>71</v>
      </c>
      <c r="C233">
        <v>4053</v>
      </c>
      <c r="D233">
        <v>2439.9</v>
      </c>
      <c r="E233">
        <v>1392.2</v>
      </c>
      <c r="F233">
        <v>1570.6</v>
      </c>
      <c r="G233" s="2">
        <f t="shared" si="81"/>
        <v>5445.2</v>
      </c>
      <c r="H233" s="2">
        <f t="shared" si="82"/>
        <v>4010.5</v>
      </c>
      <c r="I233" s="30">
        <f t="shared" si="83"/>
        <v>35.773594314923329</v>
      </c>
    </row>
    <row r="234" spans="1:10" x14ac:dyDescent="0.25">
      <c r="A234" s="57">
        <f t="shared" si="76"/>
        <v>40465</v>
      </c>
      <c r="B234" s="63" t="s">
        <v>71</v>
      </c>
      <c r="C234">
        <v>3749.4</v>
      </c>
      <c r="D234">
        <v>2598.4</v>
      </c>
      <c r="E234">
        <v>1840.7</v>
      </c>
      <c r="F234">
        <v>1743</v>
      </c>
      <c r="G234" s="2">
        <f t="shared" si="81"/>
        <v>5590.1</v>
      </c>
      <c r="H234" s="2">
        <f t="shared" si="82"/>
        <v>4341.3999999999996</v>
      </c>
      <c r="I234" s="30">
        <f t="shared" si="83"/>
        <v>28.762611139263861</v>
      </c>
    </row>
    <row r="235" spans="1:10" x14ac:dyDescent="0.25">
      <c r="A235" s="57">
        <f t="shared" si="76"/>
        <v>40472</v>
      </c>
      <c r="B235" s="63" t="s">
        <v>71</v>
      </c>
      <c r="C235">
        <v>3707.6</v>
      </c>
      <c r="D235">
        <v>2363.1999999999998</v>
      </c>
      <c r="E235">
        <v>2072.6</v>
      </c>
      <c r="F235">
        <v>1969.7</v>
      </c>
      <c r="G235" s="2">
        <f t="shared" si="81"/>
        <v>5780.2</v>
      </c>
      <c r="H235" s="2">
        <f t="shared" si="82"/>
        <v>4332.8999999999996</v>
      </c>
      <c r="I235" s="30">
        <f t="shared" si="83"/>
        <v>33.402571026333419</v>
      </c>
    </row>
    <row r="236" spans="1:10" x14ac:dyDescent="0.25">
      <c r="A236" s="57">
        <f t="shared" si="76"/>
        <v>40479</v>
      </c>
      <c r="B236" s="63" t="s">
        <v>71</v>
      </c>
      <c r="C236">
        <v>3649.6</v>
      </c>
      <c r="D236">
        <v>2313.8000000000002</v>
      </c>
      <c r="E236">
        <v>2257.4</v>
      </c>
      <c r="F236">
        <v>2205.8000000000002</v>
      </c>
      <c r="G236" s="2">
        <f t="shared" si="81"/>
        <v>5907</v>
      </c>
      <c r="H236" s="2">
        <f t="shared" si="82"/>
        <v>4519.6000000000004</v>
      </c>
      <c r="I236" s="30">
        <f t="shared" si="83"/>
        <v>30.697406850163709</v>
      </c>
    </row>
    <row r="237" spans="1:10" x14ac:dyDescent="0.25">
      <c r="A237" s="57">
        <f t="shared" si="76"/>
        <v>40486</v>
      </c>
      <c r="B237" s="63" t="s">
        <v>71</v>
      </c>
      <c r="C237">
        <v>3687.3</v>
      </c>
      <c r="D237">
        <v>2214</v>
      </c>
      <c r="E237">
        <v>2492.5</v>
      </c>
      <c r="F237">
        <v>2609.1999999999998</v>
      </c>
      <c r="G237" s="2">
        <f t="shared" si="81"/>
        <v>6179.8</v>
      </c>
      <c r="H237" s="2">
        <f t="shared" si="82"/>
        <v>4823.2</v>
      </c>
      <c r="I237" s="30">
        <f t="shared" si="83"/>
        <v>28.126554984242837</v>
      </c>
    </row>
    <row r="238" spans="1:10" x14ac:dyDescent="0.25">
      <c r="A238" s="57">
        <f t="shared" si="76"/>
        <v>40493</v>
      </c>
      <c r="B238" s="63" t="s">
        <v>71</v>
      </c>
      <c r="C238">
        <v>3507.8</v>
      </c>
      <c r="D238">
        <v>2180</v>
      </c>
      <c r="E238">
        <v>2785.1</v>
      </c>
      <c r="F238">
        <v>2830.4</v>
      </c>
      <c r="G238" s="2">
        <f t="shared" si="81"/>
        <v>6292.9</v>
      </c>
      <c r="H238" s="2">
        <f t="shared" si="82"/>
        <v>5010.3999999999996</v>
      </c>
      <c r="I238" s="30">
        <f t="shared" si="83"/>
        <v>25.596758741817016</v>
      </c>
    </row>
    <row r="239" spans="1:10" x14ac:dyDescent="0.25">
      <c r="A239" s="57">
        <f t="shared" si="76"/>
        <v>40500</v>
      </c>
      <c r="B239" s="63" t="s">
        <v>71</v>
      </c>
      <c r="C239">
        <v>3362.1</v>
      </c>
      <c r="D239">
        <v>2218.1</v>
      </c>
      <c r="E239">
        <v>3090.5</v>
      </c>
      <c r="F239">
        <v>3078.8</v>
      </c>
      <c r="G239" s="2">
        <f t="shared" si="81"/>
        <v>6452.6</v>
      </c>
      <c r="H239" s="2">
        <f t="shared" si="82"/>
        <v>5296.9</v>
      </c>
      <c r="I239" s="30">
        <f t="shared" si="83"/>
        <v>21.818422095942935</v>
      </c>
    </row>
    <row r="240" spans="1:10" x14ac:dyDescent="0.25">
      <c r="A240" s="57">
        <f t="shared" si="76"/>
        <v>40507</v>
      </c>
      <c r="B240" s="63" t="s">
        <v>71</v>
      </c>
      <c r="C240">
        <v>3301</v>
      </c>
      <c r="D240">
        <v>2348.8000000000002</v>
      </c>
      <c r="E240">
        <v>3343.4</v>
      </c>
      <c r="F240">
        <v>3243.2</v>
      </c>
      <c r="G240" s="2">
        <f t="shared" si="81"/>
        <v>6644.4</v>
      </c>
      <c r="H240" s="2">
        <f t="shared" si="82"/>
        <v>5592</v>
      </c>
      <c r="I240" s="30">
        <f t="shared" si="83"/>
        <v>18.819742489270386</v>
      </c>
    </row>
    <row r="241" spans="1:11" x14ac:dyDescent="0.25">
      <c r="A241" s="57">
        <f t="shared" si="76"/>
        <v>40514</v>
      </c>
      <c r="B241" s="63" t="s">
        <v>71</v>
      </c>
      <c r="C241">
        <v>3006</v>
      </c>
      <c r="D241">
        <v>2431.1</v>
      </c>
      <c r="E241">
        <v>3663</v>
      </c>
      <c r="F241">
        <v>3431.9</v>
      </c>
      <c r="G241" s="2">
        <f t="shared" si="81"/>
        <v>6669</v>
      </c>
      <c r="H241" s="2">
        <f t="shared" si="82"/>
        <v>5863</v>
      </c>
      <c r="I241" s="30">
        <f t="shared" si="83"/>
        <v>13.747228381374722</v>
      </c>
      <c r="K241">
        <v>135.1</v>
      </c>
    </row>
    <row r="242" spans="1:11" x14ac:dyDescent="0.25">
      <c r="A242" s="57">
        <f t="shared" si="76"/>
        <v>40521</v>
      </c>
      <c r="B242" s="63" t="s">
        <v>71</v>
      </c>
      <c r="C242">
        <v>2810.7</v>
      </c>
      <c r="D242">
        <v>2405.8000000000002</v>
      </c>
      <c r="E242">
        <v>4020.3</v>
      </c>
      <c r="F242">
        <v>3735.2</v>
      </c>
      <c r="G242" s="2">
        <f t="shared" si="81"/>
        <v>6831</v>
      </c>
      <c r="H242" s="2">
        <f t="shared" si="82"/>
        <v>6141</v>
      </c>
      <c r="I242" s="30">
        <f t="shared" si="83"/>
        <v>11.23595505617978</v>
      </c>
    </row>
    <row r="243" spans="1:11" x14ac:dyDescent="0.25">
      <c r="A243" s="57">
        <f t="shared" si="76"/>
        <v>40528</v>
      </c>
      <c r="B243" s="63" t="s">
        <v>71</v>
      </c>
      <c r="C243">
        <v>2797</v>
      </c>
      <c r="D243">
        <v>2718</v>
      </c>
      <c r="E243">
        <v>4402</v>
      </c>
      <c r="F243">
        <v>3910.9</v>
      </c>
      <c r="G243" s="2">
        <f t="shared" si="81"/>
        <v>7199</v>
      </c>
      <c r="H243" s="2">
        <f t="shared" si="82"/>
        <v>6628.9</v>
      </c>
      <c r="I243" s="30">
        <f t="shared" si="83"/>
        <v>8.6002202477032377</v>
      </c>
      <c r="K243">
        <v>182.4</v>
      </c>
    </row>
    <row r="244" spans="1:11" x14ac:dyDescent="0.25">
      <c r="A244" s="57">
        <f t="shared" si="76"/>
        <v>40535</v>
      </c>
      <c r="B244" s="63" t="s">
        <v>71</v>
      </c>
      <c r="C244">
        <v>2613.3000000000002</v>
      </c>
      <c r="D244">
        <v>2477.6</v>
      </c>
      <c r="E244">
        <v>4807.1000000000004</v>
      </c>
      <c r="F244">
        <v>4246.3999999999996</v>
      </c>
      <c r="G244" s="2">
        <f t="shared" si="81"/>
        <v>7420.4000000000005</v>
      </c>
      <c r="H244" s="2">
        <f t="shared" si="82"/>
        <v>6724</v>
      </c>
      <c r="I244" s="30">
        <f t="shared" si="83"/>
        <v>10.356930398572285</v>
      </c>
    </row>
    <row r="245" spans="1:11" x14ac:dyDescent="0.25">
      <c r="A245" s="57">
        <f t="shared" si="76"/>
        <v>40542</v>
      </c>
      <c r="B245" s="63" t="s">
        <v>71</v>
      </c>
      <c r="C245">
        <v>2560.9</v>
      </c>
      <c r="D245">
        <v>2218.8000000000002</v>
      </c>
      <c r="E245">
        <v>5049.2</v>
      </c>
      <c r="F245">
        <v>4544.5</v>
      </c>
      <c r="G245" s="2">
        <f t="shared" si="81"/>
        <v>7610.1</v>
      </c>
      <c r="H245" s="2">
        <f t="shared" si="82"/>
        <v>6763.3</v>
      </c>
      <c r="I245" s="30">
        <f t="shared" si="83"/>
        <v>12.520515133145071</v>
      </c>
    </row>
    <row r="246" spans="1:11" x14ac:dyDescent="0.25">
      <c r="A246" s="57">
        <f t="shared" si="76"/>
        <v>40549</v>
      </c>
      <c r="B246" s="63" t="s">
        <v>71</v>
      </c>
      <c r="C246">
        <v>2505</v>
      </c>
      <c r="D246">
        <v>2114</v>
      </c>
      <c r="E246">
        <v>5143</v>
      </c>
      <c r="F246">
        <v>4773.6000000000004</v>
      </c>
      <c r="G246" s="2">
        <f t="shared" si="81"/>
        <v>7648</v>
      </c>
      <c r="H246" s="2">
        <f t="shared" si="82"/>
        <v>6887.6</v>
      </c>
      <c r="I246" s="30">
        <f t="shared" si="83"/>
        <v>11.040130088855339</v>
      </c>
    </row>
    <row r="247" spans="1:11" x14ac:dyDescent="0.25">
      <c r="A247" s="57">
        <f t="shared" si="76"/>
        <v>40556</v>
      </c>
      <c r="B247" s="63" t="s">
        <v>71</v>
      </c>
      <c r="C247">
        <v>2491.6999999999998</v>
      </c>
      <c r="D247">
        <v>2172.5</v>
      </c>
      <c r="E247">
        <v>5353.5</v>
      </c>
      <c r="F247">
        <v>5005.8999999999996</v>
      </c>
      <c r="G247" s="2">
        <f t="shared" ref="G247:G266" si="84">+C247+E247</f>
        <v>7845.2</v>
      </c>
      <c r="H247" s="2">
        <f t="shared" ref="H247:H266" si="85">+D247+F247</f>
        <v>7178.4</v>
      </c>
      <c r="I247" s="30">
        <f t="shared" ref="I247:I266" si="86">(G247/H247-1)*100</f>
        <v>9.2889780452468642</v>
      </c>
      <c r="K247">
        <v>249.1</v>
      </c>
    </row>
    <row r="248" spans="1:11" x14ac:dyDescent="0.25">
      <c r="A248" s="57">
        <f t="shared" si="76"/>
        <v>40563</v>
      </c>
      <c r="B248" s="63" t="s">
        <v>71</v>
      </c>
      <c r="C248">
        <v>2461.5</v>
      </c>
      <c r="D248">
        <v>2044.9</v>
      </c>
      <c r="E248">
        <v>5590.7</v>
      </c>
      <c r="F248">
        <v>5221.3999999999996</v>
      </c>
      <c r="G248" s="2">
        <f t="shared" si="84"/>
        <v>8052.2</v>
      </c>
      <c r="H248" s="2">
        <f t="shared" si="85"/>
        <v>7266.2999999999993</v>
      </c>
      <c r="I248" s="30">
        <f t="shared" si="86"/>
        <v>10.815683360169558</v>
      </c>
    </row>
    <row r="249" spans="1:11" x14ac:dyDescent="0.25">
      <c r="A249" s="57">
        <f t="shared" si="76"/>
        <v>40570</v>
      </c>
      <c r="B249" s="63" t="s">
        <v>71</v>
      </c>
      <c r="C249">
        <v>2704.7</v>
      </c>
      <c r="D249">
        <v>1863.9</v>
      </c>
      <c r="E249">
        <v>5739.6</v>
      </c>
      <c r="F249">
        <v>5637.2</v>
      </c>
      <c r="G249" s="2">
        <f t="shared" si="84"/>
        <v>8444.2999999999993</v>
      </c>
      <c r="H249" s="2">
        <f t="shared" si="85"/>
        <v>7501.1</v>
      </c>
      <c r="I249" s="30">
        <f t="shared" si="86"/>
        <v>12.574155790484042</v>
      </c>
    </row>
    <row r="250" spans="1:11" x14ac:dyDescent="0.25">
      <c r="A250" s="57">
        <f t="shared" si="76"/>
        <v>40577</v>
      </c>
      <c r="B250" s="63" t="s">
        <v>71</v>
      </c>
      <c r="C250">
        <v>2896.5</v>
      </c>
      <c r="D250">
        <v>1881.9</v>
      </c>
      <c r="E250">
        <v>5920.5</v>
      </c>
      <c r="F250">
        <v>5770.3</v>
      </c>
      <c r="G250" s="2">
        <f t="shared" si="84"/>
        <v>8817</v>
      </c>
      <c r="H250" s="2">
        <f t="shared" si="85"/>
        <v>7652.2000000000007</v>
      </c>
      <c r="I250" s="30">
        <f t="shared" si="86"/>
        <v>15.221766289433102</v>
      </c>
      <c r="J250">
        <v>357.6</v>
      </c>
    </row>
    <row r="251" spans="1:11" x14ac:dyDescent="0.25">
      <c r="A251" s="57">
        <f t="shared" si="76"/>
        <v>40584</v>
      </c>
      <c r="B251" s="63" t="s">
        <v>71</v>
      </c>
      <c r="C251">
        <v>2908.2</v>
      </c>
      <c r="D251">
        <v>1990.4</v>
      </c>
      <c r="E251">
        <v>6114.1</v>
      </c>
      <c r="F251">
        <v>5996.8</v>
      </c>
      <c r="G251" s="2">
        <f t="shared" si="84"/>
        <v>9022.2999999999993</v>
      </c>
      <c r="H251" s="2">
        <f t="shared" si="85"/>
        <v>7987.2000000000007</v>
      </c>
      <c r="I251" s="30">
        <f t="shared" si="86"/>
        <v>12.959485176282026</v>
      </c>
      <c r="J251">
        <v>358.5</v>
      </c>
    </row>
    <row r="252" spans="1:11" x14ac:dyDescent="0.25">
      <c r="A252" s="57">
        <f t="shared" si="76"/>
        <v>40591</v>
      </c>
      <c r="B252" s="63" t="s">
        <v>71</v>
      </c>
      <c r="C252">
        <v>2945.2</v>
      </c>
      <c r="D252">
        <v>1783.3</v>
      </c>
      <c r="E252">
        <v>6545.5</v>
      </c>
      <c r="F252">
        <v>6417.2</v>
      </c>
      <c r="G252" s="2">
        <f t="shared" si="84"/>
        <v>9490.7000000000007</v>
      </c>
      <c r="H252" s="2">
        <f t="shared" si="85"/>
        <v>8200.5</v>
      </c>
      <c r="I252" s="30">
        <f t="shared" si="86"/>
        <v>15.733187000792647</v>
      </c>
      <c r="J252">
        <v>358.5</v>
      </c>
    </row>
    <row r="253" spans="1:11" x14ac:dyDescent="0.25">
      <c r="A253" s="57">
        <f t="shared" si="76"/>
        <v>40598</v>
      </c>
      <c r="B253" s="63" t="s">
        <v>71</v>
      </c>
      <c r="C253">
        <v>3198.1</v>
      </c>
      <c r="D253">
        <v>1920.1</v>
      </c>
      <c r="E253">
        <v>6778.7</v>
      </c>
      <c r="F253">
        <v>6797.6</v>
      </c>
      <c r="G253" s="2">
        <f t="shared" si="84"/>
        <v>9976.7999999999993</v>
      </c>
      <c r="H253" s="2">
        <f t="shared" si="85"/>
        <v>8717.7000000000007</v>
      </c>
      <c r="I253" s="30">
        <f t="shared" si="86"/>
        <v>14.443029698200194</v>
      </c>
      <c r="J253">
        <v>451.3</v>
      </c>
    </row>
    <row r="254" spans="1:11" x14ac:dyDescent="0.25">
      <c r="A254" s="57">
        <f t="shared" ref="A254:A317" si="87">+A253+7</f>
        <v>40605</v>
      </c>
      <c r="B254" s="63" t="s">
        <v>71</v>
      </c>
      <c r="C254">
        <v>2949.3</v>
      </c>
      <c r="D254">
        <v>1753.4</v>
      </c>
      <c r="E254">
        <v>7118.6</v>
      </c>
      <c r="F254">
        <v>7127.6</v>
      </c>
      <c r="G254" s="2">
        <f t="shared" si="84"/>
        <v>10067.900000000001</v>
      </c>
      <c r="H254" s="2">
        <f t="shared" si="85"/>
        <v>8881</v>
      </c>
      <c r="I254" s="30">
        <f t="shared" si="86"/>
        <v>13.364485981308437</v>
      </c>
    </row>
    <row r="255" spans="1:11" x14ac:dyDescent="0.25">
      <c r="A255" s="57">
        <f t="shared" si="87"/>
        <v>40612</v>
      </c>
      <c r="B255" s="63" t="s">
        <v>71</v>
      </c>
      <c r="C255">
        <v>3151.2</v>
      </c>
      <c r="D255">
        <v>1993.7</v>
      </c>
      <c r="E255">
        <v>7372.4</v>
      </c>
      <c r="F255">
        <v>7312.1</v>
      </c>
      <c r="G255" s="2">
        <f t="shared" si="84"/>
        <v>10523.599999999999</v>
      </c>
      <c r="H255" s="2">
        <f t="shared" si="85"/>
        <v>9305.8000000000011</v>
      </c>
      <c r="I255" s="30">
        <f t="shared" si="86"/>
        <v>13.086462206365891</v>
      </c>
      <c r="J255">
        <v>655.4</v>
      </c>
    </row>
    <row r="256" spans="1:11" x14ac:dyDescent="0.25">
      <c r="A256" s="57">
        <f t="shared" si="87"/>
        <v>40619</v>
      </c>
      <c r="B256" s="63" t="s">
        <v>71</v>
      </c>
      <c r="C256">
        <v>3081.3</v>
      </c>
      <c r="D256">
        <v>1852.8</v>
      </c>
      <c r="E256">
        <v>7664.1</v>
      </c>
      <c r="F256">
        <v>7593</v>
      </c>
      <c r="G256" s="2">
        <f t="shared" si="84"/>
        <v>10745.400000000001</v>
      </c>
      <c r="H256" s="2">
        <f t="shared" si="85"/>
        <v>9445.7999999999993</v>
      </c>
      <c r="I256" s="30">
        <f t="shared" si="86"/>
        <v>13.758495839420725</v>
      </c>
      <c r="J256">
        <v>655.4</v>
      </c>
    </row>
    <row r="257" spans="1:10" x14ac:dyDescent="0.25">
      <c r="A257" s="57">
        <f t="shared" si="87"/>
        <v>40626</v>
      </c>
      <c r="B257" s="63" t="s">
        <v>71</v>
      </c>
      <c r="C257">
        <v>3151.5</v>
      </c>
      <c r="D257">
        <v>1869.8</v>
      </c>
      <c r="E257">
        <v>7898.6</v>
      </c>
      <c r="F257">
        <v>7899</v>
      </c>
      <c r="G257" s="2">
        <f t="shared" si="84"/>
        <v>11050.1</v>
      </c>
      <c r="H257" s="2">
        <f t="shared" si="85"/>
        <v>9768.7999999999993</v>
      </c>
      <c r="I257" s="30">
        <f t="shared" si="86"/>
        <v>13.116247645565494</v>
      </c>
      <c r="J257">
        <v>655.4</v>
      </c>
    </row>
    <row r="258" spans="1:10" x14ac:dyDescent="0.25">
      <c r="A258" s="57">
        <f t="shared" si="87"/>
        <v>40633</v>
      </c>
      <c r="B258" s="63" t="s">
        <v>71</v>
      </c>
      <c r="C258">
        <v>2887.8</v>
      </c>
      <c r="D258">
        <v>1803.5</v>
      </c>
      <c r="E258">
        <v>8272.7999999999993</v>
      </c>
      <c r="F258">
        <v>8245.7999999999993</v>
      </c>
      <c r="G258" s="2">
        <f t="shared" si="84"/>
        <v>11160.599999999999</v>
      </c>
      <c r="H258" s="2">
        <f t="shared" si="85"/>
        <v>10049.299999999999</v>
      </c>
      <c r="I258" s="30">
        <f t="shared" si="86"/>
        <v>11.058481685291511</v>
      </c>
      <c r="J258">
        <v>655.4</v>
      </c>
    </row>
    <row r="259" spans="1:10" x14ac:dyDescent="0.25">
      <c r="A259" s="57">
        <f t="shared" si="87"/>
        <v>40640</v>
      </c>
      <c r="B259" s="63" t="s">
        <v>71</v>
      </c>
      <c r="C259">
        <v>3050.1</v>
      </c>
      <c r="D259">
        <v>1881.3</v>
      </c>
      <c r="E259">
        <v>8579.4</v>
      </c>
      <c r="F259">
        <v>8588.9</v>
      </c>
      <c r="G259" s="2">
        <f t="shared" si="84"/>
        <v>11629.5</v>
      </c>
      <c r="H259" s="2">
        <f t="shared" si="85"/>
        <v>10470.199999999999</v>
      </c>
      <c r="I259" s="30">
        <f t="shared" si="86"/>
        <v>11.072376840939047</v>
      </c>
      <c r="J259">
        <v>655.4</v>
      </c>
    </row>
    <row r="260" spans="1:10" x14ac:dyDescent="0.25">
      <c r="A260" s="57">
        <f t="shared" si="87"/>
        <v>40647</v>
      </c>
      <c r="B260" s="63" t="s">
        <v>71</v>
      </c>
      <c r="C260">
        <v>3118.1</v>
      </c>
      <c r="D260">
        <v>1898.6</v>
      </c>
      <c r="E260">
        <v>9013.2000000000007</v>
      </c>
      <c r="F260">
        <v>8908.4</v>
      </c>
      <c r="G260" s="2">
        <f t="shared" si="84"/>
        <v>12131.300000000001</v>
      </c>
      <c r="H260" s="2">
        <f t="shared" si="85"/>
        <v>10807</v>
      </c>
      <c r="I260" s="30">
        <f t="shared" si="86"/>
        <v>12.254094568335351</v>
      </c>
      <c r="J260">
        <v>655.4</v>
      </c>
    </row>
    <row r="261" spans="1:10" x14ac:dyDescent="0.25">
      <c r="A261" s="57">
        <f t="shared" si="87"/>
        <v>40654</v>
      </c>
      <c r="B261" s="63" t="s">
        <v>71</v>
      </c>
      <c r="C261">
        <v>3113.3</v>
      </c>
      <c r="D261">
        <v>2019.9</v>
      </c>
      <c r="E261">
        <v>9262.7000000000007</v>
      </c>
      <c r="F261">
        <v>9163.4</v>
      </c>
      <c r="G261" s="2">
        <f t="shared" si="84"/>
        <v>12376</v>
      </c>
      <c r="H261" s="2">
        <f t="shared" si="85"/>
        <v>11183.3</v>
      </c>
      <c r="I261" s="30">
        <f t="shared" si="86"/>
        <v>10.665009433709205</v>
      </c>
      <c r="J261">
        <v>656.1</v>
      </c>
    </row>
    <row r="262" spans="1:10" x14ac:dyDescent="0.25">
      <c r="A262" s="57">
        <f t="shared" si="87"/>
        <v>40661</v>
      </c>
      <c r="B262" s="63" t="s">
        <v>71</v>
      </c>
      <c r="C262">
        <v>2990.2</v>
      </c>
      <c r="D262">
        <v>2622</v>
      </c>
      <c r="E262">
        <v>9525.5</v>
      </c>
      <c r="F262">
        <v>9233.6</v>
      </c>
      <c r="G262" s="2">
        <f t="shared" si="84"/>
        <v>12515.7</v>
      </c>
      <c r="H262" s="2">
        <f t="shared" si="85"/>
        <v>11855.6</v>
      </c>
      <c r="I262" s="30">
        <f t="shared" si="86"/>
        <v>5.5678329228381562</v>
      </c>
      <c r="J262">
        <v>656.1</v>
      </c>
    </row>
    <row r="263" spans="1:10" x14ac:dyDescent="0.25">
      <c r="A263" s="57">
        <f t="shared" si="87"/>
        <v>40668</v>
      </c>
      <c r="B263" s="63" t="s">
        <v>71</v>
      </c>
      <c r="C263">
        <v>2872.6</v>
      </c>
      <c r="D263">
        <v>2558.6</v>
      </c>
      <c r="E263">
        <v>9818.4</v>
      </c>
      <c r="F263">
        <v>9570.5</v>
      </c>
      <c r="G263" s="2">
        <f t="shared" si="84"/>
        <v>12691</v>
      </c>
      <c r="H263" s="2">
        <f t="shared" si="85"/>
        <v>12129.1</v>
      </c>
      <c r="I263" s="30">
        <f t="shared" si="86"/>
        <v>4.6326602963121744</v>
      </c>
      <c r="J263">
        <v>667</v>
      </c>
    </row>
    <row r="264" spans="1:10" x14ac:dyDescent="0.25">
      <c r="A264" s="57">
        <f t="shared" si="87"/>
        <v>40675</v>
      </c>
      <c r="B264" s="63" t="s">
        <v>71</v>
      </c>
      <c r="C264">
        <v>2838.8</v>
      </c>
      <c r="D264">
        <v>2788</v>
      </c>
      <c r="E264">
        <v>10106.299999999999</v>
      </c>
      <c r="F264">
        <v>9816.2999999999993</v>
      </c>
      <c r="G264" s="2">
        <f t="shared" si="84"/>
        <v>12945.099999999999</v>
      </c>
      <c r="H264" s="2">
        <f t="shared" si="85"/>
        <v>12604.3</v>
      </c>
      <c r="I264" s="30">
        <f t="shared" si="86"/>
        <v>2.7038391659989003</v>
      </c>
      <c r="J264">
        <v>662.4</v>
      </c>
    </row>
    <row r="265" spans="1:10" x14ac:dyDescent="0.25">
      <c r="A265" s="57">
        <f t="shared" si="87"/>
        <v>40682</v>
      </c>
      <c r="B265" s="63" t="s">
        <v>71</v>
      </c>
      <c r="C265">
        <v>2735.4</v>
      </c>
      <c r="D265">
        <v>2750.2</v>
      </c>
      <c r="E265">
        <v>10417.799999999999</v>
      </c>
      <c r="F265">
        <v>10209</v>
      </c>
      <c r="G265" s="2">
        <f t="shared" si="84"/>
        <v>13153.199999999999</v>
      </c>
      <c r="H265" s="2">
        <f t="shared" si="85"/>
        <v>12959.2</v>
      </c>
      <c r="I265" s="30">
        <f t="shared" si="86"/>
        <v>1.4970059880239361</v>
      </c>
      <c r="J265">
        <v>662.4</v>
      </c>
    </row>
    <row r="266" spans="1:10" x14ac:dyDescent="0.25">
      <c r="A266" s="57">
        <f t="shared" si="87"/>
        <v>40689</v>
      </c>
      <c r="B266" s="63" t="s">
        <v>71</v>
      </c>
      <c r="C266">
        <v>2701.8</v>
      </c>
      <c r="D266">
        <v>2569.6999999999998</v>
      </c>
      <c r="E266">
        <v>10753.1</v>
      </c>
      <c r="F266">
        <v>10657</v>
      </c>
      <c r="G266" s="2">
        <f t="shared" si="84"/>
        <v>13454.900000000001</v>
      </c>
      <c r="H266" s="2">
        <f t="shared" si="85"/>
        <v>13226.7</v>
      </c>
      <c r="I266" s="30">
        <f t="shared" si="86"/>
        <v>1.7252980713254207</v>
      </c>
      <c r="J266">
        <v>723.2</v>
      </c>
    </row>
    <row r="267" spans="1:10" x14ac:dyDescent="0.25">
      <c r="A267" s="57">
        <f t="shared" si="87"/>
        <v>40696</v>
      </c>
      <c r="B267" s="63" t="s">
        <v>71</v>
      </c>
      <c r="C267">
        <v>2499.4</v>
      </c>
      <c r="D267">
        <v>2604.8000000000002</v>
      </c>
      <c r="E267">
        <v>11044.9</v>
      </c>
      <c r="F267">
        <v>10932.2</v>
      </c>
      <c r="G267" s="2">
        <f t="shared" ref="G267:G275" si="88">+C267+E267</f>
        <v>13544.3</v>
      </c>
      <c r="H267" s="2">
        <f t="shared" ref="H267:H275" si="89">+D267+F267</f>
        <v>13537</v>
      </c>
      <c r="I267" s="30">
        <f t="shared" ref="I267:I275" si="90">(G267/H267-1)*100</f>
        <v>5.39262761320769E-2</v>
      </c>
      <c r="J267">
        <v>772</v>
      </c>
    </row>
    <row r="268" spans="1:10" x14ac:dyDescent="0.25">
      <c r="A268" s="57">
        <f t="shared" si="87"/>
        <v>40703</v>
      </c>
      <c r="B268" s="63" t="s">
        <v>71</v>
      </c>
      <c r="C268">
        <v>2301.1999999999998</v>
      </c>
      <c r="D268">
        <v>2318</v>
      </c>
      <c r="E268">
        <v>11344.5</v>
      </c>
      <c r="F268">
        <v>11354.7</v>
      </c>
      <c r="G268" s="2">
        <f t="shared" si="88"/>
        <v>13645.7</v>
      </c>
      <c r="H268" s="2">
        <f t="shared" si="89"/>
        <v>13672.7</v>
      </c>
      <c r="I268" s="30">
        <f t="shared" si="90"/>
        <v>-0.19747379815252541</v>
      </c>
      <c r="J268">
        <v>817.7</v>
      </c>
    </row>
    <row r="269" spans="1:10" x14ac:dyDescent="0.25">
      <c r="A269" s="57">
        <f t="shared" si="87"/>
        <v>40710</v>
      </c>
      <c r="B269" s="63" t="s">
        <v>71</v>
      </c>
      <c r="C269">
        <v>2042.1</v>
      </c>
      <c r="D269">
        <v>2648.7</v>
      </c>
      <c r="E269">
        <v>11766.1</v>
      </c>
      <c r="F269">
        <v>11466.3</v>
      </c>
      <c r="G269" s="2">
        <f t="shared" si="88"/>
        <v>13808.2</v>
      </c>
      <c r="H269" s="2">
        <f t="shared" si="89"/>
        <v>14115</v>
      </c>
      <c r="I269" s="30">
        <f t="shared" si="90"/>
        <v>-2.173574211831375</v>
      </c>
      <c r="J269">
        <v>817.7</v>
      </c>
    </row>
    <row r="270" spans="1:10" x14ac:dyDescent="0.25">
      <c r="A270" s="57">
        <f t="shared" si="87"/>
        <v>40717</v>
      </c>
      <c r="B270" s="63" t="s">
        <v>71</v>
      </c>
      <c r="C270">
        <v>1947.3</v>
      </c>
      <c r="D270">
        <v>2752.9</v>
      </c>
      <c r="E270">
        <v>11915.2</v>
      </c>
      <c r="F270">
        <v>11676.8</v>
      </c>
      <c r="G270" s="2">
        <f t="shared" si="88"/>
        <v>13862.5</v>
      </c>
      <c r="H270" s="2">
        <f t="shared" si="89"/>
        <v>14429.699999999999</v>
      </c>
      <c r="I270" s="30">
        <f t="shared" si="90"/>
        <v>-3.9307816517321847</v>
      </c>
      <c r="J270">
        <v>853.8</v>
      </c>
    </row>
    <row r="271" spans="1:10" x14ac:dyDescent="0.25">
      <c r="A271" s="57">
        <f t="shared" si="87"/>
        <v>40724</v>
      </c>
      <c r="B271" s="63" t="s">
        <v>71</v>
      </c>
      <c r="C271">
        <v>1806.6</v>
      </c>
      <c r="D271">
        <v>2745</v>
      </c>
      <c r="E271">
        <v>12267.4</v>
      </c>
      <c r="F271">
        <v>11900.4</v>
      </c>
      <c r="G271" s="2">
        <f t="shared" si="88"/>
        <v>14074</v>
      </c>
      <c r="H271" s="2">
        <f t="shared" si="89"/>
        <v>14645.4</v>
      </c>
      <c r="I271" s="30">
        <f t="shared" si="90"/>
        <v>-3.901566362134179</v>
      </c>
      <c r="J271">
        <v>853.8</v>
      </c>
    </row>
    <row r="272" spans="1:10" x14ac:dyDescent="0.25">
      <c r="A272" s="57">
        <f t="shared" si="87"/>
        <v>40731</v>
      </c>
      <c r="B272" s="63" t="s">
        <v>71</v>
      </c>
      <c r="C272">
        <v>1651.9</v>
      </c>
      <c r="D272">
        <v>2750.5</v>
      </c>
      <c r="E272">
        <v>12470.2</v>
      </c>
      <c r="F272">
        <v>12108.8</v>
      </c>
      <c r="G272" s="2">
        <f t="shared" si="88"/>
        <v>14122.1</v>
      </c>
      <c r="H272" s="2">
        <f t="shared" si="89"/>
        <v>14859.3</v>
      </c>
      <c r="I272" s="30">
        <f t="shared" si="90"/>
        <v>-4.9612027484470911</v>
      </c>
      <c r="J272">
        <v>885.8</v>
      </c>
    </row>
    <row r="273" spans="1:11" x14ac:dyDescent="0.25">
      <c r="A273" s="57">
        <f t="shared" si="87"/>
        <v>40738</v>
      </c>
      <c r="B273" s="63" t="s">
        <v>71</v>
      </c>
      <c r="C273">
        <v>1512.7</v>
      </c>
      <c r="D273">
        <v>2726.4</v>
      </c>
      <c r="E273">
        <v>12669.9</v>
      </c>
      <c r="F273">
        <v>12362.8</v>
      </c>
      <c r="G273" s="2">
        <f t="shared" si="88"/>
        <v>14182.6</v>
      </c>
      <c r="H273" s="2">
        <f t="shared" si="89"/>
        <v>15089.199999999999</v>
      </c>
      <c r="I273" s="30">
        <f t="shared" si="90"/>
        <v>-6.0082708162129128</v>
      </c>
      <c r="J273">
        <v>952.1</v>
      </c>
    </row>
    <row r="274" spans="1:11" x14ac:dyDescent="0.25">
      <c r="A274" s="57">
        <f t="shared" si="87"/>
        <v>40745</v>
      </c>
      <c r="B274" s="63" t="s">
        <v>71</v>
      </c>
      <c r="C274">
        <v>1339.4</v>
      </c>
      <c r="D274">
        <v>2690.6</v>
      </c>
      <c r="E274">
        <v>12997.2</v>
      </c>
      <c r="F274">
        <v>12663.8</v>
      </c>
      <c r="G274" s="2">
        <f t="shared" si="88"/>
        <v>14336.6</v>
      </c>
      <c r="H274" s="2">
        <f t="shared" si="89"/>
        <v>15354.4</v>
      </c>
      <c r="I274" s="30">
        <f t="shared" si="90"/>
        <v>-6.6287188037305267</v>
      </c>
      <c r="J274">
        <v>1070</v>
      </c>
    </row>
    <row r="275" spans="1:11" x14ac:dyDescent="0.25">
      <c r="A275" s="57">
        <f t="shared" si="87"/>
        <v>40752</v>
      </c>
      <c r="B275" s="63" t="s">
        <v>71</v>
      </c>
      <c r="C275">
        <v>1295.5999999999999</v>
      </c>
      <c r="D275">
        <v>2495.1999999999998</v>
      </c>
      <c r="E275">
        <v>13228.1</v>
      </c>
      <c r="F275">
        <v>13055</v>
      </c>
      <c r="G275" s="2">
        <f t="shared" si="88"/>
        <v>14523.7</v>
      </c>
      <c r="H275" s="2">
        <f t="shared" si="89"/>
        <v>15550.2</v>
      </c>
      <c r="I275" s="30">
        <f t="shared" si="90"/>
        <v>-6.6012012707232</v>
      </c>
      <c r="J275">
        <v>1287.4000000000001</v>
      </c>
    </row>
    <row r="276" spans="1:11" x14ac:dyDescent="0.25">
      <c r="A276" s="57">
        <f t="shared" si="87"/>
        <v>40759</v>
      </c>
      <c r="B276" s="63" t="s">
        <v>71</v>
      </c>
      <c r="C276">
        <v>1215.9000000000001</v>
      </c>
      <c r="D276">
        <v>2510.9</v>
      </c>
      <c r="E276">
        <v>13507.1</v>
      </c>
      <c r="F276">
        <v>13300.1</v>
      </c>
      <c r="G276" s="2">
        <f>+C276+E276</f>
        <v>14723</v>
      </c>
      <c r="H276" s="2">
        <f>+D276+F276</f>
        <v>15811</v>
      </c>
      <c r="I276" s="30">
        <f>(G276/H276-1)*100</f>
        <v>-6.8812851812029567</v>
      </c>
      <c r="J276">
        <v>1289.0999999999999</v>
      </c>
    </row>
    <row r="277" spans="1:11" x14ac:dyDescent="0.25">
      <c r="A277" s="57">
        <f t="shared" si="87"/>
        <v>40766</v>
      </c>
      <c r="B277" s="63" t="s">
        <v>71</v>
      </c>
      <c r="C277">
        <v>932.1</v>
      </c>
      <c r="D277">
        <v>2585.8000000000002</v>
      </c>
      <c r="E277">
        <v>13851</v>
      </c>
      <c r="F277">
        <v>13471.5</v>
      </c>
      <c r="G277" s="2">
        <f t="shared" ref="G277:G294" si="91">+C277+E277</f>
        <v>14783.1</v>
      </c>
      <c r="H277" s="2">
        <f t="shared" ref="H277:H340" si="92">+D277+F277</f>
        <v>16057.3</v>
      </c>
      <c r="I277" s="30">
        <f t="shared" ref="I277:I340" si="93">(G277/H277-1)*100</f>
        <v>-7.935331593729944</v>
      </c>
      <c r="J277">
        <v>1289.0999999999999</v>
      </c>
    </row>
    <row r="278" spans="1:11" x14ac:dyDescent="0.25">
      <c r="A278" s="57">
        <f t="shared" si="87"/>
        <v>40773</v>
      </c>
      <c r="B278" s="63" t="s">
        <v>71</v>
      </c>
      <c r="C278">
        <v>870.1</v>
      </c>
      <c r="D278">
        <v>2314.9</v>
      </c>
      <c r="E278">
        <v>13988</v>
      </c>
      <c r="F278">
        <v>13801.6</v>
      </c>
      <c r="G278" s="2">
        <f t="shared" si="91"/>
        <v>14858.1</v>
      </c>
      <c r="H278" s="2">
        <f t="shared" si="92"/>
        <v>16116.5</v>
      </c>
      <c r="I278" s="30">
        <f t="shared" si="93"/>
        <v>-7.8081469301647388</v>
      </c>
      <c r="J278">
        <v>1340.4</v>
      </c>
    </row>
    <row r="279" spans="1:11" x14ac:dyDescent="0.25">
      <c r="A279" s="57">
        <f t="shared" si="87"/>
        <v>40780</v>
      </c>
      <c r="B279" s="63" t="s">
        <v>71</v>
      </c>
      <c r="C279">
        <v>814.7</v>
      </c>
      <c r="D279">
        <v>2096.1999999999998</v>
      </c>
      <c r="E279">
        <v>14133.8</v>
      </c>
      <c r="F279">
        <v>14117.6</v>
      </c>
      <c r="G279" s="2">
        <f t="shared" si="91"/>
        <v>14948.5</v>
      </c>
      <c r="H279" s="2">
        <f t="shared" si="92"/>
        <v>16213.8</v>
      </c>
      <c r="I279" s="30">
        <f t="shared" si="93"/>
        <v>-7.8038461064031779</v>
      </c>
      <c r="J279">
        <v>1431.8</v>
      </c>
      <c r="K279">
        <v>140</v>
      </c>
    </row>
    <row r="280" spans="1:11" x14ac:dyDescent="0.25">
      <c r="A280" s="57">
        <f t="shared" si="87"/>
        <v>40787</v>
      </c>
      <c r="B280" s="63" t="s">
        <v>71</v>
      </c>
      <c r="C280">
        <v>2373.1999999999998</v>
      </c>
      <c r="D280">
        <v>4329.5</v>
      </c>
      <c r="E280">
        <v>0.1</v>
      </c>
      <c r="F280">
        <v>166.6</v>
      </c>
      <c r="G280" s="2">
        <f t="shared" si="91"/>
        <v>2373.2999999999997</v>
      </c>
      <c r="H280" s="2">
        <f>+D280+F280</f>
        <v>4496.1000000000004</v>
      </c>
      <c r="I280" s="30">
        <f t="shared" si="93"/>
        <v>-47.214252352038443</v>
      </c>
    </row>
    <row r="281" spans="1:11" x14ac:dyDescent="0.25">
      <c r="A281" s="57">
        <f t="shared" si="87"/>
        <v>40794</v>
      </c>
      <c r="B281" s="63" t="s">
        <v>71</v>
      </c>
      <c r="C281">
        <v>2589</v>
      </c>
      <c r="D281">
        <v>4391</v>
      </c>
      <c r="E281">
        <v>98.8</v>
      </c>
      <c r="F281">
        <v>361</v>
      </c>
      <c r="G281" s="2">
        <f t="shared" si="91"/>
        <v>2687.8</v>
      </c>
      <c r="H281" s="2">
        <f t="shared" si="92"/>
        <v>4752</v>
      </c>
      <c r="I281" s="30">
        <f t="shared" si="93"/>
        <v>-43.43855218855218</v>
      </c>
      <c r="J281">
        <v>231.2</v>
      </c>
    </row>
    <row r="282" spans="1:11" x14ac:dyDescent="0.25">
      <c r="A282" s="57">
        <f t="shared" si="87"/>
        <v>40801</v>
      </c>
      <c r="B282" s="63" t="s">
        <v>71</v>
      </c>
      <c r="C282">
        <v>2671</v>
      </c>
      <c r="D282">
        <v>4270</v>
      </c>
      <c r="E282">
        <v>199</v>
      </c>
      <c r="F282">
        <v>568</v>
      </c>
      <c r="G282" s="2">
        <f t="shared" si="91"/>
        <v>2870</v>
      </c>
      <c r="H282" s="2">
        <f t="shared" si="92"/>
        <v>4838</v>
      </c>
      <c r="I282" s="30">
        <f t="shared" si="93"/>
        <v>-40.677966101694921</v>
      </c>
      <c r="J282">
        <v>231.2</v>
      </c>
    </row>
    <row r="283" spans="1:11" x14ac:dyDescent="0.25">
      <c r="A283" s="57">
        <f t="shared" si="87"/>
        <v>40808</v>
      </c>
      <c r="B283" s="63" t="s">
        <v>71</v>
      </c>
      <c r="C283">
        <v>2919.9</v>
      </c>
      <c r="D283">
        <v>4442.8999999999996</v>
      </c>
      <c r="E283">
        <v>337.5</v>
      </c>
      <c r="F283">
        <v>714.7</v>
      </c>
      <c r="G283" s="2">
        <f t="shared" si="91"/>
        <v>3257.4</v>
      </c>
      <c r="H283" s="2">
        <f t="shared" si="92"/>
        <v>5157.5999999999995</v>
      </c>
      <c r="I283" s="30">
        <f t="shared" si="93"/>
        <v>-36.842717543043271</v>
      </c>
    </row>
    <row r="284" spans="1:11" x14ac:dyDescent="0.25">
      <c r="A284" s="57">
        <f t="shared" si="87"/>
        <v>40815</v>
      </c>
      <c r="B284" s="63" t="s">
        <v>71</v>
      </c>
      <c r="C284" s="143">
        <v>3119</v>
      </c>
      <c r="D284" s="144">
        <v>4244.8</v>
      </c>
      <c r="E284" s="144">
        <v>630.20000000000005</v>
      </c>
      <c r="F284">
        <v>1079.3</v>
      </c>
      <c r="G284" s="144">
        <f t="shared" si="91"/>
        <v>3749.2</v>
      </c>
      <c r="H284" s="2">
        <f t="shared" si="92"/>
        <v>5324.1</v>
      </c>
      <c r="I284" s="30">
        <f t="shared" si="93"/>
        <v>-29.580586390188024</v>
      </c>
    </row>
    <row r="285" spans="1:11" x14ac:dyDescent="0.25">
      <c r="A285" s="57">
        <f t="shared" si="87"/>
        <v>40822</v>
      </c>
      <c r="B285" s="63" t="s">
        <v>71</v>
      </c>
      <c r="C285" s="146">
        <v>3345</v>
      </c>
      <c r="D285" s="146">
        <v>4053</v>
      </c>
      <c r="E285" s="146">
        <v>892.3</v>
      </c>
      <c r="F285" s="146">
        <v>1392</v>
      </c>
      <c r="G285" s="147">
        <f t="shared" si="91"/>
        <v>4237.3</v>
      </c>
      <c r="H285" s="146">
        <f t="shared" si="92"/>
        <v>5445</v>
      </c>
      <c r="I285" s="30">
        <f t="shared" si="93"/>
        <v>-22.179981634527092</v>
      </c>
    </row>
    <row r="286" spans="1:11" x14ac:dyDescent="0.25">
      <c r="A286" s="57">
        <f t="shared" si="87"/>
        <v>40829</v>
      </c>
      <c r="B286" s="63" t="s">
        <v>71</v>
      </c>
      <c r="C286" s="146">
        <v>3124.8</v>
      </c>
      <c r="D286" s="146">
        <v>3749.4</v>
      </c>
      <c r="E286" s="146">
        <v>1169.5</v>
      </c>
      <c r="F286" s="146">
        <v>1840.7</v>
      </c>
      <c r="G286" s="146">
        <f t="shared" si="91"/>
        <v>4294.3</v>
      </c>
      <c r="H286" s="146">
        <f t="shared" si="92"/>
        <v>5590.1</v>
      </c>
      <c r="I286" s="30">
        <f t="shared" si="93"/>
        <v>-23.180265111536468</v>
      </c>
      <c r="J286" s="125">
        <v>424.7</v>
      </c>
    </row>
    <row r="287" spans="1:11" x14ac:dyDescent="0.25">
      <c r="A287" s="57">
        <f t="shared" si="87"/>
        <v>40836</v>
      </c>
      <c r="B287" s="63" t="s">
        <v>71</v>
      </c>
      <c r="C287" s="66">
        <v>3215.9</v>
      </c>
      <c r="D287" s="66">
        <v>3707.6</v>
      </c>
      <c r="E287" s="66">
        <v>1304.3</v>
      </c>
      <c r="F287" s="66">
        <v>2072.6</v>
      </c>
      <c r="G287" s="146">
        <f t="shared" si="91"/>
        <v>4520.2</v>
      </c>
      <c r="H287" s="2">
        <f t="shared" si="92"/>
        <v>5780.2</v>
      </c>
      <c r="I287" s="30">
        <f t="shared" si="93"/>
        <v>-21.798553683263556</v>
      </c>
    </row>
    <row r="288" spans="1:11" x14ac:dyDescent="0.25">
      <c r="A288" s="57">
        <f t="shared" si="87"/>
        <v>40843</v>
      </c>
      <c r="B288" s="63" t="s">
        <v>71</v>
      </c>
      <c r="C288" s="66">
        <v>3040.7</v>
      </c>
      <c r="D288" s="66">
        <v>3649.6</v>
      </c>
      <c r="E288" s="66">
        <v>1732.4</v>
      </c>
      <c r="F288" s="66">
        <v>2257.4</v>
      </c>
      <c r="G288" s="146">
        <f t="shared" si="91"/>
        <v>4773.1000000000004</v>
      </c>
      <c r="H288" s="2">
        <f t="shared" si="92"/>
        <v>5907</v>
      </c>
      <c r="I288" s="30">
        <f t="shared" si="93"/>
        <v>-19.195869307601143</v>
      </c>
    </row>
    <row r="289" spans="1:10" x14ac:dyDescent="0.25">
      <c r="A289" s="57">
        <f t="shared" si="87"/>
        <v>40850</v>
      </c>
      <c r="B289" s="63" t="s">
        <v>71</v>
      </c>
      <c r="C289" s="66">
        <v>2980.8</v>
      </c>
      <c r="D289" s="66">
        <v>3687.3</v>
      </c>
      <c r="E289" s="66">
        <v>1925.6</v>
      </c>
      <c r="F289" s="66">
        <v>3492.5</v>
      </c>
      <c r="G289" s="146">
        <f t="shared" si="91"/>
        <v>4906.3999999999996</v>
      </c>
      <c r="H289" s="2">
        <f t="shared" si="92"/>
        <v>7179.8</v>
      </c>
      <c r="I289" s="30">
        <f t="shared" si="93"/>
        <v>-31.66383464720467</v>
      </c>
      <c r="J289">
        <v>449.8</v>
      </c>
    </row>
    <row r="290" spans="1:10" x14ac:dyDescent="0.25">
      <c r="A290" s="57">
        <f t="shared" si="87"/>
        <v>40857</v>
      </c>
      <c r="B290" s="63" t="s">
        <v>71</v>
      </c>
      <c r="C290" s="66">
        <v>2929.2</v>
      </c>
      <c r="D290" s="66">
        <v>3507.8</v>
      </c>
      <c r="E290" s="66">
        <v>2126.6999999999998</v>
      </c>
      <c r="F290" s="66">
        <v>2785.1</v>
      </c>
      <c r="G290" s="66">
        <f t="shared" si="91"/>
        <v>5055.8999999999996</v>
      </c>
      <c r="H290" s="2">
        <f t="shared" si="92"/>
        <v>6292.9</v>
      </c>
      <c r="I290" s="30">
        <f t="shared" si="93"/>
        <v>-19.657073845127048</v>
      </c>
    </row>
    <row r="291" spans="1:10" x14ac:dyDescent="0.25">
      <c r="A291" s="57">
        <f t="shared" si="87"/>
        <v>40864</v>
      </c>
      <c r="B291" s="63" t="s">
        <v>71</v>
      </c>
      <c r="C291" s="66">
        <v>2652.1</v>
      </c>
      <c r="D291" s="66">
        <v>3362.1</v>
      </c>
      <c r="E291" s="66">
        <v>2465.6</v>
      </c>
      <c r="F291" s="66">
        <v>3090.5</v>
      </c>
      <c r="G291" s="66">
        <f t="shared" si="91"/>
        <v>5117.7</v>
      </c>
      <c r="H291" s="2">
        <f t="shared" si="92"/>
        <v>6452.6</v>
      </c>
      <c r="I291" s="30">
        <f t="shared" si="93"/>
        <v>-20.687784768930364</v>
      </c>
      <c r="J291">
        <v>479.8</v>
      </c>
    </row>
    <row r="292" spans="1:10" x14ac:dyDescent="0.25">
      <c r="A292" s="57">
        <f t="shared" si="87"/>
        <v>40871</v>
      </c>
      <c r="B292" s="63" t="s">
        <v>71</v>
      </c>
      <c r="C292" s="66">
        <v>2486.1</v>
      </c>
      <c r="D292" s="66">
        <v>3301</v>
      </c>
      <c r="E292" s="66">
        <v>2702.7</v>
      </c>
      <c r="F292" s="66">
        <v>3343.4</v>
      </c>
      <c r="G292" s="146">
        <f t="shared" si="91"/>
        <v>5188.7999999999993</v>
      </c>
      <c r="H292" s="2">
        <f t="shared" si="92"/>
        <v>6644.4</v>
      </c>
      <c r="I292" s="30">
        <f t="shared" si="93"/>
        <v>-21.907169947625071</v>
      </c>
      <c r="J292">
        <v>551.5</v>
      </c>
    </row>
    <row r="293" spans="1:10" x14ac:dyDescent="0.25">
      <c r="A293" s="57">
        <f t="shared" si="87"/>
        <v>40878</v>
      </c>
      <c r="B293" s="63" t="s">
        <v>71</v>
      </c>
      <c r="C293" s="66">
        <v>2408.4</v>
      </c>
      <c r="D293" s="66">
        <v>3006</v>
      </c>
      <c r="E293" s="66">
        <v>3021.2</v>
      </c>
      <c r="F293" s="66">
        <v>3663</v>
      </c>
      <c r="G293" s="146">
        <f t="shared" si="91"/>
        <v>5429.6</v>
      </c>
      <c r="H293" s="2">
        <f t="shared" si="92"/>
        <v>6669</v>
      </c>
      <c r="I293" s="30">
        <f t="shared" si="93"/>
        <v>-18.584495426600689</v>
      </c>
    </row>
    <row r="294" spans="1:10" x14ac:dyDescent="0.25">
      <c r="A294" s="57">
        <f t="shared" si="87"/>
        <v>40885</v>
      </c>
      <c r="B294" s="63" t="s">
        <v>71</v>
      </c>
      <c r="C294" s="66">
        <v>2363</v>
      </c>
      <c r="D294" s="66">
        <v>2810.7</v>
      </c>
      <c r="E294" s="66">
        <v>3317.6</v>
      </c>
      <c r="F294" s="66">
        <v>4020.3</v>
      </c>
      <c r="G294" s="146">
        <f t="shared" si="91"/>
        <v>5680.6</v>
      </c>
      <c r="H294" s="2">
        <f t="shared" si="92"/>
        <v>6831</v>
      </c>
      <c r="I294" s="30">
        <f t="shared" si="93"/>
        <v>-16.840872493046398</v>
      </c>
    </row>
    <row r="295" spans="1:10" x14ac:dyDescent="0.25">
      <c r="A295" s="57">
        <f t="shared" si="87"/>
        <v>40892</v>
      </c>
      <c r="B295" s="63" t="s">
        <v>71</v>
      </c>
      <c r="C295">
        <v>2225.4</v>
      </c>
      <c r="D295">
        <v>2797.1</v>
      </c>
      <c r="E295">
        <v>3706.4</v>
      </c>
      <c r="F295">
        <v>4402.1000000000004</v>
      </c>
      <c r="G295" s="146">
        <f>+C295+E295</f>
        <v>5931.8</v>
      </c>
      <c r="H295" s="2">
        <f>+D295+F295</f>
        <v>7199.2000000000007</v>
      </c>
      <c r="I295" s="30">
        <f t="shared" si="93"/>
        <v>-17.604733859317712</v>
      </c>
      <c r="J295">
        <v>774.5</v>
      </c>
    </row>
    <row r="296" spans="1:10" x14ac:dyDescent="0.25">
      <c r="A296" s="57">
        <f t="shared" si="87"/>
        <v>40899</v>
      </c>
      <c r="B296" s="63" t="s">
        <v>71</v>
      </c>
      <c r="C296" s="66">
        <v>2169.6999999999998</v>
      </c>
      <c r="D296" s="66">
        <v>2613.3000000000002</v>
      </c>
      <c r="E296" s="66">
        <v>3956.9</v>
      </c>
      <c r="F296" s="66">
        <v>4749.7</v>
      </c>
      <c r="G296" s="146">
        <f t="shared" ref="G296:G302" si="94">+C296+E296</f>
        <v>6126.6</v>
      </c>
      <c r="H296" s="2">
        <f t="shared" si="92"/>
        <v>7363</v>
      </c>
      <c r="I296" s="30">
        <f t="shared" si="93"/>
        <v>-16.792068450359899</v>
      </c>
      <c r="J296">
        <v>796.6</v>
      </c>
    </row>
    <row r="297" spans="1:10" x14ac:dyDescent="0.25">
      <c r="A297" s="57">
        <f t="shared" si="87"/>
        <v>40906</v>
      </c>
      <c r="B297" s="63" t="s">
        <v>71</v>
      </c>
      <c r="C297" s="66">
        <v>2110</v>
      </c>
      <c r="D297" s="66">
        <v>2560.9</v>
      </c>
      <c r="E297" s="66">
        <v>4113.6000000000004</v>
      </c>
      <c r="F297" s="66">
        <v>5049.2</v>
      </c>
      <c r="G297" s="146">
        <f t="shared" si="94"/>
        <v>6223.6</v>
      </c>
      <c r="H297" s="2">
        <f t="shared" si="92"/>
        <v>7610.1</v>
      </c>
      <c r="I297" s="30">
        <f t="shared" si="93"/>
        <v>-18.21920868319733</v>
      </c>
      <c r="J297">
        <v>801.1</v>
      </c>
    </row>
    <row r="298" spans="1:10" x14ac:dyDescent="0.25">
      <c r="A298" s="57">
        <f t="shared" si="87"/>
        <v>40913</v>
      </c>
      <c r="B298" s="63" t="s">
        <v>71</v>
      </c>
      <c r="C298">
        <v>2013.1</v>
      </c>
      <c r="D298">
        <v>2505.1</v>
      </c>
      <c r="E298">
        <v>4318.3</v>
      </c>
      <c r="F298">
        <v>5142.8</v>
      </c>
      <c r="G298" s="146">
        <f t="shared" si="94"/>
        <v>6331.4</v>
      </c>
      <c r="H298" s="2">
        <f t="shared" si="92"/>
        <v>7647.9</v>
      </c>
      <c r="I298" s="30">
        <f t="shared" si="93"/>
        <v>-17.21387570444174</v>
      </c>
      <c r="J298">
        <v>801.1</v>
      </c>
    </row>
    <row r="299" spans="1:10" x14ac:dyDescent="0.25">
      <c r="A299" s="57">
        <f t="shared" si="87"/>
        <v>40920</v>
      </c>
      <c r="B299" s="63" t="s">
        <v>71</v>
      </c>
      <c r="C299">
        <v>1932.8</v>
      </c>
      <c r="D299">
        <v>2491.6999999999998</v>
      </c>
      <c r="E299">
        <v>4523.5</v>
      </c>
      <c r="F299">
        <v>5353.5</v>
      </c>
      <c r="G299" s="146">
        <f t="shared" si="94"/>
        <v>6456.3</v>
      </c>
      <c r="H299" s="2">
        <f t="shared" si="92"/>
        <v>7845.2</v>
      </c>
      <c r="I299" s="30">
        <f t="shared" si="93"/>
        <v>-17.703818895630441</v>
      </c>
      <c r="J299">
        <v>801.1</v>
      </c>
    </row>
    <row r="300" spans="1:10" x14ac:dyDescent="0.25">
      <c r="A300" s="57">
        <f t="shared" si="87"/>
        <v>40927</v>
      </c>
      <c r="B300" s="63" t="s">
        <v>71</v>
      </c>
      <c r="C300">
        <v>2030.7</v>
      </c>
      <c r="D300">
        <v>2461.5</v>
      </c>
      <c r="E300">
        <v>4737.5</v>
      </c>
      <c r="F300">
        <v>5590.7</v>
      </c>
      <c r="G300" s="146">
        <f t="shared" si="94"/>
        <v>6768.2</v>
      </c>
      <c r="H300" s="2">
        <f>+D300+F300</f>
        <v>8052.2</v>
      </c>
      <c r="I300" s="30">
        <f>(G300/H300-1)*100</f>
        <v>-15.945952658900675</v>
      </c>
    </row>
    <row r="301" spans="1:10" x14ac:dyDescent="0.25">
      <c r="A301" s="57">
        <f t="shared" si="87"/>
        <v>40934</v>
      </c>
      <c r="B301" s="63" t="s">
        <v>71</v>
      </c>
      <c r="C301">
        <v>2152.4</v>
      </c>
      <c r="D301">
        <v>2704.7</v>
      </c>
      <c r="E301">
        <v>4922.3</v>
      </c>
      <c r="F301">
        <v>5739.6</v>
      </c>
      <c r="G301" s="146">
        <f t="shared" si="94"/>
        <v>7074.7000000000007</v>
      </c>
      <c r="H301" s="2">
        <f>+D301+F301</f>
        <v>8444.2999999999993</v>
      </c>
      <c r="I301" s="30">
        <f>(G301/H301-1)*100</f>
        <v>-16.219224802529496</v>
      </c>
    </row>
    <row r="302" spans="1:10" x14ac:dyDescent="0.25">
      <c r="A302" s="57">
        <f t="shared" si="87"/>
        <v>40941</v>
      </c>
      <c r="B302" s="63" t="s">
        <v>71</v>
      </c>
      <c r="C302">
        <v>2067.1</v>
      </c>
      <c r="D302">
        <v>2896.5</v>
      </c>
      <c r="E302">
        <v>5359.4</v>
      </c>
      <c r="F302">
        <v>5920.5</v>
      </c>
      <c r="G302" s="146">
        <f t="shared" si="94"/>
        <v>7426.5</v>
      </c>
      <c r="H302" s="2">
        <f t="shared" si="92"/>
        <v>8817</v>
      </c>
      <c r="I302" s="30">
        <f t="shared" si="93"/>
        <v>-15.770670296019052</v>
      </c>
    </row>
    <row r="303" spans="1:10" x14ac:dyDescent="0.25">
      <c r="A303" s="57">
        <f t="shared" si="87"/>
        <v>40948</v>
      </c>
      <c r="B303" s="63" t="s">
        <v>71</v>
      </c>
      <c r="C303">
        <v>2048.9</v>
      </c>
      <c r="D303">
        <v>2908.2</v>
      </c>
      <c r="E303">
        <v>5487.3</v>
      </c>
      <c r="F303">
        <v>6114.1</v>
      </c>
      <c r="G303" s="146">
        <f>+C303+E303</f>
        <v>7536.2000000000007</v>
      </c>
      <c r="H303" s="2">
        <f>+D303+F303</f>
        <v>9022.2999999999993</v>
      </c>
      <c r="I303" s="30">
        <f>(G303/H303-1)*100</f>
        <v>-16.471409729226462</v>
      </c>
    </row>
    <row r="304" spans="1:10" x14ac:dyDescent="0.25">
      <c r="A304" s="57">
        <f t="shared" si="87"/>
        <v>40955</v>
      </c>
      <c r="B304" s="63" t="s">
        <v>71</v>
      </c>
      <c r="C304">
        <v>2075.8000000000002</v>
      </c>
      <c r="D304">
        <v>2945.2</v>
      </c>
      <c r="E304">
        <v>5775</v>
      </c>
      <c r="F304">
        <v>6545.5</v>
      </c>
      <c r="G304" s="146">
        <f>+C304+E304</f>
        <v>7850.8</v>
      </c>
      <c r="H304" s="2">
        <f t="shared" si="92"/>
        <v>9490.7000000000007</v>
      </c>
      <c r="I304" s="30">
        <f t="shared" si="93"/>
        <v>-17.279020514819777</v>
      </c>
    </row>
    <row r="305" spans="1:10" x14ac:dyDescent="0.25">
      <c r="A305" s="57">
        <f t="shared" si="87"/>
        <v>40962</v>
      </c>
      <c r="B305" s="63" t="s">
        <v>71</v>
      </c>
      <c r="C305">
        <v>1955.5</v>
      </c>
      <c r="D305">
        <v>3198.1</v>
      </c>
      <c r="E305">
        <v>6116.9</v>
      </c>
      <c r="F305">
        <v>6778.7</v>
      </c>
      <c r="G305" s="146">
        <f t="shared" ref="G305:G310" si="95">+C305+E305</f>
        <v>8072.4</v>
      </c>
      <c r="H305" s="2">
        <f>+D305+F305</f>
        <v>9976.7999999999993</v>
      </c>
      <c r="I305" s="30">
        <f>(G305/H305-1)*100</f>
        <v>-19.088284820784217</v>
      </c>
    </row>
    <row r="306" spans="1:10" x14ac:dyDescent="0.25">
      <c r="A306" s="57">
        <f t="shared" si="87"/>
        <v>40969</v>
      </c>
      <c r="B306" s="63" t="s">
        <v>71</v>
      </c>
      <c r="C306">
        <v>1984.2</v>
      </c>
      <c r="D306">
        <v>2949.3</v>
      </c>
      <c r="E306">
        <v>6323.6</v>
      </c>
      <c r="F306">
        <v>7118.6</v>
      </c>
      <c r="G306" s="146">
        <f t="shared" si="95"/>
        <v>8307.8000000000011</v>
      </c>
      <c r="H306" s="2">
        <f t="shared" si="92"/>
        <v>10067.900000000001</v>
      </c>
      <c r="I306" s="30">
        <f t="shared" si="93"/>
        <v>-17.482295215486843</v>
      </c>
    </row>
    <row r="307" spans="1:10" x14ac:dyDescent="0.25">
      <c r="A307" s="57">
        <f t="shared" si="87"/>
        <v>40976</v>
      </c>
      <c r="B307" s="63" t="s">
        <v>71</v>
      </c>
      <c r="C307">
        <v>1901</v>
      </c>
      <c r="D307">
        <v>3151.2</v>
      </c>
      <c r="E307">
        <v>6754.8</v>
      </c>
      <c r="F307">
        <v>7372.4</v>
      </c>
      <c r="G307" s="146">
        <f t="shared" si="95"/>
        <v>8655.7999999999993</v>
      </c>
      <c r="H307" s="2">
        <f t="shared" si="92"/>
        <v>10523.599999999999</v>
      </c>
      <c r="I307" s="30">
        <f t="shared" si="93"/>
        <v>-17.74867915922308</v>
      </c>
    </row>
    <row r="308" spans="1:10" x14ac:dyDescent="0.25">
      <c r="A308" s="57">
        <f t="shared" si="87"/>
        <v>40983</v>
      </c>
      <c r="B308" s="63" t="s">
        <v>71</v>
      </c>
      <c r="C308">
        <v>2222.8000000000002</v>
      </c>
      <c r="D308">
        <v>3081.3</v>
      </c>
      <c r="E308">
        <v>6908.9</v>
      </c>
      <c r="F308">
        <v>7664.1</v>
      </c>
      <c r="G308" s="146">
        <f t="shared" si="95"/>
        <v>9131.7000000000007</v>
      </c>
      <c r="H308" s="2">
        <f t="shared" si="92"/>
        <v>10745.400000000001</v>
      </c>
      <c r="I308" s="30">
        <f t="shared" si="93"/>
        <v>-15.017588921771186</v>
      </c>
      <c r="J308">
        <v>928.9</v>
      </c>
    </row>
    <row r="309" spans="1:10" x14ac:dyDescent="0.25">
      <c r="A309" s="57">
        <f t="shared" si="87"/>
        <v>40990</v>
      </c>
      <c r="B309" s="63" t="s">
        <v>71</v>
      </c>
      <c r="C309">
        <v>2240.6999999999998</v>
      </c>
      <c r="D309">
        <v>3151.5</v>
      </c>
      <c r="E309">
        <v>7017.2</v>
      </c>
      <c r="F309">
        <v>7898.6</v>
      </c>
      <c r="G309" s="146">
        <f t="shared" si="95"/>
        <v>9257.9</v>
      </c>
      <c r="H309" s="2">
        <f t="shared" si="92"/>
        <v>11050.1</v>
      </c>
      <c r="I309" s="30">
        <f t="shared" si="93"/>
        <v>-16.21885774789369</v>
      </c>
    </row>
    <row r="310" spans="1:10" x14ac:dyDescent="0.25">
      <c r="A310" s="57">
        <f t="shared" si="87"/>
        <v>40997</v>
      </c>
      <c r="B310" s="63" t="s">
        <v>71</v>
      </c>
      <c r="C310">
        <v>2160.5</v>
      </c>
      <c r="D310">
        <v>2887.8</v>
      </c>
      <c r="E310">
        <v>7263.9</v>
      </c>
      <c r="F310">
        <v>8272.7999999999993</v>
      </c>
      <c r="G310" s="146">
        <f t="shared" si="95"/>
        <v>9424.4</v>
      </c>
      <c r="H310" s="2">
        <f t="shared" si="92"/>
        <v>11160.599999999999</v>
      </c>
      <c r="I310" s="30">
        <f t="shared" si="93"/>
        <v>-15.556511298675691</v>
      </c>
      <c r="J310">
        <v>959.3</v>
      </c>
    </row>
    <row r="311" spans="1:10" x14ac:dyDescent="0.25">
      <c r="A311" s="57">
        <f t="shared" si="87"/>
        <v>41004</v>
      </c>
      <c r="B311" s="63" t="s">
        <v>71</v>
      </c>
      <c r="C311">
        <v>2019</v>
      </c>
      <c r="D311">
        <v>3050.1</v>
      </c>
      <c r="E311">
        <v>7483.7</v>
      </c>
      <c r="F311">
        <v>8579.4</v>
      </c>
      <c r="G311" s="146">
        <f>+C311+E311</f>
        <v>9502.7000000000007</v>
      </c>
      <c r="H311" s="2">
        <f>+D311+F311</f>
        <v>11629.5</v>
      </c>
      <c r="I311" s="30">
        <f t="shared" si="93"/>
        <v>-18.287974547486986</v>
      </c>
      <c r="J311">
        <v>960.8</v>
      </c>
    </row>
    <row r="312" spans="1:10" x14ac:dyDescent="0.25">
      <c r="A312" s="57">
        <f t="shared" si="87"/>
        <v>41011</v>
      </c>
      <c r="B312" s="63" t="s">
        <v>71</v>
      </c>
      <c r="C312">
        <v>1609.9</v>
      </c>
      <c r="D312">
        <v>3118.1</v>
      </c>
      <c r="E312">
        <v>8039.8</v>
      </c>
      <c r="F312">
        <v>9013.2000000000007</v>
      </c>
      <c r="G312" s="146">
        <f>+C312+E312</f>
        <v>9649.7000000000007</v>
      </c>
      <c r="H312" s="2">
        <f t="shared" si="92"/>
        <v>12131.300000000001</v>
      </c>
      <c r="I312" s="30">
        <f t="shared" si="93"/>
        <v>-20.456175348066573</v>
      </c>
      <c r="J312">
        <v>960.8</v>
      </c>
    </row>
    <row r="313" spans="1:10" x14ac:dyDescent="0.25">
      <c r="A313" s="57">
        <f t="shared" si="87"/>
        <v>41018</v>
      </c>
      <c r="B313" s="63" t="s">
        <v>71</v>
      </c>
      <c r="C313">
        <v>1774.1</v>
      </c>
      <c r="D313">
        <v>3113.3</v>
      </c>
      <c r="E313">
        <v>8232.2999999999993</v>
      </c>
      <c r="F313">
        <v>9262.7000000000007</v>
      </c>
      <c r="G313" s="146">
        <f t="shared" ref="G313:G344" si="96">+C313+E313</f>
        <v>10006.4</v>
      </c>
      <c r="H313" s="2">
        <f>+D313+F313</f>
        <v>12376</v>
      </c>
      <c r="I313" s="30">
        <f>(G313/H313-1)*100</f>
        <v>-19.146735617323852</v>
      </c>
      <c r="J313">
        <v>960.8</v>
      </c>
    </row>
    <row r="314" spans="1:10" x14ac:dyDescent="0.25">
      <c r="A314" s="57">
        <f t="shared" si="87"/>
        <v>41025</v>
      </c>
      <c r="B314" s="63" t="s">
        <v>71</v>
      </c>
      <c r="C314">
        <v>1943.8</v>
      </c>
      <c r="D314">
        <v>2990.2</v>
      </c>
      <c r="E314">
        <v>8420.1</v>
      </c>
      <c r="F314">
        <v>9525.5</v>
      </c>
      <c r="G314" s="146">
        <f t="shared" si="96"/>
        <v>10363.9</v>
      </c>
      <c r="H314" s="2">
        <f t="shared" si="92"/>
        <v>12515.7</v>
      </c>
      <c r="I314" s="30">
        <f t="shared" si="93"/>
        <v>-17.19280583587015</v>
      </c>
      <c r="J314">
        <v>960.9</v>
      </c>
    </row>
    <row r="315" spans="1:10" x14ac:dyDescent="0.25">
      <c r="A315" s="57">
        <f t="shared" si="87"/>
        <v>41032</v>
      </c>
      <c r="B315" s="63" t="s">
        <v>71</v>
      </c>
      <c r="C315">
        <v>1940.6</v>
      </c>
      <c r="D315">
        <v>2872.6</v>
      </c>
      <c r="E315">
        <v>8618.5</v>
      </c>
      <c r="F315">
        <v>9818.4</v>
      </c>
      <c r="G315" s="146">
        <f t="shared" si="96"/>
        <v>10559.1</v>
      </c>
      <c r="H315" s="2">
        <f t="shared" si="92"/>
        <v>12691</v>
      </c>
      <c r="I315" s="30">
        <f t="shared" si="93"/>
        <v>-16.798518635253323</v>
      </c>
      <c r="J315">
        <v>960.9</v>
      </c>
    </row>
    <row r="316" spans="1:10" x14ac:dyDescent="0.25">
      <c r="A316" s="57">
        <f t="shared" si="87"/>
        <v>41039</v>
      </c>
      <c r="B316" s="63" t="s">
        <v>71</v>
      </c>
      <c r="C316">
        <v>2009.5</v>
      </c>
      <c r="D316">
        <v>2838.8</v>
      </c>
      <c r="E316">
        <v>8809</v>
      </c>
      <c r="F316">
        <v>10106.299999999999</v>
      </c>
      <c r="G316" s="146">
        <f t="shared" si="96"/>
        <v>10818.5</v>
      </c>
      <c r="H316" s="2">
        <f t="shared" si="92"/>
        <v>12945.099999999999</v>
      </c>
      <c r="I316" s="30">
        <f t="shared" si="93"/>
        <v>-16.427837560157887</v>
      </c>
      <c r="J316">
        <v>960.9</v>
      </c>
    </row>
    <row r="317" spans="1:10" x14ac:dyDescent="0.25">
      <c r="A317" s="57">
        <f t="shared" si="87"/>
        <v>41046</v>
      </c>
      <c r="B317" s="63" t="s">
        <v>71</v>
      </c>
      <c r="C317">
        <v>1732.7</v>
      </c>
      <c r="D317">
        <v>2735.4</v>
      </c>
      <c r="E317">
        <v>9070.7999999999993</v>
      </c>
      <c r="F317">
        <v>10417.799999999999</v>
      </c>
      <c r="G317" s="146">
        <f t="shared" si="96"/>
        <v>10803.5</v>
      </c>
      <c r="H317" s="2">
        <f t="shared" si="92"/>
        <v>13153.199999999999</v>
      </c>
      <c r="I317" s="30">
        <f t="shared" si="93"/>
        <v>-17.864093908706625</v>
      </c>
      <c r="J317">
        <v>962.3</v>
      </c>
    </row>
    <row r="318" spans="1:10" x14ac:dyDescent="0.25">
      <c r="A318" s="57">
        <f t="shared" ref="A318:A381" si="97">+A317+7</f>
        <v>41053</v>
      </c>
      <c r="B318" s="63" t="s">
        <v>71</v>
      </c>
      <c r="C318">
        <v>1697.2</v>
      </c>
      <c r="D318">
        <v>2701.8</v>
      </c>
      <c r="E318">
        <v>9152.7999999999993</v>
      </c>
      <c r="F318">
        <v>10753.1</v>
      </c>
      <c r="G318" s="146">
        <f t="shared" si="96"/>
        <v>10850</v>
      </c>
      <c r="H318" s="2">
        <f t="shared" si="92"/>
        <v>13454.900000000001</v>
      </c>
      <c r="I318" s="30">
        <f t="shared" si="93"/>
        <v>-19.360233074939249</v>
      </c>
      <c r="J318">
        <v>962.3</v>
      </c>
    </row>
    <row r="319" spans="1:10" x14ac:dyDescent="0.25">
      <c r="A319" s="57">
        <f t="shared" si="97"/>
        <v>41060</v>
      </c>
      <c r="B319" s="63" t="s">
        <v>71</v>
      </c>
      <c r="C319">
        <v>1633.7</v>
      </c>
      <c r="D319">
        <v>2499.4</v>
      </c>
      <c r="E319">
        <v>9357.9</v>
      </c>
      <c r="F319">
        <v>11044.9</v>
      </c>
      <c r="G319" s="146">
        <f t="shared" si="96"/>
        <v>10991.6</v>
      </c>
      <c r="H319" s="2">
        <f t="shared" si="92"/>
        <v>13544.3</v>
      </c>
      <c r="I319" s="30">
        <f t="shared" si="93"/>
        <v>-18.847042667395129</v>
      </c>
      <c r="J319">
        <v>962.3</v>
      </c>
    </row>
    <row r="320" spans="1:10" x14ac:dyDescent="0.25">
      <c r="A320" s="57">
        <f t="shared" si="97"/>
        <v>41067</v>
      </c>
      <c r="B320" s="63" t="s">
        <v>71</v>
      </c>
      <c r="C320">
        <v>1501.9</v>
      </c>
      <c r="D320">
        <v>2301.1999999999998</v>
      </c>
      <c r="E320">
        <v>9469.4</v>
      </c>
      <c r="F320">
        <v>11344.5</v>
      </c>
      <c r="G320" s="146">
        <f t="shared" si="96"/>
        <v>10971.3</v>
      </c>
      <c r="H320" s="2">
        <f t="shared" si="92"/>
        <v>13645.7</v>
      </c>
      <c r="I320" s="30">
        <f t="shared" si="93"/>
        <v>-19.598847988743717</v>
      </c>
      <c r="J320">
        <v>992.3</v>
      </c>
    </row>
    <row r="321" spans="1:12" x14ac:dyDescent="0.25">
      <c r="A321" s="57">
        <f t="shared" si="97"/>
        <v>41074</v>
      </c>
      <c r="B321" s="63" t="s">
        <v>71</v>
      </c>
      <c r="C321">
        <v>1433.4</v>
      </c>
      <c r="D321">
        <v>2042.1</v>
      </c>
      <c r="E321">
        <v>9642.4</v>
      </c>
      <c r="F321">
        <v>11766.1</v>
      </c>
      <c r="G321" s="146">
        <f t="shared" si="96"/>
        <v>11075.8</v>
      </c>
      <c r="H321" s="2">
        <f t="shared" si="92"/>
        <v>13808.2</v>
      </c>
      <c r="I321" s="30">
        <f t="shared" si="93"/>
        <v>-19.788241769383419</v>
      </c>
      <c r="J321">
        <v>992.3</v>
      </c>
    </row>
    <row r="322" spans="1:12" x14ac:dyDescent="0.25">
      <c r="A322" s="57">
        <f t="shared" si="97"/>
        <v>41081</v>
      </c>
      <c r="B322" s="63" t="s">
        <v>71</v>
      </c>
      <c r="C322">
        <v>1367.8</v>
      </c>
      <c r="D322">
        <v>1947.3</v>
      </c>
      <c r="E322">
        <v>9844</v>
      </c>
      <c r="F322">
        <v>11915.2</v>
      </c>
      <c r="G322" s="146">
        <f t="shared" si="96"/>
        <v>11211.8</v>
      </c>
      <c r="H322" s="2">
        <f t="shared" si="92"/>
        <v>13862.5</v>
      </c>
      <c r="I322" s="30">
        <f t="shared" si="93"/>
        <v>-19.121370604147891</v>
      </c>
      <c r="J322">
        <v>1024.5</v>
      </c>
    </row>
    <row r="323" spans="1:12" x14ac:dyDescent="0.25">
      <c r="A323" s="57">
        <f t="shared" si="97"/>
        <v>41088</v>
      </c>
      <c r="B323" s="63" t="s">
        <v>71</v>
      </c>
      <c r="C323">
        <v>1349.8</v>
      </c>
      <c r="D323">
        <v>1806.6</v>
      </c>
      <c r="E323">
        <v>9998.5</v>
      </c>
      <c r="F323">
        <v>12267.4</v>
      </c>
      <c r="G323" s="146">
        <f t="shared" si="96"/>
        <v>11348.3</v>
      </c>
      <c r="H323" s="2">
        <f t="shared" si="92"/>
        <v>14074</v>
      </c>
      <c r="I323" s="30">
        <f t="shared" si="93"/>
        <v>-19.366917720619593</v>
      </c>
      <c r="J323">
        <v>1024.5</v>
      </c>
    </row>
    <row r="324" spans="1:12" x14ac:dyDescent="0.25">
      <c r="A324" s="57">
        <f t="shared" si="97"/>
        <v>41095</v>
      </c>
      <c r="B324" s="63" t="s">
        <v>71</v>
      </c>
      <c r="C324">
        <v>1341.2</v>
      </c>
      <c r="D324">
        <v>1651.9</v>
      </c>
      <c r="E324">
        <v>10287.200000000001</v>
      </c>
      <c r="F324">
        <v>12470.2</v>
      </c>
      <c r="G324" s="146">
        <f t="shared" si="96"/>
        <v>11628.400000000001</v>
      </c>
      <c r="H324" s="2">
        <f t="shared" si="92"/>
        <v>14122.1</v>
      </c>
      <c r="I324" s="30">
        <f t="shared" si="93"/>
        <v>-17.658138662096988</v>
      </c>
      <c r="J324">
        <v>1024.5</v>
      </c>
    </row>
    <row r="325" spans="1:12" x14ac:dyDescent="0.25">
      <c r="A325" s="57">
        <f t="shared" si="97"/>
        <v>41102</v>
      </c>
      <c r="B325" s="63" t="s">
        <v>71</v>
      </c>
      <c r="C325">
        <v>1123.2</v>
      </c>
      <c r="D325">
        <v>1512.7</v>
      </c>
      <c r="E325">
        <v>10646.1</v>
      </c>
      <c r="F325">
        <v>12669.9</v>
      </c>
      <c r="G325" s="146">
        <f t="shared" si="96"/>
        <v>11769.300000000001</v>
      </c>
      <c r="H325" s="2">
        <f t="shared" si="92"/>
        <v>14182.6</v>
      </c>
      <c r="I325" s="30">
        <f t="shared" si="93"/>
        <v>-17.015920917180203</v>
      </c>
      <c r="J325">
        <v>1173.3</v>
      </c>
    </row>
    <row r="326" spans="1:12" x14ac:dyDescent="0.25">
      <c r="A326" s="57">
        <f t="shared" si="97"/>
        <v>41109</v>
      </c>
      <c r="B326" s="63" t="s">
        <v>71</v>
      </c>
      <c r="C326">
        <v>939.1</v>
      </c>
      <c r="D326">
        <v>1339.4</v>
      </c>
      <c r="E326">
        <v>10906.8</v>
      </c>
      <c r="F326">
        <v>12997.2</v>
      </c>
      <c r="G326" s="146">
        <f t="shared" si="96"/>
        <v>11845.9</v>
      </c>
      <c r="H326" s="2">
        <f t="shared" si="92"/>
        <v>14336.6</v>
      </c>
      <c r="I326" s="30">
        <f t="shared" si="93"/>
        <v>-17.373017312333474</v>
      </c>
      <c r="J326">
        <v>1301.4000000000001</v>
      </c>
    </row>
    <row r="327" spans="1:12" x14ac:dyDescent="0.25">
      <c r="A327" s="57">
        <f t="shared" si="97"/>
        <v>41116</v>
      </c>
      <c r="B327" s="63" t="s">
        <v>71</v>
      </c>
      <c r="C327">
        <v>905.8</v>
      </c>
      <c r="D327">
        <v>1295.5999999999999</v>
      </c>
      <c r="E327">
        <v>11090.9</v>
      </c>
      <c r="F327">
        <v>13228.1</v>
      </c>
      <c r="G327" s="146">
        <f t="shared" si="96"/>
        <v>11996.699999999999</v>
      </c>
      <c r="H327" s="2">
        <f t="shared" si="92"/>
        <v>14523.7</v>
      </c>
      <c r="I327" s="30">
        <f t="shared" si="93"/>
        <v>-17.399147600129449</v>
      </c>
      <c r="J327">
        <v>1346.4</v>
      </c>
    </row>
    <row r="328" spans="1:12" x14ac:dyDescent="0.25">
      <c r="A328" s="57">
        <f t="shared" si="97"/>
        <v>41123</v>
      </c>
      <c r="B328" s="63" t="s">
        <v>71</v>
      </c>
      <c r="C328">
        <v>954.9</v>
      </c>
      <c r="D328">
        <v>1215.9000000000001</v>
      </c>
      <c r="E328">
        <v>11237.9</v>
      </c>
      <c r="F328">
        <v>13507.1</v>
      </c>
      <c r="G328" s="146">
        <f t="shared" si="96"/>
        <v>12192.8</v>
      </c>
      <c r="H328" s="2">
        <f t="shared" si="92"/>
        <v>14723</v>
      </c>
      <c r="I328" s="30">
        <f t="shared" si="93"/>
        <v>-17.185356245330439</v>
      </c>
      <c r="J328">
        <v>1342.9</v>
      </c>
    </row>
    <row r="329" spans="1:12" x14ac:dyDescent="0.25">
      <c r="A329" s="57">
        <f t="shared" si="97"/>
        <v>41130</v>
      </c>
      <c r="B329" s="63" t="s">
        <v>71</v>
      </c>
      <c r="C329">
        <v>914.4</v>
      </c>
      <c r="D329">
        <v>932.1</v>
      </c>
      <c r="E329">
        <v>11353</v>
      </c>
      <c r="F329">
        <v>13851</v>
      </c>
      <c r="G329" s="146">
        <f t="shared" si="96"/>
        <v>12267.4</v>
      </c>
      <c r="H329" s="2">
        <f t="shared" si="92"/>
        <v>14783.1</v>
      </c>
      <c r="I329" s="30">
        <f t="shared" si="93"/>
        <v>-17.017405009774677</v>
      </c>
      <c r="J329">
        <v>1391.3</v>
      </c>
    </row>
    <row r="330" spans="1:12" x14ac:dyDescent="0.25">
      <c r="A330" s="57">
        <f t="shared" si="97"/>
        <v>41137</v>
      </c>
      <c r="B330" s="63" t="s">
        <v>71</v>
      </c>
      <c r="C330">
        <v>773.6</v>
      </c>
      <c r="D330">
        <v>870.1</v>
      </c>
      <c r="E330">
        <v>11613.8</v>
      </c>
      <c r="F330">
        <v>13988</v>
      </c>
      <c r="G330" s="146">
        <f t="shared" si="96"/>
        <v>12387.4</v>
      </c>
      <c r="H330" s="2">
        <f t="shared" si="92"/>
        <v>14858.1</v>
      </c>
      <c r="I330" s="30">
        <f t="shared" si="93"/>
        <v>-16.628640270290283</v>
      </c>
      <c r="J330">
        <v>1441.9</v>
      </c>
    </row>
    <row r="331" spans="1:12" x14ac:dyDescent="0.25">
      <c r="A331" s="57">
        <f t="shared" si="97"/>
        <v>41144</v>
      </c>
      <c r="B331" s="63" t="s">
        <v>71</v>
      </c>
      <c r="C331">
        <v>695.9</v>
      </c>
      <c r="D331">
        <v>814.7</v>
      </c>
      <c r="E331">
        <v>11714.9</v>
      </c>
      <c r="F331">
        <v>14133.8</v>
      </c>
      <c r="G331" s="146">
        <f t="shared" si="96"/>
        <v>12410.8</v>
      </c>
      <c r="H331" s="2">
        <f t="shared" si="92"/>
        <v>14948.5</v>
      </c>
      <c r="I331" s="30">
        <f t="shared" si="93"/>
        <v>-16.976285246011315</v>
      </c>
      <c r="J331">
        <v>1554.9</v>
      </c>
    </row>
    <row r="332" spans="1:12" x14ac:dyDescent="0.25">
      <c r="A332" s="57">
        <f t="shared" si="97"/>
        <v>41151</v>
      </c>
      <c r="B332" s="63" t="s">
        <v>71</v>
      </c>
      <c r="C332">
        <v>618.70000000000005</v>
      </c>
      <c r="D332">
        <v>2373.1999999999998</v>
      </c>
      <c r="E332">
        <v>11748.6</v>
      </c>
      <c r="F332">
        <v>0.1</v>
      </c>
      <c r="G332" s="146">
        <f t="shared" si="96"/>
        <v>12367.300000000001</v>
      </c>
      <c r="H332" s="2">
        <f t="shared" si="92"/>
        <v>2373.2999999999997</v>
      </c>
      <c r="I332" s="30">
        <f t="shared" si="93"/>
        <v>421.10141996376365</v>
      </c>
      <c r="J332">
        <v>1503.5</v>
      </c>
    </row>
    <row r="333" spans="1:12" x14ac:dyDescent="0.25">
      <c r="A333" s="57">
        <f t="shared" si="97"/>
        <v>41158</v>
      </c>
      <c r="B333" s="63" t="s">
        <v>71</v>
      </c>
      <c r="C333">
        <v>2110.1</v>
      </c>
      <c r="D333">
        <v>2373.1999999999998</v>
      </c>
      <c r="E333">
        <v>39.6</v>
      </c>
      <c r="F333">
        <v>0.1</v>
      </c>
      <c r="G333" s="146">
        <f t="shared" si="96"/>
        <v>2149.6999999999998</v>
      </c>
      <c r="H333" s="2">
        <f t="shared" si="92"/>
        <v>2373.2999999999997</v>
      </c>
      <c r="I333" s="30">
        <f t="shared" si="93"/>
        <v>-9.4214806387730157</v>
      </c>
      <c r="J333">
        <v>180</v>
      </c>
    </row>
    <row r="334" spans="1:12" x14ac:dyDescent="0.25">
      <c r="A334" s="57">
        <f t="shared" si="97"/>
        <v>41165</v>
      </c>
      <c r="B334" s="63" t="s">
        <v>71</v>
      </c>
      <c r="C334">
        <v>2022.4</v>
      </c>
      <c r="D334">
        <v>2671.4</v>
      </c>
      <c r="E334">
        <v>306</v>
      </c>
      <c r="F334">
        <v>199.3</v>
      </c>
      <c r="G334" s="146">
        <f t="shared" si="96"/>
        <v>2328.4</v>
      </c>
      <c r="H334" s="2">
        <f t="shared" si="92"/>
        <v>2870.7000000000003</v>
      </c>
      <c r="I334" s="30">
        <f t="shared" si="93"/>
        <v>-18.890862855749468</v>
      </c>
      <c r="J334">
        <v>180</v>
      </c>
    </row>
    <row r="335" spans="1:12" x14ac:dyDescent="0.25">
      <c r="A335" s="57">
        <f t="shared" si="97"/>
        <v>41172</v>
      </c>
      <c r="B335" s="63" t="s">
        <v>71</v>
      </c>
      <c r="C335">
        <v>1863.3</v>
      </c>
      <c r="D335">
        <v>2919.9</v>
      </c>
      <c r="E335">
        <v>603.5</v>
      </c>
      <c r="F335">
        <v>337.5</v>
      </c>
      <c r="G335" s="146">
        <f t="shared" si="96"/>
        <v>2466.8000000000002</v>
      </c>
      <c r="H335" s="2">
        <f t="shared" si="92"/>
        <v>3257.4</v>
      </c>
      <c r="I335" s="30">
        <f t="shared" si="93"/>
        <v>-24.270890894578489</v>
      </c>
      <c r="J335">
        <v>180</v>
      </c>
      <c r="K335" s="157">
        <f>+G335-G334</f>
        <v>138.40000000000009</v>
      </c>
      <c r="L335" s="157">
        <f>+H335-H334</f>
        <v>386.69999999999982</v>
      </c>
    </row>
    <row r="336" spans="1:12" x14ac:dyDescent="0.25">
      <c r="A336" s="57">
        <f t="shared" si="97"/>
        <v>41179</v>
      </c>
      <c r="B336" s="63" t="s">
        <v>71</v>
      </c>
      <c r="C336">
        <v>1893.5</v>
      </c>
      <c r="D336">
        <v>3119</v>
      </c>
      <c r="E336">
        <v>675.8</v>
      </c>
      <c r="F336">
        <v>630.20000000000005</v>
      </c>
      <c r="G336" s="146">
        <f t="shared" si="96"/>
        <v>2569.3000000000002</v>
      </c>
      <c r="H336" s="2">
        <f t="shared" si="92"/>
        <v>3749.2</v>
      </c>
      <c r="I336" s="30">
        <f t="shared" si="93"/>
        <v>-31.470713752267145</v>
      </c>
      <c r="J336">
        <v>180</v>
      </c>
      <c r="K336" s="157">
        <f>+G336-G335</f>
        <v>102.5</v>
      </c>
      <c r="L336" s="157">
        <f>+H336-H335</f>
        <v>491.79999999999973</v>
      </c>
    </row>
    <row r="337" spans="1:10" x14ac:dyDescent="0.25">
      <c r="A337" s="57">
        <f t="shared" si="97"/>
        <v>41186</v>
      </c>
      <c r="B337" s="63" t="s">
        <v>71</v>
      </c>
      <c r="C337">
        <v>1711.2</v>
      </c>
      <c r="D337">
        <v>3345</v>
      </c>
      <c r="E337">
        <v>967.4</v>
      </c>
      <c r="F337">
        <v>892.3</v>
      </c>
      <c r="G337" s="146">
        <f t="shared" si="96"/>
        <v>2678.6</v>
      </c>
      <c r="H337" s="2">
        <f t="shared" si="92"/>
        <v>4237.3</v>
      </c>
      <c r="I337" s="30">
        <f t="shared" si="93"/>
        <v>-36.785217001392404</v>
      </c>
      <c r="J337">
        <v>180</v>
      </c>
    </row>
    <row r="338" spans="1:10" x14ac:dyDescent="0.25">
      <c r="A338" s="57">
        <f t="shared" si="97"/>
        <v>41193</v>
      </c>
      <c r="B338" s="63" t="s">
        <v>71</v>
      </c>
      <c r="C338">
        <v>1586.4</v>
      </c>
      <c r="D338">
        <v>3124.8</v>
      </c>
      <c r="E338">
        <v>1217.9000000000001</v>
      </c>
      <c r="F338">
        <v>1169.5</v>
      </c>
      <c r="G338" s="146">
        <f t="shared" si="96"/>
        <v>2804.3</v>
      </c>
      <c r="H338" s="2">
        <f t="shared" si="92"/>
        <v>4294.3</v>
      </c>
      <c r="I338" s="30">
        <f t="shared" si="93"/>
        <v>-34.697156696085507</v>
      </c>
      <c r="J338">
        <v>180</v>
      </c>
    </row>
    <row r="339" spans="1:10" x14ac:dyDescent="0.25">
      <c r="A339" s="57">
        <f t="shared" si="97"/>
        <v>41200</v>
      </c>
      <c r="B339" s="63" t="s">
        <v>71</v>
      </c>
      <c r="C339">
        <v>1609.1</v>
      </c>
      <c r="D339">
        <v>3215.9</v>
      </c>
      <c r="E339">
        <v>1326.5</v>
      </c>
      <c r="F339">
        <v>1304.3</v>
      </c>
      <c r="G339" s="146">
        <f t="shared" si="96"/>
        <v>2935.6</v>
      </c>
      <c r="H339" s="2">
        <f t="shared" si="92"/>
        <v>4520.2</v>
      </c>
      <c r="I339" s="30">
        <f t="shared" si="93"/>
        <v>-35.055970974735629</v>
      </c>
      <c r="J339">
        <v>180</v>
      </c>
    </row>
    <row r="340" spans="1:10" x14ac:dyDescent="0.25">
      <c r="A340" s="57">
        <f t="shared" si="97"/>
        <v>41207</v>
      </c>
      <c r="B340" s="63" t="s">
        <v>71</v>
      </c>
      <c r="C340">
        <v>1585.8</v>
      </c>
      <c r="D340">
        <v>3040.7</v>
      </c>
      <c r="E340">
        <v>1530.8</v>
      </c>
      <c r="F340">
        <v>1732.4</v>
      </c>
      <c r="G340" s="146">
        <f t="shared" si="96"/>
        <v>3116.6</v>
      </c>
      <c r="H340" s="2">
        <f t="shared" si="92"/>
        <v>4773.1000000000004</v>
      </c>
      <c r="I340" s="30">
        <f t="shared" si="93"/>
        <v>-34.704908759506402</v>
      </c>
      <c r="J340">
        <v>180</v>
      </c>
    </row>
    <row r="341" spans="1:10" x14ac:dyDescent="0.25">
      <c r="A341" s="57">
        <f t="shared" si="97"/>
        <v>41214</v>
      </c>
      <c r="B341" s="63" t="s">
        <v>71</v>
      </c>
      <c r="C341">
        <v>1543.7</v>
      </c>
      <c r="D341">
        <v>2980.8</v>
      </c>
      <c r="E341">
        <v>1603.7</v>
      </c>
      <c r="F341">
        <v>1925.6</v>
      </c>
      <c r="G341" s="146">
        <f t="shared" si="96"/>
        <v>3147.4</v>
      </c>
      <c r="H341" s="2">
        <f t="shared" ref="H341:H404" si="98">+D341+F341</f>
        <v>4906.3999999999996</v>
      </c>
      <c r="I341" s="30">
        <f t="shared" ref="I341:I404" si="99">(G341/H341-1)*100</f>
        <v>-35.851133213761614</v>
      </c>
      <c r="J341">
        <v>231.8</v>
      </c>
    </row>
    <row r="342" spans="1:10" x14ac:dyDescent="0.25">
      <c r="A342" s="57">
        <f t="shared" si="97"/>
        <v>41221</v>
      </c>
      <c r="B342" s="63" t="s">
        <v>71</v>
      </c>
      <c r="C342">
        <v>1564.7</v>
      </c>
      <c r="D342">
        <v>2929.2</v>
      </c>
      <c r="E342">
        <v>1679.5</v>
      </c>
      <c r="F342">
        <v>2126.6999999999998</v>
      </c>
      <c r="G342" s="146">
        <f t="shared" si="96"/>
        <v>3244.2</v>
      </c>
      <c r="H342" s="2">
        <f t="shared" si="98"/>
        <v>5055.8999999999996</v>
      </c>
      <c r="I342" s="30">
        <f t="shared" si="99"/>
        <v>-35.833382780513858</v>
      </c>
      <c r="J342">
        <v>440</v>
      </c>
    </row>
    <row r="343" spans="1:10" x14ac:dyDescent="0.25">
      <c r="A343" s="57">
        <f t="shared" si="97"/>
        <v>41228</v>
      </c>
      <c r="B343" s="63" t="s">
        <v>71</v>
      </c>
      <c r="C343">
        <v>1886.8</v>
      </c>
      <c r="D343">
        <v>2652.1</v>
      </c>
      <c r="E343">
        <v>1815.1</v>
      </c>
      <c r="F343">
        <v>2465.6</v>
      </c>
      <c r="G343" s="146">
        <f t="shared" si="96"/>
        <v>3701.8999999999996</v>
      </c>
      <c r="H343" s="2">
        <f t="shared" si="98"/>
        <v>5117.7</v>
      </c>
      <c r="I343" s="30">
        <f t="shared" si="99"/>
        <v>-27.664771283975231</v>
      </c>
      <c r="J343">
        <v>628.79999999999995</v>
      </c>
    </row>
    <row r="344" spans="1:10" x14ac:dyDescent="0.25">
      <c r="A344" s="57">
        <f t="shared" si="97"/>
        <v>41235</v>
      </c>
      <c r="B344" s="63" t="s">
        <v>71</v>
      </c>
      <c r="C344">
        <v>1852.7</v>
      </c>
      <c r="D344">
        <v>2486.1</v>
      </c>
      <c r="E344">
        <v>1967.5</v>
      </c>
      <c r="F344">
        <v>2702.7</v>
      </c>
      <c r="G344" s="146">
        <f t="shared" si="96"/>
        <v>3820.2</v>
      </c>
      <c r="H344" s="2">
        <f t="shared" si="98"/>
        <v>5188.7999999999993</v>
      </c>
      <c r="I344" s="30">
        <f t="shared" si="99"/>
        <v>-26.376040703052716</v>
      </c>
      <c r="J344">
        <v>656.2</v>
      </c>
    </row>
    <row r="345" spans="1:10" x14ac:dyDescent="0.25">
      <c r="A345" s="57">
        <f t="shared" si="97"/>
        <v>41242</v>
      </c>
      <c r="B345" s="63" t="s">
        <v>71</v>
      </c>
      <c r="C345">
        <v>1888.7</v>
      </c>
      <c r="D345">
        <v>2408.4</v>
      </c>
      <c r="E345">
        <v>2017.1</v>
      </c>
      <c r="F345">
        <v>3021.2</v>
      </c>
      <c r="G345" s="146">
        <f t="shared" ref="G345:G358" si="100">+C345+E345</f>
        <v>3905.8</v>
      </c>
      <c r="H345" s="2">
        <f>+D345+F345</f>
        <v>5429.6</v>
      </c>
      <c r="I345" s="30">
        <f t="shared" si="99"/>
        <v>-28.064682481214088</v>
      </c>
      <c r="J345">
        <v>652</v>
      </c>
    </row>
    <row r="346" spans="1:10" x14ac:dyDescent="0.25">
      <c r="A346" s="57">
        <f t="shared" si="97"/>
        <v>41249</v>
      </c>
      <c r="B346" s="63" t="s">
        <v>71</v>
      </c>
      <c r="C346">
        <v>1817.5</v>
      </c>
      <c r="D346">
        <v>2363</v>
      </c>
      <c r="E346">
        <v>2160.6</v>
      </c>
      <c r="F346">
        <v>3317.6</v>
      </c>
      <c r="G346" s="146">
        <f t="shared" si="100"/>
        <v>3978.1</v>
      </c>
      <c r="H346" s="2">
        <f t="shared" si="98"/>
        <v>5680.6</v>
      </c>
      <c r="I346" s="30">
        <f t="shared" si="99"/>
        <v>-29.970425659261359</v>
      </c>
      <c r="J346">
        <v>665.7</v>
      </c>
    </row>
    <row r="347" spans="1:10" x14ac:dyDescent="0.25">
      <c r="A347" s="57">
        <f t="shared" si="97"/>
        <v>41256</v>
      </c>
      <c r="B347" s="63" t="s">
        <v>71</v>
      </c>
      <c r="C347">
        <v>1775.1</v>
      </c>
      <c r="D347">
        <v>2225.4</v>
      </c>
      <c r="E347">
        <v>2273.6999999999998</v>
      </c>
      <c r="F347">
        <v>3706.4</v>
      </c>
      <c r="G347" s="146">
        <f t="shared" si="100"/>
        <v>4048.7999999999997</v>
      </c>
      <c r="H347" s="2">
        <f t="shared" si="98"/>
        <v>5931.8</v>
      </c>
      <c r="I347" s="30">
        <f t="shared" si="99"/>
        <v>-31.744158602784999</v>
      </c>
      <c r="J347">
        <v>671.4</v>
      </c>
    </row>
    <row r="348" spans="1:10" x14ac:dyDescent="0.25">
      <c r="A348" s="57">
        <f t="shared" si="97"/>
        <v>41263</v>
      </c>
      <c r="B348" s="63" t="s">
        <v>71</v>
      </c>
      <c r="C348">
        <v>1677.4</v>
      </c>
      <c r="D348">
        <v>2169.6999999999998</v>
      </c>
      <c r="E348">
        <v>2416.5</v>
      </c>
      <c r="F348">
        <v>3956.9</v>
      </c>
      <c r="G348" s="146">
        <f t="shared" si="100"/>
        <v>4093.9</v>
      </c>
      <c r="H348" s="2">
        <f t="shared" si="98"/>
        <v>6126.6</v>
      </c>
      <c r="I348" s="30">
        <f t="shared" si="99"/>
        <v>-33.178271798387357</v>
      </c>
      <c r="J348">
        <v>671.4</v>
      </c>
    </row>
    <row r="349" spans="1:10" x14ac:dyDescent="0.25">
      <c r="A349" s="57">
        <f t="shared" si="97"/>
        <v>41270</v>
      </c>
      <c r="B349" s="63" t="s">
        <v>71</v>
      </c>
      <c r="C349">
        <v>1640.9</v>
      </c>
      <c r="D349">
        <v>2110</v>
      </c>
      <c r="E349">
        <v>2544.5</v>
      </c>
      <c r="F349">
        <v>4113.6000000000004</v>
      </c>
      <c r="G349" s="146">
        <f t="shared" si="100"/>
        <v>4185.3999999999996</v>
      </c>
      <c r="H349" s="2">
        <f t="shared" si="98"/>
        <v>6223.6</v>
      </c>
      <c r="I349" s="30">
        <f t="shared" si="99"/>
        <v>-32.74953403175013</v>
      </c>
      <c r="J349">
        <v>671.4</v>
      </c>
    </row>
    <row r="350" spans="1:10" x14ac:dyDescent="0.25">
      <c r="A350" s="57">
        <f t="shared" si="97"/>
        <v>41277</v>
      </c>
      <c r="B350" s="63" t="s">
        <v>71</v>
      </c>
      <c r="C350">
        <v>1586.7</v>
      </c>
      <c r="D350">
        <v>2013.1</v>
      </c>
      <c r="E350">
        <v>2598.1</v>
      </c>
      <c r="F350">
        <v>4318.3</v>
      </c>
      <c r="G350" s="146">
        <f t="shared" si="100"/>
        <v>4184.8</v>
      </c>
      <c r="H350" s="2">
        <f t="shared" si="98"/>
        <v>6331.4</v>
      </c>
      <c r="I350" s="30">
        <f t="shared" si="99"/>
        <v>-33.904033862968689</v>
      </c>
      <c r="J350">
        <v>659.8</v>
      </c>
    </row>
    <row r="351" spans="1:10" x14ac:dyDescent="0.25">
      <c r="A351" s="57">
        <f t="shared" si="97"/>
        <v>41284</v>
      </c>
      <c r="B351" s="63" t="s">
        <v>71</v>
      </c>
      <c r="C351">
        <v>1569</v>
      </c>
      <c r="D351">
        <v>1932.8</v>
      </c>
      <c r="E351">
        <v>2684.1</v>
      </c>
      <c r="F351">
        <v>4523.5</v>
      </c>
      <c r="G351" s="146">
        <f t="shared" si="100"/>
        <v>4253.1000000000004</v>
      </c>
      <c r="H351" s="2">
        <f t="shared" si="98"/>
        <v>6456.3</v>
      </c>
      <c r="I351" s="30">
        <f t="shared" si="99"/>
        <v>-34.12480832675061</v>
      </c>
      <c r="J351">
        <v>659.8</v>
      </c>
    </row>
    <row r="352" spans="1:10" x14ac:dyDescent="0.25">
      <c r="A352" s="57">
        <f t="shared" si="97"/>
        <v>41291</v>
      </c>
      <c r="B352" s="63" t="s">
        <v>71</v>
      </c>
      <c r="C352">
        <v>1557.3</v>
      </c>
      <c r="D352">
        <v>2030.7</v>
      </c>
      <c r="E352">
        <v>2794.4</v>
      </c>
      <c r="F352">
        <v>4737.5</v>
      </c>
      <c r="G352" s="146">
        <f t="shared" si="100"/>
        <v>4351.7</v>
      </c>
      <c r="H352" s="2">
        <f t="shared" si="98"/>
        <v>6768.2</v>
      </c>
      <c r="I352" s="30">
        <f t="shared" si="99"/>
        <v>-35.70373215921515</v>
      </c>
      <c r="J352">
        <v>659.1</v>
      </c>
    </row>
    <row r="353" spans="1:10" x14ac:dyDescent="0.25">
      <c r="A353" s="57">
        <f t="shared" si="97"/>
        <v>41298</v>
      </c>
      <c r="B353" s="63" t="s">
        <v>71</v>
      </c>
      <c r="C353">
        <v>1478.6</v>
      </c>
      <c r="D353">
        <v>2152.4</v>
      </c>
      <c r="E353">
        <v>3003.8</v>
      </c>
      <c r="F353">
        <v>4922.3</v>
      </c>
      <c r="G353" s="146">
        <f t="shared" si="100"/>
        <v>4482.3999999999996</v>
      </c>
      <c r="H353" s="2">
        <f t="shared" si="98"/>
        <v>7074.7000000000007</v>
      </c>
      <c r="I353" s="30">
        <f t="shared" si="99"/>
        <v>-36.641836402957026</v>
      </c>
      <c r="J353">
        <v>725.7</v>
      </c>
    </row>
    <row r="354" spans="1:10" x14ac:dyDescent="0.25">
      <c r="A354" s="57">
        <f t="shared" si="97"/>
        <v>41305</v>
      </c>
      <c r="B354" s="63" t="s">
        <v>71</v>
      </c>
      <c r="C354">
        <v>1558.6</v>
      </c>
      <c r="D354">
        <v>2067.1</v>
      </c>
      <c r="E354">
        <v>3023.3</v>
      </c>
      <c r="F354">
        <v>5359.4</v>
      </c>
      <c r="G354" s="146">
        <f t="shared" si="100"/>
        <v>4581.8999999999996</v>
      </c>
      <c r="H354" s="2">
        <f t="shared" si="98"/>
        <v>7426.5</v>
      </c>
      <c r="I354" s="30">
        <f t="shared" si="99"/>
        <v>-38.303373055948299</v>
      </c>
      <c r="J354">
        <v>695.2</v>
      </c>
    </row>
    <row r="355" spans="1:10" x14ac:dyDescent="0.25">
      <c r="A355" s="57">
        <f t="shared" si="97"/>
        <v>41312</v>
      </c>
      <c r="B355" s="63" t="s">
        <v>71</v>
      </c>
      <c r="C355">
        <v>1601.7</v>
      </c>
      <c r="D355">
        <v>2048.9</v>
      </c>
      <c r="E355">
        <v>3157.2</v>
      </c>
      <c r="F355">
        <v>5487.3</v>
      </c>
      <c r="G355" s="146">
        <f t="shared" si="100"/>
        <v>4758.8999999999996</v>
      </c>
      <c r="H355" s="2">
        <f t="shared" si="98"/>
        <v>7536.2000000000007</v>
      </c>
      <c r="I355" s="30">
        <f t="shared" si="99"/>
        <v>-36.852790531036874</v>
      </c>
      <c r="J355">
        <v>693.5</v>
      </c>
    </row>
    <row r="356" spans="1:10" x14ac:dyDescent="0.25">
      <c r="A356" s="57">
        <f t="shared" si="97"/>
        <v>41319</v>
      </c>
      <c r="B356" s="63" t="s">
        <v>71</v>
      </c>
      <c r="C356">
        <v>1598.1</v>
      </c>
      <c r="D356">
        <v>2075.8000000000002</v>
      </c>
      <c r="E356" s="63">
        <v>3216</v>
      </c>
      <c r="F356">
        <v>5775</v>
      </c>
      <c r="G356" s="146">
        <f t="shared" si="100"/>
        <v>4814.1000000000004</v>
      </c>
      <c r="H356" s="2">
        <f t="shared" si="98"/>
        <v>7850.8</v>
      </c>
      <c r="I356" s="30">
        <f t="shared" si="99"/>
        <v>-38.680134508585105</v>
      </c>
      <c r="J356">
        <v>693.3</v>
      </c>
    </row>
    <row r="357" spans="1:10" x14ac:dyDescent="0.25">
      <c r="A357" s="57">
        <f t="shared" si="97"/>
        <v>41326</v>
      </c>
      <c r="B357" s="63" t="s">
        <v>71</v>
      </c>
      <c r="C357">
        <v>1481</v>
      </c>
      <c r="D357">
        <v>1955.5</v>
      </c>
      <c r="E357">
        <v>3389.9</v>
      </c>
      <c r="F357">
        <v>6116.9</v>
      </c>
      <c r="G357" s="146">
        <f t="shared" si="100"/>
        <v>4870.8999999999996</v>
      </c>
      <c r="H357" s="2">
        <f t="shared" si="98"/>
        <v>8072.4</v>
      </c>
      <c r="I357" s="30">
        <f t="shared" si="99"/>
        <v>-39.659828551607944</v>
      </c>
      <c r="J357">
        <v>693.3</v>
      </c>
    </row>
    <row r="358" spans="1:10" x14ac:dyDescent="0.25">
      <c r="A358" s="57">
        <f t="shared" si="97"/>
        <v>41333</v>
      </c>
      <c r="B358" s="63" t="s">
        <v>71</v>
      </c>
      <c r="C358">
        <v>1392</v>
      </c>
      <c r="D358">
        <v>1984.2</v>
      </c>
      <c r="E358">
        <v>3477.9</v>
      </c>
      <c r="F358">
        <v>6323.6</v>
      </c>
      <c r="G358" s="146">
        <f t="shared" si="100"/>
        <v>4869.8999999999996</v>
      </c>
      <c r="H358" s="2">
        <f t="shared" si="98"/>
        <v>8307.8000000000011</v>
      </c>
      <c r="I358" s="30">
        <f t="shared" si="99"/>
        <v>-41.381593201569622</v>
      </c>
      <c r="J358">
        <v>693.3</v>
      </c>
    </row>
    <row r="359" spans="1:10" x14ac:dyDescent="0.25">
      <c r="A359" s="57">
        <f t="shared" si="97"/>
        <v>41340</v>
      </c>
      <c r="B359" s="63" t="s">
        <v>71</v>
      </c>
      <c r="C359">
        <v>1363.3</v>
      </c>
      <c r="D359">
        <v>1901</v>
      </c>
      <c r="E359">
        <v>3621</v>
      </c>
      <c r="F359">
        <v>6754.8</v>
      </c>
      <c r="G359" s="146">
        <f t="shared" ref="G359:G389" si="101">+C359+E359</f>
        <v>4984.3</v>
      </c>
      <c r="H359" s="2">
        <f t="shared" si="98"/>
        <v>8655.7999999999993</v>
      </c>
      <c r="I359" s="30">
        <f>(G359/H359-1)*100</f>
        <v>-42.41664548626354</v>
      </c>
      <c r="J359">
        <v>693.3</v>
      </c>
    </row>
    <row r="360" spans="1:10" x14ac:dyDescent="0.25">
      <c r="A360" s="57">
        <f t="shared" si="97"/>
        <v>41347</v>
      </c>
      <c r="B360" s="63" t="s">
        <v>71</v>
      </c>
      <c r="C360">
        <v>1312.2</v>
      </c>
      <c r="D360">
        <v>2222.8000000000002</v>
      </c>
      <c r="E360">
        <v>3758.1</v>
      </c>
      <c r="F360">
        <v>6908.9</v>
      </c>
      <c r="G360" s="146">
        <f t="shared" si="101"/>
        <v>5070.3</v>
      </c>
      <c r="H360" s="2">
        <f t="shared" si="98"/>
        <v>9131.7000000000007</v>
      </c>
      <c r="I360" s="30">
        <f>(G360/H360-1)*100</f>
        <v>-44.47583691974112</v>
      </c>
      <c r="J360">
        <v>697.7</v>
      </c>
    </row>
    <row r="361" spans="1:10" x14ac:dyDescent="0.25">
      <c r="A361" s="57">
        <f t="shared" si="97"/>
        <v>41354</v>
      </c>
      <c r="B361" s="63" t="s">
        <v>71</v>
      </c>
      <c r="C361">
        <v>1310</v>
      </c>
      <c r="D361">
        <v>2240.6999999999998</v>
      </c>
      <c r="E361">
        <v>3894</v>
      </c>
      <c r="F361">
        <v>7017.2</v>
      </c>
      <c r="G361" s="146">
        <f t="shared" si="101"/>
        <v>5204</v>
      </c>
      <c r="H361" s="2">
        <f t="shared" si="98"/>
        <v>9257.9</v>
      </c>
      <c r="I361" s="30">
        <f t="shared" si="99"/>
        <v>-43.788548158869723</v>
      </c>
      <c r="J361">
        <v>697.6</v>
      </c>
    </row>
    <row r="362" spans="1:10" x14ac:dyDescent="0.25">
      <c r="A362" s="57">
        <f t="shared" si="97"/>
        <v>41361</v>
      </c>
      <c r="B362" s="63" t="s">
        <v>71</v>
      </c>
      <c r="C362">
        <v>1295.7</v>
      </c>
      <c r="D362">
        <v>2160.5</v>
      </c>
      <c r="E362">
        <v>4110.8</v>
      </c>
      <c r="F362">
        <v>7263.9</v>
      </c>
      <c r="G362" s="146">
        <f t="shared" si="101"/>
        <v>5406.5</v>
      </c>
      <c r="H362" s="2">
        <f t="shared" si="98"/>
        <v>9424.4</v>
      </c>
      <c r="I362" s="30">
        <f t="shared" si="99"/>
        <v>-42.632952760918464</v>
      </c>
      <c r="J362">
        <v>697.6</v>
      </c>
    </row>
    <row r="363" spans="1:10" x14ac:dyDescent="0.25">
      <c r="A363" s="57">
        <f t="shared" si="97"/>
        <v>41368</v>
      </c>
      <c r="B363" s="63" t="s">
        <v>71</v>
      </c>
      <c r="C363">
        <v>1221.5999999999999</v>
      </c>
      <c r="D363">
        <v>2019</v>
      </c>
      <c r="E363">
        <v>4222</v>
      </c>
      <c r="F363">
        <v>7483.7</v>
      </c>
      <c r="G363" s="146">
        <f t="shared" si="101"/>
        <v>5443.6</v>
      </c>
      <c r="H363" s="2">
        <f t="shared" si="98"/>
        <v>9502.7000000000007</v>
      </c>
      <c r="I363" s="30">
        <f t="shared" si="99"/>
        <v>-42.715228303534779</v>
      </c>
      <c r="J363">
        <v>697.6</v>
      </c>
    </row>
    <row r="364" spans="1:10" x14ac:dyDescent="0.25">
      <c r="A364" s="57">
        <f t="shared" si="97"/>
        <v>41375</v>
      </c>
      <c r="B364" s="63" t="s">
        <v>71</v>
      </c>
      <c r="C364">
        <v>1301.8</v>
      </c>
      <c r="D364">
        <v>1609.9</v>
      </c>
      <c r="E364">
        <v>4321.6000000000004</v>
      </c>
      <c r="F364">
        <v>8039.8</v>
      </c>
      <c r="G364" s="146">
        <f t="shared" si="101"/>
        <v>5623.4000000000005</v>
      </c>
      <c r="H364" s="2">
        <f t="shared" si="98"/>
        <v>9649.7000000000007</v>
      </c>
      <c r="I364" s="30">
        <f t="shared" si="99"/>
        <v>-41.724613200410374</v>
      </c>
      <c r="J364">
        <v>697.6</v>
      </c>
    </row>
    <row r="365" spans="1:10" x14ac:dyDescent="0.25">
      <c r="A365" s="57">
        <f t="shared" si="97"/>
        <v>41382</v>
      </c>
      <c r="B365" s="63" t="s">
        <v>71</v>
      </c>
      <c r="C365">
        <v>1299.5999999999999</v>
      </c>
      <c r="D365">
        <v>1774.1</v>
      </c>
      <c r="E365">
        <v>4432.2</v>
      </c>
      <c r="F365">
        <v>8232.2999999999993</v>
      </c>
      <c r="G365" s="146">
        <f t="shared" si="101"/>
        <v>5731.7999999999993</v>
      </c>
      <c r="H365" s="2">
        <f t="shared" si="98"/>
        <v>10006.4</v>
      </c>
      <c r="I365" s="30">
        <f t="shared" si="99"/>
        <v>-42.718660057563163</v>
      </c>
      <c r="J365">
        <v>703.2</v>
      </c>
    </row>
    <row r="366" spans="1:10" x14ac:dyDescent="0.25">
      <c r="A366" s="57">
        <f t="shared" si="97"/>
        <v>41389</v>
      </c>
      <c r="B366" s="63" t="s">
        <v>71</v>
      </c>
      <c r="C366">
        <v>1188.5</v>
      </c>
      <c r="D366">
        <v>1943.8</v>
      </c>
      <c r="E366">
        <v>4651.1000000000004</v>
      </c>
      <c r="F366">
        <v>8420.1</v>
      </c>
      <c r="G366" s="146">
        <f t="shared" si="101"/>
        <v>5839.6</v>
      </c>
      <c r="H366" s="2">
        <f t="shared" si="98"/>
        <v>10363.9</v>
      </c>
      <c r="I366" s="30">
        <f t="shared" si="99"/>
        <v>-43.65441580872065</v>
      </c>
      <c r="J366">
        <v>750</v>
      </c>
    </row>
    <row r="367" spans="1:10" x14ac:dyDescent="0.25">
      <c r="A367" s="57">
        <f t="shared" si="97"/>
        <v>41396</v>
      </c>
      <c r="B367" s="63" t="s">
        <v>71</v>
      </c>
      <c r="C367">
        <v>1224.3</v>
      </c>
      <c r="D367">
        <v>1940.6</v>
      </c>
      <c r="E367">
        <v>4705.2</v>
      </c>
      <c r="F367">
        <v>8618.5</v>
      </c>
      <c r="G367" s="146">
        <f t="shared" si="101"/>
        <v>5929.5</v>
      </c>
      <c r="H367" s="2">
        <f t="shared" si="98"/>
        <v>10559.1</v>
      </c>
      <c r="I367" s="30">
        <f t="shared" si="99"/>
        <v>-43.844645850498623</v>
      </c>
      <c r="J367">
        <v>774.7</v>
      </c>
    </row>
    <row r="368" spans="1:10" x14ac:dyDescent="0.25">
      <c r="A368" s="57">
        <f t="shared" si="97"/>
        <v>41403</v>
      </c>
      <c r="B368" s="63" t="s">
        <v>71</v>
      </c>
      <c r="C368">
        <v>1224.5</v>
      </c>
      <c r="D368">
        <v>2009.5</v>
      </c>
      <c r="E368">
        <v>4837.8999999999996</v>
      </c>
      <c r="F368">
        <v>8809</v>
      </c>
      <c r="G368" s="146">
        <f t="shared" si="101"/>
        <v>6062.4</v>
      </c>
      <c r="H368" s="2">
        <f t="shared" si="98"/>
        <v>10818.5</v>
      </c>
      <c r="I368" s="30">
        <f t="shared" si="99"/>
        <v>-43.962656560521332</v>
      </c>
      <c r="J368">
        <v>774.7</v>
      </c>
    </row>
    <row r="369" spans="1:25" x14ac:dyDescent="0.25">
      <c r="A369" s="57">
        <f t="shared" si="97"/>
        <v>41410</v>
      </c>
      <c r="B369" s="63" t="s">
        <v>71</v>
      </c>
      <c r="C369">
        <v>1188.8</v>
      </c>
      <c r="D369">
        <v>1732.7</v>
      </c>
      <c r="E369">
        <v>4873.5</v>
      </c>
      <c r="F369">
        <v>9070.7999999999993</v>
      </c>
      <c r="G369" s="146">
        <f t="shared" si="101"/>
        <v>6062.3</v>
      </c>
      <c r="H369" s="2">
        <f t="shared" si="98"/>
        <v>10803.5</v>
      </c>
      <c r="I369" s="30">
        <f t="shared" si="99"/>
        <v>-43.885777757208309</v>
      </c>
      <c r="J369">
        <v>838.9</v>
      </c>
    </row>
    <row r="370" spans="1:25" x14ac:dyDescent="0.25">
      <c r="A370" s="57">
        <f t="shared" si="97"/>
        <v>41417</v>
      </c>
      <c r="B370" s="63" t="s">
        <v>71</v>
      </c>
      <c r="C370">
        <v>1042.3</v>
      </c>
      <c r="D370">
        <v>1697.2</v>
      </c>
      <c r="E370">
        <v>5086.2</v>
      </c>
      <c r="F370">
        <v>9152.7999999999993</v>
      </c>
      <c r="G370" s="146">
        <f t="shared" si="101"/>
        <v>6128.5</v>
      </c>
      <c r="H370" s="2">
        <f t="shared" si="98"/>
        <v>10850</v>
      </c>
      <c r="I370" s="30">
        <f t="shared" si="99"/>
        <v>-43.516129032258064</v>
      </c>
      <c r="J370">
        <v>838.9</v>
      </c>
    </row>
    <row r="371" spans="1:25" x14ac:dyDescent="0.25">
      <c r="A371" s="57">
        <f t="shared" si="97"/>
        <v>41424</v>
      </c>
      <c r="B371" s="63" t="s">
        <v>71</v>
      </c>
      <c r="C371">
        <v>1005.4</v>
      </c>
      <c r="D371">
        <v>1633.7</v>
      </c>
      <c r="E371">
        <v>5288.9</v>
      </c>
      <c r="F371">
        <v>9357.9</v>
      </c>
      <c r="G371" s="146">
        <f t="shared" si="101"/>
        <v>6294.2999999999993</v>
      </c>
      <c r="H371" s="2">
        <f t="shared" si="98"/>
        <v>10991.6</v>
      </c>
      <c r="I371" s="30">
        <f t="shared" si="99"/>
        <v>-42.735361548819107</v>
      </c>
      <c r="J371">
        <v>838.9</v>
      </c>
    </row>
    <row r="372" spans="1:25" x14ac:dyDescent="0.25">
      <c r="A372" s="57">
        <f t="shared" si="97"/>
        <v>41431</v>
      </c>
      <c r="B372" s="63" t="s">
        <v>71</v>
      </c>
      <c r="C372">
        <v>981.3</v>
      </c>
      <c r="D372">
        <v>1501.9</v>
      </c>
      <c r="E372">
        <v>5369.7</v>
      </c>
      <c r="F372">
        <v>9469.4</v>
      </c>
      <c r="G372" s="146">
        <f t="shared" si="101"/>
        <v>6351</v>
      </c>
      <c r="H372" s="2">
        <f t="shared" si="98"/>
        <v>10971.3</v>
      </c>
      <c r="I372" s="30">
        <f t="shared" si="99"/>
        <v>-42.112602882065019</v>
      </c>
      <c r="J372">
        <v>857</v>
      </c>
    </row>
    <row r="373" spans="1:25" x14ac:dyDescent="0.25">
      <c r="A373" s="57">
        <f t="shared" si="97"/>
        <v>41438</v>
      </c>
      <c r="B373" s="63" t="s">
        <v>71</v>
      </c>
      <c r="C373">
        <v>1020.7</v>
      </c>
      <c r="D373">
        <v>1433.4</v>
      </c>
      <c r="E373">
        <v>5462.7</v>
      </c>
      <c r="F373">
        <v>9642.4</v>
      </c>
      <c r="G373" s="146">
        <f t="shared" si="101"/>
        <v>6483.4</v>
      </c>
      <c r="H373" s="2">
        <f t="shared" si="98"/>
        <v>11075.8</v>
      </c>
      <c r="I373" s="30">
        <f t="shared" si="99"/>
        <v>-41.463370591740556</v>
      </c>
      <c r="J373">
        <v>857</v>
      </c>
    </row>
    <row r="374" spans="1:25" x14ac:dyDescent="0.25">
      <c r="A374" s="57">
        <f t="shared" si="97"/>
        <v>41445</v>
      </c>
      <c r="B374" s="63" t="s">
        <v>71</v>
      </c>
      <c r="C374">
        <v>1067.2</v>
      </c>
      <c r="D374">
        <v>1367.8</v>
      </c>
      <c r="E374">
        <v>5488.2</v>
      </c>
      <c r="F374">
        <v>9844</v>
      </c>
      <c r="G374" s="146">
        <f t="shared" si="101"/>
        <v>6555.4</v>
      </c>
      <c r="H374" s="2">
        <f t="shared" si="98"/>
        <v>11211.8</v>
      </c>
      <c r="I374" s="30">
        <f t="shared" si="99"/>
        <v>-41.53124386806757</v>
      </c>
      <c r="J374">
        <v>864.1</v>
      </c>
    </row>
    <row r="375" spans="1:25" x14ac:dyDescent="0.25">
      <c r="A375" s="57">
        <f t="shared" si="97"/>
        <v>41452</v>
      </c>
      <c r="B375" s="63" t="s">
        <v>71</v>
      </c>
      <c r="C375">
        <v>973.2</v>
      </c>
      <c r="D375">
        <v>1349.8</v>
      </c>
      <c r="E375">
        <v>5728.9</v>
      </c>
      <c r="F375">
        <v>9998.5</v>
      </c>
      <c r="G375" s="146">
        <f t="shared" si="101"/>
        <v>6702.0999999999995</v>
      </c>
      <c r="H375" s="2">
        <f t="shared" si="98"/>
        <v>11348.3</v>
      </c>
      <c r="I375" s="30">
        <f t="shared" si="99"/>
        <v>-40.941815073623367</v>
      </c>
      <c r="J375">
        <v>856.3</v>
      </c>
    </row>
    <row r="376" spans="1:25" x14ac:dyDescent="0.25">
      <c r="A376" s="57">
        <f t="shared" si="97"/>
        <v>41459</v>
      </c>
      <c r="B376" s="63" t="s">
        <v>71</v>
      </c>
      <c r="C376">
        <v>1064.7</v>
      </c>
      <c r="D376">
        <v>1341.2</v>
      </c>
      <c r="E376">
        <v>5815.9</v>
      </c>
      <c r="F376">
        <v>10287.200000000001</v>
      </c>
      <c r="G376" s="146">
        <f t="shared" si="101"/>
        <v>6880.5999999999995</v>
      </c>
      <c r="H376" s="2">
        <f t="shared" si="98"/>
        <v>11628.400000000001</v>
      </c>
      <c r="I376" s="30">
        <f t="shared" si="99"/>
        <v>-40.82934883560938</v>
      </c>
      <c r="J376">
        <v>856.3</v>
      </c>
    </row>
    <row r="377" spans="1:25" x14ac:dyDescent="0.25">
      <c r="A377" s="57">
        <f t="shared" si="97"/>
        <v>41466</v>
      </c>
      <c r="B377" s="63" t="s">
        <v>71</v>
      </c>
      <c r="C377">
        <v>1068.7</v>
      </c>
      <c r="D377">
        <v>1123.2</v>
      </c>
      <c r="E377">
        <v>5989.9</v>
      </c>
      <c r="F377">
        <v>10646.1</v>
      </c>
      <c r="G377" s="146">
        <f t="shared" si="101"/>
        <v>7058.5999999999995</v>
      </c>
      <c r="H377" s="2">
        <f t="shared" si="98"/>
        <v>11769.300000000001</v>
      </c>
      <c r="I377" s="30">
        <f t="shared" si="99"/>
        <v>-40.025320112496075</v>
      </c>
      <c r="J377">
        <v>917.2</v>
      </c>
    </row>
    <row r="378" spans="1:25" x14ac:dyDescent="0.25">
      <c r="A378" s="57">
        <f t="shared" si="97"/>
        <v>41473</v>
      </c>
      <c r="B378" s="63" t="s">
        <v>71</v>
      </c>
      <c r="C378">
        <v>998.3</v>
      </c>
      <c r="D378">
        <v>939.1</v>
      </c>
      <c r="E378">
        <v>6089.6</v>
      </c>
      <c r="F378">
        <v>10906.8</v>
      </c>
      <c r="G378" s="146">
        <f t="shared" si="101"/>
        <v>7087.9000000000005</v>
      </c>
      <c r="H378" s="2">
        <f t="shared" si="98"/>
        <v>11845.9</v>
      </c>
      <c r="I378" s="30">
        <f t="shared" si="99"/>
        <v>-40.165795760558495</v>
      </c>
      <c r="J378">
        <v>949</v>
      </c>
    </row>
    <row r="379" spans="1:25" x14ac:dyDescent="0.25">
      <c r="A379" s="57">
        <f t="shared" si="97"/>
        <v>41480</v>
      </c>
      <c r="B379" s="63" t="s">
        <v>71</v>
      </c>
      <c r="C379">
        <v>969.3</v>
      </c>
      <c r="D379">
        <v>905.8</v>
      </c>
      <c r="E379">
        <v>6216.5</v>
      </c>
      <c r="F379">
        <v>11090.9</v>
      </c>
      <c r="G379" s="146">
        <f t="shared" si="101"/>
        <v>7185.8</v>
      </c>
      <c r="H379" s="2">
        <f t="shared" si="98"/>
        <v>11996.699999999999</v>
      </c>
      <c r="I379" s="30">
        <f t="shared" si="99"/>
        <v>-40.101861345203261</v>
      </c>
      <c r="J379">
        <v>1073.2</v>
      </c>
    </row>
    <row r="380" spans="1:25" x14ac:dyDescent="0.25">
      <c r="A380" s="57">
        <f t="shared" si="97"/>
        <v>41487</v>
      </c>
      <c r="B380" s="63" t="s">
        <v>71</v>
      </c>
      <c r="C380">
        <v>926.1</v>
      </c>
      <c r="D380">
        <v>954.9</v>
      </c>
      <c r="E380">
        <v>6428.7</v>
      </c>
      <c r="F380">
        <v>11237.9</v>
      </c>
      <c r="G380" s="146">
        <f t="shared" si="101"/>
        <v>7354.8</v>
      </c>
      <c r="H380" s="2">
        <f t="shared" si="98"/>
        <v>12192.8</v>
      </c>
      <c r="I380" s="30">
        <f t="shared" si="99"/>
        <v>-39.679154911095068</v>
      </c>
      <c r="J380">
        <v>1103.5999999999999</v>
      </c>
    </row>
    <row r="381" spans="1:25" x14ac:dyDescent="0.25">
      <c r="A381" s="57">
        <f t="shared" si="97"/>
        <v>41494</v>
      </c>
      <c r="B381" s="63" t="s">
        <v>71</v>
      </c>
      <c r="C381">
        <v>610.6</v>
      </c>
      <c r="D381">
        <v>914.4</v>
      </c>
      <c r="E381">
        <v>6641.2</v>
      </c>
      <c r="F381">
        <v>11353</v>
      </c>
      <c r="G381" s="146">
        <f t="shared" si="101"/>
        <v>7251.8</v>
      </c>
      <c r="H381" s="2">
        <f t="shared" si="98"/>
        <v>12267.4</v>
      </c>
      <c r="I381" s="30">
        <f t="shared" si="99"/>
        <v>-40.885599230480786</v>
      </c>
      <c r="J381">
        <v>1203.5999999999999</v>
      </c>
    </row>
    <row r="382" spans="1:25" x14ac:dyDescent="0.25">
      <c r="A382" s="57">
        <f t="shared" ref="A382:A445" si="102">+A381+7</f>
        <v>41501</v>
      </c>
      <c r="B382" s="63" t="s">
        <v>71</v>
      </c>
      <c r="C382">
        <v>600.5</v>
      </c>
      <c r="D382">
        <v>773.6</v>
      </c>
      <c r="E382">
        <v>6669.7</v>
      </c>
      <c r="F382">
        <v>11613.8</v>
      </c>
      <c r="G382" s="146">
        <f t="shared" si="101"/>
        <v>7270.2</v>
      </c>
      <c r="H382" s="2">
        <f t="shared" si="98"/>
        <v>12387.4</v>
      </c>
      <c r="I382" s="30">
        <f t="shared" si="99"/>
        <v>-41.309717939196275</v>
      </c>
      <c r="J382">
        <v>1305.2</v>
      </c>
      <c r="N382" s="59"/>
      <c r="O382" s="59"/>
      <c r="P382" s="59"/>
      <c r="Q382" s="59"/>
      <c r="R382" s="59"/>
      <c r="S382" s="59"/>
      <c r="T382" s="59"/>
      <c r="U382" s="59"/>
      <c r="V382" s="59"/>
      <c r="W382" s="59"/>
      <c r="X382" s="59"/>
      <c r="Y382" s="59"/>
    </row>
    <row r="383" spans="1:25" x14ac:dyDescent="0.25">
      <c r="A383" s="57">
        <f t="shared" si="102"/>
        <v>41508</v>
      </c>
      <c r="B383" s="63" t="s">
        <v>71</v>
      </c>
      <c r="C383">
        <v>449.4</v>
      </c>
      <c r="D383">
        <v>695.9</v>
      </c>
      <c r="E383">
        <v>6851.3</v>
      </c>
      <c r="F383">
        <v>11714.9</v>
      </c>
      <c r="G383" s="146">
        <f t="shared" si="101"/>
        <v>7300.7</v>
      </c>
      <c r="H383" s="2">
        <f t="shared" si="98"/>
        <v>12410.8</v>
      </c>
      <c r="I383" s="30">
        <f t="shared" si="99"/>
        <v>-41.174622103329362</v>
      </c>
      <c r="J383">
        <v>1443.4</v>
      </c>
      <c r="N383" s="59"/>
      <c r="O383" s="59"/>
      <c r="P383" s="59"/>
      <c r="Q383" s="59"/>
      <c r="R383" s="59"/>
      <c r="S383" s="59"/>
      <c r="T383" s="59"/>
      <c r="U383" s="59"/>
      <c r="V383" s="59"/>
      <c r="W383" s="59"/>
      <c r="X383" s="59"/>
      <c r="Y383" s="59"/>
    </row>
    <row r="384" spans="1:25" ht="15" x14ac:dyDescent="0.25">
      <c r="A384" s="57">
        <f t="shared" si="102"/>
        <v>41515</v>
      </c>
      <c r="B384" s="63" t="s">
        <v>71</v>
      </c>
      <c r="C384">
        <v>345.2</v>
      </c>
      <c r="D384">
        <v>618.70000000000005</v>
      </c>
      <c r="E384">
        <v>6953.7</v>
      </c>
      <c r="F384">
        <v>11748.6</v>
      </c>
      <c r="G384" s="146">
        <f t="shared" si="101"/>
        <v>7298.9</v>
      </c>
      <c r="H384" s="2">
        <f t="shared" si="98"/>
        <v>12367.300000000001</v>
      </c>
      <c r="I384" s="30">
        <f t="shared" si="99"/>
        <v>-40.982267754481583</v>
      </c>
      <c r="J384">
        <v>1498.8</v>
      </c>
      <c r="N384" s="59"/>
      <c r="O384" s="194"/>
      <c r="P384" s="59"/>
      <c r="Q384" s="59"/>
      <c r="R384" s="59"/>
      <c r="S384" s="59"/>
      <c r="T384" s="59"/>
      <c r="U384" s="59"/>
      <c r="V384" s="59"/>
      <c r="W384" s="59"/>
      <c r="X384" s="59"/>
      <c r="Y384" s="59"/>
    </row>
    <row r="385" spans="1:25" ht="15" x14ac:dyDescent="0.25">
      <c r="A385" s="57">
        <f t="shared" si="102"/>
        <v>41522</v>
      </c>
      <c r="B385" s="63" t="s">
        <v>71</v>
      </c>
      <c r="C385">
        <v>1789</v>
      </c>
      <c r="D385">
        <v>2110.1</v>
      </c>
      <c r="E385">
        <v>77.7</v>
      </c>
      <c r="F385">
        <v>39.6</v>
      </c>
      <c r="G385" s="146">
        <f t="shared" si="101"/>
        <v>1866.7</v>
      </c>
      <c r="H385" s="2">
        <f t="shared" si="98"/>
        <v>2149.6999999999998</v>
      </c>
      <c r="I385" s="30">
        <f t="shared" si="99"/>
        <v>-13.164627622458935</v>
      </c>
      <c r="N385" s="59"/>
      <c r="O385" s="194"/>
      <c r="P385" s="59"/>
      <c r="Q385" s="59"/>
      <c r="R385" s="59"/>
      <c r="S385" s="59"/>
      <c r="T385" s="59"/>
      <c r="U385" s="59"/>
      <c r="V385" s="59"/>
      <c r="W385" s="59"/>
      <c r="X385" s="59"/>
      <c r="Y385" s="59"/>
    </row>
    <row r="386" spans="1:25" ht="15" x14ac:dyDescent="0.25">
      <c r="A386" s="57">
        <f t="shared" si="102"/>
        <v>41529</v>
      </c>
      <c r="B386" s="63" t="s">
        <v>71</v>
      </c>
      <c r="C386">
        <v>1793.2</v>
      </c>
      <c r="D386">
        <v>2022.4</v>
      </c>
      <c r="E386">
        <v>182</v>
      </c>
      <c r="F386">
        <v>306</v>
      </c>
      <c r="G386" s="146">
        <f t="shared" si="101"/>
        <v>1975.2</v>
      </c>
      <c r="H386" s="2">
        <f t="shared" si="98"/>
        <v>2328.4</v>
      </c>
      <c r="I386" s="30">
        <f t="shared" si="99"/>
        <v>-15.169214911527229</v>
      </c>
      <c r="N386" s="59"/>
      <c r="O386" s="194"/>
      <c r="P386" s="59"/>
      <c r="Q386" s="59"/>
      <c r="R386" s="59"/>
      <c r="S386" s="59"/>
      <c r="T386" s="59"/>
      <c r="U386" s="59"/>
      <c r="V386" s="59"/>
      <c r="W386" s="59"/>
      <c r="X386" s="59"/>
      <c r="Y386" s="59"/>
    </row>
    <row r="387" spans="1:25" ht="15" x14ac:dyDescent="0.25">
      <c r="A387" s="57">
        <f t="shared" si="102"/>
        <v>41536</v>
      </c>
      <c r="B387" s="63" t="s">
        <v>71</v>
      </c>
      <c r="C387">
        <v>1747.2</v>
      </c>
      <c r="D387">
        <v>1863.3</v>
      </c>
      <c r="E387">
        <v>245.7</v>
      </c>
      <c r="F387">
        <v>603.5</v>
      </c>
      <c r="G387" s="146">
        <f t="shared" si="101"/>
        <v>1992.9</v>
      </c>
      <c r="H387" s="2">
        <f t="shared" si="98"/>
        <v>2466.8000000000002</v>
      </c>
      <c r="I387" s="30">
        <f t="shared" si="99"/>
        <v>-19.211123723042</v>
      </c>
      <c r="N387" s="59"/>
      <c r="O387" s="194"/>
      <c r="P387" s="59"/>
      <c r="Q387" s="59"/>
      <c r="R387" s="59"/>
      <c r="S387" s="59"/>
      <c r="T387" s="59"/>
      <c r="U387" s="59"/>
      <c r="V387" s="59"/>
      <c r="W387" s="59"/>
      <c r="X387" s="59"/>
      <c r="Y387" s="59"/>
    </row>
    <row r="388" spans="1:25" x14ac:dyDescent="0.25">
      <c r="A388" s="57">
        <f t="shared" si="102"/>
        <v>41543</v>
      </c>
      <c r="B388" s="63" t="s">
        <v>71</v>
      </c>
      <c r="C388">
        <v>1623.6</v>
      </c>
      <c r="D388">
        <v>1893.5</v>
      </c>
      <c r="E388">
        <v>408.9</v>
      </c>
      <c r="F388">
        <v>675.8</v>
      </c>
      <c r="G388" s="146">
        <f t="shared" si="101"/>
        <v>2032.5</v>
      </c>
      <c r="H388" s="2">
        <f t="shared" si="98"/>
        <v>2569.3000000000002</v>
      </c>
      <c r="I388" s="30">
        <f t="shared" si="99"/>
        <v>-20.892850192659484</v>
      </c>
      <c r="N388" s="59"/>
      <c r="O388" s="196"/>
      <c r="P388" s="59"/>
      <c r="Q388" s="59"/>
      <c r="R388" s="59"/>
      <c r="S388" s="59"/>
      <c r="T388" s="59"/>
      <c r="U388" s="59"/>
      <c r="V388" s="59"/>
      <c r="W388" s="59"/>
      <c r="X388" s="59"/>
      <c r="Y388" s="59"/>
    </row>
    <row r="389" spans="1:25" x14ac:dyDescent="0.25">
      <c r="A389" s="57">
        <f t="shared" si="102"/>
        <v>41550</v>
      </c>
      <c r="B389" s="63" t="s">
        <v>71</v>
      </c>
      <c r="C389">
        <v>1720.4</v>
      </c>
      <c r="D389">
        <v>1711.2</v>
      </c>
      <c r="E389">
        <v>491.4</v>
      </c>
      <c r="F389">
        <v>967.4</v>
      </c>
      <c r="G389" s="146">
        <f t="shared" si="101"/>
        <v>2211.8000000000002</v>
      </c>
      <c r="H389" s="2">
        <f t="shared" si="98"/>
        <v>2678.6</v>
      </c>
      <c r="I389" s="30">
        <f t="shared" si="99"/>
        <v>-17.427014111849459</v>
      </c>
      <c r="N389" s="59"/>
      <c r="O389" s="196"/>
      <c r="P389" s="59"/>
      <c r="Q389" s="59"/>
      <c r="R389" s="59"/>
      <c r="S389" s="59"/>
      <c r="T389" s="59"/>
      <c r="U389" s="59"/>
      <c r="V389" s="59"/>
      <c r="W389" s="59"/>
      <c r="X389" s="59"/>
      <c r="Y389" s="59"/>
    </row>
    <row r="390" spans="1:25" ht="15" x14ac:dyDescent="0.25">
      <c r="A390" s="57">
        <f t="shared" si="102"/>
        <v>41557</v>
      </c>
      <c r="B390" s="63" t="s">
        <v>71</v>
      </c>
      <c r="H390" s="2">
        <f t="shared" si="98"/>
        <v>0</v>
      </c>
      <c r="I390" s="30" t="e">
        <f t="shared" si="99"/>
        <v>#DIV/0!</v>
      </c>
      <c r="N390" s="59"/>
      <c r="O390" s="194"/>
      <c r="P390" s="59"/>
      <c r="Q390" s="59"/>
      <c r="R390" s="59"/>
      <c r="S390" s="59"/>
      <c r="T390" s="59"/>
      <c r="U390" s="59"/>
      <c r="V390" s="59"/>
      <c r="W390" s="59"/>
      <c r="X390" s="59"/>
      <c r="Y390" s="59"/>
    </row>
    <row r="391" spans="1:25" ht="15" x14ac:dyDescent="0.25">
      <c r="A391" s="57">
        <f t="shared" si="102"/>
        <v>41564</v>
      </c>
      <c r="B391" s="63" t="s">
        <v>71</v>
      </c>
      <c r="H391" s="2">
        <f t="shared" si="98"/>
        <v>0</v>
      </c>
      <c r="I391" s="30" t="e">
        <f t="shared" si="99"/>
        <v>#DIV/0!</v>
      </c>
      <c r="N391" s="59"/>
      <c r="O391" s="194"/>
      <c r="P391" s="59"/>
      <c r="Q391" s="59"/>
      <c r="R391" s="59"/>
      <c r="S391" s="59"/>
      <c r="T391" s="59"/>
      <c r="U391" s="59"/>
      <c r="V391" s="59"/>
      <c r="W391" s="59"/>
      <c r="X391" s="59"/>
      <c r="Y391" s="59"/>
    </row>
    <row r="392" spans="1:25" ht="15" x14ac:dyDescent="0.25">
      <c r="A392" s="57">
        <f t="shared" si="102"/>
        <v>41571</v>
      </c>
      <c r="B392" s="63" t="s">
        <v>71</v>
      </c>
      <c r="C392">
        <v>2327.5</v>
      </c>
      <c r="D392">
        <v>1585.8</v>
      </c>
      <c r="E392">
        <v>747</v>
      </c>
      <c r="F392">
        <v>1530.8</v>
      </c>
      <c r="G392" s="146">
        <f t="shared" ref="G392:G409" si="103">+C392+E392</f>
        <v>3074.5</v>
      </c>
      <c r="H392" s="2">
        <f t="shared" si="98"/>
        <v>3116.6</v>
      </c>
      <c r="I392" s="30">
        <f t="shared" si="99"/>
        <v>-1.3508310338189</v>
      </c>
      <c r="N392" s="59"/>
      <c r="O392" s="194"/>
      <c r="P392" s="59"/>
      <c r="Q392" s="59"/>
      <c r="R392" s="59"/>
      <c r="S392" s="59"/>
      <c r="T392" s="59"/>
      <c r="U392" s="59"/>
      <c r="V392" s="59"/>
      <c r="W392" s="59"/>
      <c r="X392" s="59"/>
      <c r="Y392" s="59"/>
    </row>
    <row r="393" spans="1:25" ht="15" x14ac:dyDescent="0.25">
      <c r="A393" s="57">
        <f t="shared" si="102"/>
        <v>41578</v>
      </c>
      <c r="B393" s="63" t="s">
        <v>71</v>
      </c>
      <c r="C393">
        <v>2577.1999999999998</v>
      </c>
      <c r="D393">
        <v>1543.7</v>
      </c>
      <c r="E393">
        <v>879.8</v>
      </c>
      <c r="F393">
        <v>1603.7</v>
      </c>
      <c r="G393" s="146">
        <f t="shared" si="103"/>
        <v>3457</v>
      </c>
      <c r="H393" s="2">
        <f t="shared" si="98"/>
        <v>3147.4</v>
      </c>
      <c r="I393" s="30">
        <f t="shared" si="99"/>
        <v>9.836690601766529</v>
      </c>
      <c r="L393" s="123"/>
      <c r="N393" s="59"/>
      <c r="O393" s="194"/>
      <c r="P393" s="59"/>
      <c r="Q393" s="59"/>
      <c r="R393" s="59"/>
      <c r="S393" s="59"/>
      <c r="T393" s="59"/>
      <c r="U393" s="59"/>
      <c r="V393" s="59"/>
      <c r="W393" s="59"/>
      <c r="X393" s="59"/>
      <c r="Y393" s="59"/>
    </row>
    <row r="394" spans="1:25" ht="15" x14ac:dyDescent="0.25">
      <c r="A394" s="57">
        <f t="shared" si="102"/>
        <v>41585</v>
      </c>
      <c r="B394" s="63" t="s">
        <v>71</v>
      </c>
      <c r="C394" s="143">
        <v>2752</v>
      </c>
      <c r="D394">
        <v>1564.7</v>
      </c>
      <c r="E394">
        <v>931.7</v>
      </c>
      <c r="F394">
        <v>1679.5</v>
      </c>
      <c r="G394" s="146">
        <f t="shared" si="103"/>
        <v>3683.7</v>
      </c>
      <c r="H394" s="2">
        <f t="shared" si="98"/>
        <v>3244.2</v>
      </c>
      <c r="I394" s="30">
        <f t="shared" si="99"/>
        <v>13.547253560199746</v>
      </c>
      <c r="L394" s="123"/>
      <c r="N394" s="59"/>
      <c r="O394" s="194"/>
      <c r="P394" s="59"/>
      <c r="Q394" s="59"/>
      <c r="R394" s="59"/>
      <c r="S394" s="59"/>
      <c r="T394" s="59"/>
      <c r="U394" s="59"/>
      <c r="V394" s="59"/>
      <c r="W394" s="59"/>
      <c r="X394" s="59"/>
      <c r="Y394" s="59"/>
    </row>
    <row r="395" spans="1:25" ht="15" x14ac:dyDescent="0.25">
      <c r="A395" s="57">
        <f t="shared" si="102"/>
        <v>41592</v>
      </c>
      <c r="B395" s="63" t="s">
        <v>71</v>
      </c>
      <c r="C395">
        <v>3068.6</v>
      </c>
      <c r="D395">
        <v>1886.8</v>
      </c>
      <c r="E395">
        <v>1018.2</v>
      </c>
      <c r="F395">
        <v>1815.1</v>
      </c>
      <c r="G395" s="146">
        <f t="shared" si="103"/>
        <v>4086.8</v>
      </c>
      <c r="H395" s="2">
        <f t="shared" si="98"/>
        <v>3701.8999999999996</v>
      </c>
      <c r="I395" s="30">
        <f t="shared" si="99"/>
        <v>10.397363516032332</v>
      </c>
      <c r="N395" s="59"/>
      <c r="O395" s="194"/>
      <c r="P395" s="59"/>
      <c r="Q395" s="59"/>
      <c r="R395" s="59"/>
      <c r="S395" s="59"/>
      <c r="T395" s="59"/>
      <c r="U395" s="59"/>
      <c r="V395" s="59"/>
      <c r="W395" s="59"/>
      <c r="X395" s="59"/>
      <c r="Y395" s="59"/>
    </row>
    <row r="396" spans="1:25" ht="15" x14ac:dyDescent="0.25">
      <c r="A396" s="57">
        <f t="shared" si="102"/>
        <v>41599</v>
      </c>
      <c r="B396" s="63" t="s">
        <v>71</v>
      </c>
      <c r="C396" s="143">
        <v>3044</v>
      </c>
      <c r="D396" s="143">
        <v>1852.7</v>
      </c>
      <c r="E396" s="143">
        <v>1128</v>
      </c>
      <c r="F396" s="143">
        <v>1967.5</v>
      </c>
      <c r="G396" s="143">
        <f t="shared" si="103"/>
        <v>4172</v>
      </c>
      <c r="H396" s="2">
        <f t="shared" si="98"/>
        <v>3820.2</v>
      </c>
      <c r="I396" s="30">
        <f t="shared" si="99"/>
        <v>9.2089419402125561</v>
      </c>
      <c r="N396" s="59"/>
      <c r="O396" s="194"/>
      <c r="P396" s="59"/>
      <c r="Q396" s="59"/>
      <c r="R396" s="59"/>
      <c r="S396" s="59"/>
      <c r="T396" s="59"/>
      <c r="U396" s="59"/>
      <c r="V396" s="59"/>
      <c r="W396" s="59"/>
      <c r="X396" s="59"/>
      <c r="Y396" s="59"/>
    </row>
    <row r="397" spans="1:25" ht="15" x14ac:dyDescent="0.25">
      <c r="A397" s="57">
        <f t="shared" si="102"/>
        <v>41606</v>
      </c>
      <c r="B397" s="63" t="s">
        <v>71</v>
      </c>
      <c r="C397">
        <v>2947.7</v>
      </c>
      <c r="D397">
        <v>1888.7</v>
      </c>
      <c r="E397">
        <v>1258.2</v>
      </c>
      <c r="F397">
        <v>2017.1</v>
      </c>
      <c r="G397" s="146">
        <f t="shared" si="103"/>
        <v>4205.8999999999996</v>
      </c>
      <c r="H397" s="2">
        <f t="shared" si="98"/>
        <v>3905.8</v>
      </c>
      <c r="I397" s="30">
        <f t="shared" si="99"/>
        <v>7.6834451328792852</v>
      </c>
      <c r="N397" s="59"/>
      <c r="O397" s="194"/>
      <c r="P397" s="59"/>
      <c r="Q397" s="59"/>
      <c r="R397" s="59"/>
      <c r="S397" s="59"/>
      <c r="T397" s="59"/>
      <c r="U397" s="59"/>
      <c r="V397" s="59"/>
      <c r="W397" s="59"/>
      <c r="X397" s="59"/>
      <c r="Y397" s="59"/>
    </row>
    <row r="398" spans="1:25" ht="15" x14ac:dyDescent="0.25">
      <c r="A398" s="57">
        <f t="shared" si="102"/>
        <v>41613</v>
      </c>
      <c r="B398" s="63" t="s">
        <v>71</v>
      </c>
      <c r="C398" s="143">
        <v>3055.2</v>
      </c>
      <c r="D398">
        <v>1817.5</v>
      </c>
      <c r="E398">
        <v>1351.8</v>
      </c>
      <c r="F398">
        <v>2160.6</v>
      </c>
      <c r="G398" s="146">
        <f t="shared" si="103"/>
        <v>4407</v>
      </c>
      <c r="H398" s="2">
        <f t="shared" si="98"/>
        <v>3978.1</v>
      </c>
      <c r="I398" s="30">
        <f t="shared" si="99"/>
        <v>10.781528870566358</v>
      </c>
      <c r="N398" s="59"/>
      <c r="O398" s="194"/>
      <c r="P398" s="59"/>
      <c r="Q398" s="59"/>
      <c r="R398" s="59"/>
      <c r="S398" s="59"/>
      <c r="T398" s="59"/>
      <c r="U398" s="59"/>
      <c r="V398" s="59"/>
      <c r="W398" s="59"/>
      <c r="X398" s="59"/>
      <c r="Y398" s="59"/>
    </row>
    <row r="399" spans="1:25" ht="15" x14ac:dyDescent="0.25">
      <c r="A399" s="57">
        <f t="shared" si="102"/>
        <v>41620</v>
      </c>
      <c r="B399" s="63" t="s">
        <v>71</v>
      </c>
      <c r="C399">
        <v>3033.6</v>
      </c>
      <c r="D399">
        <v>1775.1</v>
      </c>
      <c r="E399">
        <v>1406.5</v>
      </c>
      <c r="F399">
        <v>2273.3000000000002</v>
      </c>
      <c r="G399" s="146">
        <f t="shared" si="103"/>
        <v>4440.1000000000004</v>
      </c>
      <c r="H399" s="2">
        <f t="shared" si="98"/>
        <v>4048.4</v>
      </c>
      <c r="I399" s="30">
        <f t="shared" si="99"/>
        <v>9.6754273293153013</v>
      </c>
      <c r="N399" s="59"/>
      <c r="O399" s="194"/>
      <c r="P399" s="59"/>
      <c r="Q399" s="59"/>
      <c r="R399" s="59"/>
      <c r="S399" s="59"/>
      <c r="T399" s="59"/>
      <c r="U399" s="59"/>
      <c r="V399" s="59"/>
      <c r="W399" s="59"/>
      <c r="X399" s="59"/>
      <c r="Y399" s="59"/>
    </row>
    <row r="400" spans="1:25" ht="15" x14ac:dyDescent="0.25">
      <c r="A400" s="57">
        <f t="shared" si="102"/>
        <v>41627</v>
      </c>
      <c r="B400" s="63" t="s">
        <v>71</v>
      </c>
      <c r="C400" s="143">
        <v>3109.7</v>
      </c>
      <c r="D400">
        <v>1677.4</v>
      </c>
      <c r="E400">
        <v>1641.8</v>
      </c>
      <c r="F400">
        <v>2416.5</v>
      </c>
      <c r="G400" s="146">
        <f t="shared" si="103"/>
        <v>4751.5</v>
      </c>
      <c r="H400" s="2">
        <f t="shared" si="98"/>
        <v>4093.9</v>
      </c>
      <c r="I400" s="30">
        <f t="shared" si="99"/>
        <v>16.062922885268314</v>
      </c>
      <c r="N400" s="59"/>
      <c r="O400" s="194"/>
      <c r="P400" s="59"/>
      <c r="Q400" s="59"/>
      <c r="R400" s="59"/>
      <c r="S400" s="59"/>
      <c r="T400" s="59"/>
      <c r="U400" s="59"/>
      <c r="V400" s="59"/>
      <c r="W400" s="59"/>
      <c r="X400" s="59"/>
      <c r="Y400" s="59"/>
    </row>
    <row r="401" spans="1:25" ht="15" x14ac:dyDescent="0.25">
      <c r="A401" s="57">
        <f t="shared" si="102"/>
        <v>41634</v>
      </c>
      <c r="B401" s="63" t="s">
        <v>71</v>
      </c>
      <c r="C401">
        <v>3133.5</v>
      </c>
      <c r="D401">
        <v>1640.9</v>
      </c>
      <c r="E401">
        <v>1825.9</v>
      </c>
      <c r="F401">
        <v>2544.5</v>
      </c>
      <c r="G401" s="146">
        <f t="shared" si="103"/>
        <v>4959.3999999999996</v>
      </c>
      <c r="H401" s="2">
        <f t="shared" si="98"/>
        <v>4185.3999999999996</v>
      </c>
      <c r="I401" s="30">
        <f t="shared" si="99"/>
        <v>18.492856118889467</v>
      </c>
      <c r="N401" s="59"/>
      <c r="O401" s="194"/>
      <c r="P401" s="59"/>
      <c r="Q401" s="59"/>
      <c r="R401" s="59"/>
      <c r="S401" s="59"/>
      <c r="T401" s="59"/>
      <c r="U401" s="59"/>
      <c r="V401" s="59"/>
      <c r="W401" s="59"/>
      <c r="X401" s="59"/>
      <c r="Y401" s="59"/>
    </row>
    <row r="402" spans="1:25" ht="15" x14ac:dyDescent="0.25">
      <c r="A402" s="57">
        <f t="shared" si="102"/>
        <v>41641</v>
      </c>
      <c r="B402" s="63" t="s">
        <v>71</v>
      </c>
      <c r="C402" s="143">
        <v>3073.4</v>
      </c>
      <c r="D402">
        <v>1586.7</v>
      </c>
      <c r="E402">
        <v>1986.1</v>
      </c>
      <c r="F402">
        <v>2598.1</v>
      </c>
      <c r="G402" s="146">
        <f t="shared" si="103"/>
        <v>5059.5</v>
      </c>
      <c r="H402" s="2">
        <f t="shared" si="98"/>
        <v>4184.8</v>
      </c>
      <c r="I402" s="30">
        <f t="shared" si="99"/>
        <v>20.901835213152363</v>
      </c>
      <c r="N402" s="59"/>
      <c r="O402" s="194"/>
      <c r="P402" s="59"/>
      <c r="Q402" s="59"/>
      <c r="R402" s="59"/>
      <c r="S402" s="59"/>
      <c r="T402" s="59"/>
      <c r="U402" s="59"/>
      <c r="V402" s="59"/>
      <c r="W402" s="59"/>
      <c r="X402" s="59"/>
      <c r="Y402" s="59"/>
    </row>
    <row r="403" spans="1:25" ht="15" x14ac:dyDescent="0.25">
      <c r="A403" s="57">
        <f t="shared" si="102"/>
        <v>41648</v>
      </c>
      <c r="B403" s="63" t="s">
        <v>71</v>
      </c>
      <c r="C403" s="200">
        <v>3095.4</v>
      </c>
      <c r="D403" s="198">
        <f>C351</f>
        <v>1569</v>
      </c>
      <c r="E403" s="200">
        <v>2274.1999999999998</v>
      </c>
      <c r="F403" s="199">
        <f>E351</f>
        <v>2684.1</v>
      </c>
      <c r="G403" s="201">
        <f t="shared" si="103"/>
        <v>5369.6</v>
      </c>
      <c r="H403" s="2">
        <f t="shared" si="98"/>
        <v>4253.1000000000004</v>
      </c>
      <c r="I403" s="30">
        <f t="shared" si="99"/>
        <v>26.251440126025717</v>
      </c>
      <c r="N403" s="59"/>
      <c r="O403" s="194"/>
      <c r="P403" s="59"/>
      <c r="Q403" s="59"/>
      <c r="R403" s="59"/>
      <c r="S403" s="59"/>
      <c r="T403" s="59"/>
      <c r="U403" s="59"/>
      <c r="V403" s="59"/>
      <c r="W403" s="59"/>
      <c r="X403" s="59"/>
      <c r="Y403" s="59"/>
    </row>
    <row r="404" spans="1:25" ht="15" x14ac:dyDescent="0.25">
      <c r="A404" s="57">
        <f t="shared" si="102"/>
        <v>41655</v>
      </c>
      <c r="B404" s="63" t="s">
        <v>71</v>
      </c>
      <c r="C404">
        <v>3051.3</v>
      </c>
      <c r="D404" s="198">
        <f>C352</f>
        <v>1557.3</v>
      </c>
      <c r="E404" s="143">
        <v>2435</v>
      </c>
      <c r="F404" s="199">
        <f t="shared" ref="F404:F414" si="104">E352</f>
        <v>2794.4</v>
      </c>
      <c r="G404" s="146">
        <f t="shared" si="103"/>
        <v>5486.3</v>
      </c>
      <c r="H404" s="2">
        <f t="shared" si="98"/>
        <v>4351.7</v>
      </c>
      <c r="I404" s="30">
        <f t="shared" si="99"/>
        <v>26.072569340717422</v>
      </c>
      <c r="N404" s="59"/>
      <c r="O404" s="194"/>
      <c r="P404" s="59"/>
      <c r="Q404" s="59"/>
      <c r="R404" s="59"/>
      <c r="S404" s="59"/>
      <c r="T404" s="59"/>
      <c r="U404" s="59"/>
      <c r="V404" s="59"/>
      <c r="W404" s="59"/>
      <c r="X404" s="59"/>
      <c r="Y404" s="59"/>
    </row>
    <row r="405" spans="1:25" ht="15" x14ac:dyDescent="0.25">
      <c r="A405" s="57">
        <f t="shared" si="102"/>
        <v>41662</v>
      </c>
      <c r="B405" s="63" t="s">
        <v>71</v>
      </c>
      <c r="C405">
        <v>3467.4</v>
      </c>
      <c r="D405" s="198">
        <f t="shared" ref="D405:D414" si="105">C353</f>
        <v>1478.6</v>
      </c>
      <c r="E405">
        <v>2816.7</v>
      </c>
      <c r="F405" s="199">
        <f t="shared" si="104"/>
        <v>3003.8</v>
      </c>
      <c r="G405" s="146">
        <f t="shared" si="103"/>
        <v>6284.1</v>
      </c>
      <c r="H405" s="2">
        <f t="shared" ref="H405:H468" si="106">+D405+F405</f>
        <v>4482.3999999999996</v>
      </c>
      <c r="I405" s="30">
        <f t="shared" ref="I405:I468" si="107">(G405/H405-1)*100</f>
        <v>40.194984829555615</v>
      </c>
      <c r="N405" s="59"/>
      <c r="O405" s="194"/>
      <c r="P405" s="59"/>
      <c r="Q405" s="59"/>
      <c r="R405" s="59"/>
      <c r="S405" s="59"/>
      <c r="T405" s="59"/>
      <c r="U405" s="59"/>
      <c r="V405" s="59"/>
      <c r="W405" s="59"/>
      <c r="X405" s="59"/>
      <c r="Y405" s="59"/>
    </row>
    <row r="406" spans="1:25" ht="15" x14ac:dyDescent="0.25">
      <c r="A406" s="57">
        <f t="shared" si="102"/>
        <v>41669</v>
      </c>
      <c r="B406" s="63" t="s">
        <v>71</v>
      </c>
      <c r="C406">
        <v>4011.3</v>
      </c>
      <c r="D406" s="198">
        <f t="shared" si="105"/>
        <v>1558.6</v>
      </c>
      <c r="E406">
        <v>3071.7</v>
      </c>
      <c r="F406" s="199">
        <f t="shared" si="104"/>
        <v>3023.3</v>
      </c>
      <c r="G406" s="146">
        <f t="shared" si="103"/>
        <v>7083</v>
      </c>
      <c r="H406" s="2">
        <f t="shared" si="106"/>
        <v>4581.8999999999996</v>
      </c>
      <c r="I406" s="30">
        <f t="shared" si="107"/>
        <v>54.586525240620709</v>
      </c>
      <c r="N406" s="59"/>
      <c r="O406" s="194"/>
      <c r="P406" s="59"/>
      <c r="Q406" s="59"/>
      <c r="R406" s="59"/>
      <c r="S406" s="59"/>
      <c r="T406" s="59"/>
      <c r="U406" s="59"/>
      <c r="V406" s="59"/>
      <c r="W406" s="59"/>
      <c r="X406" s="59"/>
      <c r="Y406" s="59"/>
    </row>
    <row r="407" spans="1:25" ht="15" x14ac:dyDescent="0.25">
      <c r="A407" s="57">
        <f t="shared" si="102"/>
        <v>41676</v>
      </c>
      <c r="B407" s="63" t="s">
        <v>71</v>
      </c>
      <c r="C407">
        <v>3911.4</v>
      </c>
      <c r="D407" s="198">
        <f t="shared" si="105"/>
        <v>1601.7</v>
      </c>
      <c r="E407">
        <v>3280.8</v>
      </c>
      <c r="F407" s="199">
        <f t="shared" si="104"/>
        <v>3157.2</v>
      </c>
      <c r="G407" s="146">
        <f t="shared" si="103"/>
        <v>7192.2000000000007</v>
      </c>
      <c r="H407" s="2">
        <f t="shared" si="106"/>
        <v>4758.8999999999996</v>
      </c>
      <c r="I407" s="30">
        <f t="shared" si="107"/>
        <v>51.131564016894693</v>
      </c>
      <c r="N407" s="59"/>
      <c r="O407" s="194"/>
      <c r="P407" s="59"/>
      <c r="Q407" s="59"/>
      <c r="R407" s="59"/>
      <c r="S407" s="59"/>
      <c r="T407" s="59"/>
      <c r="U407" s="59"/>
      <c r="V407" s="59"/>
      <c r="W407" s="59"/>
      <c r="X407" s="59"/>
      <c r="Y407" s="59"/>
    </row>
    <row r="408" spans="1:25" ht="15" x14ac:dyDescent="0.25">
      <c r="A408" s="57">
        <f t="shared" si="102"/>
        <v>41683</v>
      </c>
      <c r="B408" s="63" t="s">
        <v>71</v>
      </c>
      <c r="C408">
        <v>4035.8</v>
      </c>
      <c r="D408" s="198">
        <f t="shared" si="105"/>
        <v>1598.1</v>
      </c>
      <c r="E408">
        <v>3611</v>
      </c>
      <c r="F408" s="199">
        <f t="shared" si="104"/>
        <v>3216</v>
      </c>
      <c r="G408" s="146">
        <f t="shared" si="103"/>
        <v>7646.8</v>
      </c>
      <c r="H408" s="2">
        <f t="shared" si="106"/>
        <v>4814.1000000000004</v>
      </c>
      <c r="I408" s="30">
        <f t="shared" si="107"/>
        <v>58.841735734612911</v>
      </c>
      <c r="N408" s="59"/>
      <c r="O408" s="194"/>
      <c r="P408" s="59"/>
      <c r="Q408" s="59"/>
      <c r="R408" s="59"/>
      <c r="S408" s="59"/>
      <c r="T408" s="59"/>
      <c r="U408" s="59"/>
      <c r="V408" s="59"/>
      <c r="W408" s="59"/>
      <c r="X408" s="59"/>
      <c r="Y408" s="59"/>
    </row>
    <row r="409" spans="1:25" ht="15" x14ac:dyDescent="0.25">
      <c r="A409" s="57">
        <f t="shared" si="102"/>
        <v>41690</v>
      </c>
      <c r="B409" s="63" t="s">
        <v>71</v>
      </c>
      <c r="C409">
        <v>3929.7</v>
      </c>
      <c r="D409" s="198">
        <f t="shared" si="105"/>
        <v>1481</v>
      </c>
      <c r="E409">
        <v>3896</v>
      </c>
      <c r="F409" s="199">
        <f t="shared" si="104"/>
        <v>3389.9</v>
      </c>
      <c r="G409" s="146">
        <f t="shared" si="103"/>
        <v>7825.7</v>
      </c>
      <c r="H409" s="2">
        <f t="shared" si="106"/>
        <v>4870.8999999999996</v>
      </c>
      <c r="I409" s="30">
        <f t="shared" si="107"/>
        <v>60.662300601531548</v>
      </c>
      <c r="N409" s="59"/>
      <c r="O409" s="194"/>
      <c r="P409" s="59"/>
      <c r="Q409" s="59"/>
      <c r="R409" s="59"/>
      <c r="S409" s="59"/>
      <c r="T409" s="59"/>
      <c r="U409" s="59"/>
      <c r="V409" s="59"/>
      <c r="W409" s="59"/>
      <c r="X409" s="59"/>
      <c r="Y409" s="59"/>
    </row>
    <row r="410" spans="1:25" ht="15" x14ac:dyDescent="0.25">
      <c r="A410" s="57">
        <f t="shared" si="102"/>
        <v>41697</v>
      </c>
      <c r="B410" s="63" t="s">
        <v>71</v>
      </c>
      <c r="D410" s="198">
        <f t="shared" si="105"/>
        <v>1392</v>
      </c>
      <c r="F410" s="199">
        <f t="shared" si="104"/>
        <v>3477.9</v>
      </c>
      <c r="H410" s="2">
        <f t="shared" si="106"/>
        <v>4869.8999999999996</v>
      </c>
      <c r="I410" s="30">
        <f t="shared" si="107"/>
        <v>-100</v>
      </c>
      <c r="N410" s="59"/>
      <c r="O410" s="194"/>
      <c r="P410" s="59"/>
      <c r="Q410" s="59"/>
      <c r="R410" s="59"/>
      <c r="S410" s="59"/>
      <c r="T410" s="59"/>
      <c r="U410" s="59"/>
      <c r="V410" s="59"/>
      <c r="W410" s="59"/>
      <c r="X410" s="59"/>
      <c r="Y410" s="59"/>
    </row>
    <row r="411" spans="1:25" ht="15" x14ac:dyDescent="0.25">
      <c r="A411" s="57">
        <f t="shared" si="102"/>
        <v>41704</v>
      </c>
      <c r="B411" s="63" t="s">
        <v>71</v>
      </c>
      <c r="D411" s="198">
        <f t="shared" si="105"/>
        <v>1363.3</v>
      </c>
      <c r="F411" s="199">
        <f t="shared" si="104"/>
        <v>3621</v>
      </c>
      <c r="H411" s="2">
        <f t="shared" si="106"/>
        <v>4984.3</v>
      </c>
      <c r="I411" s="30">
        <f t="shared" si="107"/>
        <v>-100</v>
      </c>
      <c r="N411" s="59"/>
      <c r="O411" s="194"/>
      <c r="P411" s="59"/>
      <c r="Q411" s="59"/>
      <c r="R411" s="59"/>
      <c r="S411" s="59"/>
      <c r="T411" s="59"/>
      <c r="U411" s="59"/>
      <c r="V411" s="59"/>
      <c r="W411" s="59"/>
      <c r="X411" s="59"/>
      <c r="Y411" s="59"/>
    </row>
    <row r="412" spans="1:25" ht="15" x14ac:dyDescent="0.25">
      <c r="A412" s="57">
        <f t="shared" si="102"/>
        <v>41711</v>
      </c>
      <c r="B412" s="63" t="s">
        <v>71</v>
      </c>
      <c r="D412" s="198">
        <f t="shared" si="105"/>
        <v>1312.2</v>
      </c>
      <c r="F412" s="199">
        <f t="shared" si="104"/>
        <v>3758.1</v>
      </c>
      <c r="H412" s="2">
        <f t="shared" si="106"/>
        <v>5070.3</v>
      </c>
      <c r="I412" s="30">
        <f t="shared" si="107"/>
        <v>-100</v>
      </c>
      <c r="N412" s="59"/>
      <c r="O412" s="194"/>
      <c r="P412" s="59"/>
      <c r="Q412" s="59"/>
      <c r="R412" s="59"/>
      <c r="S412" s="59"/>
      <c r="T412" s="59"/>
      <c r="U412" s="59"/>
      <c r="V412" s="59"/>
      <c r="W412" s="59"/>
      <c r="X412" s="59"/>
      <c r="Y412" s="59"/>
    </row>
    <row r="413" spans="1:25" ht="15" x14ac:dyDescent="0.25">
      <c r="A413" s="57">
        <f t="shared" si="102"/>
        <v>41718</v>
      </c>
      <c r="B413" s="63" t="s">
        <v>71</v>
      </c>
      <c r="D413" s="198">
        <f t="shared" si="105"/>
        <v>1310</v>
      </c>
      <c r="F413" s="199">
        <f t="shared" si="104"/>
        <v>3894</v>
      </c>
      <c r="H413" s="2">
        <f t="shared" si="106"/>
        <v>5204</v>
      </c>
      <c r="I413" s="30">
        <f t="shared" si="107"/>
        <v>-100</v>
      </c>
      <c r="K413" s="59"/>
      <c r="L413" s="194"/>
      <c r="M413" s="59"/>
      <c r="N413" s="59"/>
      <c r="O413" s="194"/>
      <c r="P413" s="59"/>
      <c r="Q413" s="59"/>
      <c r="R413" s="59"/>
      <c r="S413" s="59"/>
      <c r="T413" s="59"/>
      <c r="U413" s="59"/>
      <c r="V413" s="59"/>
      <c r="W413" s="59"/>
      <c r="X413" s="59"/>
      <c r="Y413" s="59"/>
    </row>
    <row r="414" spans="1:25" ht="15" x14ac:dyDescent="0.25">
      <c r="A414" s="57">
        <f t="shared" si="102"/>
        <v>41725</v>
      </c>
      <c r="B414" s="63" t="s">
        <v>71</v>
      </c>
      <c r="D414" s="198">
        <f t="shared" si="105"/>
        <v>1295.7</v>
      </c>
      <c r="F414" s="199">
        <f t="shared" si="104"/>
        <v>4110.8</v>
      </c>
      <c r="H414" s="2">
        <f t="shared" si="106"/>
        <v>5406.5</v>
      </c>
      <c r="I414" s="30">
        <f t="shared" si="107"/>
        <v>-100</v>
      </c>
      <c r="K414" s="194"/>
      <c r="L414" s="59"/>
      <c r="M414" s="194"/>
      <c r="N414" s="59"/>
      <c r="O414" s="59"/>
      <c r="P414" s="59"/>
      <c r="Q414" s="59"/>
      <c r="R414" s="59"/>
      <c r="S414" s="59"/>
      <c r="T414" s="59"/>
      <c r="U414" s="59"/>
      <c r="V414" s="59"/>
      <c r="W414" s="59"/>
      <c r="X414" s="59"/>
      <c r="Y414" s="59"/>
    </row>
    <row r="415" spans="1:25" ht="15" x14ac:dyDescent="0.25">
      <c r="A415" s="57">
        <f t="shared" si="102"/>
        <v>41732</v>
      </c>
      <c r="B415" s="63" t="s">
        <v>71</v>
      </c>
      <c r="H415" s="2">
        <f t="shared" si="106"/>
        <v>0</v>
      </c>
      <c r="I415" s="30" t="e">
        <f t="shared" si="107"/>
        <v>#DIV/0!</v>
      </c>
      <c r="K415" s="59"/>
      <c r="L415" s="194"/>
      <c r="M415" s="59"/>
      <c r="N415" s="59"/>
      <c r="O415" s="194"/>
      <c r="P415" s="59"/>
      <c r="Q415" s="59"/>
      <c r="R415" s="59"/>
      <c r="S415" s="59"/>
      <c r="T415" s="59"/>
      <c r="U415" s="59"/>
      <c r="V415" s="59"/>
      <c r="W415" s="59"/>
      <c r="X415" s="59"/>
      <c r="Y415" s="59"/>
    </row>
    <row r="416" spans="1:25" ht="15" x14ac:dyDescent="0.25">
      <c r="A416" s="57">
        <f t="shared" si="102"/>
        <v>41739</v>
      </c>
      <c r="B416" s="63" t="s">
        <v>71</v>
      </c>
      <c r="H416" s="2">
        <f t="shared" si="106"/>
        <v>0</v>
      </c>
      <c r="I416" s="30" t="e">
        <f t="shared" si="107"/>
        <v>#DIV/0!</v>
      </c>
      <c r="K416" s="59"/>
      <c r="L416" s="194"/>
      <c r="M416" s="59"/>
      <c r="N416" s="59"/>
      <c r="O416" s="194"/>
      <c r="P416" s="59"/>
      <c r="Q416" s="59"/>
      <c r="R416" s="59"/>
      <c r="S416" s="59"/>
      <c r="T416" s="59"/>
      <c r="U416" s="59"/>
      <c r="V416" s="59"/>
      <c r="W416" s="59"/>
      <c r="X416" s="59"/>
      <c r="Y416" s="59"/>
    </row>
    <row r="417" spans="1:25" ht="15" x14ac:dyDescent="0.25">
      <c r="A417" s="57">
        <f t="shared" si="102"/>
        <v>41746</v>
      </c>
      <c r="B417" s="63" t="s">
        <v>71</v>
      </c>
      <c r="H417" s="2">
        <f t="shared" si="106"/>
        <v>0</v>
      </c>
      <c r="I417" s="30" t="e">
        <f t="shared" si="107"/>
        <v>#DIV/0!</v>
      </c>
      <c r="K417" s="59"/>
      <c r="L417" s="194"/>
      <c r="M417" s="194"/>
      <c r="N417" s="59"/>
      <c r="O417" s="194"/>
      <c r="P417" s="59"/>
      <c r="Q417" s="59"/>
      <c r="R417" s="59"/>
      <c r="S417" s="59"/>
      <c r="T417" s="59"/>
      <c r="U417" s="59"/>
      <c r="V417" s="59"/>
      <c r="W417" s="59"/>
      <c r="X417" s="59"/>
      <c r="Y417" s="59"/>
    </row>
    <row r="418" spans="1:25" ht="15" x14ac:dyDescent="0.25">
      <c r="A418" s="57">
        <f t="shared" si="102"/>
        <v>41753</v>
      </c>
      <c r="B418" s="63" t="s">
        <v>71</v>
      </c>
      <c r="H418" s="2">
        <f t="shared" si="106"/>
        <v>0</v>
      </c>
      <c r="I418" s="30" t="e">
        <f t="shared" si="107"/>
        <v>#DIV/0!</v>
      </c>
      <c r="K418" s="59"/>
      <c r="L418" s="194"/>
      <c r="M418" s="194"/>
      <c r="N418" s="59"/>
      <c r="O418" s="194"/>
      <c r="P418" s="59"/>
      <c r="Q418" s="59"/>
      <c r="R418" s="59"/>
      <c r="S418" s="59"/>
      <c r="T418" s="59"/>
      <c r="U418" s="59"/>
      <c r="V418" s="59"/>
      <c r="W418" s="59"/>
      <c r="X418" s="59"/>
      <c r="Y418" s="59"/>
    </row>
    <row r="419" spans="1:25" ht="15" x14ac:dyDescent="0.25">
      <c r="A419" s="57">
        <f t="shared" si="102"/>
        <v>41760</v>
      </c>
      <c r="B419" s="63" t="s">
        <v>71</v>
      </c>
      <c r="H419" s="2">
        <f t="shared" si="106"/>
        <v>0</v>
      </c>
      <c r="I419" s="30" t="e">
        <f t="shared" si="107"/>
        <v>#DIV/0!</v>
      </c>
      <c r="K419" s="59"/>
      <c r="L419" s="194"/>
      <c r="M419" s="194"/>
      <c r="N419" s="59"/>
      <c r="O419" s="194"/>
      <c r="P419" s="59"/>
      <c r="Q419" s="59"/>
      <c r="R419" s="59"/>
      <c r="S419" s="59"/>
      <c r="T419" s="59"/>
      <c r="U419" s="59"/>
      <c r="V419" s="59"/>
      <c r="W419" s="59"/>
      <c r="X419" s="59"/>
      <c r="Y419" s="59"/>
    </row>
    <row r="420" spans="1:25" ht="15" x14ac:dyDescent="0.25">
      <c r="A420" s="57">
        <f t="shared" si="102"/>
        <v>41767</v>
      </c>
      <c r="B420" s="63" t="s">
        <v>71</v>
      </c>
      <c r="H420" s="2">
        <f t="shared" si="106"/>
        <v>0</v>
      </c>
      <c r="I420" s="30" t="e">
        <f t="shared" si="107"/>
        <v>#DIV/0!</v>
      </c>
      <c r="K420" s="59"/>
      <c r="L420" s="194"/>
      <c r="M420" s="194"/>
      <c r="N420" s="59"/>
      <c r="O420" s="194"/>
      <c r="P420" s="59"/>
      <c r="Q420" s="59"/>
      <c r="R420" s="59"/>
      <c r="S420" s="59"/>
      <c r="T420" s="59"/>
      <c r="U420" s="59"/>
      <c r="V420" s="59"/>
      <c r="W420" s="59"/>
      <c r="X420" s="59"/>
      <c r="Y420" s="59"/>
    </row>
    <row r="421" spans="1:25" ht="15" x14ac:dyDescent="0.25">
      <c r="A421" s="57">
        <f t="shared" si="102"/>
        <v>41774</v>
      </c>
      <c r="B421" s="63" t="s">
        <v>71</v>
      </c>
      <c r="H421" s="2">
        <f t="shared" si="106"/>
        <v>0</v>
      </c>
      <c r="I421" s="30" t="e">
        <f t="shared" si="107"/>
        <v>#DIV/0!</v>
      </c>
      <c r="K421" s="59"/>
      <c r="L421" s="194"/>
      <c r="M421" s="196"/>
      <c r="N421" s="59"/>
      <c r="O421" s="194"/>
      <c r="P421" s="59"/>
      <c r="Q421" s="59"/>
      <c r="R421" s="59"/>
      <c r="S421" s="59"/>
      <c r="T421" s="59"/>
      <c r="U421" s="59"/>
      <c r="V421" s="59"/>
      <c r="W421" s="59"/>
      <c r="X421" s="59"/>
      <c r="Y421" s="59"/>
    </row>
    <row r="422" spans="1:25" ht="15" x14ac:dyDescent="0.25">
      <c r="A422" s="57">
        <f t="shared" si="102"/>
        <v>41781</v>
      </c>
      <c r="B422" s="63" t="s">
        <v>71</v>
      </c>
      <c r="H422" s="2">
        <f t="shared" si="106"/>
        <v>0</v>
      </c>
      <c r="I422" s="30" t="e">
        <f t="shared" si="107"/>
        <v>#DIV/0!</v>
      </c>
      <c r="K422" s="59"/>
      <c r="L422" s="194"/>
      <c r="M422" s="196"/>
      <c r="N422" s="59"/>
      <c r="O422" s="194"/>
      <c r="P422" s="59"/>
      <c r="Q422" s="59"/>
      <c r="R422" s="59"/>
      <c r="S422" s="59"/>
      <c r="T422" s="59"/>
      <c r="U422" s="59"/>
      <c r="V422" s="59"/>
      <c r="W422" s="59"/>
      <c r="X422" s="59"/>
      <c r="Y422" s="59"/>
    </row>
    <row r="423" spans="1:25" ht="15" x14ac:dyDescent="0.25">
      <c r="A423" s="57">
        <f t="shared" si="102"/>
        <v>41788</v>
      </c>
      <c r="B423" s="63" t="s">
        <v>71</v>
      </c>
      <c r="H423" s="2">
        <f t="shared" si="106"/>
        <v>0</v>
      </c>
      <c r="I423" s="30" t="e">
        <f t="shared" si="107"/>
        <v>#DIV/0!</v>
      </c>
      <c r="K423" s="59"/>
      <c r="L423" s="194"/>
      <c r="M423" s="194"/>
      <c r="N423" s="59"/>
      <c r="O423" s="194"/>
      <c r="P423" s="59"/>
      <c r="Q423" s="59"/>
      <c r="R423" s="59"/>
      <c r="S423" s="59"/>
      <c r="T423" s="59"/>
      <c r="U423" s="59"/>
      <c r="V423" s="59"/>
      <c r="W423" s="59"/>
      <c r="X423" s="59"/>
      <c r="Y423" s="59"/>
    </row>
    <row r="424" spans="1:25" ht="15" x14ac:dyDescent="0.25">
      <c r="A424" s="57">
        <f t="shared" si="102"/>
        <v>41795</v>
      </c>
      <c r="B424" s="63" t="s">
        <v>71</v>
      </c>
      <c r="H424" s="2">
        <f t="shared" si="106"/>
        <v>0</v>
      </c>
      <c r="I424" s="30" t="e">
        <f t="shared" si="107"/>
        <v>#DIV/0!</v>
      </c>
      <c r="K424" s="59"/>
      <c r="L424" s="194"/>
      <c r="M424" s="194"/>
      <c r="N424" s="59"/>
      <c r="O424" s="194"/>
      <c r="P424" s="59"/>
      <c r="Q424" s="59"/>
      <c r="R424" s="59"/>
      <c r="S424" s="59"/>
      <c r="T424" s="59"/>
      <c r="U424" s="59"/>
      <c r="V424" s="59"/>
      <c r="W424" s="59"/>
      <c r="X424" s="59"/>
      <c r="Y424" s="59"/>
    </row>
    <row r="425" spans="1:25" ht="15" x14ac:dyDescent="0.25">
      <c r="A425" s="57">
        <f t="shared" si="102"/>
        <v>41802</v>
      </c>
      <c r="B425" s="63" t="s">
        <v>71</v>
      </c>
      <c r="H425" s="2">
        <f t="shared" si="106"/>
        <v>0</v>
      </c>
      <c r="I425" s="30" t="e">
        <f t="shared" si="107"/>
        <v>#DIV/0!</v>
      </c>
      <c r="K425" s="59"/>
      <c r="L425" s="194"/>
      <c r="M425" s="194"/>
      <c r="N425" s="59"/>
      <c r="O425" s="194"/>
      <c r="P425" s="59"/>
      <c r="Q425" s="59"/>
      <c r="R425" s="59"/>
      <c r="S425" s="59"/>
      <c r="T425" s="59"/>
      <c r="U425" s="59"/>
      <c r="V425" s="59"/>
      <c r="W425" s="59"/>
      <c r="X425" s="59"/>
      <c r="Y425" s="59"/>
    </row>
    <row r="426" spans="1:25" ht="15" x14ac:dyDescent="0.25">
      <c r="A426" s="57">
        <f t="shared" si="102"/>
        <v>41809</v>
      </c>
      <c r="B426" s="63" t="s">
        <v>71</v>
      </c>
      <c r="H426" s="2">
        <f t="shared" si="106"/>
        <v>0</v>
      </c>
      <c r="I426" s="30" t="e">
        <f t="shared" si="107"/>
        <v>#DIV/0!</v>
      </c>
      <c r="K426" s="59"/>
      <c r="L426" s="194"/>
      <c r="M426" s="194"/>
      <c r="N426" s="59"/>
      <c r="O426" s="194"/>
      <c r="P426" s="59"/>
      <c r="Q426" s="59"/>
      <c r="R426" s="59"/>
      <c r="S426" s="59"/>
      <c r="T426" s="59"/>
      <c r="U426" s="59"/>
      <c r="V426" s="59"/>
      <c r="W426" s="59"/>
      <c r="X426" s="59"/>
      <c r="Y426" s="59"/>
    </row>
    <row r="427" spans="1:25" ht="15" x14ac:dyDescent="0.25">
      <c r="A427" s="57">
        <f t="shared" si="102"/>
        <v>41816</v>
      </c>
      <c r="B427" s="63" t="s">
        <v>71</v>
      </c>
      <c r="H427" s="2">
        <f t="shared" si="106"/>
        <v>0</v>
      </c>
      <c r="I427" s="30" t="e">
        <f t="shared" si="107"/>
        <v>#DIV/0!</v>
      </c>
      <c r="K427" s="59"/>
      <c r="L427" s="194"/>
      <c r="M427" s="194"/>
      <c r="N427" s="59"/>
      <c r="O427" s="194"/>
      <c r="P427" s="59"/>
      <c r="Q427" s="59"/>
      <c r="R427" s="59"/>
      <c r="S427" s="59"/>
      <c r="T427" s="59"/>
      <c r="U427" s="59"/>
      <c r="V427" s="59"/>
      <c r="W427" s="59"/>
      <c r="X427" s="59"/>
      <c r="Y427" s="59"/>
    </row>
    <row r="428" spans="1:25" ht="15" x14ac:dyDescent="0.25">
      <c r="A428" s="57">
        <f t="shared" si="102"/>
        <v>41823</v>
      </c>
      <c r="B428" s="63" t="s">
        <v>71</v>
      </c>
      <c r="H428" s="2">
        <f t="shared" si="106"/>
        <v>0</v>
      </c>
      <c r="I428" s="30" t="e">
        <f t="shared" si="107"/>
        <v>#DIV/0!</v>
      </c>
      <c r="K428" s="59"/>
      <c r="L428" s="194"/>
      <c r="M428" s="194"/>
      <c r="N428" s="59"/>
      <c r="O428" s="194"/>
      <c r="P428" s="59"/>
      <c r="Q428" s="59"/>
      <c r="R428" s="59"/>
      <c r="S428" s="59"/>
      <c r="T428" s="59"/>
      <c r="U428" s="59"/>
      <c r="V428" s="59"/>
      <c r="W428" s="59"/>
      <c r="X428" s="59"/>
      <c r="Y428" s="59"/>
    </row>
    <row r="429" spans="1:25" ht="15" x14ac:dyDescent="0.25">
      <c r="A429" s="57">
        <f t="shared" si="102"/>
        <v>41830</v>
      </c>
      <c r="B429" s="63" t="s">
        <v>71</v>
      </c>
      <c r="H429" s="2">
        <f t="shared" si="106"/>
        <v>0</v>
      </c>
      <c r="I429" s="30" t="e">
        <f t="shared" si="107"/>
        <v>#DIV/0!</v>
      </c>
      <c r="K429" s="59"/>
      <c r="L429" s="194"/>
      <c r="M429" s="194"/>
      <c r="N429" s="59"/>
      <c r="O429" s="194"/>
      <c r="P429" s="59"/>
      <c r="Q429" s="59"/>
      <c r="R429" s="59"/>
      <c r="S429" s="59"/>
      <c r="T429" s="59"/>
      <c r="U429" s="59"/>
      <c r="V429" s="59"/>
      <c r="W429" s="59"/>
      <c r="X429" s="59"/>
      <c r="Y429" s="59"/>
    </row>
    <row r="430" spans="1:25" ht="15" x14ac:dyDescent="0.25">
      <c r="A430" s="57">
        <f t="shared" si="102"/>
        <v>41837</v>
      </c>
      <c r="B430" s="63" t="s">
        <v>71</v>
      </c>
      <c r="H430" s="2">
        <f t="shared" si="106"/>
        <v>0</v>
      </c>
      <c r="I430" s="30" t="e">
        <f t="shared" si="107"/>
        <v>#DIV/0!</v>
      </c>
      <c r="K430" s="59"/>
      <c r="L430" s="194"/>
      <c r="M430" s="194"/>
      <c r="N430" s="59"/>
      <c r="O430" s="194"/>
      <c r="P430" s="59"/>
      <c r="Q430" s="59"/>
      <c r="R430" s="59"/>
      <c r="S430" s="59"/>
      <c r="T430" s="59"/>
      <c r="U430" s="59"/>
      <c r="V430" s="59"/>
      <c r="W430" s="59"/>
      <c r="X430" s="59"/>
      <c r="Y430" s="59"/>
    </row>
    <row r="431" spans="1:25" ht="15" x14ac:dyDescent="0.25">
      <c r="A431" s="57">
        <f t="shared" si="102"/>
        <v>41844</v>
      </c>
      <c r="B431" s="63" t="s">
        <v>71</v>
      </c>
      <c r="H431" s="2">
        <f t="shared" si="106"/>
        <v>0</v>
      </c>
      <c r="I431" s="30" t="e">
        <f t="shared" si="107"/>
        <v>#DIV/0!</v>
      </c>
      <c r="K431" s="59"/>
      <c r="L431" s="194"/>
      <c r="M431" s="194"/>
      <c r="N431" s="59"/>
      <c r="O431" s="194"/>
      <c r="P431" s="59"/>
      <c r="Q431" s="59"/>
      <c r="R431" s="59"/>
      <c r="S431" s="59"/>
      <c r="T431" s="59"/>
      <c r="U431" s="59"/>
      <c r="V431" s="59"/>
      <c r="W431" s="59"/>
      <c r="X431" s="59"/>
      <c r="Y431" s="59"/>
    </row>
    <row r="432" spans="1:25" ht="15" x14ac:dyDescent="0.25">
      <c r="A432" s="57">
        <f t="shared" si="102"/>
        <v>41851</v>
      </c>
      <c r="B432" s="63" t="s">
        <v>71</v>
      </c>
      <c r="H432" s="2">
        <f t="shared" si="106"/>
        <v>0</v>
      </c>
      <c r="I432" s="30" t="e">
        <f t="shared" si="107"/>
        <v>#DIV/0!</v>
      </c>
      <c r="K432" s="59"/>
      <c r="L432" s="194"/>
      <c r="M432" s="194"/>
      <c r="N432" s="59"/>
      <c r="O432" s="194"/>
      <c r="P432" s="59"/>
      <c r="Q432" s="59"/>
      <c r="R432" s="59"/>
      <c r="S432" s="59"/>
      <c r="T432" s="59"/>
      <c r="U432" s="59"/>
      <c r="V432" s="59"/>
      <c r="W432" s="59"/>
      <c r="X432" s="59"/>
      <c r="Y432" s="59"/>
    </row>
    <row r="433" spans="1:25" ht="15" x14ac:dyDescent="0.25">
      <c r="A433" s="57">
        <f t="shared" si="102"/>
        <v>41858</v>
      </c>
      <c r="B433" s="63" t="s">
        <v>71</v>
      </c>
      <c r="H433" s="2">
        <f t="shared" si="106"/>
        <v>0</v>
      </c>
      <c r="I433" s="30" t="e">
        <f t="shared" si="107"/>
        <v>#DIV/0!</v>
      </c>
      <c r="K433" s="59"/>
      <c r="L433" s="194"/>
      <c r="M433" s="194"/>
      <c r="N433" s="59"/>
      <c r="O433" s="194"/>
      <c r="P433" s="59"/>
      <c r="Q433" s="59"/>
      <c r="R433" s="59"/>
      <c r="S433" s="59"/>
      <c r="T433" s="59"/>
      <c r="U433" s="59"/>
      <c r="V433" s="59"/>
      <c r="W433" s="59"/>
      <c r="X433" s="59"/>
      <c r="Y433" s="59"/>
    </row>
    <row r="434" spans="1:25" ht="15" x14ac:dyDescent="0.35">
      <c r="A434" s="57">
        <f t="shared" si="102"/>
        <v>41865</v>
      </c>
      <c r="B434" s="63" t="s">
        <v>71</v>
      </c>
      <c r="H434" s="2">
        <f t="shared" si="106"/>
        <v>0</v>
      </c>
      <c r="I434" s="30" t="e">
        <f t="shared" si="107"/>
        <v>#DIV/0!</v>
      </c>
      <c r="K434" s="59"/>
      <c r="L434" s="210"/>
      <c r="M434" s="194"/>
      <c r="N434" s="59"/>
      <c r="O434" s="194"/>
      <c r="P434" s="59"/>
      <c r="Q434" s="59"/>
      <c r="R434" s="59"/>
      <c r="S434" s="59"/>
      <c r="T434" s="59"/>
      <c r="U434" s="59"/>
      <c r="V434" s="59"/>
      <c r="W434" s="59"/>
      <c r="X434" s="59"/>
      <c r="Y434" s="59"/>
    </row>
    <row r="435" spans="1:25" ht="15" x14ac:dyDescent="0.25">
      <c r="A435" s="57">
        <f t="shared" si="102"/>
        <v>41872</v>
      </c>
      <c r="B435" s="63" t="s">
        <v>71</v>
      </c>
      <c r="H435" s="2">
        <f t="shared" si="106"/>
        <v>0</v>
      </c>
      <c r="I435" s="30" t="e">
        <f t="shared" si="107"/>
        <v>#DIV/0!</v>
      </c>
      <c r="K435" s="59"/>
      <c r="L435" s="59"/>
      <c r="M435" s="194"/>
      <c r="N435" s="59"/>
      <c r="O435" s="194"/>
      <c r="P435" s="59"/>
      <c r="Q435" s="59"/>
      <c r="R435" s="59"/>
      <c r="S435" s="59"/>
      <c r="T435" s="59"/>
      <c r="U435" s="59"/>
      <c r="V435" s="59"/>
      <c r="W435" s="59"/>
      <c r="X435" s="59"/>
      <c r="Y435" s="59"/>
    </row>
    <row r="436" spans="1:25" ht="15" x14ac:dyDescent="0.25">
      <c r="A436" s="57">
        <f t="shared" si="102"/>
        <v>41879</v>
      </c>
      <c r="B436" s="63" t="s">
        <v>71</v>
      </c>
      <c r="H436" s="2">
        <f t="shared" si="106"/>
        <v>0</v>
      </c>
      <c r="I436" s="30" t="e">
        <f t="shared" si="107"/>
        <v>#DIV/0!</v>
      </c>
      <c r="K436" s="59"/>
      <c r="L436" s="59"/>
      <c r="M436" s="194"/>
      <c r="N436" s="59"/>
      <c r="O436" s="194"/>
      <c r="P436" s="59"/>
      <c r="Q436" s="59"/>
      <c r="R436" s="59"/>
      <c r="S436" s="59"/>
      <c r="T436" s="59"/>
      <c r="U436" s="59"/>
      <c r="V436" s="59"/>
      <c r="W436" s="59"/>
      <c r="X436" s="59"/>
      <c r="Y436" s="59"/>
    </row>
    <row r="437" spans="1:25" ht="15" x14ac:dyDescent="0.25">
      <c r="A437" s="57">
        <f t="shared" si="102"/>
        <v>41886</v>
      </c>
      <c r="B437" s="63" t="s">
        <v>71</v>
      </c>
      <c r="H437" s="2">
        <f t="shared" si="106"/>
        <v>0</v>
      </c>
      <c r="I437" s="30" t="e">
        <f t="shared" si="107"/>
        <v>#DIV/0!</v>
      </c>
      <c r="K437" s="59"/>
      <c r="L437" s="59"/>
      <c r="M437" s="194"/>
      <c r="N437" s="59"/>
      <c r="O437" s="194"/>
      <c r="P437" s="59"/>
      <c r="Q437" s="59"/>
      <c r="R437" s="59"/>
      <c r="S437" s="59"/>
      <c r="T437" s="59"/>
      <c r="U437" s="59"/>
      <c r="V437" s="59"/>
      <c r="W437" s="59"/>
      <c r="X437" s="59"/>
      <c r="Y437" s="59"/>
    </row>
    <row r="438" spans="1:25" ht="15" x14ac:dyDescent="0.25">
      <c r="A438" s="57">
        <f t="shared" si="102"/>
        <v>41893</v>
      </c>
      <c r="B438" s="63" t="s">
        <v>71</v>
      </c>
      <c r="H438" s="2">
        <f t="shared" si="106"/>
        <v>0</v>
      </c>
      <c r="I438" s="30" t="e">
        <f t="shared" si="107"/>
        <v>#DIV/0!</v>
      </c>
      <c r="K438" s="59"/>
      <c r="L438" s="59"/>
      <c r="M438" s="194"/>
      <c r="N438" s="59"/>
      <c r="O438" s="194"/>
      <c r="P438" s="59"/>
      <c r="Q438" s="59"/>
      <c r="R438" s="59"/>
      <c r="S438" s="59"/>
      <c r="T438" s="59"/>
      <c r="U438" s="59"/>
      <c r="V438" s="59"/>
      <c r="W438" s="59"/>
      <c r="X438" s="59"/>
      <c r="Y438" s="59"/>
    </row>
    <row r="439" spans="1:25" ht="15" x14ac:dyDescent="0.25">
      <c r="A439" s="57">
        <f t="shared" si="102"/>
        <v>41900</v>
      </c>
      <c r="B439" s="63" t="s">
        <v>71</v>
      </c>
      <c r="H439" s="2">
        <f t="shared" si="106"/>
        <v>0</v>
      </c>
      <c r="I439" s="30" t="e">
        <f t="shared" si="107"/>
        <v>#DIV/0!</v>
      </c>
      <c r="K439" s="59"/>
      <c r="L439" s="59"/>
      <c r="M439" s="194"/>
      <c r="N439" s="59"/>
      <c r="O439" s="194"/>
      <c r="P439" s="59"/>
      <c r="Q439" s="59"/>
      <c r="R439" s="59"/>
      <c r="S439" s="59"/>
      <c r="T439" s="59"/>
      <c r="U439" s="59"/>
      <c r="V439" s="59"/>
      <c r="W439" s="59"/>
      <c r="X439" s="59"/>
      <c r="Y439" s="59"/>
    </row>
    <row r="440" spans="1:25" ht="15" x14ac:dyDescent="0.25">
      <c r="A440" s="57">
        <f t="shared" si="102"/>
        <v>41907</v>
      </c>
      <c r="B440" s="63" t="s">
        <v>71</v>
      </c>
      <c r="H440" s="2">
        <f t="shared" si="106"/>
        <v>0</v>
      </c>
      <c r="I440" s="30" t="e">
        <f t="shared" si="107"/>
        <v>#DIV/0!</v>
      </c>
      <c r="K440" s="59"/>
      <c r="L440" s="59"/>
      <c r="M440" s="194"/>
      <c r="N440" s="59"/>
      <c r="O440" s="194"/>
      <c r="P440" s="59"/>
      <c r="Q440" s="59"/>
      <c r="R440" s="59"/>
      <c r="S440" s="59"/>
      <c r="T440" s="59"/>
      <c r="U440" s="59"/>
      <c r="V440" s="59"/>
      <c r="W440" s="59"/>
      <c r="X440" s="59"/>
      <c r="Y440" s="59"/>
    </row>
    <row r="441" spans="1:25" ht="15" x14ac:dyDescent="0.25">
      <c r="A441" s="57">
        <f t="shared" si="102"/>
        <v>41914</v>
      </c>
      <c r="B441" s="63" t="s">
        <v>71</v>
      </c>
      <c r="H441" s="2">
        <f t="shared" si="106"/>
        <v>0</v>
      </c>
      <c r="I441" s="30" t="e">
        <f t="shared" si="107"/>
        <v>#DIV/0!</v>
      </c>
      <c r="K441" s="59"/>
      <c r="L441" s="59"/>
      <c r="M441" s="194"/>
      <c r="N441" s="59"/>
      <c r="O441" s="194"/>
      <c r="P441" s="59"/>
      <c r="Q441" s="59"/>
      <c r="R441" s="59"/>
      <c r="S441" s="59"/>
      <c r="T441" s="59"/>
      <c r="U441" s="59"/>
      <c r="V441" s="59"/>
      <c r="W441" s="59"/>
      <c r="X441" s="59"/>
      <c r="Y441" s="59"/>
    </row>
    <row r="442" spans="1:25" ht="15" x14ac:dyDescent="0.25">
      <c r="A442" s="57">
        <f t="shared" si="102"/>
        <v>41921</v>
      </c>
      <c r="B442" s="63" t="s">
        <v>71</v>
      </c>
      <c r="H442" s="2">
        <f t="shared" si="106"/>
        <v>0</v>
      </c>
      <c r="I442" s="30" t="e">
        <f t="shared" si="107"/>
        <v>#DIV/0!</v>
      </c>
      <c r="K442" s="59"/>
      <c r="L442" s="59"/>
      <c r="M442" s="194"/>
      <c r="N442" s="59"/>
      <c r="O442" s="194"/>
      <c r="P442" s="59"/>
      <c r="Q442" s="59"/>
      <c r="R442" s="59"/>
      <c r="S442" s="59"/>
      <c r="T442" s="59"/>
      <c r="U442" s="59"/>
      <c r="V442" s="59"/>
      <c r="W442" s="59"/>
      <c r="X442" s="59"/>
      <c r="Y442" s="59"/>
    </row>
    <row r="443" spans="1:25" ht="15" x14ac:dyDescent="0.25">
      <c r="A443" s="57">
        <f t="shared" si="102"/>
        <v>41928</v>
      </c>
      <c r="B443" s="63" t="s">
        <v>71</v>
      </c>
      <c r="H443" s="2">
        <f t="shared" si="106"/>
        <v>0</v>
      </c>
      <c r="I443" s="30" t="e">
        <f t="shared" si="107"/>
        <v>#DIV/0!</v>
      </c>
      <c r="K443" s="59"/>
      <c r="L443" s="59"/>
      <c r="M443" s="194"/>
      <c r="N443" s="59"/>
      <c r="O443" s="194"/>
      <c r="P443" s="59"/>
      <c r="Q443" s="59"/>
      <c r="R443" s="59"/>
      <c r="S443" s="59"/>
      <c r="T443" s="59"/>
      <c r="U443" s="59"/>
      <c r="V443" s="59"/>
      <c r="W443" s="59"/>
      <c r="X443" s="59"/>
      <c r="Y443" s="59"/>
    </row>
    <row r="444" spans="1:25" ht="15" x14ac:dyDescent="0.25">
      <c r="A444" s="57">
        <f t="shared" si="102"/>
        <v>41935</v>
      </c>
      <c r="B444" s="63" t="s">
        <v>71</v>
      </c>
      <c r="H444" s="2">
        <f t="shared" si="106"/>
        <v>0</v>
      </c>
      <c r="I444" s="30" t="e">
        <f t="shared" si="107"/>
        <v>#DIV/0!</v>
      </c>
      <c r="K444" s="59"/>
      <c r="L444" s="59"/>
      <c r="M444" s="194"/>
      <c r="N444" s="59"/>
      <c r="O444" s="194"/>
      <c r="P444" s="59"/>
      <c r="Q444" s="59"/>
      <c r="R444" s="59"/>
      <c r="S444" s="59"/>
      <c r="T444" s="59"/>
      <c r="U444" s="59"/>
      <c r="V444" s="59"/>
      <c r="W444" s="59"/>
      <c r="X444" s="59"/>
      <c r="Y444" s="59"/>
    </row>
    <row r="445" spans="1:25" ht="15" x14ac:dyDescent="0.25">
      <c r="A445" s="57">
        <f t="shared" si="102"/>
        <v>41942</v>
      </c>
      <c r="B445" s="63" t="s">
        <v>71</v>
      </c>
      <c r="H445" s="2">
        <f t="shared" si="106"/>
        <v>0</v>
      </c>
      <c r="I445" s="30" t="e">
        <f t="shared" si="107"/>
        <v>#DIV/0!</v>
      </c>
      <c r="K445" s="59"/>
      <c r="L445" s="59"/>
      <c r="M445" s="194"/>
      <c r="N445" s="59"/>
      <c r="O445" s="194"/>
      <c r="P445" s="59"/>
      <c r="Q445" s="59"/>
      <c r="R445" s="59"/>
      <c r="S445" s="59"/>
      <c r="T445" s="59"/>
      <c r="U445" s="59"/>
      <c r="V445" s="59"/>
      <c r="W445" s="59"/>
      <c r="X445" s="59"/>
      <c r="Y445" s="59"/>
    </row>
    <row r="446" spans="1:25" ht="15" x14ac:dyDescent="0.25">
      <c r="A446" s="57">
        <f t="shared" ref="A446:A509" si="108">+A445+7</f>
        <v>41949</v>
      </c>
      <c r="B446" s="63" t="s">
        <v>71</v>
      </c>
      <c r="H446" s="2">
        <f t="shared" si="106"/>
        <v>0</v>
      </c>
      <c r="I446" s="30" t="e">
        <f t="shared" si="107"/>
        <v>#DIV/0!</v>
      </c>
      <c r="K446" s="59"/>
      <c r="L446" s="59"/>
      <c r="M446" s="194"/>
      <c r="N446" s="59"/>
      <c r="O446" s="194"/>
      <c r="P446" s="59"/>
      <c r="Q446" s="59"/>
      <c r="R446" s="59"/>
      <c r="S446" s="59"/>
      <c r="T446" s="59"/>
      <c r="U446" s="59"/>
      <c r="V446" s="59"/>
      <c r="W446" s="59"/>
      <c r="X446" s="59"/>
      <c r="Y446" s="59"/>
    </row>
    <row r="447" spans="1:25" ht="15" x14ac:dyDescent="0.25">
      <c r="A447" s="57">
        <f t="shared" si="108"/>
        <v>41956</v>
      </c>
      <c r="B447" s="63" t="s">
        <v>71</v>
      </c>
      <c r="H447" s="2">
        <f t="shared" si="106"/>
        <v>0</v>
      </c>
      <c r="I447" s="30" t="e">
        <f t="shared" si="107"/>
        <v>#DIV/0!</v>
      </c>
      <c r="K447" s="59"/>
      <c r="L447" s="59"/>
      <c r="M447" s="194"/>
      <c r="N447" s="59"/>
      <c r="O447" s="194"/>
      <c r="P447" s="59"/>
      <c r="Q447" s="59"/>
      <c r="R447" s="59"/>
      <c r="S447" s="59"/>
      <c r="T447" s="59"/>
      <c r="U447" s="59"/>
      <c r="V447" s="59"/>
      <c r="W447" s="59"/>
      <c r="X447" s="59"/>
      <c r="Y447" s="59"/>
    </row>
    <row r="448" spans="1:25" ht="15" x14ac:dyDescent="0.25">
      <c r="A448" s="57">
        <f t="shared" si="108"/>
        <v>41963</v>
      </c>
      <c r="B448" s="63" t="s">
        <v>71</v>
      </c>
      <c r="H448" s="2">
        <f t="shared" si="106"/>
        <v>0</v>
      </c>
      <c r="I448" s="30" t="e">
        <f t="shared" si="107"/>
        <v>#DIV/0!</v>
      </c>
      <c r="K448" s="59"/>
      <c r="L448" s="59"/>
      <c r="M448" s="194"/>
      <c r="N448" s="59"/>
      <c r="O448" s="194"/>
      <c r="P448" s="59"/>
      <c r="Q448" s="59"/>
      <c r="R448" s="59"/>
      <c r="S448" s="59"/>
      <c r="T448" s="59"/>
      <c r="U448" s="59"/>
      <c r="V448" s="59"/>
      <c r="W448" s="59"/>
      <c r="X448" s="59"/>
      <c r="Y448" s="59"/>
    </row>
    <row r="449" spans="1:25" ht="15" x14ac:dyDescent="0.25">
      <c r="A449" s="57">
        <f t="shared" si="108"/>
        <v>41970</v>
      </c>
      <c r="B449" s="63" t="s">
        <v>71</v>
      </c>
      <c r="H449" s="2">
        <f t="shared" si="106"/>
        <v>0</v>
      </c>
      <c r="I449" s="30" t="e">
        <f t="shared" si="107"/>
        <v>#DIV/0!</v>
      </c>
      <c r="K449" s="59"/>
      <c r="L449" s="59"/>
      <c r="M449" s="194"/>
      <c r="N449" s="59"/>
      <c r="O449" s="194"/>
      <c r="P449" s="59"/>
      <c r="Q449" s="59"/>
      <c r="R449" s="59"/>
      <c r="S449" s="59"/>
      <c r="T449" s="59"/>
      <c r="U449" s="59"/>
      <c r="V449" s="59"/>
      <c r="W449" s="59"/>
      <c r="X449" s="59"/>
      <c r="Y449" s="59"/>
    </row>
    <row r="450" spans="1:25" ht="15" x14ac:dyDescent="0.25">
      <c r="A450" s="57">
        <f t="shared" si="108"/>
        <v>41977</v>
      </c>
      <c r="B450" s="63" t="s">
        <v>71</v>
      </c>
      <c r="H450" s="2">
        <f t="shared" si="106"/>
        <v>0</v>
      </c>
      <c r="I450" s="30" t="e">
        <f t="shared" si="107"/>
        <v>#DIV/0!</v>
      </c>
      <c r="K450" s="59"/>
      <c r="L450" s="59"/>
      <c r="M450" s="194"/>
      <c r="N450" s="59"/>
      <c r="O450" s="196"/>
      <c r="P450" s="59"/>
      <c r="Q450" s="59"/>
      <c r="R450" s="59"/>
      <c r="S450" s="59"/>
      <c r="T450" s="59"/>
      <c r="U450" s="59"/>
      <c r="V450" s="59"/>
      <c r="W450" s="59"/>
      <c r="X450" s="59"/>
      <c r="Y450" s="59"/>
    </row>
    <row r="451" spans="1:25" ht="15" x14ac:dyDescent="0.25">
      <c r="A451" s="57">
        <f t="shared" si="108"/>
        <v>41984</v>
      </c>
      <c r="B451" s="63" t="s">
        <v>71</v>
      </c>
      <c r="H451" s="2">
        <f t="shared" si="106"/>
        <v>0</v>
      </c>
      <c r="I451" s="30" t="e">
        <f t="shared" si="107"/>
        <v>#DIV/0!</v>
      </c>
      <c r="K451" s="59"/>
      <c r="L451" s="59"/>
      <c r="M451" s="194"/>
      <c r="N451" s="59"/>
      <c r="O451" s="196"/>
      <c r="P451" s="59"/>
      <c r="Q451" s="59"/>
      <c r="R451" s="59"/>
      <c r="S451" s="59"/>
      <c r="T451" s="59"/>
      <c r="U451" s="59"/>
      <c r="V451" s="59"/>
      <c r="W451" s="59"/>
      <c r="X451" s="59"/>
      <c r="Y451" s="59"/>
    </row>
    <row r="452" spans="1:25" ht="15" x14ac:dyDescent="0.25">
      <c r="A452" s="57">
        <f t="shared" si="108"/>
        <v>41991</v>
      </c>
      <c r="B452" s="63" t="s">
        <v>71</v>
      </c>
      <c r="H452" s="2">
        <f t="shared" si="106"/>
        <v>0</v>
      </c>
      <c r="I452" s="30" t="e">
        <f t="shared" si="107"/>
        <v>#DIV/0!</v>
      </c>
      <c r="K452" s="59"/>
      <c r="L452" s="59"/>
      <c r="M452" s="194"/>
      <c r="N452" s="59"/>
      <c r="O452" s="194"/>
      <c r="P452" s="59"/>
      <c r="Q452" s="59"/>
      <c r="R452" s="59"/>
      <c r="S452" s="59"/>
      <c r="T452" s="59"/>
      <c r="U452" s="59"/>
      <c r="V452" s="59"/>
      <c r="W452" s="59"/>
      <c r="X452" s="59"/>
      <c r="Y452" s="59"/>
    </row>
    <row r="453" spans="1:25" ht="15" x14ac:dyDescent="0.25">
      <c r="A453" s="57">
        <f t="shared" si="108"/>
        <v>41998</v>
      </c>
      <c r="B453" s="63" t="s">
        <v>71</v>
      </c>
      <c r="H453" s="2">
        <f t="shared" si="106"/>
        <v>0</v>
      </c>
      <c r="I453" s="30" t="e">
        <f t="shared" si="107"/>
        <v>#DIV/0!</v>
      </c>
      <c r="K453" s="59"/>
      <c r="L453" s="59"/>
      <c r="M453" s="194"/>
      <c r="N453" s="59"/>
      <c r="O453" s="194"/>
      <c r="P453" s="59"/>
      <c r="Q453" s="59"/>
      <c r="R453" s="59"/>
      <c r="S453" s="59"/>
      <c r="T453" s="59"/>
      <c r="U453" s="59"/>
      <c r="V453" s="59"/>
      <c r="W453" s="59"/>
      <c r="X453" s="59"/>
      <c r="Y453" s="59"/>
    </row>
    <row r="454" spans="1:25" ht="15" x14ac:dyDescent="0.25">
      <c r="A454" s="57">
        <f t="shared" si="108"/>
        <v>42005</v>
      </c>
      <c r="B454" s="63" t="s">
        <v>71</v>
      </c>
      <c r="H454" s="2">
        <f t="shared" si="106"/>
        <v>0</v>
      </c>
      <c r="I454" s="30" t="e">
        <f t="shared" si="107"/>
        <v>#DIV/0!</v>
      </c>
      <c r="K454" s="59"/>
      <c r="L454" s="59"/>
      <c r="M454" s="194"/>
      <c r="N454" s="59"/>
      <c r="O454" s="194"/>
      <c r="P454" s="59"/>
      <c r="Q454" s="59"/>
      <c r="R454" s="59"/>
      <c r="S454" s="59"/>
      <c r="T454" s="59"/>
      <c r="U454" s="59"/>
      <c r="V454" s="59"/>
      <c r="W454" s="59"/>
      <c r="X454" s="59"/>
      <c r="Y454" s="59"/>
    </row>
    <row r="455" spans="1:25" ht="15" x14ac:dyDescent="0.25">
      <c r="A455" s="57">
        <f t="shared" si="108"/>
        <v>42012</v>
      </c>
      <c r="B455" s="63" t="s">
        <v>71</v>
      </c>
      <c r="H455" s="2">
        <f t="shared" si="106"/>
        <v>0</v>
      </c>
      <c r="I455" s="30" t="e">
        <f t="shared" si="107"/>
        <v>#DIV/0!</v>
      </c>
      <c r="K455" s="59"/>
      <c r="L455" s="59"/>
      <c r="M455" s="194"/>
      <c r="N455" s="59"/>
      <c r="O455" s="194"/>
      <c r="P455" s="59"/>
      <c r="Q455" s="59"/>
      <c r="R455" s="59"/>
      <c r="S455" s="59"/>
      <c r="T455" s="59"/>
      <c r="U455" s="59"/>
      <c r="V455" s="59"/>
      <c r="W455" s="59"/>
      <c r="X455" s="59"/>
      <c r="Y455" s="59"/>
    </row>
    <row r="456" spans="1:25" ht="15" x14ac:dyDescent="0.25">
      <c r="A456" s="57">
        <f t="shared" si="108"/>
        <v>42019</v>
      </c>
      <c r="B456" s="63" t="s">
        <v>71</v>
      </c>
      <c r="H456" s="2">
        <f t="shared" si="106"/>
        <v>0</v>
      </c>
      <c r="I456" s="30" t="e">
        <f t="shared" si="107"/>
        <v>#DIV/0!</v>
      </c>
      <c r="K456" s="59"/>
      <c r="L456" s="59"/>
      <c r="M456" s="194"/>
      <c r="N456" s="59"/>
      <c r="O456" s="194"/>
      <c r="P456" s="59"/>
      <c r="Q456" s="59"/>
      <c r="R456" s="59"/>
      <c r="S456" s="59"/>
      <c r="T456" s="59"/>
      <c r="U456" s="59"/>
      <c r="V456" s="59"/>
      <c r="W456" s="59"/>
      <c r="X456" s="59"/>
      <c r="Y456" s="59"/>
    </row>
    <row r="457" spans="1:25" ht="15" x14ac:dyDescent="0.25">
      <c r="A457" s="57">
        <f t="shared" si="108"/>
        <v>42026</v>
      </c>
      <c r="B457" s="63" t="s">
        <v>71</v>
      </c>
      <c r="H457" s="2">
        <f t="shared" si="106"/>
        <v>0</v>
      </c>
      <c r="I457" s="30" t="e">
        <f t="shared" si="107"/>
        <v>#DIV/0!</v>
      </c>
      <c r="K457" s="59"/>
      <c r="L457" s="59"/>
      <c r="M457" s="194"/>
      <c r="N457" s="59"/>
      <c r="O457" s="194"/>
      <c r="P457" s="59"/>
      <c r="Q457" s="59"/>
      <c r="R457" s="59"/>
      <c r="S457" s="59"/>
      <c r="T457" s="59"/>
      <c r="U457" s="59"/>
      <c r="V457" s="59"/>
      <c r="W457" s="59"/>
      <c r="X457" s="59"/>
      <c r="Y457" s="59"/>
    </row>
    <row r="458" spans="1:25" ht="15" x14ac:dyDescent="0.25">
      <c r="A458" s="57">
        <f t="shared" si="108"/>
        <v>42033</v>
      </c>
      <c r="B458" s="63" t="s">
        <v>71</v>
      </c>
      <c r="H458" s="2">
        <f t="shared" si="106"/>
        <v>0</v>
      </c>
      <c r="I458" s="30" t="e">
        <f t="shared" si="107"/>
        <v>#DIV/0!</v>
      </c>
      <c r="K458" s="59"/>
      <c r="L458" s="59"/>
      <c r="M458" s="194"/>
      <c r="N458" s="59"/>
      <c r="O458" s="194"/>
      <c r="P458" s="59"/>
      <c r="Q458" s="59"/>
      <c r="R458" s="59"/>
      <c r="S458" s="59"/>
      <c r="T458" s="59"/>
      <c r="U458" s="59"/>
      <c r="V458" s="59"/>
      <c r="W458" s="59"/>
      <c r="X458" s="59"/>
      <c r="Y458" s="59"/>
    </row>
    <row r="459" spans="1:25" ht="15" x14ac:dyDescent="0.25">
      <c r="A459" s="57">
        <f t="shared" si="108"/>
        <v>42040</v>
      </c>
      <c r="B459" s="63" t="s">
        <v>71</v>
      </c>
      <c r="H459" s="2">
        <f t="shared" si="106"/>
        <v>0</v>
      </c>
      <c r="I459" s="30" t="e">
        <f t="shared" si="107"/>
        <v>#DIV/0!</v>
      </c>
      <c r="K459" s="59"/>
      <c r="L459" s="59"/>
      <c r="M459" s="194"/>
      <c r="N459" s="59"/>
      <c r="O459" s="194"/>
      <c r="P459" s="59"/>
      <c r="Q459" s="59"/>
      <c r="R459" s="59"/>
      <c r="S459" s="59"/>
      <c r="T459" s="59"/>
      <c r="U459" s="59"/>
      <c r="V459" s="59"/>
      <c r="W459" s="59"/>
      <c r="X459" s="59"/>
      <c r="Y459" s="59"/>
    </row>
    <row r="460" spans="1:25" ht="15" x14ac:dyDescent="0.25">
      <c r="A460" s="57">
        <f t="shared" si="108"/>
        <v>42047</v>
      </c>
      <c r="B460" s="63" t="s">
        <v>71</v>
      </c>
      <c r="H460" s="2">
        <f t="shared" si="106"/>
        <v>0</v>
      </c>
      <c r="I460" s="30" t="e">
        <f t="shared" si="107"/>
        <v>#DIV/0!</v>
      </c>
      <c r="K460" s="59"/>
      <c r="L460" s="59"/>
      <c r="M460" s="194"/>
      <c r="N460" s="59"/>
      <c r="O460" s="194"/>
      <c r="P460" s="59"/>
      <c r="Q460" s="59"/>
      <c r="R460" s="59"/>
      <c r="S460" s="59"/>
      <c r="T460" s="59"/>
      <c r="U460" s="59"/>
      <c r="V460" s="59"/>
      <c r="W460" s="59"/>
      <c r="X460" s="59"/>
      <c r="Y460" s="59"/>
    </row>
    <row r="461" spans="1:25" ht="15" x14ac:dyDescent="0.25">
      <c r="A461" s="57">
        <f t="shared" si="108"/>
        <v>42054</v>
      </c>
      <c r="B461" s="63" t="s">
        <v>71</v>
      </c>
      <c r="H461" s="2">
        <f t="shared" si="106"/>
        <v>0</v>
      </c>
      <c r="I461" s="30" t="e">
        <f t="shared" si="107"/>
        <v>#DIV/0!</v>
      </c>
      <c r="K461" s="59"/>
      <c r="L461" s="59"/>
      <c r="M461" s="194"/>
      <c r="N461" s="59"/>
      <c r="O461" s="194"/>
      <c r="P461" s="59"/>
      <c r="Q461" s="59"/>
      <c r="R461" s="59"/>
      <c r="S461" s="59"/>
      <c r="T461" s="59"/>
      <c r="U461" s="59"/>
      <c r="V461" s="59"/>
      <c r="W461" s="59"/>
      <c r="X461" s="59"/>
      <c r="Y461" s="59"/>
    </row>
    <row r="462" spans="1:25" ht="15" x14ac:dyDescent="0.25">
      <c r="A462" s="57">
        <f t="shared" si="108"/>
        <v>42061</v>
      </c>
      <c r="B462" s="63" t="s">
        <v>71</v>
      </c>
      <c r="H462" s="2">
        <f t="shared" si="106"/>
        <v>0</v>
      </c>
      <c r="I462" s="30" t="e">
        <f t="shared" si="107"/>
        <v>#DIV/0!</v>
      </c>
      <c r="K462" s="59"/>
      <c r="L462" s="59"/>
      <c r="M462" s="194"/>
      <c r="N462" s="59"/>
      <c r="O462" s="194"/>
      <c r="P462" s="59"/>
      <c r="Q462" s="59"/>
      <c r="R462" s="59"/>
      <c r="S462" s="59"/>
      <c r="T462" s="59"/>
      <c r="U462" s="59"/>
      <c r="V462" s="59"/>
      <c r="W462" s="59"/>
      <c r="X462" s="59"/>
      <c r="Y462" s="59"/>
    </row>
    <row r="463" spans="1:25" ht="15" x14ac:dyDescent="0.25">
      <c r="A463" s="57">
        <f t="shared" si="108"/>
        <v>42068</v>
      </c>
      <c r="B463" s="63" t="s">
        <v>71</v>
      </c>
      <c r="H463" s="2">
        <f t="shared" si="106"/>
        <v>0</v>
      </c>
      <c r="I463" s="30" t="e">
        <f t="shared" si="107"/>
        <v>#DIV/0!</v>
      </c>
      <c r="K463" s="59"/>
      <c r="L463" s="59"/>
      <c r="M463" s="194"/>
      <c r="N463" s="59"/>
      <c r="O463" s="194"/>
      <c r="P463" s="59"/>
      <c r="Q463" s="59"/>
      <c r="R463" s="59"/>
      <c r="S463" s="59"/>
      <c r="T463" s="59"/>
      <c r="U463" s="59"/>
      <c r="V463" s="59"/>
      <c r="W463" s="59"/>
      <c r="X463" s="59"/>
      <c r="Y463" s="59"/>
    </row>
    <row r="464" spans="1:25" ht="15" x14ac:dyDescent="0.25">
      <c r="A464" s="57">
        <f t="shared" si="108"/>
        <v>42075</v>
      </c>
      <c r="B464" s="63" t="s">
        <v>71</v>
      </c>
      <c r="H464" s="2">
        <f t="shared" si="106"/>
        <v>0</v>
      </c>
      <c r="I464" s="30" t="e">
        <f t="shared" si="107"/>
        <v>#DIV/0!</v>
      </c>
      <c r="K464" s="59"/>
      <c r="L464" s="59"/>
      <c r="M464" s="194"/>
      <c r="N464" s="59"/>
      <c r="O464" s="194"/>
      <c r="P464" s="59"/>
      <c r="Q464" s="59"/>
      <c r="R464" s="59"/>
      <c r="S464" s="59"/>
      <c r="T464" s="59"/>
      <c r="U464" s="59"/>
      <c r="V464" s="59"/>
      <c r="W464" s="59"/>
      <c r="X464" s="59"/>
      <c r="Y464" s="59"/>
    </row>
    <row r="465" spans="1:25" ht="15" x14ac:dyDescent="0.25">
      <c r="A465" s="57">
        <f t="shared" si="108"/>
        <v>42082</v>
      </c>
      <c r="B465" s="63" t="s">
        <v>71</v>
      </c>
      <c r="H465" s="2">
        <f t="shared" si="106"/>
        <v>0</v>
      </c>
      <c r="I465" s="30" t="e">
        <f t="shared" si="107"/>
        <v>#DIV/0!</v>
      </c>
      <c r="K465" s="59"/>
      <c r="L465" s="59"/>
      <c r="M465" s="194"/>
      <c r="N465" s="59"/>
      <c r="O465" s="194"/>
      <c r="P465" s="59"/>
      <c r="Q465" s="59"/>
      <c r="R465" s="59"/>
      <c r="S465" s="59"/>
      <c r="T465" s="59"/>
      <c r="U465" s="59"/>
      <c r="V465" s="59"/>
      <c r="W465" s="59"/>
      <c r="X465" s="59"/>
      <c r="Y465" s="59"/>
    </row>
    <row r="466" spans="1:25" ht="15" x14ac:dyDescent="0.25">
      <c r="A466" s="57">
        <f t="shared" si="108"/>
        <v>42089</v>
      </c>
      <c r="B466" s="63" t="s">
        <v>71</v>
      </c>
      <c r="H466" s="2">
        <f t="shared" si="106"/>
        <v>0</v>
      </c>
      <c r="I466" s="30" t="e">
        <f t="shared" si="107"/>
        <v>#DIV/0!</v>
      </c>
      <c r="K466" s="59"/>
      <c r="L466" s="59"/>
      <c r="M466" s="194"/>
      <c r="N466" s="59"/>
      <c r="O466" s="194"/>
      <c r="P466" s="59"/>
      <c r="Q466" s="59"/>
      <c r="R466" s="59"/>
      <c r="S466" s="59"/>
      <c r="T466" s="59"/>
      <c r="U466" s="59"/>
      <c r="V466" s="59"/>
      <c r="W466" s="59"/>
      <c r="X466" s="59"/>
      <c r="Y466" s="59"/>
    </row>
    <row r="467" spans="1:25" ht="15" x14ac:dyDescent="0.25">
      <c r="A467" s="57">
        <f t="shared" si="108"/>
        <v>42096</v>
      </c>
      <c r="B467" s="63" t="s">
        <v>71</v>
      </c>
      <c r="H467" s="2">
        <f t="shared" si="106"/>
        <v>0</v>
      </c>
      <c r="I467" s="30" t="e">
        <f t="shared" si="107"/>
        <v>#DIV/0!</v>
      </c>
      <c r="K467" s="59"/>
      <c r="L467" s="59"/>
      <c r="M467" s="194"/>
      <c r="N467" s="59"/>
      <c r="O467" s="194"/>
      <c r="P467" s="59"/>
      <c r="Q467" s="59"/>
      <c r="R467" s="59"/>
      <c r="S467" s="59"/>
      <c r="T467" s="59"/>
      <c r="U467" s="59"/>
      <c r="V467" s="59"/>
      <c r="W467" s="59"/>
      <c r="X467" s="59"/>
      <c r="Y467" s="59"/>
    </row>
    <row r="468" spans="1:25" ht="15" x14ac:dyDescent="0.25">
      <c r="A468" s="57">
        <f t="shared" si="108"/>
        <v>42103</v>
      </c>
      <c r="B468" s="63" t="s">
        <v>71</v>
      </c>
      <c r="H468" s="2">
        <f t="shared" si="106"/>
        <v>0</v>
      </c>
      <c r="I468" s="30" t="e">
        <f t="shared" si="107"/>
        <v>#DIV/0!</v>
      </c>
      <c r="K468" s="59"/>
      <c r="L468" s="59"/>
      <c r="M468" s="194"/>
      <c r="N468" s="59"/>
      <c r="O468" s="194"/>
      <c r="P468" s="59"/>
      <c r="Q468" s="59"/>
      <c r="R468" s="59"/>
      <c r="S468" s="59"/>
      <c r="T468" s="59"/>
      <c r="U468" s="59"/>
      <c r="V468" s="59"/>
      <c r="W468" s="59"/>
      <c r="X468" s="59"/>
      <c r="Y468" s="59"/>
    </row>
    <row r="469" spans="1:25" ht="15" x14ac:dyDescent="0.25">
      <c r="A469" s="57">
        <f t="shared" si="108"/>
        <v>42110</v>
      </c>
      <c r="B469" s="63" t="s">
        <v>71</v>
      </c>
      <c r="H469" s="2">
        <f t="shared" ref="H469:H532" si="109">+D469+F469</f>
        <v>0</v>
      </c>
      <c r="I469" s="30" t="e">
        <f t="shared" ref="I469:I532" si="110">(G469/H469-1)*100</f>
        <v>#DIV/0!</v>
      </c>
      <c r="K469" s="59"/>
      <c r="L469" s="59"/>
      <c r="M469" s="194"/>
      <c r="N469" s="59"/>
      <c r="O469" s="194"/>
      <c r="P469" s="59"/>
      <c r="Q469" s="59"/>
      <c r="R469" s="59"/>
      <c r="S469" s="59"/>
      <c r="T469" s="59"/>
      <c r="U469" s="59"/>
      <c r="V469" s="59"/>
      <c r="W469" s="59"/>
      <c r="X469" s="59"/>
      <c r="Y469" s="59"/>
    </row>
    <row r="470" spans="1:25" ht="15" x14ac:dyDescent="0.25">
      <c r="A470" s="57">
        <f t="shared" si="108"/>
        <v>42117</v>
      </c>
      <c r="B470" s="63" t="s">
        <v>71</v>
      </c>
      <c r="H470" s="2">
        <f t="shared" si="109"/>
        <v>0</v>
      </c>
      <c r="I470" s="30" t="e">
        <f t="shared" si="110"/>
        <v>#DIV/0!</v>
      </c>
      <c r="K470" s="59"/>
      <c r="L470" s="59"/>
      <c r="M470" s="194"/>
      <c r="N470" s="59"/>
      <c r="O470" s="194"/>
      <c r="P470" s="59"/>
      <c r="Q470" s="59"/>
      <c r="R470" s="59"/>
      <c r="S470" s="59"/>
      <c r="T470" s="59"/>
      <c r="U470" s="59"/>
      <c r="V470" s="59"/>
      <c r="W470" s="59"/>
      <c r="X470" s="59"/>
      <c r="Y470" s="59"/>
    </row>
    <row r="471" spans="1:25" ht="15" x14ac:dyDescent="0.25">
      <c r="A471" s="57">
        <f t="shared" si="108"/>
        <v>42124</v>
      </c>
      <c r="B471" s="63" t="s">
        <v>71</v>
      </c>
      <c r="H471" s="2">
        <f t="shared" si="109"/>
        <v>0</v>
      </c>
      <c r="I471" s="30" t="e">
        <f t="shared" si="110"/>
        <v>#DIV/0!</v>
      </c>
      <c r="K471" s="59"/>
      <c r="L471" s="59"/>
      <c r="M471" s="194"/>
      <c r="N471" s="59"/>
      <c r="O471" s="194"/>
      <c r="P471" s="59"/>
      <c r="Q471" s="59"/>
      <c r="R471" s="59"/>
      <c r="S471" s="59"/>
      <c r="T471" s="59"/>
      <c r="U471" s="59"/>
      <c r="V471" s="59"/>
      <c r="W471" s="59"/>
      <c r="X471" s="59"/>
      <c r="Y471" s="59"/>
    </row>
    <row r="472" spans="1:25" ht="15" x14ac:dyDescent="0.25">
      <c r="A472" s="57">
        <f t="shared" si="108"/>
        <v>42131</v>
      </c>
      <c r="B472" s="63" t="s">
        <v>71</v>
      </c>
      <c r="H472" s="2">
        <f t="shared" si="109"/>
        <v>0</v>
      </c>
      <c r="I472" s="30" t="e">
        <f t="shared" si="110"/>
        <v>#DIV/0!</v>
      </c>
      <c r="K472" s="59"/>
      <c r="L472" s="59"/>
      <c r="M472" s="194"/>
      <c r="N472" s="59"/>
      <c r="O472" s="194"/>
      <c r="P472" s="59"/>
      <c r="Q472" s="59"/>
      <c r="R472" s="59"/>
      <c r="S472" s="59"/>
      <c r="T472" s="59"/>
      <c r="U472" s="59"/>
      <c r="V472" s="59"/>
      <c r="W472" s="59"/>
      <c r="X472" s="59"/>
      <c r="Y472" s="59"/>
    </row>
    <row r="473" spans="1:25" ht="15" x14ac:dyDescent="0.25">
      <c r="A473" s="57">
        <f t="shared" si="108"/>
        <v>42138</v>
      </c>
      <c r="B473" s="63" t="s">
        <v>71</v>
      </c>
      <c r="H473" s="2">
        <f t="shared" si="109"/>
        <v>0</v>
      </c>
      <c r="I473" s="30" t="e">
        <f t="shared" si="110"/>
        <v>#DIV/0!</v>
      </c>
      <c r="K473" s="59"/>
      <c r="L473" s="59"/>
      <c r="M473" s="194"/>
      <c r="N473" s="59"/>
      <c r="O473" s="194"/>
      <c r="P473" s="59"/>
      <c r="Q473" s="59"/>
      <c r="R473" s="59"/>
      <c r="S473" s="59"/>
      <c r="T473" s="59"/>
      <c r="U473" s="59"/>
      <c r="V473" s="59"/>
      <c r="W473" s="59"/>
      <c r="X473" s="59"/>
      <c r="Y473" s="59"/>
    </row>
    <row r="474" spans="1:25" ht="15" x14ac:dyDescent="0.25">
      <c r="A474" s="57">
        <f t="shared" si="108"/>
        <v>42145</v>
      </c>
      <c r="B474" s="63" t="s">
        <v>71</v>
      </c>
      <c r="H474" s="2">
        <f t="shared" si="109"/>
        <v>0</v>
      </c>
      <c r="I474" s="30" t="e">
        <f t="shared" si="110"/>
        <v>#DIV/0!</v>
      </c>
      <c r="K474" s="59"/>
      <c r="L474" s="59"/>
      <c r="M474" s="194"/>
      <c r="N474" s="59"/>
      <c r="O474" s="194"/>
      <c r="P474" s="59"/>
      <c r="Q474" s="59"/>
      <c r="R474" s="59"/>
      <c r="S474" s="59"/>
      <c r="T474" s="59"/>
      <c r="U474" s="59"/>
      <c r="V474" s="59"/>
      <c r="W474" s="59"/>
      <c r="X474" s="59"/>
      <c r="Y474" s="59"/>
    </row>
    <row r="475" spans="1:25" ht="15" x14ac:dyDescent="0.25">
      <c r="A475" s="57">
        <f t="shared" si="108"/>
        <v>42152</v>
      </c>
      <c r="B475" s="63" t="s">
        <v>71</v>
      </c>
      <c r="H475" s="2">
        <f t="shared" si="109"/>
        <v>0</v>
      </c>
      <c r="I475" s="30" t="e">
        <f t="shared" si="110"/>
        <v>#DIV/0!</v>
      </c>
      <c r="K475" s="59"/>
      <c r="L475" s="59"/>
      <c r="M475" s="194"/>
      <c r="N475" s="59"/>
      <c r="O475" s="59"/>
      <c r="P475" s="59"/>
      <c r="Q475" s="59"/>
      <c r="R475" s="59"/>
      <c r="S475" s="59"/>
      <c r="T475" s="59"/>
      <c r="U475" s="59"/>
      <c r="V475" s="59"/>
      <c r="W475" s="59"/>
      <c r="X475" s="59"/>
      <c r="Y475" s="59"/>
    </row>
    <row r="476" spans="1:25" ht="15" x14ac:dyDescent="0.25">
      <c r="A476" s="57">
        <f t="shared" si="108"/>
        <v>42159</v>
      </c>
      <c r="B476" s="63" t="s">
        <v>71</v>
      </c>
      <c r="H476" s="2">
        <f t="shared" si="109"/>
        <v>0</v>
      </c>
      <c r="I476" s="30" t="e">
        <f t="shared" si="110"/>
        <v>#DIV/0!</v>
      </c>
      <c r="K476" s="59"/>
      <c r="L476" s="59"/>
      <c r="M476" s="194"/>
      <c r="N476" s="59"/>
      <c r="O476" s="59"/>
      <c r="P476" s="59"/>
      <c r="Q476" s="59"/>
      <c r="R476" s="59"/>
      <c r="S476" s="59"/>
      <c r="T476" s="59"/>
      <c r="U476" s="59"/>
      <c r="V476" s="59"/>
      <c r="W476" s="59"/>
      <c r="X476" s="59"/>
      <c r="Y476" s="59"/>
    </row>
    <row r="477" spans="1:25" ht="15" x14ac:dyDescent="0.25">
      <c r="A477" s="57">
        <f t="shared" si="108"/>
        <v>42166</v>
      </c>
      <c r="B477" s="63" t="s">
        <v>71</v>
      </c>
      <c r="H477" s="2">
        <f t="shared" si="109"/>
        <v>0</v>
      </c>
      <c r="I477" s="30" t="e">
        <f t="shared" si="110"/>
        <v>#DIV/0!</v>
      </c>
      <c r="K477" s="59"/>
      <c r="L477" s="59"/>
      <c r="M477" s="194"/>
      <c r="N477" s="59"/>
      <c r="O477" s="59"/>
      <c r="P477" s="59"/>
      <c r="Q477" s="59"/>
      <c r="R477" s="59"/>
      <c r="S477" s="59"/>
      <c r="T477" s="59"/>
      <c r="U477" s="59"/>
      <c r="V477" s="59"/>
      <c r="W477" s="59"/>
      <c r="X477" s="59"/>
      <c r="Y477" s="59"/>
    </row>
    <row r="478" spans="1:25" ht="15" x14ac:dyDescent="0.25">
      <c r="A478" s="57">
        <f t="shared" si="108"/>
        <v>42173</v>
      </c>
      <c r="B478" s="63" t="s">
        <v>71</v>
      </c>
      <c r="H478" s="2">
        <f t="shared" si="109"/>
        <v>0</v>
      </c>
      <c r="I478" s="30" t="e">
        <f t="shared" si="110"/>
        <v>#DIV/0!</v>
      </c>
      <c r="K478" s="59"/>
      <c r="L478" s="59"/>
      <c r="M478" s="194"/>
      <c r="N478" s="59"/>
      <c r="O478" s="59"/>
      <c r="P478" s="59"/>
      <c r="Q478" s="59"/>
      <c r="R478" s="59"/>
      <c r="S478" s="59"/>
      <c r="T478" s="59"/>
      <c r="U478" s="59"/>
      <c r="V478" s="59"/>
      <c r="W478" s="59"/>
      <c r="X478" s="59"/>
      <c r="Y478" s="59"/>
    </row>
    <row r="479" spans="1:25" ht="15" x14ac:dyDescent="0.25">
      <c r="A479" s="57">
        <f t="shared" si="108"/>
        <v>42180</v>
      </c>
      <c r="B479" s="63" t="s">
        <v>71</v>
      </c>
      <c r="H479" s="2">
        <f t="shared" si="109"/>
        <v>0</v>
      </c>
      <c r="I479" s="30" t="e">
        <f t="shared" si="110"/>
        <v>#DIV/0!</v>
      </c>
      <c r="K479" s="59"/>
      <c r="L479" s="59"/>
      <c r="M479" s="194"/>
      <c r="N479" s="59"/>
      <c r="O479" s="59"/>
      <c r="P479" s="59"/>
      <c r="Q479" s="59"/>
      <c r="R479" s="59"/>
      <c r="S479" s="59"/>
      <c r="T479" s="59"/>
      <c r="U479" s="59"/>
      <c r="V479" s="59"/>
      <c r="W479" s="59"/>
      <c r="X479" s="59"/>
      <c r="Y479" s="59"/>
    </row>
    <row r="480" spans="1:25" ht="15" x14ac:dyDescent="0.25">
      <c r="A480" s="57">
        <f t="shared" si="108"/>
        <v>42187</v>
      </c>
      <c r="B480" s="63" t="s">
        <v>71</v>
      </c>
      <c r="H480" s="2">
        <f t="shared" si="109"/>
        <v>0</v>
      </c>
      <c r="I480" s="30" t="e">
        <f t="shared" si="110"/>
        <v>#DIV/0!</v>
      </c>
      <c r="K480" s="59"/>
      <c r="L480" s="59"/>
      <c r="M480" s="194"/>
      <c r="N480" s="59"/>
      <c r="O480" s="59"/>
      <c r="P480" s="59"/>
      <c r="Q480" s="59"/>
      <c r="R480" s="59"/>
      <c r="S480" s="59"/>
      <c r="T480" s="59"/>
      <c r="U480" s="59"/>
      <c r="V480" s="59"/>
      <c r="W480" s="59"/>
      <c r="X480" s="59"/>
      <c r="Y480" s="59"/>
    </row>
    <row r="481" spans="1:25" ht="15" x14ac:dyDescent="0.25">
      <c r="A481" s="57">
        <f t="shared" si="108"/>
        <v>42194</v>
      </c>
      <c r="B481" s="63" t="s">
        <v>71</v>
      </c>
      <c r="H481" s="2">
        <f t="shared" si="109"/>
        <v>0</v>
      </c>
      <c r="I481" s="30" t="e">
        <f t="shared" si="110"/>
        <v>#DIV/0!</v>
      </c>
      <c r="K481" s="59"/>
      <c r="L481" s="59"/>
      <c r="M481" s="194"/>
      <c r="N481" s="59"/>
      <c r="O481" s="59"/>
      <c r="P481" s="59"/>
      <c r="Q481" s="59"/>
      <c r="R481" s="59"/>
      <c r="S481" s="59"/>
      <c r="T481" s="59"/>
      <c r="U481" s="59"/>
      <c r="V481" s="59"/>
      <c r="W481" s="59"/>
      <c r="X481" s="59"/>
      <c r="Y481" s="59"/>
    </row>
    <row r="482" spans="1:25" ht="15" x14ac:dyDescent="0.25">
      <c r="A482" s="57">
        <f t="shared" si="108"/>
        <v>42201</v>
      </c>
      <c r="B482" s="63" t="s">
        <v>71</v>
      </c>
      <c r="H482" s="2">
        <f t="shared" si="109"/>
        <v>0</v>
      </c>
      <c r="I482" s="30" t="e">
        <f t="shared" si="110"/>
        <v>#DIV/0!</v>
      </c>
      <c r="K482" s="59"/>
      <c r="L482" s="59"/>
      <c r="M482" s="194"/>
      <c r="N482" s="59"/>
      <c r="O482" s="59"/>
      <c r="P482" s="59"/>
      <c r="Q482" s="59"/>
      <c r="R482" s="59"/>
      <c r="S482" s="59"/>
      <c r="T482" s="59"/>
      <c r="U482" s="59"/>
      <c r="V482" s="59"/>
      <c r="W482" s="59"/>
      <c r="X482" s="59"/>
      <c r="Y482" s="59"/>
    </row>
    <row r="483" spans="1:25" ht="15" x14ac:dyDescent="0.25">
      <c r="A483" s="57">
        <f t="shared" si="108"/>
        <v>42208</v>
      </c>
      <c r="B483" s="63" t="s">
        <v>71</v>
      </c>
      <c r="H483" s="2">
        <f t="shared" si="109"/>
        <v>0</v>
      </c>
      <c r="I483" s="30" t="e">
        <f t="shared" si="110"/>
        <v>#DIV/0!</v>
      </c>
      <c r="K483" s="59"/>
      <c r="L483" s="59"/>
      <c r="M483" s="194"/>
      <c r="N483" s="59"/>
      <c r="O483" s="59"/>
      <c r="P483" s="59"/>
      <c r="Q483" s="59"/>
      <c r="R483" s="59"/>
      <c r="S483" s="59"/>
      <c r="T483" s="59"/>
      <c r="U483" s="59"/>
      <c r="V483" s="59"/>
      <c r="W483" s="59"/>
      <c r="X483" s="59"/>
      <c r="Y483" s="59"/>
    </row>
    <row r="484" spans="1:25" ht="15" x14ac:dyDescent="0.25">
      <c r="A484" s="57">
        <f t="shared" si="108"/>
        <v>42215</v>
      </c>
      <c r="B484" s="63" t="s">
        <v>71</v>
      </c>
      <c r="H484" s="2">
        <f t="shared" si="109"/>
        <v>0</v>
      </c>
      <c r="I484" s="30" t="e">
        <f t="shared" si="110"/>
        <v>#DIV/0!</v>
      </c>
      <c r="K484" s="59"/>
      <c r="L484" s="59"/>
      <c r="M484" s="194"/>
      <c r="N484" s="59"/>
      <c r="O484" s="59"/>
      <c r="P484" s="59"/>
      <c r="Q484" s="59"/>
      <c r="R484" s="59"/>
      <c r="S484" s="59"/>
      <c r="T484" s="59"/>
      <c r="U484" s="59"/>
      <c r="V484" s="59"/>
      <c r="W484" s="59"/>
      <c r="X484" s="59"/>
      <c r="Y484" s="59"/>
    </row>
    <row r="485" spans="1:25" ht="15" x14ac:dyDescent="0.25">
      <c r="A485" s="57">
        <f t="shared" si="108"/>
        <v>42222</v>
      </c>
      <c r="B485" s="63" t="s">
        <v>71</v>
      </c>
      <c r="H485" s="2">
        <f t="shared" si="109"/>
        <v>0</v>
      </c>
      <c r="I485" s="30" t="e">
        <f t="shared" si="110"/>
        <v>#DIV/0!</v>
      </c>
      <c r="K485" s="59"/>
      <c r="L485" s="59"/>
      <c r="M485" s="194"/>
      <c r="N485" s="59"/>
      <c r="O485" s="59"/>
      <c r="P485" s="59"/>
      <c r="Q485" s="59"/>
      <c r="R485" s="59"/>
      <c r="S485" s="59"/>
      <c r="T485" s="59"/>
      <c r="U485" s="59"/>
      <c r="V485" s="59"/>
      <c r="W485" s="59"/>
      <c r="X485" s="59"/>
      <c r="Y485" s="59"/>
    </row>
    <row r="486" spans="1:25" ht="15" x14ac:dyDescent="0.25">
      <c r="A486" s="57">
        <f t="shared" si="108"/>
        <v>42229</v>
      </c>
      <c r="B486" s="63" t="s">
        <v>71</v>
      </c>
      <c r="H486" s="2">
        <f t="shared" si="109"/>
        <v>0</v>
      </c>
      <c r="I486" s="30" t="e">
        <f t="shared" si="110"/>
        <v>#DIV/0!</v>
      </c>
      <c r="K486" s="59"/>
      <c r="L486" s="59"/>
      <c r="M486" s="194"/>
      <c r="N486" s="59"/>
      <c r="O486" s="59"/>
      <c r="P486" s="59"/>
      <c r="Q486" s="59"/>
      <c r="R486" s="59"/>
      <c r="S486" s="59"/>
      <c r="T486" s="59"/>
      <c r="U486" s="59"/>
      <c r="V486" s="59"/>
      <c r="W486" s="59"/>
      <c r="X486" s="59"/>
      <c r="Y486" s="59"/>
    </row>
    <row r="487" spans="1:25" ht="15" x14ac:dyDescent="0.25">
      <c r="A487" s="57">
        <f t="shared" si="108"/>
        <v>42236</v>
      </c>
      <c r="B487" s="63" t="s">
        <v>71</v>
      </c>
      <c r="H487" s="2">
        <f t="shared" si="109"/>
        <v>0</v>
      </c>
      <c r="I487" s="30" t="e">
        <f t="shared" si="110"/>
        <v>#DIV/0!</v>
      </c>
      <c r="K487" s="59"/>
      <c r="L487" s="59"/>
      <c r="M487" s="194"/>
      <c r="N487" s="59"/>
      <c r="O487" s="59"/>
      <c r="P487" s="59"/>
      <c r="Q487" s="59"/>
      <c r="R487" s="59"/>
      <c r="S487" s="59"/>
      <c r="T487" s="59"/>
      <c r="U487" s="59"/>
      <c r="V487" s="59"/>
      <c r="W487" s="59"/>
      <c r="X487" s="59"/>
      <c r="Y487" s="59"/>
    </row>
    <row r="488" spans="1:25" ht="15" x14ac:dyDescent="0.25">
      <c r="A488" s="57">
        <f t="shared" si="108"/>
        <v>42243</v>
      </c>
      <c r="B488" s="63" t="s">
        <v>71</v>
      </c>
      <c r="H488" s="2">
        <f t="shared" si="109"/>
        <v>0</v>
      </c>
      <c r="I488" s="30" t="e">
        <f t="shared" si="110"/>
        <v>#DIV/0!</v>
      </c>
      <c r="K488" s="59"/>
      <c r="L488" s="59"/>
      <c r="M488" s="194"/>
      <c r="N488" s="59"/>
      <c r="O488" s="59"/>
      <c r="P488" s="59"/>
      <c r="Q488" s="59"/>
      <c r="R488" s="59"/>
      <c r="S488" s="59"/>
      <c r="T488" s="59"/>
      <c r="U488" s="59"/>
      <c r="V488" s="59"/>
      <c r="W488" s="59"/>
      <c r="X488" s="59"/>
      <c r="Y488" s="59"/>
    </row>
    <row r="489" spans="1:25" ht="15" x14ac:dyDescent="0.25">
      <c r="A489" s="57">
        <f t="shared" si="108"/>
        <v>42250</v>
      </c>
      <c r="B489" s="63" t="s">
        <v>71</v>
      </c>
      <c r="H489" s="2">
        <f t="shared" si="109"/>
        <v>0</v>
      </c>
      <c r="I489" s="30" t="e">
        <f t="shared" si="110"/>
        <v>#DIV/0!</v>
      </c>
      <c r="K489" s="59"/>
      <c r="L489" s="59"/>
      <c r="M489" s="194"/>
      <c r="N489" s="59"/>
      <c r="O489" s="59"/>
      <c r="P489" s="59"/>
      <c r="Q489" s="59"/>
      <c r="R489" s="59"/>
      <c r="S489" s="59"/>
      <c r="T489" s="59"/>
      <c r="U489" s="59"/>
      <c r="V489" s="59"/>
      <c r="W489" s="59"/>
      <c r="X489" s="59"/>
      <c r="Y489" s="59"/>
    </row>
    <row r="490" spans="1:25" ht="15" x14ac:dyDescent="0.25">
      <c r="A490" s="57">
        <f t="shared" si="108"/>
        <v>42257</v>
      </c>
      <c r="B490" s="63" t="s">
        <v>71</v>
      </c>
      <c r="H490" s="2">
        <f t="shared" si="109"/>
        <v>0</v>
      </c>
      <c r="I490" s="30" t="e">
        <f t="shared" si="110"/>
        <v>#DIV/0!</v>
      </c>
      <c r="K490" s="59"/>
      <c r="L490" s="59"/>
      <c r="M490" s="194"/>
      <c r="N490" s="59"/>
      <c r="O490" s="59"/>
      <c r="P490" s="59"/>
      <c r="Q490" s="59"/>
      <c r="R490" s="59"/>
      <c r="S490" s="59"/>
      <c r="T490" s="59"/>
      <c r="U490" s="59"/>
      <c r="V490" s="59"/>
      <c r="W490" s="59"/>
      <c r="X490" s="59"/>
      <c r="Y490" s="59"/>
    </row>
    <row r="491" spans="1:25" ht="15" x14ac:dyDescent="0.25">
      <c r="A491" s="57">
        <f t="shared" si="108"/>
        <v>42264</v>
      </c>
      <c r="B491" s="63" t="s">
        <v>71</v>
      </c>
      <c r="H491" s="2">
        <f t="shared" si="109"/>
        <v>0</v>
      </c>
      <c r="I491" s="30" t="e">
        <f t="shared" si="110"/>
        <v>#DIV/0!</v>
      </c>
      <c r="K491" s="59"/>
      <c r="L491" s="59"/>
      <c r="M491" s="194"/>
      <c r="N491" s="59"/>
      <c r="O491" s="59"/>
      <c r="P491" s="59"/>
      <c r="Q491" s="59"/>
      <c r="R491" s="59"/>
      <c r="S491" s="59"/>
      <c r="T491" s="59"/>
      <c r="U491" s="59"/>
      <c r="V491" s="59"/>
      <c r="W491" s="59"/>
      <c r="X491" s="59"/>
      <c r="Y491" s="59"/>
    </row>
    <row r="492" spans="1:25" ht="15" x14ac:dyDescent="0.25">
      <c r="A492" s="57">
        <f t="shared" si="108"/>
        <v>42271</v>
      </c>
      <c r="B492" s="63" t="s">
        <v>71</v>
      </c>
      <c r="H492" s="2">
        <f t="shared" si="109"/>
        <v>0</v>
      </c>
      <c r="I492" s="30" t="e">
        <f t="shared" si="110"/>
        <v>#DIV/0!</v>
      </c>
      <c r="K492" s="59"/>
      <c r="L492" s="59"/>
      <c r="M492" s="194"/>
      <c r="N492" s="59"/>
      <c r="O492" s="59"/>
      <c r="P492" s="59"/>
      <c r="Q492" s="59"/>
      <c r="R492" s="59"/>
      <c r="S492" s="59"/>
      <c r="T492" s="59"/>
      <c r="U492" s="59"/>
      <c r="V492" s="59"/>
      <c r="W492" s="59"/>
      <c r="X492" s="59"/>
      <c r="Y492" s="59"/>
    </row>
    <row r="493" spans="1:25" ht="15" x14ac:dyDescent="0.25">
      <c r="A493" s="57">
        <f t="shared" si="108"/>
        <v>42278</v>
      </c>
      <c r="B493" s="63" t="s">
        <v>71</v>
      </c>
      <c r="H493" s="2">
        <f t="shared" si="109"/>
        <v>0</v>
      </c>
      <c r="I493" s="30" t="e">
        <f t="shared" si="110"/>
        <v>#DIV/0!</v>
      </c>
      <c r="K493" s="59"/>
      <c r="L493" s="59"/>
      <c r="M493" s="194"/>
      <c r="N493" s="59"/>
      <c r="O493" s="59"/>
      <c r="P493" s="59"/>
      <c r="Q493" s="59"/>
      <c r="R493" s="59"/>
      <c r="S493" s="59"/>
      <c r="T493" s="59"/>
      <c r="U493" s="59"/>
      <c r="V493" s="59"/>
      <c r="W493" s="59"/>
      <c r="X493" s="59"/>
      <c r="Y493" s="59"/>
    </row>
    <row r="494" spans="1:25" ht="15" x14ac:dyDescent="0.25">
      <c r="A494" s="57">
        <f t="shared" si="108"/>
        <v>42285</v>
      </c>
      <c r="B494" s="63" t="s">
        <v>71</v>
      </c>
      <c r="H494" s="2">
        <f t="shared" si="109"/>
        <v>0</v>
      </c>
      <c r="I494" s="30" t="e">
        <f t="shared" si="110"/>
        <v>#DIV/0!</v>
      </c>
      <c r="K494" s="59"/>
      <c r="L494" s="59"/>
      <c r="M494" s="194"/>
      <c r="N494" s="59"/>
      <c r="O494" s="59"/>
      <c r="P494" s="59"/>
      <c r="Q494" s="59"/>
      <c r="R494" s="59"/>
      <c r="S494" s="59"/>
      <c r="T494" s="59"/>
      <c r="U494" s="59"/>
      <c r="V494" s="59"/>
      <c r="W494" s="59"/>
      <c r="X494" s="59"/>
      <c r="Y494" s="59"/>
    </row>
    <row r="495" spans="1:25" x14ac:dyDescent="0.25">
      <c r="A495" s="57">
        <f t="shared" si="108"/>
        <v>42292</v>
      </c>
      <c r="B495" s="63" t="s">
        <v>71</v>
      </c>
      <c r="H495" s="2">
        <f t="shared" si="109"/>
        <v>0</v>
      </c>
      <c r="I495" s="30" t="e">
        <f t="shared" si="110"/>
        <v>#DIV/0!</v>
      </c>
      <c r="K495" s="59"/>
      <c r="L495" s="59"/>
      <c r="M495" s="59"/>
      <c r="N495" s="59"/>
      <c r="O495" s="59"/>
      <c r="P495" s="59"/>
      <c r="Q495" s="59"/>
      <c r="R495" s="59"/>
      <c r="S495" s="59"/>
      <c r="T495" s="59"/>
      <c r="U495" s="59"/>
      <c r="V495" s="59"/>
      <c r="W495" s="59"/>
      <c r="X495" s="59"/>
      <c r="Y495" s="59"/>
    </row>
    <row r="496" spans="1:25" x14ac:dyDescent="0.25">
      <c r="A496" s="57">
        <f t="shared" si="108"/>
        <v>42299</v>
      </c>
      <c r="B496" s="63" t="s">
        <v>71</v>
      </c>
      <c r="H496" s="2">
        <f t="shared" si="109"/>
        <v>0</v>
      </c>
      <c r="I496" s="30" t="e">
        <f t="shared" si="110"/>
        <v>#DIV/0!</v>
      </c>
      <c r="K496" s="59"/>
      <c r="L496" s="59"/>
      <c r="M496" s="59"/>
      <c r="N496" s="59"/>
      <c r="O496" s="59"/>
      <c r="P496" s="59"/>
      <c r="Q496" s="59"/>
      <c r="R496" s="59"/>
      <c r="S496" s="59"/>
      <c r="T496" s="59"/>
      <c r="U496" s="59"/>
      <c r="V496" s="59"/>
      <c r="W496" s="59"/>
      <c r="X496" s="59"/>
      <c r="Y496" s="59"/>
    </row>
    <row r="497" spans="1:25" ht="15" x14ac:dyDescent="0.35">
      <c r="A497" s="57">
        <f t="shared" si="108"/>
        <v>42306</v>
      </c>
      <c r="B497" s="63" t="s">
        <v>71</v>
      </c>
      <c r="H497" s="2">
        <f t="shared" si="109"/>
        <v>0</v>
      </c>
      <c r="I497" s="30" t="e">
        <f t="shared" si="110"/>
        <v>#DIV/0!</v>
      </c>
      <c r="K497" s="59"/>
      <c r="L497" s="59"/>
      <c r="M497" s="210"/>
      <c r="N497" s="59"/>
      <c r="O497" s="59"/>
      <c r="P497" s="59"/>
      <c r="Q497" s="59"/>
      <c r="R497" s="59"/>
      <c r="S497" s="59"/>
      <c r="T497" s="59"/>
      <c r="U497" s="59"/>
      <c r="V497" s="59"/>
      <c r="W497" s="59"/>
      <c r="X497" s="59"/>
      <c r="Y497" s="59"/>
    </row>
    <row r="498" spans="1:25" x14ac:dyDescent="0.25">
      <c r="A498" s="57">
        <f t="shared" si="108"/>
        <v>42313</v>
      </c>
      <c r="B498" s="63" t="s">
        <v>71</v>
      </c>
      <c r="H498" s="2">
        <f t="shared" si="109"/>
        <v>0</v>
      </c>
      <c r="I498" s="30" t="e">
        <f t="shared" si="110"/>
        <v>#DIV/0!</v>
      </c>
      <c r="K498" s="59"/>
      <c r="L498" s="59"/>
      <c r="M498" s="59"/>
      <c r="N498" s="59"/>
      <c r="O498" s="59"/>
      <c r="P498" s="59"/>
      <c r="Q498" s="59"/>
      <c r="R498" s="59"/>
      <c r="S498" s="59"/>
      <c r="T498" s="59"/>
      <c r="U498" s="59"/>
      <c r="V498" s="59"/>
      <c r="W498" s="59"/>
      <c r="X498" s="59"/>
      <c r="Y498" s="59"/>
    </row>
    <row r="499" spans="1:25" x14ac:dyDescent="0.25">
      <c r="A499" s="57">
        <f t="shared" si="108"/>
        <v>42320</v>
      </c>
      <c r="B499" s="63" t="s">
        <v>71</v>
      </c>
      <c r="H499" s="2">
        <f t="shared" si="109"/>
        <v>0</v>
      </c>
      <c r="I499" s="30" t="e">
        <f t="shared" si="110"/>
        <v>#DIV/0!</v>
      </c>
      <c r="K499" s="59"/>
      <c r="L499" s="59"/>
      <c r="M499" s="59"/>
      <c r="N499" s="59"/>
      <c r="O499" s="59"/>
      <c r="P499" s="59"/>
      <c r="Q499" s="59"/>
      <c r="R499" s="59"/>
      <c r="S499" s="59"/>
      <c r="T499" s="59"/>
      <c r="U499" s="59"/>
      <c r="V499" s="59"/>
      <c r="W499" s="59"/>
      <c r="X499" s="59"/>
      <c r="Y499" s="59"/>
    </row>
    <row r="500" spans="1:25" x14ac:dyDescent="0.25">
      <c r="A500" s="57">
        <f t="shared" si="108"/>
        <v>42327</v>
      </c>
      <c r="B500" s="63" t="s">
        <v>71</v>
      </c>
      <c r="H500" s="2">
        <f t="shared" si="109"/>
        <v>0</v>
      </c>
      <c r="I500" s="30" t="e">
        <f t="shared" si="110"/>
        <v>#DIV/0!</v>
      </c>
      <c r="K500" s="59"/>
      <c r="L500" s="59"/>
      <c r="M500" s="59"/>
      <c r="N500" s="59"/>
      <c r="O500" s="59"/>
      <c r="P500" s="59"/>
      <c r="Q500" s="59"/>
      <c r="R500" s="59"/>
      <c r="S500" s="59"/>
      <c r="T500" s="59"/>
      <c r="U500" s="59"/>
      <c r="V500" s="59"/>
      <c r="W500" s="59"/>
      <c r="X500" s="59"/>
      <c r="Y500" s="59"/>
    </row>
    <row r="501" spans="1:25" x14ac:dyDescent="0.25">
      <c r="A501" s="57">
        <f t="shared" si="108"/>
        <v>42334</v>
      </c>
      <c r="B501" s="63" t="s">
        <v>71</v>
      </c>
      <c r="H501" s="2">
        <f t="shared" si="109"/>
        <v>0</v>
      </c>
      <c r="I501" s="30" t="e">
        <f t="shared" si="110"/>
        <v>#DIV/0!</v>
      </c>
      <c r="K501" s="59"/>
      <c r="L501" s="59"/>
      <c r="M501" s="59"/>
      <c r="N501" s="59"/>
      <c r="O501" s="59"/>
      <c r="P501" s="59"/>
      <c r="Q501" s="59"/>
      <c r="R501" s="59"/>
      <c r="S501" s="59"/>
      <c r="T501" s="59"/>
      <c r="U501" s="59"/>
      <c r="V501" s="59"/>
      <c r="W501" s="59"/>
      <c r="X501" s="59"/>
      <c r="Y501" s="59"/>
    </row>
    <row r="502" spans="1:25" x14ac:dyDescent="0.25">
      <c r="A502" s="57">
        <f t="shared" si="108"/>
        <v>42341</v>
      </c>
      <c r="B502" s="63" t="s">
        <v>71</v>
      </c>
      <c r="H502" s="2">
        <f t="shared" si="109"/>
        <v>0</v>
      </c>
      <c r="I502" s="30" t="e">
        <f t="shared" si="110"/>
        <v>#DIV/0!</v>
      </c>
      <c r="K502" s="59"/>
      <c r="L502" s="59"/>
      <c r="M502" s="59"/>
      <c r="N502" s="59"/>
      <c r="O502" s="59"/>
      <c r="P502" s="59"/>
      <c r="Q502" s="59"/>
      <c r="R502" s="59"/>
      <c r="S502" s="59"/>
      <c r="T502" s="59"/>
      <c r="U502" s="59"/>
      <c r="V502" s="59"/>
      <c r="W502" s="59"/>
      <c r="X502" s="59"/>
      <c r="Y502" s="59"/>
    </row>
    <row r="503" spans="1:25" x14ac:dyDescent="0.25">
      <c r="A503" s="57">
        <f t="shared" si="108"/>
        <v>42348</v>
      </c>
      <c r="B503" s="63" t="s">
        <v>71</v>
      </c>
      <c r="H503" s="2">
        <f t="shared" si="109"/>
        <v>0</v>
      </c>
      <c r="I503" s="30" t="e">
        <f t="shared" si="110"/>
        <v>#DIV/0!</v>
      </c>
      <c r="K503" s="59"/>
      <c r="L503" s="59"/>
      <c r="M503" s="59"/>
      <c r="N503" s="59"/>
      <c r="O503" s="59"/>
      <c r="P503" s="59"/>
      <c r="Q503" s="59"/>
      <c r="R503" s="59"/>
      <c r="S503" s="59"/>
      <c r="T503" s="59"/>
      <c r="U503" s="59"/>
      <c r="V503" s="59"/>
      <c r="W503" s="59"/>
      <c r="X503" s="59"/>
      <c r="Y503" s="59"/>
    </row>
    <row r="504" spans="1:25" x14ac:dyDescent="0.25">
      <c r="A504" s="57">
        <f t="shared" si="108"/>
        <v>42355</v>
      </c>
      <c r="B504" s="63" t="s">
        <v>71</v>
      </c>
      <c r="H504" s="2">
        <f t="shared" si="109"/>
        <v>0</v>
      </c>
      <c r="I504" s="30" t="e">
        <f t="shared" si="110"/>
        <v>#DIV/0!</v>
      </c>
      <c r="K504" s="59"/>
      <c r="L504" s="59"/>
      <c r="M504" s="59"/>
      <c r="N504" s="59"/>
      <c r="O504" s="59"/>
      <c r="P504" s="59"/>
      <c r="Q504" s="59"/>
      <c r="R504" s="59"/>
      <c r="S504" s="59"/>
      <c r="T504" s="59"/>
      <c r="U504" s="59"/>
      <c r="V504" s="59"/>
      <c r="W504" s="59"/>
      <c r="X504" s="59"/>
      <c r="Y504" s="59"/>
    </row>
    <row r="505" spans="1:25" x14ac:dyDescent="0.25">
      <c r="A505" s="57">
        <f t="shared" si="108"/>
        <v>42362</v>
      </c>
      <c r="B505" s="63" t="s">
        <v>71</v>
      </c>
      <c r="H505" s="2">
        <f t="shared" si="109"/>
        <v>0</v>
      </c>
      <c r="I505" s="30" t="e">
        <f t="shared" si="110"/>
        <v>#DIV/0!</v>
      </c>
      <c r="K505" s="59"/>
      <c r="L505" s="59"/>
      <c r="M505" s="59"/>
      <c r="N505" s="59"/>
      <c r="O505" s="59"/>
      <c r="P505" s="59"/>
      <c r="Q505" s="59"/>
      <c r="R505" s="59"/>
      <c r="S505" s="59"/>
      <c r="T505" s="59"/>
      <c r="U505" s="59"/>
      <c r="V505" s="59"/>
      <c r="W505" s="59"/>
      <c r="X505" s="59"/>
      <c r="Y505" s="59"/>
    </row>
    <row r="506" spans="1:25" x14ac:dyDescent="0.25">
      <c r="A506" s="57">
        <f t="shared" si="108"/>
        <v>42369</v>
      </c>
      <c r="B506" s="63" t="s">
        <v>71</v>
      </c>
      <c r="H506" s="2">
        <f t="shared" si="109"/>
        <v>0</v>
      </c>
      <c r="I506" s="30" t="e">
        <f t="shared" si="110"/>
        <v>#DIV/0!</v>
      </c>
      <c r="K506" s="59"/>
      <c r="L506" s="59"/>
      <c r="M506" s="59"/>
      <c r="N506" s="59"/>
      <c r="O506" s="59"/>
      <c r="P506" s="59"/>
      <c r="Q506" s="59"/>
      <c r="R506" s="59"/>
      <c r="S506" s="59"/>
      <c r="T506" s="59"/>
      <c r="U506" s="59"/>
      <c r="V506" s="59"/>
      <c r="W506" s="59"/>
      <c r="X506" s="59"/>
      <c r="Y506" s="59"/>
    </row>
    <row r="507" spans="1:25" x14ac:dyDescent="0.25">
      <c r="A507" s="57">
        <f t="shared" si="108"/>
        <v>42376</v>
      </c>
      <c r="B507" s="63" t="s">
        <v>71</v>
      </c>
      <c r="H507" s="2">
        <f t="shared" si="109"/>
        <v>0</v>
      </c>
      <c r="I507" s="30" t="e">
        <f t="shared" si="110"/>
        <v>#DIV/0!</v>
      </c>
      <c r="K507" s="59"/>
      <c r="L507" s="59"/>
      <c r="M507" s="59"/>
      <c r="N507" s="59"/>
      <c r="O507" s="59"/>
      <c r="P507" s="59"/>
      <c r="Q507" s="59"/>
      <c r="R507" s="59"/>
      <c r="S507" s="59"/>
      <c r="T507" s="59"/>
      <c r="U507" s="59"/>
      <c r="V507" s="59"/>
      <c r="W507" s="59"/>
      <c r="X507" s="59"/>
      <c r="Y507" s="59"/>
    </row>
    <row r="508" spans="1:25" x14ac:dyDescent="0.25">
      <c r="A508" s="57">
        <f t="shared" si="108"/>
        <v>42383</v>
      </c>
      <c r="B508" s="63" t="s">
        <v>71</v>
      </c>
      <c r="H508" s="2">
        <f t="shared" si="109"/>
        <v>0</v>
      </c>
      <c r="I508" s="30" t="e">
        <f t="shared" si="110"/>
        <v>#DIV/0!</v>
      </c>
      <c r="K508" s="59"/>
      <c r="L508" s="59"/>
      <c r="M508" s="59"/>
      <c r="N508" s="59"/>
      <c r="O508" s="59"/>
      <c r="P508" s="59"/>
      <c r="Q508" s="59"/>
      <c r="R508" s="59"/>
      <c r="S508" s="59"/>
      <c r="T508" s="59"/>
      <c r="U508" s="59"/>
      <c r="V508" s="59"/>
      <c r="W508" s="59"/>
      <c r="X508" s="59"/>
      <c r="Y508" s="59"/>
    </row>
    <row r="509" spans="1:25" x14ac:dyDescent="0.25">
      <c r="A509" s="57">
        <f t="shared" si="108"/>
        <v>42390</v>
      </c>
      <c r="B509" s="63" t="s">
        <v>71</v>
      </c>
      <c r="H509" s="2">
        <f t="shared" si="109"/>
        <v>0</v>
      </c>
      <c r="I509" s="30" t="e">
        <f t="shared" si="110"/>
        <v>#DIV/0!</v>
      </c>
      <c r="K509" s="59"/>
      <c r="L509" s="59"/>
      <c r="M509" s="59"/>
      <c r="N509" s="59"/>
      <c r="O509" s="59"/>
      <c r="P509" s="59"/>
      <c r="Q509" s="59"/>
      <c r="R509" s="59"/>
      <c r="S509" s="59"/>
      <c r="T509" s="59"/>
      <c r="U509" s="59"/>
      <c r="V509" s="59"/>
      <c r="W509" s="59"/>
      <c r="X509" s="59"/>
      <c r="Y509" s="59"/>
    </row>
    <row r="510" spans="1:25" x14ac:dyDescent="0.25">
      <c r="A510" s="57">
        <f t="shared" ref="A510:A573" si="111">+A509+7</f>
        <v>42397</v>
      </c>
      <c r="B510" s="63" t="s">
        <v>71</v>
      </c>
      <c r="H510" s="2">
        <f t="shared" si="109"/>
        <v>0</v>
      </c>
      <c r="I510" s="30" t="e">
        <f t="shared" si="110"/>
        <v>#DIV/0!</v>
      </c>
      <c r="K510" s="59"/>
      <c r="L510" s="59"/>
      <c r="M510" s="59"/>
      <c r="N510" s="59"/>
      <c r="O510" s="59"/>
      <c r="P510" s="59"/>
      <c r="Q510" s="59"/>
      <c r="R510" s="59"/>
      <c r="S510" s="59"/>
      <c r="T510" s="59"/>
      <c r="U510" s="59"/>
      <c r="V510" s="59"/>
      <c r="W510" s="59"/>
      <c r="X510" s="59"/>
      <c r="Y510" s="59"/>
    </row>
    <row r="511" spans="1:25" x14ac:dyDescent="0.25">
      <c r="A511" s="57">
        <f t="shared" si="111"/>
        <v>42404</v>
      </c>
      <c r="B511" s="63" t="s">
        <v>71</v>
      </c>
      <c r="H511" s="2">
        <f t="shared" si="109"/>
        <v>0</v>
      </c>
      <c r="I511" s="30" t="e">
        <f t="shared" si="110"/>
        <v>#DIV/0!</v>
      </c>
      <c r="K511" s="59"/>
      <c r="L511" s="59"/>
      <c r="M511" s="59"/>
      <c r="N511" s="59"/>
      <c r="O511" s="59"/>
      <c r="P511" s="59"/>
      <c r="Q511" s="59"/>
      <c r="R511" s="59"/>
      <c r="S511" s="59"/>
      <c r="T511" s="59"/>
      <c r="U511" s="59"/>
      <c r="V511" s="59"/>
      <c r="W511" s="59"/>
      <c r="X511" s="59"/>
      <c r="Y511" s="59"/>
    </row>
    <row r="512" spans="1:25" x14ac:dyDescent="0.25">
      <c r="A512" s="57">
        <f t="shared" si="111"/>
        <v>42411</v>
      </c>
      <c r="B512" s="63" t="s">
        <v>71</v>
      </c>
      <c r="H512" s="2">
        <f t="shared" si="109"/>
        <v>0</v>
      </c>
      <c r="I512" s="30" t="e">
        <f t="shared" si="110"/>
        <v>#DIV/0!</v>
      </c>
      <c r="K512" s="59"/>
      <c r="L512" s="59"/>
      <c r="M512" s="59"/>
      <c r="N512" s="59"/>
      <c r="O512" s="59"/>
      <c r="P512" s="59"/>
      <c r="Q512" s="59"/>
      <c r="R512" s="59"/>
      <c r="S512" s="59"/>
      <c r="T512" s="59"/>
      <c r="U512" s="59"/>
      <c r="V512" s="59"/>
      <c r="W512" s="59"/>
      <c r="X512" s="59"/>
      <c r="Y512" s="59"/>
    </row>
    <row r="513" spans="1:25" x14ac:dyDescent="0.25">
      <c r="A513" s="57">
        <f t="shared" si="111"/>
        <v>42418</v>
      </c>
      <c r="B513" s="63" t="s">
        <v>71</v>
      </c>
      <c r="H513" s="2">
        <f t="shared" si="109"/>
        <v>0</v>
      </c>
      <c r="I513" s="30" t="e">
        <f t="shared" si="110"/>
        <v>#DIV/0!</v>
      </c>
      <c r="K513" s="59"/>
      <c r="L513" s="59"/>
      <c r="M513" s="59"/>
      <c r="N513" s="59"/>
      <c r="O513" s="59"/>
      <c r="P513" s="59"/>
      <c r="Q513" s="59"/>
      <c r="R513" s="59"/>
      <c r="S513" s="59"/>
      <c r="T513" s="59"/>
      <c r="U513" s="59"/>
      <c r="V513" s="59"/>
      <c r="W513" s="59"/>
      <c r="X513" s="59"/>
      <c r="Y513" s="59"/>
    </row>
    <row r="514" spans="1:25" x14ac:dyDescent="0.25">
      <c r="A514" s="57">
        <f t="shared" si="111"/>
        <v>42425</v>
      </c>
      <c r="B514" s="63" t="s">
        <v>71</v>
      </c>
      <c r="H514" s="2">
        <f t="shared" si="109"/>
        <v>0</v>
      </c>
      <c r="I514" s="30" t="e">
        <f t="shared" si="110"/>
        <v>#DIV/0!</v>
      </c>
      <c r="K514" s="59"/>
      <c r="L514" s="59"/>
      <c r="M514" s="59"/>
      <c r="N514" s="59"/>
      <c r="O514" s="59"/>
      <c r="P514" s="59"/>
      <c r="Q514" s="59"/>
      <c r="R514" s="59"/>
      <c r="S514" s="59"/>
      <c r="T514" s="59"/>
      <c r="U514" s="59"/>
      <c r="V514" s="59"/>
      <c r="W514" s="59"/>
      <c r="X514" s="59"/>
      <c r="Y514" s="59"/>
    </row>
    <row r="515" spans="1:25" x14ac:dyDescent="0.25">
      <c r="A515" s="57">
        <f t="shared" si="111"/>
        <v>42432</v>
      </c>
      <c r="B515" s="63" t="s">
        <v>71</v>
      </c>
      <c r="H515" s="2">
        <f t="shared" si="109"/>
        <v>0</v>
      </c>
      <c r="I515" s="30" t="e">
        <f t="shared" si="110"/>
        <v>#DIV/0!</v>
      </c>
      <c r="K515" s="59"/>
      <c r="L515" s="59"/>
      <c r="M515" s="59"/>
      <c r="N515" s="59"/>
      <c r="O515" s="59"/>
      <c r="P515" s="59"/>
      <c r="Q515" s="59"/>
      <c r="R515" s="59"/>
      <c r="S515" s="59"/>
      <c r="T515" s="59"/>
      <c r="U515" s="59"/>
      <c r="V515" s="59"/>
      <c r="W515" s="59"/>
      <c r="X515" s="59"/>
      <c r="Y515" s="59"/>
    </row>
    <row r="516" spans="1:25" x14ac:dyDescent="0.25">
      <c r="A516" s="57">
        <f t="shared" si="111"/>
        <v>42439</v>
      </c>
      <c r="B516" s="63" t="s">
        <v>71</v>
      </c>
      <c r="H516" s="2">
        <f t="shared" si="109"/>
        <v>0</v>
      </c>
      <c r="I516" s="30" t="e">
        <f t="shared" si="110"/>
        <v>#DIV/0!</v>
      </c>
      <c r="K516" s="59"/>
      <c r="L516" s="59"/>
      <c r="M516" s="59"/>
      <c r="N516" s="59"/>
      <c r="O516" s="59"/>
      <c r="P516" s="59"/>
      <c r="Q516" s="59"/>
      <c r="R516" s="59"/>
      <c r="S516" s="59"/>
      <c r="T516" s="59"/>
      <c r="U516" s="59"/>
      <c r="V516" s="59"/>
      <c r="W516" s="59"/>
      <c r="X516" s="59"/>
      <c r="Y516" s="59"/>
    </row>
    <row r="517" spans="1:25" x14ac:dyDescent="0.25">
      <c r="A517" s="57">
        <f t="shared" si="111"/>
        <v>42446</v>
      </c>
      <c r="B517" s="63" t="s">
        <v>71</v>
      </c>
      <c r="H517" s="2">
        <f t="shared" si="109"/>
        <v>0</v>
      </c>
      <c r="I517" s="30" t="e">
        <f t="shared" si="110"/>
        <v>#DIV/0!</v>
      </c>
      <c r="K517" s="59"/>
      <c r="L517" s="59"/>
      <c r="M517" s="59"/>
      <c r="N517" s="59"/>
      <c r="O517" s="59"/>
      <c r="P517" s="59"/>
      <c r="Q517" s="59"/>
      <c r="R517" s="59"/>
      <c r="S517" s="59"/>
      <c r="T517" s="59"/>
      <c r="U517" s="59"/>
      <c r="V517" s="59"/>
      <c r="W517" s="59"/>
      <c r="X517" s="59"/>
      <c r="Y517" s="59"/>
    </row>
    <row r="518" spans="1:25" x14ac:dyDescent="0.25">
      <c r="A518" s="57">
        <f t="shared" si="111"/>
        <v>42453</v>
      </c>
      <c r="B518" s="63" t="s">
        <v>71</v>
      </c>
      <c r="H518" s="2">
        <f t="shared" si="109"/>
        <v>0</v>
      </c>
      <c r="I518" s="30" t="e">
        <f t="shared" si="110"/>
        <v>#DIV/0!</v>
      </c>
      <c r="K518" s="59"/>
      <c r="L518" s="59"/>
      <c r="M518" s="59"/>
      <c r="N518" s="59"/>
      <c r="O518" s="59"/>
      <c r="P518" s="59"/>
      <c r="Q518" s="59"/>
      <c r="R518" s="59"/>
      <c r="S518" s="59"/>
      <c r="T518" s="59"/>
      <c r="U518" s="59"/>
      <c r="V518" s="59"/>
      <c r="W518" s="59"/>
      <c r="X518" s="59"/>
      <c r="Y518" s="59"/>
    </row>
    <row r="519" spans="1:25" x14ac:dyDescent="0.25">
      <c r="A519" s="57">
        <f t="shared" si="111"/>
        <v>42460</v>
      </c>
      <c r="B519" s="63" t="s">
        <v>71</v>
      </c>
      <c r="H519" s="2">
        <f t="shared" si="109"/>
        <v>0</v>
      </c>
      <c r="I519" s="30" t="e">
        <f t="shared" si="110"/>
        <v>#DIV/0!</v>
      </c>
      <c r="K519" s="59"/>
      <c r="L519" s="59"/>
      <c r="M519" s="59"/>
      <c r="N519" s="59"/>
      <c r="O519" s="59"/>
      <c r="P519" s="59"/>
      <c r="Q519" s="59"/>
      <c r="R519" s="59"/>
      <c r="S519" s="59"/>
      <c r="T519" s="59"/>
      <c r="U519" s="59"/>
      <c r="V519" s="59"/>
      <c r="W519" s="59"/>
      <c r="X519" s="59"/>
      <c r="Y519" s="59"/>
    </row>
    <row r="520" spans="1:25" x14ac:dyDescent="0.25">
      <c r="A520" s="57">
        <f t="shared" si="111"/>
        <v>42467</v>
      </c>
      <c r="B520" s="63" t="s">
        <v>71</v>
      </c>
      <c r="H520" s="2">
        <f t="shared" si="109"/>
        <v>0</v>
      </c>
      <c r="I520" s="30" t="e">
        <f t="shared" si="110"/>
        <v>#DIV/0!</v>
      </c>
      <c r="K520" s="59"/>
      <c r="L520" s="59"/>
      <c r="M520" s="59"/>
      <c r="N520" s="59"/>
      <c r="O520" s="59"/>
      <c r="P520" s="59"/>
      <c r="Q520" s="59"/>
      <c r="R520" s="59"/>
      <c r="S520" s="59"/>
      <c r="T520" s="59"/>
      <c r="U520" s="59"/>
      <c r="V520" s="59"/>
      <c r="W520" s="59"/>
      <c r="X520" s="59"/>
      <c r="Y520" s="59"/>
    </row>
    <row r="521" spans="1:25" x14ac:dyDescent="0.25">
      <c r="A521" s="57">
        <f t="shared" si="111"/>
        <v>42474</v>
      </c>
      <c r="B521" s="63" t="s">
        <v>71</v>
      </c>
      <c r="H521" s="2">
        <f t="shared" si="109"/>
        <v>0</v>
      </c>
      <c r="I521" s="30" t="e">
        <f t="shared" si="110"/>
        <v>#DIV/0!</v>
      </c>
      <c r="K521" s="59"/>
      <c r="L521" s="59"/>
      <c r="M521" s="59"/>
      <c r="N521" s="59"/>
      <c r="O521" s="59"/>
      <c r="P521" s="59"/>
      <c r="Q521" s="59"/>
      <c r="R521" s="59"/>
      <c r="S521" s="59"/>
      <c r="T521" s="59"/>
      <c r="U521" s="59"/>
      <c r="V521" s="59"/>
      <c r="W521" s="59"/>
      <c r="X521" s="59"/>
      <c r="Y521" s="59"/>
    </row>
    <row r="522" spans="1:25" x14ac:dyDescent="0.25">
      <c r="A522" s="57">
        <f t="shared" si="111"/>
        <v>42481</v>
      </c>
      <c r="B522" s="63" t="s">
        <v>71</v>
      </c>
      <c r="H522" s="2">
        <f t="shared" si="109"/>
        <v>0</v>
      </c>
      <c r="I522" s="30" t="e">
        <f t="shared" si="110"/>
        <v>#DIV/0!</v>
      </c>
      <c r="K522" s="59"/>
      <c r="L522" s="59"/>
      <c r="M522" s="59"/>
      <c r="N522" s="59"/>
      <c r="O522" s="59"/>
      <c r="P522" s="59"/>
      <c r="Q522" s="59"/>
      <c r="R522" s="59"/>
      <c r="S522" s="59"/>
      <c r="T522" s="59"/>
      <c r="U522" s="59"/>
      <c r="V522" s="59"/>
      <c r="W522" s="59"/>
      <c r="X522" s="59"/>
      <c r="Y522" s="59"/>
    </row>
    <row r="523" spans="1:25" x14ac:dyDescent="0.25">
      <c r="A523" s="57">
        <f t="shared" si="111"/>
        <v>42488</v>
      </c>
      <c r="B523" s="63" t="s">
        <v>71</v>
      </c>
      <c r="H523" s="2">
        <f t="shared" si="109"/>
        <v>0</v>
      </c>
      <c r="I523" s="30" t="e">
        <f t="shared" si="110"/>
        <v>#DIV/0!</v>
      </c>
      <c r="K523" s="59"/>
      <c r="L523" s="59"/>
      <c r="M523" s="59"/>
      <c r="N523" s="59"/>
      <c r="O523" s="59"/>
      <c r="P523" s="59"/>
      <c r="Q523" s="59"/>
      <c r="R523" s="59"/>
      <c r="S523" s="59"/>
      <c r="T523" s="59"/>
      <c r="U523" s="59"/>
      <c r="V523" s="59"/>
      <c r="W523" s="59"/>
      <c r="X523" s="59"/>
      <c r="Y523" s="59"/>
    </row>
    <row r="524" spans="1:25" x14ac:dyDescent="0.25">
      <c r="A524" s="57">
        <f t="shared" si="111"/>
        <v>42495</v>
      </c>
      <c r="B524" s="63" t="s">
        <v>71</v>
      </c>
      <c r="H524" s="2">
        <f t="shared" si="109"/>
        <v>0</v>
      </c>
      <c r="I524" s="30" t="e">
        <f t="shared" si="110"/>
        <v>#DIV/0!</v>
      </c>
      <c r="K524" s="59"/>
      <c r="L524" s="59"/>
      <c r="M524" s="59"/>
      <c r="N524" s="59"/>
      <c r="O524" s="59"/>
      <c r="P524" s="59"/>
      <c r="Q524" s="59"/>
      <c r="R524" s="59"/>
      <c r="S524" s="59"/>
      <c r="T524" s="59"/>
      <c r="U524" s="59"/>
      <c r="V524" s="59"/>
      <c r="W524" s="59"/>
      <c r="X524" s="59"/>
      <c r="Y524" s="59"/>
    </row>
    <row r="525" spans="1:25" x14ac:dyDescent="0.25">
      <c r="A525" s="57">
        <f t="shared" si="111"/>
        <v>42502</v>
      </c>
      <c r="B525" s="63" t="s">
        <v>71</v>
      </c>
      <c r="H525" s="2">
        <f t="shared" si="109"/>
        <v>0</v>
      </c>
      <c r="I525" s="30" t="e">
        <f t="shared" si="110"/>
        <v>#DIV/0!</v>
      </c>
      <c r="K525" s="59"/>
      <c r="L525" s="59"/>
      <c r="M525" s="59"/>
      <c r="N525" s="59"/>
      <c r="O525" s="59"/>
      <c r="P525" s="59"/>
      <c r="Q525" s="59"/>
      <c r="R525" s="59"/>
      <c r="S525" s="59"/>
      <c r="T525" s="59"/>
      <c r="U525" s="59"/>
      <c r="V525" s="59"/>
      <c r="W525" s="59"/>
      <c r="X525" s="59"/>
      <c r="Y525" s="59"/>
    </row>
    <row r="526" spans="1:25" x14ac:dyDescent="0.25">
      <c r="A526" s="57">
        <f t="shared" si="111"/>
        <v>42509</v>
      </c>
      <c r="B526" s="63" t="s">
        <v>71</v>
      </c>
      <c r="H526" s="2">
        <f t="shared" si="109"/>
        <v>0</v>
      </c>
      <c r="I526" s="30" t="e">
        <f t="shared" si="110"/>
        <v>#DIV/0!</v>
      </c>
      <c r="K526" s="59"/>
      <c r="L526" s="59"/>
      <c r="M526" s="59"/>
      <c r="N526" s="59"/>
      <c r="O526" s="59"/>
      <c r="P526" s="59"/>
      <c r="Q526" s="59"/>
      <c r="R526" s="59"/>
      <c r="S526" s="59"/>
      <c r="T526" s="59"/>
      <c r="U526" s="59"/>
      <c r="V526" s="59"/>
      <c r="W526" s="59"/>
      <c r="X526" s="59"/>
      <c r="Y526" s="59"/>
    </row>
    <row r="527" spans="1:25" x14ac:dyDescent="0.25">
      <c r="A527" s="57">
        <f t="shared" si="111"/>
        <v>42516</v>
      </c>
      <c r="B527" s="63" t="s">
        <v>71</v>
      </c>
      <c r="H527" s="2">
        <f t="shared" si="109"/>
        <v>0</v>
      </c>
      <c r="I527" s="30" t="e">
        <f t="shared" si="110"/>
        <v>#DIV/0!</v>
      </c>
      <c r="K527" s="59"/>
      <c r="L527" s="59"/>
      <c r="M527" s="59"/>
      <c r="N527" s="59"/>
      <c r="O527" s="59"/>
      <c r="P527" s="59"/>
      <c r="Q527" s="59"/>
      <c r="R527" s="59"/>
      <c r="S527" s="59"/>
      <c r="T527" s="59"/>
      <c r="U527" s="59"/>
      <c r="V527" s="59"/>
      <c r="W527" s="59"/>
      <c r="X527" s="59"/>
      <c r="Y527" s="59"/>
    </row>
    <row r="528" spans="1:25" x14ac:dyDescent="0.25">
      <c r="A528" s="57">
        <f t="shared" si="111"/>
        <v>42523</v>
      </c>
      <c r="B528" s="63" t="s">
        <v>71</v>
      </c>
      <c r="H528" s="2">
        <f t="shared" si="109"/>
        <v>0</v>
      </c>
      <c r="I528" s="30" t="e">
        <f t="shared" si="110"/>
        <v>#DIV/0!</v>
      </c>
      <c r="K528" s="59"/>
      <c r="L528" s="59"/>
      <c r="M528" s="59"/>
      <c r="N528" s="59"/>
      <c r="O528" s="59"/>
      <c r="P528" s="59"/>
      <c r="Q528" s="59"/>
      <c r="R528" s="59"/>
      <c r="S528" s="59"/>
      <c r="T528" s="59"/>
      <c r="U528" s="59"/>
      <c r="V528" s="59"/>
      <c r="W528" s="59"/>
      <c r="X528" s="59"/>
      <c r="Y528" s="59"/>
    </row>
    <row r="529" spans="1:25" x14ac:dyDescent="0.25">
      <c r="A529" s="57">
        <f t="shared" si="111"/>
        <v>42530</v>
      </c>
      <c r="B529" s="63" t="s">
        <v>71</v>
      </c>
      <c r="H529" s="2">
        <f t="shared" si="109"/>
        <v>0</v>
      </c>
      <c r="I529" s="30" t="e">
        <f t="shared" si="110"/>
        <v>#DIV/0!</v>
      </c>
      <c r="K529" s="59"/>
      <c r="L529" s="59"/>
      <c r="M529" s="59"/>
      <c r="N529" s="59"/>
      <c r="O529" s="59"/>
      <c r="P529" s="59"/>
      <c r="Q529" s="59"/>
      <c r="R529" s="59"/>
      <c r="S529" s="59"/>
      <c r="T529" s="59"/>
      <c r="U529" s="59"/>
      <c r="V529" s="59"/>
      <c r="W529" s="59"/>
      <c r="X529" s="59"/>
      <c r="Y529" s="59"/>
    </row>
    <row r="530" spans="1:25" x14ac:dyDescent="0.25">
      <c r="A530" s="57">
        <f t="shared" si="111"/>
        <v>42537</v>
      </c>
      <c r="B530" s="63" t="s">
        <v>71</v>
      </c>
      <c r="H530" s="2">
        <f t="shared" si="109"/>
        <v>0</v>
      </c>
      <c r="I530" s="30" t="e">
        <f t="shared" si="110"/>
        <v>#DIV/0!</v>
      </c>
      <c r="K530" s="59"/>
      <c r="L530" s="59"/>
      <c r="M530" s="59"/>
      <c r="N530" s="59"/>
      <c r="O530" s="59"/>
      <c r="P530" s="59"/>
      <c r="Q530" s="59"/>
      <c r="R530" s="59"/>
      <c r="S530" s="59"/>
      <c r="T530" s="59"/>
      <c r="U530" s="59"/>
      <c r="V530" s="59"/>
      <c r="W530" s="59"/>
      <c r="X530" s="59"/>
      <c r="Y530" s="59"/>
    </row>
    <row r="531" spans="1:25" x14ac:dyDescent="0.25">
      <c r="A531" s="57">
        <f t="shared" si="111"/>
        <v>42544</v>
      </c>
      <c r="B531" s="63" t="s">
        <v>71</v>
      </c>
      <c r="H531" s="2">
        <f t="shared" si="109"/>
        <v>0</v>
      </c>
      <c r="I531" s="30" t="e">
        <f t="shared" si="110"/>
        <v>#DIV/0!</v>
      </c>
      <c r="K531" s="59"/>
      <c r="L531" s="59"/>
      <c r="M531" s="59"/>
      <c r="N531" s="59"/>
      <c r="O531" s="59"/>
      <c r="P531" s="59"/>
      <c r="Q531" s="59"/>
      <c r="R531" s="59"/>
      <c r="S531" s="59"/>
      <c r="T531" s="59"/>
      <c r="U531" s="59"/>
      <c r="V531" s="59"/>
      <c r="W531" s="59"/>
      <c r="X531" s="59"/>
      <c r="Y531" s="59"/>
    </row>
    <row r="532" spans="1:25" x14ac:dyDescent="0.25">
      <c r="A532" s="57">
        <f t="shared" si="111"/>
        <v>42551</v>
      </c>
      <c r="B532" s="63" t="s">
        <v>71</v>
      </c>
      <c r="H532" s="2">
        <f t="shared" si="109"/>
        <v>0</v>
      </c>
      <c r="I532" s="30" t="e">
        <f t="shared" si="110"/>
        <v>#DIV/0!</v>
      </c>
      <c r="K532" s="59"/>
      <c r="L532" s="59"/>
      <c r="M532" s="59"/>
      <c r="N532" s="59"/>
      <c r="O532" s="59"/>
      <c r="P532" s="59"/>
      <c r="Q532" s="59"/>
      <c r="R532" s="59"/>
      <c r="S532" s="59"/>
      <c r="T532" s="59"/>
      <c r="U532" s="59"/>
      <c r="V532" s="59"/>
      <c r="W532" s="59"/>
      <c r="X532" s="59"/>
      <c r="Y532" s="59"/>
    </row>
    <row r="533" spans="1:25" x14ac:dyDescent="0.25">
      <c r="A533" s="57">
        <f t="shared" si="111"/>
        <v>42558</v>
      </c>
      <c r="B533" s="63" t="s">
        <v>71</v>
      </c>
      <c r="H533" s="2">
        <f t="shared" ref="H533:H596" si="112">+D533+F533</f>
        <v>0</v>
      </c>
      <c r="I533" s="30" t="e">
        <f t="shared" ref="I533:I596" si="113">(G533/H533-1)*100</f>
        <v>#DIV/0!</v>
      </c>
      <c r="K533" s="59"/>
      <c r="L533" s="59"/>
      <c r="M533" s="59"/>
      <c r="N533" s="59"/>
      <c r="O533" s="59"/>
      <c r="P533" s="59"/>
      <c r="Q533" s="59"/>
      <c r="R533" s="59"/>
      <c r="S533" s="59"/>
      <c r="T533" s="59"/>
      <c r="U533" s="59"/>
      <c r="V533" s="59"/>
      <c r="W533" s="59"/>
      <c r="X533" s="59"/>
      <c r="Y533" s="59"/>
    </row>
    <row r="534" spans="1:25" x14ac:dyDescent="0.25">
      <c r="A534" s="57">
        <f t="shared" si="111"/>
        <v>42565</v>
      </c>
      <c r="B534" s="63" t="s">
        <v>71</v>
      </c>
      <c r="H534" s="2">
        <f t="shared" si="112"/>
        <v>0</v>
      </c>
      <c r="I534" s="30" t="e">
        <f t="shared" si="113"/>
        <v>#DIV/0!</v>
      </c>
      <c r="K534" s="59"/>
      <c r="L534" s="59"/>
      <c r="M534" s="59"/>
      <c r="N534" s="59"/>
      <c r="O534" s="59"/>
      <c r="P534" s="59"/>
      <c r="Q534" s="59"/>
      <c r="R534" s="59"/>
      <c r="S534" s="59"/>
      <c r="T534" s="59"/>
      <c r="U534" s="59"/>
      <c r="V534" s="59"/>
      <c r="W534" s="59"/>
      <c r="X534" s="59"/>
      <c r="Y534" s="59"/>
    </row>
    <row r="535" spans="1:25" x14ac:dyDescent="0.25">
      <c r="A535" s="57">
        <f t="shared" si="111"/>
        <v>42572</v>
      </c>
      <c r="B535" s="63" t="s">
        <v>71</v>
      </c>
      <c r="H535" s="2">
        <f t="shared" si="112"/>
        <v>0</v>
      </c>
      <c r="I535" s="30" t="e">
        <f t="shared" si="113"/>
        <v>#DIV/0!</v>
      </c>
      <c r="K535" s="59"/>
      <c r="L535" s="59"/>
      <c r="M535" s="59"/>
      <c r="N535" s="59"/>
      <c r="O535" s="59"/>
      <c r="P535" s="59"/>
      <c r="Q535" s="59"/>
      <c r="R535" s="59"/>
      <c r="S535" s="59"/>
      <c r="T535" s="59"/>
      <c r="U535" s="59"/>
      <c r="V535" s="59"/>
      <c r="W535" s="59"/>
      <c r="X535" s="59"/>
      <c r="Y535" s="59"/>
    </row>
    <row r="536" spans="1:25" x14ac:dyDescent="0.25">
      <c r="A536" s="57">
        <f t="shared" si="111"/>
        <v>42579</v>
      </c>
      <c r="B536" s="63" t="s">
        <v>71</v>
      </c>
      <c r="H536" s="2">
        <f t="shared" si="112"/>
        <v>0</v>
      </c>
      <c r="I536" s="30" t="e">
        <f t="shared" si="113"/>
        <v>#DIV/0!</v>
      </c>
      <c r="K536" s="59"/>
      <c r="L536" s="59"/>
      <c r="M536" s="59"/>
      <c r="N536" s="59"/>
      <c r="O536" s="59"/>
      <c r="P536" s="59"/>
      <c r="Q536" s="59"/>
      <c r="R536" s="59"/>
      <c r="S536" s="59"/>
      <c r="T536" s="59"/>
      <c r="U536" s="59"/>
      <c r="V536" s="59"/>
      <c r="W536" s="59"/>
      <c r="X536" s="59"/>
      <c r="Y536" s="59"/>
    </row>
    <row r="537" spans="1:25" x14ac:dyDescent="0.25">
      <c r="A537" s="57">
        <f t="shared" si="111"/>
        <v>42586</v>
      </c>
      <c r="B537" s="63" t="s">
        <v>71</v>
      </c>
      <c r="H537" s="2">
        <f t="shared" si="112"/>
        <v>0</v>
      </c>
      <c r="I537" s="30" t="e">
        <f t="shared" si="113"/>
        <v>#DIV/0!</v>
      </c>
      <c r="K537" s="59"/>
      <c r="L537" s="59"/>
      <c r="M537" s="59"/>
      <c r="N537" s="59"/>
      <c r="O537" s="59"/>
      <c r="P537" s="59"/>
      <c r="Q537" s="59"/>
      <c r="R537" s="59"/>
      <c r="S537" s="59"/>
      <c r="T537" s="59"/>
      <c r="U537" s="59"/>
      <c r="V537" s="59"/>
      <c r="W537" s="59"/>
      <c r="X537" s="59"/>
      <c r="Y537" s="59"/>
    </row>
    <row r="538" spans="1:25" x14ac:dyDescent="0.25">
      <c r="A538" s="57">
        <f t="shared" si="111"/>
        <v>42593</v>
      </c>
      <c r="B538" s="63" t="s">
        <v>71</v>
      </c>
      <c r="H538" s="2">
        <f t="shared" si="112"/>
        <v>0</v>
      </c>
      <c r="I538" s="30" t="e">
        <f t="shared" si="113"/>
        <v>#DIV/0!</v>
      </c>
      <c r="K538" s="59"/>
      <c r="L538" s="59"/>
      <c r="M538" s="59"/>
      <c r="N538" s="59"/>
      <c r="O538" s="59"/>
      <c r="P538" s="59"/>
      <c r="Q538" s="59"/>
      <c r="R538" s="59"/>
      <c r="S538" s="59"/>
      <c r="T538" s="59"/>
      <c r="U538" s="59"/>
      <c r="V538" s="59"/>
      <c r="W538" s="59"/>
      <c r="X538" s="59"/>
      <c r="Y538" s="59"/>
    </row>
    <row r="539" spans="1:25" x14ac:dyDescent="0.25">
      <c r="A539" s="57">
        <f t="shared" si="111"/>
        <v>42600</v>
      </c>
      <c r="B539" s="63" t="s">
        <v>71</v>
      </c>
      <c r="H539" s="2">
        <f t="shared" si="112"/>
        <v>0</v>
      </c>
      <c r="I539" s="30" t="e">
        <f t="shared" si="113"/>
        <v>#DIV/0!</v>
      </c>
      <c r="K539" s="59"/>
      <c r="L539" s="59"/>
      <c r="M539" s="59"/>
      <c r="N539" s="59"/>
      <c r="O539" s="59"/>
      <c r="P539" s="59"/>
      <c r="Q539" s="59"/>
      <c r="R539" s="59"/>
      <c r="S539" s="59"/>
      <c r="T539" s="59"/>
      <c r="U539" s="59"/>
      <c r="V539" s="59"/>
      <c r="W539" s="59"/>
      <c r="X539" s="59"/>
      <c r="Y539" s="59"/>
    </row>
    <row r="540" spans="1:25" x14ac:dyDescent="0.25">
      <c r="A540" s="57">
        <f t="shared" si="111"/>
        <v>42607</v>
      </c>
      <c r="B540" s="63" t="s">
        <v>71</v>
      </c>
      <c r="H540" s="2">
        <f t="shared" si="112"/>
        <v>0</v>
      </c>
      <c r="I540" s="30" t="e">
        <f t="shared" si="113"/>
        <v>#DIV/0!</v>
      </c>
      <c r="K540" s="59"/>
      <c r="L540" s="59"/>
      <c r="M540" s="59"/>
      <c r="N540" s="59"/>
      <c r="O540" s="59"/>
      <c r="P540" s="59"/>
      <c r="Q540" s="59"/>
      <c r="R540" s="59"/>
      <c r="S540" s="59"/>
      <c r="T540" s="59"/>
      <c r="U540" s="59"/>
      <c r="V540" s="59"/>
      <c r="W540" s="59"/>
      <c r="X540" s="59"/>
      <c r="Y540" s="59"/>
    </row>
    <row r="541" spans="1:25" x14ac:dyDescent="0.25">
      <c r="A541" s="57">
        <f t="shared" si="111"/>
        <v>42614</v>
      </c>
      <c r="B541" s="63" t="s">
        <v>71</v>
      </c>
      <c r="H541" s="2">
        <f t="shared" si="112"/>
        <v>0</v>
      </c>
      <c r="I541" s="30" t="e">
        <f t="shared" si="113"/>
        <v>#DIV/0!</v>
      </c>
      <c r="K541" s="59"/>
      <c r="L541" s="59"/>
      <c r="M541" s="59"/>
      <c r="N541" s="59"/>
      <c r="O541" s="59"/>
      <c r="P541" s="59"/>
      <c r="Q541" s="59"/>
      <c r="R541" s="59"/>
      <c r="S541" s="59"/>
      <c r="T541" s="59"/>
      <c r="U541" s="59"/>
      <c r="V541" s="59"/>
      <c r="W541" s="59"/>
      <c r="X541" s="59"/>
      <c r="Y541" s="59"/>
    </row>
    <row r="542" spans="1:25" x14ac:dyDescent="0.25">
      <c r="A542" s="57">
        <f t="shared" si="111"/>
        <v>42621</v>
      </c>
      <c r="B542" s="63" t="s">
        <v>71</v>
      </c>
      <c r="H542" s="2">
        <f t="shared" si="112"/>
        <v>0</v>
      </c>
      <c r="I542" s="30" t="e">
        <f t="shared" si="113"/>
        <v>#DIV/0!</v>
      </c>
      <c r="K542" s="59"/>
      <c r="L542" s="59"/>
      <c r="M542" s="59"/>
      <c r="N542" s="59"/>
      <c r="O542" s="59"/>
      <c r="P542" s="59"/>
      <c r="Q542" s="59"/>
      <c r="R542" s="59"/>
      <c r="S542" s="59"/>
      <c r="T542" s="59"/>
      <c r="U542" s="59"/>
      <c r="V542" s="59"/>
      <c r="W542" s="59"/>
      <c r="X542" s="59"/>
      <c r="Y542" s="59"/>
    </row>
    <row r="543" spans="1:25" x14ac:dyDescent="0.25">
      <c r="A543" s="57">
        <f t="shared" si="111"/>
        <v>42628</v>
      </c>
      <c r="B543" s="63" t="s">
        <v>71</v>
      </c>
      <c r="H543" s="2">
        <f t="shared" si="112"/>
        <v>0</v>
      </c>
      <c r="I543" s="30" t="e">
        <f t="shared" si="113"/>
        <v>#DIV/0!</v>
      </c>
      <c r="K543" s="59"/>
      <c r="L543" s="59"/>
      <c r="M543" s="59"/>
      <c r="N543" s="59"/>
      <c r="O543" s="59"/>
      <c r="P543" s="59"/>
      <c r="Q543" s="59"/>
      <c r="R543" s="59"/>
      <c r="S543" s="59"/>
      <c r="T543" s="59"/>
      <c r="U543" s="59"/>
      <c r="V543" s="59"/>
      <c r="W543" s="59"/>
      <c r="X543" s="59"/>
      <c r="Y543" s="59"/>
    </row>
    <row r="544" spans="1:25" x14ac:dyDescent="0.25">
      <c r="A544" s="57">
        <f t="shared" si="111"/>
        <v>42635</v>
      </c>
      <c r="B544" s="63" t="s">
        <v>71</v>
      </c>
      <c r="H544" s="2">
        <f t="shared" si="112"/>
        <v>0</v>
      </c>
      <c r="I544" s="30" t="e">
        <f t="shared" si="113"/>
        <v>#DIV/0!</v>
      </c>
      <c r="K544" s="59"/>
      <c r="L544" s="59"/>
      <c r="M544" s="59"/>
      <c r="N544" s="59"/>
      <c r="O544" s="59"/>
      <c r="P544" s="59"/>
      <c r="Q544" s="59"/>
      <c r="R544" s="59"/>
      <c r="S544" s="59"/>
      <c r="T544" s="59"/>
      <c r="U544" s="59"/>
      <c r="V544" s="59"/>
      <c r="W544" s="59"/>
      <c r="X544" s="59"/>
      <c r="Y544" s="59"/>
    </row>
    <row r="545" spans="1:25" x14ac:dyDescent="0.25">
      <c r="A545" s="57">
        <f t="shared" si="111"/>
        <v>42642</v>
      </c>
      <c r="B545" s="63" t="s">
        <v>71</v>
      </c>
      <c r="H545" s="2">
        <f t="shared" si="112"/>
        <v>0</v>
      </c>
      <c r="I545" s="30" t="e">
        <f t="shared" si="113"/>
        <v>#DIV/0!</v>
      </c>
      <c r="K545" s="59"/>
      <c r="L545" s="59"/>
      <c r="M545" s="59"/>
      <c r="N545" s="59"/>
      <c r="O545" s="59"/>
      <c r="P545" s="59"/>
      <c r="Q545" s="59"/>
      <c r="R545" s="59"/>
      <c r="S545" s="59"/>
      <c r="T545" s="59"/>
      <c r="U545" s="59"/>
      <c r="V545" s="59"/>
      <c r="W545" s="59"/>
      <c r="X545" s="59"/>
      <c r="Y545" s="59"/>
    </row>
    <row r="546" spans="1:25" x14ac:dyDescent="0.25">
      <c r="A546" s="57">
        <f t="shared" si="111"/>
        <v>42649</v>
      </c>
      <c r="B546" s="63" t="s">
        <v>71</v>
      </c>
      <c r="H546" s="2">
        <f t="shared" si="112"/>
        <v>0</v>
      </c>
      <c r="I546" s="30" t="e">
        <f t="shared" si="113"/>
        <v>#DIV/0!</v>
      </c>
      <c r="K546" s="59"/>
      <c r="L546" s="59"/>
      <c r="M546" s="59"/>
      <c r="N546" s="59"/>
      <c r="O546" s="59"/>
      <c r="P546" s="59"/>
      <c r="Q546" s="59"/>
      <c r="R546" s="59"/>
      <c r="S546" s="59"/>
      <c r="T546" s="59"/>
      <c r="U546" s="59"/>
      <c r="V546" s="59"/>
      <c r="W546" s="59"/>
      <c r="X546" s="59"/>
      <c r="Y546" s="59"/>
    </row>
    <row r="547" spans="1:25" x14ac:dyDescent="0.25">
      <c r="A547" s="57">
        <f t="shared" si="111"/>
        <v>42656</v>
      </c>
      <c r="B547" s="63" t="s">
        <v>71</v>
      </c>
      <c r="H547" s="2">
        <f t="shared" si="112"/>
        <v>0</v>
      </c>
      <c r="I547" s="30" t="e">
        <f t="shared" si="113"/>
        <v>#DIV/0!</v>
      </c>
      <c r="K547" s="59"/>
      <c r="L547" s="59"/>
      <c r="M547" s="59"/>
      <c r="N547" s="59"/>
      <c r="O547" s="59"/>
      <c r="P547" s="59"/>
      <c r="Q547" s="59"/>
      <c r="R547" s="59"/>
      <c r="S547" s="59"/>
      <c r="T547" s="59"/>
      <c r="U547" s="59"/>
      <c r="V547" s="59"/>
      <c r="W547" s="59"/>
      <c r="X547" s="59"/>
      <c r="Y547" s="59"/>
    </row>
    <row r="548" spans="1:25" x14ac:dyDescent="0.25">
      <c r="A548" s="57">
        <f t="shared" si="111"/>
        <v>42663</v>
      </c>
      <c r="B548" s="63" t="s">
        <v>71</v>
      </c>
      <c r="H548" s="2">
        <f t="shared" si="112"/>
        <v>0</v>
      </c>
      <c r="I548" s="30" t="e">
        <f t="shared" si="113"/>
        <v>#DIV/0!</v>
      </c>
      <c r="K548" s="59"/>
      <c r="L548" s="59"/>
      <c r="M548" s="59"/>
      <c r="N548" s="59"/>
      <c r="O548" s="59"/>
      <c r="P548" s="59"/>
      <c r="Q548" s="59"/>
      <c r="R548" s="59"/>
      <c r="S548" s="59"/>
      <c r="T548" s="59"/>
      <c r="U548" s="59"/>
      <c r="V548" s="59"/>
      <c r="W548" s="59"/>
      <c r="X548" s="59"/>
      <c r="Y548" s="59"/>
    </row>
    <row r="549" spans="1:25" x14ac:dyDescent="0.25">
      <c r="A549" s="57">
        <f t="shared" si="111"/>
        <v>42670</v>
      </c>
      <c r="B549" s="63" t="s">
        <v>71</v>
      </c>
      <c r="H549" s="2">
        <f t="shared" si="112"/>
        <v>0</v>
      </c>
      <c r="I549" s="30" t="e">
        <f t="shared" si="113"/>
        <v>#DIV/0!</v>
      </c>
      <c r="N549" s="59"/>
      <c r="O549" s="59"/>
      <c r="P549" s="59"/>
      <c r="Q549" s="59"/>
      <c r="R549" s="59"/>
      <c r="S549" s="59"/>
      <c r="T549" s="59"/>
      <c r="U549" s="59"/>
      <c r="V549" s="59"/>
      <c r="W549" s="59"/>
      <c r="X549" s="59"/>
      <c r="Y549" s="59"/>
    </row>
    <row r="550" spans="1:25" x14ac:dyDescent="0.25">
      <c r="A550" s="57">
        <f t="shared" si="111"/>
        <v>42677</v>
      </c>
      <c r="B550" s="63" t="s">
        <v>71</v>
      </c>
      <c r="H550" s="2">
        <f t="shared" si="112"/>
        <v>0</v>
      </c>
      <c r="I550" s="30" t="e">
        <f t="shared" si="113"/>
        <v>#DIV/0!</v>
      </c>
      <c r="N550" s="59"/>
      <c r="O550" s="59"/>
      <c r="P550" s="59"/>
      <c r="Q550" s="59"/>
      <c r="R550" s="59"/>
      <c r="S550" s="59"/>
      <c r="T550" s="59"/>
      <c r="U550" s="59"/>
      <c r="V550" s="59"/>
      <c r="W550" s="59"/>
      <c r="X550" s="59"/>
      <c r="Y550" s="59"/>
    </row>
    <row r="551" spans="1:25" x14ac:dyDescent="0.25">
      <c r="A551" s="57">
        <f t="shared" si="111"/>
        <v>42684</v>
      </c>
      <c r="B551" s="63" t="s">
        <v>71</v>
      </c>
      <c r="H551" s="2">
        <f t="shared" si="112"/>
        <v>0</v>
      </c>
      <c r="I551" s="30" t="e">
        <f t="shared" si="113"/>
        <v>#DIV/0!</v>
      </c>
      <c r="N551" s="59"/>
      <c r="O551" s="59"/>
      <c r="P551" s="59"/>
      <c r="Q551" s="59"/>
      <c r="R551" s="59"/>
      <c r="S551" s="59"/>
      <c r="T551" s="59"/>
      <c r="U551" s="59"/>
      <c r="V551" s="59"/>
      <c r="W551" s="59"/>
      <c r="X551" s="59"/>
      <c r="Y551" s="59"/>
    </row>
    <row r="552" spans="1:25" x14ac:dyDescent="0.25">
      <c r="A552" s="57">
        <f t="shared" si="111"/>
        <v>42691</v>
      </c>
      <c r="B552" s="63" t="s">
        <v>71</v>
      </c>
      <c r="H552" s="2">
        <f t="shared" si="112"/>
        <v>0</v>
      </c>
      <c r="I552" s="30" t="e">
        <f t="shared" si="113"/>
        <v>#DIV/0!</v>
      </c>
      <c r="N552" s="59"/>
      <c r="O552" s="59"/>
      <c r="P552" s="59"/>
      <c r="Q552" s="59"/>
      <c r="R552" s="59"/>
      <c r="S552" s="59"/>
      <c r="T552" s="59"/>
      <c r="U552" s="59"/>
      <c r="V552" s="59"/>
      <c r="W552" s="59"/>
      <c r="X552" s="59"/>
      <c r="Y552" s="59"/>
    </row>
    <row r="553" spans="1:25" x14ac:dyDescent="0.25">
      <c r="A553" s="57">
        <f t="shared" si="111"/>
        <v>42698</v>
      </c>
      <c r="B553" s="63" t="s">
        <v>71</v>
      </c>
      <c r="H553" s="2">
        <f t="shared" si="112"/>
        <v>0</v>
      </c>
      <c r="I553" s="30" t="e">
        <f t="shared" si="113"/>
        <v>#DIV/0!</v>
      </c>
      <c r="N553" s="59"/>
      <c r="O553" s="59"/>
      <c r="P553" s="59"/>
      <c r="Q553" s="59"/>
      <c r="R553" s="59"/>
      <c r="S553" s="59"/>
      <c r="T553" s="59"/>
      <c r="U553" s="59"/>
      <c r="V553" s="59"/>
      <c r="W553" s="59"/>
      <c r="X553" s="59"/>
      <c r="Y553" s="59"/>
    </row>
    <row r="554" spans="1:25" x14ac:dyDescent="0.25">
      <c r="A554" s="57">
        <f t="shared" si="111"/>
        <v>42705</v>
      </c>
      <c r="B554" s="63" t="s">
        <v>71</v>
      </c>
      <c r="H554" s="2">
        <f t="shared" si="112"/>
        <v>0</v>
      </c>
      <c r="I554" s="30" t="e">
        <f t="shared" si="113"/>
        <v>#DIV/0!</v>
      </c>
      <c r="N554" s="59"/>
      <c r="O554" s="59"/>
      <c r="P554" s="59"/>
      <c r="Q554" s="59"/>
      <c r="R554" s="59"/>
      <c r="S554" s="59"/>
      <c r="T554" s="59"/>
      <c r="U554" s="59"/>
      <c r="V554" s="59"/>
      <c r="W554" s="59"/>
      <c r="X554" s="59"/>
      <c r="Y554" s="59"/>
    </row>
    <row r="555" spans="1:25" x14ac:dyDescent="0.25">
      <c r="A555" s="57">
        <f t="shared" si="111"/>
        <v>42712</v>
      </c>
      <c r="B555" s="63" t="s">
        <v>71</v>
      </c>
      <c r="H555" s="2">
        <f t="shared" si="112"/>
        <v>0</v>
      </c>
      <c r="I555" s="30" t="e">
        <f t="shared" si="113"/>
        <v>#DIV/0!</v>
      </c>
      <c r="N555" s="59"/>
      <c r="O555" s="59"/>
      <c r="P555" s="59"/>
      <c r="Q555" s="59"/>
      <c r="R555" s="59"/>
      <c r="S555" s="59"/>
      <c r="T555" s="59"/>
      <c r="U555" s="59"/>
      <c r="V555" s="59"/>
      <c r="W555" s="59"/>
      <c r="X555" s="59"/>
      <c r="Y555" s="59"/>
    </row>
    <row r="556" spans="1:25" x14ac:dyDescent="0.25">
      <c r="A556" s="57">
        <f t="shared" si="111"/>
        <v>42719</v>
      </c>
      <c r="B556" s="63" t="s">
        <v>71</v>
      </c>
      <c r="H556" s="2">
        <f t="shared" si="112"/>
        <v>0</v>
      </c>
      <c r="I556" s="30" t="e">
        <f t="shared" si="113"/>
        <v>#DIV/0!</v>
      </c>
      <c r="N556" s="59"/>
      <c r="O556" s="59"/>
      <c r="P556" s="59"/>
      <c r="Q556" s="59"/>
      <c r="R556" s="59"/>
      <c r="S556" s="59"/>
      <c r="T556" s="59"/>
      <c r="U556" s="59"/>
      <c r="V556" s="59"/>
      <c r="W556" s="59"/>
      <c r="X556" s="59"/>
      <c r="Y556" s="59"/>
    </row>
    <row r="557" spans="1:25" x14ac:dyDescent="0.25">
      <c r="A557" s="57">
        <f t="shared" si="111"/>
        <v>42726</v>
      </c>
      <c r="B557" s="63" t="s">
        <v>71</v>
      </c>
      <c r="H557" s="2">
        <f t="shared" si="112"/>
        <v>0</v>
      </c>
      <c r="I557" s="30" t="e">
        <f t="shared" si="113"/>
        <v>#DIV/0!</v>
      </c>
      <c r="N557" s="59"/>
      <c r="O557" s="59"/>
      <c r="P557" s="59"/>
      <c r="Q557" s="59"/>
      <c r="R557" s="59"/>
      <c r="S557" s="59"/>
      <c r="T557" s="59"/>
      <c r="U557" s="59"/>
      <c r="V557" s="59"/>
      <c r="W557" s="59"/>
      <c r="X557" s="59"/>
      <c r="Y557" s="59"/>
    </row>
    <row r="558" spans="1:25" x14ac:dyDescent="0.25">
      <c r="A558" s="57">
        <f t="shared" si="111"/>
        <v>42733</v>
      </c>
      <c r="B558" s="63" t="s">
        <v>71</v>
      </c>
      <c r="H558" s="2">
        <f t="shared" si="112"/>
        <v>0</v>
      </c>
      <c r="I558" s="30" t="e">
        <f t="shared" si="113"/>
        <v>#DIV/0!</v>
      </c>
      <c r="N558" s="59"/>
      <c r="O558" s="59"/>
      <c r="P558" s="59"/>
      <c r="Q558" s="59"/>
      <c r="R558" s="59"/>
      <c r="S558" s="59"/>
      <c r="T558" s="59"/>
      <c r="U558" s="59"/>
      <c r="V558" s="59"/>
      <c r="W558" s="59"/>
      <c r="X558" s="59"/>
      <c r="Y558" s="59"/>
    </row>
    <row r="559" spans="1:25" x14ac:dyDescent="0.25">
      <c r="A559" s="57">
        <f t="shared" si="111"/>
        <v>42740</v>
      </c>
      <c r="B559" s="63" t="s">
        <v>71</v>
      </c>
      <c r="H559" s="2">
        <f t="shared" si="112"/>
        <v>0</v>
      </c>
      <c r="I559" s="30" t="e">
        <f t="shared" si="113"/>
        <v>#DIV/0!</v>
      </c>
      <c r="N559" s="59"/>
      <c r="O559" s="59"/>
      <c r="P559" s="59"/>
      <c r="Q559" s="59"/>
      <c r="R559" s="59"/>
      <c r="S559" s="59"/>
      <c r="T559" s="59"/>
      <c r="U559" s="59"/>
      <c r="V559" s="59"/>
      <c r="W559" s="59"/>
      <c r="X559" s="59"/>
      <c r="Y559" s="59"/>
    </row>
    <row r="560" spans="1:25" x14ac:dyDescent="0.25">
      <c r="A560" s="57">
        <f t="shared" si="111"/>
        <v>42747</v>
      </c>
      <c r="B560" s="63" t="s">
        <v>71</v>
      </c>
      <c r="H560" s="2">
        <f t="shared" si="112"/>
        <v>0</v>
      </c>
      <c r="I560" s="30" t="e">
        <f t="shared" si="113"/>
        <v>#DIV/0!</v>
      </c>
      <c r="N560" s="59"/>
      <c r="O560" s="59"/>
      <c r="P560" s="59"/>
      <c r="Q560" s="59"/>
      <c r="R560" s="59"/>
      <c r="S560" s="59"/>
      <c r="T560" s="59"/>
      <c r="U560" s="59"/>
      <c r="V560" s="59"/>
      <c r="W560" s="59"/>
      <c r="X560" s="59"/>
      <c r="Y560" s="59"/>
    </row>
    <row r="561" spans="1:25" x14ac:dyDescent="0.25">
      <c r="A561" s="57">
        <f t="shared" si="111"/>
        <v>42754</v>
      </c>
      <c r="B561" s="63" t="s">
        <v>71</v>
      </c>
      <c r="H561" s="2">
        <f t="shared" si="112"/>
        <v>0</v>
      </c>
      <c r="I561" s="30" t="e">
        <f t="shared" si="113"/>
        <v>#DIV/0!</v>
      </c>
      <c r="N561" s="59"/>
      <c r="O561" s="59"/>
      <c r="P561" s="59"/>
      <c r="Q561" s="59"/>
      <c r="R561" s="59"/>
      <c r="S561" s="59"/>
      <c r="T561" s="59"/>
      <c r="U561" s="59"/>
      <c r="V561" s="59"/>
      <c r="W561" s="59"/>
      <c r="X561" s="59"/>
      <c r="Y561" s="59"/>
    </row>
    <row r="562" spans="1:25" x14ac:dyDescent="0.25">
      <c r="A562" s="57">
        <f t="shared" si="111"/>
        <v>42761</v>
      </c>
      <c r="B562" s="63" t="s">
        <v>71</v>
      </c>
      <c r="H562" s="2">
        <f t="shared" si="112"/>
        <v>0</v>
      </c>
      <c r="I562" s="30" t="e">
        <f t="shared" si="113"/>
        <v>#DIV/0!</v>
      </c>
      <c r="N562" s="59"/>
      <c r="O562" s="59"/>
      <c r="P562" s="59"/>
      <c r="Q562" s="59"/>
      <c r="R562" s="59"/>
      <c r="S562" s="59"/>
      <c r="T562" s="59"/>
      <c r="U562" s="59"/>
      <c r="V562" s="59"/>
      <c r="W562" s="59"/>
      <c r="X562" s="59"/>
      <c r="Y562" s="59"/>
    </row>
    <row r="563" spans="1:25" x14ac:dyDescent="0.25">
      <c r="A563" s="57">
        <f t="shared" si="111"/>
        <v>42768</v>
      </c>
      <c r="B563" s="63" t="s">
        <v>71</v>
      </c>
      <c r="H563" s="2">
        <f t="shared" si="112"/>
        <v>0</v>
      </c>
      <c r="I563" s="30" t="e">
        <f t="shared" si="113"/>
        <v>#DIV/0!</v>
      </c>
      <c r="N563" s="59"/>
      <c r="O563" s="59"/>
      <c r="P563" s="59"/>
      <c r="Q563" s="59"/>
      <c r="R563" s="59"/>
      <c r="S563" s="59"/>
      <c r="T563" s="59"/>
      <c r="U563" s="59"/>
      <c r="V563" s="59"/>
      <c r="W563" s="59"/>
      <c r="X563" s="59"/>
      <c r="Y563" s="59"/>
    </row>
    <row r="564" spans="1:25" x14ac:dyDescent="0.25">
      <c r="A564" s="57">
        <f t="shared" si="111"/>
        <v>42775</v>
      </c>
      <c r="B564" s="63" t="s">
        <v>71</v>
      </c>
      <c r="H564" s="2">
        <f t="shared" si="112"/>
        <v>0</v>
      </c>
      <c r="I564" s="30" t="e">
        <f t="shared" si="113"/>
        <v>#DIV/0!</v>
      </c>
      <c r="N564" s="59"/>
      <c r="O564" s="59"/>
      <c r="P564" s="59"/>
      <c r="Q564" s="59"/>
      <c r="R564" s="59"/>
      <c r="S564" s="59"/>
      <c r="T564" s="59"/>
      <c r="U564" s="59"/>
      <c r="V564" s="59"/>
      <c r="W564" s="59"/>
      <c r="X564" s="59"/>
      <c r="Y564" s="59"/>
    </row>
    <row r="565" spans="1:25" x14ac:dyDescent="0.25">
      <c r="A565" s="57">
        <f t="shared" si="111"/>
        <v>42782</v>
      </c>
      <c r="B565" s="63" t="s">
        <v>71</v>
      </c>
      <c r="H565" s="2">
        <f t="shared" si="112"/>
        <v>0</v>
      </c>
      <c r="I565" s="30" t="e">
        <f t="shared" si="113"/>
        <v>#DIV/0!</v>
      </c>
      <c r="N565" s="59"/>
      <c r="O565" s="59"/>
      <c r="P565" s="59"/>
      <c r="Q565" s="59"/>
      <c r="R565" s="59"/>
      <c r="S565" s="59"/>
      <c r="T565" s="59"/>
      <c r="U565" s="59"/>
      <c r="V565" s="59"/>
      <c r="W565" s="59"/>
      <c r="X565" s="59"/>
      <c r="Y565" s="59"/>
    </row>
    <row r="566" spans="1:25" x14ac:dyDescent="0.25">
      <c r="A566" s="57">
        <f t="shared" si="111"/>
        <v>42789</v>
      </c>
      <c r="B566" s="63" t="s">
        <v>71</v>
      </c>
      <c r="H566" s="2">
        <f t="shared" si="112"/>
        <v>0</v>
      </c>
      <c r="I566" s="30" t="e">
        <f t="shared" si="113"/>
        <v>#DIV/0!</v>
      </c>
      <c r="N566" s="59"/>
      <c r="O566" s="59"/>
      <c r="P566" s="59"/>
      <c r="Q566" s="59"/>
      <c r="R566" s="59"/>
      <c r="S566" s="59"/>
      <c r="T566" s="59"/>
      <c r="U566" s="59"/>
      <c r="V566" s="59"/>
      <c r="W566" s="59"/>
      <c r="X566" s="59"/>
      <c r="Y566" s="59"/>
    </row>
    <row r="567" spans="1:25" x14ac:dyDescent="0.25">
      <c r="A567" s="57">
        <f t="shared" si="111"/>
        <v>42796</v>
      </c>
      <c r="B567" s="63" t="s">
        <v>71</v>
      </c>
      <c r="H567" s="2">
        <f t="shared" si="112"/>
        <v>0</v>
      </c>
      <c r="I567" s="30" t="e">
        <f t="shared" si="113"/>
        <v>#DIV/0!</v>
      </c>
      <c r="N567" s="59"/>
      <c r="O567" s="59"/>
      <c r="P567" s="59"/>
      <c r="Q567" s="59"/>
      <c r="R567" s="59"/>
      <c r="S567" s="59"/>
      <c r="T567" s="59"/>
      <c r="U567" s="59"/>
      <c r="V567" s="59"/>
      <c r="W567" s="59"/>
      <c r="X567" s="59"/>
      <c r="Y567" s="59"/>
    </row>
    <row r="568" spans="1:25" x14ac:dyDescent="0.25">
      <c r="A568" s="57">
        <f t="shared" si="111"/>
        <v>42803</v>
      </c>
      <c r="B568" s="63" t="s">
        <v>71</v>
      </c>
      <c r="H568" s="2">
        <f t="shared" si="112"/>
        <v>0</v>
      </c>
      <c r="I568" s="30" t="e">
        <f t="shared" si="113"/>
        <v>#DIV/0!</v>
      </c>
      <c r="N568" s="59"/>
      <c r="O568" s="59"/>
      <c r="P568" s="59"/>
      <c r="Q568" s="59"/>
      <c r="R568" s="59"/>
      <c r="S568" s="59"/>
      <c r="T568" s="59"/>
      <c r="U568" s="59"/>
      <c r="V568" s="59"/>
      <c r="W568" s="59"/>
      <c r="X568" s="59"/>
      <c r="Y568" s="59"/>
    </row>
    <row r="569" spans="1:25" x14ac:dyDescent="0.25">
      <c r="A569" s="57">
        <f t="shared" si="111"/>
        <v>42810</v>
      </c>
      <c r="B569" s="63" t="s">
        <v>71</v>
      </c>
      <c r="H569" s="2">
        <f t="shared" si="112"/>
        <v>0</v>
      </c>
      <c r="I569" s="30" t="e">
        <f t="shared" si="113"/>
        <v>#DIV/0!</v>
      </c>
      <c r="N569" s="59"/>
      <c r="O569" s="59"/>
      <c r="P569" s="59"/>
      <c r="Q569" s="59"/>
      <c r="R569" s="59"/>
      <c r="S569" s="59"/>
      <c r="T569" s="59"/>
      <c r="U569" s="59"/>
      <c r="V569" s="59"/>
      <c r="W569" s="59"/>
      <c r="X569" s="59"/>
      <c r="Y569" s="59"/>
    </row>
    <row r="570" spans="1:25" x14ac:dyDescent="0.25">
      <c r="A570" s="57">
        <f t="shared" si="111"/>
        <v>42817</v>
      </c>
      <c r="B570" s="63" t="s">
        <v>71</v>
      </c>
      <c r="H570" s="2">
        <f t="shared" si="112"/>
        <v>0</v>
      </c>
      <c r="I570" s="30" t="e">
        <f t="shared" si="113"/>
        <v>#DIV/0!</v>
      </c>
      <c r="N570" s="59"/>
      <c r="O570" s="59"/>
      <c r="P570" s="59"/>
      <c r="Q570" s="59"/>
      <c r="R570" s="59"/>
      <c r="S570" s="59"/>
      <c r="T570" s="59"/>
      <c r="U570" s="59"/>
      <c r="V570" s="59"/>
      <c r="W570" s="59"/>
      <c r="X570" s="59"/>
      <c r="Y570" s="59"/>
    </row>
    <row r="571" spans="1:25" x14ac:dyDescent="0.25">
      <c r="A571" s="57">
        <f t="shared" si="111"/>
        <v>42824</v>
      </c>
      <c r="B571" s="63" t="s">
        <v>71</v>
      </c>
      <c r="H571" s="2">
        <f t="shared" si="112"/>
        <v>0</v>
      </c>
      <c r="I571" s="30" t="e">
        <f t="shared" si="113"/>
        <v>#DIV/0!</v>
      </c>
      <c r="N571" s="59"/>
      <c r="O571" s="59"/>
      <c r="P571" s="59"/>
      <c r="Q571" s="59"/>
      <c r="R571" s="59"/>
      <c r="S571" s="59"/>
      <c r="T571" s="59"/>
      <c r="U571" s="59"/>
      <c r="V571" s="59"/>
      <c r="W571" s="59"/>
      <c r="X571" s="59"/>
      <c r="Y571" s="59"/>
    </row>
    <row r="572" spans="1:25" x14ac:dyDescent="0.25">
      <c r="A572" s="57">
        <f t="shared" si="111"/>
        <v>42831</v>
      </c>
      <c r="B572" s="63" t="s">
        <v>71</v>
      </c>
      <c r="H572" s="2">
        <f t="shared" si="112"/>
        <v>0</v>
      </c>
      <c r="I572" s="30" t="e">
        <f t="shared" si="113"/>
        <v>#DIV/0!</v>
      </c>
      <c r="N572" s="59"/>
      <c r="O572" s="59"/>
      <c r="P572" s="59"/>
      <c r="Q572" s="59"/>
      <c r="R572" s="59"/>
      <c r="S572" s="59"/>
      <c r="T572" s="59"/>
      <c r="U572" s="59"/>
      <c r="V572" s="59"/>
      <c r="W572" s="59"/>
      <c r="X572" s="59"/>
      <c r="Y572" s="59"/>
    </row>
    <row r="573" spans="1:25" x14ac:dyDescent="0.25">
      <c r="A573" s="57">
        <f t="shared" si="111"/>
        <v>42838</v>
      </c>
      <c r="B573" s="63" t="s">
        <v>71</v>
      </c>
      <c r="H573" s="2">
        <f t="shared" si="112"/>
        <v>0</v>
      </c>
      <c r="I573" s="30" t="e">
        <f t="shared" si="113"/>
        <v>#DIV/0!</v>
      </c>
      <c r="N573" s="59"/>
      <c r="O573" s="59"/>
      <c r="P573" s="59"/>
      <c r="Q573" s="59"/>
      <c r="R573" s="59"/>
      <c r="S573" s="59"/>
      <c r="T573" s="59"/>
      <c r="U573" s="59"/>
      <c r="V573" s="59"/>
      <c r="W573" s="59"/>
      <c r="X573" s="59"/>
      <c r="Y573" s="59"/>
    </row>
    <row r="574" spans="1:25" x14ac:dyDescent="0.25">
      <c r="A574" s="57">
        <f t="shared" ref="A574:A637" si="114">+A573+7</f>
        <v>42845</v>
      </c>
      <c r="B574" s="63" t="s">
        <v>71</v>
      </c>
      <c r="H574" s="2">
        <f t="shared" si="112"/>
        <v>0</v>
      </c>
      <c r="I574" s="30" t="e">
        <f t="shared" si="113"/>
        <v>#DIV/0!</v>
      </c>
      <c r="N574" s="59"/>
      <c r="O574" s="59"/>
      <c r="P574" s="59"/>
      <c r="Q574" s="59"/>
      <c r="R574" s="59"/>
      <c r="S574" s="59"/>
      <c r="T574" s="59"/>
      <c r="U574" s="59"/>
      <c r="V574" s="59"/>
      <c r="W574" s="59"/>
      <c r="X574" s="59"/>
      <c r="Y574" s="59"/>
    </row>
    <row r="575" spans="1:25" x14ac:dyDescent="0.25">
      <c r="A575" s="57">
        <f t="shared" si="114"/>
        <v>42852</v>
      </c>
      <c r="B575" s="63" t="s">
        <v>71</v>
      </c>
      <c r="H575" s="2">
        <f t="shared" si="112"/>
        <v>0</v>
      </c>
      <c r="I575" s="30" t="e">
        <f t="shared" si="113"/>
        <v>#DIV/0!</v>
      </c>
      <c r="N575" s="59"/>
      <c r="O575" s="59"/>
      <c r="P575" s="59"/>
      <c r="Q575" s="59"/>
      <c r="R575" s="59"/>
      <c r="S575" s="59"/>
      <c r="T575" s="59"/>
      <c r="U575" s="59"/>
      <c r="V575" s="59"/>
      <c r="W575" s="59"/>
      <c r="X575" s="59"/>
      <c r="Y575" s="59"/>
    </row>
    <row r="576" spans="1:25" x14ac:dyDescent="0.25">
      <c r="A576" s="57">
        <f t="shared" si="114"/>
        <v>42859</v>
      </c>
      <c r="B576" s="63" t="s">
        <v>71</v>
      </c>
      <c r="H576" s="2">
        <f t="shared" si="112"/>
        <v>0</v>
      </c>
      <c r="I576" s="30" t="e">
        <f t="shared" si="113"/>
        <v>#DIV/0!</v>
      </c>
      <c r="N576" s="59"/>
      <c r="O576" s="59"/>
      <c r="P576" s="59"/>
      <c r="Q576" s="59"/>
      <c r="R576" s="59"/>
      <c r="S576" s="59"/>
      <c r="T576" s="59"/>
      <c r="U576" s="59"/>
      <c r="V576" s="59"/>
      <c r="W576" s="59"/>
      <c r="X576" s="59"/>
      <c r="Y576" s="59"/>
    </row>
    <row r="577" spans="1:25" x14ac:dyDescent="0.25">
      <c r="A577" s="57">
        <f t="shared" si="114"/>
        <v>42866</v>
      </c>
      <c r="B577" s="63" t="s">
        <v>71</v>
      </c>
      <c r="H577" s="2">
        <f t="shared" si="112"/>
        <v>0</v>
      </c>
      <c r="I577" s="30" t="e">
        <f t="shared" si="113"/>
        <v>#DIV/0!</v>
      </c>
      <c r="N577" s="59"/>
      <c r="O577" s="59"/>
      <c r="P577" s="59"/>
      <c r="Q577" s="59"/>
      <c r="R577" s="59"/>
      <c r="S577" s="59"/>
      <c r="T577" s="59"/>
      <c r="U577" s="59"/>
      <c r="V577" s="59"/>
      <c r="W577" s="59"/>
      <c r="X577" s="59"/>
      <c r="Y577" s="59"/>
    </row>
    <row r="578" spans="1:25" x14ac:dyDescent="0.25">
      <c r="A578" s="57">
        <f t="shared" si="114"/>
        <v>42873</v>
      </c>
      <c r="B578" s="63" t="s">
        <v>71</v>
      </c>
      <c r="H578" s="2">
        <f t="shared" si="112"/>
        <v>0</v>
      </c>
      <c r="I578" s="30" t="e">
        <f t="shared" si="113"/>
        <v>#DIV/0!</v>
      </c>
      <c r="N578" s="59"/>
      <c r="O578" s="59"/>
      <c r="P578" s="59"/>
      <c r="Q578" s="59"/>
      <c r="R578" s="59"/>
      <c r="S578" s="59"/>
      <c r="T578" s="59"/>
      <c r="U578" s="59"/>
      <c r="V578" s="59"/>
      <c r="W578" s="59"/>
      <c r="X578" s="59"/>
      <c r="Y578" s="59"/>
    </row>
    <row r="579" spans="1:25" x14ac:dyDescent="0.25">
      <c r="A579" s="57">
        <f t="shared" si="114"/>
        <v>42880</v>
      </c>
      <c r="B579" s="63" t="s">
        <v>71</v>
      </c>
      <c r="H579" s="2">
        <f t="shared" si="112"/>
        <v>0</v>
      </c>
      <c r="I579" s="30" t="e">
        <f t="shared" si="113"/>
        <v>#DIV/0!</v>
      </c>
      <c r="N579" s="59"/>
      <c r="O579" s="59"/>
      <c r="P579" s="59"/>
      <c r="Q579" s="59"/>
      <c r="R579" s="59"/>
      <c r="S579" s="59"/>
      <c r="T579" s="59"/>
      <c r="U579" s="59"/>
      <c r="V579" s="59"/>
      <c r="W579" s="59"/>
      <c r="X579" s="59"/>
      <c r="Y579" s="59"/>
    </row>
    <row r="580" spans="1:25" x14ac:dyDescent="0.25">
      <c r="A580" s="57">
        <f t="shared" si="114"/>
        <v>42887</v>
      </c>
      <c r="B580" s="63" t="s">
        <v>71</v>
      </c>
      <c r="H580" s="2">
        <f t="shared" si="112"/>
        <v>0</v>
      </c>
      <c r="I580" s="30" t="e">
        <f t="shared" si="113"/>
        <v>#DIV/0!</v>
      </c>
      <c r="N580" s="59"/>
      <c r="O580" s="59"/>
      <c r="P580" s="59"/>
      <c r="Q580" s="59"/>
      <c r="R580" s="59"/>
      <c r="S580" s="59"/>
      <c r="T580" s="59"/>
      <c r="U580" s="59"/>
      <c r="V580" s="59"/>
      <c r="W580" s="59"/>
      <c r="X580" s="59"/>
      <c r="Y580" s="59"/>
    </row>
    <row r="581" spans="1:25" x14ac:dyDescent="0.25">
      <c r="A581" s="57">
        <f t="shared" si="114"/>
        <v>42894</v>
      </c>
      <c r="B581" s="63" t="s">
        <v>71</v>
      </c>
      <c r="H581" s="2">
        <f t="shared" si="112"/>
        <v>0</v>
      </c>
      <c r="I581" s="30" t="e">
        <f t="shared" si="113"/>
        <v>#DIV/0!</v>
      </c>
      <c r="N581" s="59"/>
      <c r="O581" s="59"/>
      <c r="P581" s="59"/>
      <c r="Q581" s="59"/>
      <c r="R581" s="59"/>
      <c r="S581" s="59"/>
      <c r="T581" s="59"/>
      <c r="U581" s="59"/>
      <c r="V581" s="59"/>
      <c r="W581" s="59"/>
      <c r="X581" s="59"/>
      <c r="Y581" s="59"/>
    </row>
    <row r="582" spans="1:25" x14ac:dyDescent="0.25">
      <c r="A582" s="57">
        <f t="shared" si="114"/>
        <v>42901</v>
      </c>
      <c r="B582" s="63" t="s">
        <v>71</v>
      </c>
      <c r="H582" s="2">
        <f t="shared" si="112"/>
        <v>0</v>
      </c>
      <c r="I582" s="30" t="e">
        <f t="shared" si="113"/>
        <v>#DIV/0!</v>
      </c>
      <c r="N582" s="59"/>
      <c r="O582" s="59"/>
      <c r="P582" s="59"/>
      <c r="Q582" s="59"/>
      <c r="R582" s="59"/>
      <c r="S582" s="59"/>
      <c r="T582" s="59"/>
      <c r="U582" s="59"/>
      <c r="V582" s="59"/>
      <c r="W582" s="59"/>
      <c r="X582" s="59"/>
      <c r="Y582" s="59"/>
    </row>
    <row r="583" spans="1:25" x14ac:dyDescent="0.25">
      <c r="A583" s="57">
        <f t="shared" si="114"/>
        <v>42908</v>
      </c>
      <c r="B583" s="63" t="s">
        <v>71</v>
      </c>
      <c r="H583" s="2">
        <f t="shared" si="112"/>
        <v>0</v>
      </c>
      <c r="I583" s="30" t="e">
        <f t="shared" si="113"/>
        <v>#DIV/0!</v>
      </c>
      <c r="N583" s="59"/>
      <c r="O583" s="59"/>
      <c r="P583" s="59"/>
      <c r="Q583" s="59"/>
      <c r="R583" s="59"/>
      <c r="S583" s="59"/>
      <c r="T583" s="59"/>
      <c r="U583" s="59"/>
      <c r="V583" s="59"/>
      <c r="W583" s="59"/>
      <c r="X583" s="59"/>
      <c r="Y583" s="59"/>
    </row>
    <row r="584" spans="1:25" x14ac:dyDescent="0.25">
      <c r="A584" s="57">
        <f t="shared" si="114"/>
        <v>42915</v>
      </c>
      <c r="B584" s="63" t="s">
        <v>71</v>
      </c>
      <c r="H584" s="2">
        <f t="shared" si="112"/>
        <v>0</v>
      </c>
      <c r="I584" s="30" t="e">
        <f t="shared" si="113"/>
        <v>#DIV/0!</v>
      </c>
      <c r="N584" s="59"/>
      <c r="O584" s="59"/>
      <c r="P584" s="59"/>
      <c r="Q584" s="59"/>
      <c r="R584" s="59"/>
      <c r="S584" s="59"/>
      <c r="T584" s="59"/>
      <c r="U584" s="59"/>
      <c r="V584" s="59"/>
      <c r="W584" s="59"/>
      <c r="X584" s="59"/>
      <c r="Y584" s="59"/>
    </row>
    <row r="585" spans="1:25" x14ac:dyDescent="0.25">
      <c r="A585" s="57">
        <f t="shared" si="114"/>
        <v>42922</v>
      </c>
      <c r="B585" s="63" t="s">
        <v>71</v>
      </c>
      <c r="H585" s="2">
        <f t="shared" si="112"/>
        <v>0</v>
      </c>
      <c r="I585" s="30" t="e">
        <f t="shared" si="113"/>
        <v>#DIV/0!</v>
      </c>
      <c r="N585" s="59"/>
      <c r="O585" s="59"/>
      <c r="P585" s="59"/>
      <c r="Q585" s="59"/>
      <c r="R585" s="59"/>
      <c r="S585" s="59"/>
      <c r="T585" s="59"/>
      <c r="U585" s="59"/>
      <c r="V585" s="59"/>
      <c r="W585" s="59"/>
      <c r="X585" s="59"/>
      <c r="Y585" s="59"/>
    </row>
    <row r="586" spans="1:25" x14ac:dyDescent="0.25">
      <c r="A586" s="57">
        <f t="shared" si="114"/>
        <v>42929</v>
      </c>
      <c r="B586" s="63" t="s">
        <v>71</v>
      </c>
      <c r="H586" s="2">
        <f t="shared" si="112"/>
        <v>0</v>
      </c>
      <c r="I586" s="30" t="e">
        <f t="shared" si="113"/>
        <v>#DIV/0!</v>
      </c>
      <c r="N586" s="59"/>
      <c r="O586" s="59"/>
      <c r="P586" s="59"/>
      <c r="Q586" s="59"/>
      <c r="R586" s="59"/>
      <c r="S586" s="59"/>
      <c r="T586" s="59"/>
      <c r="U586" s="59"/>
      <c r="V586" s="59"/>
      <c r="W586" s="59"/>
      <c r="X586" s="59"/>
      <c r="Y586" s="59"/>
    </row>
    <row r="587" spans="1:25" x14ac:dyDescent="0.25">
      <c r="A587" s="57">
        <f t="shared" si="114"/>
        <v>42936</v>
      </c>
      <c r="B587" s="63" t="s">
        <v>71</v>
      </c>
      <c r="H587" s="2">
        <f t="shared" si="112"/>
        <v>0</v>
      </c>
      <c r="I587" s="30" t="e">
        <f t="shared" si="113"/>
        <v>#DIV/0!</v>
      </c>
      <c r="N587" s="59"/>
      <c r="O587" s="59"/>
      <c r="P587" s="59"/>
      <c r="Q587" s="59"/>
      <c r="R587" s="59"/>
      <c r="S587" s="59"/>
      <c r="T587" s="59"/>
      <c r="U587" s="59"/>
      <c r="V587" s="59"/>
      <c r="W587" s="59"/>
      <c r="X587" s="59"/>
      <c r="Y587" s="59"/>
    </row>
    <row r="588" spans="1:25" x14ac:dyDescent="0.25">
      <c r="A588" s="57">
        <f t="shared" si="114"/>
        <v>42943</v>
      </c>
      <c r="B588" s="63" t="s">
        <v>71</v>
      </c>
      <c r="H588" s="2">
        <f t="shared" si="112"/>
        <v>0</v>
      </c>
      <c r="I588" s="30" t="e">
        <f t="shared" si="113"/>
        <v>#DIV/0!</v>
      </c>
      <c r="N588" s="59"/>
      <c r="O588" s="59"/>
      <c r="P588" s="59"/>
      <c r="Q588" s="59"/>
      <c r="R588" s="59"/>
      <c r="S588" s="59"/>
      <c r="T588" s="59"/>
      <c r="U588" s="59"/>
      <c r="V588" s="59"/>
      <c r="W588" s="59"/>
      <c r="X588" s="59"/>
      <c r="Y588" s="59"/>
    </row>
    <row r="589" spans="1:25" x14ac:dyDescent="0.25">
      <c r="A589" s="57">
        <f t="shared" si="114"/>
        <v>42950</v>
      </c>
      <c r="B589" s="63" t="s">
        <v>71</v>
      </c>
      <c r="H589" s="2">
        <f t="shared" si="112"/>
        <v>0</v>
      </c>
      <c r="I589" s="30" t="e">
        <f t="shared" si="113"/>
        <v>#DIV/0!</v>
      </c>
      <c r="N589" s="59"/>
      <c r="O589" s="59"/>
      <c r="P589" s="59"/>
      <c r="Q589" s="59"/>
      <c r="R589" s="59"/>
      <c r="S589" s="59"/>
      <c r="T589" s="59"/>
      <c r="U589" s="59"/>
      <c r="V589" s="59"/>
      <c r="W589" s="59"/>
      <c r="X589" s="59"/>
      <c r="Y589" s="59"/>
    </row>
    <row r="590" spans="1:25" x14ac:dyDescent="0.25">
      <c r="A590" s="57">
        <f t="shared" si="114"/>
        <v>42957</v>
      </c>
      <c r="B590" s="63" t="s">
        <v>71</v>
      </c>
      <c r="H590" s="2">
        <f t="shared" si="112"/>
        <v>0</v>
      </c>
      <c r="I590" s="30" t="e">
        <f t="shared" si="113"/>
        <v>#DIV/0!</v>
      </c>
      <c r="N590" s="59"/>
      <c r="O590" s="59"/>
      <c r="P590" s="59"/>
      <c r="Q590" s="59"/>
      <c r="R590" s="59"/>
      <c r="S590" s="59"/>
      <c r="T590" s="59"/>
      <c r="U590" s="59"/>
      <c r="V590" s="59"/>
      <c r="W590" s="59"/>
      <c r="X590" s="59"/>
      <c r="Y590" s="59"/>
    </row>
    <row r="591" spans="1:25" x14ac:dyDescent="0.25">
      <c r="A591" s="57">
        <f t="shared" si="114"/>
        <v>42964</v>
      </c>
      <c r="B591" s="63" t="s">
        <v>71</v>
      </c>
      <c r="H591" s="2">
        <f t="shared" si="112"/>
        <v>0</v>
      </c>
      <c r="I591" s="30" t="e">
        <f t="shared" si="113"/>
        <v>#DIV/0!</v>
      </c>
      <c r="N591" s="59"/>
      <c r="O591" s="59"/>
      <c r="P591" s="59"/>
      <c r="Q591" s="59"/>
      <c r="R591" s="59"/>
      <c r="S591" s="59"/>
      <c r="T591" s="59"/>
      <c r="U591" s="59"/>
      <c r="V591" s="59"/>
      <c r="W591" s="59"/>
      <c r="X591" s="59"/>
      <c r="Y591" s="59"/>
    </row>
    <row r="592" spans="1:25" x14ac:dyDescent="0.25">
      <c r="A592" s="57">
        <f t="shared" si="114"/>
        <v>42971</v>
      </c>
      <c r="B592" s="63" t="s">
        <v>71</v>
      </c>
      <c r="H592" s="2">
        <f t="shared" si="112"/>
        <v>0</v>
      </c>
      <c r="I592" s="30" t="e">
        <f t="shared" si="113"/>
        <v>#DIV/0!</v>
      </c>
      <c r="N592" s="59"/>
      <c r="O592" s="59"/>
      <c r="P592" s="59"/>
      <c r="Q592" s="59"/>
      <c r="R592" s="59"/>
      <c r="S592" s="59"/>
      <c r="T592" s="59"/>
      <c r="U592" s="59"/>
      <c r="V592" s="59"/>
      <c r="W592" s="59"/>
      <c r="X592" s="59"/>
      <c r="Y592" s="59"/>
    </row>
    <row r="593" spans="1:25" x14ac:dyDescent="0.25">
      <c r="A593" s="57">
        <f t="shared" si="114"/>
        <v>42978</v>
      </c>
      <c r="B593" s="63" t="s">
        <v>71</v>
      </c>
      <c r="H593" s="2">
        <f t="shared" si="112"/>
        <v>0</v>
      </c>
      <c r="I593" s="30" t="e">
        <f t="shared" si="113"/>
        <v>#DIV/0!</v>
      </c>
      <c r="N593" s="59"/>
      <c r="O593" s="59"/>
      <c r="P593" s="59"/>
      <c r="Q593" s="59"/>
      <c r="R593" s="59"/>
      <c r="S593" s="59"/>
      <c r="T593" s="59"/>
      <c r="U593" s="59"/>
      <c r="V593" s="59"/>
      <c r="W593" s="59"/>
      <c r="X593" s="59"/>
      <c r="Y593" s="59"/>
    </row>
    <row r="594" spans="1:25" x14ac:dyDescent="0.25">
      <c r="A594" s="57">
        <f t="shared" si="114"/>
        <v>42985</v>
      </c>
      <c r="B594" s="63" t="s">
        <v>71</v>
      </c>
      <c r="H594" s="2">
        <f t="shared" si="112"/>
        <v>0</v>
      </c>
      <c r="I594" s="30" t="e">
        <f t="shared" si="113"/>
        <v>#DIV/0!</v>
      </c>
      <c r="N594" s="59"/>
      <c r="O594" s="59"/>
      <c r="P594" s="59"/>
      <c r="Q594" s="59"/>
      <c r="R594" s="59"/>
      <c r="S594" s="59"/>
      <c r="T594" s="59"/>
      <c r="U594" s="59"/>
      <c r="V594" s="59"/>
      <c r="W594" s="59"/>
      <c r="X594" s="59"/>
      <c r="Y594" s="59"/>
    </row>
    <row r="595" spans="1:25" x14ac:dyDescent="0.25">
      <c r="A595" s="57">
        <f t="shared" si="114"/>
        <v>42992</v>
      </c>
      <c r="B595" s="63" t="s">
        <v>71</v>
      </c>
      <c r="H595" s="2">
        <f t="shared" si="112"/>
        <v>0</v>
      </c>
      <c r="I595" s="30" t="e">
        <f t="shared" si="113"/>
        <v>#DIV/0!</v>
      </c>
      <c r="N595" s="59"/>
      <c r="O595" s="59"/>
      <c r="P595" s="59"/>
      <c r="Q595" s="59"/>
      <c r="R595" s="59"/>
      <c r="S595" s="59"/>
      <c r="T595" s="59"/>
      <c r="U595" s="59"/>
      <c r="V595" s="59"/>
      <c r="W595" s="59"/>
      <c r="X595" s="59"/>
      <c r="Y595" s="59"/>
    </row>
    <row r="596" spans="1:25" x14ac:dyDescent="0.25">
      <c r="A596" s="57">
        <f t="shared" si="114"/>
        <v>42999</v>
      </c>
      <c r="B596" s="63" t="s">
        <v>71</v>
      </c>
      <c r="H596" s="2">
        <f t="shared" si="112"/>
        <v>0</v>
      </c>
      <c r="I596" s="30" t="e">
        <f t="shared" si="113"/>
        <v>#DIV/0!</v>
      </c>
      <c r="N596" s="59"/>
      <c r="O596" s="59"/>
      <c r="P596" s="59"/>
      <c r="Q596" s="59"/>
      <c r="R596" s="59"/>
      <c r="S596" s="59"/>
      <c r="T596" s="59"/>
      <c r="U596" s="59"/>
      <c r="V596" s="59"/>
      <c r="W596" s="59"/>
      <c r="X596" s="59"/>
      <c r="Y596" s="59"/>
    </row>
    <row r="597" spans="1:25" x14ac:dyDescent="0.25">
      <c r="A597" s="57">
        <f t="shared" si="114"/>
        <v>43006</v>
      </c>
      <c r="B597" s="63" t="s">
        <v>71</v>
      </c>
      <c r="H597" s="2">
        <f t="shared" ref="H597:H660" si="115">+D597+F597</f>
        <v>0</v>
      </c>
      <c r="I597" s="30" t="e">
        <f t="shared" ref="I597:I660" si="116">(G597/H597-1)*100</f>
        <v>#DIV/0!</v>
      </c>
      <c r="N597" s="59"/>
      <c r="O597" s="59"/>
      <c r="P597" s="59"/>
      <c r="Q597" s="59"/>
      <c r="R597" s="59"/>
      <c r="S597" s="59"/>
      <c r="T597" s="59"/>
      <c r="U597" s="59"/>
      <c r="V597" s="59"/>
      <c r="W597" s="59"/>
      <c r="X597" s="59"/>
      <c r="Y597" s="59"/>
    </row>
    <row r="598" spans="1:25" x14ac:dyDescent="0.25">
      <c r="A598" s="57">
        <f t="shared" si="114"/>
        <v>43013</v>
      </c>
      <c r="B598" s="63" t="s">
        <v>71</v>
      </c>
      <c r="H598" s="2">
        <f t="shared" si="115"/>
        <v>0</v>
      </c>
      <c r="I598" s="30" t="e">
        <f t="shared" si="116"/>
        <v>#DIV/0!</v>
      </c>
      <c r="N598" s="59"/>
      <c r="O598" s="59"/>
      <c r="P598" s="59"/>
      <c r="Q598" s="59"/>
      <c r="R598" s="59"/>
      <c r="S598" s="59"/>
      <c r="T598" s="59"/>
      <c r="U598" s="59"/>
      <c r="V598" s="59"/>
      <c r="W598" s="59"/>
      <c r="X598" s="59"/>
      <c r="Y598" s="59"/>
    </row>
    <row r="599" spans="1:25" x14ac:dyDescent="0.25">
      <c r="A599" s="57">
        <f t="shared" si="114"/>
        <v>43020</v>
      </c>
      <c r="B599" s="63" t="s">
        <v>71</v>
      </c>
      <c r="H599" s="2">
        <f t="shared" si="115"/>
        <v>0</v>
      </c>
      <c r="I599" s="30" t="e">
        <f t="shared" si="116"/>
        <v>#DIV/0!</v>
      </c>
      <c r="N599" s="59"/>
      <c r="O599" s="59"/>
      <c r="P599" s="59"/>
      <c r="Q599" s="59"/>
      <c r="R599" s="59"/>
      <c r="S599" s="59"/>
      <c r="T599" s="59"/>
      <c r="U599" s="59"/>
      <c r="V599" s="59"/>
      <c r="W599" s="59"/>
      <c r="X599" s="59"/>
      <c r="Y599" s="59"/>
    </row>
    <row r="600" spans="1:25" x14ac:dyDescent="0.25">
      <c r="A600" s="57">
        <f t="shared" si="114"/>
        <v>43027</v>
      </c>
      <c r="B600" s="63" t="s">
        <v>71</v>
      </c>
      <c r="H600" s="2">
        <f t="shared" si="115"/>
        <v>0</v>
      </c>
      <c r="I600" s="30" t="e">
        <f t="shared" si="116"/>
        <v>#DIV/0!</v>
      </c>
      <c r="N600" s="59"/>
      <c r="O600" s="59"/>
      <c r="P600" s="59"/>
      <c r="Q600" s="59"/>
      <c r="R600" s="59"/>
      <c r="S600" s="59"/>
      <c r="T600" s="59"/>
      <c r="U600" s="59"/>
      <c r="V600" s="59"/>
      <c r="W600" s="59"/>
      <c r="X600" s="59"/>
      <c r="Y600" s="59"/>
    </row>
    <row r="601" spans="1:25" x14ac:dyDescent="0.25">
      <c r="A601" s="57">
        <f t="shared" si="114"/>
        <v>43034</v>
      </c>
      <c r="B601" s="63" t="s">
        <v>71</v>
      </c>
      <c r="H601" s="2">
        <f t="shared" si="115"/>
        <v>0</v>
      </c>
      <c r="I601" s="30" t="e">
        <f t="shared" si="116"/>
        <v>#DIV/0!</v>
      </c>
      <c r="N601" s="59"/>
      <c r="O601" s="59"/>
      <c r="P601" s="59"/>
      <c r="Q601" s="59"/>
      <c r="R601" s="59"/>
      <c r="S601" s="59"/>
      <c r="T601" s="59"/>
      <c r="U601" s="59"/>
      <c r="V601" s="59"/>
      <c r="W601" s="59"/>
      <c r="X601" s="59"/>
      <c r="Y601" s="59"/>
    </row>
    <row r="602" spans="1:25" x14ac:dyDescent="0.25">
      <c r="A602" s="57">
        <f t="shared" si="114"/>
        <v>43041</v>
      </c>
      <c r="B602" s="63" t="s">
        <v>71</v>
      </c>
      <c r="H602" s="2">
        <f t="shared" si="115"/>
        <v>0</v>
      </c>
      <c r="I602" s="30" t="e">
        <f t="shared" si="116"/>
        <v>#DIV/0!</v>
      </c>
      <c r="N602" s="59"/>
      <c r="O602" s="59"/>
      <c r="P602" s="59"/>
      <c r="Q602" s="59"/>
      <c r="R602" s="59"/>
      <c r="S602" s="59"/>
      <c r="T602" s="59"/>
      <c r="U602" s="59"/>
      <c r="V602" s="59"/>
      <c r="W602" s="59"/>
      <c r="X602" s="59"/>
      <c r="Y602" s="59"/>
    </row>
    <row r="603" spans="1:25" x14ac:dyDescent="0.25">
      <c r="A603" s="57">
        <f t="shared" si="114"/>
        <v>43048</v>
      </c>
      <c r="B603" s="63" t="s">
        <v>71</v>
      </c>
      <c r="H603" s="2">
        <f t="shared" si="115"/>
        <v>0</v>
      </c>
      <c r="I603" s="30" t="e">
        <f t="shared" si="116"/>
        <v>#DIV/0!</v>
      </c>
      <c r="N603" s="59"/>
      <c r="O603" s="59"/>
      <c r="P603" s="59"/>
      <c r="Q603" s="59"/>
      <c r="R603" s="59"/>
      <c r="S603" s="59"/>
      <c r="T603" s="59"/>
      <c r="U603" s="59"/>
      <c r="V603" s="59"/>
      <c r="W603" s="59"/>
      <c r="X603" s="59"/>
      <c r="Y603" s="59"/>
    </row>
    <row r="604" spans="1:25" x14ac:dyDescent="0.25">
      <c r="A604" s="57">
        <f t="shared" si="114"/>
        <v>43055</v>
      </c>
      <c r="B604" s="63" t="s">
        <v>71</v>
      </c>
      <c r="H604" s="2">
        <f t="shared" si="115"/>
        <v>0</v>
      </c>
      <c r="I604" s="30" t="e">
        <f t="shared" si="116"/>
        <v>#DIV/0!</v>
      </c>
      <c r="N604" s="59"/>
      <c r="O604" s="59"/>
      <c r="P604" s="59"/>
      <c r="Q604" s="59"/>
      <c r="R604" s="59"/>
      <c r="S604" s="59"/>
      <c r="T604" s="59"/>
      <c r="U604" s="59"/>
      <c r="V604" s="59"/>
      <c r="W604" s="59"/>
      <c r="X604" s="59"/>
      <c r="Y604" s="59"/>
    </row>
    <row r="605" spans="1:25" x14ac:dyDescent="0.25">
      <c r="A605" s="57">
        <f t="shared" si="114"/>
        <v>43062</v>
      </c>
      <c r="B605" s="63" t="s">
        <v>71</v>
      </c>
      <c r="H605" s="2">
        <f t="shared" si="115"/>
        <v>0</v>
      </c>
      <c r="I605" s="30" t="e">
        <f t="shared" si="116"/>
        <v>#DIV/0!</v>
      </c>
      <c r="N605" s="59"/>
      <c r="O605" s="59"/>
      <c r="P605" s="59"/>
      <c r="Q605" s="59"/>
      <c r="R605" s="59"/>
      <c r="S605" s="59"/>
      <c r="T605" s="59"/>
      <c r="U605" s="59"/>
      <c r="V605" s="59"/>
      <c r="W605" s="59"/>
      <c r="X605" s="59"/>
      <c r="Y605" s="59"/>
    </row>
    <row r="606" spans="1:25" x14ac:dyDescent="0.25">
      <c r="A606" s="57">
        <f t="shared" si="114"/>
        <v>43069</v>
      </c>
      <c r="B606" s="63" t="s">
        <v>71</v>
      </c>
      <c r="H606" s="2">
        <f t="shared" si="115"/>
        <v>0</v>
      </c>
      <c r="I606" s="30" t="e">
        <f t="shared" si="116"/>
        <v>#DIV/0!</v>
      </c>
      <c r="N606" s="59"/>
      <c r="O606" s="59"/>
      <c r="P606" s="59"/>
      <c r="Q606" s="59"/>
      <c r="R606" s="59"/>
      <c r="S606" s="59"/>
      <c r="T606" s="59"/>
      <c r="U606" s="59"/>
      <c r="V606" s="59"/>
      <c r="W606" s="59"/>
      <c r="X606" s="59"/>
      <c r="Y606" s="59"/>
    </row>
    <row r="607" spans="1:25" x14ac:dyDescent="0.25">
      <c r="A607" s="57">
        <f t="shared" si="114"/>
        <v>43076</v>
      </c>
      <c r="B607" s="63" t="s">
        <v>71</v>
      </c>
      <c r="H607" s="2">
        <f t="shared" si="115"/>
        <v>0</v>
      </c>
      <c r="I607" s="30" t="e">
        <f t="shared" si="116"/>
        <v>#DIV/0!</v>
      </c>
      <c r="N607" s="59"/>
      <c r="O607" s="59"/>
      <c r="P607" s="59"/>
      <c r="Q607" s="59"/>
      <c r="R607" s="59"/>
      <c r="S607" s="59"/>
      <c r="T607" s="59"/>
      <c r="U607" s="59"/>
      <c r="V607" s="59"/>
      <c r="W607" s="59"/>
      <c r="X607" s="59"/>
      <c r="Y607" s="59"/>
    </row>
    <row r="608" spans="1:25" x14ac:dyDescent="0.25">
      <c r="A608" s="57">
        <f t="shared" si="114"/>
        <v>43083</v>
      </c>
      <c r="B608" s="63" t="s">
        <v>71</v>
      </c>
      <c r="H608" s="2">
        <f t="shared" si="115"/>
        <v>0</v>
      </c>
      <c r="I608" s="30" t="e">
        <f t="shared" si="116"/>
        <v>#DIV/0!</v>
      </c>
      <c r="N608" s="59"/>
      <c r="O608" s="59"/>
      <c r="P608" s="59"/>
      <c r="Q608" s="59"/>
      <c r="R608" s="59"/>
      <c r="S608" s="59"/>
      <c r="T608" s="59"/>
      <c r="U608" s="59"/>
      <c r="V608" s="59"/>
      <c r="W608" s="59"/>
      <c r="X608" s="59"/>
      <c r="Y608" s="59"/>
    </row>
    <row r="609" spans="1:25" x14ac:dyDescent="0.25">
      <c r="A609" s="57">
        <f t="shared" si="114"/>
        <v>43090</v>
      </c>
      <c r="B609" s="63" t="s">
        <v>71</v>
      </c>
      <c r="H609" s="2">
        <f t="shared" si="115"/>
        <v>0</v>
      </c>
      <c r="I609" s="30" t="e">
        <f t="shared" si="116"/>
        <v>#DIV/0!</v>
      </c>
      <c r="N609" s="59"/>
      <c r="O609" s="59"/>
      <c r="P609" s="59"/>
      <c r="Q609" s="59"/>
      <c r="R609" s="59"/>
      <c r="S609" s="59"/>
      <c r="T609" s="59"/>
      <c r="U609" s="59"/>
      <c r="V609" s="59"/>
      <c r="W609" s="59"/>
      <c r="X609" s="59"/>
      <c r="Y609" s="59"/>
    </row>
    <row r="610" spans="1:25" x14ac:dyDescent="0.25">
      <c r="A610" s="57">
        <f t="shared" si="114"/>
        <v>43097</v>
      </c>
      <c r="B610" s="63" t="s">
        <v>71</v>
      </c>
      <c r="H610" s="2">
        <f t="shared" si="115"/>
        <v>0</v>
      </c>
      <c r="I610" s="30" t="e">
        <f t="shared" si="116"/>
        <v>#DIV/0!</v>
      </c>
      <c r="N610" s="59"/>
      <c r="O610" s="59"/>
      <c r="P610" s="59"/>
      <c r="Q610" s="59"/>
      <c r="R610" s="59"/>
      <c r="S610" s="59"/>
      <c r="T610" s="59"/>
      <c r="U610" s="59"/>
      <c r="V610" s="59"/>
      <c r="W610" s="59"/>
      <c r="X610" s="59"/>
      <c r="Y610" s="59"/>
    </row>
    <row r="611" spans="1:25" x14ac:dyDescent="0.25">
      <c r="A611" s="57">
        <f t="shared" si="114"/>
        <v>43104</v>
      </c>
      <c r="B611" s="63" t="s">
        <v>71</v>
      </c>
      <c r="H611" s="2">
        <f t="shared" si="115"/>
        <v>0</v>
      </c>
      <c r="I611" s="30" t="e">
        <f t="shared" si="116"/>
        <v>#DIV/0!</v>
      </c>
      <c r="N611" s="59"/>
      <c r="O611" s="59"/>
      <c r="P611" s="59"/>
      <c r="Q611" s="59"/>
      <c r="R611" s="59"/>
      <c r="S611" s="59"/>
      <c r="T611" s="59"/>
      <c r="U611" s="59"/>
      <c r="V611" s="59"/>
      <c r="W611" s="59"/>
      <c r="X611" s="59"/>
      <c r="Y611" s="59"/>
    </row>
    <row r="612" spans="1:25" x14ac:dyDescent="0.25">
      <c r="A612" s="57">
        <f t="shared" si="114"/>
        <v>43111</v>
      </c>
      <c r="B612" s="63" t="s">
        <v>71</v>
      </c>
      <c r="H612" s="2">
        <f t="shared" si="115"/>
        <v>0</v>
      </c>
      <c r="I612" s="30" t="e">
        <f t="shared" si="116"/>
        <v>#DIV/0!</v>
      </c>
      <c r="N612" s="59"/>
      <c r="O612" s="59"/>
      <c r="P612" s="59"/>
      <c r="Q612" s="59"/>
      <c r="R612" s="59"/>
      <c r="S612" s="59"/>
      <c r="T612" s="59"/>
      <c r="U612" s="59"/>
      <c r="V612" s="59"/>
      <c r="W612" s="59"/>
      <c r="X612" s="59"/>
      <c r="Y612" s="59"/>
    </row>
    <row r="613" spans="1:25" x14ac:dyDescent="0.25">
      <c r="A613" s="57">
        <f t="shared" si="114"/>
        <v>43118</v>
      </c>
      <c r="B613" s="63" t="s">
        <v>71</v>
      </c>
      <c r="H613" s="2">
        <f t="shared" si="115"/>
        <v>0</v>
      </c>
      <c r="I613" s="30" t="e">
        <f t="shared" si="116"/>
        <v>#DIV/0!</v>
      </c>
      <c r="N613" s="59"/>
      <c r="O613" s="59"/>
      <c r="P613" s="59"/>
      <c r="Q613" s="59"/>
      <c r="R613" s="59"/>
      <c r="S613" s="59"/>
      <c r="T613" s="59"/>
      <c r="U613" s="59"/>
      <c r="V613" s="59"/>
      <c r="W613" s="59"/>
      <c r="X613" s="59"/>
      <c r="Y613" s="59"/>
    </row>
    <row r="614" spans="1:25" x14ac:dyDescent="0.25">
      <c r="A614" s="57">
        <f t="shared" si="114"/>
        <v>43125</v>
      </c>
      <c r="B614" s="63" t="s">
        <v>71</v>
      </c>
      <c r="H614" s="2">
        <f t="shared" si="115"/>
        <v>0</v>
      </c>
      <c r="I614" s="30" t="e">
        <f t="shared" si="116"/>
        <v>#DIV/0!</v>
      </c>
      <c r="N614" s="59"/>
      <c r="O614" s="59"/>
      <c r="P614" s="59"/>
      <c r="Q614" s="59"/>
      <c r="R614" s="59"/>
      <c r="S614" s="59"/>
      <c r="T614" s="59"/>
      <c r="U614" s="59"/>
      <c r="V614" s="59"/>
      <c r="W614" s="59"/>
      <c r="X614" s="59"/>
      <c r="Y614" s="59"/>
    </row>
    <row r="615" spans="1:25" x14ac:dyDescent="0.25">
      <c r="A615" s="57">
        <f t="shared" si="114"/>
        <v>43132</v>
      </c>
      <c r="B615" s="63" t="s">
        <v>71</v>
      </c>
      <c r="H615" s="2">
        <f t="shared" si="115"/>
        <v>0</v>
      </c>
      <c r="I615" s="30" t="e">
        <f t="shared" si="116"/>
        <v>#DIV/0!</v>
      </c>
      <c r="N615" s="59"/>
      <c r="O615" s="59"/>
      <c r="P615" s="59"/>
      <c r="Q615" s="59"/>
      <c r="R615" s="59"/>
      <c r="S615" s="59"/>
      <c r="T615" s="59"/>
      <c r="U615" s="59"/>
      <c r="V615" s="59"/>
      <c r="W615" s="59"/>
      <c r="X615" s="59"/>
      <c r="Y615" s="59"/>
    </row>
    <row r="616" spans="1:25" x14ac:dyDescent="0.25">
      <c r="A616" s="57">
        <f t="shared" si="114"/>
        <v>43139</v>
      </c>
      <c r="B616" s="63" t="s">
        <v>71</v>
      </c>
      <c r="H616" s="2">
        <f t="shared" si="115"/>
        <v>0</v>
      </c>
      <c r="I616" s="30" t="e">
        <f t="shared" si="116"/>
        <v>#DIV/0!</v>
      </c>
      <c r="N616" s="59"/>
      <c r="O616" s="59"/>
      <c r="P616" s="59"/>
      <c r="Q616" s="59"/>
      <c r="R616" s="59"/>
      <c r="S616" s="59"/>
      <c r="T616" s="59"/>
      <c r="U616" s="59"/>
      <c r="V616" s="59"/>
      <c r="W616" s="59"/>
      <c r="X616" s="59"/>
      <c r="Y616" s="59"/>
    </row>
    <row r="617" spans="1:25" x14ac:dyDescent="0.25">
      <c r="A617" s="57">
        <f t="shared" si="114"/>
        <v>43146</v>
      </c>
      <c r="B617" s="63" t="s">
        <v>71</v>
      </c>
      <c r="H617" s="2">
        <f t="shared" si="115"/>
        <v>0</v>
      </c>
      <c r="I617" s="30" t="e">
        <f t="shared" si="116"/>
        <v>#DIV/0!</v>
      </c>
      <c r="N617" s="59"/>
      <c r="O617" s="59"/>
      <c r="P617" s="59"/>
      <c r="Q617" s="59"/>
      <c r="R617" s="59"/>
      <c r="S617" s="59"/>
      <c r="T617" s="59"/>
      <c r="U617" s="59"/>
      <c r="V617" s="59"/>
      <c r="W617" s="59"/>
      <c r="X617" s="59"/>
      <c r="Y617" s="59"/>
    </row>
    <row r="618" spans="1:25" x14ac:dyDescent="0.25">
      <c r="A618" s="57">
        <f t="shared" si="114"/>
        <v>43153</v>
      </c>
      <c r="B618" s="63" t="s">
        <v>71</v>
      </c>
      <c r="H618" s="2">
        <f t="shared" si="115"/>
        <v>0</v>
      </c>
      <c r="I618" s="30" t="e">
        <f t="shared" si="116"/>
        <v>#DIV/0!</v>
      </c>
      <c r="N618" s="59"/>
      <c r="O618" s="59"/>
      <c r="P618" s="59"/>
      <c r="Q618" s="59"/>
      <c r="R618" s="59"/>
      <c r="S618" s="59"/>
      <c r="T618" s="59"/>
      <c r="U618" s="59"/>
      <c r="V618" s="59"/>
      <c r="W618" s="59"/>
      <c r="X618" s="59"/>
      <c r="Y618" s="59"/>
    </row>
    <row r="619" spans="1:25" x14ac:dyDescent="0.25">
      <c r="A619" s="57">
        <f t="shared" si="114"/>
        <v>43160</v>
      </c>
      <c r="B619" s="63" t="s">
        <v>71</v>
      </c>
      <c r="H619" s="2">
        <f t="shared" si="115"/>
        <v>0</v>
      </c>
      <c r="I619" s="30" t="e">
        <f t="shared" si="116"/>
        <v>#DIV/0!</v>
      </c>
      <c r="N619" s="59"/>
      <c r="O619" s="59"/>
      <c r="P619" s="59"/>
      <c r="Q619" s="59"/>
      <c r="R619" s="59"/>
      <c r="S619" s="59"/>
      <c r="T619" s="59"/>
      <c r="U619" s="59"/>
      <c r="V619" s="59"/>
      <c r="W619" s="59"/>
      <c r="X619" s="59"/>
      <c r="Y619" s="59"/>
    </row>
    <row r="620" spans="1:25" x14ac:dyDescent="0.25">
      <c r="A620" s="57">
        <f t="shared" si="114"/>
        <v>43167</v>
      </c>
      <c r="B620" s="63" t="s">
        <v>71</v>
      </c>
      <c r="H620" s="2">
        <f t="shared" si="115"/>
        <v>0</v>
      </c>
      <c r="I620" s="30" t="e">
        <f t="shared" si="116"/>
        <v>#DIV/0!</v>
      </c>
      <c r="N620" s="59"/>
      <c r="O620" s="59"/>
      <c r="P620" s="59"/>
      <c r="Q620" s="59"/>
      <c r="R620" s="59"/>
      <c r="S620" s="59"/>
      <c r="T620" s="59"/>
      <c r="U620" s="59"/>
      <c r="V620" s="59"/>
      <c r="W620" s="59"/>
      <c r="X620" s="59"/>
      <c r="Y620" s="59"/>
    </row>
    <row r="621" spans="1:25" x14ac:dyDescent="0.25">
      <c r="A621" s="57">
        <f t="shared" si="114"/>
        <v>43174</v>
      </c>
      <c r="B621" s="63" t="s">
        <v>71</v>
      </c>
      <c r="H621" s="2">
        <f t="shared" si="115"/>
        <v>0</v>
      </c>
      <c r="I621" s="30" t="e">
        <f t="shared" si="116"/>
        <v>#DIV/0!</v>
      </c>
      <c r="N621" s="59"/>
      <c r="O621" s="59"/>
      <c r="P621" s="59"/>
      <c r="Q621" s="59"/>
      <c r="R621" s="59"/>
      <c r="S621" s="59"/>
      <c r="T621" s="59"/>
      <c r="U621" s="59"/>
      <c r="V621" s="59"/>
      <c r="W621" s="59"/>
      <c r="X621" s="59"/>
      <c r="Y621" s="59"/>
    </row>
    <row r="622" spans="1:25" x14ac:dyDescent="0.25">
      <c r="A622" s="57">
        <f t="shared" si="114"/>
        <v>43181</v>
      </c>
      <c r="B622" s="63" t="s">
        <v>71</v>
      </c>
      <c r="H622" s="2">
        <f t="shared" si="115"/>
        <v>0</v>
      </c>
      <c r="I622" s="30" t="e">
        <f t="shared" si="116"/>
        <v>#DIV/0!</v>
      </c>
      <c r="N622" s="59"/>
      <c r="O622" s="59"/>
      <c r="P622" s="59"/>
      <c r="Q622" s="59"/>
      <c r="R622" s="59"/>
      <c r="S622" s="59"/>
      <c r="T622" s="59"/>
      <c r="U622" s="59"/>
      <c r="V622" s="59"/>
      <c r="W622" s="59"/>
      <c r="X622" s="59"/>
      <c r="Y622" s="59"/>
    </row>
    <row r="623" spans="1:25" x14ac:dyDescent="0.25">
      <c r="A623" s="57">
        <f t="shared" si="114"/>
        <v>43188</v>
      </c>
      <c r="B623" s="63" t="s">
        <v>71</v>
      </c>
      <c r="H623" s="2">
        <f t="shared" si="115"/>
        <v>0</v>
      </c>
      <c r="I623" s="30" t="e">
        <f t="shared" si="116"/>
        <v>#DIV/0!</v>
      </c>
      <c r="N623" s="59"/>
      <c r="O623" s="59"/>
      <c r="P623" s="59"/>
      <c r="Q623" s="59"/>
      <c r="R623" s="59"/>
      <c r="S623" s="59"/>
      <c r="T623" s="59"/>
      <c r="U623" s="59"/>
      <c r="V623" s="59"/>
      <c r="W623" s="59"/>
      <c r="X623" s="59"/>
      <c r="Y623" s="59"/>
    </row>
    <row r="624" spans="1:25" x14ac:dyDescent="0.25">
      <c r="A624" s="57">
        <f t="shared" si="114"/>
        <v>43195</v>
      </c>
      <c r="B624" s="63" t="s">
        <v>71</v>
      </c>
      <c r="H624" s="2">
        <f t="shared" si="115"/>
        <v>0</v>
      </c>
      <c r="I624" s="30" t="e">
        <f t="shared" si="116"/>
        <v>#DIV/0!</v>
      </c>
      <c r="N624" s="59"/>
      <c r="O624" s="59"/>
      <c r="P624" s="59"/>
      <c r="Q624" s="59"/>
      <c r="R624" s="59"/>
      <c r="S624" s="59"/>
      <c r="T624" s="59"/>
      <c r="U624" s="59"/>
      <c r="V624" s="59"/>
      <c r="W624" s="59"/>
      <c r="X624" s="59"/>
      <c r="Y624" s="59"/>
    </row>
    <row r="625" spans="1:25" x14ac:dyDescent="0.25">
      <c r="A625" s="57">
        <f t="shared" si="114"/>
        <v>43202</v>
      </c>
      <c r="B625" s="63" t="s">
        <v>71</v>
      </c>
      <c r="H625" s="2">
        <f t="shared" si="115"/>
        <v>0</v>
      </c>
      <c r="I625" s="30" t="e">
        <f t="shared" si="116"/>
        <v>#DIV/0!</v>
      </c>
      <c r="N625" s="59"/>
      <c r="O625" s="59"/>
      <c r="P625" s="59"/>
      <c r="Q625" s="59"/>
      <c r="R625" s="59"/>
      <c r="S625" s="59"/>
      <c r="T625" s="59"/>
      <c r="U625" s="59"/>
      <c r="V625" s="59"/>
      <c r="W625" s="59"/>
      <c r="X625" s="59"/>
      <c r="Y625" s="59"/>
    </row>
    <row r="626" spans="1:25" x14ac:dyDescent="0.25">
      <c r="A626" s="57">
        <f t="shared" si="114"/>
        <v>43209</v>
      </c>
      <c r="B626" s="63" t="s">
        <v>71</v>
      </c>
      <c r="H626" s="2">
        <f t="shared" si="115"/>
        <v>0</v>
      </c>
      <c r="I626" s="30" t="e">
        <f t="shared" si="116"/>
        <v>#DIV/0!</v>
      </c>
      <c r="N626" s="59"/>
      <c r="O626" s="59"/>
      <c r="P626" s="59"/>
      <c r="Q626" s="59"/>
      <c r="R626" s="59"/>
      <c r="S626" s="59"/>
      <c r="T626" s="59"/>
      <c r="U626" s="59"/>
      <c r="V626" s="59"/>
      <c r="W626" s="59"/>
      <c r="X626" s="59"/>
      <c r="Y626" s="59"/>
    </row>
    <row r="627" spans="1:25" x14ac:dyDescent="0.25">
      <c r="A627" s="57">
        <f t="shared" si="114"/>
        <v>43216</v>
      </c>
      <c r="B627" s="63" t="s">
        <v>71</v>
      </c>
      <c r="H627" s="2">
        <f t="shared" si="115"/>
        <v>0</v>
      </c>
      <c r="I627" s="30" t="e">
        <f t="shared" si="116"/>
        <v>#DIV/0!</v>
      </c>
      <c r="N627" s="59"/>
      <c r="O627" s="59"/>
      <c r="P627" s="59"/>
      <c r="Q627" s="59"/>
      <c r="R627" s="59"/>
      <c r="S627" s="59"/>
      <c r="T627" s="59"/>
      <c r="U627" s="59"/>
      <c r="V627" s="59"/>
      <c r="W627" s="59"/>
      <c r="X627" s="59"/>
      <c r="Y627" s="59"/>
    </row>
    <row r="628" spans="1:25" x14ac:dyDescent="0.25">
      <c r="A628" s="57">
        <f t="shared" si="114"/>
        <v>43223</v>
      </c>
      <c r="B628" s="63" t="s">
        <v>71</v>
      </c>
      <c r="H628" s="2">
        <f t="shared" si="115"/>
        <v>0</v>
      </c>
      <c r="I628" s="30" t="e">
        <f t="shared" si="116"/>
        <v>#DIV/0!</v>
      </c>
      <c r="N628" s="59"/>
      <c r="O628" s="59"/>
      <c r="P628" s="59"/>
      <c r="Q628" s="59"/>
      <c r="R628" s="59"/>
      <c r="S628" s="59"/>
      <c r="T628" s="59"/>
      <c r="U628" s="59"/>
      <c r="V628" s="59"/>
      <c r="W628" s="59"/>
      <c r="X628" s="59"/>
      <c r="Y628" s="59"/>
    </row>
    <row r="629" spans="1:25" x14ac:dyDescent="0.25">
      <c r="A629" s="57">
        <f t="shared" si="114"/>
        <v>43230</v>
      </c>
      <c r="B629" s="63" t="s">
        <v>71</v>
      </c>
      <c r="H629" s="2">
        <f t="shared" si="115"/>
        <v>0</v>
      </c>
      <c r="I629" s="30" t="e">
        <f t="shared" si="116"/>
        <v>#DIV/0!</v>
      </c>
      <c r="N629" s="59"/>
      <c r="O629" s="59"/>
      <c r="P629" s="59"/>
      <c r="Q629" s="59"/>
      <c r="R629" s="59"/>
      <c r="S629" s="59"/>
      <c r="T629" s="59"/>
      <c r="U629" s="59"/>
      <c r="V629" s="59"/>
      <c r="W629" s="59"/>
      <c r="X629" s="59"/>
      <c r="Y629" s="59"/>
    </row>
    <row r="630" spans="1:25" x14ac:dyDescent="0.25">
      <c r="A630" s="57">
        <f t="shared" si="114"/>
        <v>43237</v>
      </c>
      <c r="B630" s="63" t="s">
        <v>71</v>
      </c>
      <c r="H630" s="2">
        <f t="shared" si="115"/>
        <v>0</v>
      </c>
      <c r="I630" s="30" t="e">
        <f t="shared" si="116"/>
        <v>#DIV/0!</v>
      </c>
      <c r="N630" s="59"/>
      <c r="O630" s="59"/>
      <c r="P630" s="59"/>
      <c r="Q630" s="59"/>
      <c r="R630" s="59"/>
      <c r="S630" s="59"/>
      <c r="T630" s="59"/>
      <c r="U630" s="59"/>
      <c r="V630" s="59"/>
      <c r="W630" s="59"/>
      <c r="X630" s="59"/>
      <c r="Y630" s="59"/>
    </row>
    <row r="631" spans="1:25" x14ac:dyDescent="0.25">
      <c r="A631" s="57">
        <f t="shared" si="114"/>
        <v>43244</v>
      </c>
      <c r="B631" s="63" t="s">
        <v>71</v>
      </c>
      <c r="H631" s="2">
        <f t="shared" si="115"/>
        <v>0</v>
      </c>
      <c r="I631" s="30" t="e">
        <f t="shared" si="116"/>
        <v>#DIV/0!</v>
      </c>
      <c r="N631" s="59"/>
      <c r="O631" s="59"/>
      <c r="P631" s="59"/>
      <c r="Q631" s="59"/>
      <c r="R631" s="59"/>
      <c r="S631" s="59"/>
      <c r="T631" s="59"/>
      <c r="U631" s="59"/>
      <c r="V631" s="59"/>
      <c r="W631" s="59"/>
      <c r="X631" s="59"/>
      <c r="Y631" s="59"/>
    </row>
    <row r="632" spans="1:25" x14ac:dyDescent="0.25">
      <c r="A632" s="57">
        <f t="shared" si="114"/>
        <v>43251</v>
      </c>
      <c r="B632" s="63" t="s">
        <v>71</v>
      </c>
      <c r="H632" s="2">
        <f t="shared" si="115"/>
        <v>0</v>
      </c>
      <c r="I632" s="30" t="e">
        <f t="shared" si="116"/>
        <v>#DIV/0!</v>
      </c>
      <c r="N632" s="59"/>
      <c r="O632" s="59"/>
      <c r="P632" s="59"/>
      <c r="Q632" s="59"/>
      <c r="R632" s="59"/>
      <c r="S632" s="59"/>
      <c r="T632" s="59"/>
      <c r="U632" s="59"/>
      <c r="V632" s="59"/>
      <c r="W632" s="59"/>
      <c r="X632" s="59"/>
      <c r="Y632" s="59"/>
    </row>
    <row r="633" spans="1:25" x14ac:dyDescent="0.25">
      <c r="A633" s="57">
        <f t="shared" si="114"/>
        <v>43258</v>
      </c>
      <c r="B633" s="63" t="s">
        <v>71</v>
      </c>
      <c r="H633" s="2">
        <f t="shared" si="115"/>
        <v>0</v>
      </c>
      <c r="I633" s="30" t="e">
        <f t="shared" si="116"/>
        <v>#DIV/0!</v>
      </c>
      <c r="N633" s="59"/>
      <c r="O633" s="59"/>
      <c r="P633" s="59"/>
      <c r="Q633" s="59"/>
      <c r="R633" s="59"/>
      <c r="S633" s="59"/>
      <c r="T633" s="59"/>
      <c r="U633" s="59"/>
      <c r="V633" s="59"/>
      <c r="W633" s="59"/>
      <c r="X633" s="59"/>
      <c r="Y633" s="59"/>
    </row>
    <row r="634" spans="1:25" x14ac:dyDescent="0.25">
      <c r="A634" s="57">
        <f t="shared" si="114"/>
        <v>43265</v>
      </c>
      <c r="B634" s="63" t="s">
        <v>71</v>
      </c>
      <c r="H634" s="2">
        <f t="shared" si="115"/>
        <v>0</v>
      </c>
      <c r="I634" s="30" t="e">
        <f t="shared" si="116"/>
        <v>#DIV/0!</v>
      </c>
      <c r="N634" s="59"/>
      <c r="O634" s="59"/>
      <c r="P634" s="59"/>
      <c r="Q634" s="59"/>
      <c r="R634" s="59"/>
      <c r="S634" s="59"/>
      <c r="T634" s="59"/>
      <c r="U634" s="59"/>
      <c r="V634" s="59"/>
      <c r="W634" s="59"/>
      <c r="X634" s="59"/>
      <c r="Y634" s="59"/>
    </row>
    <row r="635" spans="1:25" x14ac:dyDescent="0.25">
      <c r="A635" s="57">
        <f t="shared" si="114"/>
        <v>43272</v>
      </c>
      <c r="B635" s="63" t="s">
        <v>71</v>
      </c>
      <c r="H635" s="2">
        <f t="shared" si="115"/>
        <v>0</v>
      </c>
      <c r="I635" s="30" t="e">
        <f t="shared" si="116"/>
        <v>#DIV/0!</v>
      </c>
      <c r="N635" s="59"/>
      <c r="O635" s="59"/>
      <c r="P635" s="59"/>
      <c r="Q635" s="59"/>
      <c r="R635" s="59"/>
      <c r="S635" s="59"/>
      <c r="T635" s="59"/>
      <c r="U635" s="59"/>
      <c r="V635" s="59"/>
      <c r="W635" s="59"/>
      <c r="X635" s="59"/>
      <c r="Y635" s="59"/>
    </row>
    <row r="636" spans="1:25" x14ac:dyDescent="0.25">
      <c r="A636" s="57">
        <f t="shared" si="114"/>
        <v>43279</v>
      </c>
      <c r="B636" s="63" t="s">
        <v>71</v>
      </c>
      <c r="H636" s="2">
        <f t="shared" si="115"/>
        <v>0</v>
      </c>
      <c r="I636" s="30" t="e">
        <f t="shared" si="116"/>
        <v>#DIV/0!</v>
      </c>
      <c r="N636" s="59"/>
      <c r="O636" s="59"/>
      <c r="P636" s="59"/>
      <c r="Q636" s="59"/>
      <c r="R636" s="59"/>
      <c r="S636" s="59"/>
      <c r="T636" s="59"/>
      <c r="U636" s="59"/>
      <c r="V636" s="59"/>
      <c r="W636" s="59"/>
      <c r="X636" s="59"/>
      <c r="Y636" s="59"/>
    </row>
    <row r="637" spans="1:25" x14ac:dyDescent="0.25">
      <c r="A637" s="57">
        <f t="shared" si="114"/>
        <v>43286</v>
      </c>
      <c r="B637" s="63" t="s">
        <v>71</v>
      </c>
      <c r="H637" s="2">
        <f t="shared" si="115"/>
        <v>0</v>
      </c>
      <c r="I637" s="30" t="e">
        <f t="shared" si="116"/>
        <v>#DIV/0!</v>
      </c>
      <c r="N637" s="59"/>
      <c r="O637" s="59"/>
      <c r="P637" s="59"/>
      <c r="Q637" s="59"/>
      <c r="R637" s="59"/>
      <c r="S637" s="59"/>
      <c r="T637" s="59"/>
      <c r="U637" s="59"/>
      <c r="V637" s="59"/>
      <c r="W637" s="59"/>
      <c r="X637" s="59"/>
      <c r="Y637" s="59"/>
    </row>
    <row r="638" spans="1:25" x14ac:dyDescent="0.25">
      <c r="A638" s="57">
        <f t="shared" ref="A638:A701" si="117">+A637+7</f>
        <v>43293</v>
      </c>
      <c r="B638" s="63" t="s">
        <v>71</v>
      </c>
      <c r="H638" s="2">
        <f t="shared" si="115"/>
        <v>0</v>
      </c>
      <c r="I638" s="30" t="e">
        <f t="shared" si="116"/>
        <v>#DIV/0!</v>
      </c>
      <c r="N638" s="59"/>
      <c r="O638" s="59"/>
      <c r="P638" s="59"/>
      <c r="Q638" s="59"/>
      <c r="R638" s="59"/>
      <c r="S638" s="59"/>
      <c r="T638" s="59"/>
      <c r="U638" s="59"/>
      <c r="V638" s="59"/>
      <c r="W638" s="59"/>
      <c r="X638" s="59"/>
      <c r="Y638" s="59"/>
    </row>
    <row r="639" spans="1:25" x14ac:dyDescent="0.25">
      <c r="A639" s="57">
        <f t="shared" si="117"/>
        <v>43300</v>
      </c>
      <c r="B639" s="63" t="s">
        <v>71</v>
      </c>
      <c r="H639" s="2">
        <f t="shared" si="115"/>
        <v>0</v>
      </c>
      <c r="I639" s="30" t="e">
        <f t="shared" si="116"/>
        <v>#DIV/0!</v>
      </c>
      <c r="N639" s="59"/>
      <c r="O639" s="59"/>
      <c r="P639" s="59"/>
      <c r="Q639" s="59"/>
      <c r="R639" s="59"/>
      <c r="S639" s="59"/>
      <c r="T639" s="59"/>
      <c r="U639" s="59"/>
      <c r="V639" s="59"/>
      <c r="W639" s="59"/>
      <c r="X639" s="59"/>
      <c r="Y639" s="59"/>
    </row>
    <row r="640" spans="1:25" x14ac:dyDescent="0.25">
      <c r="A640" s="57">
        <f t="shared" si="117"/>
        <v>43307</v>
      </c>
      <c r="B640" s="63" t="s">
        <v>71</v>
      </c>
      <c r="H640" s="2">
        <f t="shared" si="115"/>
        <v>0</v>
      </c>
      <c r="I640" s="30" t="e">
        <f t="shared" si="116"/>
        <v>#DIV/0!</v>
      </c>
      <c r="N640" s="59"/>
      <c r="O640" s="59"/>
      <c r="P640" s="59"/>
      <c r="Q640" s="59"/>
      <c r="R640" s="59"/>
      <c r="S640" s="59"/>
      <c r="T640" s="59"/>
      <c r="U640" s="59"/>
      <c r="V640" s="59"/>
      <c r="W640" s="59"/>
      <c r="X640" s="59"/>
      <c r="Y640" s="59"/>
    </row>
    <row r="641" spans="1:25" x14ac:dyDescent="0.25">
      <c r="A641" s="57">
        <f t="shared" si="117"/>
        <v>43314</v>
      </c>
      <c r="B641" s="63" t="s">
        <v>71</v>
      </c>
      <c r="H641" s="2">
        <f t="shared" si="115"/>
        <v>0</v>
      </c>
      <c r="I641" s="30" t="e">
        <f t="shared" si="116"/>
        <v>#DIV/0!</v>
      </c>
      <c r="N641" s="59"/>
      <c r="O641" s="59"/>
      <c r="P641" s="59"/>
      <c r="Q641" s="59"/>
      <c r="R641" s="59"/>
      <c r="S641" s="59"/>
      <c r="T641" s="59"/>
      <c r="U641" s="59"/>
      <c r="V641" s="59"/>
      <c r="W641" s="59"/>
      <c r="X641" s="59"/>
      <c r="Y641" s="59"/>
    </row>
    <row r="642" spans="1:25" x14ac:dyDescent="0.25">
      <c r="A642" s="57">
        <f t="shared" si="117"/>
        <v>43321</v>
      </c>
      <c r="B642" s="63" t="s">
        <v>71</v>
      </c>
      <c r="H642" s="2">
        <f t="shared" si="115"/>
        <v>0</v>
      </c>
      <c r="I642" s="30" t="e">
        <f t="shared" si="116"/>
        <v>#DIV/0!</v>
      </c>
      <c r="N642" s="59"/>
      <c r="O642" s="59"/>
      <c r="P642" s="59"/>
      <c r="Q642" s="59"/>
      <c r="R642" s="59"/>
      <c r="S642" s="59"/>
      <c r="T642" s="59"/>
      <c r="U642" s="59"/>
      <c r="V642" s="59"/>
      <c r="W642" s="59"/>
      <c r="X642" s="59"/>
      <c r="Y642" s="59"/>
    </row>
    <row r="643" spans="1:25" x14ac:dyDescent="0.25">
      <c r="A643" s="57">
        <f t="shared" si="117"/>
        <v>43328</v>
      </c>
      <c r="B643" s="63" t="s">
        <v>71</v>
      </c>
      <c r="H643" s="2">
        <f t="shared" si="115"/>
        <v>0</v>
      </c>
      <c r="I643" s="30" t="e">
        <f t="shared" si="116"/>
        <v>#DIV/0!</v>
      </c>
      <c r="N643" s="59"/>
      <c r="O643" s="59"/>
      <c r="P643" s="59"/>
      <c r="Q643" s="59"/>
      <c r="R643" s="59"/>
      <c r="S643" s="59"/>
      <c r="T643" s="59"/>
      <c r="U643" s="59"/>
      <c r="V643" s="59"/>
      <c r="W643" s="59"/>
      <c r="X643" s="59"/>
      <c r="Y643" s="59"/>
    </row>
    <row r="644" spans="1:25" x14ac:dyDescent="0.25">
      <c r="A644" s="57">
        <f t="shared" si="117"/>
        <v>43335</v>
      </c>
      <c r="B644" s="63" t="s">
        <v>71</v>
      </c>
      <c r="H644" s="2">
        <f t="shared" si="115"/>
        <v>0</v>
      </c>
      <c r="I644" s="30" t="e">
        <f t="shared" si="116"/>
        <v>#DIV/0!</v>
      </c>
      <c r="N644" s="59"/>
      <c r="O644" s="59"/>
      <c r="P644" s="59"/>
      <c r="Q644" s="59"/>
      <c r="R644" s="59"/>
      <c r="S644" s="59"/>
      <c r="T644" s="59"/>
      <c r="U644" s="59"/>
      <c r="V644" s="59"/>
      <c r="W644" s="59"/>
      <c r="X644" s="59"/>
      <c r="Y644" s="59"/>
    </row>
    <row r="645" spans="1:25" x14ac:dyDescent="0.25">
      <c r="A645" s="57">
        <f t="shared" si="117"/>
        <v>43342</v>
      </c>
      <c r="B645" s="63" t="s">
        <v>71</v>
      </c>
      <c r="H645" s="2">
        <f t="shared" si="115"/>
        <v>0</v>
      </c>
      <c r="I645" s="30" t="e">
        <f t="shared" si="116"/>
        <v>#DIV/0!</v>
      </c>
      <c r="N645" s="59"/>
      <c r="O645" s="59"/>
      <c r="P645" s="59"/>
      <c r="Q645" s="59"/>
      <c r="R645" s="59"/>
      <c r="S645" s="59"/>
      <c r="T645" s="59"/>
      <c r="U645" s="59"/>
      <c r="V645" s="59"/>
      <c r="W645" s="59"/>
      <c r="X645" s="59"/>
      <c r="Y645" s="59"/>
    </row>
    <row r="646" spans="1:25" x14ac:dyDescent="0.25">
      <c r="A646" s="57">
        <f t="shared" si="117"/>
        <v>43349</v>
      </c>
      <c r="B646" s="63" t="s">
        <v>71</v>
      </c>
      <c r="H646" s="2">
        <f t="shared" si="115"/>
        <v>0</v>
      </c>
      <c r="I646" s="30" t="e">
        <f t="shared" si="116"/>
        <v>#DIV/0!</v>
      </c>
      <c r="N646" s="59"/>
      <c r="O646" s="59"/>
      <c r="P646" s="59"/>
      <c r="Q646" s="59"/>
      <c r="R646" s="59"/>
      <c r="S646" s="59"/>
      <c r="T646" s="59"/>
      <c r="U646" s="59"/>
      <c r="V646" s="59"/>
      <c r="W646" s="59"/>
      <c r="X646" s="59"/>
      <c r="Y646" s="59"/>
    </row>
    <row r="647" spans="1:25" x14ac:dyDescent="0.25">
      <c r="A647" s="57">
        <f t="shared" si="117"/>
        <v>43356</v>
      </c>
      <c r="B647" s="63" t="s">
        <v>71</v>
      </c>
      <c r="H647" s="2">
        <f t="shared" si="115"/>
        <v>0</v>
      </c>
      <c r="I647" s="30" t="e">
        <f t="shared" si="116"/>
        <v>#DIV/0!</v>
      </c>
      <c r="N647" s="59"/>
      <c r="O647" s="59"/>
      <c r="P647" s="59"/>
      <c r="Q647" s="59"/>
      <c r="R647" s="59"/>
      <c r="S647" s="59"/>
      <c r="T647" s="59"/>
      <c r="U647" s="59"/>
      <c r="V647" s="59"/>
      <c r="W647" s="59"/>
      <c r="X647" s="59"/>
      <c r="Y647" s="59"/>
    </row>
    <row r="648" spans="1:25" x14ac:dyDescent="0.25">
      <c r="A648" s="57">
        <f t="shared" si="117"/>
        <v>43363</v>
      </c>
      <c r="B648" s="63" t="s">
        <v>71</v>
      </c>
      <c r="H648" s="2">
        <f t="shared" si="115"/>
        <v>0</v>
      </c>
      <c r="I648" s="30" t="e">
        <f t="shared" si="116"/>
        <v>#DIV/0!</v>
      </c>
      <c r="N648" s="59"/>
      <c r="O648" s="59"/>
      <c r="P648" s="59"/>
      <c r="Q648" s="59"/>
      <c r="R648" s="59"/>
      <c r="S648" s="59"/>
      <c r="T648" s="59"/>
      <c r="U648" s="59"/>
      <c r="V648" s="59"/>
      <c r="W648" s="59"/>
      <c r="X648" s="59"/>
      <c r="Y648" s="59"/>
    </row>
    <row r="649" spans="1:25" x14ac:dyDescent="0.25">
      <c r="A649" s="57">
        <f t="shared" si="117"/>
        <v>43370</v>
      </c>
      <c r="B649" s="63" t="s">
        <v>71</v>
      </c>
      <c r="H649" s="2">
        <f t="shared" si="115"/>
        <v>0</v>
      </c>
      <c r="I649" s="30" t="e">
        <f t="shared" si="116"/>
        <v>#DIV/0!</v>
      </c>
      <c r="N649" s="59"/>
      <c r="O649" s="59"/>
      <c r="P649" s="59"/>
      <c r="Q649" s="59"/>
      <c r="R649" s="59"/>
      <c r="S649" s="59"/>
      <c r="T649" s="59"/>
      <c r="U649" s="59"/>
      <c r="V649" s="59"/>
      <c r="W649" s="59"/>
      <c r="X649" s="59"/>
      <c r="Y649" s="59"/>
    </row>
    <row r="650" spans="1:25" x14ac:dyDescent="0.25">
      <c r="A650" s="57">
        <f t="shared" si="117"/>
        <v>43377</v>
      </c>
      <c r="B650" s="63" t="s">
        <v>71</v>
      </c>
      <c r="H650" s="2">
        <f t="shared" si="115"/>
        <v>0</v>
      </c>
      <c r="I650" s="30" t="e">
        <f t="shared" si="116"/>
        <v>#DIV/0!</v>
      </c>
      <c r="N650" s="59"/>
      <c r="O650" s="59"/>
      <c r="P650" s="59"/>
      <c r="Q650" s="59"/>
      <c r="R650" s="59"/>
      <c r="S650" s="59"/>
      <c r="T650" s="59"/>
      <c r="U650" s="59"/>
      <c r="V650" s="59"/>
      <c r="W650" s="59"/>
      <c r="X650" s="59"/>
      <c r="Y650" s="59"/>
    </row>
    <row r="651" spans="1:25" x14ac:dyDescent="0.25">
      <c r="A651" s="57">
        <f t="shared" si="117"/>
        <v>43384</v>
      </c>
      <c r="B651" s="63" t="s">
        <v>71</v>
      </c>
      <c r="H651" s="2">
        <f t="shared" si="115"/>
        <v>0</v>
      </c>
      <c r="I651" s="30" t="e">
        <f t="shared" si="116"/>
        <v>#DIV/0!</v>
      </c>
      <c r="N651" s="59"/>
      <c r="O651" s="59"/>
      <c r="P651" s="59"/>
      <c r="Q651" s="59"/>
      <c r="R651" s="59"/>
      <c r="S651" s="59"/>
      <c r="T651" s="59"/>
      <c r="U651" s="59"/>
      <c r="V651" s="59"/>
      <c r="W651" s="59"/>
      <c r="X651" s="59"/>
      <c r="Y651" s="59"/>
    </row>
    <row r="652" spans="1:25" x14ac:dyDescent="0.25">
      <c r="A652" s="57">
        <f t="shared" si="117"/>
        <v>43391</v>
      </c>
      <c r="B652" s="63" t="s">
        <v>71</v>
      </c>
      <c r="H652" s="2">
        <f t="shared" si="115"/>
        <v>0</v>
      </c>
      <c r="I652" s="30" t="e">
        <f t="shared" si="116"/>
        <v>#DIV/0!</v>
      </c>
      <c r="N652" s="59"/>
      <c r="O652" s="59"/>
      <c r="P652" s="59"/>
      <c r="Q652" s="59"/>
      <c r="R652" s="59"/>
      <c r="S652" s="59"/>
      <c r="T652" s="59"/>
      <c r="U652" s="59"/>
      <c r="V652" s="59"/>
      <c r="W652" s="59"/>
      <c r="X652" s="59"/>
      <c r="Y652" s="59"/>
    </row>
    <row r="653" spans="1:25" x14ac:dyDescent="0.25">
      <c r="A653" s="57">
        <f t="shared" si="117"/>
        <v>43398</v>
      </c>
      <c r="B653" s="63" t="s">
        <v>71</v>
      </c>
      <c r="H653" s="2">
        <f t="shared" si="115"/>
        <v>0</v>
      </c>
      <c r="I653" s="30" t="e">
        <f t="shared" si="116"/>
        <v>#DIV/0!</v>
      </c>
      <c r="N653" s="59"/>
      <c r="O653" s="59"/>
      <c r="P653" s="59"/>
      <c r="Q653" s="59"/>
      <c r="R653" s="59"/>
      <c r="S653" s="59"/>
      <c r="T653" s="59"/>
      <c r="U653" s="59"/>
      <c r="V653" s="59"/>
      <c r="W653" s="59"/>
      <c r="X653" s="59"/>
      <c r="Y653" s="59"/>
    </row>
    <row r="654" spans="1:25" x14ac:dyDescent="0.25">
      <c r="A654" s="57">
        <f t="shared" si="117"/>
        <v>43405</v>
      </c>
      <c r="B654" s="63" t="s">
        <v>71</v>
      </c>
      <c r="H654" s="2">
        <f t="shared" si="115"/>
        <v>0</v>
      </c>
      <c r="I654" s="30" t="e">
        <f t="shared" si="116"/>
        <v>#DIV/0!</v>
      </c>
      <c r="N654" s="59"/>
      <c r="O654" s="59"/>
      <c r="P654" s="59"/>
      <c r="Q654" s="59"/>
      <c r="R654" s="59"/>
      <c r="S654" s="59"/>
      <c r="T654" s="59"/>
      <c r="U654" s="59"/>
      <c r="V654" s="59"/>
      <c r="W654" s="59"/>
      <c r="X654" s="59"/>
      <c r="Y654" s="59"/>
    </row>
    <row r="655" spans="1:25" x14ac:dyDescent="0.25">
      <c r="A655" s="57">
        <f t="shared" si="117"/>
        <v>43412</v>
      </c>
      <c r="B655" s="63" t="s">
        <v>71</v>
      </c>
      <c r="H655" s="2">
        <f t="shared" si="115"/>
        <v>0</v>
      </c>
      <c r="I655" s="30" t="e">
        <f t="shared" si="116"/>
        <v>#DIV/0!</v>
      </c>
      <c r="N655" s="59"/>
      <c r="O655" s="59"/>
      <c r="P655" s="59"/>
      <c r="Q655" s="59"/>
      <c r="R655" s="59"/>
      <c r="S655" s="59"/>
      <c r="T655" s="59"/>
      <c r="U655" s="59"/>
      <c r="V655" s="59"/>
      <c r="W655" s="59"/>
      <c r="X655" s="59"/>
      <c r="Y655" s="59"/>
    </row>
    <row r="656" spans="1:25" x14ac:dyDescent="0.25">
      <c r="A656" s="57">
        <f t="shared" si="117"/>
        <v>43419</v>
      </c>
      <c r="B656" s="63" t="s">
        <v>71</v>
      </c>
      <c r="H656" s="2">
        <f t="shared" si="115"/>
        <v>0</v>
      </c>
      <c r="I656" s="30" t="e">
        <f t="shared" si="116"/>
        <v>#DIV/0!</v>
      </c>
      <c r="N656" s="59"/>
      <c r="O656" s="59"/>
      <c r="P656" s="59"/>
      <c r="Q656" s="59"/>
      <c r="R656" s="59"/>
      <c r="S656" s="59"/>
      <c r="T656" s="59"/>
      <c r="U656" s="59"/>
      <c r="V656" s="59"/>
      <c r="W656" s="59"/>
      <c r="X656" s="59"/>
      <c r="Y656" s="59"/>
    </row>
    <row r="657" spans="1:25" x14ac:dyDescent="0.25">
      <c r="A657" s="57">
        <f t="shared" si="117"/>
        <v>43426</v>
      </c>
      <c r="B657" s="63" t="s">
        <v>71</v>
      </c>
      <c r="H657" s="2">
        <f t="shared" si="115"/>
        <v>0</v>
      </c>
      <c r="I657" s="30" t="e">
        <f t="shared" si="116"/>
        <v>#DIV/0!</v>
      </c>
      <c r="N657" s="59"/>
      <c r="O657" s="59"/>
      <c r="P657" s="59"/>
      <c r="Q657" s="59"/>
      <c r="R657" s="59"/>
      <c r="S657" s="59"/>
      <c r="T657" s="59"/>
      <c r="U657" s="59"/>
      <c r="V657" s="59"/>
      <c r="W657" s="59"/>
      <c r="X657" s="59"/>
      <c r="Y657" s="59"/>
    </row>
    <row r="658" spans="1:25" x14ac:dyDescent="0.25">
      <c r="A658" s="57">
        <f t="shared" si="117"/>
        <v>43433</v>
      </c>
      <c r="B658" s="63" t="s">
        <v>71</v>
      </c>
      <c r="H658" s="2">
        <f t="shared" si="115"/>
        <v>0</v>
      </c>
      <c r="I658" s="30" t="e">
        <f t="shared" si="116"/>
        <v>#DIV/0!</v>
      </c>
      <c r="N658" s="59"/>
      <c r="O658" s="59"/>
      <c r="P658" s="59"/>
      <c r="Q658" s="59"/>
      <c r="R658" s="59"/>
      <c r="S658" s="59"/>
      <c r="T658" s="59"/>
      <c r="U658" s="59"/>
      <c r="V658" s="59"/>
      <c r="W658" s="59"/>
      <c r="X658" s="59"/>
      <c r="Y658" s="59"/>
    </row>
    <row r="659" spans="1:25" x14ac:dyDescent="0.25">
      <c r="A659" s="57">
        <f t="shared" si="117"/>
        <v>43440</v>
      </c>
      <c r="B659" s="63" t="s">
        <v>71</v>
      </c>
      <c r="H659" s="2">
        <f t="shared" si="115"/>
        <v>0</v>
      </c>
      <c r="I659" s="30" t="e">
        <f t="shared" si="116"/>
        <v>#DIV/0!</v>
      </c>
      <c r="N659" s="59"/>
      <c r="O659" s="59"/>
      <c r="P659" s="59"/>
      <c r="Q659" s="59"/>
      <c r="R659" s="59"/>
      <c r="S659" s="59"/>
      <c r="T659" s="59"/>
      <c r="U659" s="59"/>
      <c r="V659" s="59"/>
      <c r="W659" s="59"/>
      <c r="X659" s="59"/>
      <c r="Y659" s="59"/>
    </row>
    <row r="660" spans="1:25" x14ac:dyDescent="0.25">
      <c r="A660" s="57">
        <f t="shared" si="117"/>
        <v>43447</v>
      </c>
      <c r="B660" s="63" t="s">
        <v>71</v>
      </c>
      <c r="H660" s="2">
        <f t="shared" si="115"/>
        <v>0</v>
      </c>
      <c r="I660" s="30" t="e">
        <f t="shared" si="116"/>
        <v>#DIV/0!</v>
      </c>
      <c r="N660" s="59"/>
      <c r="O660" s="59"/>
      <c r="P660" s="59"/>
      <c r="Q660" s="59"/>
      <c r="R660" s="59"/>
      <c r="S660" s="59"/>
      <c r="T660" s="59"/>
      <c r="U660" s="59"/>
      <c r="V660" s="59"/>
      <c r="W660" s="59"/>
      <c r="X660" s="59"/>
      <c r="Y660" s="59"/>
    </row>
    <row r="661" spans="1:25" x14ac:dyDescent="0.25">
      <c r="A661" s="57">
        <f t="shared" si="117"/>
        <v>43454</v>
      </c>
      <c r="B661" s="63" t="s">
        <v>71</v>
      </c>
      <c r="H661" s="2">
        <f t="shared" ref="H661:H707" si="118">+D661+F661</f>
        <v>0</v>
      </c>
      <c r="I661" s="30" t="e">
        <f t="shared" ref="I661:I707" si="119">(G661/H661-1)*100</f>
        <v>#DIV/0!</v>
      </c>
      <c r="N661" s="59"/>
      <c r="O661" s="59"/>
      <c r="P661" s="59"/>
      <c r="Q661" s="59"/>
      <c r="R661" s="59"/>
      <c r="S661" s="59"/>
      <c r="T661" s="59"/>
      <c r="U661" s="59"/>
      <c r="V661" s="59"/>
      <c r="W661" s="59"/>
      <c r="X661" s="59"/>
      <c r="Y661" s="59"/>
    </row>
    <row r="662" spans="1:25" x14ac:dyDescent="0.25">
      <c r="A662" s="57">
        <f t="shared" si="117"/>
        <v>43461</v>
      </c>
      <c r="B662" s="63" t="s">
        <v>71</v>
      </c>
      <c r="H662" s="2">
        <f t="shared" si="118"/>
        <v>0</v>
      </c>
      <c r="I662" s="30" t="e">
        <f t="shared" si="119"/>
        <v>#DIV/0!</v>
      </c>
      <c r="N662" s="59"/>
      <c r="O662" s="59"/>
      <c r="P662" s="59"/>
      <c r="Q662" s="59"/>
      <c r="R662" s="59"/>
      <c r="S662" s="59"/>
      <c r="T662" s="59"/>
      <c r="U662" s="59"/>
      <c r="V662" s="59"/>
      <c r="W662" s="59"/>
      <c r="X662" s="59"/>
      <c r="Y662" s="59"/>
    </row>
    <row r="663" spans="1:25" x14ac:dyDescent="0.25">
      <c r="A663" s="57">
        <f t="shared" si="117"/>
        <v>43468</v>
      </c>
      <c r="B663" s="63" t="s">
        <v>71</v>
      </c>
      <c r="H663" s="2">
        <f t="shared" si="118"/>
        <v>0</v>
      </c>
      <c r="I663" s="30" t="e">
        <f t="shared" si="119"/>
        <v>#DIV/0!</v>
      </c>
      <c r="N663" s="59"/>
      <c r="O663" s="59"/>
      <c r="P663" s="59"/>
      <c r="Q663" s="59"/>
      <c r="R663" s="59"/>
      <c r="S663" s="59"/>
      <c r="T663" s="59"/>
      <c r="U663" s="59"/>
      <c r="V663" s="59"/>
      <c r="W663" s="59"/>
      <c r="X663" s="59"/>
      <c r="Y663" s="59"/>
    </row>
    <row r="664" spans="1:25" x14ac:dyDescent="0.25">
      <c r="A664" s="57">
        <f t="shared" si="117"/>
        <v>43475</v>
      </c>
      <c r="B664" s="63" t="s">
        <v>71</v>
      </c>
      <c r="H664" s="2">
        <f t="shared" si="118"/>
        <v>0</v>
      </c>
      <c r="I664" s="30" t="e">
        <f t="shared" si="119"/>
        <v>#DIV/0!</v>
      </c>
      <c r="N664" s="59"/>
      <c r="O664" s="59"/>
      <c r="P664" s="59"/>
      <c r="Q664" s="59"/>
      <c r="R664" s="59"/>
      <c r="S664" s="59"/>
      <c r="T664" s="59"/>
      <c r="U664" s="59"/>
      <c r="V664" s="59"/>
      <c r="W664" s="59"/>
      <c r="X664" s="59"/>
      <c r="Y664" s="59"/>
    </row>
    <row r="665" spans="1:25" x14ac:dyDescent="0.25">
      <c r="A665" s="57">
        <f t="shared" si="117"/>
        <v>43482</v>
      </c>
      <c r="B665" s="63" t="s">
        <v>71</v>
      </c>
      <c r="H665" s="2">
        <f t="shared" si="118"/>
        <v>0</v>
      </c>
      <c r="I665" s="30" t="e">
        <f t="shared" si="119"/>
        <v>#DIV/0!</v>
      </c>
      <c r="N665" s="59"/>
      <c r="O665" s="59"/>
      <c r="P665" s="59"/>
      <c r="Q665" s="59"/>
      <c r="R665" s="59"/>
      <c r="S665" s="59"/>
      <c r="T665" s="59"/>
      <c r="U665" s="59"/>
      <c r="V665" s="59"/>
      <c r="W665" s="59"/>
      <c r="X665" s="59"/>
      <c r="Y665" s="59"/>
    </row>
    <row r="666" spans="1:25" x14ac:dyDescent="0.25">
      <c r="A666" s="57">
        <f t="shared" si="117"/>
        <v>43489</v>
      </c>
      <c r="B666" s="63" t="s">
        <v>71</v>
      </c>
      <c r="H666" s="2">
        <f t="shared" si="118"/>
        <v>0</v>
      </c>
      <c r="I666" s="30" t="e">
        <f t="shared" si="119"/>
        <v>#DIV/0!</v>
      </c>
      <c r="N666" s="59"/>
      <c r="O666" s="59"/>
      <c r="P666" s="59"/>
      <c r="Q666" s="59"/>
      <c r="R666" s="59"/>
      <c r="S666" s="59"/>
      <c r="T666" s="59"/>
      <c r="U666" s="59"/>
      <c r="V666" s="59"/>
      <c r="W666" s="59"/>
      <c r="X666" s="59"/>
      <c r="Y666" s="59"/>
    </row>
    <row r="667" spans="1:25" x14ac:dyDescent="0.25">
      <c r="A667" s="57">
        <f t="shared" si="117"/>
        <v>43496</v>
      </c>
      <c r="B667" s="63" t="s">
        <v>71</v>
      </c>
      <c r="H667" s="2">
        <f t="shared" si="118"/>
        <v>0</v>
      </c>
      <c r="I667" s="30" t="e">
        <f t="shared" si="119"/>
        <v>#DIV/0!</v>
      </c>
      <c r="N667" s="59"/>
      <c r="O667" s="59"/>
      <c r="P667" s="59"/>
      <c r="Q667" s="59"/>
      <c r="R667" s="59"/>
      <c r="S667" s="59"/>
      <c r="T667" s="59"/>
      <c r="U667" s="59"/>
      <c r="V667" s="59"/>
      <c r="W667" s="59"/>
      <c r="X667" s="59"/>
      <c r="Y667" s="59"/>
    </row>
    <row r="668" spans="1:25" x14ac:dyDescent="0.25">
      <c r="A668" s="57">
        <f t="shared" si="117"/>
        <v>43503</v>
      </c>
      <c r="B668" s="63" t="s">
        <v>71</v>
      </c>
      <c r="H668" s="2">
        <f t="shared" si="118"/>
        <v>0</v>
      </c>
      <c r="I668" s="30" t="e">
        <f t="shared" si="119"/>
        <v>#DIV/0!</v>
      </c>
      <c r="N668" s="59"/>
      <c r="O668" s="59"/>
      <c r="P668" s="59"/>
      <c r="Q668" s="59"/>
      <c r="R668" s="59"/>
      <c r="S668" s="59"/>
      <c r="T668" s="59"/>
      <c r="U668" s="59"/>
      <c r="V668" s="59"/>
      <c r="W668" s="59"/>
      <c r="X668" s="59"/>
      <c r="Y668" s="59"/>
    </row>
    <row r="669" spans="1:25" x14ac:dyDescent="0.25">
      <c r="A669" s="57">
        <f t="shared" si="117"/>
        <v>43510</v>
      </c>
      <c r="B669" s="63" t="s">
        <v>71</v>
      </c>
      <c r="H669" s="2">
        <f t="shared" si="118"/>
        <v>0</v>
      </c>
      <c r="I669" s="30" t="e">
        <f t="shared" si="119"/>
        <v>#DIV/0!</v>
      </c>
      <c r="N669" s="59"/>
      <c r="O669" s="59"/>
      <c r="P669" s="59"/>
      <c r="Q669" s="59"/>
      <c r="R669" s="59"/>
      <c r="S669" s="59"/>
      <c r="T669" s="59"/>
      <c r="U669" s="59"/>
      <c r="V669" s="59"/>
      <c r="W669" s="59"/>
      <c r="X669" s="59"/>
      <c r="Y669" s="59"/>
    </row>
    <row r="670" spans="1:25" x14ac:dyDescent="0.25">
      <c r="A670" s="57">
        <f t="shared" si="117"/>
        <v>43517</v>
      </c>
      <c r="B670" s="63" t="s">
        <v>71</v>
      </c>
      <c r="H670" s="2">
        <f t="shared" si="118"/>
        <v>0</v>
      </c>
      <c r="I670" s="30" t="e">
        <f t="shared" si="119"/>
        <v>#DIV/0!</v>
      </c>
      <c r="N670" s="59"/>
      <c r="O670" s="59"/>
      <c r="P670" s="59"/>
      <c r="Q670" s="59"/>
      <c r="R670" s="59"/>
      <c r="S670" s="59"/>
      <c r="T670" s="59"/>
      <c r="U670" s="59"/>
      <c r="V670" s="59"/>
      <c r="W670" s="59"/>
      <c r="X670" s="59"/>
      <c r="Y670" s="59"/>
    </row>
    <row r="671" spans="1:25" x14ac:dyDescent="0.25">
      <c r="A671" s="57">
        <f t="shared" si="117"/>
        <v>43524</v>
      </c>
      <c r="B671" s="63" t="s">
        <v>71</v>
      </c>
      <c r="H671" s="2">
        <f t="shared" si="118"/>
        <v>0</v>
      </c>
      <c r="I671" s="30" t="e">
        <f t="shared" si="119"/>
        <v>#DIV/0!</v>
      </c>
      <c r="N671" s="59"/>
      <c r="O671" s="59"/>
      <c r="P671" s="59"/>
      <c r="Q671" s="59"/>
      <c r="R671" s="59"/>
      <c r="S671" s="59"/>
      <c r="T671" s="59"/>
      <c r="U671" s="59"/>
      <c r="V671" s="59"/>
      <c r="W671" s="59"/>
      <c r="X671" s="59"/>
      <c r="Y671" s="59"/>
    </row>
    <row r="672" spans="1:25" x14ac:dyDescent="0.25">
      <c r="A672" s="57">
        <f t="shared" si="117"/>
        <v>43531</v>
      </c>
      <c r="B672" s="63" t="s">
        <v>71</v>
      </c>
      <c r="H672" s="2">
        <f t="shared" si="118"/>
        <v>0</v>
      </c>
      <c r="I672" s="30" t="e">
        <f t="shared" si="119"/>
        <v>#DIV/0!</v>
      </c>
      <c r="N672" s="59"/>
      <c r="O672" s="59"/>
      <c r="P672" s="59"/>
      <c r="Q672" s="59"/>
      <c r="R672" s="59"/>
      <c r="S672" s="59"/>
      <c r="T672" s="59"/>
      <c r="U672" s="59"/>
      <c r="V672" s="59"/>
      <c r="W672" s="59"/>
      <c r="X672" s="59"/>
      <c r="Y672" s="59"/>
    </row>
    <row r="673" spans="1:25" x14ac:dyDescent="0.25">
      <c r="A673" s="57">
        <f t="shared" si="117"/>
        <v>43538</v>
      </c>
      <c r="B673" s="63" t="s">
        <v>71</v>
      </c>
      <c r="H673" s="2">
        <f t="shared" si="118"/>
        <v>0</v>
      </c>
      <c r="I673" s="30" t="e">
        <f t="shared" si="119"/>
        <v>#DIV/0!</v>
      </c>
      <c r="N673" s="59"/>
      <c r="O673" s="59"/>
      <c r="P673" s="59"/>
      <c r="Q673" s="59"/>
      <c r="R673" s="59"/>
      <c r="S673" s="59"/>
      <c r="T673" s="59"/>
      <c r="U673" s="59"/>
      <c r="V673" s="59"/>
      <c r="W673" s="59"/>
      <c r="X673" s="59"/>
      <c r="Y673" s="59"/>
    </row>
    <row r="674" spans="1:25" x14ac:dyDescent="0.25">
      <c r="A674" s="57">
        <f t="shared" si="117"/>
        <v>43545</v>
      </c>
      <c r="B674" s="63" t="s">
        <v>71</v>
      </c>
      <c r="H674" s="2">
        <f t="shared" si="118"/>
        <v>0</v>
      </c>
      <c r="I674" s="30" t="e">
        <f t="shared" si="119"/>
        <v>#DIV/0!</v>
      </c>
      <c r="N674" s="59"/>
      <c r="O674" s="59"/>
      <c r="P674" s="59"/>
      <c r="Q674" s="59"/>
      <c r="R674" s="59"/>
      <c r="S674" s="59"/>
      <c r="T674" s="59"/>
      <c r="U674" s="59"/>
      <c r="V674" s="59"/>
      <c r="W674" s="59"/>
      <c r="X674" s="59"/>
      <c r="Y674" s="59"/>
    </row>
    <row r="675" spans="1:25" x14ac:dyDescent="0.25">
      <c r="A675" s="57">
        <f t="shared" si="117"/>
        <v>43552</v>
      </c>
      <c r="B675" s="63" t="s">
        <v>71</v>
      </c>
      <c r="H675" s="2">
        <f t="shared" si="118"/>
        <v>0</v>
      </c>
      <c r="I675" s="30" t="e">
        <f t="shared" si="119"/>
        <v>#DIV/0!</v>
      </c>
      <c r="N675" s="59"/>
      <c r="O675" s="59"/>
      <c r="P675" s="59"/>
      <c r="Q675" s="59"/>
      <c r="R675" s="59"/>
      <c r="S675" s="59"/>
      <c r="T675" s="59"/>
      <c r="U675" s="59"/>
      <c r="V675" s="59"/>
      <c r="W675" s="59"/>
      <c r="X675" s="59"/>
      <c r="Y675" s="59"/>
    </row>
    <row r="676" spans="1:25" x14ac:dyDescent="0.25">
      <c r="A676" s="57">
        <f t="shared" si="117"/>
        <v>43559</v>
      </c>
      <c r="B676" s="63" t="s">
        <v>71</v>
      </c>
      <c r="H676" s="2">
        <f t="shared" si="118"/>
        <v>0</v>
      </c>
      <c r="I676" s="30" t="e">
        <f t="shared" si="119"/>
        <v>#DIV/0!</v>
      </c>
      <c r="N676" s="59"/>
      <c r="O676" s="59"/>
      <c r="P676" s="59"/>
      <c r="Q676" s="59"/>
      <c r="R676" s="59"/>
      <c r="S676" s="59"/>
      <c r="T676" s="59"/>
      <c r="U676" s="59"/>
      <c r="V676" s="59"/>
      <c r="W676" s="59"/>
      <c r="X676" s="59"/>
      <c r="Y676" s="59"/>
    </row>
    <row r="677" spans="1:25" x14ac:dyDescent="0.25">
      <c r="A677" s="57">
        <f t="shared" si="117"/>
        <v>43566</v>
      </c>
      <c r="B677" s="63" t="s">
        <v>71</v>
      </c>
      <c r="H677" s="2">
        <f t="shared" si="118"/>
        <v>0</v>
      </c>
      <c r="I677" s="30" t="e">
        <f t="shared" si="119"/>
        <v>#DIV/0!</v>
      </c>
      <c r="N677" s="59"/>
      <c r="O677" s="59"/>
      <c r="P677" s="59"/>
      <c r="Q677" s="59"/>
      <c r="R677" s="59"/>
      <c r="S677" s="59"/>
      <c r="T677" s="59"/>
      <c r="U677" s="59"/>
      <c r="V677" s="59"/>
      <c r="W677" s="59"/>
      <c r="X677" s="59"/>
      <c r="Y677" s="59"/>
    </row>
    <row r="678" spans="1:25" x14ac:dyDescent="0.25">
      <c r="A678" s="57">
        <f t="shared" si="117"/>
        <v>43573</v>
      </c>
      <c r="B678" s="63" t="s">
        <v>71</v>
      </c>
      <c r="H678" s="2">
        <f t="shared" si="118"/>
        <v>0</v>
      </c>
      <c r="I678" s="30" t="e">
        <f t="shared" si="119"/>
        <v>#DIV/0!</v>
      </c>
      <c r="N678" s="59"/>
      <c r="O678" s="59"/>
      <c r="P678" s="59"/>
      <c r="Q678" s="59"/>
      <c r="R678" s="59"/>
      <c r="S678" s="59"/>
      <c r="T678" s="59"/>
      <c r="U678" s="59"/>
      <c r="V678" s="59"/>
      <c r="W678" s="59"/>
      <c r="X678" s="59"/>
      <c r="Y678" s="59"/>
    </row>
    <row r="679" spans="1:25" x14ac:dyDescent="0.25">
      <c r="A679" s="57">
        <f t="shared" si="117"/>
        <v>43580</v>
      </c>
      <c r="B679" s="63" t="s">
        <v>71</v>
      </c>
      <c r="H679" s="2">
        <f t="shared" si="118"/>
        <v>0</v>
      </c>
      <c r="I679" s="30" t="e">
        <f t="shared" si="119"/>
        <v>#DIV/0!</v>
      </c>
      <c r="N679" s="59"/>
      <c r="O679" s="59"/>
      <c r="P679" s="59"/>
      <c r="Q679" s="59"/>
      <c r="R679" s="59"/>
      <c r="S679" s="59"/>
      <c r="T679" s="59"/>
      <c r="U679" s="59"/>
      <c r="V679" s="59"/>
      <c r="W679" s="59"/>
      <c r="X679" s="59"/>
      <c r="Y679" s="59"/>
    </row>
    <row r="680" spans="1:25" x14ac:dyDescent="0.25">
      <c r="A680" s="57">
        <f t="shared" si="117"/>
        <v>43587</v>
      </c>
      <c r="B680" s="63" t="s">
        <v>71</v>
      </c>
      <c r="H680" s="2">
        <f t="shared" si="118"/>
        <v>0</v>
      </c>
      <c r="I680" s="30" t="e">
        <f t="shared" si="119"/>
        <v>#DIV/0!</v>
      </c>
      <c r="N680" s="59"/>
      <c r="O680" s="59"/>
      <c r="P680" s="59"/>
      <c r="Q680" s="59"/>
      <c r="R680" s="59"/>
      <c r="S680" s="59"/>
      <c r="T680" s="59"/>
      <c r="U680" s="59"/>
      <c r="V680" s="59"/>
      <c r="W680" s="59"/>
      <c r="X680" s="59"/>
      <c r="Y680" s="59"/>
    </row>
    <row r="681" spans="1:25" x14ac:dyDescent="0.25">
      <c r="A681" s="57">
        <f t="shared" si="117"/>
        <v>43594</v>
      </c>
      <c r="B681" s="63" t="s">
        <v>71</v>
      </c>
      <c r="H681" s="2">
        <f t="shared" si="118"/>
        <v>0</v>
      </c>
      <c r="I681" s="30" t="e">
        <f t="shared" si="119"/>
        <v>#DIV/0!</v>
      </c>
      <c r="N681" s="59"/>
      <c r="O681" s="59"/>
      <c r="P681" s="59"/>
      <c r="Q681" s="59"/>
      <c r="R681" s="59"/>
      <c r="S681" s="59"/>
      <c r="T681" s="59"/>
      <c r="U681" s="59"/>
      <c r="V681" s="59"/>
      <c r="W681" s="59"/>
      <c r="X681" s="59"/>
      <c r="Y681" s="59"/>
    </row>
    <row r="682" spans="1:25" x14ac:dyDescent="0.25">
      <c r="A682" s="57">
        <f t="shared" si="117"/>
        <v>43601</v>
      </c>
      <c r="B682" s="63" t="s">
        <v>71</v>
      </c>
      <c r="H682" s="2">
        <f t="shared" si="118"/>
        <v>0</v>
      </c>
      <c r="I682" s="30" t="e">
        <f t="shared" si="119"/>
        <v>#DIV/0!</v>
      </c>
      <c r="N682" s="59"/>
      <c r="O682" s="59"/>
      <c r="P682" s="59"/>
      <c r="Q682" s="59"/>
      <c r="R682" s="59"/>
      <c r="S682" s="59"/>
      <c r="T682" s="59"/>
      <c r="U682" s="59"/>
      <c r="V682" s="59"/>
      <c r="W682" s="59"/>
      <c r="X682" s="59"/>
      <c r="Y682" s="59"/>
    </row>
    <row r="683" spans="1:25" x14ac:dyDescent="0.25">
      <c r="A683" s="57">
        <f t="shared" si="117"/>
        <v>43608</v>
      </c>
      <c r="B683" s="63" t="s">
        <v>71</v>
      </c>
      <c r="H683" s="2">
        <f t="shared" si="118"/>
        <v>0</v>
      </c>
      <c r="I683" s="30" t="e">
        <f t="shared" si="119"/>
        <v>#DIV/0!</v>
      </c>
      <c r="N683" s="59"/>
      <c r="O683" s="59"/>
      <c r="P683" s="59"/>
      <c r="Q683" s="59"/>
      <c r="R683" s="59"/>
      <c r="S683" s="59"/>
      <c r="T683" s="59"/>
      <c r="U683" s="59"/>
      <c r="V683" s="59"/>
      <c r="W683" s="59"/>
      <c r="X683" s="59"/>
      <c r="Y683" s="59"/>
    </row>
    <row r="684" spans="1:25" x14ac:dyDescent="0.25">
      <c r="A684" s="57">
        <f t="shared" si="117"/>
        <v>43615</v>
      </c>
      <c r="B684" s="63" t="s">
        <v>71</v>
      </c>
      <c r="H684" s="2">
        <f t="shared" si="118"/>
        <v>0</v>
      </c>
      <c r="I684" s="30" t="e">
        <f t="shared" si="119"/>
        <v>#DIV/0!</v>
      </c>
      <c r="N684" s="59"/>
      <c r="O684" s="59"/>
      <c r="P684" s="59"/>
      <c r="Q684" s="59"/>
      <c r="R684" s="59"/>
      <c r="S684" s="59"/>
      <c r="T684" s="59"/>
      <c r="U684" s="59"/>
      <c r="V684" s="59"/>
      <c r="W684" s="59"/>
      <c r="X684" s="59"/>
      <c r="Y684" s="59"/>
    </row>
    <row r="685" spans="1:25" x14ac:dyDescent="0.25">
      <c r="A685" s="57">
        <f t="shared" si="117"/>
        <v>43622</v>
      </c>
      <c r="B685" s="63" t="s">
        <v>71</v>
      </c>
      <c r="H685" s="2">
        <f t="shared" si="118"/>
        <v>0</v>
      </c>
      <c r="I685" s="30" t="e">
        <f t="shared" si="119"/>
        <v>#DIV/0!</v>
      </c>
    </row>
    <row r="686" spans="1:25" x14ac:dyDescent="0.25">
      <c r="A686" s="57">
        <f t="shared" si="117"/>
        <v>43629</v>
      </c>
      <c r="B686" s="63" t="s">
        <v>71</v>
      </c>
      <c r="H686" s="2">
        <f t="shared" si="118"/>
        <v>0</v>
      </c>
      <c r="I686" s="30" t="e">
        <f t="shared" si="119"/>
        <v>#DIV/0!</v>
      </c>
    </row>
    <row r="687" spans="1:25" x14ac:dyDescent="0.25">
      <c r="A687" s="57">
        <f t="shared" si="117"/>
        <v>43636</v>
      </c>
      <c r="B687" s="63" t="s">
        <v>71</v>
      </c>
      <c r="H687" s="2">
        <f t="shared" si="118"/>
        <v>0</v>
      </c>
      <c r="I687" s="30" t="e">
        <f t="shared" si="119"/>
        <v>#DIV/0!</v>
      </c>
    </row>
    <row r="688" spans="1:25" x14ac:dyDescent="0.25">
      <c r="A688" s="57">
        <f t="shared" si="117"/>
        <v>43643</v>
      </c>
      <c r="B688" s="63" t="s">
        <v>71</v>
      </c>
      <c r="H688" s="2">
        <f t="shared" si="118"/>
        <v>0</v>
      </c>
      <c r="I688" s="30" t="e">
        <f t="shared" si="119"/>
        <v>#DIV/0!</v>
      </c>
    </row>
    <row r="689" spans="1:9" x14ac:dyDescent="0.25">
      <c r="A689" s="57">
        <f t="shared" si="117"/>
        <v>43650</v>
      </c>
      <c r="B689" s="63" t="s">
        <v>71</v>
      </c>
      <c r="H689" s="2">
        <f t="shared" si="118"/>
        <v>0</v>
      </c>
      <c r="I689" s="30" t="e">
        <f t="shared" si="119"/>
        <v>#DIV/0!</v>
      </c>
    </row>
    <row r="690" spans="1:9" x14ac:dyDescent="0.25">
      <c r="A690" s="57">
        <f t="shared" si="117"/>
        <v>43657</v>
      </c>
      <c r="B690" s="63" t="s">
        <v>71</v>
      </c>
      <c r="H690" s="2">
        <f t="shared" si="118"/>
        <v>0</v>
      </c>
      <c r="I690" s="30" t="e">
        <f t="shared" si="119"/>
        <v>#DIV/0!</v>
      </c>
    </row>
    <row r="691" spans="1:9" x14ac:dyDescent="0.25">
      <c r="A691" s="57">
        <f t="shared" si="117"/>
        <v>43664</v>
      </c>
      <c r="B691" s="63" t="s">
        <v>71</v>
      </c>
      <c r="H691" s="2">
        <f t="shared" si="118"/>
        <v>0</v>
      </c>
      <c r="I691" s="30" t="e">
        <f t="shared" si="119"/>
        <v>#DIV/0!</v>
      </c>
    </row>
    <row r="692" spans="1:9" x14ac:dyDescent="0.25">
      <c r="A692" s="57">
        <f t="shared" si="117"/>
        <v>43671</v>
      </c>
      <c r="B692" s="63" t="s">
        <v>71</v>
      </c>
      <c r="H692" s="2">
        <f t="shared" si="118"/>
        <v>0</v>
      </c>
      <c r="I692" s="30" t="e">
        <f t="shared" si="119"/>
        <v>#DIV/0!</v>
      </c>
    </row>
    <row r="693" spans="1:9" x14ac:dyDescent="0.25">
      <c r="A693" s="57">
        <f t="shared" si="117"/>
        <v>43678</v>
      </c>
      <c r="B693" s="63" t="s">
        <v>71</v>
      </c>
      <c r="H693" s="2">
        <f t="shared" si="118"/>
        <v>0</v>
      </c>
      <c r="I693" s="30" t="e">
        <f t="shared" si="119"/>
        <v>#DIV/0!</v>
      </c>
    </row>
    <row r="694" spans="1:9" x14ac:dyDescent="0.25">
      <c r="A694" s="57">
        <f t="shared" si="117"/>
        <v>43685</v>
      </c>
      <c r="B694" s="63" t="s">
        <v>71</v>
      </c>
      <c r="H694" s="2">
        <f t="shared" si="118"/>
        <v>0</v>
      </c>
      <c r="I694" s="30" t="e">
        <f t="shared" si="119"/>
        <v>#DIV/0!</v>
      </c>
    </row>
    <row r="695" spans="1:9" x14ac:dyDescent="0.25">
      <c r="A695" s="57">
        <f t="shared" si="117"/>
        <v>43692</v>
      </c>
      <c r="B695" s="63" t="s">
        <v>71</v>
      </c>
      <c r="H695" s="2">
        <f t="shared" si="118"/>
        <v>0</v>
      </c>
      <c r="I695" s="30" t="e">
        <f t="shared" si="119"/>
        <v>#DIV/0!</v>
      </c>
    </row>
    <row r="696" spans="1:9" x14ac:dyDescent="0.25">
      <c r="A696" s="57">
        <f t="shared" si="117"/>
        <v>43699</v>
      </c>
      <c r="B696" s="63" t="s">
        <v>71</v>
      </c>
      <c r="H696" s="2">
        <f t="shared" si="118"/>
        <v>0</v>
      </c>
      <c r="I696" s="30" t="e">
        <f t="shared" si="119"/>
        <v>#DIV/0!</v>
      </c>
    </row>
    <row r="697" spans="1:9" x14ac:dyDescent="0.25">
      <c r="A697" s="57">
        <f t="shared" si="117"/>
        <v>43706</v>
      </c>
      <c r="B697" s="63" t="s">
        <v>71</v>
      </c>
      <c r="H697" s="2">
        <f t="shared" si="118"/>
        <v>0</v>
      </c>
      <c r="I697" s="30" t="e">
        <f t="shared" si="119"/>
        <v>#DIV/0!</v>
      </c>
    </row>
    <row r="698" spans="1:9" x14ac:dyDescent="0.25">
      <c r="A698" s="57">
        <f t="shared" si="117"/>
        <v>43713</v>
      </c>
      <c r="B698" s="63" t="s">
        <v>71</v>
      </c>
      <c r="H698" s="2">
        <f t="shared" si="118"/>
        <v>0</v>
      </c>
      <c r="I698" s="30" t="e">
        <f t="shared" si="119"/>
        <v>#DIV/0!</v>
      </c>
    </row>
    <row r="699" spans="1:9" x14ac:dyDescent="0.25">
      <c r="A699" s="57">
        <f t="shared" si="117"/>
        <v>43720</v>
      </c>
      <c r="B699" s="63" t="s">
        <v>71</v>
      </c>
      <c r="H699" s="2">
        <f t="shared" si="118"/>
        <v>0</v>
      </c>
      <c r="I699" s="30" t="e">
        <f t="shared" si="119"/>
        <v>#DIV/0!</v>
      </c>
    </row>
    <row r="700" spans="1:9" x14ac:dyDescent="0.25">
      <c r="A700" s="57">
        <f t="shared" si="117"/>
        <v>43727</v>
      </c>
      <c r="B700" s="63" t="s">
        <v>71</v>
      </c>
      <c r="H700" s="2">
        <f t="shared" si="118"/>
        <v>0</v>
      </c>
      <c r="I700" s="30" t="e">
        <f t="shared" si="119"/>
        <v>#DIV/0!</v>
      </c>
    </row>
    <row r="701" spans="1:9" x14ac:dyDescent="0.25">
      <c r="A701" s="57">
        <f t="shared" si="117"/>
        <v>43734</v>
      </c>
      <c r="B701" s="63" t="s">
        <v>71</v>
      </c>
      <c r="H701" s="2">
        <f t="shared" si="118"/>
        <v>0</v>
      </c>
      <c r="I701" s="30" t="e">
        <f t="shared" si="119"/>
        <v>#DIV/0!</v>
      </c>
    </row>
    <row r="702" spans="1:9" x14ac:dyDescent="0.25">
      <c r="A702" s="57">
        <f t="shared" ref="A702:A715" si="120">+A701+7</f>
        <v>43741</v>
      </c>
      <c r="B702" s="63" t="s">
        <v>71</v>
      </c>
      <c r="H702" s="2">
        <f t="shared" si="118"/>
        <v>0</v>
      </c>
      <c r="I702" s="30" t="e">
        <f t="shared" si="119"/>
        <v>#DIV/0!</v>
      </c>
    </row>
    <row r="703" spans="1:9" x14ac:dyDescent="0.25">
      <c r="A703" s="57">
        <f t="shared" si="120"/>
        <v>43748</v>
      </c>
      <c r="B703" s="63" t="s">
        <v>71</v>
      </c>
      <c r="H703" s="2">
        <f t="shared" si="118"/>
        <v>0</v>
      </c>
      <c r="I703" s="30" t="e">
        <f t="shared" si="119"/>
        <v>#DIV/0!</v>
      </c>
    </row>
    <row r="704" spans="1:9" x14ac:dyDescent="0.25">
      <c r="A704" s="57">
        <f t="shared" si="120"/>
        <v>43755</v>
      </c>
      <c r="B704" s="63" t="s">
        <v>71</v>
      </c>
      <c r="H704" s="2">
        <f t="shared" si="118"/>
        <v>0</v>
      </c>
      <c r="I704" s="30" t="e">
        <f t="shared" si="119"/>
        <v>#DIV/0!</v>
      </c>
    </row>
    <row r="705" spans="1:9" x14ac:dyDescent="0.25">
      <c r="A705" s="57">
        <f t="shared" si="120"/>
        <v>43762</v>
      </c>
      <c r="B705" s="63" t="s">
        <v>71</v>
      </c>
      <c r="H705" s="2">
        <f t="shared" si="118"/>
        <v>0</v>
      </c>
      <c r="I705" s="30" t="e">
        <f t="shared" si="119"/>
        <v>#DIV/0!</v>
      </c>
    </row>
    <row r="706" spans="1:9" x14ac:dyDescent="0.25">
      <c r="A706" s="57">
        <f t="shared" si="120"/>
        <v>43769</v>
      </c>
      <c r="B706" s="63" t="s">
        <v>71</v>
      </c>
      <c r="H706" s="2">
        <f t="shared" si="118"/>
        <v>0</v>
      </c>
      <c r="I706" s="30" t="e">
        <f t="shared" si="119"/>
        <v>#DIV/0!</v>
      </c>
    </row>
    <row r="707" spans="1:9" x14ac:dyDescent="0.25">
      <c r="A707" s="57">
        <f t="shared" si="120"/>
        <v>43776</v>
      </c>
      <c r="B707" s="63" t="s">
        <v>71</v>
      </c>
      <c r="H707" s="2">
        <f t="shared" si="118"/>
        <v>0</v>
      </c>
      <c r="I707" s="30" t="e">
        <f t="shared" si="119"/>
        <v>#DIV/0!</v>
      </c>
    </row>
    <row r="708" spans="1:9" x14ac:dyDescent="0.25">
      <c r="A708" s="57">
        <f t="shared" si="120"/>
        <v>43783</v>
      </c>
      <c r="B708" s="63" t="s">
        <v>71</v>
      </c>
    </row>
    <row r="709" spans="1:9" x14ac:dyDescent="0.25">
      <c r="A709" s="57">
        <f t="shared" si="120"/>
        <v>43790</v>
      </c>
      <c r="B709" s="63" t="s">
        <v>71</v>
      </c>
    </row>
    <row r="710" spans="1:9" x14ac:dyDescent="0.25">
      <c r="A710" s="57">
        <f t="shared" si="120"/>
        <v>43797</v>
      </c>
      <c r="B710" s="63" t="s">
        <v>71</v>
      </c>
    </row>
    <row r="711" spans="1:9" x14ac:dyDescent="0.25">
      <c r="A711" s="57">
        <f t="shared" si="120"/>
        <v>43804</v>
      </c>
      <c r="B711" s="63" t="s">
        <v>71</v>
      </c>
    </row>
    <row r="712" spans="1:9" x14ac:dyDescent="0.25">
      <c r="A712" s="57">
        <f t="shared" si="120"/>
        <v>43811</v>
      </c>
      <c r="B712" s="63" t="s">
        <v>71</v>
      </c>
    </row>
    <row r="713" spans="1:9" x14ac:dyDescent="0.25">
      <c r="A713" s="57">
        <f t="shared" si="120"/>
        <v>43818</v>
      </c>
      <c r="B713" s="63" t="s">
        <v>71</v>
      </c>
    </row>
    <row r="714" spans="1:9" x14ac:dyDescent="0.25">
      <c r="A714" s="57">
        <f t="shared" si="120"/>
        <v>43825</v>
      </c>
      <c r="B714" s="63" t="s">
        <v>71</v>
      </c>
    </row>
    <row r="715" spans="1:9" x14ac:dyDescent="0.25">
      <c r="A715" s="57">
        <f t="shared" si="120"/>
        <v>43832</v>
      </c>
      <c r="B715" s="63" t="s">
        <v>71</v>
      </c>
    </row>
  </sheetData>
  <mergeCells count="3">
    <mergeCell ref="O2:P2"/>
    <mergeCell ref="G2:H2"/>
    <mergeCell ref="E2:F2"/>
  </mergeCells>
  <phoneticPr fontId="2" type="noConversion"/>
  <pageMargins left="0.75" right="0.75" top="1" bottom="1" header="0.5" footer="0.5"/>
  <pageSetup orientation="portrait" r:id="rId1"/>
  <headerFooter alignWithMargins="0"/>
  <ignoredErrors>
    <ignoredError sqref="I390:I404" evalErro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7"/>
  </sheetPr>
  <dimension ref="A1:AS65510"/>
  <sheetViews>
    <sheetView workbookViewId="0">
      <pane xSplit="2" ySplit="3" topLeftCell="C394" activePane="bottomRight" state="frozen"/>
      <selection pane="topRight" activeCell="C1" sqref="C1"/>
      <selection pane="bottomLeft" activeCell="A4" sqref="A4"/>
      <selection pane="bottomRight" activeCell="J408" sqref="J408:J409"/>
    </sheetView>
  </sheetViews>
  <sheetFormatPr defaultRowHeight="13.2" x14ac:dyDescent="0.25"/>
  <cols>
    <col min="1" max="1" width="12" customWidth="1"/>
    <col min="5" max="5" width="10.44140625" bestFit="1" customWidth="1"/>
  </cols>
  <sheetData>
    <row r="1" spans="1:45" ht="13.8" thickBot="1" x14ac:dyDescent="0.3">
      <c r="B1" s="13" t="s">
        <v>8</v>
      </c>
      <c r="C1" s="6"/>
      <c r="D1" s="6"/>
      <c r="F1" s="14"/>
      <c r="G1" s="6"/>
      <c r="H1" s="6"/>
      <c r="I1" s="6"/>
      <c r="J1" s="6"/>
      <c r="AM1" s="1" t="e">
        <f>+#REF!/#REF!</f>
        <v>#REF!</v>
      </c>
      <c r="AN1" s="1" t="e">
        <f>+#REF!/#REF!</f>
        <v>#REF!</v>
      </c>
      <c r="AO1" s="1" t="e">
        <f>+#REF!/#REF!</f>
        <v>#REF!</v>
      </c>
      <c r="AP1" s="1" t="e">
        <f>+#REF!/#REF!</f>
        <v>#REF!</v>
      </c>
      <c r="AQ1" s="1" t="e">
        <f>+#REF!/#REF!</f>
        <v>#REF!</v>
      </c>
      <c r="AR1" s="1" t="e">
        <f>+#REF!/#REF!</f>
        <v>#REF!</v>
      </c>
      <c r="AS1" s="1" t="e">
        <f>+#REF!/#REF!</f>
        <v>#REF!</v>
      </c>
    </row>
    <row r="2" spans="1:45" x14ac:dyDescent="0.25">
      <c r="C2" t="s">
        <v>9</v>
      </c>
      <c r="E2" s="218" t="s">
        <v>2</v>
      </c>
      <c r="F2" s="219"/>
      <c r="G2" s="218" t="s">
        <v>3</v>
      </c>
      <c r="H2" s="219"/>
      <c r="I2" s="10" t="s">
        <v>18</v>
      </c>
      <c r="J2" s="17" t="s">
        <v>32</v>
      </c>
    </row>
    <row r="3" spans="1:45" x14ac:dyDescent="0.25">
      <c r="B3" s="7"/>
      <c r="C3" s="7" t="s">
        <v>36</v>
      </c>
      <c r="D3" s="7" t="s">
        <v>37</v>
      </c>
      <c r="E3" s="7" t="s">
        <v>36</v>
      </c>
      <c r="F3" s="7" t="s">
        <v>37</v>
      </c>
      <c r="G3" s="7" t="s">
        <v>36</v>
      </c>
      <c r="H3" s="7" t="s">
        <v>37</v>
      </c>
      <c r="I3" s="11" t="s">
        <v>6</v>
      </c>
      <c r="J3" s="9" t="s">
        <v>33</v>
      </c>
    </row>
    <row r="4" spans="1:45" x14ac:dyDescent="0.25">
      <c r="A4" s="20">
        <f>Japan!A4</f>
        <v>38855</v>
      </c>
      <c r="B4" s="58" t="s">
        <v>4</v>
      </c>
      <c r="C4">
        <v>847</v>
      </c>
      <c r="D4">
        <v>697</v>
      </c>
      <c r="E4">
        <v>4948</v>
      </c>
      <c r="F4">
        <v>4578.5</v>
      </c>
      <c r="G4" s="2">
        <f t="shared" ref="G4:G40" si="0">+C4+E4</f>
        <v>5795</v>
      </c>
      <c r="H4" s="2">
        <f t="shared" ref="H4:H40" si="1">+D4+F4</f>
        <v>5275.5</v>
      </c>
      <c r="I4" s="30">
        <f t="shared" ref="I4:I40" si="2">+(G4/H4-1)*100</f>
        <v>9.8474078286418418</v>
      </c>
    </row>
    <row r="5" spans="1:45" x14ac:dyDescent="0.25">
      <c r="A5" s="20">
        <f>Japan!A5</f>
        <v>38862</v>
      </c>
      <c r="B5" s="58" t="s">
        <v>4</v>
      </c>
      <c r="C5">
        <v>790.6</v>
      </c>
      <c r="D5">
        <v>631.5</v>
      </c>
      <c r="E5">
        <v>5114</v>
      </c>
      <c r="F5">
        <v>4648.7</v>
      </c>
      <c r="G5" s="2">
        <f t="shared" si="0"/>
        <v>5904.6</v>
      </c>
      <c r="H5" s="2">
        <f t="shared" si="1"/>
        <v>5280.2</v>
      </c>
      <c r="I5" s="30">
        <f t="shared" si="2"/>
        <v>11.825309647361859</v>
      </c>
      <c r="J5">
        <v>116.8</v>
      </c>
    </row>
    <row r="6" spans="1:45" x14ac:dyDescent="0.25">
      <c r="A6" s="20">
        <f>Japan!A6</f>
        <v>38869</v>
      </c>
      <c r="B6" s="58" t="s">
        <v>4</v>
      </c>
      <c r="C6">
        <v>730.9</v>
      </c>
      <c r="D6">
        <v>692.3</v>
      </c>
      <c r="E6">
        <v>5272.7</v>
      </c>
      <c r="F6">
        <v>4746.8</v>
      </c>
      <c r="G6" s="2">
        <f t="shared" si="0"/>
        <v>6003.5999999999995</v>
      </c>
      <c r="H6" s="2">
        <f t="shared" si="1"/>
        <v>5439.1</v>
      </c>
      <c r="I6" s="30">
        <f t="shared" si="2"/>
        <v>10.378555275688983</v>
      </c>
      <c r="J6">
        <v>116.8</v>
      </c>
    </row>
    <row r="7" spans="1:45" x14ac:dyDescent="0.25">
      <c r="A7" s="20">
        <f>Japan!A7</f>
        <v>38876</v>
      </c>
      <c r="B7" s="58" t="s">
        <v>4</v>
      </c>
      <c r="C7">
        <v>746.6</v>
      </c>
      <c r="D7">
        <v>682.2</v>
      </c>
      <c r="E7">
        <v>5397.4</v>
      </c>
      <c r="F7">
        <v>4848.3</v>
      </c>
      <c r="G7" s="43">
        <f t="shared" si="0"/>
        <v>6144</v>
      </c>
      <c r="H7" s="43">
        <f t="shared" si="1"/>
        <v>5530.5</v>
      </c>
      <c r="I7" s="44">
        <f t="shared" si="2"/>
        <v>11.093029563330624</v>
      </c>
      <c r="J7">
        <v>116.8</v>
      </c>
    </row>
    <row r="8" spans="1:45" x14ac:dyDescent="0.25">
      <c r="A8" s="20">
        <f>Japan!A8</f>
        <v>38883</v>
      </c>
      <c r="B8" s="58" t="s">
        <v>4</v>
      </c>
      <c r="C8">
        <v>768.7</v>
      </c>
      <c r="D8">
        <v>617.79999999999995</v>
      </c>
      <c r="E8">
        <v>5562.3</v>
      </c>
      <c r="F8">
        <v>5003.7</v>
      </c>
      <c r="G8" s="43">
        <f t="shared" si="0"/>
        <v>6331</v>
      </c>
      <c r="H8" s="43">
        <f t="shared" si="1"/>
        <v>5621.5</v>
      </c>
      <c r="I8" s="44">
        <f t="shared" si="2"/>
        <v>12.62118651605444</v>
      </c>
      <c r="J8">
        <v>116.8</v>
      </c>
    </row>
    <row r="9" spans="1:45" x14ac:dyDescent="0.25">
      <c r="A9" s="20">
        <f>Japan!A9</f>
        <v>38890</v>
      </c>
      <c r="B9" s="58" t="s">
        <v>4</v>
      </c>
      <c r="C9">
        <v>820.1</v>
      </c>
      <c r="D9">
        <v>654.20000000000005</v>
      </c>
      <c r="E9">
        <v>5623.1</v>
      </c>
      <c r="F9">
        <v>5049.6000000000004</v>
      </c>
      <c r="G9" s="43">
        <f t="shared" si="0"/>
        <v>6443.2000000000007</v>
      </c>
      <c r="H9" s="43">
        <f t="shared" si="1"/>
        <v>5703.8</v>
      </c>
      <c r="I9" s="44">
        <f t="shared" si="2"/>
        <v>12.963287632806209</v>
      </c>
      <c r="J9">
        <v>242.8</v>
      </c>
    </row>
    <row r="10" spans="1:45" x14ac:dyDescent="0.25">
      <c r="A10" s="20">
        <f>Japan!A10</f>
        <v>38897</v>
      </c>
      <c r="B10" s="58" t="s">
        <v>4</v>
      </c>
      <c r="C10">
        <v>891.4</v>
      </c>
      <c r="D10">
        <v>643.9</v>
      </c>
      <c r="E10">
        <v>5701.1</v>
      </c>
      <c r="F10">
        <v>5106.6000000000004</v>
      </c>
      <c r="G10" s="43">
        <f t="shared" si="0"/>
        <v>6592.5</v>
      </c>
      <c r="H10" s="43">
        <f t="shared" si="1"/>
        <v>5750.5</v>
      </c>
      <c r="I10" s="44">
        <f t="shared" si="2"/>
        <v>14.642205025649947</v>
      </c>
      <c r="J10">
        <v>274.8</v>
      </c>
    </row>
    <row r="11" spans="1:45" x14ac:dyDescent="0.25">
      <c r="A11" s="20">
        <f>Japan!A11</f>
        <v>38904</v>
      </c>
      <c r="B11" s="58" t="s">
        <v>4</v>
      </c>
      <c r="C11">
        <v>905.7</v>
      </c>
      <c r="D11">
        <v>516.4</v>
      </c>
      <c r="E11">
        <v>5770.1</v>
      </c>
      <c r="F11">
        <v>5219.8999999999996</v>
      </c>
      <c r="G11" s="43">
        <f t="shared" si="0"/>
        <v>6675.8</v>
      </c>
      <c r="H11" s="43">
        <f t="shared" si="1"/>
        <v>5736.2999999999993</v>
      </c>
      <c r="I11" s="44">
        <f t="shared" si="2"/>
        <v>16.378153164932119</v>
      </c>
      <c r="J11">
        <v>274.8</v>
      </c>
    </row>
    <row r="12" spans="1:45" x14ac:dyDescent="0.25">
      <c r="A12" s="20">
        <f>Japan!A12</f>
        <v>38911</v>
      </c>
      <c r="B12" s="58" t="s">
        <v>4</v>
      </c>
      <c r="C12">
        <v>789.1</v>
      </c>
      <c r="D12">
        <v>552.29999999999995</v>
      </c>
      <c r="E12">
        <v>5896.9</v>
      </c>
      <c r="F12">
        <v>5248.4</v>
      </c>
      <c r="G12" s="43">
        <f t="shared" si="0"/>
        <v>6686</v>
      </c>
      <c r="H12" s="43">
        <f t="shared" si="1"/>
        <v>5800.7</v>
      </c>
      <c r="I12" s="44">
        <f t="shared" si="2"/>
        <v>15.261951143827467</v>
      </c>
      <c r="J12">
        <v>311.8</v>
      </c>
    </row>
    <row r="13" spans="1:45" x14ac:dyDescent="0.25">
      <c r="A13" s="20">
        <f>Japan!A13</f>
        <v>38918</v>
      </c>
      <c r="B13" s="58" t="s">
        <v>4</v>
      </c>
      <c r="C13">
        <v>887.2</v>
      </c>
      <c r="D13">
        <v>565.5</v>
      </c>
      <c r="E13">
        <v>5953.5</v>
      </c>
      <c r="F13">
        <v>5271.6</v>
      </c>
      <c r="G13" s="43">
        <f t="shared" si="0"/>
        <v>6840.7</v>
      </c>
      <c r="H13" s="43">
        <f t="shared" si="1"/>
        <v>5837.1</v>
      </c>
      <c r="I13" s="44">
        <f t="shared" si="2"/>
        <v>17.193469359784807</v>
      </c>
      <c r="J13">
        <v>311.8</v>
      </c>
    </row>
    <row r="14" spans="1:45" x14ac:dyDescent="0.25">
      <c r="A14" s="20">
        <f>Japan!A14</f>
        <v>38925</v>
      </c>
      <c r="B14" s="58" t="s">
        <v>4</v>
      </c>
      <c r="C14">
        <v>1058.2</v>
      </c>
      <c r="D14">
        <v>513.29999999999995</v>
      </c>
      <c r="E14">
        <v>5990.2</v>
      </c>
      <c r="F14">
        <v>5368.6</v>
      </c>
      <c r="G14" s="43">
        <f t="shared" si="0"/>
        <v>7048.4</v>
      </c>
      <c r="H14" s="43">
        <f t="shared" si="1"/>
        <v>5881.9000000000005</v>
      </c>
      <c r="I14" s="44">
        <f t="shared" si="2"/>
        <v>19.832027066084066</v>
      </c>
      <c r="J14">
        <v>372.3</v>
      </c>
    </row>
    <row r="15" spans="1:45" x14ac:dyDescent="0.25">
      <c r="A15" s="20">
        <f>Japan!A15</f>
        <v>38932</v>
      </c>
      <c r="B15" s="58" t="s">
        <v>4</v>
      </c>
      <c r="C15">
        <v>1000.9</v>
      </c>
      <c r="D15">
        <v>581.79999999999995</v>
      </c>
      <c r="E15">
        <v>6143.8</v>
      </c>
      <c r="F15">
        <v>5460.8</v>
      </c>
      <c r="G15" s="43">
        <f t="shared" si="0"/>
        <v>7144.7</v>
      </c>
      <c r="H15" s="43">
        <f t="shared" si="1"/>
        <v>6042.6</v>
      </c>
      <c r="I15" s="44">
        <f t="shared" si="2"/>
        <v>18.23883758646938</v>
      </c>
      <c r="J15">
        <v>393.3</v>
      </c>
    </row>
    <row r="16" spans="1:45" x14ac:dyDescent="0.25">
      <c r="A16" s="20">
        <f>Japan!A16</f>
        <v>38939</v>
      </c>
      <c r="B16" s="58" t="s">
        <v>4</v>
      </c>
      <c r="C16">
        <v>851.8</v>
      </c>
      <c r="D16">
        <v>702.3</v>
      </c>
      <c r="E16">
        <v>6230.5</v>
      </c>
      <c r="F16">
        <v>5528</v>
      </c>
      <c r="G16" s="43">
        <f t="shared" si="0"/>
        <v>7082.3</v>
      </c>
      <c r="H16" s="43">
        <f t="shared" si="1"/>
        <v>6230.3</v>
      </c>
      <c r="I16" s="44">
        <f t="shared" si="2"/>
        <v>13.675103927579734</v>
      </c>
      <c r="J16">
        <v>663.8</v>
      </c>
    </row>
    <row r="17" spans="1:10" x14ac:dyDescent="0.25">
      <c r="A17" s="20">
        <f>Japan!A17</f>
        <v>38946</v>
      </c>
      <c r="B17" s="58" t="s">
        <v>4</v>
      </c>
      <c r="C17">
        <v>896</v>
      </c>
      <c r="D17">
        <v>710.1</v>
      </c>
      <c r="E17">
        <v>6319.9</v>
      </c>
      <c r="F17">
        <v>5619.5</v>
      </c>
      <c r="G17" s="43">
        <f t="shared" si="0"/>
        <v>7215.9</v>
      </c>
      <c r="H17" s="43">
        <f t="shared" si="1"/>
        <v>6329.6</v>
      </c>
      <c r="I17" s="44">
        <f t="shared" si="2"/>
        <v>14.00246461071788</v>
      </c>
      <c r="J17">
        <v>909.3</v>
      </c>
    </row>
    <row r="18" spans="1:10" x14ac:dyDescent="0.25">
      <c r="A18" s="20">
        <f t="shared" ref="A18:A25" si="3">+A17+7</f>
        <v>38953</v>
      </c>
      <c r="B18" s="58" t="s">
        <v>4</v>
      </c>
      <c r="C18">
        <v>455.6</v>
      </c>
      <c r="D18">
        <v>600.20000000000005</v>
      </c>
      <c r="E18">
        <v>6550.2</v>
      </c>
      <c r="F18">
        <v>5691.7</v>
      </c>
      <c r="G18" s="43">
        <f t="shared" si="0"/>
        <v>7005.8</v>
      </c>
      <c r="H18" s="43">
        <f t="shared" si="1"/>
        <v>6291.9</v>
      </c>
      <c r="I18" s="44">
        <f t="shared" si="2"/>
        <v>11.346334175686202</v>
      </c>
      <c r="J18">
        <v>1414.6</v>
      </c>
    </row>
    <row r="19" spans="1:10" x14ac:dyDescent="0.25">
      <c r="A19" s="20">
        <f t="shared" si="3"/>
        <v>38960</v>
      </c>
      <c r="B19" s="58" t="s">
        <v>4</v>
      </c>
      <c r="C19">
        <v>382.9</v>
      </c>
      <c r="D19">
        <v>516.70000000000005</v>
      </c>
      <c r="E19">
        <v>6653.1</v>
      </c>
      <c r="F19">
        <v>5761.5</v>
      </c>
      <c r="G19" s="43">
        <f t="shared" si="0"/>
        <v>7036</v>
      </c>
      <c r="H19" s="43">
        <f t="shared" si="1"/>
        <v>6278.2</v>
      </c>
      <c r="I19" s="44">
        <f t="shared" si="2"/>
        <v>12.070338632092014</v>
      </c>
      <c r="J19">
        <v>1932.5</v>
      </c>
    </row>
    <row r="20" spans="1:10" x14ac:dyDescent="0.25">
      <c r="A20" s="49">
        <f t="shared" si="3"/>
        <v>38967</v>
      </c>
      <c r="B20" s="50" t="s">
        <v>4</v>
      </c>
      <c r="C20">
        <v>1800.8</v>
      </c>
      <c r="D20">
        <v>1402.3</v>
      </c>
      <c r="E20">
        <v>225.1</v>
      </c>
      <c r="F20">
        <v>69.3</v>
      </c>
      <c r="G20" s="43">
        <f t="shared" si="0"/>
        <v>2025.8999999999999</v>
      </c>
      <c r="H20" s="43">
        <f t="shared" si="1"/>
        <v>1471.6</v>
      </c>
      <c r="I20" s="44">
        <f t="shared" si="2"/>
        <v>37.666485458004885</v>
      </c>
    </row>
    <row r="21" spans="1:10" x14ac:dyDescent="0.25">
      <c r="A21" s="57">
        <f t="shared" si="3"/>
        <v>38974</v>
      </c>
      <c r="B21" s="58" t="s">
        <v>4</v>
      </c>
      <c r="C21">
        <v>2019.9</v>
      </c>
      <c r="D21">
        <v>1451.8</v>
      </c>
      <c r="E21">
        <v>416.5</v>
      </c>
      <c r="F21">
        <v>267.8</v>
      </c>
      <c r="G21" s="43">
        <f t="shared" si="0"/>
        <v>2436.4</v>
      </c>
      <c r="H21" s="43">
        <f t="shared" si="1"/>
        <v>1719.6</v>
      </c>
      <c r="I21" s="44">
        <f t="shared" si="2"/>
        <v>41.684112584321944</v>
      </c>
    </row>
    <row r="22" spans="1:10" x14ac:dyDescent="0.25">
      <c r="A22" s="57">
        <f t="shared" si="3"/>
        <v>38981</v>
      </c>
      <c r="B22" s="58" t="s">
        <v>4</v>
      </c>
      <c r="C22">
        <v>1917.1</v>
      </c>
      <c r="D22">
        <v>1456.2</v>
      </c>
      <c r="E22">
        <v>619.29999999999995</v>
      </c>
      <c r="F22">
        <v>385.3</v>
      </c>
      <c r="G22" s="43">
        <f t="shared" si="0"/>
        <v>2536.3999999999996</v>
      </c>
      <c r="H22" s="43">
        <f t="shared" si="1"/>
        <v>1841.5</v>
      </c>
      <c r="I22" s="44">
        <f t="shared" si="2"/>
        <v>37.735541677979882</v>
      </c>
    </row>
    <row r="23" spans="1:10" x14ac:dyDescent="0.25">
      <c r="A23" s="57">
        <f t="shared" si="3"/>
        <v>38988</v>
      </c>
      <c r="B23" s="58" t="s">
        <v>4</v>
      </c>
      <c r="C23">
        <v>2013.2</v>
      </c>
      <c r="D23">
        <v>1437.2</v>
      </c>
      <c r="E23">
        <v>856.5</v>
      </c>
      <c r="F23">
        <v>497.2</v>
      </c>
      <c r="G23" s="60">
        <f t="shared" si="0"/>
        <v>2869.7</v>
      </c>
      <c r="H23" s="60">
        <f t="shared" si="1"/>
        <v>1934.4</v>
      </c>
      <c r="I23" s="61">
        <f t="shared" si="2"/>
        <v>48.350909842845311</v>
      </c>
    </row>
    <row r="24" spans="1:10" x14ac:dyDescent="0.25">
      <c r="A24" s="57">
        <f t="shared" si="3"/>
        <v>38995</v>
      </c>
      <c r="B24" s="58" t="s">
        <v>4</v>
      </c>
      <c r="C24">
        <v>1953.3</v>
      </c>
      <c r="D24">
        <v>1372.8</v>
      </c>
      <c r="E24">
        <v>1109.9000000000001</v>
      </c>
      <c r="F24">
        <v>589.1</v>
      </c>
      <c r="G24" s="60">
        <f t="shared" si="0"/>
        <v>3063.2</v>
      </c>
      <c r="H24" s="60">
        <f t="shared" si="1"/>
        <v>1961.9</v>
      </c>
      <c r="I24" s="61">
        <f t="shared" si="2"/>
        <v>56.134359549416367</v>
      </c>
    </row>
    <row r="25" spans="1:10" x14ac:dyDescent="0.25">
      <c r="A25" s="57">
        <f t="shared" si="3"/>
        <v>39002</v>
      </c>
      <c r="B25" s="58" t="s">
        <v>4</v>
      </c>
      <c r="C25">
        <v>1924.7</v>
      </c>
      <c r="D25">
        <v>1239.9000000000001</v>
      </c>
      <c r="E25">
        <v>1254.9000000000001</v>
      </c>
      <c r="F25">
        <v>762.8</v>
      </c>
      <c r="G25" s="60">
        <f t="shared" si="0"/>
        <v>3179.6000000000004</v>
      </c>
      <c r="H25" s="60">
        <f t="shared" si="1"/>
        <v>2002.7</v>
      </c>
      <c r="I25" s="61">
        <f t="shared" si="2"/>
        <v>58.765666350426947</v>
      </c>
    </row>
    <row r="26" spans="1:10" x14ac:dyDescent="0.25">
      <c r="A26" s="57">
        <f t="shared" ref="A26:A37" si="4">+A25+7</f>
        <v>39009</v>
      </c>
      <c r="B26" s="58" t="s">
        <v>4</v>
      </c>
      <c r="C26">
        <v>2202.4</v>
      </c>
      <c r="D26">
        <v>1244.2</v>
      </c>
      <c r="E26">
        <v>1410.2</v>
      </c>
      <c r="F26">
        <v>867.6</v>
      </c>
      <c r="G26" s="60">
        <f t="shared" si="0"/>
        <v>3612.6000000000004</v>
      </c>
      <c r="H26" s="60">
        <f t="shared" si="1"/>
        <v>2111.8000000000002</v>
      </c>
      <c r="I26" s="61">
        <f t="shared" si="2"/>
        <v>71.067335921962311</v>
      </c>
    </row>
    <row r="27" spans="1:10" x14ac:dyDescent="0.25">
      <c r="A27" s="57">
        <f t="shared" si="4"/>
        <v>39016</v>
      </c>
      <c r="B27" s="58" t="s">
        <v>4</v>
      </c>
      <c r="C27">
        <v>2146.6</v>
      </c>
      <c r="D27">
        <v>1299.4000000000001</v>
      </c>
      <c r="E27">
        <v>1623.1</v>
      </c>
      <c r="F27">
        <v>1012.4</v>
      </c>
      <c r="G27" s="60">
        <f t="shared" si="0"/>
        <v>3769.7</v>
      </c>
      <c r="H27" s="60">
        <f t="shared" si="1"/>
        <v>2311.8000000000002</v>
      </c>
      <c r="I27" s="61">
        <f t="shared" si="2"/>
        <v>63.063413790120237</v>
      </c>
    </row>
    <row r="28" spans="1:10" x14ac:dyDescent="0.25">
      <c r="A28" s="57">
        <f t="shared" si="4"/>
        <v>39023</v>
      </c>
      <c r="B28" s="58" t="s">
        <v>4</v>
      </c>
      <c r="C28">
        <v>2202.1999999999998</v>
      </c>
      <c r="D28">
        <v>1293.0999999999999</v>
      </c>
      <c r="E28">
        <v>1871.7</v>
      </c>
      <c r="F28">
        <v>1159.0999999999999</v>
      </c>
      <c r="G28" s="60">
        <f t="shared" si="0"/>
        <v>4073.8999999999996</v>
      </c>
      <c r="H28" s="60">
        <f t="shared" si="1"/>
        <v>2452.1999999999998</v>
      </c>
      <c r="I28" s="61">
        <f t="shared" si="2"/>
        <v>66.132452491640151</v>
      </c>
    </row>
    <row r="29" spans="1:10" x14ac:dyDescent="0.25">
      <c r="A29" s="57">
        <f t="shared" si="4"/>
        <v>39030</v>
      </c>
      <c r="B29" s="58" t="s">
        <v>4</v>
      </c>
      <c r="C29">
        <v>2226.6999999999998</v>
      </c>
      <c r="D29">
        <v>1299.3</v>
      </c>
      <c r="E29">
        <v>2102.1</v>
      </c>
      <c r="F29">
        <v>1343</v>
      </c>
      <c r="G29" s="60">
        <f t="shared" si="0"/>
        <v>4328.7999999999993</v>
      </c>
      <c r="H29" s="60">
        <f t="shared" si="1"/>
        <v>2642.3</v>
      </c>
      <c r="I29" s="61">
        <f t="shared" si="2"/>
        <v>63.826968928584904</v>
      </c>
    </row>
    <row r="30" spans="1:10" x14ac:dyDescent="0.25">
      <c r="A30" s="57">
        <f t="shared" si="4"/>
        <v>39037</v>
      </c>
      <c r="B30" s="58" t="s">
        <v>4</v>
      </c>
      <c r="C30">
        <v>2121.1999999999998</v>
      </c>
      <c r="D30">
        <v>1310</v>
      </c>
      <c r="E30">
        <v>2328.6</v>
      </c>
      <c r="F30">
        <v>1487.1</v>
      </c>
      <c r="G30" s="60">
        <f t="shared" si="0"/>
        <v>4449.7999999999993</v>
      </c>
      <c r="H30" s="60">
        <f t="shared" si="1"/>
        <v>2797.1</v>
      </c>
      <c r="I30" s="61">
        <f t="shared" si="2"/>
        <v>59.086196417718327</v>
      </c>
    </row>
    <row r="31" spans="1:10" x14ac:dyDescent="0.25">
      <c r="A31" s="57">
        <f t="shared" si="4"/>
        <v>39044</v>
      </c>
      <c r="B31" s="58" t="s">
        <v>4</v>
      </c>
      <c r="C31">
        <v>2066.9</v>
      </c>
      <c r="D31">
        <v>1211.5</v>
      </c>
      <c r="E31">
        <v>2489.1</v>
      </c>
      <c r="F31">
        <v>1601</v>
      </c>
      <c r="G31" s="60">
        <f t="shared" si="0"/>
        <v>4556</v>
      </c>
      <c r="H31" s="60">
        <f t="shared" si="1"/>
        <v>2812.5</v>
      </c>
      <c r="I31" s="61">
        <f t="shared" si="2"/>
        <v>61.99111111111111</v>
      </c>
    </row>
    <row r="32" spans="1:10" x14ac:dyDescent="0.25">
      <c r="A32" s="57">
        <f t="shared" si="4"/>
        <v>39051</v>
      </c>
      <c r="B32" s="58" t="s">
        <v>4</v>
      </c>
      <c r="C32">
        <v>1906.5</v>
      </c>
      <c r="D32">
        <v>1170.8</v>
      </c>
      <c r="E32">
        <v>2753.7</v>
      </c>
      <c r="F32">
        <v>1767.7</v>
      </c>
      <c r="G32" s="60">
        <f t="shared" si="0"/>
        <v>4660.2</v>
      </c>
      <c r="H32" s="60">
        <f t="shared" si="1"/>
        <v>2938.5</v>
      </c>
      <c r="I32" s="61">
        <f t="shared" si="2"/>
        <v>58.591117917304736</v>
      </c>
    </row>
    <row r="33" spans="1:9" x14ac:dyDescent="0.25">
      <c r="A33" s="57">
        <f t="shared" si="4"/>
        <v>39058</v>
      </c>
      <c r="B33" s="58" t="s">
        <v>4</v>
      </c>
      <c r="C33">
        <v>1744.5</v>
      </c>
      <c r="D33">
        <v>1004</v>
      </c>
      <c r="E33">
        <v>3074.6</v>
      </c>
      <c r="F33">
        <v>1961.9</v>
      </c>
      <c r="G33" s="60">
        <f t="shared" si="0"/>
        <v>4819.1000000000004</v>
      </c>
      <c r="H33" s="60">
        <f t="shared" si="1"/>
        <v>2965.9</v>
      </c>
      <c r="I33" s="61">
        <f t="shared" si="2"/>
        <v>62.483563168009717</v>
      </c>
    </row>
    <row r="34" spans="1:9" x14ac:dyDescent="0.25">
      <c r="A34" s="57">
        <f t="shared" si="4"/>
        <v>39065</v>
      </c>
      <c r="B34" s="58" t="s">
        <v>4</v>
      </c>
      <c r="C34">
        <v>1625.6</v>
      </c>
      <c r="D34">
        <v>824.3</v>
      </c>
      <c r="E34">
        <v>3306.6</v>
      </c>
      <c r="F34">
        <v>2193.8000000000002</v>
      </c>
      <c r="G34" s="60">
        <f t="shared" si="0"/>
        <v>4932.2</v>
      </c>
      <c r="H34" s="60">
        <f t="shared" si="1"/>
        <v>3018.1000000000004</v>
      </c>
      <c r="I34" s="61">
        <f t="shared" si="2"/>
        <v>63.420695139326043</v>
      </c>
    </row>
    <row r="35" spans="1:9" x14ac:dyDescent="0.25">
      <c r="A35" s="57">
        <f t="shared" si="4"/>
        <v>39072</v>
      </c>
      <c r="B35" s="58" t="s">
        <v>4</v>
      </c>
      <c r="C35">
        <v>1426.7</v>
      </c>
      <c r="D35">
        <v>646.29999999999995</v>
      </c>
      <c r="E35">
        <v>3667.1</v>
      </c>
      <c r="F35">
        <v>2403</v>
      </c>
      <c r="G35" s="60">
        <f t="shared" si="0"/>
        <v>5093.8</v>
      </c>
      <c r="H35" s="60">
        <f t="shared" si="1"/>
        <v>3049.3</v>
      </c>
      <c r="I35" s="61">
        <f t="shared" si="2"/>
        <v>67.048174990981522</v>
      </c>
    </row>
    <row r="36" spans="1:9" x14ac:dyDescent="0.25">
      <c r="A36" s="57">
        <f t="shared" si="4"/>
        <v>39079</v>
      </c>
      <c r="B36" s="58" t="s">
        <v>4</v>
      </c>
      <c r="C36">
        <v>1203.9000000000001</v>
      </c>
      <c r="D36">
        <v>426.4</v>
      </c>
      <c r="E36">
        <v>4022.1</v>
      </c>
      <c r="F36">
        <v>2677.4</v>
      </c>
      <c r="G36" s="60">
        <f t="shared" si="0"/>
        <v>5226</v>
      </c>
      <c r="H36" s="60">
        <f t="shared" si="1"/>
        <v>3103.8</v>
      </c>
      <c r="I36" s="61">
        <f t="shared" si="2"/>
        <v>68.374250918229265</v>
      </c>
    </row>
    <row r="37" spans="1:9" x14ac:dyDescent="0.25">
      <c r="A37" s="57">
        <f t="shared" si="4"/>
        <v>39086</v>
      </c>
      <c r="B37" s="58" t="s">
        <v>4</v>
      </c>
      <c r="C37">
        <v>1376.1</v>
      </c>
      <c r="D37">
        <v>386.9</v>
      </c>
      <c r="E37">
        <v>4131.1000000000004</v>
      </c>
      <c r="F37">
        <v>2715.3</v>
      </c>
      <c r="G37" s="60">
        <f t="shared" si="0"/>
        <v>5507.2000000000007</v>
      </c>
      <c r="H37" s="60">
        <f t="shared" si="1"/>
        <v>3102.2000000000003</v>
      </c>
      <c r="I37" s="61">
        <f t="shared" si="2"/>
        <v>77.525626974405256</v>
      </c>
    </row>
    <row r="38" spans="1:9" x14ac:dyDescent="0.25">
      <c r="A38" s="57">
        <f>+A37+7</f>
        <v>39093</v>
      </c>
      <c r="B38" s="58" t="s">
        <v>4</v>
      </c>
      <c r="C38">
        <v>1452.4</v>
      </c>
      <c r="D38">
        <v>386.5</v>
      </c>
      <c r="E38">
        <v>4202.5</v>
      </c>
      <c r="F38">
        <v>2811.4</v>
      </c>
      <c r="G38" s="60">
        <f t="shared" si="0"/>
        <v>5654.9</v>
      </c>
      <c r="H38" s="60">
        <f t="shared" si="1"/>
        <v>3197.9</v>
      </c>
      <c r="I38" s="61">
        <f t="shared" si="2"/>
        <v>76.831670783951949</v>
      </c>
    </row>
    <row r="39" spans="1:9" x14ac:dyDescent="0.25">
      <c r="A39" s="57">
        <f>+A38+7</f>
        <v>39100</v>
      </c>
      <c r="B39" s="58" t="s">
        <v>4</v>
      </c>
      <c r="C39">
        <v>1632.6</v>
      </c>
      <c r="D39">
        <v>455.6</v>
      </c>
      <c r="E39">
        <v>4232.6000000000004</v>
      </c>
      <c r="F39">
        <v>2828.1</v>
      </c>
      <c r="G39" s="60">
        <f t="shared" si="0"/>
        <v>5865.2000000000007</v>
      </c>
      <c r="H39" s="60">
        <f t="shared" si="1"/>
        <v>3283.7</v>
      </c>
      <c r="I39" s="61">
        <f t="shared" si="2"/>
        <v>78.615586076681822</v>
      </c>
    </row>
    <row r="40" spans="1:9" x14ac:dyDescent="0.25">
      <c r="A40" s="57">
        <f>+A39+7</f>
        <v>39107</v>
      </c>
      <c r="B40" s="58" t="s">
        <v>4</v>
      </c>
      <c r="C40">
        <v>1659.2</v>
      </c>
      <c r="D40">
        <v>531.1</v>
      </c>
      <c r="E40">
        <v>4322</v>
      </c>
      <c r="F40">
        <v>2843.9</v>
      </c>
      <c r="G40" s="60">
        <f t="shared" si="0"/>
        <v>5981.2</v>
      </c>
      <c r="H40" s="60">
        <f t="shared" si="1"/>
        <v>3375</v>
      </c>
      <c r="I40" s="61">
        <f t="shared" si="2"/>
        <v>77.220740740740752</v>
      </c>
    </row>
    <row r="41" spans="1:9" x14ac:dyDescent="0.25">
      <c r="A41" s="57">
        <f t="shared" ref="A41:A50" si="5">+A40+7</f>
        <v>39114</v>
      </c>
      <c r="B41" s="58" t="s">
        <v>4</v>
      </c>
      <c r="C41">
        <v>1846.6</v>
      </c>
      <c r="D41">
        <v>711.4</v>
      </c>
      <c r="E41">
        <v>4448.7</v>
      </c>
      <c r="F41">
        <v>2916.8</v>
      </c>
      <c r="G41" s="60">
        <f t="shared" ref="G41:H45" si="6">+C41+E41</f>
        <v>6295.2999999999993</v>
      </c>
      <c r="H41" s="60">
        <f t="shared" si="6"/>
        <v>3628.2000000000003</v>
      </c>
      <c r="I41" s="61">
        <f t="shared" ref="I41:I46" si="7">+(G41/H41-1)*100</f>
        <v>73.51028057990186</v>
      </c>
    </row>
    <row r="42" spans="1:9" x14ac:dyDescent="0.25">
      <c r="A42" s="57">
        <f t="shared" si="5"/>
        <v>39121</v>
      </c>
      <c r="B42" s="58" t="s">
        <v>4</v>
      </c>
      <c r="C42">
        <v>1943.6</v>
      </c>
      <c r="D42">
        <v>812</v>
      </c>
      <c r="E42">
        <v>4537.3</v>
      </c>
      <c r="F42">
        <v>2946.8</v>
      </c>
      <c r="G42" s="60">
        <f t="shared" si="6"/>
        <v>6480.9</v>
      </c>
      <c r="H42" s="60">
        <f t="shared" si="6"/>
        <v>3758.8</v>
      </c>
      <c r="I42" s="61">
        <f t="shared" si="7"/>
        <v>72.419389166755323</v>
      </c>
    </row>
    <row r="43" spans="1:9" x14ac:dyDescent="0.25">
      <c r="A43" s="57">
        <f t="shared" si="5"/>
        <v>39128</v>
      </c>
      <c r="B43" s="58" t="s">
        <v>4</v>
      </c>
      <c r="C43">
        <v>2252.8000000000002</v>
      </c>
      <c r="D43">
        <v>991.1</v>
      </c>
      <c r="E43">
        <v>4615.1000000000004</v>
      </c>
      <c r="F43">
        <v>2981</v>
      </c>
      <c r="G43" s="60">
        <f t="shared" si="6"/>
        <v>6867.9000000000005</v>
      </c>
      <c r="H43" s="60">
        <f t="shared" si="6"/>
        <v>3972.1</v>
      </c>
      <c r="I43" s="61">
        <f t="shared" si="7"/>
        <v>72.903501925933398</v>
      </c>
    </row>
    <row r="44" spans="1:9" x14ac:dyDescent="0.25">
      <c r="A44" s="57">
        <f t="shared" si="5"/>
        <v>39135</v>
      </c>
      <c r="B44" s="58" t="s">
        <v>4</v>
      </c>
      <c r="C44">
        <v>2146.5</v>
      </c>
      <c r="D44">
        <v>988.5</v>
      </c>
      <c r="E44">
        <v>4778.3999999999996</v>
      </c>
      <c r="F44">
        <v>3104.5</v>
      </c>
      <c r="G44" s="60">
        <f t="shared" si="6"/>
        <v>6924.9</v>
      </c>
      <c r="H44" s="60">
        <f t="shared" si="6"/>
        <v>4093</v>
      </c>
      <c r="I44" s="61">
        <f t="shared" si="7"/>
        <v>69.188859027608089</v>
      </c>
    </row>
    <row r="45" spans="1:9" x14ac:dyDescent="0.25">
      <c r="A45" s="57">
        <f t="shared" si="5"/>
        <v>39142</v>
      </c>
      <c r="B45" s="58" t="s">
        <v>4</v>
      </c>
      <c r="C45">
        <v>2524.8000000000002</v>
      </c>
      <c r="D45">
        <v>1200.9000000000001</v>
      </c>
      <c r="E45">
        <v>5031.1000000000004</v>
      </c>
      <c r="F45">
        <v>3142.7</v>
      </c>
      <c r="G45" s="60">
        <f t="shared" si="6"/>
        <v>7555.9000000000005</v>
      </c>
      <c r="H45" s="60">
        <f t="shared" si="6"/>
        <v>4343.6000000000004</v>
      </c>
      <c r="I45" s="61">
        <f t="shared" si="7"/>
        <v>73.954784050096706</v>
      </c>
    </row>
    <row r="46" spans="1:9" x14ac:dyDescent="0.25">
      <c r="A46" s="57">
        <f t="shared" si="5"/>
        <v>39149</v>
      </c>
      <c r="B46" s="58" t="s">
        <v>4</v>
      </c>
      <c r="C46">
        <v>2472.1</v>
      </c>
      <c r="D46">
        <v>1284</v>
      </c>
      <c r="E46">
        <v>5256.1</v>
      </c>
      <c r="F46">
        <v>3292.2</v>
      </c>
      <c r="G46" s="60">
        <f t="shared" ref="G46:H48" si="8">+C46+E46</f>
        <v>7728.2000000000007</v>
      </c>
      <c r="H46" s="60">
        <f t="shared" si="8"/>
        <v>4576.2</v>
      </c>
      <c r="I46" s="61">
        <f t="shared" si="7"/>
        <v>68.878108474279998</v>
      </c>
    </row>
    <row r="47" spans="1:9" x14ac:dyDescent="0.25">
      <c r="A47" s="57">
        <f>+A46+7</f>
        <v>39156</v>
      </c>
      <c r="B47" s="58" t="s">
        <v>4</v>
      </c>
      <c r="C47">
        <v>2347.6999999999998</v>
      </c>
      <c r="D47">
        <v>1271.8</v>
      </c>
      <c r="E47">
        <v>5450.1</v>
      </c>
      <c r="F47">
        <v>3426.4</v>
      </c>
      <c r="G47" s="60">
        <f t="shared" si="8"/>
        <v>7797.8</v>
      </c>
      <c r="H47" s="60">
        <f t="shared" si="8"/>
        <v>4698.2</v>
      </c>
      <c r="I47" s="61">
        <f t="shared" ref="I47:I52" si="9">+(G47/H47-1)*100</f>
        <v>65.974202886211742</v>
      </c>
    </row>
    <row r="48" spans="1:9" x14ac:dyDescent="0.25">
      <c r="A48" s="57">
        <f t="shared" si="5"/>
        <v>39163</v>
      </c>
      <c r="B48" s="58" t="s">
        <v>4</v>
      </c>
      <c r="C48">
        <v>2482</v>
      </c>
      <c r="D48">
        <v>1218.0999999999999</v>
      </c>
      <c r="E48">
        <v>5644.5</v>
      </c>
      <c r="F48">
        <v>3658.4</v>
      </c>
      <c r="G48" s="60">
        <f t="shared" si="8"/>
        <v>8126.5</v>
      </c>
      <c r="H48" s="60">
        <f t="shared" si="8"/>
        <v>4876.5</v>
      </c>
      <c r="I48" s="61">
        <f t="shared" si="9"/>
        <v>66.646160155849472</v>
      </c>
    </row>
    <row r="49" spans="1:10" x14ac:dyDescent="0.25">
      <c r="A49" s="57">
        <f t="shared" si="5"/>
        <v>39170</v>
      </c>
      <c r="B49" s="58" t="s">
        <v>4</v>
      </c>
      <c r="C49">
        <v>2412.1</v>
      </c>
      <c r="D49">
        <v>1122.8</v>
      </c>
      <c r="E49">
        <v>5894.7</v>
      </c>
      <c r="F49">
        <v>3829.3</v>
      </c>
      <c r="G49" s="60">
        <f t="shared" ref="G49:H51" si="10">+C49+E49</f>
        <v>8306.7999999999993</v>
      </c>
      <c r="H49" s="60">
        <f t="shared" si="10"/>
        <v>4952.1000000000004</v>
      </c>
      <c r="I49" s="61">
        <f t="shared" si="9"/>
        <v>67.742977726621007</v>
      </c>
    </row>
    <row r="50" spans="1:10" x14ac:dyDescent="0.25">
      <c r="A50" s="57">
        <f t="shared" si="5"/>
        <v>39177</v>
      </c>
      <c r="B50" s="58" t="s">
        <v>4</v>
      </c>
      <c r="C50">
        <v>2684.1</v>
      </c>
      <c r="D50">
        <v>1137.2</v>
      </c>
      <c r="E50">
        <v>6026</v>
      </c>
      <c r="F50">
        <v>4040.8</v>
      </c>
      <c r="G50" s="60">
        <f t="shared" si="10"/>
        <v>8710.1</v>
      </c>
      <c r="H50" s="60">
        <f t="shared" si="10"/>
        <v>5178</v>
      </c>
      <c r="I50" s="61">
        <f t="shared" si="9"/>
        <v>68.213595983005021</v>
      </c>
    </row>
    <row r="51" spans="1:10" x14ac:dyDescent="0.25">
      <c r="A51" s="57">
        <f t="shared" ref="A51:A56" si="11">+A50+7</f>
        <v>39184</v>
      </c>
      <c r="B51" s="58" t="s">
        <v>4</v>
      </c>
      <c r="C51">
        <v>2703.4</v>
      </c>
      <c r="D51">
        <v>1190.5999999999999</v>
      </c>
      <c r="E51">
        <v>6233.5</v>
      </c>
      <c r="F51">
        <v>4198.8999999999996</v>
      </c>
      <c r="G51" s="60">
        <f t="shared" si="10"/>
        <v>8936.9</v>
      </c>
      <c r="H51" s="60">
        <f t="shared" si="10"/>
        <v>5389.5</v>
      </c>
      <c r="I51" s="61">
        <f t="shared" si="9"/>
        <v>65.820577047963624</v>
      </c>
    </row>
    <row r="52" spans="1:10" x14ac:dyDescent="0.25">
      <c r="A52" s="57">
        <f t="shared" si="11"/>
        <v>39191</v>
      </c>
      <c r="B52" s="58" t="s">
        <v>4</v>
      </c>
      <c r="C52">
        <v>2642.9</v>
      </c>
      <c r="D52">
        <v>1011.7</v>
      </c>
      <c r="E52">
        <v>6445.6</v>
      </c>
      <c r="F52">
        <v>4364.5</v>
      </c>
      <c r="G52" s="60">
        <f t="shared" ref="G52:H54" si="12">+C52+E52</f>
        <v>9088.5</v>
      </c>
      <c r="H52" s="60">
        <f t="shared" si="12"/>
        <v>5376.2</v>
      </c>
      <c r="I52" s="61">
        <f t="shared" si="9"/>
        <v>69.050630556898923</v>
      </c>
    </row>
    <row r="53" spans="1:10" x14ac:dyDescent="0.25">
      <c r="A53" s="57">
        <f t="shared" si="11"/>
        <v>39198</v>
      </c>
      <c r="B53" s="58" t="s">
        <v>4</v>
      </c>
      <c r="C53">
        <v>2582.4</v>
      </c>
      <c r="D53">
        <v>831.8</v>
      </c>
      <c r="E53">
        <v>6692.4</v>
      </c>
      <c r="F53">
        <v>4626.8999999999996</v>
      </c>
      <c r="G53" s="60">
        <f t="shared" si="12"/>
        <v>9274.7999999999993</v>
      </c>
      <c r="H53" s="60">
        <f t="shared" si="12"/>
        <v>5458.7</v>
      </c>
      <c r="I53" s="61">
        <f t="shared" ref="I53:I58" si="13">+(G53/H53-1)*100</f>
        <v>69.908586293439811</v>
      </c>
    </row>
    <row r="54" spans="1:10" x14ac:dyDescent="0.25">
      <c r="A54" s="57">
        <f t="shared" si="11"/>
        <v>39205</v>
      </c>
      <c r="B54" s="58" t="s">
        <v>4</v>
      </c>
      <c r="C54">
        <v>2545.1999999999998</v>
      </c>
      <c r="D54">
        <v>835.6</v>
      </c>
      <c r="E54">
        <v>6833.5</v>
      </c>
      <c r="F54">
        <v>4746.3999999999996</v>
      </c>
      <c r="G54" s="60">
        <f t="shared" si="12"/>
        <v>9378.7000000000007</v>
      </c>
      <c r="H54" s="60">
        <f t="shared" si="12"/>
        <v>5582</v>
      </c>
      <c r="I54" s="61">
        <f t="shared" si="13"/>
        <v>68.016839842350436</v>
      </c>
    </row>
    <row r="55" spans="1:10" x14ac:dyDescent="0.25">
      <c r="A55" s="57">
        <f t="shared" si="11"/>
        <v>39212</v>
      </c>
      <c r="B55" s="58" t="s">
        <v>4</v>
      </c>
      <c r="C55">
        <v>2357.6</v>
      </c>
      <c r="D55">
        <v>910.9</v>
      </c>
      <c r="E55">
        <v>7064.3</v>
      </c>
      <c r="F55">
        <v>4822.2</v>
      </c>
      <c r="G55" s="60">
        <f t="shared" ref="G55:H57" si="14">+C55+E55</f>
        <v>9421.9</v>
      </c>
      <c r="H55" s="60">
        <f t="shared" si="14"/>
        <v>5733.0999999999995</v>
      </c>
      <c r="I55" s="61">
        <f t="shared" si="13"/>
        <v>64.342153459733836</v>
      </c>
      <c r="J55">
        <v>555.70000000000005</v>
      </c>
    </row>
    <row r="56" spans="1:10" x14ac:dyDescent="0.25">
      <c r="A56" s="57">
        <f t="shared" si="11"/>
        <v>39219</v>
      </c>
      <c r="B56" s="58" t="s">
        <v>4</v>
      </c>
      <c r="C56">
        <v>2054.4</v>
      </c>
      <c r="D56">
        <v>847</v>
      </c>
      <c r="E56">
        <v>7234.8</v>
      </c>
      <c r="F56">
        <v>4948</v>
      </c>
      <c r="G56" s="60">
        <f t="shared" si="14"/>
        <v>9289.2000000000007</v>
      </c>
      <c r="H56" s="60">
        <f t="shared" si="14"/>
        <v>5795</v>
      </c>
      <c r="I56" s="61">
        <f t="shared" si="13"/>
        <v>60.29680759275238</v>
      </c>
      <c r="J56">
        <v>692.6</v>
      </c>
    </row>
    <row r="57" spans="1:10" x14ac:dyDescent="0.25">
      <c r="A57" s="57">
        <f t="shared" ref="A57:A62" si="15">+A56+7</f>
        <v>39226</v>
      </c>
      <c r="B57" s="58" t="s">
        <v>4</v>
      </c>
      <c r="C57">
        <v>1851</v>
      </c>
      <c r="D57">
        <v>790.6</v>
      </c>
      <c r="E57">
        <v>7491.1</v>
      </c>
      <c r="F57">
        <v>5114</v>
      </c>
      <c r="G57" s="60">
        <f t="shared" si="14"/>
        <v>9342.1</v>
      </c>
      <c r="H57" s="60">
        <f t="shared" si="14"/>
        <v>5904.6</v>
      </c>
      <c r="I57" s="61">
        <f t="shared" si="13"/>
        <v>58.2173220878637</v>
      </c>
      <c r="J57">
        <v>692.6</v>
      </c>
    </row>
    <row r="58" spans="1:10" x14ac:dyDescent="0.25">
      <c r="A58" s="57">
        <f t="shared" si="15"/>
        <v>39233</v>
      </c>
      <c r="B58" s="58" t="s">
        <v>4</v>
      </c>
      <c r="C58">
        <v>1628.6</v>
      </c>
      <c r="D58">
        <v>730.9</v>
      </c>
      <c r="E58">
        <v>7721.4</v>
      </c>
      <c r="F58">
        <v>5272.7</v>
      </c>
      <c r="G58" s="60">
        <f t="shared" ref="G58:H60" si="16">+C58+E58</f>
        <v>9350</v>
      </c>
      <c r="H58" s="60">
        <f t="shared" si="16"/>
        <v>6003.5999999999995</v>
      </c>
      <c r="I58" s="61">
        <f t="shared" si="13"/>
        <v>55.739889399693524</v>
      </c>
      <c r="J58">
        <v>719.6</v>
      </c>
    </row>
    <row r="59" spans="1:10" x14ac:dyDescent="0.25">
      <c r="A59" s="57">
        <f t="shared" si="15"/>
        <v>39240</v>
      </c>
      <c r="B59" s="58" t="s">
        <v>4</v>
      </c>
      <c r="C59">
        <v>1657.8</v>
      </c>
      <c r="D59">
        <v>746.6</v>
      </c>
      <c r="E59">
        <v>7784.5</v>
      </c>
      <c r="F59">
        <v>5397.4</v>
      </c>
      <c r="G59" s="60">
        <f t="shared" si="16"/>
        <v>9442.2999999999993</v>
      </c>
      <c r="H59" s="60">
        <f t="shared" si="16"/>
        <v>6144</v>
      </c>
      <c r="I59" s="61">
        <f t="shared" ref="I59:I64" si="17">+(G59/H59-1)*100</f>
        <v>53.68326822916665</v>
      </c>
      <c r="J59">
        <v>719.6</v>
      </c>
    </row>
    <row r="60" spans="1:10" x14ac:dyDescent="0.25">
      <c r="A60" s="57">
        <f t="shared" si="15"/>
        <v>39247</v>
      </c>
      <c r="B60" s="58" t="s">
        <v>4</v>
      </c>
      <c r="C60">
        <v>1639.8</v>
      </c>
      <c r="D60">
        <v>768.7</v>
      </c>
      <c r="E60">
        <v>7858.9</v>
      </c>
      <c r="F60">
        <v>5562.3</v>
      </c>
      <c r="G60" s="60">
        <f t="shared" si="16"/>
        <v>9498.6999999999989</v>
      </c>
      <c r="H60" s="60">
        <f t="shared" si="16"/>
        <v>6331</v>
      </c>
      <c r="I60" s="61">
        <f t="shared" si="17"/>
        <v>50.034749644605881</v>
      </c>
      <c r="J60">
        <v>839.6</v>
      </c>
    </row>
    <row r="61" spans="1:10" x14ac:dyDescent="0.25">
      <c r="A61" s="57">
        <f t="shared" si="15"/>
        <v>39254</v>
      </c>
      <c r="B61" s="58" t="s">
        <v>4</v>
      </c>
      <c r="C61">
        <v>1494.2</v>
      </c>
      <c r="D61">
        <v>820.1</v>
      </c>
      <c r="E61">
        <v>7937.2</v>
      </c>
      <c r="F61">
        <v>5623.1</v>
      </c>
      <c r="G61" s="60">
        <f t="shared" ref="G61:H63" si="18">+C61+E61</f>
        <v>9431.4</v>
      </c>
      <c r="H61" s="60">
        <f t="shared" si="18"/>
        <v>6443.2000000000007</v>
      </c>
      <c r="I61" s="61">
        <f t="shared" si="17"/>
        <v>46.377576359572871</v>
      </c>
      <c r="J61">
        <v>859.6</v>
      </c>
    </row>
    <row r="62" spans="1:10" x14ac:dyDescent="0.25">
      <c r="A62" s="57">
        <f t="shared" si="15"/>
        <v>39261</v>
      </c>
      <c r="B62" s="58" t="s">
        <v>4</v>
      </c>
      <c r="C62">
        <v>1512.8</v>
      </c>
      <c r="D62">
        <v>891.4</v>
      </c>
      <c r="E62">
        <v>8067.1</v>
      </c>
      <c r="F62">
        <v>5701.1</v>
      </c>
      <c r="G62" s="60">
        <f t="shared" si="18"/>
        <v>9579.9</v>
      </c>
      <c r="H62" s="60">
        <f t="shared" si="18"/>
        <v>6592.5</v>
      </c>
      <c r="I62" s="61">
        <f t="shared" si="17"/>
        <v>45.315130830489196</v>
      </c>
      <c r="J62">
        <v>1045.3</v>
      </c>
    </row>
    <row r="63" spans="1:10" x14ac:dyDescent="0.25">
      <c r="A63" s="57">
        <f t="shared" ref="A63:A68" si="19">+A62+7</f>
        <v>39268</v>
      </c>
      <c r="B63" s="58" t="s">
        <v>4</v>
      </c>
      <c r="C63">
        <v>1507.5</v>
      </c>
      <c r="D63">
        <v>905.7</v>
      </c>
      <c r="E63">
        <v>8109</v>
      </c>
      <c r="F63">
        <v>5770.1</v>
      </c>
      <c r="G63" s="60">
        <f t="shared" si="18"/>
        <v>9616.5</v>
      </c>
      <c r="H63" s="60">
        <f t="shared" si="18"/>
        <v>6675.8</v>
      </c>
      <c r="I63" s="61">
        <f t="shared" si="17"/>
        <v>44.050151292728955</v>
      </c>
      <c r="J63">
        <v>1024.4000000000001</v>
      </c>
    </row>
    <row r="64" spans="1:10" x14ac:dyDescent="0.25">
      <c r="A64" s="57">
        <f t="shared" si="19"/>
        <v>39275</v>
      </c>
      <c r="B64" s="58" t="s">
        <v>4</v>
      </c>
      <c r="C64">
        <v>1475.2</v>
      </c>
      <c r="D64">
        <v>789.1</v>
      </c>
      <c r="E64">
        <v>8232</v>
      </c>
      <c r="F64">
        <v>5896.9</v>
      </c>
      <c r="G64" s="60">
        <f t="shared" ref="G64:H66" si="20">+C64+E64</f>
        <v>9707.2000000000007</v>
      </c>
      <c r="H64" s="60">
        <f t="shared" si="20"/>
        <v>6686</v>
      </c>
      <c r="I64" s="61">
        <f t="shared" si="17"/>
        <v>45.1869578223153</v>
      </c>
      <c r="J64">
        <v>1125.0999999999999</v>
      </c>
    </row>
    <row r="65" spans="1:10" x14ac:dyDescent="0.25">
      <c r="A65" s="57">
        <f t="shared" si="19"/>
        <v>39282</v>
      </c>
      <c r="B65" s="58" t="s">
        <v>4</v>
      </c>
      <c r="C65">
        <v>1437.8</v>
      </c>
      <c r="D65">
        <v>887.2</v>
      </c>
      <c r="E65">
        <v>8288.4</v>
      </c>
      <c r="F65">
        <v>5953.5</v>
      </c>
      <c r="G65" s="60">
        <f t="shared" si="20"/>
        <v>9726.1999999999989</v>
      </c>
      <c r="H65" s="60">
        <f t="shared" si="20"/>
        <v>6840.7</v>
      </c>
      <c r="I65" s="61">
        <f t="shared" ref="I65:I70" si="21">+(G65/H65-1)*100</f>
        <v>42.181355709211047</v>
      </c>
      <c r="J65">
        <v>1196</v>
      </c>
    </row>
    <row r="66" spans="1:10" x14ac:dyDescent="0.25">
      <c r="A66" s="57">
        <f t="shared" si="19"/>
        <v>39289</v>
      </c>
      <c r="B66" s="58" t="s">
        <v>4</v>
      </c>
      <c r="C66">
        <v>1380.3</v>
      </c>
      <c r="D66">
        <v>1058.2</v>
      </c>
      <c r="E66">
        <v>8408.2999999999993</v>
      </c>
      <c r="F66">
        <v>5990.2</v>
      </c>
      <c r="G66" s="60">
        <f t="shared" si="20"/>
        <v>9788.5999999999985</v>
      </c>
      <c r="H66" s="60">
        <f t="shared" si="20"/>
        <v>7048.4</v>
      </c>
      <c r="I66" s="61">
        <f t="shared" si="21"/>
        <v>38.876908234492923</v>
      </c>
      <c r="J66">
        <v>1341.7</v>
      </c>
    </row>
    <row r="67" spans="1:10" x14ac:dyDescent="0.25">
      <c r="A67" s="57">
        <f t="shared" si="19"/>
        <v>39296</v>
      </c>
      <c r="B67" s="58" t="s">
        <v>4</v>
      </c>
      <c r="C67">
        <v>1335.9</v>
      </c>
      <c r="D67">
        <v>1000.9</v>
      </c>
      <c r="E67">
        <v>8549.2999999999993</v>
      </c>
      <c r="F67">
        <v>6143.8</v>
      </c>
      <c r="G67" s="60">
        <f t="shared" ref="G67:H69" si="22">+C67+E67</f>
        <v>9885.1999999999989</v>
      </c>
      <c r="H67" s="60">
        <f t="shared" si="22"/>
        <v>7144.7</v>
      </c>
      <c r="I67" s="61">
        <f t="shared" si="21"/>
        <v>38.357103867202255</v>
      </c>
      <c r="J67">
        <v>1523.1</v>
      </c>
    </row>
    <row r="68" spans="1:10" x14ac:dyDescent="0.25">
      <c r="A68" s="57">
        <f t="shared" si="19"/>
        <v>39303</v>
      </c>
      <c r="B68" s="58" t="s">
        <v>4</v>
      </c>
      <c r="C68">
        <v>1321.1</v>
      </c>
      <c r="D68">
        <v>851.8</v>
      </c>
      <c r="E68">
        <v>8583.6</v>
      </c>
      <c r="F68">
        <v>6230.5</v>
      </c>
      <c r="G68" s="60">
        <f t="shared" si="22"/>
        <v>9904.7000000000007</v>
      </c>
      <c r="H68" s="60">
        <f t="shared" si="22"/>
        <v>7082.3</v>
      </c>
      <c r="I68" s="61">
        <f t="shared" si="21"/>
        <v>39.851460683676223</v>
      </c>
      <c r="J68">
        <v>1841.4</v>
      </c>
    </row>
    <row r="69" spans="1:10" x14ac:dyDescent="0.25">
      <c r="A69" s="57">
        <f t="shared" ref="A69:A74" si="23">+A68+7</f>
        <v>39310</v>
      </c>
      <c r="B69" s="58" t="s">
        <v>4</v>
      </c>
      <c r="C69">
        <v>1083.9000000000001</v>
      </c>
      <c r="D69">
        <v>896</v>
      </c>
      <c r="E69">
        <v>8759.2999999999993</v>
      </c>
      <c r="F69">
        <v>6319.9</v>
      </c>
      <c r="G69" s="60">
        <f t="shared" si="22"/>
        <v>9843.1999999999989</v>
      </c>
      <c r="H69" s="60">
        <f t="shared" si="22"/>
        <v>7215.9</v>
      </c>
      <c r="I69" s="61">
        <f t="shared" si="21"/>
        <v>36.409872642359218</v>
      </c>
      <c r="J69">
        <v>1968.3</v>
      </c>
    </row>
    <row r="70" spans="1:10" x14ac:dyDescent="0.25">
      <c r="A70" s="57">
        <f t="shared" si="23"/>
        <v>39317</v>
      </c>
      <c r="B70" s="58" t="s">
        <v>4</v>
      </c>
      <c r="C70">
        <v>892.2</v>
      </c>
      <c r="D70">
        <v>455.6</v>
      </c>
      <c r="E70">
        <v>8873.7000000000007</v>
      </c>
      <c r="F70">
        <v>6550.2</v>
      </c>
      <c r="G70" s="60">
        <f t="shared" ref="G70:H72" si="24">+C70+E70</f>
        <v>9765.9000000000015</v>
      </c>
      <c r="H70" s="60">
        <f t="shared" si="24"/>
        <v>7005.8</v>
      </c>
      <c r="I70" s="61">
        <f t="shared" si="21"/>
        <v>39.397356476062704</v>
      </c>
      <c r="J70">
        <v>2021.1</v>
      </c>
    </row>
    <row r="71" spans="1:10" x14ac:dyDescent="0.25">
      <c r="A71" s="57">
        <f t="shared" si="23"/>
        <v>39324</v>
      </c>
      <c r="B71" s="58" t="s">
        <v>4</v>
      </c>
      <c r="C71">
        <v>731.7</v>
      </c>
      <c r="D71">
        <v>382.9</v>
      </c>
      <c r="E71">
        <v>9071.9</v>
      </c>
      <c r="F71">
        <v>6653.1</v>
      </c>
      <c r="G71" s="60">
        <f t="shared" si="24"/>
        <v>9803.6</v>
      </c>
      <c r="H71" s="60">
        <f t="shared" si="24"/>
        <v>7036</v>
      </c>
      <c r="I71" s="61">
        <f t="shared" ref="I71:I76" si="25">+(G71/H71-1)*100</f>
        <v>39.33484934621945</v>
      </c>
      <c r="J71">
        <v>2211.1</v>
      </c>
    </row>
    <row r="72" spans="1:10" x14ac:dyDescent="0.25">
      <c r="A72" s="74">
        <f t="shared" si="23"/>
        <v>39331</v>
      </c>
      <c r="B72" s="75" t="s">
        <v>4</v>
      </c>
      <c r="C72">
        <v>2891.7</v>
      </c>
      <c r="D72">
        <v>1800.8</v>
      </c>
      <c r="E72">
        <v>123.3</v>
      </c>
      <c r="F72">
        <v>225.1</v>
      </c>
      <c r="G72" s="60">
        <f t="shared" si="24"/>
        <v>3015</v>
      </c>
      <c r="H72" s="60">
        <f t="shared" si="24"/>
        <v>2025.8999999999999</v>
      </c>
      <c r="I72" s="61">
        <f t="shared" si="25"/>
        <v>48.822745446468254</v>
      </c>
    </row>
    <row r="73" spans="1:10" x14ac:dyDescent="0.25">
      <c r="A73" s="57">
        <f t="shared" si="23"/>
        <v>39338</v>
      </c>
      <c r="B73" s="58" t="s">
        <v>4</v>
      </c>
      <c r="C73">
        <v>3548.2</v>
      </c>
      <c r="D73">
        <v>2019.9</v>
      </c>
      <c r="E73">
        <v>232.8</v>
      </c>
      <c r="F73">
        <v>399.4</v>
      </c>
      <c r="G73" s="60">
        <f t="shared" ref="G73:H75" si="26">+C73+E73</f>
        <v>3781</v>
      </c>
      <c r="H73" s="60">
        <f t="shared" si="26"/>
        <v>2419.3000000000002</v>
      </c>
      <c r="I73" s="61">
        <f t="shared" si="25"/>
        <v>56.284875790517908</v>
      </c>
    </row>
    <row r="74" spans="1:10" x14ac:dyDescent="0.25">
      <c r="A74" s="57">
        <f t="shared" si="23"/>
        <v>39345</v>
      </c>
      <c r="B74" s="58" t="s">
        <v>4</v>
      </c>
      <c r="C74">
        <v>3728.8</v>
      </c>
      <c r="D74">
        <v>1917.1</v>
      </c>
      <c r="E74">
        <v>474.7</v>
      </c>
      <c r="F74">
        <v>619.29999999999995</v>
      </c>
      <c r="G74" s="60">
        <f t="shared" si="26"/>
        <v>4203.5</v>
      </c>
      <c r="H74" s="60">
        <f t="shared" si="26"/>
        <v>2536.3999999999996</v>
      </c>
      <c r="I74" s="61">
        <f t="shared" si="25"/>
        <v>65.727014666456427</v>
      </c>
    </row>
    <row r="75" spans="1:10" x14ac:dyDescent="0.25">
      <c r="A75" s="57">
        <f t="shared" ref="A75:A80" si="27">+A74+7</f>
        <v>39352</v>
      </c>
      <c r="B75" s="58" t="s">
        <v>4</v>
      </c>
      <c r="C75">
        <v>3492.1</v>
      </c>
      <c r="D75">
        <v>2013.2</v>
      </c>
      <c r="E75">
        <v>712.1</v>
      </c>
      <c r="F75">
        <v>856.5</v>
      </c>
      <c r="G75" s="60">
        <f t="shared" si="26"/>
        <v>4204.2</v>
      </c>
      <c r="H75" s="60">
        <f t="shared" si="26"/>
        <v>2869.7</v>
      </c>
      <c r="I75" s="61">
        <f t="shared" si="25"/>
        <v>46.503118792905184</v>
      </c>
    </row>
    <row r="76" spans="1:10" x14ac:dyDescent="0.25">
      <c r="A76" s="57">
        <f t="shared" si="27"/>
        <v>39359</v>
      </c>
      <c r="B76" s="58" t="s">
        <v>4</v>
      </c>
      <c r="C76">
        <v>3555</v>
      </c>
      <c r="D76">
        <v>1953.3</v>
      </c>
      <c r="E76">
        <v>941.4</v>
      </c>
      <c r="F76">
        <v>1109.9000000000001</v>
      </c>
      <c r="G76" s="60">
        <f t="shared" ref="G76:H78" si="28">+C76+E76</f>
        <v>4496.3999999999996</v>
      </c>
      <c r="H76" s="60">
        <f t="shared" si="28"/>
        <v>3063.2</v>
      </c>
      <c r="I76" s="61">
        <f t="shared" si="25"/>
        <v>46.787673021676682</v>
      </c>
    </row>
    <row r="77" spans="1:10" x14ac:dyDescent="0.25">
      <c r="A77" s="57">
        <f t="shared" si="27"/>
        <v>39366</v>
      </c>
      <c r="B77" s="58" t="s">
        <v>4</v>
      </c>
      <c r="C77">
        <v>3671.7</v>
      </c>
      <c r="D77">
        <v>1924.7</v>
      </c>
      <c r="E77">
        <v>1109</v>
      </c>
      <c r="F77">
        <v>1254.9000000000001</v>
      </c>
      <c r="G77" s="60">
        <f t="shared" si="28"/>
        <v>4780.7</v>
      </c>
      <c r="H77" s="60">
        <f t="shared" si="28"/>
        <v>3179.6000000000004</v>
      </c>
      <c r="I77" s="61">
        <f t="shared" ref="I77:I82" si="29">+(G77/H77-1)*100</f>
        <v>50.355390615171693</v>
      </c>
    </row>
    <row r="78" spans="1:10" x14ac:dyDescent="0.25">
      <c r="A78" s="57">
        <f t="shared" si="27"/>
        <v>39373</v>
      </c>
      <c r="B78" s="58" t="s">
        <v>4</v>
      </c>
      <c r="C78">
        <v>3590.1</v>
      </c>
      <c r="D78">
        <v>2202.4</v>
      </c>
      <c r="E78">
        <v>1290.0999999999999</v>
      </c>
      <c r="F78">
        <v>1410.2</v>
      </c>
      <c r="G78" s="60">
        <f t="shared" si="28"/>
        <v>4880.2</v>
      </c>
      <c r="H78" s="60">
        <f t="shared" si="28"/>
        <v>3612.6000000000004</v>
      </c>
      <c r="I78" s="61">
        <f t="shared" si="29"/>
        <v>35.088302053922369</v>
      </c>
    </row>
    <row r="79" spans="1:10" x14ac:dyDescent="0.25">
      <c r="A79" s="57">
        <f t="shared" si="27"/>
        <v>39380</v>
      </c>
      <c r="B79" s="58" t="s">
        <v>4</v>
      </c>
      <c r="C79">
        <v>3443.3</v>
      </c>
      <c r="D79">
        <v>2146.6</v>
      </c>
      <c r="E79">
        <v>1500.7</v>
      </c>
      <c r="F79">
        <v>1623.1</v>
      </c>
      <c r="G79" s="60">
        <f t="shared" ref="G79:H81" si="30">+C79+E79</f>
        <v>4944</v>
      </c>
      <c r="H79" s="60">
        <f t="shared" si="30"/>
        <v>3769.7</v>
      </c>
      <c r="I79" s="61">
        <f t="shared" si="29"/>
        <v>31.15101997506433</v>
      </c>
    </row>
    <row r="80" spans="1:10" x14ac:dyDescent="0.25">
      <c r="A80" s="57">
        <f t="shared" si="27"/>
        <v>39387</v>
      </c>
      <c r="B80" s="58" t="s">
        <v>4</v>
      </c>
      <c r="C80">
        <v>3370.7</v>
      </c>
      <c r="D80">
        <v>2202.1999999999998</v>
      </c>
      <c r="E80">
        <v>1762.4</v>
      </c>
      <c r="F80">
        <v>1871.7</v>
      </c>
      <c r="G80" s="60">
        <f t="shared" si="30"/>
        <v>5133.1000000000004</v>
      </c>
      <c r="H80" s="60">
        <f t="shared" si="30"/>
        <v>4073.8999999999996</v>
      </c>
      <c r="I80" s="61">
        <f t="shared" si="29"/>
        <v>25.999656348953117</v>
      </c>
    </row>
    <row r="81" spans="1:10" x14ac:dyDescent="0.25">
      <c r="A81" s="57">
        <f t="shared" ref="A81:A86" si="31">+A80+7</f>
        <v>39394</v>
      </c>
      <c r="B81" s="58" t="s">
        <v>4</v>
      </c>
      <c r="C81">
        <v>3192.7</v>
      </c>
      <c r="D81">
        <v>2226.6999999999998</v>
      </c>
      <c r="E81">
        <v>1965.1</v>
      </c>
      <c r="F81">
        <v>2102.1</v>
      </c>
      <c r="G81" s="60">
        <f t="shared" si="30"/>
        <v>5157.7999999999993</v>
      </c>
      <c r="H81" s="60">
        <f t="shared" si="30"/>
        <v>4328.7999999999993</v>
      </c>
      <c r="I81" s="61">
        <f t="shared" si="29"/>
        <v>19.150803917944927</v>
      </c>
    </row>
    <row r="82" spans="1:10" x14ac:dyDescent="0.25">
      <c r="A82" s="57">
        <f t="shared" si="31"/>
        <v>39401</v>
      </c>
      <c r="B82" s="58" t="s">
        <v>4</v>
      </c>
      <c r="C82">
        <v>3112.7</v>
      </c>
      <c r="D82">
        <v>2121.1999999999998</v>
      </c>
      <c r="E82">
        <v>2095.5</v>
      </c>
      <c r="F82">
        <v>2328.6</v>
      </c>
      <c r="G82" s="60">
        <f t="shared" ref="G82:H84" si="32">+C82+E82</f>
        <v>5208.2</v>
      </c>
      <c r="H82" s="60">
        <f t="shared" si="32"/>
        <v>4449.7999999999993</v>
      </c>
      <c r="I82" s="61">
        <f t="shared" si="29"/>
        <v>17.043462627533845</v>
      </c>
    </row>
    <row r="83" spans="1:10" x14ac:dyDescent="0.25">
      <c r="A83" s="57">
        <f t="shared" si="31"/>
        <v>39408</v>
      </c>
      <c r="B83" s="58" t="s">
        <v>4</v>
      </c>
      <c r="C83">
        <v>2995.7</v>
      </c>
      <c r="D83">
        <v>2066.9</v>
      </c>
      <c r="E83">
        <v>2296.6</v>
      </c>
      <c r="F83">
        <v>2489.1</v>
      </c>
      <c r="G83" s="60">
        <f t="shared" si="32"/>
        <v>5292.2999999999993</v>
      </c>
      <c r="H83" s="60">
        <f t="shared" si="32"/>
        <v>4556</v>
      </c>
      <c r="I83" s="61">
        <f t="shared" ref="I83:I88" si="33">+(G83/H83-1)*100</f>
        <v>16.16110623353817</v>
      </c>
    </row>
    <row r="84" spans="1:10" x14ac:dyDescent="0.25">
      <c r="A84" s="57">
        <f t="shared" si="31"/>
        <v>39415</v>
      </c>
      <c r="B84" s="58" t="s">
        <v>4</v>
      </c>
      <c r="C84">
        <v>2827.1</v>
      </c>
      <c r="D84">
        <v>1906.5</v>
      </c>
      <c r="E84">
        <v>2512.1</v>
      </c>
      <c r="F84">
        <v>2753.7</v>
      </c>
      <c r="G84" s="60">
        <f t="shared" si="32"/>
        <v>5339.2</v>
      </c>
      <c r="H84" s="60">
        <f t="shared" si="32"/>
        <v>4660.2</v>
      </c>
      <c r="I84" s="61">
        <f t="shared" si="33"/>
        <v>14.570190120595683</v>
      </c>
    </row>
    <row r="85" spans="1:10" x14ac:dyDescent="0.25">
      <c r="A85" s="57">
        <f t="shared" si="31"/>
        <v>39422</v>
      </c>
      <c r="B85" s="58" t="s">
        <v>4</v>
      </c>
      <c r="C85">
        <v>3093.1</v>
      </c>
      <c r="D85">
        <v>1744.5</v>
      </c>
      <c r="E85">
        <v>2658.3</v>
      </c>
      <c r="F85">
        <v>3074.6</v>
      </c>
      <c r="G85" s="60">
        <f t="shared" ref="G85:H87" si="34">+C85+E85</f>
        <v>5751.4</v>
      </c>
      <c r="H85" s="60">
        <f t="shared" si="34"/>
        <v>4819.1000000000004</v>
      </c>
      <c r="I85" s="61">
        <f t="shared" si="33"/>
        <v>19.345935963146623</v>
      </c>
    </row>
    <row r="86" spans="1:10" x14ac:dyDescent="0.25">
      <c r="A86" s="57">
        <f t="shared" si="31"/>
        <v>39429</v>
      </c>
      <c r="B86" s="58" t="s">
        <v>4</v>
      </c>
      <c r="C86">
        <v>3093.1</v>
      </c>
      <c r="D86">
        <v>1625.6</v>
      </c>
      <c r="E86">
        <v>2799.9</v>
      </c>
      <c r="F86">
        <v>3306.6</v>
      </c>
      <c r="G86" s="60">
        <f t="shared" si="34"/>
        <v>5893</v>
      </c>
      <c r="H86" s="60">
        <f t="shared" si="34"/>
        <v>4932.2</v>
      </c>
      <c r="I86" s="61">
        <f t="shared" si="33"/>
        <v>19.480150845464507</v>
      </c>
      <c r="J86">
        <v>265.2</v>
      </c>
    </row>
    <row r="87" spans="1:10" x14ac:dyDescent="0.25">
      <c r="A87" s="57">
        <f t="shared" ref="A87:A92" si="35">+A86+7</f>
        <v>39436</v>
      </c>
      <c r="B87" s="58" t="s">
        <v>4</v>
      </c>
      <c r="C87">
        <v>3099.4</v>
      </c>
      <c r="D87">
        <v>1426.7</v>
      </c>
      <c r="E87">
        <v>2980.1</v>
      </c>
      <c r="F87">
        <v>3667.1</v>
      </c>
      <c r="G87" s="60">
        <f t="shared" si="34"/>
        <v>6079.5</v>
      </c>
      <c r="H87" s="60">
        <f t="shared" si="34"/>
        <v>5093.8</v>
      </c>
      <c r="I87" s="61">
        <f t="shared" si="33"/>
        <v>19.350975695944083</v>
      </c>
      <c r="J87">
        <v>265.2</v>
      </c>
    </row>
    <row r="88" spans="1:10" x14ac:dyDescent="0.25">
      <c r="A88" s="57">
        <f t="shared" si="35"/>
        <v>39443</v>
      </c>
      <c r="B88" s="58" t="s">
        <v>4</v>
      </c>
      <c r="C88">
        <v>3009.1</v>
      </c>
      <c r="D88">
        <v>1203.9000000000001</v>
      </c>
      <c r="E88">
        <v>3139.4</v>
      </c>
      <c r="F88">
        <v>4022.1</v>
      </c>
      <c r="G88" s="60">
        <f t="shared" ref="G88:H90" si="36">+C88+E88</f>
        <v>6148.5</v>
      </c>
      <c r="H88" s="60">
        <f t="shared" si="36"/>
        <v>5226</v>
      </c>
      <c r="I88" s="61">
        <f t="shared" si="33"/>
        <v>17.652123995407585</v>
      </c>
      <c r="J88">
        <v>265.2</v>
      </c>
    </row>
    <row r="89" spans="1:10" x14ac:dyDescent="0.25">
      <c r="A89" s="57">
        <f t="shared" si="35"/>
        <v>39450</v>
      </c>
      <c r="B89" s="58" t="s">
        <v>4</v>
      </c>
      <c r="C89">
        <v>3024.4</v>
      </c>
      <c r="D89">
        <v>1376.1</v>
      </c>
      <c r="E89">
        <v>3262.6</v>
      </c>
      <c r="F89">
        <v>4131.1000000000004</v>
      </c>
      <c r="G89" s="60">
        <f t="shared" si="36"/>
        <v>6287</v>
      </c>
      <c r="H89" s="60">
        <f t="shared" si="36"/>
        <v>5507.2000000000007</v>
      </c>
      <c r="I89" s="61">
        <f t="shared" ref="I89:I94" si="37">+(G89/H89-1)*100</f>
        <v>14.159645554909916</v>
      </c>
      <c r="J89">
        <v>265.2</v>
      </c>
    </row>
    <row r="90" spans="1:10" x14ac:dyDescent="0.25">
      <c r="A90" s="57">
        <f t="shared" si="35"/>
        <v>39457</v>
      </c>
      <c r="B90" s="58" t="s">
        <v>4</v>
      </c>
      <c r="C90">
        <v>2938.6</v>
      </c>
      <c r="D90">
        <v>1452.4</v>
      </c>
      <c r="E90">
        <v>3396.4</v>
      </c>
      <c r="F90">
        <v>4202.5</v>
      </c>
      <c r="G90" s="60">
        <f t="shared" si="36"/>
        <v>6335</v>
      </c>
      <c r="H90" s="60">
        <f t="shared" si="36"/>
        <v>5654.9</v>
      </c>
      <c r="I90" s="61">
        <f t="shared" si="37"/>
        <v>12.026737873348781</v>
      </c>
      <c r="J90">
        <v>265.2</v>
      </c>
    </row>
    <row r="91" spans="1:10" x14ac:dyDescent="0.25">
      <c r="A91" s="57">
        <f t="shared" si="35"/>
        <v>39464</v>
      </c>
      <c r="B91" s="58" t="s">
        <v>4</v>
      </c>
      <c r="C91">
        <v>2910.5</v>
      </c>
      <c r="D91">
        <v>1632.6</v>
      </c>
      <c r="E91">
        <v>3606.3</v>
      </c>
      <c r="F91">
        <v>4232.6000000000004</v>
      </c>
      <c r="G91" s="60">
        <f t="shared" ref="G91:H93" si="38">+C91+E91</f>
        <v>6516.8</v>
      </c>
      <c r="H91" s="60">
        <f t="shared" si="38"/>
        <v>5865.2000000000007</v>
      </c>
      <c r="I91" s="61">
        <f t="shared" si="37"/>
        <v>11.109595580713339</v>
      </c>
      <c r="J91">
        <v>265.2</v>
      </c>
    </row>
    <row r="92" spans="1:10" x14ac:dyDescent="0.25">
      <c r="A92" s="57">
        <f t="shared" si="35"/>
        <v>39471</v>
      </c>
      <c r="B92" s="58" t="s">
        <v>4</v>
      </c>
      <c r="C92">
        <v>2908.4</v>
      </c>
      <c r="D92">
        <v>1659.2</v>
      </c>
      <c r="E92">
        <v>3807.9</v>
      </c>
      <c r="F92">
        <v>4322</v>
      </c>
      <c r="G92" s="60">
        <f t="shared" si="38"/>
        <v>6716.3</v>
      </c>
      <c r="H92" s="60">
        <f t="shared" si="38"/>
        <v>5981.2</v>
      </c>
      <c r="I92" s="61">
        <f t="shared" si="37"/>
        <v>12.290175884437904</v>
      </c>
      <c r="J92">
        <v>265.2</v>
      </c>
    </row>
    <row r="93" spans="1:10" x14ac:dyDescent="0.25">
      <c r="A93" s="57">
        <f t="shared" ref="A93:A98" si="39">+A92+7</f>
        <v>39478</v>
      </c>
      <c r="B93" s="58" t="s">
        <v>4</v>
      </c>
      <c r="C93">
        <v>2781.5</v>
      </c>
      <c r="D93">
        <v>1846.6</v>
      </c>
      <c r="E93">
        <v>4002.8</v>
      </c>
      <c r="F93">
        <v>4448.7</v>
      </c>
      <c r="G93" s="60">
        <f t="shared" si="38"/>
        <v>6784.3</v>
      </c>
      <c r="H93" s="60">
        <f t="shared" si="38"/>
        <v>6295.2999999999993</v>
      </c>
      <c r="I93" s="61">
        <f t="shared" si="37"/>
        <v>7.767699712483922</v>
      </c>
      <c r="J93">
        <v>265.2</v>
      </c>
    </row>
    <row r="94" spans="1:10" x14ac:dyDescent="0.25">
      <c r="A94" s="57">
        <f t="shared" si="39"/>
        <v>39485</v>
      </c>
      <c r="B94" s="58" t="s">
        <v>4</v>
      </c>
      <c r="C94">
        <v>2685.6</v>
      </c>
      <c r="D94">
        <v>1943.6</v>
      </c>
      <c r="E94">
        <v>4148.2</v>
      </c>
      <c r="F94">
        <v>4537.3</v>
      </c>
      <c r="G94" s="60">
        <f t="shared" ref="G94:H96" si="40">+C94+E94</f>
        <v>6833.7999999999993</v>
      </c>
      <c r="H94" s="60">
        <f t="shared" si="40"/>
        <v>6480.9</v>
      </c>
      <c r="I94" s="61">
        <f t="shared" si="37"/>
        <v>5.4452313721859547</v>
      </c>
      <c r="J94">
        <v>265.2</v>
      </c>
    </row>
    <row r="95" spans="1:10" x14ac:dyDescent="0.25">
      <c r="A95" s="57">
        <f t="shared" si="39"/>
        <v>39492</v>
      </c>
      <c r="B95" s="58" t="s">
        <v>4</v>
      </c>
      <c r="C95">
        <v>2623.4</v>
      </c>
      <c r="D95">
        <v>2252.8000000000002</v>
      </c>
      <c r="E95">
        <v>4387.8999999999996</v>
      </c>
      <c r="F95">
        <v>4615.1000000000004</v>
      </c>
      <c r="G95" s="60">
        <f t="shared" si="40"/>
        <v>7011.2999999999993</v>
      </c>
      <c r="H95" s="60">
        <f t="shared" si="40"/>
        <v>6867.9000000000005</v>
      </c>
      <c r="I95" s="61">
        <f t="shared" ref="I95:I100" si="41">+(G95/H95-1)*100</f>
        <v>2.0879744900187625</v>
      </c>
      <c r="J95">
        <v>319</v>
      </c>
    </row>
    <row r="96" spans="1:10" x14ac:dyDescent="0.25">
      <c r="A96" s="57">
        <f t="shared" si="39"/>
        <v>39499</v>
      </c>
      <c r="B96" s="58" t="s">
        <v>4</v>
      </c>
      <c r="C96">
        <v>2504.8000000000002</v>
      </c>
      <c r="D96">
        <v>2146.5</v>
      </c>
      <c r="E96">
        <v>4515.6000000000004</v>
      </c>
      <c r="F96">
        <v>4778.3999999999996</v>
      </c>
      <c r="G96" s="60">
        <f t="shared" si="40"/>
        <v>7020.4000000000005</v>
      </c>
      <c r="H96" s="60">
        <f t="shared" si="40"/>
        <v>6924.9</v>
      </c>
      <c r="I96" s="61">
        <f t="shared" si="41"/>
        <v>1.3790812863723856</v>
      </c>
      <c r="J96">
        <v>319</v>
      </c>
    </row>
    <row r="97" spans="1:10" x14ac:dyDescent="0.25">
      <c r="A97" s="57">
        <f t="shared" si="39"/>
        <v>39506</v>
      </c>
      <c r="B97" s="58" t="s">
        <v>4</v>
      </c>
      <c r="C97">
        <v>2418</v>
      </c>
      <c r="D97">
        <v>2524.8000000000002</v>
      </c>
      <c r="E97">
        <v>4725.3</v>
      </c>
      <c r="F97">
        <v>5031.1000000000004</v>
      </c>
      <c r="G97" s="60">
        <f t="shared" ref="G97:H99" si="42">+C97+E97</f>
        <v>7143.3</v>
      </c>
      <c r="H97" s="60">
        <f t="shared" si="42"/>
        <v>7555.9000000000005</v>
      </c>
      <c r="I97" s="61">
        <f t="shared" si="41"/>
        <v>-5.4606334123003304</v>
      </c>
      <c r="J97">
        <v>331</v>
      </c>
    </row>
    <row r="98" spans="1:10" x14ac:dyDescent="0.25">
      <c r="A98" s="57">
        <f t="shared" si="39"/>
        <v>39513</v>
      </c>
      <c r="B98" s="58" t="s">
        <v>4</v>
      </c>
      <c r="C98">
        <v>2418</v>
      </c>
      <c r="D98">
        <v>2524.8000000000002</v>
      </c>
      <c r="E98">
        <v>4725.3</v>
      </c>
      <c r="F98">
        <v>5031.1000000000004</v>
      </c>
      <c r="G98" s="60">
        <f t="shared" si="42"/>
        <v>7143.3</v>
      </c>
      <c r="H98" s="60">
        <f t="shared" si="42"/>
        <v>7555.9000000000005</v>
      </c>
      <c r="I98" s="61">
        <f t="shared" si="41"/>
        <v>-5.4606334123003304</v>
      </c>
      <c r="J98">
        <v>331</v>
      </c>
    </row>
    <row r="99" spans="1:10" x14ac:dyDescent="0.25">
      <c r="A99" s="57">
        <f t="shared" ref="A99:A104" si="43">+A98+7</f>
        <v>39520</v>
      </c>
      <c r="B99" s="58" t="s">
        <v>4</v>
      </c>
      <c r="C99">
        <v>2363.6</v>
      </c>
      <c r="D99">
        <v>2347.6999999999998</v>
      </c>
      <c r="E99">
        <v>5060.3999999999996</v>
      </c>
      <c r="F99">
        <v>5450.1</v>
      </c>
      <c r="G99" s="60">
        <f t="shared" si="42"/>
        <v>7424</v>
      </c>
      <c r="H99" s="60">
        <f t="shared" si="42"/>
        <v>7797.8</v>
      </c>
      <c r="I99" s="61">
        <f t="shared" si="41"/>
        <v>-4.7936597501859524</v>
      </c>
      <c r="J99">
        <v>433.2</v>
      </c>
    </row>
    <row r="100" spans="1:10" x14ac:dyDescent="0.25">
      <c r="A100" s="57">
        <f t="shared" si="43"/>
        <v>39527</v>
      </c>
      <c r="B100" s="58" t="s">
        <v>4</v>
      </c>
      <c r="C100">
        <v>2241.3000000000002</v>
      </c>
      <c r="D100">
        <v>2482</v>
      </c>
      <c r="E100">
        <v>5264</v>
      </c>
      <c r="F100">
        <v>5644.5</v>
      </c>
      <c r="G100" s="60">
        <f t="shared" ref="G100:H102" si="44">+C100+E100</f>
        <v>7505.3</v>
      </c>
      <c r="H100" s="60">
        <f t="shared" si="44"/>
        <v>8126.5</v>
      </c>
      <c r="I100" s="61">
        <f t="shared" si="41"/>
        <v>-7.6441272380483589</v>
      </c>
      <c r="J100">
        <v>433.2</v>
      </c>
    </row>
    <row r="101" spans="1:10" x14ac:dyDescent="0.25">
      <c r="A101" s="57">
        <f t="shared" si="43"/>
        <v>39534</v>
      </c>
      <c r="B101" s="58" t="s">
        <v>4</v>
      </c>
      <c r="C101">
        <v>2146.3000000000002</v>
      </c>
      <c r="D101">
        <v>2412.1</v>
      </c>
      <c r="E101">
        <v>5391.6</v>
      </c>
      <c r="F101">
        <v>5894.7</v>
      </c>
      <c r="G101" s="60">
        <f t="shared" si="44"/>
        <v>7537.9000000000005</v>
      </c>
      <c r="H101" s="60">
        <f t="shared" si="44"/>
        <v>8306.7999999999993</v>
      </c>
      <c r="I101" s="61">
        <f t="shared" ref="I101:I106" si="45">+(G101/H101-1)*100</f>
        <v>-9.2562719699523122</v>
      </c>
      <c r="J101">
        <v>470</v>
      </c>
    </row>
    <row r="102" spans="1:10" x14ac:dyDescent="0.25">
      <c r="A102" s="57">
        <f t="shared" si="43"/>
        <v>39541</v>
      </c>
      <c r="B102" s="58" t="s">
        <v>4</v>
      </c>
      <c r="C102">
        <v>2054</v>
      </c>
      <c r="D102">
        <v>2684.1</v>
      </c>
      <c r="E102">
        <v>5507.8</v>
      </c>
      <c r="F102">
        <v>6026</v>
      </c>
      <c r="G102" s="60">
        <f t="shared" si="44"/>
        <v>7561.8</v>
      </c>
      <c r="H102" s="60">
        <f t="shared" si="44"/>
        <v>8710.1</v>
      </c>
      <c r="I102" s="61">
        <f t="shared" si="45"/>
        <v>-13.183545539086804</v>
      </c>
      <c r="J102">
        <v>470</v>
      </c>
    </row>
    <row r="103" spans="1:10" x14ac:dyDescent="0.25">
      <c r="A103" s="57">
        <f t="shared" si="43"/>
        <v>39548</v>
      </c>
      <c r="B103" s="58" t="s">
        <v>4</v>
      </c>
      <c r="C103">
        <v>2040.3</v>
      </c>
      <c r="D103">
        <v>2703.4</v>
      </c>
      <c r="E103">
        <v>5637.5</v>
      </c>
      <c r="F103">
        <v>6233.5</v>
      </c>
      <c r="G103" s="60">
        <f t="shared" ref="G103:H105" si="46">+C103+E103</f>
        <v>7677.8</v>
      </c>
      <c r="H103" s="60">
        <f t="shared" si="46"/>
        <v>8936.9</v>
      </c>
      <c r="I103" s="61">
        <f t="shared" si="45"/>
        <v>-14.088777987892886</v>
      </c>
      <c r="J103">
        <v>470</v>
      </c>
    </row>
    <row r="104" spans="1:10" x14ac:dyDescent="0.25">
      <c r="A104" s="57">
        <f t="shared" si="43"/>
        <v>39555</v>
      </c>
      <c r="B104" s="58" t="s">
        <v>4</v>
      </c>
      <c r="C104">
        <v>2033.1</v>
      </c>
      <c r="D104">
        <v>2642.9</v>
      </c>
      <c r="E104">
        <v>5821.8</v>
      </c>
      <c r="F104">
        <v>6445.6</v>
      </c>
      <c r="G104" s="60">
        <f t="shared" si="46"/>
        <v>7854.9</v>
      </c>
      <c r="H104" s="60">
        <f t="shared" si="46"/>
        <v>9088.5</v>
      </c>
      <c r="I104" s="61">
        <f t="shared" si="45"/>
        <v>-13.573196897177752</v>
      </c>
      <c r="J104">
        <v>564.5</v>
      </c>
    </row>
    <row r="105" spans="1:10" x14ac:dyDescent="0.25">
      <c r="A105" s="57">
        <f t="shared" ref="A105:A111" si="47">+A104+7</f>
        <v>39562</v>
      </c>
      <c r="B105" s="58" t="s">
        <v>4</v>
      </c>
      <c r="C105">
        <v>2100.4</v>
      </c>
      <c r="D105">
        <v>2582.4</v>
      </c>
      <c r="E105">
        <v>5947.3</v>
      </c>
      <c r="F105">
        <v>6692.4</v>
      </c>
      <c r="G105" s="60">
        <f t="shared" si="46"/>
        <v>8047.7000000000007</v>
      </c>
      <c r="H105" s="60">
        <f t="shared" si="46"/>
        <v>9274.7999999999993</v>
      </c>
      <c r="I105" s="61">
        <f t="shared" si="45"/>
        <v>-13.230473972484569</v>
      </c>
      <c r="J105">
        <v>574.5</v>
      </c>
    </row>
    <row r="106" spans="1:10" x14ac:dyDescent="0.25">
      <c r="A106" s="57">
        <f t="shared" si="47"/>
        <v>39569</v>
      </c>
      <c r="B106" s="58" t="s">
        <v>4</v>
      </c>
      <c r="C106">
        <v>2051.6</v>
      </c>
      <c r="D106">
        <v>2545.1999999999998</v>
      </c>
      <c r="E106">
        <v>6098.4</v>
      </c>
      <c r="F106">
        <v>6833.5</v>
      </c>
      <c r="G106" s="60">
        <f t="shared" ref="G106:H108" si="48">+C106+E106</f>
        <v>8150</v>
      </c>
      <c r="H106" s="60">
        <f t="shared" si="48"/>
        <v>9378.7000000000007</v>
      </c>
      <c r="I106" s="61">
        <f t="shared" si="45"/>
        <v>-13.100962820007044</v>
      </c>
      <c r="J106">
        <v>636</v>
      </c>
    </row>
    <row r="107" spans="1:10" x14ac:dyDescent="0.25">
      <c r="A107" s="57">
        <f t="shared" si="47"/>
        <v>39576</v>
      </c>
      <c r="B107" s="58" t="s">
        <v>4</v>
      </c>
      <c r="C107">
        <v>1917.7</v>
      </c>
      <c r="D107">
        <v>2357.6</v>
      </c>
      <c r="E107">
        <v>6348</v>
      </c>
      <c r="F107">
        <v>7064.3</v>
      </c>
      <c r="G107" s="60">
        <f t="shared" si="48"/>
        <v>8265.7000000000007</v>
      </c>
      <c r="H107" s="60">
        <f t="shared" si="48"/>
        <v>9421.9</v>
      </c>
      <c r="I107" s="61">
        <f t="shared" ref="I107:I112" si="49">+(G107/H107-1)*100</f>
        <v>-12.271410225113822</v>
      </c>
      <c r="J107">
        <v>663.6</v>
      </c>
    </row>
    <row r="108" spans="1:10" x14ac:dyDescent="0.25">
      <c r="A108" s="57">
        <f t="shared" si="47"/>
        <v>39583</v>
      </c>
      <c r="B108" s="58" t="s">
        <v>4</v>
      </c>
      <c r="C108">
        <v>1951.6</v>
      </c>
      <c r="D108">
        <v>2054.4</v>
      </c>
      <c r="E108">
        <v>6480.6</v>
      </c>
      <c r="F108">
        <v>7234.8</v>
      </c>
      <c r="G108" s="60">
        <f t="shared" si="48"/>
        <v>8432.2000000000007</v>
      </c>
      <c r="H108" s="60">
        <f t="shared" si="48"/>
        <v>9289.2000000000007</v>
      </c>
      <c r="I108" s="61">
        <f t="shared" si="49"/>
        <v>-9.2257675580243674</v>
      </c>
      <c r="J108">
        <v>683.6</v>
      </c>
    </row>
    <row r="109" spans="1:10" x14ac:dyDescent="0.25">
      <c r="A109" s="57">
        <f t="shared" si="47"/>
        <v>39590</v>
      </c>
      <c r="B109" s="58" t="s">
        <v>4</v>
      </c>
      <c r="C109">
        <v>1873.3</v>
      </c>
      <c r="D109">
        <v>1851</v>
      </c>
      <c r="E109">
        <v>6633.9</v>
      </c>
      <c r="F109">
        <v>7491.1</v>
      </c>
      <c r="G109" s="60">
        <f t="shared" ref="G109:H111" si="50">+C109+E109</f>
        <v>8507.1999999999989</v>
      </c>
      <c r="H109" s="60">
        <f t="shared" si="50"/>
        <v>9342.1</v>
      </c>
      <c r="I109" s="61">
        <f t="shared" si="49"/>
        <v>-8.9369627813875034</v>
      </c>
      <c r="J109">
        <v>755.4</v>
      </c>
    </row>
    <row r="110" spans="1:10" x14ac:dyDescent="0.25">
      <c r="A110" s="57">
        <f t="shared" si="47"/>
        <v>39597</v>
      </c>
      <c r="B110" s="58" t="s">
        <v>4</v>
      </c>
      <c r="C110">
        <v>1696.8</v>
      </c>
      <c r="D110">
        <v>1628.6</v>
      </c>
      <c r="E110">
        <v>6834.5</v>
      </c>
      <c r="F110">
        <v>7721.4</v>
      </c>
      <c r="G110" s="60">
        <f t="shared" si="50"/>
        <v>8531.2999999999993</v>
      </c>
      <c r="H110" s="60">
        <f t="shared" si="50"/>
        <v>9350</v>
      </c>
      <c r="I110" s="61">
        <f t="shared" si="49"/>
        <v>-8.756149732620333</v>
      </c>
      <c r="J110">
        <v>755.4</v>
      </c>
    </row>
    <row r="111" spans="1:10" x14ac:dyDescent="0.25">
      <c r="A111" s="57">
        <f t="shared" si="47"/>
        <v>39604</v>
      </c>
      <c r="B111" s="58" t="s">
        <v>4</v>
      </c>
      <c r="C111">
        <v>1583.6</v>
      </c>
      <c r="D111">
        <v>1657.8</v>
      </c>
      <c r="E111">
        <v>7019.3</v>
      </c>
      <c r="F111">
        <v>7784.5</v>
      </c>
      <c r="G111" s="60">
        <f t="shared" si="50"/>
        <v>8602.9</v>
      </c>
      <c r="H111" s="60">
        <f t="shared" si="50"/>
        <v>9442.2999999999993</v>
      </c>
      <c r="I111" s="61">
        <f t="shared" si="49"/>
        <v>-8.8897832095993561</v>
      </c>
      <c r="J111">
        <v>785.7</v>
      </c>
    </row>
    <row r="112" spans="1:10" x14ac:dyDescent="0.25">
      <c r="A112" s="57">
        <f t="shared" ref="A112:A117" si="51">+A111+7</f>
        <v>39611</v>
      </c>
      <c r="B112" s="58" t="s">
        <v>4</v>
      </c>
      <c r="C112">
        <v>1490.9</v>
      </c>
      <c r="D112">
        <v>1639.8</v>
      </c>
      <c r="E112">
        <v>7123.6</v>
      </c>
      <c r="F112">
        <v>7858.9</v>
      </c>
      <c r="G112" s="60">
        <f t="shared" ref="G112:H114" si="52">+C112+E112</f>
        <v>8614.5</v>
      </c>
      <c r="H112" s="60">
        <f t="shared" si="52"/>
        <v>9498.6999999999989</v>
      </c>
      <c r="I112" s="61">
        <f t="shared" si="49"/>
        <v>-9.3086422352532399</v>
      </c>
      <c r="J112">
        <v>815.2</v>
      </c>
    </row>
    <row r="113" spans="1:11" x14ac:dyDescent="0.25">
      <c r="A113" s="57">
        <f t="shared" si="51"/>
        <v>39618</v>
      </c>
      <c r="B113" s="58" t="s">
        <v>4</v>
      </c>
      <c r="C113">
        <v>1418.3</v>
      </c>
      <c r="D113">
        <v>1494.2</v>
      </c>
      <c r="E113">
        <v>7249</v>
      </c>
      <c r="F113">
        <v>7937.2</v>
      </c>
      <c r="G113" s="60">
        <f t="shared" si="52"/>
        <v>8667.2999999999993</v>
      </c>
      <c r="H113" s="60">
        <f t="shared" si="52"/>
        <v>9431.4</v>
      </c>
      <c r="I113" s="61">
        <f t="shared" ref="I113:I118" si="53">+(G113/H113-1)*100</f>
        <v>-8.1016604109676251</v>
      </c>
      <c r="J113">
        <v>856.2</v>
      </c>
    </row>
    <row r="114" spans="1:11" x14ac:dyDescent="0.25">
      <c r="A114" s="57">
        <f t="shared" si="51"/>
        <v>39625</v>
      </c>
      <c r="B114" s="58" t="s">
        <v>4</v>
      </c>
      <c r="C114">
        <v>1289.9000000000001</v>
      </c>
      <c r="D114">
        <v>1512.8</v>
      </c>
      <c r="E114">
        <v>7401.1</v>
      </c>
      <c r="F114">
        <v>8067.1</v>
      </c>
      <c r="G114" s="60">
        <f t="shared" si="52"/>
        <v>8691</v>
      </c>
      <c r="H114" s="60">
        <f t="shared" si="52"/>
        <v>9579.9</v>
      </c>
      <c r="I114" s="61">
        <f t="shared" si="53"/>
        <v>-9.2788024927191302</v>
      </c>
      <c r="J114">
        <v>1047.2</v>
      </c>
    </row>
    <row r="115" spans="1:11" x14ac:dyDescent="0.25">
      <c r="A115" s="57">
        <f t="shared" si="51"/>
        <v>39632</v>
      </c>
      <c r="B115" s="58" t="s">
        <v>4</v>
      </c>
      <c r="C115">
        <v>1212.3</v>
      </c>
      <c r="D115">
        <v>1507.5</v>
      </c>
      <c r="E115">
        <v>7507.8</v>
      </c>
      <c r="F115">
        <v>8109</v>
      </c>
      <c r="G115" s="60">
        <f t="shared" ref="G115:H117" si="54">+C115+E115</f>
        <v>8720.1</v>
      </c>
      <c r="H115" s="60">
        <f t="shared" si="54"/>
        <v>9616.5</v>
      </c>
      <c r="I115" s="61">
        <f t="shared" si="53"/>
        <v>-9.3214787084698099</v>
      </c>
      <c r="J115">
        <v>1160.5</v>
      </c>
    </row>
    <row r="116" spans="1:11" x14ac:dyDescent="0.25">
      <c r="A116" s="57">
        <f t="shared" si="51"/>
        <v>39639</v>
      </c>
      <c r="B116" s="58" t="s">
        <v>4</v>
      </c>
      <c r="C116">
        <v>1151.5999999999999</v>
      </c>
      <c r="D116">
        <v>1475.2</v>
      </c>
      <c r="E116">
        <v>7588.9</v>
      </c>
      <c r="F116">
        <v>8232</v>
      </c>
      <c r="G116" s="60">
        <f t="shared" si="54"/>
        <v>8740.5</v>
      </c>
      <c r="H116" s="60">
        <f t="shared" si="54"/>
        <v>9707.2000000000007</v>
      </c>
      <c r="I116" s="61">
        <f t="shared" si="53"/>
        <v>-9.9585874402505432</v>
      </c>
      <c r="J116">
        <v>1175.5</v>
      </c>
    </row>
    <row r="117" spans="1:11" x14ac:dyDescent="0.25">
      <c r="A117" s="57">
        <f t="shared" si="51"/>
        <v>39646</v>
      </c>
      <c r="B117" s="58" t="s">
        <v>4</v>
      </c>
      <c r="C117">
        <v>1112.9000000000001</v>
      </c>
      <c r="D117">
        <v>1437.8</v>
      </c>
      <c r="E117">
        <v>7674.6</v>
      </c>
      <c r="F117">
        <v>8288.4</v>
      </c>
      <c r="G117" s="60">
        <f t="shared" si="54"/>
        <v>8787.5</v>
      </c>
      <c r="H117" s="60">
        <f t="shared" si="54"/>
        <v>9726.1999999999989</v>
      </c>
      <c r="I117" s="61">
        <f t="shared" si="53"/>
        <v>-9.6512512594846829</v>
      </c>
      <c r="J117">
        <v>1197.5999999999999</v>
      </c>
    </row>
    <row r="118" spans="1:11" x14ac:dyDescent="0.25">
      <c r="A118" s="57">
        <f t="shared" ref="A118:A123" si="55">+A117+7</f>
        <v>39653</v>
      </c>
      <c r="B118" s="58" t="s">
        <v>4</v>
      </c>
      <c r="C118">
        <v>1074.5999999999999</v>
      </c>
      <c r="D118">
        <v>1380.3</v>
      </c>
      <c r="E118">
        <v>7826.7</v>
      </c>
      <c r="F118">
        <v>8408.2999999999993</v>
      </c>
      <c r="G118" s="60">
        <f t="shared" ref="G118:H120" si="56">+C118+E118</f>
        <v>8901.2999999999993</v>
      </c>
      <c r="H118" s="60">
        <f t="shared" si="56"/>
        <v>9788.5999999999985</v>
      </c>
      <c r="I118" s="61">
        <f t="shared" si="53"/>
        <v>-9.064626197821946</v>
      </c>
      <c r="J118">
        <v>1229.7</v>
      </c>
    </row>
    <row r="119" spans="1:11" x14ac:dyDescent="0.25">
      <c r="A119" s="57">
        <f t="shared" si="55"/>
        <v>39660</v>
      </c>
      <c r="B119" s="58" t="s">
        <v>4</v>
      </c>
      <c r="C119">
        <v>982.6</v>
      </c>
      <c r="D119">
        <v>1335.9</v>
      </c>
      <c r="E119">
        <v>7936.2</v>
      </c>
      <c r="F119">
        <v>8549.2999999999993</v>
      </c>
      <c r="G119" s="60">
        <f t="shared" si="56"/>
        <v>8918.7999999999993</v>
      </c>
      <c r="H119" s="60">
        <f t="shared" si="56"/>
        <v>9885.1999999999989</v>
      </c>
      <c r="I119" s="61">
        <f t="shared" ref="I119:I124" si="57">+(G119/H119-1)*100</f>
        <v>-9.7762311334115619</v>
      </c>
      <c r="J119">
        <v>1496.8</v>
      </c>
      <c r="K119">
        <f>1166/J119-1</f>
        <v>-0.221004810261892</v>
      </c>
    </row>
    <row r="120" spans="1:11" x14ac:dyDescent="0.25">
      <c r="A120" s="57">
        <f t="shared" si="55"/>
        <v>39667</v>
      </c>
      <c r="B120" s="58" t="s">
        <v>4</v>
      </c>
      <c r="C120">
        <v>760.1</v>
      </c>
      <c r="D120">
        <v>1321.1</v>
      </c>
      <c r="E120">
        <v>8199</v>
      </c>
      <c r="F120">
        <v>8583.6</v>
      </c>
      <c r="G120" s="60">
        <f t="shared" si="56"/>
        <v>8959.1</v>
      </c>
      <c r="H120" s="60">
        <f t="shared" si="56"/>
        <v>9904.7000000000007</v>
      </c>
      <c r="I120" s="61">
        <f t="shared" si="57"/>
        <v>-9.5469827455652361</v>
      </c>
      <c r="J120">
        <v>1646.5</v>
      </c>
    </row>
    <row r="121" spans="1:11" x14ac:dyDescent="0.25">
      <c r="A121" s="57">
        <f t="shared" si="55"/>
        <v>39674</v>
      </c>
      <c r="B121" s="58" t="s">
        <v>4</v>
      </c>
      <c r="C121">
        <v>630.70000000000005</v>
      </c>
      <c r="D121">
        <v>1083.9000000000001</v>
      </c>
      <c r="E121">
        <v>8397.7000000000007</v>
      </c>
      <c r="F121">
        <v>8759.2999999999993</v>
      </c>
      <c r="G121" s="60">
        <f t="shared" ref="G121:H123" si="58">+C121+E121</f>
        <v>9028.4000000000015</v>
      </c>
      <c r="H121" s="60">
        <f t="shared" si="58"/>
        <v>9843.1999999999989</v>
      </c>
      <c r="I121" s="61">
        <f t="shared" si="57"/>
        <v>-8.2777958387516009</v>
      </c>
      <c r="J121">
        <v>1815.1</v>
      </c>
    </row>
    <row r="122" spans="1:11" x14ac:dyDescent="0.25">
      <c r="A122" s="57">
        <f t="shared" si="55"/>
        <v>39681</v>
      </c>
      <c r="B122" s="58" t="s">
        <v>4</v>
      </c>
      <c r="C122">
        <v>588.5</v>
      </c>
      <c r="D122">
        <v>892.2</v>
      </c>
      <c r="E122">
        <v>8503.2999999999993</v>
      </c>
      <c r="F122">
        <v>8873.7000000000007</v>
      </c>
      <c r="G122" s="60">
        <f t="shared" si="58"/>
        <v>9091.7999999999993</v>
      </c>
      <c r="H122" s="60">
        <f t="shared" si="58"/>
        <v>9765.9000000000015</v>
      </c>
      <c r="I122" s="61">
        <f t="shared" si="57"/>
        <v>-6.9025896230762385</v>
      </c>
      <c r="J122">
        <v>1919.1</v>
      </c>
      <c r="K122">
        <f>1.1/1.9</f>
        <v>0.57894736842105265</v>
      </c>
    </row>
    <row r="123" spans="1:11" x14ac:dyDescent="0.25">
      <c r="A123" s="57">
        <f t="shared" si="55"/>
        <v>39688</v>
      </c>
      <c r="B123" s="58" t="s">
        <v>4</v>
      </c>
      <c r="C123">
        <v>523.5</v>
      </c>
      <c r="D123">
        <v>731.7</v>
      </c>
      <c r="E123">
        <v>8640.6</v>
      </c>
      <c r="F123">
        <v>9071.9</v>
      </c>
      <c r="G123" s="60">
        <f t="shared" si="58"/>
        <v>9164.1</v>
      </c>
      <c r="H123" s="60">
        <f t="shared" si="58"/>
        <v>9803.6</v>
      </c>
      <c r="I123" s="61">
        <f t="shared" si="57"/>
        <v>-6.5231139581378272</v>
      </c>
      <c r="J123">
        <v>2043.1</v>
      </c>
      <c r="K123" s="85">
        <f>+G123-DATA!N116</f>
        <v>9147.7000000000007</v>
      </c>
    </row>
    <row r="124" spans="1:11" x14ac:dyDescent="0.25">
      <c r="A124" s="74">
        <f t="shared" ref="A124:A129" si="59">+A123+7</f>
        <v>39695</v>
      </c>
      <c r="B124" s="58" t="s">
        <v>4</v>
      </c>
      <c r="C124">
        <v>2504.5</v>
      </c>
      <c r="D124">
        <v>2891.7</v>
      </c>
      <c r="E124">
        <v>58.4</v>
      </c>
      <c r="F124">
        <v>123.3</v>
      </c>
      <c r="G124" s="60">
        <f t="shared" ref="G124:H127" si="60">+C124+E124</f>
        <v>2562.9</v>
      </c>
      <c r="H124" s="60">
        <f t="shared" si="60"/>
        <v>3015</v>
      </c>
      <c r="I124" s="61">
        <f t="shared" si="57"/>
        <v>-14.995024875621887</v>
      </c>
      <c r="K124" s="85"/>
    </row>
    <row r="125" spans="1:11" x14ac:dyDescent="0.25">
      <c r="A125" s="57">
        <f t="shared" si="59"/>
        <v>39702</v>
      </c>
      <c r="B125" s="58" t="s">
        <v>4</v>
      </c>
      <c r="C125">
        <v>2572</v>
      </c>
      <c r="D125">
        <v>3548.2</v>
      </c>
      <c r="E125">
        <v>178.1</v>
      </c>
      <c r="F125">
        <v>232.8</v>
      </c>
      <c r="G125" s="60">
        <f t="shared" si="60"/>
        <v>2750.1</v>
      </c>
      <c r="H125" s="60">
        <f t="shared" si="60"/>
        <v>3781</v>
      </c>
      <c r="I125" s="61">
        <f t="shared" ref="I125:I130" si="61">+(G125/H125-1)*100</f>
        <v>-27.26527373710659</v>
      </c>
    </row>
    <row r="126" spans="1:11" x14ac:dyDescent="0.25">
      <c r="A126" s="57">
        <f t="shared" si="59"/>
        <v>39709</v>
      </c>
      <c r="B126" s="58" t="s">
        <v>4</v>
      </c>
      <c r="C126">
        <v>2674.8</v>
      </c>
      <c r="D126">
        <v>3728.8</v>
      </c>
      <c r="E126">
        <v>305</v>
      </c>
      <c r="F126">
        <v>474.7</v>
      </c>
      <c r="G126" s="60">
        <f t="shared" si="60"/>
        <v>2979.8</v>
      </c>
      <c r="H126" s="60">
        <f t="shared" si="60"/>
        <v>4203.5</v>
      </c>
      <c r="I126" s="61">
        <f t="shared" si="61"/>
        <v>-29.111454740097532</v>
      </c>
    </row>
    <row r="127" spans="1:11" x14ac:dyDescent="0.25">
      <c r="A127" s="57">
        <f t="shared" si="59"/>
        <v>39716</v>
      </c>
      <c r="B127" s="58" t="s">
        <v>4</v>
      </c>
      <c r="C127" s="87">
        <v>2582.9</v>
      </c>
      <c r="D127" s="87">
        <v>3492.1</v>
      </c>
      <c r="E127" s="87">
        <v>492.8</v>
      </c>
      <c r="F127" s="87">
        <v>712.1</v>
      </c>
      <c r="G127" s="60">
        <f t="shared" si="60"/>
        <v>3075.7000000000003</v>
      </c>
      <c r="H127" s="60">
        <f t="shared" si="60"/>
        <v>4204.2</v>
      </c>
      <c r="I127" s="61">
        <f t="shared" si="61"/>
        <v>-26.84220541363398</v>
      </c>
    </row>
    <row r="128" spans="1:11" x14ac:dyDescent="0.25">
      <c r="A128" s="57">
        <f t="shared" si="59"/>
        <v>39723</v>
      </c>
      <c r="B128" s="58" t="s">
        <v>4</v>
      </c>
      <c r="C128">
        <v>2660.9</v>
      </c>
      <c r="D128">
        <v>3555</v>
      </c>
      <c r="E128">
        <v>606.1</v>
      </c>
      <c r="F128">
        <v>941.4</v>
      </c>
      <c r="G128" s="60">
        <f t="shared" ref="G128:H130" si="62">+C128+E128</f>
        <v>3267</v>
      </c>
      <c r="H128" s="60">
        <f t="shared" si="62"/>
        <v>4496.3999999999996</v>
      </c>
      <c r="I128" s="61">
        <f t="shared" si="61"/>
        <v>-27.341873498799028</v>
      </c>
    </row>
    <row r="129" spans="1:12" x14ac:dyDescent="0.25">
      <c r="A129" s="57">
        <f t="shared" si="59"/>
        <v>39730</v>
      </c>
      <c r="B129" s="58" t="s">
        <v>4</v>
      </c>
      <c r="C129">
        <v>2760.4</v>
      </c>
      <c r="D129">
        <v>3671.7</v>
      </c>
      <c r="E129">
        <v>762.8</v>
      </c>
      <c r="F129">
        <v>1109</v>
      </c>
      <c r="G129" s="60">
        <f t="shared" si="62"/>
        <v>3523.2</v>
      </c>
      <c r="H129" s="60">
        <f t="shared" si="62"/>
        <v>4780.7</v>
      </c>
      <c r="I129" s="61">
        <f t="shared" si="61"/>
        <v>-26.303679377497026</v>
      </c>
    </row>
    <row r="130" spans="1:12" x14ac:dyDescent="0.25">
      <c r="A130" s="57">
        <f t="shared" ref="A130:A135" si="63">+A129+7</f>
        <v>39737</v>
      </c>
      <c r="B130" s="58" t="s">
        <v>4</v>
      </c>
      <c r="C130">
        <v>2599.4</v>
      </c>
      <c r="D130">
        <v>3590.1</v>
      </c>
      <c r="E130">
        <v>989.2</v>
      </c>
      <c r="F130">
        <v>1290.0999999999999</v>
      </c>
      <c r="G130" s="60">
        <f t="shared" si="62"/>
        <v>3588.6000000000004</v>
      </c>
      <c r="H130" s="60">
        <f t="shared" si="62"/>
        <v>4880.2</v>
      </c>
      <c r="I130" s="61">
        <f t="shared" si="61"/>
        <v>-26.466128437359117</v>
      </c>
    </row>
    <row r="131" spans="1:12" x14ac:dyDescent="0.25">
      <c r="A131" s="57">
        <f t="shared" si="63"/>
        <v>39744</v>
      </c>
      <c r="B131" s="58" t="s">
        <v>4</v>
      </c>
      <c r="C131">
        <v>2520.1</v>
      </c>
      <c r="D131">
        <v>3443.3</v>
      </c>
      <c r="E131">
        <v>1154.5</v>
      </c>
      <c r="F131">
        <v>1500.7</v>
      </c>
      <c r="G131" s="60">
        <f t="shared" ref="G131:H133" si="64">+C131+E131</f>
        <v>3674.6</v>
      </c>
      <c r="H131" s="60">
        <f t="shared" si="64"/>
        <v>4944</v>
      </c>
      <c r="I131" s="61">
        <f t="shared" ref="I131:I136" si="65">+(G131/H131-1)*100</f>
        <v>-25.675566343042078</v>
      </c>
    </row>
    <row r="132" spans="1:12" x14ac:dyDescent="0.25">
      <c r="A132" s="57">
        <f t="shared" si="63"/>
        <v>39751</v>
      </c>
      <c r="B132" s="58" t="s">
        <v>4</v>
      </c>
      <c r="C132">
        <v>2393.1999999999998</v>
      </c>
      <c r="D132">
        <v>3370.7</v>
      </c>
      <c r="E132">
        <v>1334</v>
      </c>
      <c r="F132">
        <v>1762.4</v>
      </c>
      <c r="G132" s="60">
        <f t="shared" si="64"/>
        <v>3727.2</v>
      </c>
      <c r="H132" s="60">
        <f t="shared" si="64"/>
        <v>5133.1000000000004</v>
      </c>
      <c r="I132" s="61">
        <f t="shared" si="65"/>
        <v>-27.388907287993614</v>
      </c>
    </row>
    <row r="133" spans="1:12" x14ac:dyDescent="0.25">
      <c r="A133" s="57">
        <f t="shared" si="63"/>
        <v>39758</v>
      </c>
      <c r="B133" s="58" t="s">
        <v>4</v>
      </c>
      <c r="C133">
        <v>2310.1</v>
      </c>
      <c r="D133">
        <v>3192.7</v>
      </c>
      <c r="E133">
        <v>1533.1</v>
      </c>
      <c r="F133">
        <v>1965.1</v>
      </c>
      <c r="G133" s="60">
        <f t="shared" si="64"/>
        <v>3843.2</v>
      </c>
      <c r="H133" s="60">
        <f t="shared" si="64"/>
        <v>5157.7999999999993</v>
      </c>
      <c r="I133" s="61">
        <f t="shared" si="65"/>
        <v>-25.48761099693667</v>
      </c>
    </row>
    <row r="134" spans="1:12" x14ac:dyDescent="0.25">
      <c r="A134" s="57">
        <f t="shared" si="63"/>
        <v>39765</v>
      </c>
      <c r="B134" s="58" t="s">
        <v>4</v>
      </c>
      <c r="C134">
        <v>2231.3000000000002</v>
      </c>
      <c r="D134">
        <v>3112.7</v>
      </c>
      <c r="E134">
        <v>1639.3</v>
      </c>
      <c r="F134">
        <v>2095.5</v>
      </c>
      <c r="G134" s="60">
        <f t="shared" ref="G134:H136" si="66">+C134+E134</f>
        <v>3870.6000000000004</v>
      </c>
      <c r="H134" s="60">
        <f t="shared" si="66"/>
        <v>5208.2</v>
      </c>
      <c r="I134" s="61">
        <f t="shared" si="65"/>
        <v>-25.682577473983326</v>
      </c>
    </row>
    <row r="135" spans="1:12" x14ac:dyDescent="0.25">
      <c r="A135" s="57">
        <f t="shared" si="63"/>
        <v>39772</v>
      </c>
      <c r="B135" s="58" t="s">
        <v>4</v>
      </c>
      <c r="C135">
        <v>2041.2</v>
      </c>
      <c r="D135">
        <v>2995.7</v>
      </c>
      <c r="E135">
        <v>1877.2</v>
      </c>
      <c r="F135">
        <v>2284.6</v>
      </c>
      <c r="G135" s="60">
        <f t="shared" si="66"/>
        <v>3918.4</v>
      </c>
      <c r="H135" s="60">
        <f t="shared" si="66"/>
        <v>5280.2999999999993</v>
      </c>
      <c r="I135" s="61">
        <f t="shared" si="65"/>
        <v>-25.792095146109105</v>
      </c>
    </row>
    <row r="136" spans="1:12" x14ac:dyDescent="0.25">
      <c r="A136" s="57">
        <f t="shared" ref="A136:A149" si="67">+A135+7</f>
        <v>39779</v>
      </c>
      <c r="B136" s="58" t="s">
        <v>4</v>
      </c>
      <c r="C136">
        <v>1985.7</v>
      </c>
      <c r="D136">
        <v>2827.1</v>
      </c>
      <c r="E136">
        <v>1988.3</v>
      </c>
      <c r="F136">
        <v>2500.1</v>
      </c>
      <c r="G136" s="60">
        <f t="shared" si="66"/>
        <v>3974</v>
      </c>
      <c r="H136" s="60">
        <f t="shared" si="66"/>
        <v>5327.2</v>
      </c>
      <c r="I136" s="61">
        <f t="shared" si="65"/>
        <v>-25.401711968764072</v>
      </c>
    </row>
    <row r="137" spans="1:12" x14ac:dyDescent="0.25">
      <c r="A137" s="57">
        <f t="shared" si="67"/>
        <v>39786</v>
      </c>
      <c r="B137" s="58" t="s">
        <v>4</v>
      </c>
      <c r="C137">
        <v>2386.8000000000002</v>
      </c>
      <c r="D137">
        <v>3093.1</v>
      </c>
      <c r="E137">
        <v>2173.4</v>
      </c>
      <c r="F137">
        <v>2646.3</v>
      </c>
      <c r="G137" s="60">
        <f t="shared" ref="G137:H139" si="68">+C137+E137</f>
        <v>4560.2000000000007</v>
      </c>
      <c r="H137" s="60">
        <f t="shared" si="68"/>
        <v>5739.4</v>
      </c>
      <c r="I137" s="61">
        <f t="shared" ref="I137:I142" si="69">+(G137/H137-1)*100</f>
        <v>-20.545701641286527</v>
      </c>
    </row>
    <row r="138" spans="1:12" x14ac:dyDescent="0.25">
      <c r="A138" s="57">
        <f t="shared" si="67"/>
        <v>39793</v>
      </c>
      <c r="B138" s="58" t="s">
        <v>4</v>
      </c>
      <c r="C138">
        <v>2262.4</v>
      </c>
      <c r="D138">
        <v>3093.1</v>
      </c>
      <c r="E138">
        <v>2306.5</v>
      </c>
      <c r="F138">
        <v>2799.9</v>
      </c>
      <c r="G138" s="60">
        <f t="shared" si="68"/>
        <v>4568.8999999999996</v>
      </c>
      <c r="H138" s="60">
        <f t="shared" si="68"/>
        <v>5893</v>
      </c>
      <c r="I138" s="61">
        <f t="shared" si="69"/>
        <v>-22.469031053792644</v>
      </c>
      <c r="L138">
        <v>151.6</v>
      </c>
    </row>
    <row r="139" spans="1:12" x14ac:dyDescent="0.25">
      <c r="A139" s="57">
        <f t="shared" si="67"/>
        <v>39800</v>
      </c>
      <c r="B139" s="58" t="s">
        <v>4</v>
      </c>
      <c r="C139">
        <v>2224.3000000000002</v>
      </c>
      <c r="D139">
        <v>3099.4</v>
      </c>
      <c r="E139">
        <v>2425.6</v>
      </c>
      <c r="F139">
        <v>2980.1</v>
      </c>
      <c r="G139" s="60">
        <f t="shared" si="68"/>
        <v>4649.8999999999996</v>
      </c>
      <c r="H139" s="60">
        <f t="shared" si="68"/>
        <v>6079.5</v>
      </c>
      <c r="I139" s="61">
        <f t="shared" si="69"/>
        <v>-23.515091701620207</v>
      </c>
    </row>
    <row r="140" spans="1:12" x14ac:dyDescent="0.25">
      <c r="A140" s="57">
        <f t="shared" si="67"/>
        <v>39807</v>
      </c>
      <c r="B140" s="58" t="s">
        <v>4</v>
      </c>
      <c r="C140">
        <v>2196.6999999999998</v>
      </c>
      <c r="D140">
        <v>3009.1</v>
      </c>
      <c r="E140">
        <v>2506.6</v>
      </c>
      <c r="F140">
        <v>3139.4</v>
      </c>
      <c r="G140" s="60">
        <f t="shared" ref="G140:H142" si="70">+C140+E140</f>
        <v>4703.2999999999993</v>
      </c>
      <c r="H140" s="60">
        <f t="shared" si="70"/>
        <v>6148.5</v>
      </c>
      <c r="I140" s="61">
        <f t="shared" si="69"/>
        <v>-23.504919899162413</v>
      </c>
    </row>
    <row r="141" spans="1:12" x14ac:dyDescent="0.25">
      <c r="A141" s="57">
        <f t="shared" si="67"/>
        <v>39814</v>
      </c>
      <c r="B141" s="58" t="s">
        <v>4</v>
      </c>
      <c r="C141">
        <v>2110.6999999999998</v>
      </c>
      <c r="D141">
        <v>3024.4</v>
      </c>
      <c r="E141">
        <v>2606.1</v>
      </c>
      <c r="F141">
        <v>3262.6</v>
      </c>
      <c r="G141" s="60">
        <f t="shared" si="70"/>
        <v>4716.7999999999993</v>
      </c>
      <c r="H141" s="60">
        <f t="shared" si="70"/>
        <v>6287</v>
      </c>
      <c r="I141" s="61">
        <f t="shared" si="69"/>
        <v>-24.975345951964378</v>
      </c>
    </row>
    <row r="142" spans="1:12" x14ac:dyDescent="0.25">
      <c r="A142" s="57">
        <f t="shared" si="67"/>
        <v>39821</v>
      </c>
      <c r="B142" s="58" t="s">
        <v>4</v>
      </c>
      <c r="C142">
        <v>1967.1</v>
      </c>
      <c r="D142">
        <v>2938.6</v>
      </c>
      <c r="E142">
        <v>2780.3</v>
      </c>
      <c r="F142">
        <v>3396.4</v>
      </c>
      <c r="G142" s="60">
        <f t="shared" si="70"/>
        <v>4747.3999999999996</v>
      </c>
      <c r="H142" s="60">
        <f t="shared" si="70"/>
        <v>6335</v>
      </c>
      <c r="I142" s="61">
        <f t="shared" si="69"/>
        <v>-25.060773480662991</v>
      </c>
    </row>
    <row r="143" spans="1:12" x14ac:dyDescent="0.25">
      <c r="A143" s="57">
        <f t="shared" si="67"/>
        <v>39828</v>
      </c>
      <c r="B143" s="58" t="s">
        <v>4</v>
      </c>
      <c r="C143">
        <v>1989.8</v>
      </c>
      <c r="D143">
        <v>2910.5</v>
      </c>
      <c r="E143">
        <v>2852.5</v>
      </c>
      <c r="F143">
        <v>3606.3</v>
      </c>
      <c r="G143" s="60">
        <f t="shared" ref="G143:H145" si="71">+C143+E143</f>
        <v>4842.3</v>
      </c>
      <c r="H143" s="60">
        <f t="shared" si="71"/>
        <v>6516.8</v>
      </c>
      <c r="I143" s="61">
        <f t="shared" ref="I143:I148" si="72">+(G143/H143-1)*100</f>
        <v>-25.695126442425732</v>
      </c>
    </row>
    <row r="144" spans="1:12" x14ac:dyDescent="0.25">
      <c r="A144" s="57">
        <f t="shared" si="67"/>
        <v>39835</v>
      </c>
      <c r="B144" s="58" t="s">
        <v>4</v>
      </c>
      <c r="C144">
        <v>2052.1999999999998</v>
      </c>
      <c r="D144">
        <v>2908.4</v>
      </c>
      <c r="E144">
        <v>2972.9</v>
      </c>
      <c r="F144">
        <v>3807.9</v>
      </c>
      <c r="G144" s="60">
        <f t="shared" si="71"/>
        <v>5025.1000000000004</v>
      </c>
      <c r="H144" s="60">
        <f t="shared" si="71"/>
        <v>6716.3</v>
      </c>
      <c r="I144" s="61">
        <f t="shared" si="72"/>
        <v>-25.180530947098845</v>
      </c>
    </row>
    <row r="145" spans="1:10" x14ac:dyDescent="0.25">
      <c r="A145" s="57">
        <f t="shared" si="67"/>
        <v>39842</v>
      </c>
      <c r="B145" s="58" t="s">
        <v>4</v>
      </c>
      <c r="C145">
        <v>1988.1</v>
      </c>
      <c r="D145">
        <v>2781.5</v>
      </c>
      <c r="E145">
        <v>3122.2</v>
      </c>
      <c r="F145">
        <v>4002.8</v>
      </c>
      <c r="G145" s="60">
        <f t="shared" si="71"/>
        <v>5110.2999999999993</v>
      </c>
      <c r="H145" s="60">
        <f t="shared" si="71"/>
        <v>6784.3</v>
      </c>
      <c r="I145" s="61">
        <f t="shared" si="72"/>
        <v>-24.674616393732595</v>
      </c>
    </row>
    <row r="146" spans="1:10" x14ac:dyDescent="0.25">
      <c r="A146" s="57">
        <f t="shared" si="67"/>
        <v>39849</v>
      </c>
      <c r="B146" s="58" t="s">
        <v>4</v>
      </c>
      <c r="C146">
        <v>1883.1</v>
      </c>
      <c r="D146">
        <v>2685.6</v>
      </c>
      <c r="E146">
        <v>3258.5</v>
      </c>
      <c r="F146">
        <v>4148.2</v>
      </c>
      <c r="G146" s="60">
        <f t="shared" ref="G146:H148" si="73">+C146+E146</f>
        <v>5141.6000000000004</v>
      </c>
      <c r="H146" s="60">
        <f t="shared" si="73"/>
        <v>6833.7999999999993</v>
      </c>
      <c r="I146" s="61">
        <f t="shared" si="72"/>
        <v>-24.762211361175325</v>
      </c>
    </row>
    <row r="147" spans="1:10" x14ac:dyDescent="0.25">
      <c r="A147" s="57">
        <f t="shared" si="67"/>
        <v>39856</v>
      </c>
      <c r="B147" s="58" t="s">
        <v>4</v>
      </c>
      <c r="C147">
        <v>1997.9</v>
      </c>
      <c r="D147">
        <v>2623.4</v>
      </c>
      <c r="E147">
        <v>3397</v>
      </c>
      <c r="F147">
        <v>4387.8999999999996</v>
      </c>
      <c r="G147" s="60">
        <f t="shared" si="73"/>
        <v>5394.9</v>
      </c>
      <c r="H147" s="60">
        <f t="shared" si="73"/>
        <v>7011.2999999999993</v>
      </c>
      <c r="I147" s="61">
        <f t="shared" si="72"/>
        <v>-23.054212485559024</v>
      </c>
    </row>
    <row r="148" spans="1:10" x14ac:dyDescent="0.25">
      <c r="A148" s="57">
        <f t="shared" si="67"/>
        <v>39863</v>
      </c>
      <c r="B148" s="58" t="s">
        <v>4</v>
      </c>
      <c r="C148">
        <v>1996</v>
      </c>
      <c r="D148">
        <v>2504.8000000000002</v>
      </c>
      <c r="E148">
        <v>3487.7</v>
      </c>
      <c r="F148">
        <v>4515.6000000000004</v>
      </c>
      <c r="G148" s="60">
        <f t="shared" si="73"/>
        <v>5483.7</v>
      </c>
      <c r="H148" s="60">
        <f t="shared" si="73"/>
        <v>7020.4000000000005</v>
      </c>
      <c r="I148" s="61">
        <f t="shared" si="72"/>
        <v>-21.889066150076928</v>
      </c>
    </row>
    <row r="149" spans="1:10" x14ac:dyDescent="0.25">
      <c r="A149" s="57">
        <f t="shared" si="67"/>
        <v>39870</v>
      </c>
      <c r="B149" s="58" t="s">
        <v>4</v>
      </c>
      <c r="C149">
        <v>1795.9</v>
      </c>
      <c r="D149">
        <v>2418</v>
      </c>
      <c r="E149">
        <v>3745.1</v>
      </c>
      <c r="F149">
        <v>4725.3</v>
      </c>
      <c r="G149" s="60">
        <f t="shared" ref="G149:H151" si="74">+C149+E149</f>
        <v>5541</v>
      </c>
      <c r="H149" s="60">
        <f t="shared" si="74"/>
        <v>7143.3</v>
      </c>
      <c r="I149" s="61">
        <f t="shared" ref="I149:I154" si="75">+(G149/H149-1)*100</f>
        <v>-22.430809289824026</v>
      </c>
    </row>
    <row r="150" spans="1:10" x14ac:dyDescent="0.25">
      <c r="A150" s="57">
        <f t="shared" ref="A150:A155" si="76">+A149+7</f>
        <v>39877</v>
      </c>
      <c r="B150" s="58" t="s">
        <v>4</v>
      </c>
      <c r="C150">
        <v>1711.9</v>
      </c>
      <c r="D150">
        <v>2417.3000000000002</v>
      </c>
      <c r="E150">
        <v>3883.8</v>
      </c>
      <c r="F150">
        <v>4899.3</v>
      </c>
      <c r="G150" s="60">
        <f t="shared" si="74"/>
        <v>5595.7000000000007</v>
      </c>
      <c r="H150" s="60">
        <f t="shared" si="74"/>
        <v>7316.6</v>
      </c>
      <c r="I150" s="61">
        <f t="shared" si="75"/>
        <v>-23.520487658201894</v>
      </c>
    </row>
    <row r="151" spans="1:10" x14ac:dyDescent="0.25">
      <c r="A151" s="57">
        <f t="shared" si="76"/>
        <v>39884</v>
      </c>
      <c r="B151" s="58" t="s">
        <v>4</v>
      </c>
      <c r="C151">
        <v>1619.9</v>
      </c>
      <c r="D151">
        <v>2363.6</v>
      </c>
      <c r="E151">
        <v>3998.2</v>
      </c>
      <c r="F151">
        <v>5060.3999999999996</v>
      </c>
      <c r="G151" s="60">
        <f t="shared" si="74"/>
        <v>5618.1</v>
      </c>
      <c r="H151" s="60">
        <f t="shared" si="74"/>
        <v>7424</v>
      </c>
      <c r="I151" s="61">
        <f t="shared" si="75"/>
        <v>-24.325161637931025</v>
      </c>
    </row>
    <row r="152" spans="1:10" x14ac:dyDescent="0.25">
      <c r="A152" s="57">
        <f t="shared" si="76"/>
        <v>39891</v>
      </c>
      <c r="B152" s="58" t="s">
        <v>4</v>
      </c>
      <c r="C152">
        <v>1541.2</v>
      </c>
      <c r="D152">
        <v>2241.3000000000002</v>
      </c>
      <c r="E152">
        <v>4126.3</v>
      </c>
      <c r="F152">
        <v>5264</v>
      </c>
      <c r="G152" s="60">
        <f t="shared" ref="G152:G193" si="77">+C152+E152</f>
        <v>5667.5</v>
      </c>
      <c r="H152" s="60">
        <f t="shared" ref="H152:H193" si="78">+D152+F152</f>
        <v>7505.3</v>
      </c>
      <c r="I152" s="61">
        <f t="shared" si="75"/>
        <v>-24.486696068111868</v>
      </c>
    </row>
    <row r="153" spans="1:10" x14ac:dyDescent="0.25">
      <c r="A153" s="57">
        <f t="shared" si="76"/>
        <v>39898</v>
      </c>
      <c r="B153" s="58" t="s">
        <v>4</v>
      </c>
      <c r="C153">
        <v>1545.7</v>
      </c>
      <c r="D153">
        <v>2146.3000000000002</v>
      </c>
      <c r="E153">
        <v>4261.5</v>
      </c>
      <c r="F153">
        <v>5391.6</v>
      </c>
      <c r="G153" s="60">
        <f t="shared" si="77"/>
        <v>5807.2</v>
      </c>
      <c r="H153" s="60">
        <f t="shared" si="78"/>
        <v>7537.9000000000005</v>
      </c>
      <c r="I153" s="61">
        <f t="shared" si="75"/>
        <v>-22.959975590018445</v>
      </c>
    </row>
    <row r="154" spans="1:10" x14ac:dyDescent="0.25">
      <c r="A154" s="57">
        <f t="shared" si="76"/>
        <v>39905</v>
      </c>
      <c r="B154" s="58" t="s">
        <v>4</v>
      </c>
      <c r="C154">
        <v>1531.3</v>
      </c>
      <c r="D154">
        <v>2054</v>
      </c>
      <c r="E154">
        <v>4371</v>
      </c>
      <c r="F154">
        <v>5507.8</v>
      </c>
      <c r="G154" s="60">
        <f t="shared" si="77"/>
        <v>5902.3</v>
      </c>
      <c r="H154" s="60">
        <f t="shared" si="78"/>
        <v>7561.8</v>
      </c>
      <c r="I154" s="61">
        <f t="shared" si="75"/>
        <v>-21.945833002724214</v>
      </c>
    </row>
    <row r="155" spans="1:10" x14ac:dyDescent="0.25">
      <c r="A155" s="57">
        <f t="shared" si="76"/>
        <v>39912</v>
      </c>
      <c r="B155" s="58" t="s">
        <v>4</v>
      </c>
      <c r="C155">
        <v>1515</v>
      </c>
      <c r="D155">
        <v>2040.3</v>
      </c>
      <c r="E155">
        <v>4511.8</v>
      </c>
      <c r="F155">
        <v>5637.5</v>
      </c>
      <c r="G155" s="60">
        <f t="shared" si="77"/>
        <v>6026.8</v>
      </c>
      <c r="H155" s="60">
        <f t="shared" si="78"/>
        <v>7677.8</v>
      </c>
      <c r="I155" s="61">
        <f t="shared" ref="I155:I193" si="79">+(G155/H155-1)*100</f>
        <v>-21.503555706061629</v>
      </c>
    </row>
    <row r="156" spans="1:10" x14ac:dyDescent="0.25">
      <c r="A156" s="57">
        <f t="shared" ref="A156:A253" si="80">+A155+7</f>
        <v>39919</v>
      </c>
      <c r="B156" s="58" t="s">
        <v>4</v>
      </c>
      <c r="C156">
        <v>1558.6</v>
      </c>
      <c r="D156">
        <v>2033.1</v>
      </c>
      <c r="E156">
        <v>4609.2</v>
      </c>
      <c r="F156">
        <v>5821.8</v>
      </c>
      <c r="G156" s="60">
        <f t="shared" si="77"/>
        <v>6167.7999999999993</v>
      </c>
      <c r="H156" s="60">
        <f t="shared" si="78"/>
        <v>7854.9</v>
      </c>
      <c r="I156" s="61">
        <f t="shared" si="79"/>
        <v>-21.478312900227891</v>
      </c>
    </row>
    <row r="157" spans="1:10" x14ac:dyDescent="0.25">
      <c r="A157" s="57">
        <f t="shared" si="80"/>
        <v>39926</v>
      </c>
      <c r="B157" s="58" t="s">
        <v>4</v>
      </c>
      <c r="C157">
        <v>1495</v>
      </c>
      <c r="D157">
        <v>2100.4</v>
      </c>
      <c r="E157">
        <v>4768.3999999999996</v>
      </c>
      <c r="F157">
        <v>5947.3</v>
      </c>
      <c r="G157" s="60">
        <f t="shared" si="77"/>
        <v>6263.4</v>
      </c>
      <c r="H157" s="60">
        <f t="shared" si="78"/>
        <v>8047.7000000000007</v>
      </c>
      <c r="I157" s="61">
        <f t="shared" si="79"/>
        <v>-22.171552120481643</v>
      </c>
    </row>
    <row r="158" spans="1:10" x14ac:dyDescent="0.25">
      <c r="A158" s="57">
        <f t="shared" si="80"/>
        <v>39933</v>
      </c>
      <c r="B158" s="58" t="s">
        <v>4</v>
      </c>
      <c r="C158">
        <v>1495.4</v>
      </c>
      <c r="D158">
        <v>2051.6</v>
      </c>
      <c r="E158">
        <v>4883.5</v>
      </c>
      <c r="F158">
        <v>6098.4</v>
      </c>
      <c r="G158" s="60">
        <f t="shared" si="77"/>
        <v>6378.9</v>
      </c>
      <c r="H158" s="60">
        <f t="shared" si="78"/>
        <v>8150</v>
      </c>
      <c r="I158" s="61">
        <f t="shared" si="79"/>
        <v>-21.731288343558287</v>
      </c>
      <c r="J158">
        <v>283</v>
      </c>
    </row>
    <row r="159" spans="1:10" x14ac:dyDescent="0.25">
      <c r="A159" s="57">
        <f t="shared" si="80"/>
        <v>39940</v>
      </c>
      <c r="B159" s="58" t="s">
        <v>4</v>
      </c>
      <c r="C159">
        <v>1358.7</v>
      </c>
      <c r="D159">
        <v>1917.7</v>
      </c>
      <c r="E159">
        <v>5041.8999999999996</v>
      </c>
      <c r="F159">
        <v>6348</v>
      </c>
      <c r="G159" s="60">
        <f t="shared" si="77"/>
        <v>6400.5999999999995</v>
      </c>
      <c r="H159" s="60">
        <f t="shared" si="78"/>
        <v>8265.7000000000007</v>
      </c>
      <c r="I159" s="61">
        <f t="shared" si="79"/>
        <v>-22.564332119481723</v>
      </c>
      <c r="J159">
        <v>298</v>
      </c>
    </row>
    <row r="160" spans="1:10" x14ac:dyDescent="0.25">
      <c r="A160" s="57">
        <f t="shared" si="80"/>
        <v>39947</v>
      </c>
      <c r="B160" s="58" t="s">
        <v>4</v>
      </c>
      <c r="C160">
        <v>1294</v>
      </c>
      <c r="D160">
        <v>1951.6</v>
      </c>
      <c r="E160">
        <v>5191</v>
      </c>
      <c r="F160">
        <v>6480.6</v>
      </c>
      <c r="G160" s="60">
        <f t="shared" si="77"/>
        <v>6485</v>
      </c>
      <c r="H160" s="60">
        <f t="shared" si="78"/>
        <v>8432.2000000000007</v>
      </c>
      <c r="I160" s="61">
        <f t="shared" si="79"/>
        <v>-23.092431393942281</v>
      </c>
      <c r="J160">
        <v>353.2</v>
      </c>
    </row>
    <row r="161" spans="1:10" x14ac:dyDescent="0.25">
      <c r="A161" s="57">
        <f t="shared" si="80"/>
        <v>39954</v>
      </c>
      <c r="B161" s="58" t="s">
        <v>4</v>
      </c>
      <c r="C161">
        <v>1287</v>
      </c>
      <c r="D161">
        <v>1873.3</v>
      </c>
      <c r="E161">
        <v>5279.3</v>
      </c>
      <c r="F161">
        <v>6633.9</v>
      </c>
      <c r="G161" s="60">
        <f t="shared" si="77"/>
        <v>6566.3</v>
      </c>
      <c r="H161" s="60">
        <f t="shared" si="78"/>
        <v>8507.1999999999989</v>
      </c>
      <c r="I161" s="61">
        <f t="shared" si="79"/>
        <v>-22.814792176039113</v>
      </c>
      <c r="J161">
        <v>353.2</v>
      </c>
    </row>
    <row r="162" spans="1:10" x14ac:dyDescent="0.25">
      <c r="A162" s="57">
        <f t="shared" si="80"/>
        <v>39961</v>
      </c>
      <c r="B162" s="58" t="s">
        <v>4</v>
      </c>
      <c r="C162">
        <v>1284.4000000000001</v>
      </c>
      <c r="D162">
        <v>1696.8</v>
      </c>
      <c r="E162">
        <v>5443.8</v>
      </c>
      <c r="F162">
        <v>6834.5</v>
      </c>
      <c r="G162" s="60">
        <f t="shared" si="77"/>
        <v>6728.2000000000007</v>
      </c>
      <c r="H162" s="60">
        <f t="shared" si="78"/>
        <v>8531.2999999999993</v>
      </c>
      <c r="I162" s="61">
        <f t="shared" si="79"/>
        <v>-21.135114226436759</v>
      </c>
      <c r="J162">
        <v>353.2</v>
      </c>
    </row>
    <row r="163" spans="1:10" x14ac:dyDescent="0.25">
      <c r="A163" s="57">
        <f t="shared" si="80"/>
        <v>39968</v>
      </c>
      <c r="B163" s="58" t="s">
        <v>4</v>
      </c>
      <c r="C163">
        <v>1253.8</v>
      </c>
      <c r="D163">
        <v>1583.6</v>
      </c>
      <c r="E163">
        <v>5569.8</v>
      </c>
      <c r="F163">
        <v>7019.3</v>
      </c>
      <c r="G163" s="60">
        <f t="shared" si="77"/>
        <v>6823.6</v>
      </c>
      <c r="H163" s="60">
        <f t="shared" si="78"/>
        <v>8602.9</v>
      </c>
      <c r="I163" s="61">
        <f t="shared" si="79"/>
        <v>-20.682560531913651</v>
      </c>
      <c r="J163">
        <v>384.7</v>
      </c>
    </row>
    <row r="164" spans="1:10" x14ac:dyDescent="0.25">
      <c r="A164" s="57">
        <f t="shared" si="80"/>
        <v>39975</v>
      </c>
      <c r="B164" s="58" t="s">
        <v>4</v>
      </c>
      <c r="C164">
        <v>1192.8</v>
      </c>
      <c r="D164">
        <v>1490.9</v>
      </c>
      <c r="E164">
        <v>5734.5</v>
      </c>
      <c r="F164">
        <v>7123.6</v>
      </c>
      <c r="G164" s="60">
        <f t="shared" si="77"/>
        <v>6927.3</v>
      </c>
      <c r="H164" s="60">
        <f t="shared" si="78"/>
        <v>8614.5</v>
      </c>
      <c r="I164" s="61">
        <f t="shared" si="79"/>
        <v>-19.585582448197801</v>
      </c>
      <c r="J164">
        <v>405.7</v>
      </c>
    </row>
    <row r="165" spans="1:10" x14ac:dyDescent="0.25">
      <c r="A165" s="57">
        <f t="shared" si="80"/>
        <v>39982</v>
      </c>
      <c r="B165" s="58" t="s">
        <v>4</v>
      </c>
      <c r="C165">
        <v>1065.7</v>
      </c>
      <c r="D165">
        <v>1418.3</v>
      </c>
      <c r="E165">
        <v>5866.3</v>
      </c>
      <c r="F165">
        <v>7249</v>
      </c>
      <c r="G165" s="60">
        <f t="shared" si="77"/>
        <v>6932</v>
      </c>
      <c r="H165" s="60">
        <f t="shared" si="78"/>
        <v>8667.2999999999993</v>
      </c>
      <c r="I165" s="61">
        <f t="shared" si="79"/>
        <v>-20.021229217864843</v>
      </c>
      <c r="J165">
        <v>438.7</v>
      </c>
    </row>
    <row r="166" spans="1:10" x14ac:dyDescent="0.25">
      <c r="A166" s="57">
        <f t="shared" si="80"/>
        <v>39989</v>
      </c>
      <c r="B166" s="58" t="s">
        <v>4</v>
      </c>
      <c r="C166">
        <v>1052.5</v>
      </c>
      <c r="D166">
        <v>1289.9000000000001</v>
      </c>
      <c r="E166">
        <v>5968.2</v>
      </c>
      <c r="F166">
        <v>7401.1</v>
      </c>
      <c r="G166" s="60">
        <f t="shared" si="77"/>
        <v>7020.7</v>
      </c>
      <c r="H166" s="60">
        <f t="shared" si="78"/>
        <v>8691</v>
      </c>
      <c r="I166" s="61">
        <f t="shared" si="79"/>
        <v>-19.218732021631581</v>
      </c>
      <c r="J166">
        <v>494.3</v>
      </c>
    </row>
    <row r="167" spans="1:10" x14ac:dyDescent="0.25">
      <c r="A167" s="57">
        <f t="shared" si="80"/>
        <v>39996</v>
      </c>
      <c r="B167" s="58" t="s">
        <v>4</v>
      </c>
      <c r="C167">
        <v>973.9</v>
      </c>
      <c r="D167">
        <v>1212.3</v>
      </c>
      <c r="E167">
        <v>6099.2</v>
      </c>
      <c r="F167">
        <v>7507.8</v>
      </c>
      <c r="G167" s="60">
        <f t="shared" si="77"/>
        <v>7073.0999999999995</v>
      </c>
      <c r="H167" s="60">
        <f t="shared" si="78"/>
        <v>8720.1</v>
      </c>
      <c r="I167" s="61">
        <f t="shared" si="79"/>
        <v>-18.887398080297256</v>
      </c>
      <c r="J167">
        <v>512.1</v>
      </c>
    </row>
    <row r="168" spans="1:10" x14ac:dyDescent="0.25">
      <c r="A168" s="57">
        <f t="shared" si="80"/>
        <v>40003</v>
      </c>
      <c r="B168" s="58" t="s">
        <v>4</v>
      </c>
      <c r="C168">
        <v>1047.4000000000001</v>
      </c>
      <c r="D168">
        <v>1151.5999999999999</v>
      </c>
      <c r="E168">
        <v>6226</v>
      </c>
      <c r="F168">
        <v>7588.9</v>
      </c>
      <c r="G168" s="60">
        <f t="shared" si="77"/>
        <v>7273.4</v>
      </c>
      <c r="H168" s="60">
        <f t="shared" si="78"/>
        <v>8740.5</v>
      </c>
      <c r="I168" s="61">
        <f t="shared" si="79"/>
        <v>-16.785080945026031</v>
      </c>
      <c r="J168">
        <v>715.2</v>
      </c>
    </row>
    <row r="169" spans="1:10" x14ac:dyDescent="0.25">
      <c r="A169" s="57">
        <f t="shared" si="80"/>
        <v>40010</v>
      </c>
      <c r="B169" s="58" t="s">
        <v>4</v>
      </c>
      <c r="C169">
        <v>952.3</v>
      </c>
      <c r="D169">
        <v>1112.9000000000001</v>
      </c>
      <c r="E169">
        <v>6369.2</v>
      </c>
      <c r="F169">
        <v>7674.6</v>
      </c>
      <c r="G169" s="60">
        <f t="shared" si="77"/>
        <v>7321.5</v>
      </c>
      <c r="H169" s="60">
        <f t="shared" si="78"/>
        <v>8787.5</v>
      </c>
      <c r="I169" s="61">
        <f t="shared" si="79"/>
        <v>-16.682788051209108</v>
      </c>
      <c r="J169">
        <v>744.1</v>
      </c>
    </row>
    <row r="170" spans="1:10" x14ac:dyDescent="0.25">
      <c r="A170" s="57">
        <f t="shared" si="80"/>
        <v>40017</v>
      </c>
      <c r="B170" s="58" t="s">
        <v>4</v>
      </c>
      <c r="C170">
        <v>831.3</v>
      </c>
      <c r="D170">
        <v>1074.5999999999999</v>
      </c>
      <c r="E170">
        <v>6565.4</v>
      </c>
      <c r="F170">
        <v>7826.7</v>
      </c>
      <c r="G170" s="60">
        <f t="shared" si="77"/>
        <v>7396.7</v>
      </c>
      <c r="H170" s="60">
        <f t="shared" si="78"/>
        <v>8901.2999999999993</v>
      </c>
      <c r="I170" s="61">
        <f t="shared" si="79"/>
        <v>-16.903148978239123</v>
      </c>
      <c r="J170">
        <v>1021.6</v>
      </c>
    </row>
    <row r="171" spans="1:10" x14ac:dyDescent="0.25">
      <c r="A171" s="57">
        <f t="shared" si="80"/>
        <v>40024</v>
      </c>
      <c r="B171" s="58" t="s">
        <v>4</v>
      </c>
      <c r="C171">
        <v>694.5</v>
      </c>
      <c r="D171">
        <v>982.6</v>
      </c>
      <c r="E171">
        <v>6738.5</v>
      </c>
      <c r="F171">
        <v>7936.2</v>
      </c>
      <c r="G171" s="60">
        <f t="shared" si="77"/>
        <v>7433</v>
      </c>
      <c r="H171" s="60">
        <f t="shared" si="78"/>
        <v>8918.7999999999993</v>
      </c>
      <c r="I171" s="61">
        <f t="shared" si="79"/>
        <v>-16.659191819527287</v>
      </c>
      <c r="J171">
        <v>1166.5999999999999</v>
      </c>
    </row>
    <row r="172" spans="1:10" x14ac:dyDescent="0.25">
      <c r="A172" s="57">
        <f t="shared" si="80"/>
        <v>40031</v>
      </c>
      <c r="B172" s="58" t="s">
        <v>4</v>
      </c>
      <c r="C172">
        <v>634.4</v>
      </c>
      <c r="D172">
        <v>760.1</v>
      </c>
      <c r="E172">
        <v>6832.9</v>
      </c>
      <c r="F172">
        <v>8199</v>
      </c>
      <c r="G172" s="60">
        <f t="shared" si="77"/>
        <v>7467.2999999999993</v>
      </c>
      <c r="H172" s="60">
        <f t="shared" si="78"/>
        <v>8959.1</v>
      </c>
      <c r="I172" s="61">
        <f t="shared" si="79"/>
        <v>-16.65122612762444</v>
      </c>
      <c r="J172">
        <v>1206.5999999999999</v>
      </c>
    </row>
    <row r="173" spans="1:10" x14ac:dyDescent="0.25">
      <c r="A173" s="57">
        <f t="shared" si="80"/>
        <v>40038</v>
      </c>
      <c r="B173" s="58" t="s">
        <v>4</v>
      </c>
      <c r="C173">
        <v>479</v>
      </c>
      <c r="D173">
        <v>630.70000000000005</v>
      </c>
      <c r="E173">
        <v>7035.8</v>
      </c>
      <c r="F173">
        <v>8397.7000000000007</v>
      </c>
      <c r="G173" s="60">
        <f t="shared" si="77"/>
        <v>7514.8</v>
      </c>
      <c r="H173" s="60">
        <f t="shared" si="78"/>
        <v>9028.4000000000015</v>
      </c>
      <c r="I173" s="61">
        <f t="shared" si="79"/>
        <v>-16.764875282442084</v>
      </c>
      <c r="J173">
        <v>1272.3</v>
      </c>
    </row>
    <row r="174" spans="1:10" x14ac:dyDescent="0.25">
      <c r="A174" s="57">
        <f t="shared" si="80"/>
        <v>40045</v>
      </c>
      <c r="B174" s="58" t="s">
        <v>4</v>
      </c>
      <c r="C174">
        <v>358.8</v>
      </c>
      <c r="D174">
        <v>588.5</v>
      </c>
      <c r="E174">
        <v>7185.9</v>
      </c>
      <c r="F174">
        <v>8503.2999999999993</v>
      </c>
      <c r="G174" s="60">
        <f t="shared" si="77"/>
        <v>7544.7</v>
      </c>
      <c r="H174" s="60">
        <f t="shared" si="78"/>
        <v>9091.7999999999993</v>
      </c>
      <c r="I174" s="61">
        <f t="shared" si="79"/>
        <v>-17.016432389625813</v>
      </c>
      <c r="J174">
        <v>1444.7</v>
      </c>
    </row>
    <row r="175" spans="1:10" x14ac:dyDescent="0.25">
      <c r="A175" s="57">
        <f t="shared" si="80"/>
        <v>40052</v>
      </c>
      <c r="B175" s="58" t="s">
        <v>4</v>
      </c>
      <c r="C175">
        <v>228.9</v>
      </c>
      <c r="D175">
        <v>523.5</v>
      </c>
      <c r="E175">
        <v>7359</v>
      </c>
      <c r="F175">
        <v>8640.6</v>
      </c>
      <c r="G175" s="60">
        <f t="shared" si="77"/>
        <v>7587.9</v>
      </c>
      <c r="H175" s="60">
        <f t="shared" si="78"/>
        <v>9164.1</v>
      </c>
      <c r="I175" s="61">
        <f t="shared" si="79"/>
        <v>-17.199725013912992</v>
      </c>
      <c r="J175">
        <v>1554.8</v>
      </c>
    </row>
    <row r="176" spans="1:10" x14ac:dyDescent="0.25">
      <c r="A176" s="57">
        <f t="shared" si="80"/>
        <v>40059</v>
      </c>
      <c r="B176" s="58" t="s">
        <v>4</v>
      </c>
      <c r="C176">
        <v>1822.9</v>
      </c>
      <c r="D176">
        <v>2504.5</v>
      </c>
      <c r="E176">
        <v>80.099999999999994</v>
      </c>
      <c r="F176">
        <v>58.4</v>
      </c>
      <c r="G176" s="60">
        <f t="shared" si="77"/>
        <v>1903</v>
      </c>
      <c r="H176" s="60">
        <f t="shared" si="78"/>
        <v>2562.9</v>
      </c>
      <c r="I176" s="61">
        <f t="shared" si="79"/>
        <v>-25.748175894494519</v>
      </c>
    </row>
    <row r="177" spans="1:10" x14ac:dyDescent="0.25">
      <c r="A177" s="57">
        <f t="shared" si="80"/>
        <v>40066</v>
      </c>
      <c r="B177" s="58" t="s">
        <v>4</v>
      </c>
      <c r="C177">
        <v>1839.6</v>
      </c>
      <c r="D177">
        <v>2572</v>
      </c>
      <c r="E177">
        <v>223.7</v>
      </c>
      <c r="F177">
        <v>178.1</v>
      </c>
      <c r="G177" s="60">
        <f t="shared" si="77"/>
        <v>2063.2999999999997</v>
      </c>
      <c r="H177" s="60">
        <f t="shared" si="78"/>
        <v>2750.1</v>
      </c>
      <c r="I177" s="61">
        <f t="shared" si="79"/>
        <v>-24.973637322279195</v>
      </c>
      <c r="J177">
        <v>32.4</v>
      </c>
    </row>
    <row r="178" spans="1:10" x14ac:dyDescent="0.25">
      <c r="A178" s="57">
        <f t="shared" si="80"/>
        <v>40073</v>
      </c>
      <c r="B178" s="58" t="s">
        <v>4</v>
      </c>
      <c r="C178">
        <v>2108.8000000000002</v>
      </c>
      <c r="D178">
        <v>2674.8</v>
      </c>
      <c r="E178">
        <v>404.6</v>
      </c>
      <c r="F178">
        <v>305</v>
      </c>
      <c r="G178" s="60">
        <f t="shared" si="77"/>
        <v>2513.4</v>
      </c>
      <c r="H178" s="60">
        <f t="shared" si="78"/>
        <v>2979.8</v>
      </c>
      <c r="I178" s="61">
        <f t="shared" si="79"/>
        <v>-15.652057185045976</v>
      </c>
      <c r="J178">
        <v>32.4</v>
      </c>
    </row>
    <row r="179" spans="1:10" x14ac:dyDescent="0.25">
      <c r="A179" s="57">
        <f t="shared" si="80"/>
        <v>40080</v>
      </c>
      <c r="B179" s="58" t="s">
        <v>4</v>
      </c>
      <c r="C179">
        <v>2162.8000000000002</v>
      </c>
      <c r="D179">
        <v>2582.9</v>
      </c>
      <c r="E179">
        <v>535.6</v>
      </c>
      <c r="F179">
        <v>492.8</v>
      </c>
      <c r="G179" s="60">
        <f t="shared" si="77"/>
        <v>2698.4</v>
      </c>
      <c r="H179" s="60">
        <f t="shared" si="78"/>
        <v>3075.7000000000003</v>
      </c>
      <c r="I179" s="61">
        <f t="shared" si="79"/>
        <v>-12.267126182657606</v>
      </c>
      <c r="J179">
        <v>32.4</v>
      </c>
    </row>
    <row r="180" spans="1:10" x14ac:dyDescent="0.25">
      <c r="A180" s="57">
        <f t="shared" si="80"/>
        <v>40087</v>
      </c>
      <c r="B180" s="58" t="s">
        <v>4</v>
      </c>
      <c r="C180">
        <v>2140.5</v>
      </c>
      <c r="D180">
        <v>2660.9</v>
      </c>
      <c r="E180">
        <v>672.6</v>
      </c>
      <c r="F180">
        <v>606.1</v>
      </c>
      <c r="G180" s="60">
        <f t="shared" si="77"/>
        <v>2813.1</v>
      </c>
      <c r="H180" s="60">
        <f t="shared" si="78"/>
        <v>3267</v>
      </c>
      <c r="I180" s="61">
        <f t="shared" si="79"/>
        <v>-13.89348025711662</v>
      </c>
      <c r="J180">
        <v>32.4</v>
      </c>
    </row>
    <row r="181" spans="1:10" x14ac:dyDescent="0.25">
      <c r="A181" s="57">
        <f t="shared" si="80"/>
        <v>40094</v>
      </c>
      <c r="B181" s="58" t="s">
        <v>4</v>
      </c>
      <c r="C181">
        <v>2149.1</v>
      </c>
      <c r="D181">
        <v>2760.4</v>
      </c>
      <c r="E181">
        <v>734.6</v>
      </c>
      <c r="F181">
        <v>762.8</v>
      </c>
      <c r="G181" s="60">
        <f t="shared" si="77"/>
        <v>2883.7</v>
      </c>
      <c r="H181" s="60">
        <f t="shared" si="78"/>
        <v>3523.2</v>
      </c>
      <c r="I181" s="61">
        <f t="shared" si="79"/>
        <v>-18.151112624886466</v>
      </c>
    </row>
    <row r="182" spans="1:10" x14ac:dyDescent="0.25">
      <c r="A182" s="57">
        <f t="shared" si="80"/>
        <v>40101</v>
      </c>
      <c r="B182" s="58" t="s">
        <v>4</v>
      </c>
      <c r="C182">
        <v>2096.6999999999998</v>
      </c>
      <c r="D182">
        <v>2599.4</v>
      </c>
      <c r="E182">
        <v>873.5</v>
      </c>
      <c r="F182">
        <v>989.2</v>
      </c>
      <c r="G182" s="60">
        <f t="shared" si="77"/>
        <v>2970.2</v>
      </c>
      <c r="H182" s="60">
        <f t="shared" si="78"/>
        <v>3588.6000000000004</v>
      </c>
      <c r="I182" s="61">
        <f t="shared" si="79"/>
        <v>-17.23234687621915</v>
      </c>
      <c r="J182">
        <v>47</v>
      </c>
    </row>
    <row r="183" spans="1:10" x14ac:dyDescent="0.25">
      <c r="A183" s="57">
        <f t="shared" si="80"/>
        <v>40108</v>
      </c>
      <c r="B183" s="58" t="s">
        <v>4</v>
      </c>
      <c r="C183">
        <v>2101.9</v>
      </c>
      <c r="D183">
        <v>2520.1</v>
      </c>
      <c r="E183">
        <v>958.6</v>
      </c>
      <c r="F183">
        <v>1154.5</v>
      </c>
      <c r="G183" s="60">
        <f t="shared" si="77"/>
        <v>3060.5</v>
      </c>
      <c r="H183" s="60">
        <f t="shared" si="78"/>
        <v>3674.6</v>
      </c>
      <c r="I183" s="61">
        <f t="shared" si="79"/>
        <v>-16.712023077341755</v>
      </c>
      <c r="J183">
        <v>47</v>
      </c>
    </row>
    <row r="184" spans="1:10" x14ac:dyDescent="0.25">
      <c r="A184" s="57">
        <f t="shared" si="80"/>
        <v>40115</v>
      </c>
      <c r="B184" s="58" t="s">
        <v>4</v>
      </c>
      <c r="C184">
        <v>2037.1</v>
      </c>
      <c r="D184">
        <v>2393.1999999999998</v>
      </c>
      <c r="E184">
        <v>1086.8</v>
      </c>
      <c r="F184">
        <v>1334</v>
      </c>
      <c r="G184" s="60">
        <f t="shared" si="77"/>
        <v>3123.8999999999996</v>
      </c>
      <c r="H184" s="60">
        <f t="shared" si="78"/>
        <v>3727.2</v>
      </c>
      <c r="I184" s="61">
        <f t="shared" si="79"/>
        <v>-16.186413393432076</v>
      </c>
      <c r="J184">
        <v>47</v>
      </c>
    </row>
    <row r="185" spans="1:10" x14ac:dyDescent="0.25">
      <c r="A185" s="57">
        <f t="shared" si="80"/>
        <v>40122</v>
      </c>
      <c r="B185" s="58" t="s">
        <v>4</v>
      </c>
      <c r="C185">
        <v>1922.8</v>
      </c>
      <c r="D185">
        <v>2231.3000000000002</v>
      </c>
      <c r="E185">
        <v>1229.9000000000001</v>
      </c>
      <c r="F185">
        <v>1639.3</v>
      </c>
      <c r="G185" s="60">
        <f t="shared" si="77"/>
        <v>3152.7</v>
      </c>
      <c r="H185" s="60">
        <f t="shared" si="78"/>
        <v>3870.6000000000004</v>
      </c>
      <c r="I185" s="61">
        <f t="shared" si="79"/>
        <v>-18.54751201364131</v>
      </c>
    </row>
    <row r="186" spans="1:10" x14ac:dyDescent="0.25">
      <c r="A186" s="57">
        <f t="shared" si="80"/>
        <v>40129</v>
      </c>
      <c r="B186" s="58" t="s">
        <v>4</v>
      </c>
      <c r="C186">
        <v>1811.8</v>
      </c>
      <c r="D186">
        <v>2231.3000000000002</v>
      </c>
      <c r="E186">
        <v>1371.5</v>
      </c>
      <c r="F186">
        <v>1639.3</v>
      </c>
      <c r="G186" s="60">
        <f t="shared" si="77"/>
        <v>3183.3</v>
      </c>
      <c r="H186" s="60">
        <f t="shared" si="78"/>
        <v>3870.6000000000004</v>
      </c>
      <c r="I186" s="61">
        <f t="shared" si="79"/>
        <v>-17.75693690900636</v>
      </c>
    </row>
    <row r="187" spans="1:10" x14ac:dyDescent="0.25">
      <c r="A187" s="57">
        <f t="shared" si="80"/>
        <v>40136</v>
      </c>
      <c r="B187" s="58" t="s">
        <v>4</v>
      </c>
      <c r="C187">
        <v>2354.1</v>
      </c>
      <c r="D187">
        <v>2041.2</v>
      </c>
      <c r="E187">
        <v>1493.6</v>
      </c>
      <c r="F187">
        <v>1877.2</v>
      </c>
      <c r="G187" s="60">
        <f t="shared" si="77"/>
        <v>3847.7</v>
      </c>
      <c r="H187" s="60">
        <f t="shared" si="78"/>
        <v>3918.4</v>
      </c>
      <c r="I187" s="61">
        <f t="shared" si="79"/>
        <v>-1.8043078807676638</v>
      </c>
      <c r="J187">
        <v>399.6</v>
      </c>
    </row>
    <row r="188" spans="1:10" x14ac:dyDescent="0.25">
      <c r="A188" s="57">
        <f t="shared" si="80"/>
        <v>40143</v>
      </c>
      <c r="B188" s="58" t="s">
        <v>4</v>
      </c>
      <c r="C188">
        <v>2204.8000000000002</v>
      </c>
      <c r="D188">
        <v>1985.7</v>
      </c>
      <c r="E188">
        <v>1671.2</v>
      </c>
      <c r="F188">
        <v>1988.3</v>
      </c>
      <c r="G188" s="60">
        <f t="shared" si="77"/>
        <v>3876</v>
      </c>
      <c r="H188" s="60">
        <f t="shared" si="78"/>
        <v>3974</v>
      </c>
      <c r="I188" s="61">
        <f t="shared" si="79"/>
        <v>-2.4660291897332653</v>
      </c>
      <c r="J188">
        <v>399.6</v>
      </c>
    </row>
    <row r="189" spans="1:10" x14ac:dyDescent="0.25">
      <c r="A189" s="57">
        <f t="shared" si="80"/>
        <v>40150</v>
      </c>
      <c r="B189" s="58" t="s">
        <v>4</v>
      </c>
      <c r="C189">
        <v>2124.4</v>
      </c>
      <c r="D189">
        <v>2386.8000000000002</v>
      </c>
      <c r="E189">
        <v>1855.2</v>
      </c>
      <c r="F189">
        <v>2173.4</v>
      </c>
      <c r="G189" s="60">
        <f t="shared" si="77"/>
        <v>3979.6000000000004</v>
      </c>
      <c r="H189" s="60">
        <f t="shared" si="78"/>
        <v>4560.2000000000007</v>
      </c>
      <c r="I189" s="61">
        <f t="shared" si="79"/>
        <v>-12.731897723784048</v>
      </c>
      <c r="J189">
        <v>399.6</v>
      </c>
    </row>
    <row r="190" spans="1:10" x14ac:dyDescent="0.25">
      <c r="A190" s="57">
        <f t="shared" si="80"/>
        <v>40157</v>
      </c>
      <c r="B190" s="58" t="s">
        <v>4</v>
      </c>
      <c r="C190">
        <v>2308.5</v>
      </c>
      <c r="D190">
        <v>2262.4</v>
      </c>
      <c r="E190">
        <v>1962.9</v>
      </c>
      <c r="F190">
        <v>2306.5</v>
      </c>
      <c r="G190" s="60">
        <f t="shared" si="77"/>
        <v>4271.3999999999996</v>
      </c>
      <c r="H190" s="60">
        <f t="shared" si="78"/>
        <v>4568.8999999999996</v>
      </c>
      <c r="I190" s="61">
        <f t="shared" si="79"/>
        <v>-6.5114141259384084</v>
      </c>
      <c r="J190">
        <v>399.6</v>
      </c>
    </row>
    <row r="191" spans="1:10" x14ac:dyDescent="0.25">
      <c r="A191" s="57">
        <f t="shared" si="80"/>
        <v>40164</v>
      </c>
      <c r="B191" s="58" t="s">
        <v>4</v>
      </c>
      <c r="C191">
        <v>2769</v>
      </c>
      <c r="D191">
        <v>2224.3000000000002</v>
      </c>
      <c r="E191">
        <v>2056.1</v>
      </c>
      <c r="F191">
        <v>2425.6</v>
      </c>
      <c r="G191" s="60">
        <f t="shared" si="77"/>
        <v>4825.1000000000004</v>
      </c>
      <c r="H191" s="60">
        <f t="shared" si="78"/>
        <v>4649.8999999999996</v>
      </c>
      <c r="I191" s="61">
        <f t="shared" si="79"/>
        <v>3.7678229639347194</v>
      </c>
      <c r="J191">
        <v>399.6</v>
      </c>
    </row>
    <row r="192" spans="1:10" x14ac:dyDescent="0.25">
      <c r="A192" s="57">
        <f t="shared" si="80"/>
        <v>40171</v>
      </c>
      <c r="B192" s="58" t="s">
        <v>4</v>
      </c>
      <c r="C192">
        <v>2903.1</v>
      </c>
      <c r="D192">
        <v>2196.6999999999998</v>
      </c>
      <c r="E192">
        <v>2184.6999999999998</v>
      </c>
      <c r="F192">
        <v>2506.6</v>
      </c>
      <c r="G192" s="60">
        <f t="shared" si="77"/>
        <v>5087.7999999999993</v>
      </c>
      <c r="H192" s="60">
        <f t="shared" si="78"/>
        <v>4703.2999999999993</v>
      </c>
      <c r="I192" s="61">
        <f t="shared" si="79"/>
        <v>8.17511109221185</v>
      </c>
      <c r="J192">
        <v>399.6</v>
      </c>
    </row>
    <row r="193" spans="1:10" x14ac:dyDescent="0.25">
      <c r="A193" s="57">
        <f t="shared" si="80"/>
        <v>40178</v>
      </c>
      <c r="B193" s="58" t="s">
        <v>4</v>
      </c>
      <c r="C193">
        <v>2937.1</v>
      </c>
      <c r="D193">
        <v>2110.6999999999998</v>
      </c>
      <c r="E193">
        <v>2316.3000000000002</v>
      </c>
      <c r="F193">
        <v>2606.1</v>
      </c>
      <c r="G193" s="60">
        <f t="shared" si="77"/>
        <v>5253.4</v>
      </c>
      <c r="H193" s="60">
        <f t="shared" si="78"/>
        <v>4716.7999999999993</v>
      </c>
      <c r="I193" s="61">
        <f t="shared" si="79"/>
        <v>11.37635685210312</v>
      </c>
      <c r="J193">
        <v>399.6</v>
      </c>
    </row>
    <row r="194" spans="1:10" x14ac:dyDescent="0.25">
      <c r="A194" s="57">
        <f t="shared" si="80"/>
        <v>40185</v>
      </c>
      <c r="B194" s="58" t="s">
        <v>4</v>
      </c>
      <c r="C194">
        <v>2840.4</v>
      </c>
      <c r="D194">
        <v>1967.1</v>
      </c>
      <c r="E194">
        <v>2391.1999999999998</v>
      </c>
      <c r="F194">
        <v>2780.3</v>
      </c>
      <c r="G194" s="60">
        <f t="shared" ref="G194:G257" si="81">+C194+E194</f>
        <v>5231.6000000000004</v>
      </c>
      <c r="H194" s="60">
        <f t="shared" ref="H194:H257" si="82">+D194+F194</f>
        <v>4747.3999999999996</v>
      </c>
      <c r="I194" s="61">
        <f t="shared" ref="I194:I257" si="83">+(G194/H194-1)*100</f>
        <v>10.199266967182052</v>
      </c>
      <c r="J194">
        <v>400</v>
      </c>
    </row>
    <row r="195" spans="1:10" x14ac:dyDescent="0.25">
      <c r="A195" s="57">
        <f t="shared" si="80"/>
        <v>40192</v>
      </c>
      <c r="B195" s="58" t="s">
        <v>4</v>
      </c>
      <c r="C195">
        <v>2805.6</v>
      </c>
      <c r="D195">
        <v>1989.8</v>
      </c>
      <c r="E195">
        <v>2539.6</v>
      </c>
      <c r="F195">
        <v>2852.5</v>
      </c>
      <c r="G195" s="60">
        <f t="shared" si="81"/>
        <v>5345.2</v>
      </c>
      <c r="H195" s="60">
        <f t="shared" si="82"/>
        <v>4842.3</v>
      </c>
      <c r="I195" s="61">
        <f t="shared" si="83"/>
        <v>10.385560580715758</v>
      </c>
      <c r="J195">
        <v>400</v>
      </c>
    </row>
    <row r="196" spans="1:10" x14ac:dyDescent="0.25">
      <c r="A196" s="57">
        <f t="shared" si="80"/>
        <v>40199</v>
      </c>
      <c r="B196" s="58" t="s">
        <v>4</v>
      </c>
      <c r="C196">
        <v>2765.4</v>
      </c>
      <c r="D196">
        <v>2052.1999999999998</v>
      </c>
      <c r="E196">
        <v>2651.4</v>
      </c>
      <c r="F196">
        <v>2972.9</v>
      </c>
      <c r="G196" s="60">
        <f t="shared" si="81"/>
        <v>5416.8</v>
      </c>
      <c r="H196" s="60">
        <f t="shared" si="82"/>
        <v>5025.1000000000004</v>
      </c>
      <c r="I196" s="61">
        <f t="shared" si="83"/>
        <v>7.7948697538357425</v>
      </c>
      <c r="J196">
        <v>400</v>
      </c>
    </row>
    <row r="197" spans="1:10" x14ac:dyDescent="0.25">
      <c r="A197" s="57">
        <f t="shared" si="80"/>
        <v>40206</v>
      </c>
      <c r="B197" s="58" t="s">
        <v>4</v>
      </c>
      <c r="C197">
        <v>2960.7</v>
      </c>
      <c r="D197">
        <v>1988.1</v>
      </c>
      <c r="E197">
        <v>2832.9</v>
      </c>
      <c r="F197">
        <v>3122.2</v>
      </c>
      <c r="G197" s="60">
        <f t="shared" si="81"/>
        <v>5793.6</v>
      </c>
      <c r="H197" s="60">
        <f t="shared" si="82"/>
        <v>5110.2999999999993</v>
      </c>
      <c r="I197" s="61">
        <f t="shared" si="83"/>
        <v>13.371034968592866</v>
      </c>
      <c r="J197">
        <v>399.6</v>
      </c>
    </row>
    <row r="198" spans="1:10" x14ac:dyDescent="0.25">
      <c r="A198" s="57">
        <f t="shared" si="80"/>
        <v>40213</v>
      </c>
      <c r="B198" s="58" t="s">
        <v>4</v>
      </c>
      <c r="C198">
        <v>2951</v>
      </c>
      <c r="D198">
        <v>1883.1</v>
      </c>
      <c r="E198">
        <v>2973.5</v>
      </c>
      <c r="F198">
        <v>3258.5</v>
      </c>
      <c r="G198" s="60">
        <f t="shared" si="81"/>
        <v>5924.5</v>
      </c>
      <c r="H198" s="60">
        <f t="shared" si="82"/>
        <v>5141.6000000000004</v>
      </c>
      <c r="I198" s="61">
        <f t="shared" si="83"/>
        <v>15.226777656760525</v>
      </c>
      <c r="J198">
        <v>406.5</v>
      </c>
    </row>
    <row r="199" spans="1:10" x14ac:dyDescent="0.25">
      <c r="A199" s="57">
        <f t="shared" si="80"/>
        <v>40220</v>
      </c>
      <c r="B199" s="58" t="s">
        <v>4</v>
      </c>
      <c r="C199">
        <v>2988.8</v>
      </c>
      <c r="D199">
        <v>1997.9</v>
      </c>
      <c r="E199">
        <v>3121.8</v>
      </c>
      <c r="F199">
        <v>3397</v>
      </c>
      <c r="G199" s="60">
        <f t="shared" si="81"/>
        <v>6110.6</v>
      </c>
      <c r="H199" s="60">
        <f t="shared" si="82"/>
        <v>5394.9</v>
      </c>
      <c r="I199" s="61">
        <f t="shared" si="83"/>
        <v>13.266232923687205</v>
      </c>
      <c r="J199">
        <v>406.5</v>
      </c>
    </row>
    <row r="200" spans="1:10" x14ac:dyDescent="0.25">
      <c r="A200" s="57">
        <f t="shared" si="80"/>
        <v>40227</v>
      </c>
      <c r="B200" s="58" t="s">
        <v>4</v>
      </c>
      <c r="C200">
        <v>2768</v>
      </c>
      <c r="D200">
        <v>1996</v>
      </c>
      <c r="E200">
        <v>3370.7</v>
      </c>
      <c r="F200">
        <v>3487.7</v>
      </c>
      <c r="G200" s="60">
        <f t="shared" si="81"/>
        <v>6138.7</v>
      </c>
      <c r="H200" s="60">
        <f t="shared" si="82"/>
        <v>5483.7</v>
      </c>
      <c r="I200" s="61">
        <f t="shared" si="83"/>
        <v>11.944490034101074</v>
      </c>
      <c r="J200">
        <v>406.5</v>
      </c>
    </row>
    <row r="201" spans="1:10" x14ac:dyDescent="0.25">
      <c r="A201" s="57">
        <f t="shared" si="80"/>
        <v>40234</v>
      </c>
      <c r="B201" s="58" t="s">
        <v>4</v>
      </c>
      <c r="C201">
        <v>2722.3</v>
      </c>
      <c r="D201">
        <v>1795.9</v>
      </c>
      <c r="E201">
        <v>3530.1</v>
      </c>
      <c r="F201">
        <v>3745.1</v>
      </c>
      <c r="G201" s="60">
        <f t="shared" si="81"/>
        <v>6252.4</v>
      </c>
      <c r="H201" s="60">
        <f t="shared" si="82"/>
        <v>5541</v>
      </c>
      <c r="I201" s="61">
        <f t="shared" si="83"/>
        <v>12.838837754917876</v>
      </c>
      <c r="J201">
        <v>406.5</v>
      </c>
    </row>
    <row r="202" spans="1:10" x14ac:dyDescent="0.25">
      <c r="A202" s="57">
        <f t="shared" si="80"/>
        <v>40241</v>
      </c>
      <c r="B202" s="58" t="s">
        <v>4</v>
      </c>
      <c r="C202">
        <v>2589.4</v>
      </c>
      <c r="D202">
        <v>1711.9</v>
      </c>
      <c r="E202">
        <v>3687.1</v>
      </c>
      <c r="F202">
        <v>3883.8</v>
      </c>
      <c r="G202" s="60">
        <f t="shared" si="81"/>
        <v>6276.5</v>
      </c>
      <c r="H202" s="60">
        <f t="shared" si="82"/>
        <v>5595.7000000000007</v>
      </c>
      <c r="I202" s="61">
        <f t="shared" si="83"/>
        <v>12.16648497953785</v>
      </c>
      <c r="J202">
        <v>406.5</v>
      </c>
    </row>
    <row r="203" spans="1:10" x14ac:dyDescent="0.25">
      <c r="A203" s="57">
        <f t="shared" si="80"/>
        <v>40248</v>
      </c>
      <c r="B203" s="58" t="s">
        <v>4</v>
      </c>
      <c r="C203">
        <v>2539.8000000000002</v>
      </c>
      <c r="D203">
        <v>1619.9</v>
      </c>
      <c r="E203">
        <v>3846.8</v>
      </c>
      <c r="F203">
        <v>3998.2</v>
      </c>
      <c r="G203" s="60">
        <f t="shared" si="81"/>
        <v>6386.6</v>
      </c>
      <c r="H203" s="60">
        <f t="shared" si="82"/>
        <v>5618.1</v>
      </c>
      <c r="I203" s="61">
        <f t="shared" si="83"/>
        <v>13.679001797760804</v>
      </c>
      <c r="J203">
        <v>406.5</v>
      </c>
    </row>
    <row r="204" spans="1:10" x14ac:dyDescent="0.25">
      <c r="A204" s="57">
        <f t="shared" si="80"/>
        <v>40255</v>
      </c>
      <c r="B204" s="58" t="s">
        <v>4</v>
      </c>
      <c r="C204">
        <v>2416.5</v>
      </c>
      <c r="D204">
        <v>1541.2</v>
      </c>
      <c r="E204">
        <v>4112.2</v>
      </c>
      <c r="F204">
        <v>4126.3</v>
      </c>
      <c r="G204" s="60">
        <f t="shared" si="81"/>
        <v>6528.7</v>
      </c>
      <c r="H204" s="60">
        <f t="shared" si="82"/>
        <v>5667.5</v>
      </c>
      <c r="I204" s="61">
        <f t="shared" si="83"/>
        <v>15.195412439347145</v>
      </c>
      <c r="J204">
        <v>406.5</v>
      </c>
    </row>
    <row r="205" spans="1:10" x14ac:dyDescent="0.25">
      <c r="A205" s="57">
        <f t="shared" si="80"/>
        <v>40262</v>
      </c>
      <c r="B205" s="58" t="s">
        <v>4</v>
      </c>
      <c r="C205">
        <v>2320.1</v>
      </c>
      <c r="D205">
        <v>1545.7</v>
      </c>
      <c r="E205">
        <v>4313.2</v>
      </c>
      <c r="F205">
        <v>4261.5</v>
      </c>
      <c r="G205" s="60">
        <f t="shared" si="81"/>
        <v>6633.2999999999993</v>
      </c>
      <c r="H205" s="60">
        <f t="shared" si="82"/>
        <v>5807.2</v>
      </c>
      <c r="I205" s="61">
        <f t="shared" si="83"/>
        <v>14.225444276071064</v>
      </c>
      <c r="J205">
        <v>406.5</v>
      </c>
    </row>
    <row r="206" spans="1:10" x14ac:dyDescent="0.25">
      <c r="A206" s="57">
        <f t="shared" si="80"/>
        <v>40269</v>
      </c>
      <c r="B206" s="58" t="s">
        <v>4</v>
      </c>
      <c r="C206">
        <v>2391.1</v>
      </c>
      <c r="D206">
        <v>1531.3</v>
      </c>
      <c r="E206">
        <v>4409.6000000000004</v>
      </c>
      <c r="F206">
        <v>4371</v>
      </c>
      <c r="G206" s="60">
        <f t="shared" si="81"/>
        <v>6800.7000000000007</v>
      </c>
      <c r="H206" s="60">
        <f t="shared" si="82"/>
        <v>5902.3</v>
      </c>
      <c r="I206" s="61">
        <f t="shared" si="83"/>
        <v>15.221184961794565</v>
      </c>
      <c r="J206">
        <v>406.5</v>
      </c>
    </row>
    <row r="207" spans="1:10" x14ac:dyDescent="0.25">
      <c r="A207" s="57">
        <f t="shared" si="80"/>
        <v>40276</v>
      </c>
      <c r="B207" s="58" t="s">
        <v>4</v>
      </c>
      <c r="C207">
        <v>2316.4</v>
      </c>
      <c r="D207">
        <v>1515</v>
      </c>
      <c r="E207">
        <v>4697.6000000000004</v>
      </c>
      <c r="F207">
        <v>4511.8</v>
      </c>
      <c r="G207" s="60">
        <f t="shared" si="81"/>
        <v>7014</v>
      </c>
      <c r="H207" s="60">
        <f t="shared" si="82"/>
        <v>6026.8</v>
      </c>
      <c r="I207" s="61">
        <f t="shared" si="83"/>
        <v>16.380168580341149</v>
      </c>
      <c r="J207">
        <v>605.79999999999995</v>
      </c>
    </row>
    <row r="208" spans="1:10" x14ac:dyDescent="0.25">
      <c r="A208" s="57">
        <f t="shared" si="80"/>
        <v>40283</v>
      </c>
      <c r="B208" s="58" t="s">
        <v>4</v>
      </c>
      <c r="C208">
        <v>2215.1999999999998</v>
      </c>
      <c r="D208">
        <v>1558.6</v>
      </c>
      <c r="E208">
        <v>4932.6000000000004</v>
      </c>
      <c r="F208">
        <v>4609.2</v>
      </c>
      <c r="G208" s="60">
        <f t="shared" si="81"/>
        <v>7147.8</v>
      </c>
      <c r="H208" s="60">
        <f t="shared" si="82"/>
        <v>6167.7999999999993</v>
      </c>
      <c r="I208" s="61">
        <f t="shared" si="83"/>
        <v>15.888971756542048</v>
      </c>
      <c r="J208">
        <v>605.79999999999995</v>
      </c>
    </row>
    <row r="209" spans="1:11" x14ac:dyDescent="0.25">
      <c r="A209" s="57">
        <f t="shared" si="80"/>
        <v>40290</v>
      </c>
      <c r="B209" s="58" t="s">
        <v>4</v>
      </c>
      <c r="C209">
        <v>2216.8000000000002</v>
      </c>
      <c r="D209">
        <v>1495</v>
      </c>
      <c r="E209">
        <v>5098.8999999999996</v>
      </c>
      <c r="F209">
        <v>4768.3999999999996</v>
      </c>
      <c r="G209" s="60">
        <f t="shared" si="81"/>
        <v>7315.7</v>
      </c>
      <c r="H209" s="60">
        <f t="shared" si="82"/>
        <v>6263.4</v>
      </c>
      <c r="I209" s="61">
        <f t="shared" si="83"/>
        <v>16.80077912954625</v>
      </c>
      <c r="J209">
        <v>645.79999999999995</v>
      </c>
    </row>
    <row r="210" spans="1:11" x14ac:dyDescent="0.25">
      <c r="A210" s="57">
        <f t="shared" si="80"/>
        <v>40297</v>
      </c>
      <c r="B210" s="58" t="s">
        <v>4</v>
      </c>
      <c r="C210">
        <v>2072.4</v>
      </c>
      <c r="D210">
        <v>1495.4</v>
      </c>
      <c r="E210">
        <v>5374.9</v>
      </c>
      <c r="F210">
        <v>4883.5</v>
      </c>
      <c r="G210" s="60">
        <f t="shared" si="81"/>
        <v>7447.2999999999993</v>
      </c>
      <c r="H210" s="60">
        <f t="shared" si="82"/>
        <v>6378.9</v>
      </c>
      <c r="I210" s="61">
        <f t="shared" si="83"/>
        <v>16.748969258022541</v>
      </c>
      <c r="J210">
        <v>645.79999999999995</v>
      </c>
      <c r="K210">
        <v>4.5999999999999996</v>
      </c>
    </row>
    <row r="211" spans="1:11" x14ac:dyDescent="0.25">
      <c r="A211" s="57">
        <f t="shared" si="80"/>
        <v>40304</v>
      </c>
      <c r="B211" s="58" t="s">
        <v>4</v>
      </c>
      <c r="C211">
        <v>2004.9</v>
      </c>
      <c r="D211">
        <v>1358.7</v>
      </c>
      <c r="E211">
        <v>5525.6</v>
      </c>
      <c r="F211">
        <v>5041.8999999999996</v>
      </c>
      <c r="G211" s="60">
        <f t="shared" si="81"/>
        <v>7530.5</v>
      </c>
      <c r="H211" s="60">
        <f t="shared" si="82"/>
        <v>6400.5999999999995</v>
      </c>
      <c r="I211" s="61">
        <f t="shared" si="83"/>
        <v>17.653032528200498</v>
      </c>
      <c r="J211">
        <v>656</v>
      </c>
      <c r="K211">
        <v>4.5999999999999996</v>
      </c>
    </row>
    <row r="212" spans="1:11" x14ac:dyDescent="0.25">
      <c r="A212" s="57">
        <f t="shared" si="80"/>
        <v>40311</v>
      </c>
      <c r="B212" s="58" t="s">
        <v>4</v>
      </c>
      <c r="C212">
        <v>1746.7</v>
      </c>
      <c r="D212">
        <v>1294</v>
      </c>
      <c r="E212">
        <v>5740.8</v>
      </c>
      <c r="F212">
        <v>5191</v>
      </c>
      <c r="G212" s="60">
        <f t="shared" si="81"/>
        <v>7487.5</v>
      </c>
      <c r="H212" s="60">
        <f t="shared" si="82"/>
        <v>6485</v>
      </c>
      <c r="I212" s="61">
        <f t="shared" si="83"/>
        <v>15.458750963762524</v>
      </c>
      <c r="J212">
        <v>656.6</v>
      </c>
    </row>
    <row r="213" spans="1:11" x14ac:dyDescent="0.25">
      <c r="A213" s="57">
        <f t="shared" si="80"/>
        <v>40318</v>
      </c>
      <c r="B213" s="58" t="s">
        <v>4</v>
      </c>
      <c r="C213">
        <v>1609.6</v>
      </c>
      <c r="D213">
        <v>1287</v>
      </c>
      <c r="E213">
        <v>5953.3</v>
      </c>
      <c r="F213">
        <v>5279.3</v>
      </c>
      <c r="G213" s="60">
        <f t="shared" si="81"/>
        <v>7562.9</v>
      </c>
      <c r="H213" s="60">
        <f t="shared" si="82"/>
        <v>6566.3</v>
      </c>
      <c r="I213" s="61">
        <f t="shared" si="83"/>
        <v>15.177497220656978</v>
      </c>
      <c r="J213">
        <v>667.7</v>
      </c>
      <c r="K213">
        <v>4.5999999999999996</v>
      </c>
    </row>
    <row r="214" spans="1:11" x14ac:dyDescent="0.25">
      <c r="A214" s="57">
        <f t="shared" si="80"/>
        <v>40325</v>
      </c>
      <c r="B214" s="58" t="s">
        <v>4</v>
      </c>
      <c r="C214">
        <v>1508.1</v>
      </c>
      <c r="D214">
        <v>1284.4000000000001</v>
      </c>
      <c r="E214">
        <v>6089.3</v>
      </c>
      <c r="F214">
        <v>5443.8</v>
      </c>
      <c r="G214" s="60">
        <f t="shared" si="81"/>
        <v>7597.4</v>
      </c>
      <c r="H214" s="60">
        <f t="shared" si="82"/>
        <v>6728.2000000000007</v>
      </c>
      <c r="I214" s="61">
        <f t="shared" si="83"/>
        <v>12.918759846615725</v>
      </c>
      <c r="J214">
        <v>667.7</v>
      </c>
    </row>
    <row r="215" spans="1:11" x14ac:dyDescent="0.25">
      <c r="A215" s="57">
        <f t="shared" si="80"/>
        <v>40332</v>
      </c>
      <c r="B215" s="58" t="s">
        <v>4</v>
      </c>
      <c r="C215">
        <v>1407.9</v>
      </c>
      <c r="D215">
        <v>1253.8</v>
      </c>
      <c r="E215">
        <v>6262.3</v>
      </c>
      <c r="F215">
        <v>5569.8</v>
      </c>
      <c r="G215" s="60">
        <f t="shared" si="81"/>
        <v>7670.2000000000007</v>
      </c>
      <c r="H215" s="60">
        <f t="shared" si="82"/>
        <v>6823.6</v>
      </c>
      <c r="I215" s="61">
        <f t="shared" si="83"/>
        <v>12.406940617855678</v>
      </c>
      <c r="J215">
        <v>667.7</v>
      </c>
    </row>
    <row r="216" spans="1:11" x14ac:dyDescent="0.25">
      <c r="A216" s="57">
        <f t="shared" si="80"/>
        <v>40339</v>
      </c>
      <c r="B216" s="58" t="s">
        <v>4</v>
      </c>
      <c r="C216">
        <v>1306.0999999999999</v>
      </c>
      <c r="D216">
        <v>1192.8</v>
      </c>
      <c r="E216">
        <v>6455</v>
      </c>
      <c r="F216">
        <v>5734.5</v>
      </c>
      <c r="G216" s="60">
        <f t="shared" si="81"/>
        <v>7761.1</v>
      </c>
      <c r="H216" s="60">
        <f t="shared" si="82"/>
        <v>6927.3</v>
      </c>
      <c r="I216" s="61">
        <f t="shared" si="83"/>
        <v>12.036435552090996</v>
      </c>
      <c r="J216">
        <v>667.7</v>
      </c>
    </row>
    <row r="217" spans="1:11" x14ac:dyDescent="0.25">
      <c r="A217" s="57">
        <f t="shared" si="80"/>
        <v>40346</v>
      </c>
      <c r="B217" s="58" t="s">
        <v>4</v>
      </c>
      <c r="C217">
        <v>1228.5999999999999</v>
      </c>
      <c r="D217">
        <v>1065.7</v>
      </c>
      <c r="E217">
        <v>6566.1</v>
      </c>
      <c r="F217">
        <v>5866.3</v>
      </c>
      <c r="G217" s="60">
        <f t="shared" si="81"/>
        <v>7794.7000000000007</v>
      </c>
      <c r="H217" s="60">
        <f t="shared" si="82"/>
        <v>6932</v>
      </c>
      <c r="I217" s="61">
        <f t="shared" si="83"/>
        <v>12.445181765724179</v>
      </c>
      <c r="J217">
        <v>667.7</v>
      </c>
    </row>
    <row r="218" spans="1:11" x14ac:dyDescent="0.25">
      <c r="A218" s="57">
        <f t="shared" si="80"/>
        <v>40353</v>
      </c>
      <c r="B218" s="58" t="s">
        <v>4</v>
      </c>
      <c r="C218">
        <v>1094</v>
      </c>
      <c r="D218">
        <v>1052.5</v>
      </c>
      <c r="E218">
        <v>6748.8</v>
      </c>
      <c r="F218">
        <v>5968.2</v>
      </c>
      <c r="G218" s="60">
        <f t="shared" si="81"/>
        <v>7842.8</v>
      </c>
      <c r="H218" s="60">
        <f t="shared" si="82"/>
        <v>7020.7</v>
      </c>
      <c r="I218" s="61">
        <f t="shared" si="83"/>
        <v>11.709658581053173</v>
      </c>
      <c r="J218">
        <v>667.7</v>
      </c>
    </row>
    <row r="219" spans="1:11" x14ac:dyDescent="0.25">
      <c r="A219" s="57">
        <f t="shared" si="80"/>
        <v>40360</v>
      </c>
      <c r="B219" s="58" t="s">
        <v>4</v>
      </c>
      <c r="C219">
        <v>1014.3</v>
      </c>
      <c r="D219">
        <v>973.9</v>
      </c>
      <c r="E219">
        <v>6853.1</v>
      </c>
      <c r="F219">
        <v>6099.2</v>
      </c>
      <c r="G219" s="60">
        <f t="shared" si="81"/>
        <v>7867.4000000000005</v>
      </c>
      <c r="H219" s="60">
        <f t="shared" si="82"/>
        <v>7073.0999999999995</v>
      </c>
      <c r="I219" s="61">
        <f t="shared" si="83"/>
        <v>11.229870919398866</v>
      </c>
      <c r="J219">
        <v>807.7</v>
      </c>
    </row>
    <row r="220" spans="1:11" x14ac:dyDescent="0.25">
      <c r="A220" s="57">
        <f t="shared" si="80"/>
        <v>40367</v>
      </c>
      <c r="B220" s="58" t="s">
        <v>4</v>
      </c>
      <c r="C220">
        <v>948.5</v>
      </c>
      <c r="D220">
        <v>1047.4000000000001</v>
      </c>
      <c r="E220">
        <v>6987.7</v>
      </c>
      <c r="F220">
        <v>6226</v>
      </c>
      <c r="G220" s="60">
        <f t="shared" si="81"/>
        <v>7936.2</v>
      </c>
      <c r="H220" s="60">
        <f t="shared" si="82"/>
        <v>7273.4</v>
      </c>
      <c r="I220" s="61">
        <f t="shared" si="83"/>
        <v>9.1126570792201775</v>
      </c>
      <c r="J220">
        <v>807.7</v>
      </c>
    </row>
    <row r="221" spans="1:11" x14ac:dyDescent="0.25">
      <c r="A221" s="57">
        <f t="shared" si="80"/>
        <v>40374</v>
      </c>
      <c r="B221" s="58" t="s">
        <v>4</v>
      </c>
      <c r="C221">
        <v>850</v>
      </c>
      <c r="D221">
        <v>952.3</v>
      </c>
      <c r="E221">
        <v>7140.5</v>
      </c>
      <c r="F221">
        <v>6369.2</v>
      </c>
      <c r="G221" s="60">
        <f t="shared" si="81"/>
        <v>7990.5</v>
      </c>
      <c r="H221" s="60">
        <f t="shared" si="82"/>
        <v>7321.5</v>
      </c>
      <c r="I221" s="61">
        <f t="shared" si="83"/>
        <v>9.1374718295431201</v>
      </c>
      <c r="J221">
        <v>836.8</v>
      </c>
    </row>
    <row r="222" spans="1:11" x14ac:dyDescent="0.25">
      <c r="A222" s="57">
        <f t="shared" si="80"/>
        <v>40381</v>
      </c>
      <c r="B222" s="58" t="s">
        <v>4</v>
      </c>
      <c r="C222">
        <v>854.3</v>
      </c>
      <c r="D222">
        <v>831.3</v>
      </c>
      <c r="E222">
        <v>7255.1</v>
      </c>
      <c r="F222">
        <v>6565.4</v>
      </c>
      <c r="G222" s="60">
        <f t="shared" si="81"/>
        <v>8109.4000000000005</v>
      </c>
      <c r="H222" s="60">
        <f t="shared" si="82"/>
        <v>7396.7</v>
      </c>
      <c r="I222" s="61">
        <f t="shared" si="83"/>
        <v>9.6353779388105529</v>
      </c>
      <c r="J222">
        <v>924.8</v>
      </c>
    </row>
    <row r="223" spans="1:11" x14ac:dyDescent="0.25">
      <c r="A223" s="57">
        <f t="shared" si="80"/>
        <v>40388</v>
      </c>
      <c r="B223" s="58" t="s">
        <v>4</v>
      </c>
      <c r="C223">
        <v>830.5</v>
      </c>
      <c r="D223">
        <v>694.5</v>
      </c>
      <c r="E223">
        <v>7332</v>
      </c>
      <c r="F223">
        <v>6738.5</v>
      </c>
      <c r="G223" s="60">
        <f t="shared" si="81"/>
        <v>8162.5</v>
      </c>
      <c r="H223" s="60">
        <f t="shared" si="82"/>
        <v>7433</v>
      </c>
      <c r="I223" s="61">
        <f t="shared" si="83"/>
        <v>9.8143414502892554</v>
      </c>
      <c r="J223">
        <v>1107.0999999999999</v>
      </c>
    </row>
    <row r="224" spans="1:11" x14ac:dyDescent="0.25">
      <c r="A224" s="57">
        <f t="shared" si="80"/>
        <v>40395</v>
      </c>
      <c r="B224" s="58" t="s">
        <v>4</v>
      </c>
      <c r="C224">
        <v>715.7</v>
      </c>
      <c r="D224">
        <v>634.4</v>
      </c>
      <c r="E224">
        <v>7526.2</v>
      </c>
      <c r="F224">
        <v>6832.9</v>
      </c>
      <c r="G224" s="60">
        <f t="shared" si="81"/>
        <v>8241.9</v>
      </c>
      <c r="H224" s="60">
        <f t="shared" si="82"/>
        <v>7467.2999999999993</v>
      </c>
      <c r="I224" s="61">
        <f t="shared" si="83"/>
        <v>10.373227270901131</v>
      </c>
      <c r="J224">
        <v>1150.5999999999999</v>
      </c>
    </row>
    <row r="225" spans="1:10" x14ac:dyDescent="0.25">
      <c r="A225" s="57">
        <f t="shared" si="80"/>
        <v>40402</v>
      </c>
      <c r="B225" s="58" t="s">
        <v>4</v>
      </c>
      <c r="C225">
        <v>627.79999999999995</v>
      </c>
      <c r="D225">
        <v>479</v>
      </c>
      <c r="E225">
        <v>7630.4</v>
      </c>
      <c r="F225">
        <v>7035.8</v>
      </c>
      <c r="G225" s="60">
        <f t="shared" si="81"/>
        <v>8258.1999999999989</v>
      </c>
      <c r="H225" s="60">
        <f t="shared" si="82"/>
        <v>7514.8</v>
      </c>
      <c r="I225" s="61">
        <f t="shared" si="83"/>
        <v>9.8924788417522613</v>
      </c>
      <c r="J225">
        <v>1630.6</v>
      </c>
    </row>
    <row r="226" spans="1:10" x14ac:dyDescent="0.25">
      <c r="A226" s="57">
        <f t="shared" si="80"/>
        <v>40409</v>
      </c>
      <c r="B226" s="58" t="s">
        <v>4</v>
      </c>
      <c r="C226">
        <v>508.3</v>
      </c>
      <c r="D226">
        <v>358.8</v>
      </c>
      <c r="E226">
        <v>7734.3</v>
      </c>
      <c r="F226">
        <v>7185.9</v>
      </c>
      <c r="G226" s="60">
        <f t="shared" si="81"/>
        <v>8242.6</v>
      </c>
      <c r="H226" s="60">
        <f t="shared" si="82"/>
        <v>7544.7</v>
      </c>
      <c r="I226" s="61">
        <f t="shared" si="83"/>
        <v>9.2502021286466007</v>
      </c>
      <c r="J226">
        <v>1914.6</v>
      </c>
    </row>
    <row r="227" spans="1:10" x14ac:dyDescent="0.25">
      <c r="A227" s="57">
        <f t="shared" si="80"/>
        <v>40416</v>
      </c>
      <c r="B227" s="58" t="s">
        <v>4</v>
      </c>
      <c r="C227">
        <v>347</v>
      </c>
      <c r="D227">
        <v>228.9</v>
      </c>
      <c r="E227">
        <v>7895.9</v>
      </c>
      <c r="F227">
        <v>7359</v>
      </c>
      <c r="G227" s="60">
        <f t="shared" si="81"/>
        <v>8242.9</v>
      </c>
      <c r="H227" s="60">
        <f t="shared" si="82"/>
        <v>7587.9</v>
      </c>
      <c r="I227" s="61">
        <f t="shared" si="83"/>
        <v>8.6321643669526438</v>
      </c>
      <c r="J227">
        <v>1996.1</v>
      </c>
    </row>
    <row r="228" spans="1:10" x14ac:dyDescent="0.25">
      <c r="A228" s="57">
        <f t="shared" si="80"/>
        <v>40423</v>
      </c>
      <c r="B228" s="58" t="s">
        <v>4</v>
      </c>
      <c r="C228">
        <v>2283</v>
      </c>
      <c r="D228">
        <v>1822.9</v>
      </c>
      <c r="E228">
        <v>30.2</v>
      </c>
      <c r="F228">
        <v>80.099999999999994</v>
      </c>
      <c r="G228" s="60">
        <f t="shared" si="81"/>
        <v>2313.1999999999998</v>
      </c>
      <c r="H228" s="60">
        <f t="shared" si="82"/>
        <v>1903</v>
      </c>
      <c r="I228" s="61">
        <f t="shared" si="83"/>
        <v>21.555438780872294</v>
      </c>
    </row>
    <row r="229" spans="1:10" x14ac:dyDescent="0.25">
      <c r="A229" s="57">
        <f t="shared" si="80"/>
        <v>40430</v>
      </c>
      <c r="B229" s="58" t="s">
        <v>4</v>
      </c>
      <c r="C229">
        <v>2171.9</v>
      </c>
      <c r="D229">
        <v>1839.6</v>
      </c>
      <c r="E229">
        <v>154.1</v>
      </c>
      <c r="F229">
        <v>223.7</v>
      </c>
      <c r="G229" s="60">
        <f t="shared" si="81"/>
        <v>2326</v>
      </c>
      <c r="H229" s="60">
        <f t="shared" si="82"/>
        <v>2063.2999999999997</v>
      </c>
      <c r="I229" s="61">
        <f t="shared" si="83"/>
        <v>12.732031212135908</v>
      </c>
      <c r="J229" s="4"/>
    </row>
    <row r="230" spans="1:10" x14ac:dyDescent="0.25">
      <c r="A230" s="57">
        <f t="shared" si="80"/>
        <v>40437</v>
      </c>
      <c r="B230" s="58" t="s">
        <v>4</v>
      </c>
      <c r="C230">
        <v>2109.9</v>
      </c>
      <c r="D230">
        <v>2108.8000000000002</v>
      </c>
      <c r="E230">
        <v>321.2</v>
      </c>
      <c r="F230">
        <v>404.6</v>
      </c>
      <c r="G230" s="60">
        <f t="shared" si="81"/>
        <v>2431.1</v>
      </c>
      <c r="H230" s="60">
        <f t="shared" si="82"/>
        <v>2513.4</v>
      </c>
      <c r="I230" s="61">
        <f t="shared" si="83"/>
        <v>-3.2744489536086663</v>
      </c>
    </row>
    <row r="231" spans="1:10" x14ac:dyDescent="0.25">
      <c r="A231" s="57">
        <f t="shared" si="80"/>
        <v>40444</v>
      </c>
      <c r="B231" s="58" t="s">
        <v>4</v>
      </c>
      <c r="C231">
        <v>1991</v>
      </c>
      <c r="D231">
        <v>2162.8000000000002</v>
      </c>
      <c r="E231">
        <v>463.7</v>
      </c>
      <c r="F231">
        <v>535.1</v>
      </c>
      <c r="G231" s="60">
        <f t="shared" si="81"/>
        <v>2454.6999999999998</v>
      </c>
      <c r="H231" s="60">
        <f t="shared" si="82"/>
        <v>2697.9</v>
      </c>
      <c r="I231" s="61">
        <f t="shared" si="83"/>
        <v>-9.0144186218911067</v>
      </c>
    </row>
    <row r="232" spans="1:10" x14ac:dyDescent="0.25">
      <c r="A232" s="57">
        <f t="shared" si="80"/>
        <v>40451</v>
      </c>
      <c r="B232" s="58" t="s">
        <v>4</v>
      </c>
      <c r="C232">
        <v>1895.9</v>
      </c>
      <c r="D232">
        <v>2140.5</v>
      </c>
      <c r="E232">
        <v>592</v>
      </c>
      <c r="F232">
        <v>672.1</v>
      </c>
      <c r="G232" s="60">
        <f t="shared" si="81"/>
        <v>2487.9</v>
      </c>
      <c r="H232" s="60">
        <f t="shared" si="82"/>
        <v>2812.6</v>
      </c>
      <c r="I232" s="61">
        <f t="shared" si="83"/>
        <v>-11.544478418545111</v>
      </c>
    </row>
    <row r="233" spans="1:10" x14ac:dyDescent="0.25">
      <c r="A233" s="57">
        <f t="shared" si="80"/>
        <v>40458</v>
      </c>
      <c r="B233" s="58" t="s">
        <v>4</v>
      </c>
      <c r="C233">
        <v>2387.1</v>
      </c>
      <c r="D233">
        <v>2149.1</v>
      </c>
      <c r="E233">
        <v>662.5</v>
      </c>
      <c r="F233">
        <v>734.1</v>
      </c>
      <c r="G233" s="60">
        <f t="shared" si="81"/>
        <v>3049.6</v>
      </c>
      <c r="H233" s="60">
        <f t="shared" si="82"/>
        <v>2883.2</v>
      </c>
      <c r="I233" s="61">
        <f t="shared" si="83"/>
        <v>5.7713651498335183</v>
      </c>
    </row>
    <row r="234" spans="1:10" x14ac:dyDescent="0.25">
      <c r="A234" s="57">
        <f t="shared" si="80"/>
        <v>40465</v>
      </c>
      <c r="B234" s="58" t="s">
        <v>4</v>
      </c>
      <c r="C234">
        <v>2276</v>
      </c>
      <c r="D234">
        <v>2096.6999999999998</v>
      </c>
      <c r="E234">
        <v>727.7</v>
      </c>
      <c r="F234">
        <v>873.5</v>
      </c>
      <c r="G234" s="60">
        <f t="shared" si="81"/>
        <v>3003.7</v>
      </c>
      <c r="H234" s="60">
        <f t="shared" si="82"/>
        <v>2970.2</v>
      </c>
      <c r="I234" s="61">
        <f t="shared" si="83"/>
        <v>1.1278701770924604</v>
      </c>
      <c r="J234">
        <v>278.89999999999998</v>
      </c>
    </row>
    <row r="235" spans="1:10" x14ac:dyDescent="0.25">
      <c r="A235" s="57">
        <f t="shared" si="80"/>
        <v>40472</v>
      </c>
      <c r="B235" s="58" t="s">
        <v>4</v>
      </c>
      <c r="C235">
        <v>2289</v>
      </c>
      <c r="D235">
        <v>2101.9</v>
      </c>
      <c r="E235">
        <v>775.2</v>
      </c>
      <c r="F235">
        <v>958.6</v>
      </c>
      <c r="G235" s="60">
        <f t="shared" si="81"/>
        <v>3064.2</v>
      </c>
      <c r="H235" s="60">
        <f t="shared" si="82"/>
        <v>3060.5</v>
      </c>
      <c r="I235" s="61">
        <f t="shared" si="83"/>
        <v>0.12089527854926008</v>
      </c>
      <c r="J235">
        <v>278.89999999999998</v>
      </c>
    </row>
    <row r="236" spans="1:10" x14ac:dyDescent="0.25">
      <c r="A236" s="57">
        <f t="shared" si="80"/>
        <v>40479</v>
      </c>
      <c r="B236" s="58" t="s">
        <v>4</v>
      </c>
      <c r="C236">
        <v>2157.1999999999998</v>
      </c>
      <c r="D236">
        <v>2037.1</v>
      </c>
      <c r="E236">
        <v>903.7</v>
      </c>
      <c r="F236">
        <v>1086.8</v>
      </c>
      <c r="G236" s="60">
        <f t="shared" si="81"/>
        <v>3060.8999999999996</v>
      </c>
      <c r="H236" s="60">
        <f t="shared" si="82"/>
        <v>3123.8999999999996</v>
      </c>
      <c r="I236" s="61">
        <f t="shared" si="83"/>
        <v>-2.0167098818784202</v>
      </c>
      <c r="J236">
        <v>278.89999999999998</v>
      </c>
    </row>
    <row r="237" spans="1:10" x14ac:dyDescent="0.25">
      <c r="A237" s="57">
        <f t="shared" si="80"/>
        <v>40486</v>
      </c>
      <c r="B237" s="58" t="s">
        <v>4</v>
      </c>
      <c r="C237">
        <v>2112</v>
      </c>
      <c r="D237">
        <v>1922.8</v>
      </c>
      <c r="E237">
        <v>1015.6</v>
      </c>
      <c r="F237">
        <v>1229.9000000000001</v>
      </c>
      <c r="G237" s="60">
        <f t="shared" si="81"/>
        <v>3127.6</v>
      </c>
      <c r="H237" s="60">
        <f t="shared" si="82"/>
        <v>3152.7</v>
      </c>
      <c r="I237" s="61">
        <f t="shared" si="83"/>
        <v>-0.7961429885494975</v>
      </c>
      <c r="J237">
        <v>278.89999999999998</v>
      </c>
    </row>
    <row r="238" spans="1:10" x14ac:dyDescent="0.25">
      <c r="A238" s="57">
        <f t="shared" si="80"/>
        <v>40493</v>
      </c>
      <c r="B238" s="58" t="s">
        <v>4</v>
      </c>
      <c r="C238">
        <v>2047.6</v>
      </c>
      <c r="D238">
        <v>1811.8</v>
      </c>
      <c r="E238">
        <v>1110.0999999999999</v>
      </c>
      <c r="F238">
        <v>1371.5</v>
      </c>
      <c r="G238" s="60">
        <f t="shared" si="81"/>
        <v>3157.7</v>
      </c>
      <c r="H238" s="60">
        <f t="shared" si="82"/>
        <v>3183.3</v>
      </c>
      <c r="I238" s="61">
        <f t="shared" si="83"/>
        <v>-0.80419690258537457</v>
      </c>
      <c r="J238">
        <v>278.89999999999998</v>
      </c>
    </row>
    <row r="239" spans="1:10" x14ac:dyDescent="0.25">
      <c r="A239" s="57">
        <f t="shared" si="80"/>
        <v>40500</v>
      </c>
      <c r="B239" s="58" t="s">
        <v>4</v>
      </c>
      <c r="C239">
        <v>1929.5</v>
      </c>
      <c r="D239">
        <v>2354.1</v>
      </c>
      <c r="E239">
        <v>1229.5999999999999</v>
      </c>
      <c r="F239">
        <v>1493.6</v>
      </c>
      <c r="G239" s="60">
        <f t="shared" si="81"/>
        <v>3159.1</v>
      </c>
      <c r="H239" s="60">
        <f t="shared" si="82"/>
        <v>3847.7</v>
      </c>
      <c r="I239" s="61">
        <f t="shared" si="83"/>
        <v>-17.896405644930734</v>
      </c>
      <c r="J239">
        <v>278.89999999999998</v>
      </c>
    </row>
    <row r="240" spans="1:10" x14ac:dyDescent="0.25">
      <c r="A240" s="57">
        <f t="shared" si="80"/>
        <v>40507</v>
      </c>
      <c r="B240" s="58" t="s">
        <v>4</v>
      </c>
      <c r="C240">
        <v>1934</v>
      </c>
      <c r="D240">
        <v>2204.8000000000002</v>
      </c>
      <c r="E240">
        <v>1418</v>
      </c>
      <c r="F240">
        <v>1671.2</v>
      </c>
      <c r="G240" s="60">
        <f t="shared" si="81"/>
        <v>3352</v>
      </c>
      <c r="H240" s="60">
        <f t="shared" si="82"/>
        <v>3876</v>
      </c>
      <c r="I240" s="61">
        <f t="shared" si="83"/>
        <v>-13.519091847265219</v>
      </c>
      <c r="J240">
        <v>278.89999999999998</v>
      </c>
    </row>
    <row r="241" spans="1:10" x14ac:dyDescent="0.25">
      <c r="A241" s="57">
        <f t="shared" si="80"/>
        <v>40514</v>
      </c>
      <c r="B241" s="58" t="s">
        <v>4</v>
      </c>
      <c r="C241">
        <v>1871.9</v>
      </c>
      <c r="D241">
        <v>2124.4</v>
      </c>
      <c r="E241">
        <v>1490.5</v>
      </c>
      <c r="F241">
        <v>1855.2</v>
      </c>
      <c r="G241" s="60">
        <f t="shared" si="81"/>
        <v>3362.4</v>
      </c>
      <c r="H241" s="60">
        <f t="shared" si="82"/>
        <v>3979.6000000000004</v>
      </c>
      <c r="I241" s="61">
        <f t="shared" si="83"/>
        <v>-15.509096391597154</v>
      </c>
      <c r="J241">
        <v>278.89999999999998</v>
      </c>
    </row>
    <row r="242" spans="1:10" x14ac:dyDescent="0.25">
      <c r="A242" s="57">
        <f t="shared" si="80"/>
        <v>40521</v>
      </c>
      <c r="B242" s="58" t="s">
        <v>4</v>
      </c>
      <c r="C242">
        <v>2224.5</v>
      </c>
      <c r="D242">
        <v>2308.5</v>
      </c>
      <c r="E242">
        <v>1530.7</v>
      </c>
      <c r="F242">
        <v>1962.9</v>
      </c>
      <c r="G242" s="60">
        <f t="shared" si="81"/>
        <v>3755.2</v>
      </c>
      <c r="H242" s="60">
        <f t="shared" si="82"/>
        <v>4271.3999999999996</v>
      </c>
      <c r="I242" s="61">
        <f t="shared" si="83"/>
        <v>-12.08503066910146</v>
      </c>
      <c r="J242">
        <v>300.89999999999998</v>
      </c>
    </row>
    <row r="243" spans="1:10" x14ac:dyDescent="0.25">
      <c r="A243" s="57">
        <f t="shared" si="80"/>
        <v>40528</v>
      </c>
      <c r="B243" s="58" t="s">
        <v>4</v>
      </c>
      <c r="C243">
        <v>2257.1</v>
      </c>
      <c r="D243">
        <v>2769</v>
      </c>
      <c r="E243">
        <v>1583.4</v>
      </c>
      <c r="F243">
        <v>2056.1</v>
      </c>
      <c r="G243" s="60">
        <f t="shared" si="81"/>
        <v>3840.5</v>
      </c>
      <c r="H243" s="60">
        <f t="shared" si="82"/>
        <v>4825.1000000000004</v>
      </c>
      <c r="I243" s="61">
        <f t="shared" si="83"/>
        <v>-20.405794698555479</v>
      </c>
      <c r="J243">
        <v>300.89999999999998</v>
      </c>
    </row>
    <row r="244" spans="1:10" x14ac:dyDescent="0.25">
      <c r="A244" s="57">
        <f t="shared" si="80"/>
        <v>40535</v>
      </c>
      <c r="B244" s="58" t="s">
        <v>4</v>
      </c>
      <c r="C244">
        <v>2165.8000000000002</v>
      </c>
      <c r="D244">
        <v>2903.1</v>
      </c>
      <c r="E244">
        <v>1780.1</v>
      </c>
      <c r="F244">
        <v>2184.6999999999998</v>
      </c>
      <c r="G244" s="60">
        <f>+C244+E244</f>
        <v>3945.9</v>
      </c>
      <c r="H244" s="60">
        <f>+D244+F244</f>
        <v>5087.7999999999993</v>
      </c>
      <c r="I244" s="61">
        <f>+(G244/H244-1)*100</f>
        <v>-22.443885372852691</v>
      </c>
      <c r="J244">
        <v>300.89999999999998</v>
      </c>
    </row>
    <row r="245" spans="1:10" x14ac:dyDescent="0.25">
      <c r="A245" s="57">
        <f t="shared" si="80"/>
        <v>40542</v>
      </c>
      <c r="B245" s="58" t="s">
        <v>4</v>
      </c>
      <c r="C245">
        <v>2251.1</v>
      </c>
      <c r="D245">
        <v>2937.1</v>
      </c>
      <c r="E245">
        <v>1822.8</v>
      </c>
      <c r="F245">
        <v>2316.3000000000002</v>
      </c>
      <c r="G245" s="60">
        <f t="shared" si="81"/>
        <v>4073.8999999999996</v>
      </c>
      <c r="H245" s="60">
        <f t="shared" si="82"/>
        <v>5253.4</v>
      </c>
      <c r="I245" s="61">
        <f t="shared" si="83"/>
        <v>-22.452126242052771</v>
      </c>
      <c r="J245">
        <v>300.89999999999998</v>
      </c>
    </row>
    <row r="246" spans="1:10" x14ac:dyDescent="0.25">
      <c r="A246" s="57">
        <f t="shared" si="80"/>
        <v>40549</v>
      </c>
      <c r="B246" s="58" t="s">
        <v>4</v>
      </c>
      <c r="C246">
        <v>2217.4</v>
      </c>
      <c r="D246">
        <v>2840.4</v>
      </c>
      <c r="E246">
        <v>1883.8</v>
      </c>
      <c r="F246">
        <v>2391.1999999999998</v>
      </c>
      <c r="G246" s="60">
        <f t="shared" si="81"/>
        <v>4101.2</v>
      </c>
      <c r="H246" s="60">
        <f t="shared" si="82"/>
        <v>5231.6000000000004</v>
      </c>
      <c r="I246" s="61">
        <f t="shared" si="83"/>
        <v>-21.607156510436589</v>
      </c>
      <c r="J246">
        <v>300.89999999999998</v>
      </c>
    </row>
    <row r="247" spans="1:10" x14ac:dyDescent="0.25">
      <c r="A247" s="57">
        <f t="shared" si="80"/>
        <v>40556</v>
      </c>
      <c r="B247" s="58" t="s">
        <v>4</v>
      </c>
      <c r="C247">
        <v>2200.6999999999998</v>
      </c>
      <c r="D247">
        <v>2805.6</v>
      </c>
      <c r="E247">
        <v>1951.1</v>
      </c>
      <c r="F247">
        <v>2539.6</v>
      </c>
      <c r="G247" s="60">
        <f t="shared" si="81"/>
        <v>4151.7999999999993</v>
      </c>
      <c r="H247" s="60">
        <f t="shared" si="82"/>
        <v>5345.2</v>
      </c>
      <c r="I247" s="61">
        <f t="shared" si="83"/>
        <v>-22.326573374242319</v>
      </c>
      <c r="J247">
        <v>425.9</v>
      </c>
    </row>
    <row r="248" spans="1:10" x14ac:dyDescent="0.25">
      <c r="A248" s="57">
        <f t="shared" si="80"/>
        <v>40563</v>
      </c>
      <c r="B248" s="58" t="s">
        <v>4</v>
      </c>
      <c r="C248">
        <v>2076.5</v>
      </c>
      <c r="D248">
        <v>2765.4</v>
      </c>
      <c r="E248">
        <v>2061</v>
      </c>
      <c r="F248">
        <v>2651.4</v>
      </c>
      <c r="G248" s="60">
        <f t="shared" si="81"/>
        <v>4137.5</v>
      </c>
      <c r="H248" s="60">
        <f t="shared" si="82"/>
        <v>5416.8</v>
      </c>
      <c r="I248" s="61">
        <f t="shared" si="83"/>
        <v>-23.617264805789397</v>
      </c>
      <c r="J248">
        <v>425.9</v>
      </c>
    </row>
    <row r="249" spans="1:10" x14ac:dyDescent="0.25">
      <c r="A249" s="57">
        <f t="shared" si="80"/>
        <v>40570</v>
      </c>
      <c r="B249" s="58" t="s">
        <v>4</v>
      </c>
      <c r="C249">
        <v>2052.5</v>
      </c>
      <c r="D249">
        <v>2960.7</v>
      </c>
      <c r="E249">
        <v>2156.4</v>
      </c>
      <c r="F249">
        <v>2832.9</v>
      </c>
      <c r="G249" s="60">
        <f t="shared" si="81"/>
        <v>4208.8999999999996</v>
      </c>
      <c r="H249" s="60">
        <f t="shared" si="82"/>
        <v>5793.6</v>
      </c>
      <c r="I249" s="61">
        <f t="shared" si="83"/>
        <v>-27.352595967964668</v>
      </c>
      <c r="J249">
        <v>425.9</v>
      </c>
    </row>
    <row r="250" spans="1:10" x14ac:dyDescent="0.25">
      <c r="A250" s="57">
        <f t="shared" si="80"/>
        <v>40577</v>
      </c>
      <c r="B250" s="58" t="s">
        <v>4</v>
      </c>
      <c r="C250">
        <v>2077.5</v>
      </c>
      <c r="D250">
        <v>2951</v>
      </c>
      <c r="E250">
        <v>2223.3000000000002</v>
      </c>
      <c r="F250">
        <v>2973.5</v>
      </c>
      <c r="G250" s="60">
        <f t="shared" si="81"/>
        <v>4300.8</v>
      </c>
      <c r="H250" s="60">
        <f t="shared" si="82"/>
        <v>5924.5</v>
      </c>
      <c r="I250" s="61">
        <f t="shared" si="83"/>
        <v>-27.406532196809852</v>
      </c>
      <c r="J250">
        <v>479.9</v>
      </c>
    </row>
    <row r="251" spans="1:10" x14ac:dyDescent="0.25">
      <c r="A251" s="57">
        <f t="shared" si="80"/>
        <v>40584</v>
      </c>
      <c r="B251" s="58" t="s">
        <v>4</v>
      </c>
      <c r="C251">
        <v>2637</v>
      </c>
      <c r="D251">
        <v>2988.8</v>
      </c>
      <c r="E251">
        <v>2304.4</v>
      </c>
      <c r="F251">
        <v>3121.8</v>
      </c>
      <c r="G251" s="60">
        <f t="shared" si="81"/>
        <v>4941.3999999999996</v>
      </c>
      <c r="H251" s="60">
        <f t="shared" si="82"/>
        <v>6110.6</v>
      </c>
      <c r="I251" s="61">
        <f t="shared" si="83"/>
        <v>-19.133963931528829</v>
      </c>
      <c r="J251">
        <v>518.9</v>
      </c>
    </row>
    <row r="252" spans="1:10" x14ac:dyDescent="0.25">
      <c r="A252" s="57">
        <f t="shared" si="80"/>
        <v>40591</v>
      </c>
      <c r="B252" s="58" t="s">
        <v>4</v>
      </c>
      <c r="C252">
        <v>3001.5</v>
      </c>
      <c r="D252">
        <v>2768</v>
      </c>
      <c r="E252">
        <v>2445.1</v>
      </c>
      <c r="F252">
        <v>3370.7</v>
      </c>
      <c r="G252" s="60">
        <f t="shared" si="81"/>
        <v>5446.6</v>
      </c>
      <c r="H252" s="60">
        <f t="shared" si="82"/>
        <v>6138.7</v>
      </c>
      <c r="I252" s="61">
        <f t="shared" si="83"/>
        <v>-11.274374053138281</v>
      </c>
      <c r="J252">
        <v>690.6</v>
      </c>
    </row>
    <row r="253" spans="1:10" x14ac:dyDescent="0.25">
      <c r="A253" s="57">
        <f t="shared" si="80"/>
        <v>40598</v>
      </c>
      <c r="B253" s="58" t="s">
        <v>4</v>
      </c>
      <c r="C253">
        <v>3239.9</v>
      </c>
      <c r="D253">
        <v>2722.3</v>
      </c>
      <c r="E253">
        <v>2560.1</v>
      </c>
      <c r="F253">
        <v>3530.1</v>
      </c>
      <c r="G253" s="60">
        <f t="shared" si="81"/>
        <v>5800</v>
      </c>
      <c r="H253" s="60">
        <f t="shared" si="82"/>
        <v>6252.4</v>
      </c>
      <c r="I253" s="61">
        <f t="shared" si="83"/>
        <v>-7.2356215213357995</v>
      </c>
      <c r="J253">
        <v>718.4</v>
      </c>
    </row>
    <row r="254" spans="1:10" x14ac:dyDescent="0.25">
      <c r="A254" s="57">
        <f t="shared" ref="A254:A317" si="84">+A253+7</f>
        <v>40605</v>
      </c>
      <c r="B254" s="58" t="s">
        <v>4</v>
      </c>
      <c r="C254">
        <v>3179.3</v>
      </c>
      <c r="D254">
        <v>2589.4</v>
      </c>
      <c r="E254">
        <v>2782.3</v>
      </c>
      <c r="F254">
        <v>3687.1</v>
      </c>
      <c r="G254" s="60">
        <f t="shared" si="81"/>
        <v>5961.6</v>
      </c>
      <c r="H254" s="60">
        <f t="shared" si="82"/>
        <v>6276.5</v>
      </c>
      <c r="I254" s="61">
        <f t="shared" si="83"/>
        <v>-5.0171273799091809</v>
      </c>
      <c r="J254">
        <v>718.4</v>
      </c>
    </row>
    <row r="255" spans="1:10" x14ac:dyDescent="0.25">
      <c r="A255" s="57">
        <f t="shared" si="84"/>
        <v>40612</v>
      </c>
      <c r="B255" s="58" t="s">
        <v>4</v>
      </c>
      <c r="C255">
        <v>3232.9</v>
      </c>
      <c r="D255">
        <v>2539.8000000000002</v>
      </c>
      <c r="E255">
        <v>2907.2</v>
      </c>
      <c r="F255">
        <v>3846.8</v>
      </c>
      <c r="G255" s="60">
        <f t="shared" si="81"/>
        <v>6140.1</v>
      </c>
      <c r="H255" s="60">
        <f t="shared" si="82"/>
        <v>6386.6</v>
      </c>
      <c r="I255" s="61">
        <f t="shared" si="83"/>
        <v>-3.8596436288478975</v>
      </c>
      <c r="J255">
        <v>887.4</v>
      </c>
    </row>
    <row r="256" spans="1:10" x14ac:dyDescent="0.25">
      <c r="A256" s="57">
        <f t="shared" si="84"/>
        <v>40619</v>
      </c>
      <c r="B256" s="58" t="s">
        <v>4</v>
      </c>
      <c r="C256">
        <v>3087.1</v>
      </c>
      <c r="D256">
        <v>2416.5</v>
      </c>
      <c r="E256">
        <v>3109.6</v>
      </c>
      <c r="F256">
        <v>4112.2</v>
      </c>
      <c r="G256" s="60">
        <f t="shared" si="81"/>
        <v>6196.7</v>
      </c>
      <c r="H256" s="60">
        <f t="shared" si="82"/>
        <v>6528.7</v>
      </c>
      <c r="I256" s="61">
        <f t="shared" si="83"/>
        <v>-5.0852390215510024</v>
      </c>
      <c r="J256">
        <v>887.4</v>
      </c>
    </row>
    <row r="257" spans="1:11" x14ac:dyDescent="0.25">
      <c r="A257" s="57">
        <f t="shared" si="84"/>
        <v>40626</v>
      </c>
      <c r="B257" s="58" t="s">
        <v>4</v>
      </c>
      <c r="C257">
        <v>2916</v>
      </c>
      <c r="D257">
        <v>2320.1</v>
      </c>
      <c r="E257">
        <v>3334.9</v>
      </c>
      <c r="F257">
        <v>4313.2</v>
      </c>
      <c r="G257" s="60">
        <f t="shared" si="81"/>
        <v>6250.9</v>
      </c>
      <c r="H257" s="60">
        <f t="shared" si="82"/>
        <v>6633.2999999999993</v>
      </c>
      <c r="I257" s="61">
        <f t="shared" si="83"/>
        <v>-5.7648530897140171</v>
      </c>
      <c r="J257">
        <v>887.4</v>
      </c>
    </row>
    <row r="258" spans="1:11" x14ac:dyDescent="0.25">
      <c r="A258" s="57">
        <f t="shared" si="84"/>
        <v>40633</v>
      </c>
      <c r="B258" s="58" t="s">
        <v>4</v>
      </c>
      <c r="C258">
        <v>2718.7</v>
      </c>
      <c r="D258">
        <v>2391.1999999999998</v>
      </c>
      <c r="E258">
        <v>3573.7</v>
      </c>
      <c r="F258">
        <v>4409.6000000000004</v>
      </c>
      <c r="G258" s="60">
        <f t="shared" ref="G258:G321" si="85">+C258+E258</f>
        <v>6292.4</v>
      </c>
      <c r="H258" s="60">
        <f t="shared" ref="H258:H321" si="86">+D258+F258</f>
        <v>6800.8</v>
      </c>
      <c r="I258" s="61">
        <f t="shared" ref="I258:I321" si="87">+(G258/H258-1)*100</f>
        <v>-7.4755911069286025</v>
      </c>
      <c r="J258">
        <v>898.2</v>
      </c>
    </row>
    <row r="259" spans="1:11" x14ac:dyDescent="0.25">
      <c r="A259" s="57">
        <f t="shared" si="84"/>
        <v>40640</v>
      </c>
      <c r="B259" s="58" t="s">
        <v>4</v>
      </c>
      <c r="C259">
        <v>2633.3</v>
      </c>
      <c r="D259">
        <v>2316.4</v>
      </c>
      <c r="E259">
        <v>3783.7</v>
      </c>
      <c r="F259">
        <v>4697.6000000000004</v>
      </c>
      <c r="G259" s="60">
        <f t="shared" si="85"/>
        <v>6417</v>
      </c>
      <c r="H259" s="60">
        <f t="shared" si="86"/>
        <v>7014</v>
      </c>
      <c r="I259" s="61">
        <f t="shared" si="87"/>
        <v>-8.5115483319076155</v>
      </c>
      <c r="J259">
        <v>898.2</v>
      </c>
    </row>
    <row r="260" spans="1:11" x14ac:dyDescent="0.25">
      <c r="A260" s="57">
        <f t="shared" si="84"/>
        <v>40647</v>
      </c>
      <c r="B260" s="58" t="s">
        <v>4</v>
      </c>
      <c r="C260">
        <v>2499.4</v>
      </c>
      <c r="D260">
        <v>2215.1999999999998</v>
      </c>
      <c r="E260">
        <v>3978.3</v>
      </c>
      <c r="F260">
        <v>4932.6000000000004</v>
      </c>
      <c r="G260" s="60">
        <f t="shared" si="85"/>
        <v>6477.7000000000007</v>
      </c>
      <c r="H260" s="60">
        <f t="shared" si="86"/>
        <v>7147.8</v>
      </c>
      <c r="I260" s="61">
        <f t="shared" si="87"/>
        <v>-9.3749125605081201</v>
      </c>
      <c r="J260">
        <v>1056.7</v>
      </c>
    </row>
    <row r="261" spans="1:11" x14ac:dyDescent="0.25">
      <c r="A261" s="57">
        <f t="shared" si="84"/>
        <v>40654</v>
      </c>
      <c r="B261" s="58" t="s">
        <v>4</v>
      </c>
      <c r="C261">
        <v>2323.8000000000002</v>
      </c>
      <c r="D261">
        <v>2216.8000000000002</v>
      </c>
      <c r="E261">
        <v>4135.5</v>
      </c>
      <c r="F261">
        <v>5098.8999999999996</v>
      </c>
      <c r="G261" s="60">
        <f t="shared" si="85"/>
        <v>6459.3</v>
      </c>
      <c r="H261" s="60">
        <f t="shared" si="86"/>
        <v>7315.7</v>
      </c>
      <c r="I261" s="61">
        <f t="shared" si="87"/>
        <v>-11.706330221304862</v>
      </c>
      <c r="J261">
        <v>1056.7</v>
      </c>
    </row>
    <row r="262" spans="1:11" x14ac:dyDescent="0.25">
      <c r="A262" s="57">
        <f t="shared" si="84"/>
        <v>40661</v>
      </c>
      <c r="B262" s="58" t="s">
        <v>4</v>
      </c>
      <c r="C262">
        <v>2184.8000000000002</v>
      </c>
      <c r="D262">
        <v>2072.4</v>
      </c>
      <c r="E262">
        <v>4303.6000000000004</v>
      </c>
      <c r="F262">
        <v>5374.9</v>
      </c>
      <c r="G262" s="60">
        <f t="shared" si="85"/>
        <v>6488.4000000000005</v>
      </c>
      <c r="H262" s="60">
        <f t="shared" si="86"/>
        <v>7447.2999999999993</v>
      </c>
      <c r="I262" s="61">
        <f t="shared" si="87"/>
        <v>-12.87580733957272</v>
      </c>
      <c r="J262">
        <v>1056.7</v>
      </c>
    </row>
    <row r="263" spans="1:11" x14ac:dyDescent="0.25">
      <c r="A263" s="57">
        <f t="shared" si="84"/>
        <v>40668</v>
      </c>
      <c r="B263" s="58" t="s">
        <v>4</v>
      </c>
      <c r="C263">
        <v>1971.3</v>
      </c>
      <c r="D263">
        <v>2004.9</v>
      </c>
      <c r="E263">
        <v>4518.6000000000004</v>
      </c>
      <c r="F263">
        <v>5525.6</v>
      </c>
      <c r="G263" s="60">
        <f t="shared" si="85"/>
        <v>6489.9000000000005</v>
      </c>
      <c r="H263" s="60">
        <f t="shared" si="86"/>
        <v>7530.5</v>
      </c>
      <c r="I263" s="61">
        <f t="shared" si="87"/>
        <v>-13.818471549033918</v>
      </c>
      <c r="J263">
        <v>1056.7</v>
      </c>
    </row>
    <row r="264" spans="1:11" x14ac:dyDescent="0.25">
      <c r="A264" s="57">
        <f t="shared" si="84"/>
        <v>40675</v>
      </c>
      <c r="B264" s="58" t="s">
        <v>4</v>
      </c>
      <c r="C264">
        <v>1887.1</v>
      </c>
      <c r="D264">
        <v>1746.7</v>
      </c>
      <c r="E264">
        <v>4665.2</v>
      </c>
      <c r="F264">
        <v>5740.8</v>
      </c>
      <c r="G264" s="60">
        <f t="shared" si="85"/>
        <v>6552.2999999999993</v>
      </c>
      <c r="H264" s="60">
        <f t="shared" si="86"/>
        <v>7487.5</v>
      </c>
      <c r="I264" s="61">
        <f t="shared" si="87"/>
        <v>-12.490150250417376</v>
      </c>
      <c r="J264">
        <v>1066.3</v>
      </c>
    </row>
    <row r="265" spans="1:11" x14ac:dyDescent="0.25">
      <c r="A265" s="57">
        <f t="shared" si="84"/>
        <v>40682</v>
      </c>
      <c r="B265" s="58" t="s">
        <v>4</v>
      </c>
      <c r="C265">
        <v>1773.9</v>
      </c>
      <c r="D265">
        <v>1609.6</v>
      </c>
      <c r="E265">
        <v>4813.3</v>
      </c>
      <c r="F265">
        <v>5953.3</v>
      </c>
      <c r="G265" s="60">
        <f t="shared" si="85"/>
        <v>6587.2000000000007</v>
      </c>
      <c r="H265" s="60">
        <f t="shared" si="86"/>
        <v>7562.9</v>
      </c>
      <c r="I265" s="61">
        <f t="shared" si="87"/>
        <v>-12.901135807692798</v>
      </c>
      <c r="J265">
        <v>1091.3</v>
      </c>
    </row>
    <row r="266" spans="1:11" x14ac:dyDescent="0.25">
      <c r="A266" s="57">
        <f t="shared" si="84"/>
        <v>40689</v>
      </c>
      <c r="B266" s="58" t="s">
        <v>4</v>
      </c>
      <c r="C266">
        <v>1634.6</v>
      </c>
      <c r="D266">
        <v>1508.1</v>
      </c>
      <c r="E266">
        <v>4940.7</v>
      </c>
      <c r="F266">
        <v>6089.3</v>
      </c>
      <c r="G266" s="60">
        <f t="shared" si="85"/>
        <v>6575.2999999999993</v>
      </c>
      <c r="H266" s="60">
        <f t="shared" si="86"/>
        <v>7597.4</v>
      </c>
      <c r="I266" s="61">
        <f t="shared" si="87"/>
        <v>-13.453286650696295</v>
      </c>
      <c r="J266">
        <v>1259.3</v>
      </c>
    </row>
    <row r="267" spans="1:11" x14ac:dyDescent="0.25">
      <c r="A267" s="57">
        <f t="shared" si="84"/>
        <v>40696</v>
      </c>
      <c r="B267" s="58" t="s">
        <v>4</v>
      </c>
      <c r="C267">
        <v>1376.7</v>
      </c>
      <c r="D267">
        <v>1407.9</v>
      </c>
      <c r="E267">
        <v>5235.8</v>
      </c>
      <c r="F267">
        <v>6262.3</v>
      </c>
      <c r="G267" s="60">
        <f t="shared" si="85"/>
        <v>6612.5</v>
      </c>
      <c r="H267" s="60">
        <f t="shared" si="86"/>
        <v>7670.2000000000007</v>
      </c>
      <c r="I267" s="61">
        <f t="shared" si="87"/>
        <v>-13.789731688873829</v>
      </c>
      <c r="J267">
        <v>1240.5</v>
      </c>
    </row>
    <row r="268" spans="1:11" x14ac:dyDescent="0.25">
      <c r="A268" s="57">
        <f t="shared" si="84"/>
        <v>40703</v>
      </c>
      <c r="B268" s="58" t="s">
        <v>4</v>
      </c>
      <c r="C268">
        <v>1253.2</v>
      </c>
      <c r="D268">
        <v>1306.0999999999999</v>
      </c>
      <c r="E268">
        <v>5385.4</v>
      </c>
      <c r="F268">
        <v>6455</v>
      </c>
      <c r="G268" s="60">
        <f t="shared" si="85"/>
        <v>6638.5999999999995</v>
      </c>
      <c r="H268" s="60">
        <f t="shared" si="86"/>
        <v>7761.1</v>
      </c>
      <c r="I268" s="61">
        <f t="shared" si="87"/>
        <v>-14.463155995928423</v>
      </c>
      <c r="J268">
        <v>1789.1</v>
      </c>
    </row>
    <row r="269" spans="1:11" x14ac:dyDescent="0.25">
      <c r="A269" s="57">
        <f t="shared" si="84"/>
        <v>40710</v>
      </c>
      <c r="B269" s="58" t="s">
        <v>4</v>
      </c>
      <c r="C269">
        <v>1038.2</v>
      </c>
      <c r="D269">
        <v>1228.5999999999999</v>
      </c>
      <c r="E269">
        <v>5641.6</v>
      </c>
      <c r="F269">
        <v>6566.1</v>
      </c>
      <c r="G269" s="60">
        <f t="shared" si="85"/>
        <v>6679.8</v>
      </c>
      <c r="H269" s="60">
        <f t="shared" si="86"/>
        <v>7794.7000000000007</v>
      </c>
      <c r="I269" s="61">
        <f t="shared" si="87"/>
        <v>-14.303308658447412</v>
      </c>
      <c r="J269">
        <v>1798.2</v>
      </c>
      <c r="K269">
        <v>279.39999999999998</v>
      </c>
    </row>
    <row r="270" spans="1:11" x14ac:dyDescent="0.25">
      <c r="A270" s="57">
        <f t="shared" si="84"/>
        <v>40717</v>
      </c>
      <c r="B270" s="58" t="s">
        <v>4</v>
      </c>
      <c r="C270">
        <v>1045.5</v>
      </c>
      <c r="D270">
        <v>1094</v>
      </c>
      <c r="E270">
        <v>5734.7</v>
      </c>
      <c r="F270">
        <v>6748.8</v>
      </c>
      <c r="G270" s="60">
        <f t="shared" si="85"/>
        <v>6780.2</v>
      </c>
      <c r="H270" s="60">
        <f t="shared" si="86"/>
        <v>7842.8</v>
      </c>
      <c r="I270" s="61">
        <f t="shared" si="87"/>
        <v>-13.548732595501612</v>
      </c>
      <c r="J270">
        <v>1798.2</v>
      </c>
      <c r="K270">
        <v>279.39999999999998</v>
      </c>
    </row>
    <row r="271" spans="1:11" x14ac:dyDescent="0.25">
      <c r="A271" s="57">
        <f t="shared" si="84"/>
        <v>40724</v>
      </c>
      <c r="B271" s="58" t="s">
        <v>4</v>
      </c>
      <c r="C271">
        <v>902.9</v>
      </c>
      <c r="D271">
        <v>1014.3</v>
      </c>
      <c r="E271">
        <v>5916.3</v>
      </c>
      <c r="F271">
        <v>6853.1</v>
      </c>
      <c r="G271" s="60">
        <f>+C271+E271</f>
        <v>6819.2</v>
      </c>
      <c r="H271" s="60">
        <f>+D271+F271</f>
        <v>7867.4000000000005</v>
      </c>
      <c r="I271" s="61">
        <f t="shared" si="87"/>
        <v>-13.323334265449837</v>
      </c>
      <c r="J271">
        <v>1830.2</v>
      </c>
      <c r="K271">
        <v>279.39999999999998</v>
      </c>
    </row>
    <row r="272" spans="1:11" ht="15" x14ac:dyDescent="0.25">
      <c r="A272" s="57">
        <f t="shared" si="84"/>
        <v>40731</v>
      </c>
      <c r="B272" s="58" t="s">
        <v>4</v>
      </c>
      <c r="C272">
        <v>853.4</v>
      </c>
      <c r="D272">
        <v>948.5</v>
      </c>
      <c r="E272">
        <v>6014</v>
      </c>
      <c r="F272">
        <v>6987.7</v>
      </c>
      <c r="G272" s="60">
        <f t="shared" si="85"/>
        <v>6867.4</v>
      </c>
      <c r="H272" s="60">
        <f t="shared" si="86"/>
        <v>7936.2</v>
      </c>
      <c r="I272" s="61">
        <f t="shared" si="87"/>
        <v>-13.467402535218366</v>
      </c>
      <c r="J272">
        <v>1838.1</v>
      </c>
      <c r="K272" s="123">
        <v>279.39999999999998</v>
      </c>
    </row>
    <row r="273" spans="1:11" x14ac:dyDescent="0.25">
      <c r="A273" s="57">
        <f t="shared" si="84"/>
        <v>40738</v>
      </c>
      <c r="B273" s="58" t="s">
        <v>4</v>
      </c>
      <c r="C273">
        <v>746.1</v>
      </c>
      <c r="D273">
        <v>850</v>
      </c>
      <c r="E273">
        <v>6160.9</v>
      </c>
      <c r="F273">
        <v>7139.9</v>
      </c>
      <c r="G273" s="60">
        <f t="shared" si="85"/>
        <v>6907</v>
      </c>
      <c r="H273" s="60">
        <f t="shared" si="86"/>
        <v>7989.9</v>
      </c>
      <c r="I273" s="61">
        <f t="shared" si="87"/>
        <v>-13.553361118411988</v>
      </c>
      <c r="J273">
        <v>1857.7</v>
      </c>
      <c r="K273">
        <v>279.39999999999998</v>
      </c>
    </row>
    <row r="274" spans="1:11" x14ac:dyDescent="0.25">
      <c r="A274" s="57">
        <f t="shared" si="84"/>
        <v>40745</v>
      </c>
      <c r="B274" s="58" t="s">
        <v>4</v>
      </c>
      <c r="C274">
        <v>623.70000000000005</v>
      </c>
      <c r="D274">
        <v>854.3</v>
      </c>
      <c r="E274">
        <v>6297.4</v>
      </c>
      <c r="F274">
        <v>7254.5</v>
      </c>
      <c r="G274" s="60">
        <f t="shared" si="85"/>
        <v>6921.0999999999995</v>
      </c>
      <c r="H274" s="60">
        <f t="shared" si="86"/>
        <v>8108.8</v>
      </c>
      <c r="I274" s="61">
        <f t="shared" si="87"/>
        <v>-14.647050118389904</v>
      </c>
      <c r="J274">
        <v>1857.1</v>
      </c>
      <c r="K274">
        <v>279.39999999999998</v>
      </c>
    </row>
    <row r="275" spans="1:11" x14ac:dyDescent="0.25">
      <c r="A275" s="57">
        <f t="shared" si="84"/>
        <v>40752</v>
      </c>
      <c r="B275" s="58" t="s">
        <v>4</v>
      </c>
      <c r="C275">
        <v>529.29999999999995</v>
      </c>
      <c r="D275">
        <v>830.5</v>
      </c>
      <c r="E275">
        <v>6447.9</v>
      </c>
      <c r="F275">
        <v>7331.4</v>
      </c>
      <c r="G275" s="60">
        <f t="shared" si="85"/>
        <v>6977.2</v>
      </c>
      <c r="H275" s="60">
        <f t="shared" si="86"/>
        <v>8161.9</v>
      </c>
      <c r="I275" s="61">
        <f t="shared" si="87"/>
        <v>-14.515002634190566</v>
      </c>
      <c r="J275">
        <v>1883.9</v>
      </c>
      <c r="K275">
        <v>279.39999999999998</v>
      </c>
    </row>
    <row r="276" spans="1:11" x14ac:dyDescent="0.25">
      <c r="A276" s="57">
        <f t="shared" si="84"/>
        <v>40759</v>
      </c>
      <c r="B276" s="58" t="s">
        <v>4</v>
      </c>
      <c r="C276">
        <v>397.3</v>
      </c>
      <c r="D276">
        <v>715.7</v>
      </c>
      <c r="E276">
        <v>6580.8</v>
      </c>
      <c r="F276">
        <v>7526.2</v>
      </c>
      <c r="G276" s="60">
        <f t="shared" si="85"/>
        <v>6978.1</v>
      </c>
      <c r="H276" s="60">
        <f t="shared" si="86"/>
        <v>8241.9</v>
      </c>
      <c r="I276" s="61">
        <f t="shared" si="87"/>
        <v>-15.333842924568353</v>
      </c>
      <c r="J276">
        <v>1951.9</v>
      </c>
    </row>
    <row r="277" spans="1:11" x14ac:dyDescent="0.25">
      <c r="A277" s="57">
        <f t="shared" si="84"/>
        <v>40766</v>
      </c>
      <c r="B277" s="58" t="s">
        <v>4</v>
      </c>
      <c r="C277">
        <v>280</v>
      </c>
      <c r="D277">
        <v>627.79999999999995</v>
      </c>
      <c r="E277">
        <v>6750.6</v>
      </c>
      <c r="F277">
        <v>7630.4</v>
      </c>
      <c r="G277" s="60">
        <f t="shared" si="85"/>
        <v>7030.6</v>
      </c>
      <c r="H277" s="60">
        <f t="shared" si="86"/>
        <v>8258.1999999999989</v>
      </c>
      <c r="I277" s="61">
        <f t="shared" si="87"/>
        <v>-14.865224867404503</v>
      </c>
      <c r="J277">
        <v>2061.5</v>
      </c>
    </row>
    <row r="278" spans="1:11" x14ac:dyDescent="0.25">
      <c r="A278" s="57">
        <f t="shared" si="84"/>
        <v>40773</v>
      </c>
      <c r="B278" s="58" t="s">
        <v>4</v>
      </c>
      <c r="C278">
        <v>252.1</v>
      </c>
      <c r="D278">
        <v>508.3</v>
      </c>
      <c r="E278">
        <v>6847.1</v>
      </c>
      <c r="F278">
        <v>7734.3</v>
      </c>
      <c r="G278" s="60">
        <f t="shared" si="85"/>
        <v>7099.2000000000007</v>
      </c>
      <c r="H278" s="60">
        <f t="shared" si="86"/>
        <v>8242.6</v>
      </c>
      <c r="I278" s="61">
        <f t="shared" si="87"/>
        <v>-13.871836556426365</v>
      </c>
      <c r="J278">
        <v>2104.9</v>
      </c>
    </row>
    <row r="279" spans="1:11" x14ac:dyDescent="0.25">
      <c r="A279" s="57">
        <f t="shared" si="84"/>
        <v>40780</v>
      </c>
      <c r="B279" s="58" t="s">
        <v>4</v>
      </c>
      <c r="C279">
        <v>186.4</v>
      </c>
      <c r="D279">
        <v>347</v>
      </c>
      <c r="E279">
        <v>6934.7</v>
      </c>
      <c r="F279">
        <v>7895.9</v>
      </c>
      <c r="G279" s="60">
        <f t="shared" si="85"/>
        <v>7121.0999999999995</v>
      </c>
      <c r="H279" s="60">
        <f t="shared" si="86"/>
        <v>8242.9</v>
      </c>
      <c r="I279" s="61">
        <f t="shared" si="87"/>
        <v>-13.609287993303331</v>
      </c>
      <c r="J279">
        <v>2049.8000000000002</v>
      </c>
      <c r="K279">
        <v>279.39999999999998</v>
      </c>
    </row>
    <row r="280" spans="1:11" x14ac:dyDescent="0.25">
      <c r="A280" s="57">
        <f t="shared" si="84"/>
        <v>40787</v>
      </c>
      <c r="B280" s="58" t="s">
        <v>4</v>
      </c>
      <c r="C280">
        <v>2453.1999999999998</v>
      </c>
      <c r="D280">
        <v>2283</v>
      </c>
      <c r="E280">
        <v>25.6</v>
      </c>
      <c r="F280">
        <v>30.2</v>
      </c>
      <c r="G280" s="60">
        <f t="shared" si="85"/>
        <v>2478.7999999999997</v>
      </c>
      <c r="H280" s="60">
        <f t="shared" si="86"/>
        <v>2313.1999999999998</v>
      </c>
      <c r="I280" s="61">
        <f t="shared" si="87"/>
        <v>7.1589140584471744</v>
      </c>
    </row>
    <row r="281" spans="1:11" x14ac:dyDescent="0.25">
      <c r="A281" s="57">
        <f t="shared" si="84"/>
        <v>40794</v>
      </c>
      <c r="B281" s="58" t="s">
        <v>4</v>
      </c>
      <c r="C281">
        <v>2370.3000000000002</v>
      </c>
      <c r="D281">
        <v>2171.9</v>
      </c>
      <c r="E281">
        <v>140</v>
      </c>
      <c r="F281">
        <v>154.1</v>
      </c>
      <c r="G281" s="60">
        <f t="shared" si="85"/>
        <v>2510.3000000000002</v>
      </c>
      <c r="H281" s="60">
        <f t="shared" si="86"/>
        <v>2326</v>
      </c>
      <c r="I281" s="61">
        <f t="shared" si="87"/>
        <v>7.9234737747205575</v>
      </c>
      <c r="J281">
        <v>279.39999999999998</v>
      </c>
    </row>
    <row r="282" spans="1:11" x14ac:dyDescent="0.25">
      <c r="A282" s="57">
        <f t="shared" si="84"/>
        <v>40801</v>
      </c>
      <c r="B282" s="58" t="s">
        <v>4</v>
      </c>
      <c r="C282">
        <v>2404</v>
      </c>
      <c r="D282">
        <v>2110</v>
      </c>
      <c r="E282">
        <v>274</v>
      </c>
      <c r="F282">
        <v>321</v>
      </c>
      <c r="G282" s="60">
        <f t="shared" si="85"/>
        <v>2678</v>
      </c>
      <c r="H282" s="60">
        <f t="shared" si="86"/>
        <v>2431</v>
      </c>
      <c r="I282" s="61">
        <f t="shared" si="87"/>
        <v>10.160427807486627</v>
      </c>
      <c r="J282" s="125"/>
      <c r="K282">
        <v>279.39999999999998</v>
      </c>
    </row>
    <row r="283" spans="1:11" x14ac:dyDescent="0.25">
      <c r="A283" s="57">
        <f t="shared" si="84"/>
        <v>40808</v>
      </c>
      <c r="B283" s="58" t="s">
        <v>4</v>
      </c>
      <c r="C283">
        <v>2384</v>
      </c>
      <c r="D283">
        <v>1991</v>
      </c>
      <c r="E283">
        <v>413</v>
      </c>
      <c r="F283">
        <v>463.7</v>
      </c>
      <c r="G283" s="60">
        <f t="shared" si="85"/>
        <v>2797</v>
      </c>
      <c r="H283" s="60">
        <f t="shared" si="86"/>
        <v>2454.6999999999998</v>
      </c>
      <c r="I283" s="61">
        <f t="shared" si="87"/>
        <v>13.944677557338991</v>
      </c>
    </row>
    <row r="284" spans="1:11" x14ac:dyDescent="0.25">
      <c r="A284" s="57">
        <f t="shared" si="84"/>
        <v>40815</v>
      </c>
      <c r="B284" s="58" t="s">
        <v>4</v>
      </c>
      <c r="C284">
        <v>2482.6</v>
      </c>
      <c r="D284">
        <v>1895.9</v>
      </c>
      <c r="E284">
        <v>554</v>
      </c>
      <c r="F284">
        <v>592</v>
      </c>
      <c r="G284" s="60">
        <f t="shared" si="85"/>
        <v>3036.6</v>
      </c>
      <c r="H284" s="60">
        <f t="shared" si="86"/>
        <v>2487.9</v>
      </c>
      <c r="I284" s="61">
        <f t="shared" si="87"/>
        <v>22.054744965633667</v>
      </c>
      <c r="J284">
        <v>281.2</v>
      </c>
    </row>
    <row r="285" spans="1:11" ht="15" x14ac:dyDescent="0.35">
      <c r="A285" s="57">
        <f t="shared" si="84"/>
        <v>40822</v>
      </c>
      <c r="B285" s="58" t="s">
        <v>4</v>
      </c>
      <c r="C285" s="84">
        <v>2793.2</v>
      </c>
      <c r="D285">
        <v>2387.1</v>
      </c>
      <c r="E285">
        <v>692.2</v>
      </c>
      <c r="F285">
        <v>662.5</v>
      </c>
      <c r="G285" s="60">
        <f t="shared" si="85"/>
        <v>3485.3999999999996</v>
      </c>
      <c r="H285" s="60">
        <f t="shared" si="86"/>
        <v>3049.6</v>
      </c>
      <c r="I285" s="61">
        <f t="shared" si="87"/>
        <v>14.290398740818455</v>
      </c>
    </row>
    <row r="286" spans="1:11" x14ac:dyDescent="0.25">
      <c r="A286" s="57">
        <f t="shared" si="84"/>
        <v>40829</v>
      </c>
      <c r="B286" s="58" t="s">
        <v>4</v>
      </c>
      <c r="C286">
        <v>2948</v>
      </c>
      <c r="D286">
        <v>2276</v>
      </c>
      <c r="E286">
        <v>772.9</v>
      </c>
      <c r="F286">
        <v>727.7</v>
      </c>
      <c r="G286" s="60">
        <f t="shared" si="85"/>
        <v>3720.9</v>
      </c>
      <c r="H286" s="60">
        <f t="shared" si="86"/>
        <v>3003.7</v>
      </c>
      <c r="I286" s="61">
        <f t="shared" si="87"/>
        <v>23.877218097679531</v>
      </c>
      <c r="J286" s="125"/>
    </row>
    <row r="287" spans="1:11" x14ac:dyDescent="0.25">
      <c r="A287" s="57">
        <f t="shared" si="84"/>
        <v>40836</v>
      </c>
      <c r="B287" s="58" t="s">
        <v>4</v>
      </c>
      <c r="C287">
        <v>2808.6</v>
      </c>
      <c r="D287">
        <v>2289</v>
      </c>
      <c r="E287">
        <v>1004.7</v>
      </c>
      <c r="F287">
        <v>775.2</v>
      </c>
      <c r="G287" s="60">
        <f t="shared" ref="G287:H289" si="88">+C287+E287</f>
        <v>3813.3</v>
      </c>
      <c r="H287" s="60">
        <f t="shared" si="88"/>
        <v>3064.2</v>
      </c>
      <c r="I287" s="61">
        <f t="shared" si="87"/>
        <v>24.446837673781108</v>
      </c>
    </row>
    <row r="288" spans="1:11" x14ac:dyDescent="0.25">
      <c r="A288" s="57">
        <f t="shared" si="84"/>
        <v>40843</v>
      </c>
      <c r="B288" s="58" t="s">
        <v>4</v>
      </c>
      <c r="C288">
        <v>2672.1</v>
      </c>
      <c r="D288">
        <v>2157.1999999999998</v>
      </c>
      <c r="E288">
        <v>1157.2</v>
      </c>
      <c r="F288">
        <v>903.7</v>
      </c>
      <c r="G288" s="60">
        <f t="shared" si="88"/>
        <v>3829.3</v>
      </c>
      <c r="H288" s="60">
        <f t="shared" si="88"/>
        <v>3060.8999999999996</v>
      </c>
      <c r="I288" s="61">
        <f t="shared" si="87"/>
        <v>25.103727661798846</v>
      </c>
    </row>
    <row r="289" spans="1:10" x14ac:dyDescent="0.25">
      <c r="A289" s="57">
        <f t="shared" si="84"/>
        <v>40850</v>
      </c>
      <c r="B289" s="58" t="s">
        <v>4</v>
      </c>
      <c r="C289">
        <v>2690.6</v>
      </c>
      <c r="D289">
        <v>2112</v>
      </c>
      <c r="E289">
        <v>1291.8</v>
      </c>
      <c r="F289">
        <v>1015.6</v>
      </c>
      <c r="G289" s="60">
        <f t="shared" si="88"/>
        <v>3982.3999999999996</v>
      </c>
      <c r="H289" s="60">
        <f t="shared" si="88"/>
        <v>3127.6</v>
      </c>
      <c r="I289" s="61">
        <f t="shared" si="87"/>
        <v>27.330860723877738</v>
      </c>
      <c r="J289">
        <v>281.2</v>
      </c>
    </row>
    <row r="290" spans="1:10" x14ac:dyDescent="0.25">
      <c r="A290" s="57">
        <f t="shared" si="84"/>
        <v>40857</v>
      </c>
      <c r="B290" s="58" t="s">
        <v>4</v>
      </c>
      <c r="C290">
        <v>2541.6</v>
      </c>
      <c r="D290">
        <v>2047.6</v>
      </c>
      <c r="E290">
        <v>1584.7</v>
      </c>
      <c r="F290">
        <v>1110.0999999999999</v>
      </c>
      <c r="G290" s="60">
        <f t="shared" si="85"/>
        <v>4126.3</v>
      </c>
      <c r="H290" s="60">
        <f t="shared" si="86"/>
        <v>3157.7</v>
      </c>
      <c r="I290" s="61">
        <f t="shared" si="87"/>
        <v>30.674224910536154</v>
      </c>
    </row>
    <row r="291" spans="1:10" x14ac:dyDescent="0.25">
      <c r="A291" s="57">
        <f t="shared" si="84"/>
        <v>40864</v>
      </c>
      <c r="B291" s="58" t="s">
        <v>4</v>
      </c>
      <c r="C291">
        <v>2445.1999999999998</v>
      </c>
      <c r="D291">
        <v>1929.5</v>
      </c>
      <c r="E291">
        <v>1765.1</v>
      </c>
      <c r="F291">
        <v>1229.5999999999999</v>
      </c>
      <c r="G291" s="60">
        <f t="shared" si="85"/>
        <v>4210.2999999999993</v>
      </c>
      <c r="H291" s="60">
        <f t="shared" si="86"/>
        <v>3159.1</v>
      </c>
      <c r="I291" s="61">
        <f t="shared" si="87"/>
        <v>33.275299927194425</v>
      </c>
    </row>
    <row r="292" spans="1:10" x14ac:dyDescent="0.25">
      <c r="A292" s="57">
        <f t="shared" si="84"/>
        <v>40871</v>
      </c>
      <c r="B292" s="58" t="s">
        <v>4</v>
      </c>
      <c r="C292">
        <v>2313.1</v>
      </c>
      <c r="D292">
        <v>1934</v>
      </c>
      <c r="E292">
        <v>1973.7</v>
      </c>
      <c r="F292">
        <v>1418</v>
      </c>
      <c r="G292" s="60">
        <f t="shared" si="85"/>
        <v>4286.8</v>
      </c>
      <c r="H292" s="60">
        <f t="shared" si="86"/>
        <v>3352</v>
      </c>
      <c r="I292" s="61">
        <f t="shared" si="87"/>
        <v>27.887828162291186</v>
      </c>
    </row>
    <row r="293" spans="1:10" x14ac:dyDescent="0.25">
      <c r="A293" s="57">
        <f t="shared" si="84"/>
        <v>40878</v>
      </c>
      <c r="B293" s="58" t="s">
        <v>4</v>
      </c>
      <c r="C293">
        <v>2552.4</v>
      </c>
      <c r="D293">
        <v>1871.9</v>
      </c>
      <c r="E293">
        <v>2133.8000000000002</v>
      </c>
      <c r="F293">
        <v>1490.5</v>
      </c>
      <c r="G293" s="60">
        <f t="shared" si="85"/>
        <v>4686.2000000000007</v>
      </c>
      <c r="H293" s="60">
        <f t="shared" si="86"/>
        <v>3362.4</v>
      </c>
      <c r="I293" s="61">
        <f t="shared" si="87"/>
        <v>39.370687604092325</v>
      </c>
    </row>
    <row r="294" spans="1:10" x14ac:dyDescent="0.25">
      <c r="A294" s="57">
        <f t="shared" si="84"/>
        <v>40885</v>
      </c>
      <c r="B294" s="58" t="s">
        <v>4</v>
      </c>
      <c r="C294">
        <v>2743.3</v>
      </c>
      <c r="D294">
        <v>2224.5</v>
      </c>
      <c r="E294">
        <v>2258.3000000000002</v>
      </c>
      <c r="F294">
        <v>1530.7</v>
      </c>
      <c r="G294" s="60">
        <f t="shared" si="85"/>
        <v>5001.6000000000004</v>
      </c>
      <c r="H294" s="60">
        <f t="shared" si="86"/>
        <v>3755.2</v>
      </c>
      <c r="I294" s="61">
        <f t="shared" si="87"/>
        <v>33.191308052833413</v>
      </c>
    </row>
    <row r="295" spans="1:10" x14ac:dyDescent="0.25">
      <c r="A295" s="57">
        <f t="shared" si="84"/>
        <v>40892</v>
      </c>
      <c r="B295" s="58" t="s">
        <v>4</v>
      </c>
      <c r="C295">
        <v>2806.6</v>
      </c>
      <c r="D295">
        <v>2257.1</v>
      </c>
      <c r="E295">
        <v>2563.1999999999998</v>
      </c>
      <c r="F295">
        <v>1583.4</v>
      </c>
      <c r="G295" s="60">
        <f t="shared" si="85"/>
        <v>5369.7999999999993</v>
      </c>
      <c r="H295" s="60">
        <f t="shared" si="86"/>
        <v>3840.5</v>
      </c>
      <c r="I295" s="61">
        <f t="shared" si="87"/>
        <v>39.820335893763811</v>
      </c>
      <c r="J295">
        <v>294.2</v>
      </c>
    </row>
    <row r="296" spans="1:10" x14ac:dyDescent="0.25">
      <c r="A296" s="57">
        <f t="shared" si="84"/>
        <v>40899</v>
      </c>
      <c r="B296" s="58" t="s">
        <v>4</v>
      </c>
      <c r="C296">
        <v>2767.3</v>
      </c>
      <c r="D296">
        <v>2165.8000000000002</v>
      </c>
      <c r="E296">
        <v>2728.2</v>
      </c>
      <c r="F296">
        <v>1780.1</v>
      </c>
      <c r="G296" s="60">
        <f t="shared" si="85"/>
        <v>5495.5</v>
      </c>
      <c r="H296" s="60">
        <f t="shared" si="86"/>
        <v>3945.9</v>
      </c>
      <c r="I296" s="61">
        <f t="shared" si="87"/>
        <v>39.271142198231068</v>
      </c>
    </row>
    <row r="297" spans="1:10" x14ac:dyDescent="0.25">
      <c r="A297" s="57">
        <f t="shared" si="84"/>
        <v>40906</v>
      </c>
      <c r="B297" s="58" t="s">
        <v>4</v>
      </c>
      <c r="C297">
        <v>2746.1</v>
      </c>
      <c r="D297">
        <v>2251.1</v>
      </c>
      <c r="E297">
        <v>2877.5</v>
      </c>
      <c r="F297">
        <v>1822.8</v>
      </c>
      <c r="G297" s="60">
        <f t="shared" si="85"/>
        <v>5623.6</v>
      </c>
      <c r="H297" s="60">
        <f t="shared" si="86"/>
        <v>4073.8999999999996</v>
      </c>
      <c r="I297" s="61">
        <f t="shared" si="87"/>
        <v>38.039716242421285</v>
      </c>
      <c r="J297">
        <v>298.5</v>
      </c>
    </row>
    <row r="298" spans="1:10" x14ac:dyDescent="0.25">
      <c r="A298" s="57">
        <f t="shared" si="84"/>
        <v>40913</v>
      </c>
      <c r="B298" s="58" t="s">
        <v>4</v>
      </c>
      <c r="C298">
        <v>2771.2</v>
      </c>
      <c r="D298">
        <v>2217.4</v>
      </c>
      <c r="E298">
        <v>3096.3</v>
      </c>
      <c r="F298">
        <v>1883.8</v>
      </c>
      <c r="G298" s="60">
        <f t="shared" si="85"/>
        <v>5867.5</v>
      </c>
      <c r="H298" s="60">
        <f t="shared" si="86"/>
        <v>4101.2</v>
      </c>
      <c r="I298" s="61">
        <f t="shared" si="87"/>
        <v>43.067882570954843</v>
      </c>
      <c r="J298">
        <v>298.5</v>
      </c>
    </row>
    <row r="299" spans="1:10" x14ac:dyDescent="0.25">
      <c r="A299" s="57">
        <f t="shared" si="84"/>
        <v>40920</v>
      </c>
      <c r="B299" s="58" t="s">
        <v>4</v>
      </c>
      <c r="C299">
        <v>2915.4</v>
      </c>
      <c r="D299">
        <v>2200.6999999999998</v>
      </c>
      <c r="E299">
        <v>3341</v>
      </c>
      <c r="F299">
        <v>1951.1</v>
      </c>
      <c r="G299" s="60">
        <f t="shared" si="85"/>
        <v>6256.4</v>
      </c>
      <c r="H299" s="60">
        <f t="shared" si="86"/>
        <v>4151.7999999999993</v>
      </c>
      <c r="I299" s="61">
        <f t="shared" si="87"/>
        <v>50.691266438653138</v>
      </c>
      <c r="J299">
        <v>298.5</v>
      </c>
    </row>
    <row r="300" spans="1:10" x14ac:dyDescent="0.25">
      <c r="A300" s="57">
        <f t="shared" si="84"/>
        <v>40927</v>
      </c>
      <c r="B300" s="58" t="s">
        <v>4</v>
      </c>
      <c r="C300">
        <v>2986.2</v>
      </c>
      <c r="D300">
        <v>2076.5</v>
      </c>
      <c r="E300">
        <v>3534.3</v>
      </c>
      <c r="F300">
        <v>2061</v>
      </c>
      <c r="G300" s="60">
        <f t="shared" si="85"/>
        <v>6520.5</v>
      </c>
      <c r="H300" s="60">
        <f t="shared" si="86"/>
        <v>4137.5</v>
      </c>
      <c r="I300" s="61">
        <f t="shared" si="87"/>
        <v>57.595166163141997</v>
      </c>
      <c r="J300">
        <v>343.5</v>
      </c>
    </row>
    <row r="301" spans="1:10" x14ac:dyDescent="0.25">
      <c r="A301" s="57">
        <f t="shared" si="84"/>
        <v>40934</v>
      </c>
      <c r="B301" s="58" t="s">
        <v>4</v>
      </c>
      <c r="C301">
        <v>3285</v>
      </c>
      <c r="D301">
        <v>2052.5</v>
      </c>
      <c r="E301">
        <v>3677.7</v>
      </c>
      <c r="F301">
        <v>2156.5</v>
      </c>
      <c r="G301" s="60">
        <f t="shared" si="85"/>
        <v>6962.7</v>
      </c>
      <c r="H301" s="60">
        <f t="shared" si="86"/>
        <v>4209</v>
      </c>
      <c r="I301" s="61">
        <f t="shared" si="87"/>
        <v>65.424091233071977</v>
      </c>
      <c r="J301">
        <v>359.5</v>
      </c>
    </row>
    <row r="302" spans="1:10" x14ac:dyDescent="0.25">
      <c r="A302" s="57">
        <f t="shared" si="84"/>
        <v>40941</v>
      </c>
      <c r="B302" s="58" t="s">
        <v>4</v>
      </c>
      <c r="C302">
        <v>3263.5</v>
      </c>
      <c r="D302">
        <v>2077.5</v>
      </c>
      <c r="E302">
        <v>3931.3</v>
      </c>
      <c r="F302">
        <v>2223.3000000000002</v>
      </c>
      <c r="G302" s="60">
        <f t="shared" si="85"/>
        <v>7194.8</v>
      </c>
      <c r="H302" s="60">
        <f t="shared" si="86"/>
        <v>4300.8</v>
      </c>
      <c r="I302" s="61">
        <f t="shared" si="87"/>
        <v>67.289806547619051</v>
      </c>
      <c r="J302">
        <v>359.5</v>
      </c>
    </row>
    <row r="303" spans="1:10" x14ac:dyDescent="0.25">
      <c r="A303" s="57">
        <f t="shared" si="84"/>
        <v>40948</v>
      </c>
      <c r="B303" s="58" t="s">
        <v>4</v>
      </c>
      <c r="C303">
        <v>3493.6</v>
      </c>
      <c r="D303">
        <v>2637</v>
      </c>
      <c r="E303">
        <v>4116.5</v>
      </c>
      <c r="F303">
        <v>2304.4</v>
      </c>
      <c r="G303" s="60">
        <f t="shared" si="85"/>
        <v>7610.1</v>
      </c>
      <c r="H303" s="60">
        <f t="shared" si="86"/>
        <v>4941.3999999999996</v>
      </c>
      <c r="I303" s="61">
        <f t="shared" si="87"/>
        <v>54.006961589832869</v>
      </c>
      <c r="J303">
        <v>421</v>
      </c>
    </row>
    <row r="304" spans="1:10" x14ac:dyDescent="0.25">
      <c r="A304" s="57">
        <f t="shared" si="84"/>
        <v>40955</v>
      </c>
      <c r="B304" s="58" t="s">
        <v>4</v>
      </c>
      <c r="C304">
        <v>3383.2</v>
      </c>
      <c r="D304">
        <v>3001.5</v>
      </c>
      <c r="E304">
        <v>4362.1000000000004</v>
      </c>
      <c r="F304">
        <v>2445.1</v>
      </c>
      <c r="G304" s="60">
        <f t="shared" si="85"/>
        <v>7745.3</v>
      </c>
      <c r="H304" s="60">
        <f t="shared" si="86"/>
        <v>5446.6</v>
      </c>
      <c r="I304" s="61">
        <f t="shared" si="87"/>
        <v>42.204310946278412</v>
      </c>
      <c r="J304">
        <v>421</v>
      </c>
    </row>
    <row r="305" spans="1:10" x14ac:dyDescent="0.25">
      <c r="A305" s="57">
        <f t="shared" si="84"/>
        <v>40962</v>
      </c>
      <c r="B305" s="58" t="s">
        <v>4</v>
      </c>
      <c r="C305">
        <v>3247.4</v>
      </c>
      <c r="D305">
        <v>3239.9</v>
      </c>
      <c r="E305">
        <v>4641.5</v>
      </c>
      <c r="F305">
        <v>2560.1</v>
      </c>
      <c r="G305" s="60">
        <f t="shared" si="85"/>
        <v>7888.9</v>
      </c>
      <c r="H305" s="60">
        <f t="shared" si="86"/>
        <v>5800</v>
      </c>
      <c r="I305" s="61">
        <f t="shared" si="87"/>
        <v>36.0155172413793</v>
      </c>
      <c r="J305">
        <v>444</v>
      </c>
    </row>
    <row r="306" spans="1:10" x14ac:dyDescent="0.25">
      <c r="A306" s="57">
        <f t="shared" si="84"/>
        <v>40969</v>
      </c>
      <c r="B306" s="58" t="s">
        <v>4</v>
      </c>
      <c r="C306">
        <v>3037.2</v>
      </c>
      <c r="D306">
        <v>3179.3</v>
      </c>
      <c r="E306">
        <v>4926</v>
      </c>
      <c r="F306">
        <v>2782.3</v>
      </c>
      <c r="G306" s="60">
        <f t="shared" si="85"/>
        <v>7963.2</v>
      </c>
      <c r="H306" s="60">
        <f t="shared" si="86"/>
        <v>5961.6</v>
      </c>
      <c r="I306" s="61">
        <f t="shared" si="87"/>
        <v>33.574879227053131</v>
      </c>
      <c r="J306">
        <v>444</v>
      </c>
    </row>
    <row r="307" spans="1:10" x14ac:dyDescent="0.25">
      <c r="A307" s="57">
        <f t="shared" si="84"/>
        <v>40976</v>
      </c>
      <c r="B307" s="58" t="s">
        <v>4</v>
      </c>
      <c r="C307">
        <v>2930.7</v>
      </c>
      <c r="D307">
        <v>3232.9</v>
      </c>
      <c r="E307">
        <v>5255.2</v>
      </c>
      <c r="F307">
        <v>2907.2</v>
      </c>
      <c r="G307" s="60">
        <f t="shared" si="85"/>
        <v>8185.9</v>
      </c>
      <c r="H307" s="60">
        <f t="shared" si="86"/>
        <v>6140.1</v>
      </c>
      <c r="I307" s="61">
        <f t="shared" si="87"/>
        <v>33.318675591602734</v>
      </c>
      <c r="J307">
        <v>444</v>
      </c>
    </row>
    <row r="308" spans="1:10" x14ac:dyDescent="0.25">
      <c r="A308" s="57">
        <f t="shared" si="84"/>
        <v>40983</v>
      </c>
      <c r="B308" s="58" t="s">
        <v>4</v>
      </c>
      <c r="C308">
        <v>2859.1</v>
      </c>
      <c r="D308">
        <v>3087.1</v>
      </c>
      <c r="E308">
        <v>5454.3</v>
      </c>
      <c r="F308">
        <v>3109.6</v>
      </c>
      <c r="G308" s="60">
        <f t="shared" si="85"/>
        <v>8313.4</v>
      </c>
      <c r="H308" s="60">
        <f t="shared" si="86"/>
        <v>6196.7</v>
      </c>
      <c r="I308" s="61">
        <f t="shared" si="87"/>
        <v>34.158503719721779</v>
      </c>
      <c r="J308">
        <v>444</v>
      </c>
    </row>
    <row r="309" spans="1:10" x14ac:dyDescent="0.25">
      <c r="A309" s="57">
        <f t="shared" si="84"/>
        <v>40990</v>
      </c>
      <c r="B309" s="58" t="s">
        <v>4</v>
      </c>
      <c r="C309">
        <v>2662.1</v>
      </c>
      <c r="D309">
        <v>2916</v>
      </c>
      <c r="E309">
        <v>5699.5</v>
      </c>
      <c r="F309">
        <v>3334.9</v>
      </c>
      <c r="G309" s="60">
        <f t="shared" si="85"/>
        <v>8361.6</v>
      </c>
      <c r="H309" s="60">
        <f t="shared" si="86"/>
        <v>6250.9</v>
      </c>
      <c r="I309" s="61">
        <f t="shared" si="87"/>
        <v>33.766337647378798</v>
      </c>
      <c r="J309">
        <v>444</v>
      </c>
    </row>
    <row r="310" spans="1:10" x14ac:dyDescent="0.25">
      <c r="A310" s="57">
        <f t="shared" si="84"/>
        <v>40997</v>
      </c>
      <c r="B310" s="58" t="s">
        <v>4</v>
      </c>
      <c r="C310">
        <v>2713.7</v>
      </c>
      <c r="D310">
        <v>2718.7</v>
      </c>
      <c r="E310">
        <v>5915.1</v>
      </c>
      <c r="F310">
        <v>3573.7</v>
      </c>
      <c r="G310" s="60">
        <f t="shared" si="85"/>
        <v>8628.7999999999993</v>
      </c>
      <c r="H310" s="60">
        <f t="shared" si="86"/>
        <v>6292.4</v>
      </c>
      <c r="I310" s="61">
        <f t="shared" si="87"/>
        <v>37.130506642934336</v>
      </c>
      <c r="J310">
        <v>444</v>
      </c>
    </row>
    <row r="311" spans="1:10" x14ac:dyDescent="0.25">
      <c r="A311" s="57">
        <f t="shared" si="84"/>
        <v>41004</v>
      </c>
      <c r="B311" s="58" t="s">
        <v>4</v>
      </c>
      <c r="C311">
        <v>2773.1</v>
      </c>
      <c r="D311">
        <v>2633.3</v>
      </c>
      <c r="E311">
        <v>6151.5</v>
      </c>
      <c r="F311">
        <v>3783.7</v>
      </c>
      <c r="G311" s="60">
        <f t="shared" si="85"/>
        <v>8924.6</v>
      </c>
      <c r="H311" s="60">
        <f t="shared" si="86"/>
        <v>6417</v>
      </c>
      <c r="I311" s="61">
        <f t="shared" si="87"/>
        <v>39.077450522050803</v>
      </c>
      <c r="J311">
        <v>455.2</v>
      </c>
    </row>
    <row r="312" spans="1:10" x14ac:dyDescent="0.25">
      <c r="A312" s="57">
        <f t="shared" si="84"/>
        <v>41011</v>
      </c>
      <c r="B312" s="58" t="s">
        <v>4</v>
      </c>
      <c r="C312">
        <v>2576.5</v>
      </c>
      <c r="D312">
        <v>2499.4</v>
      </c>
      <c r="E312">
        <v>6410.6</v>
      </c>
      <c r="F312">
        <v>3978.3</v>
      </c>
      <c r="G312" s="60">
        <f t="shared" si="85"/>
        <v>8987.1</v>
      </c>
      <c r="H312" s="60">
        <f t="shared" si="86"/>
        <v>6477.7000000000007</v>
      </c>
      <c r="I312" s="61">
        <f t="shared" si="87"/>
        <v>38.739058616484236</v>
      </c>
      <c r="J312">
        <v>452.7</v>
      </c>
    </row>
    <row r="313" spans="1:10" x14ac:dyDescent="0.25">
      <c r="A313" s="57">
        <f t="shared" si="84"/>
        <v>41018</v>
      </c>
      <c r="B313" s="58" t="s">
        <v>4</v>
      </c>
      <c r="C313">
        <v>2387.6</v>
      </c>
      <c r="D313">
        <v>2323.8000000000002</v>
      </c>
      <c r="E313">
        <v>6647.3</v>
      </c>
      <c r="F313">
        <v>4135.5</v>
      </c>
      <c r="G313" s="60">
        <f t="shared" si="85"/>
        <v>9034.9</v>
      </c>
      <c r="H313" s="60">
        <f t="shared" si="86"/>
        <v>6459.3</v>
      </c>
      <c r="I313" s="61">
        <f t="shared" si="87"/>
        <v>39.874289783722695</v>
      </c>
      <c r="J313">
        <v>452.7</v>
      </c>
    </row>
    <row r="314" spans="1:10" x14ac:dyDescent="0.25">
      <c r="A314" s="57">
        <f t="shared" si="84"/>
        <v>41025</v>
      </c>
      <c r="B314" s="58" t="s">
        <v>4</v>
      </c>
      <c r="C314">
        <v>2160.1</v>
      </c>
      <c r="D314">
        <v>2184.8000000000002</v>
      </c>
      <c r="E314">
        <v>6979.3</v>
      </c>
      <c r="F314">
        <v>4303.6000000000004</v>
      </c>
      <c r="G314" s="60">
        <f t="shared" si="85"/>
        <v>9139.4</v>
      </c>
      <c r="H314" s="60">
        <f t="shared" si="86"/>
        <v>6488.4000000000005</v>
      </c>
      <c r="I314" s="61">
        <f t="shared" si="87"/>
        <v>40.857530361876556</v>
      </c>
      <c r="J314">
        <v>497.3</v>
      </c>
    </row>
    <row r="315" spans="1:10" x14ac:dyDescent="0.25">
      <c r="A315" s="57">
        <f t="shared" si="84"/>
        <v>41032</v>
      </c>
      <c r="B315" s="58" t="s">
        <v>4</v>
      </c>
      <c r="C315">
        <v>2059.6999999999998</v>
      </c>
      <c r="D315">
        <v>1971.3</v>
      </c>
      <c r="E315">
        <v>7194.8</v>
      </c>
      <c r="F315">
        <v>4518.6000000000004</v>
      </c>
      <c r="G315" s="60">
        <f t="shared" si="85"/>
        <v>9254.5</v>
      </c>
      <c r="H315" s="60">
        <f t="shared" si="86"/>
        <v>6489.9000000000005</v>
      </c>
      <c r="I315" s="61">
        <f t="shared" si="87"/>
        <v>42.598499206459259</v>
      </c>
      <c r="J315">
        <v>497.3</v>
      </c>
    </row>
    <row r="316" spans="1:10" x14ac:dyDescent="0.25">
      <c r="A316" s="57">
        <f t="shared" si="84"/>
        <v>41039</v>
      </c>
      <c r="B316" s="58" t="s">
        <v>4</v>
      </c>
      <c r="C316">
        <v>1838</v>
      </c>
      <c r="D316">
        <v>1887.1</v>
      </c>
      <c r="E316">
        <v>7452.3</v>
      </c>
      <c r="F316">
        <v>4665.2</v>
      </c>
      <c r="G316" s="60">
        <f t="shared" si="85"/>
        <v>9290.2999999999993</v>
      </c>
      <c r="H316" s="60">
        <f t="shared" si="86"/>
        <v>6552.2999999999993</v>
      </c>
      <c r="I316" s="61">
        <f t="shared" si="87"/>
        <v>41.786853471300155</v>
      </c>
      <c r="J316">
        <v>570.1</v>
      </c>
    </row>
    <row r="317" spans="1:10" x14ac:dyDescent="0.25">
      <c r="A317" s="57">
        <f t="shared" si="84"/>
        <v>41046</v>
      </c>
      <c r="B317" s="58" t="s">
        <v>4</v>
      </c>
      <c r="C317">
        <v>1691.3</v>
      </c>
      <c r="D317">
        <v>1773.9</v>
      </c>
      <c r="E317">
        <v>7653.9</v>
      </c>
      <c r="F317">
        <v>4813.3</v>
      </c>
      <c r="G317" s="60">
        <f t="shared" si="85"/>
        <v>9345.1999999999989</v>
      </c>
      <c r="H317" s="60">
        <f t="shared" si="86"/>
        <v>6587.2000000000007</v>
      </c>
      <c r="I317" s="61">
        <f t="shared" si="87"/>
        <v>41.86907942676703</v>
      </c>
      <c r="J317">
        <v>570.1</v>
      </c>
    </row>
    <row r="318" spans="1:10" x14ac:dyDescent="0.25">
      <c r="A318" s="57">
        <f t="shared" ref="A318:A387" si="89">+A317+7</f>
        <v>41053</v>
      </c>
      <c r="B318" s="58" t="s">
        <v>4</v>
      </c>
      <c r="C318">
        <v>1503.4</v>
      </c>
      <c r="D318">
        <v>1634.6</v>
      </c>
      <c r="E318">
        <v>7853.4</v>
      </c>
      <c r="F318">
        <v>4940.7</v>
      </c>
      <c r="G318" s="60">
        <f t="shared" si="85"/>
        <v>9356.7999999999993</v>
      </c>
      <c r="H318" s="60">
        <f t="shared" si="86"/>
        <v>6575.2999999999993</v>
      </c>
      <c r="I318" s="61">
        <f t="shared" si="87"/>
        <v>42.302252368713212</v>
      </c>
      <c r="J318">
        <v>601.1</v>
      </c>
    </row>
    <row r="319" spans="1:10" x14ac:dyDescent="0.25">
      <c r="A319" s="57">
        <f t="shared" si="89"/>
        <v>41060</v>
      </c>
      <c r="B319" s="58" t="s">
        <v>4</v>
      </c>
      <c r="C319">
        <v>1384.2</v>
      </c>
      <c r="D319">
        <v>1376.7</v>
      </c>
      <c r="E319">
        <v>8043.6</v>
      </c>
      <c r="F319">
        <v>5235.8</v>
      </c>
      <c r="G319" s="60">
        <f t="shared" si="85"/>
        <v>9427.8000000000011</v>
      </c>
      <c r="H319" s="60">
        <f t="shared" si="86"/>
        <v>6612.5</v>
      </c>
      <c r="I319" s="61">
        <f t="shared" si="87"/>
        <v>42.575425330812863</v>
      </c>
      <c r="J319">
        <v>710.9</v>
      </c>
    </row>
    <row r="320" spans="1:10" x14ac:dyDescent="0.25">
      <c r="A320" s="57">
        <f t="shared" si="89"/>
        <v>41067</v>
      </c>
      <c r="B320" s="58" t="s">
        <v>4</v>
      </c>
      <c r="C320">
        <v>1183.5</v>
      </c>
      <c r="D320">
        <v>1253.2</v>
      </c>
      <c r="E320">
        <v>8242.5</v>
      </c>
      <c r="F320">
        <v>5385.4</v>
      </c>
      <c r="G320" s="60">
        <f t="shared" si="85"/>
        <v>9426</v>
      </c>
      <c r="H320" s="60">
        <f t="shared" si="86"/>
        <v>6638.5999999999995</v>
      </c>
      <c r="I320" s="61">
        <f t="shared" si="87"/>
        <v>41.987768505407772</v>
      </c>
      <c r="J320">
        <v>740.9</v>
      </c>
    </row>
    <row r="321" spans="1:10" x14ac:dyDescent="0.25">
      <c r="A321" s="57">
        <f t="shared" si="89"/>
        <v>41074</v>
      </c>
      <c r="B321" s="58" t="s">
        <v>4</v>
      </c>
      <c r="C321">
        <v>1018.3</v>
      </c>
      <c r="D321">
        <v>1038.2</v>
      </c>
      <c r="E321">
        <v>8427.6</v>
      </c>
      <c r="F321">
        <v>5641.6</v>
      </c>
      <c r="G321" s="60">
        <f t="shared" si="85"/>
        <v>9445.9</v>
      </c>
      <c r="H321" s="60">
        <f t="shared" si="86"/>
        <v>6679.8</v>
      </c>
      <c r="I321" s="61">
        <f t="shared" si="87"/>
        <v>41.409922452768043</v>
      </c>
      <c r="J321">
        <v>785.1</v>
      </c>
    </row>
    <row r="322" spans="1:10" x14ac:dyDescent="0.25">
      <c r="A322" s="57">
        <f t="shared" si="89"/>
        <v>41081</v>
      </c>
      <c r="B322" s="58" t="s">
        <v>4</v>
      </c>
      <c r="C322">
        <v>950.3</v>
      </c>
      <c r="D322">
        <v>1045.5</v>
      </c>
      <c r="E322">
        <v>8572.5</v>
      </c>
      <c r="F322">
        <v>5734.7</v>
      </c>
      <c r="G322" s="60">
        <f t="shared" ref="G322:G340" si="90">+C322+E322</f>
        <v>9522.7999999999993</v>
      </c>
      <c r="H322" s="60">
        <f t="shared" ref="H322:H340" si="91">+D322+F322</f>
        <v>6780.2</v>
      </c>
      <c r="I322" s="61">
        <f t="shared" ref="I322:I340" si="92">+(G322/H322-1)*100</f>
        <v>40.45013421432995</v>
      </c>
      <c r="J322">
        <v>792.6</v>
      </c>
    </row>
    <row r="323" spans="1:10" x14ac:dyDescent="0.25">
      <c r="A323" s="57">
        <f t="shared" si="89"/>
        <v>41088</v>
      </c>
      <c r="B323" s="58" t="s">
        <v>4</v>
      </c>
      <c r="C323">
        <v>852.3</v>
      </c>
      <c r="D323">
        <v>902.9</v>
      </c>
      <c r="E323">
        <v>8669.2000000000007</v>
      </c>
      <c r="F323">
        <v>5916.3</v>
      </c>
      <c r="G323" s="60">
        <f t="shared" si="90"/>
        <v>9521.5</v>
      </c>
      <c r="H323" s="60">
        <f t="shared" si="91"/>
        <v>6819.2</v>
      </c>
      <c r="I323" s="61">
        <f t="shared" si="92"/>
        <v>39.627815579540112</v>
      </c>
      <c r="J323">
        <v>824.5</v>
      </c>
    </row>
    <row r="324" spans="1:10" x14ac:dyDescent="0.25">
      <c r="A324" s="57">
        <f t="shared" si="89"/>
        <v>41095</v>
      </c>
      <c r="B324" s="58" t="s">
        <v>4</v>
      </c>
      <c r="C324">
        <v>735.7</v>
      </c>
      <c r="D324">
        <v>853.4</v>
      </c>
      <c r="E324">
        <v>8805.7000000000007</v>
      </c>
      <c r="F324">
        <v>6014</v>
      </c>
      <c r="G324" s="60">
        <f t="shared" si="90"/>
        <v>9541.4000000000015</v>
      </c>
      <c r="H324" s="60">
        <f t="shared" si="91"/>
        <v>6867.4</v>
      </c>
      <c r="I324" s="61">
        <f t="shared" si="92"/>
        <v>38.937589189504052</v>
      </c>
      <c r="J324">
        <v>1076.9000000000001</v>
      </c>
    </row>
    <row r="325" spans="1:10" x14ac:dyDescent="0.25">
      <c r="A325" s="57">
        <f t="shared" si="89"/>
        <v>41102</v>
      </c>
      <c r="B325" s="58" t="s">
        <v>4</v>
      </c>
      <c r="C325">
        <v>631.4</v>
      </c>
      <c r="D325">
        <v>746.1</v>
      </c>
      <c r="E325">
        <v>8906.7000000000007</v>
      </c>
      <c r="F325">
        <v>6160.9</v>
      </c>
      <c r="G325" s="60">
        <f t="shared" si="90"/>
        <v>9538.1</v>
      </c>
      <c r="H325" s="60">
        <f t="shared" si="91"/>
        <v>6907</v>
      </c>
      <c r="I325" s="61">
        <f t="shared" si="92"/>
        <v>38.0932387433039</v>
      </c>
      <c r="J325">
        <v>1087.9000000000001</v>
      </c>
    </row>
    <row r="326" spans="1:10" x14ac:dyDescent="0.25">
      <c r="A326" s="57">
        <f t="shared" si="89"/>
        <v>41109</v>
      </c>
      <c r="B326" s="58" t="s">
        <v>4</v>
      </c>
      <c r="C326">
        <v>562.6</v>
      </c>
      <c r="D326">
        <v>623.70000000000005</v>
      </c>
      <c r="E326">
        <v>8981.4</v>
      </c>
      <c r="F326">
        <v>6297.4</v>
      </c>
      <c r="G326" s="60">
        <f t="shared" si="90"/>
        <v>9544</v>
      </c>
      <c r="H326" s="60">
        <f t="shared" si="91"/>
        <v>6921.0999999999995</v>
      </c>
      <c r="I326" s="61">
        <f t="shared" si="92"/>
        <v>37.897155076505193</v>
      </c>
      <c r="J326">
        <v>1091.4000000000001</v>
      </c>
    </row>
    <row r="327" spans="1:10" x14ac:dyDescent="0.25">
      <c r="A327" s="57">
        <f t="shared" si="89"/>
        <v>41116</v>
      </c>
      <c r="B327" s="58" t="s">
        <v>4</v>
      </c>
      <c r="C327">
        <v>468.8</v>
      </c>
      <c r="D327">
        <v>529.29999999999995</v>
      </c>
      <c r="E327">
        <v>9090.7000000000007</v>
      </c>
      <c r="F327">
        <v>6447.9</v>
      </c>
      <c r="G327" s="60">
        <f t="shared" si="90"/>
        <v>9559.5</v>
      </c>
      <c r="H327" s="60">
        <f t="shared" si="91"/>
        <v>6977.2</v>
      </c>
      <c r="I327" s="61">
        <f t="shared" si="92"/>
        <v>37.01054864415525</v>
      </c>
      <c r="J327">
        <v>1099.4000000000001</v>
      </c>
    </row>
    <row r="328" spans="1:10" x14ac:dyDescent="0.25">
      <c r="A328" s="57">
        <f t="shared" si="89"/>
        <v>41123</v>
      </c>
      <c r="B328" s="58" t="s">
        <v>4</v>
      </c>
      <c r="C328">
        <v>412.5</v>
      </c>
      <c r="D328">
        <v>397.3</v>
      </c>
      <c r="E328">
        <v>9159.2999999999993</v>
      </c>
      <c r="F328">
        <v>6580.8</v>
      </c>
      <c r="G328" s="60">
        <f t="shared" si="90"/>
        <v>9571.7999999999993</v>
      </c>
      <c r="H328" s="60">
        <f t="shared" si="91"/>
        <v>6978.1</v>
      </c>
      <c r="I328" s="61">
        <f t="shared" si="92"/>
        <v>37.169143463120321</v>
      </c>
      <c r="J328">
        <v>2082.4</v>
      </c>
    </row>
    <row r="329" spans="1:10" x14ac:dyDescent="0.25">
      <c r="A329" s="57">
        <f t="shared" si="89"/>
        <v>41130</v>
      </c>
      <c r="B329" s="58" t="s">
        <v>4</v>
      </c>
      <c r="C329">
        <v>316.60000000000002</v>
      </c>
      <c r="D329">
        <v>280</v>
      </c>
      <c r="E329">
        <v>9279</v>
      </c>
      <c r="F329">
        <v>6750.6</v>
      </c>
      <c r="G329" s="60">
        <f t="shared" si="90"/>
        <v>9595.6</v>
      </c>
      <c r="H329" s="60">
        <f t="shared" si="91"/>
        <v>7030.6</v>
      </c>
      <c r="I329" s="61">
        <f t="shared" si="92"/>
        <v>36.483372685119342</v>
      </c>
      <c r="J329">
        <v>2154.4</v>
      </c>
    </row>
    <row r="330" spans="1:10" x14ac:dyDescent="0.25">
      <c r="A330" s="57">
        <f t="shared" si="89"/>
        <v>41137</v>
      </c>
      <c r="B330" s="58" t="s">
        <v>4</v>
      </c>
      <c r="C330">
        <v>243</v>
      </c>
      <c r="D330">
        <v>252.1</v>
      </c>
      <c r="E330">
        <v>9372.5</v>
      </c>
      <c r="F330">
        <v>6847.1</v>
      </c>
      <c r="G330" s="60">
        <f t="shared" si="90"/>
        <v>9615.5</v>
      </c>
      <c r="H330" s="60">
        <f t="shared" si="91"/>
        <v>7099.2000000000007</v>
      </c>
      <c r="I330" s="61">
        <f t="shared" si="92"/>
        <v>35.444838855082253</v>
      </c>
      <c r="J330">
        <v>2285.6999999999998</v>
      </c>
    </row>
    <row r="331" spans="1:10" x14ac:dyDescent="0.25">
      <c r="A331" s="57">
        <f t="shared" si="89"/>
        <v>41144</v>
      </c>
      <c r="B331" s="58" t="s">
        <v>4</v>
      </c>
      <c r="C331">
        <v>170.5</v>
      </c>
      <c r="D331">
        <v>186.4</v>
      </c>
      <c r="E331">
        <v>9449.2999999999993</v>
      </c>
      <c r="F331">
        <v>6934.7</v>
      </c>
      <c r="G331" s="60">
        <f t="shared" si="90"/>
        <v>9619.7999999999993</v>
      </c>
      <c r="H331" s="60">
        <f t="shared" si="91"/>
        <v>7121.0999999999995</v>
      </c>
      <c r="I331" s="61">
        <f t="shared" si="92"/>
        <v>35.088680119644437</v>
      </c>
      <c r="J331">
        <v>2263.4</v>
      </c>
    </row>
    <row r="332" spans="1:10" x14ac:dyDescent="0.25">
      <c r="A332" s="57">
        <f t="shared" si="89"/>
        <v>41151</v>
      </c>
      <c r="B332" s="58" t="s">
        <v>4</v>
      </c>
      <c r="C332">
        <v>90</v>
      </c>
      <c r="D332">
        <v>2453.1999999999998</v>
      </c>
      <c r="E332">
        <v>9526.2999999999993</v>
      </c>
      <c r="F332">
        <v>25.6</v>
      </c>
      <c r="G332" s="60">
        <f t="shared" si="90"/>
        <v>9616.2999999999993</v>
      </c>
      <c r="H332" s="60">
        <f t="shared" si="91"/>
        <v>2478.7999999999997</v>
      </c>
      <c r="I332" s="61">
        <f t="shared" si="92"/>
        <v>287.94174600613201</v>
      </c>
      <c r="J332">
        <v>2339.3000000000002</v>
      </c>
    </row>
    <row r="333" spans="1:10" x14ac:dyDescent="0.25">
      <c r="A333" s="57">
        <f t="shared" si="89"/>
        <v>41158</v>
      </c>
      <c r="B333" s="58" t="s">
        <v>4</v>
      </c>
      <c r="C333">
        <v>2369.5</v>
      </c>
      <c r="D333">
        <v>2453.1999999999998</v>
      </c>
      <c r="E333">
        <v>45.5</v>
      </c>
      <c r="F333">
        <v>25.6</v>
      </c>
      <c r="G333" s="60">
        <f t="shared" si="90"/>
        <v>2415</v>
      </c>
      <c r="H333" s="60">
        <f t="shared" si="91"/>
        <v>2478.7999999999997</v>
      </c>
      <c r="I333" s="61">
        <f t="shared" si="92"/>
        <v>-2.5738260448604056</v>
      </c>
      <c r="J333">
        <v>555.4</v>
      </c>
    </row>
    <row r="334" spans="1:10" x14ac:dyDescent="0.25">
      <c r="A334" s="57">
        <f t="shared" si="89"/>
        <v>41165</v>
      </c>
      <c r="B334" s="58" t="s">
        <v>4</v>
      </c>
      <c r="C334">
        <v>2288</v>
      </c>
      <c r="D334">
        <v>2404.1999999999998</v>
      </c>
      <c r="E334">
        <v>182.5</v>
      </c>
      <c r="F334">
        <v>274.10000000000002</v>
      </c>
      <c r="G334" s="60">
        <f t="shared" si="90"/>
        <v>2470.5</v>
      </c>
      <c r="H334" s="60">
        <f t="shared" si="91"/>
        <v>2678.2999999999997</v>
      </c>
      <c r="I334" s="61">
        <f t="shared" si="92"/>
        <v>-7.7586528768248453</v>
      </c>
      <c r="J334">
        <v>555.4</v>
      </c>
    </row>
    <row r="335" spans="1:10" x14ac:dyDescent="0.25">
      <c r="A335" s="57">
        <f t="shared" si="89"/>
        <v>41172</v>
      </c>
      <c r="B335" s="58" t="s">
        <v>4</v>
      </c>
      <c r="C335">
        <v>2197</v>
      </c>
      <c r="D335">
        <v>2384</v>
      </c>
      <c r="E335">
        <v>290.8</v>
      </c>
      <c r="F335">
        <v>412.5</v>
      </c>
      <c r="G335" s="60">
        <f t="shared" si="90"/>
        <v>2487.8000000000002</v>
      </c>
      <c r="H335" s="60">
        <f t="shared" si="91"/>
        <v>2796.5</v>
      </c>
      <c r="I335" s="61">
        <f t="shared" si="92"/>
        <v>-11.038798498122649</v>
      </c>
      <c r="J335">
        <v>555.4</v>
      </c>
    </row>
    <row r="336" spans="1:10" x14ac:dyDescent="0.25">
      <c r="A336" s="57">
        <f t="shared" si="89"/>
        <v>41179</v>
      </c>
      <c r="B336" s="58" t="s">
        <v>4</v>
      </c>
      <c r="C336">
        <v>2135.3000000000002</v>
      </c>
      <c r="D336">
        <v>2482.6</v>
      </c>
      <c r="E336">
        <v>378.9</v>
      </c>
      <c r="F336">
        <v>554</v>
      </c>
      <c r="G336" s="60">
        <f t="shared" si="90"/>
        <v>2514.2000000000003</v>
      </c>
      <c r="H336" s="60">
        <f t="shared" si="91"/>
        <v>3036.6</v>
      </c>
      <c r="I336" s="61">
        <f t="shared" si="92"/>
        <v>-17.203451228347475</v>
      </c>
      <c r="J336">
        <v>555.4</v>
      </c>
    </row>
    <row r="337" spans="1:10" x14ac:dyDescent="0.25">
      <c r="A337" s="57">
        <f t="shared" si="89"/>
        <v>41186</v>
      </c>
      <c r="B337" s="58" t="s">
        <v>4</v>
      </c>
      <c r="C337">
        <v>2082</v>
      </c>
      <c r="D337">
        <v>2793.2</v>
      </c>
      <c r="E337">
        <v>460.5</v>
      </c>
      <c r="F337">
        <v>692.2</v>
      </c>
      <c r="G337" s="60">
        <f t="shared" si="90"/>
        <v>2542.5</v>
      </c>
      <c r="H337" s="60">
        <f t="shared" si="91"/>
        <v>3485.3999999999996</v>
      </c>
      <c r="I337" s="61">
        <f t="shared" si="92"/>
        <v>-27.052849027371316</v>
      </c>
      <c r="J337">
        <v>555.4</v>
      </c>
    </row>
    <row r="338" spans="1:10" x14ac:dyDescent="0.25">
      <c r="A338" s="57">
        <f t="shared" si="89"/>
        <v>41193</v>
      </c>
      <c r="B338" s="58" t="s">
        <v>4</v>
      </c>
      <c r="C338">
        <v>2041.8</v>
      </c>
      <c r="D338">
        <v>2948</v>
      </c>
      <c r="E338">
        <v>546.29999999999995</v>
      </c>
      <c r="F338">
        <v>772.9</v>
      </c>
      <c r="G338" s="60">
        <f t="shared" si="90"/>
        <v>2588.1</v>
      </c>
      <c r="H338" s="60">
        <f t="shared" si="91"/>
        <v>3720.9</v>
      </c>
      <c r="I338" s="61">
        <f t="shared" si="92"/>
        <v>-30.444247359509802</v>
      </c>
      <c r="J338">
        <v>555.4</v>
      </c>
    </row>
    <row r="339" spans="1:10" x14ac:dyDescent="0.25">
      <c r="A339" s="57">
        <f t="shared" si="89"/>
        <v>41200</v>
      </c>
      <c r="B339" s="58" t="s">
        <v>4</v>
      </c>
      <c r="C339">
        <v>2020.3</v>
      </c>
      <c r="D339">
        <v>2808.6</v>
      </c>
      <c r="E339">
        <v>594</v>
      </c>
      <c r="F339">
        <v>1004.7</v>
      </c>
      <c r="G339" s="60">
        <f t="shared" si="90"/>
        <v>2614.3000000000002</v>
      </c>
      <c r="H339" s="60">
        <f t="shared" si="91"/>
        <v>3813.3</v>
      </c>
      <c r="I339" s="61">
        <f t="shared" si="92"/>
        <v>-31.442582540057163</v>
      </c>
      <c r="J339">
        <v>555.4</v>
      </c>
    </row>
    <row r="340" spans="1:10" x14ac:dyDescent="0.25">
      <c r="A340" s="57">
        <f t="shared" si="89"/>
        <v>41207</v>
      </c>
      <c r="B340" s="58" t="s">
        <v>4</v>
      </c>
      <c r="C340">
        <v>2004.6</v>
      </c>
      <c r="D340">
        <v>2672.1</v>
      </c>
      <c r="E340">
        <v>672.6</v>
      </c>
      <c r="F340">
        <v>1157.2</v>
      </c>
      <c r="G340" s="60">
        <f t="shared" si="90"/>
        <v>2677.2</v>
      </c>
      <c r="H340" s="60">
        <f t="shared" si="91"/>
        <v>3829.3</v>
      </c>
      <c r="I340" s="61">
        <f t="shared" si="92"/>
        <v>-30.086438774710789</v>
      </c>
      <c r="J340">
        <v>555.4</v>
      </c>
    </row>
    <row r="341" spans="1:10" x14ac:dyDescent="0.25">
      <c r="A341" s="57">
        <f t="shared" si="89"/>
        <v>41214</v>
      </c>
      <c r="B341" s="58" t="s">
        <v>4</v>
      </c>
      <c r="C341">
        <v>1912.3</v>
      </c>
      <c r="D341">
        <v>2690.6</v>
      </c>
      <c r="E341">
        <v>832.7</v>
      </c>
      <c r="F341">
        <v>1291.8</v>
      </c>
      <c r="G341" s="60">
        <f t="shared" ref="G341:G363" si="93">+C341+E341</f>
        <v>2745</v>
      </c>
      <c r="H341" s="60">
        <f t="shared" ref="H341:H363" si="94">+D341+F341</f>
        <v>3982.3999999999996</v>
      </c>
      <c r="I341" s="61">
        <f t="shared" ref="I341:I363" si="95">+(G341/H341-1)*100</f>
        <v>-31.071715548413014</v>
      </c>
      <c r="J341">
        <v>555.4</v>
      </c>
    </row>
    <row r="342" spans="1:10" x14ac:dyDescent="0.25">
      <c r="A342" s="57">
        <f t="shared" si="89"/>
        <v>41221</v>
      </c>
      <c r="B342" s="58" t="s">
        <v>4</v>
      </c>
      <c r="C342">
        <v>1791.7</v>
      </c>
      <c r="D342">
        <v>2541.6</v>
      </c>
      <c r="E342">
        <v>924</v>
      </c>
      <c r="F342">
        <v>1584.7</v>
      </c>
      <c r="G342" s="60">
        <f t="shared" si="93"/>
        <v>2715.7</v>
      </c>
      <c r="H342" s="60">
        <f t="shared" si="94"/>
        <v>4126.3</v>
      </c>
      <c r="I342" s="61">
        <f t="shared" si="95"/>
        <v>-34.185589995880093</v>
      </c>
      <c r="J342">
        <v>555.4</v>
      </c>
    </row>
    <row r="343" spans="1:10" x14ac:dyDescent="0.25">
      <c r="A343" s="57">
        <f t="shared" si="89"/>
        <v>41228</v>
      </c>
      <c r="B343" s="58" t="s">
        <v>4</v>
      </c>
      <c r="C343">
        <v>1678.9</v>
      </c>
      <c r="D343">
        <v>2445.1999999999998</v>
      </c>
      <c r="E343">
        <v>1056.7</v>
      </c>
      <c r="F343">
        <v>1765.1</v>
      </c>
      <c r="G343" s="60">
        <f t="shared" si="93"/>
        <v>2735.6000000000004</v>
      </c>
      <c r="H343" s="60">
        <f t="shared" si="94"/>
        <v>4210.2999999999993</v>
      </c>
      <c r="I343" s="61">
        <f t="shared" si="95"/>
        <v>-35.026007647911051</v>
      </c>
      <c r="J343">
        <v>555.4</v>
      </c>
    </row>
    <row r="344" spans="1:10" x14ac:dyDescent="0.25">
      <c r="A344" s="57">
        <f t="shared" si="89"/>
        <v>41235</v>
      </c>
      <c r="B344" s="58" t="s">
        <v>4</v>
      </c>
      <c r="C344">
        <v>1660.3</v>
      </c>
      <c r="D344">
        <v>2313.1</v>
      </c>
      <c r="E344">
        <v>1115.7</v>
      </c>
      <c r="F344">
        <v>1973.7</v>
      </c>
      <c r="G344" s="60">
        <f t="shared" si="93"/>
        <v>2776</v>
      </c>
      <c r="H344" s="60">
        <f t="shared" si="94"/>
        <v>4286.8</v>
      </c>
      <c r="I344" s="61">
        <f t="shared" si="95"/>
        <v>-35.243071755155363</v>
      </c>
      <c r="J344">
        <v>555.4</v>
      </c>
    </row>
    <row r="345" spans="1:10" x14ac:dyDescent="0.25">
      <c r="A345" s="57">
        <f t="shared" si="89"/>
        <v>41242</v>
      </c>
      <c r="B345" s="58" t="s">
        <v>4</v>
      </c>
      <c r="C345">
        <v>1591.3</v>
      </c>
      <c r="D345">
        <v>2552.4</v>
      </c>
      <c r="E345">
        <v>1162.9000000000001</v>
      </c>
      <c r="F345">
        <v>2133.8000000000002</v>
      </c>
      <c r="G345" s="60">
        <f t="shared" si="93"/>
        <v>2754.2</v>
      </c>
      <c r="H345" s="60">
        <f t="shared" si="94"/>
        <v>4686.2000000000007</v>
      </c>
      <c r="I345" s="61">
        <f t="shared" si="95"/>
        <v>-41.227433741624353</v>
      </c>
      <c r="J345">
        <v>555.4</v>
      </c>
    </row>
    <row r="346" spans="1:10" x14ac:dyDescent="0.25">
      <c r="A346" s="57">
        <f t="shared" si="89"/>
        <v>41249</v>
      </c>
      <c r="B346" s="58" t="s">
        <v>4</v>
      </c>
      <c r="C346">
        <v>1589.5</v>
      </c>
      <c r="D346">
        <v>2743.3</v>
      </c>
      <c r="E346">
        <v>1247.4000000000001</v>
      </c>
      <c r="F346">
        <v>2258.3000000000002</v>
      </c>
      <c r="G346" s="60">
        <f t="shared" si="93"/>
        <v>2836.9</v>
      </c>
      <c r="H346" s="60">
        <f t="shared" si="94"/>
        <v>5001.6000000000004</v>
      </c>
      <c r="I346" s="61">
        <f t="shared" si="95"/>
        <v>-43.2801503518874</v>
      </c>
      <c r="J346">
        <v>555.4</v>
      </c>
    </row>
    <row r="347" spans="1:10" x14ac:dyDescent="0.25">
      <c r="A347" s="57">
        <f t="shared" si="89"/>
        <v>41256</v>
      </c>
      <c r="B347" s="58" t="s">
        <v>4</v>
      </c>
      <c r="C347">
        <v>1554.6</v>
      </c>
      <c r="D347">
        <v>2806.6</v>
      </c>
      <c r="E347">
        <v>1294.7</v>
      </c>
      <c r="F347">
        <v>2563.1999999999998</v>
      </c>
      <c r="G347" s="60">
        <f t="shared" si="93"/>
        <v>2849.3</v>
      </c>
      <c r="H347" s="60">
        <f t="shared" si="94"/>
        <v>5369.7999999999993</v>
      </c>
      <c r="I347" s="61">
        <f t="shared" si="95"/>
        <v>-46.938433461208973</v>
      </c>
      <c r="J347">
        <v>555.4</v>
      </c>
    </row>
    <row r="348" spans="1:10" x14ac:dyDescent="0.25">
      <c r="A348" s="57">
        <f t="shared" si="89"/>
        <v>41263</v>
      </c>
      <c r="B348" s="58" t="s">
        <v>4</v>
      </c>
      <c r="C348">
        <v>1547.7</v>
      </c>
      <c r="D348">
        <v>2767.3</v>
      </c>
      <c r="E348">
        <v>1362.5</v>
      </c>
      <c r="F348">
        <v>2728.2</v>
      </c>
      <c r="G348" s="60">
        <f t="shared" si="93"/>
        <v>2910.2</v>
      </c>
      <c r="H348" s="60">
        <f t="shared" si="94"/>
        <v>5495.5</v>
      </c>
      <c r="I348" s="61">
        <f t="shared" si="95"/>
        <v>-47.043945045946685</v>
      </c>
      <c r="J348">
        <v>555.4</v>
      </c>
    </row>
    <row r="349" spans="1:10" x14ac:dyDescent="0.25">
      <c r="A349" s="57">
        <f t="shared" si="89"/>
        <v>41270</v>
      </c>
      <c r="B349" s="58" t="s">
        <v>4</v>
      </c>
      <c r="C349">
        <v>1500.6</v>
      </c>
      <c r="D349">
        <v>2746.1</v>
      </c>
      <c r="E349">
        <v>1415.1</v>
      </c>
      <c r="F349">
        <v>2877.5</v>
      </c>
      <c r="G349" s="60">
        <f t="shared" si="93"/>
        <v>2915.7</v>
      </c>
      <c r="H349" s="60">
        <f t="shared" si="94"/>
        <v>5623.6</v>
      </c>
      <c r="I349" s="61">
        <f t="shared" si="95"/>
        <v>-48.152429049007765</v>
      </c>
      <c r="J349">
        <v>555.4</v>
      </c>
    </row>
    <row r="350" spans="1:10" x14ac:dyDescent="0.25">
      <c r="A350" s="57">
        <f t="shared" si="89"/>
        <v>41277</v>
      </c>
      <c r="B350" s="58" t="s">
        <v>4</v>
      </c>
      <c r="C350">
        <v>1478.6</v>
      </c>
      <c r="D350">
        <v>2771.2</v>
      </c>
      <c r="E350">
        <v>1437.1</v>
      </c>
      <c r="F350">
        <v>3096.3</v>
      </c>
      <c r="G350" s="60">
        <f t="shared" si="93"/>
        <v>2915.7</v>
      </c>
      <c r="H350" s="60">
        <f t="shared" si="94"/>
        <v>5867.5</v>
      </c>
      <c r="I350" s="61">
        <f t="shared" si="95"/>
        <v>-50.307626757562851</v>
      </c>
      <c r="J350">
        <v>555.4</v>
      </c>
    </row>
    <row r="351" spans="1:10" x14ac:dyDescent="0.25">
      <c r="A351" s="57">
        <f t="shared" si="89"/>
        <v>41284</v>
      </c>
      <c r="B351" s="58" t="s">
        <v>4</v>
      </c>
      <c r="C351">
        <v>1543.7</v>
      </c>
      <c r="D351">
        <v>2915.4</v>
      </c>
      <c r="E351">
        <v>1485</v>
      </c>
      <c r="F351">
        <v>3341</v>
      </c>
      <c r="G351" s="60">
        <f t="shared" si="93"/>
        <v>3028.7</v>
      </c>
      <c r="H351" s="60">
        <f t="shared" si="94"/>
        <v>6256.4</v>
      </c>
      <c r="I351" s="61">
        <f t="shared" si="95"/>
        <v>-51.590371459625352</v>
      </c>
      <c r="J351">
        <v>555.4</v>
      </c>
    </row>
    <row r="352" spans="1:10" x14ac:dyDescent="0.25">
      <c r="A352" s="57">
        <f t="shared" si="89"/>
        <v>41291</v>
      </c>
      <c r="B352" s="58" t="s">
        <v>4</v>
      </c>
      <c r="C352">
        <v>1545.2</v>
      </c>
      <c r="D352">
        <v>2986.2</v>
      </c>
      <c r="E352">
        <v>1531.7</v>
      </c>
      <c r="F352">
        <v>3534.3</v>
      </c>
      <c r="G352" s="60">
        <f t="shared" si="93"/>
        <v>3076.9</v>
      </c>
      <c r="H352" s="60">
        <f t="shared" si="94"/>
        <v>6520.5</v>
      </c>
      <c r="I352" s="61">
        <f t="shared" si="95"/>
        <v>-52.811900927842956</v>
      </c>
      <c r="J352">
        <v>607.4</v>
      </c>
    </row>
    <row r="353" spans="1:10" x14ac:dyDescent="0.25">
      <c r="A353" s="57">
        <f t="shared" si="89"/>
        <v>41298</v>
      </c>
      <c r="B353" s="58" t="s">
        <v>4</v>
      </c>
      <c r="C353">
        <v>1495.8</v>
      </c>
      <c r="D353">
        <v>3285</v>
      </c>
      <c r="E353">
        <v>1629.3</v>
      </c>
      <c r="F353">
        <v>3677.7</v>
      </c>
      <c r="G353" s="60">
        <f t="shared" si="93"/>
        <v>3125.1</v>
      </c>
      <c r="H353" s="60">
        <f t="shared" si="94"/>
        <v>6962.7</v>
      </c>
      <c r="I353" s="61">
        <f t="shared" si="95"/>
        <v>-55.116549614373731</v>
      </c>
      <c r="J353">
        <v>607.4</v>
      </c>
    </row>
    <row r="354" spans="1:10" x14ac:dyDescent="0.25">
      <c r="A354" s="57">
        <f t="shared" si="89"/>
        <v>41305</v>
      </c>
      <c r="B354" s="58" t="s">
        <v>4</v>
      </c>
      <c r="C354">
        <v>1441.9</v>
      </c>
      <c r="D354">
        <v>3263.5</v>
      </c>
      <c r="E354">
        <v>1680.9</v>
      </c>
      <c r="F354">
        <v>3931.3</v>
      </c>
      <c r="G354" s="60">
        <f t="shared" si="93"/>
        <v>3122.8</v>
      </c>
      <c r="H354" s="60">
        <f t="shared" si="94"/>
        <v>7194.8</v>
      </c>
      <c r="I354" s="61">
        <f t="shared" si="95"/>
        <v>-56.596430755545668</v>
      </c>
      <c r="J354">
        <v>629.4</v>
      </c>
    </row>
    <row r="355" spans="1:10" x14ac:dyDescent="0.25">
      <c r="A355" s="57">
        <f t="shared" si="89"/>
        <v>41312</v>
      </c>
      <c r="B355" s="58" t="s">
        <v>4</v>
      </c>
      <c r="C355">
        <v>1453.4</v>
      </c>
      <c r="D355">
        <v>3493.6</v>
      </c>
      <c r="E355">
        <v>1722.9</v>
      </c>
      <c r="F355">
        <v>4116.5</v>
      </c>
      <c r="G355" s="60">
        <f t="shared" si="93"/>
        <v>3176.3</v>
      </c>
      <c r="H355" s="60">
        <f t="shared" si="94"/>
        <v>7610.1</v>
      </c>
      <c r="I355" s="61">
        <f t="shared" si="95"/>
        <v>-58.262046490847695</v>
      </c>
      <c r="J355">
        <v>629.4</v>
      </c>
    </row>
    <row r="356" spans="1:10" x14ac:dyDescent="0.25">
      <c r="A356" s="57">
        <f t="shared" si="89"/>
        <v>41319</v>
      </c>
      <c r="B356" s="58" t="s">
        <v>4</v>
      </c>
      <c r="C356">
        <v>1421.7</v>
      </c>
      <c r="D356">
        <v>3383.2</v>
      </c>
      <c r="E356">
        <v>1822.4</v>
      </c>
      <c r="F356">
        <v>4362.1000000000004</v>
      </c>
      <c r="G356" s="60">
        <f t="shared" si="93"/>
        <v>3244.1000000000004</v>
      </c>
      <c r="H356" s="60">
        <f t="shared" si="94"/>
        <v>7745.3</v>
      </c>
      <c r="I356" s="61">
        <f t="shared" si="95"/>
        <v>-58.115244083508699</v>
      </c>
      <c r="J356">
        <v>629.4</v>
      </c>
    </row>
    <row r="357" spans="1:10" x14ac:dyDescent="0.25">
      <c r="A357" s="57">
        <f t="shared" si="89"/>
        <v>41326</v>
      </c>
      <c r="B357" s="58" t="s">
        <v>4</v>
      </c>
      <c r="C357">
        <v>1503.4</v>
      </c>
      <c r="D357">
        <v>3247.4</v>
      </c>
      <c r="E357">
        <v>1839.4</v>
      </c>
      <c r="F357">
        <v>4641.5</v>
      </c>
      <c r="G357" s="60">
        <f t="shared" si="93"/>
        <v>3342.8</v>
      </c>
      <c r="H357" s="60">
        <f t="shared" si="94"/>
        <v>7888.9</v>
      </c>
      <c r="I357" s="61">
        <f t="shared" si="95"/>
        <v>-57.626538554171049</v>
      </c>
      <c r="J357">
        <v>662.4</v>
      </c>
    </row>
    <row r="358" spans="1:10" x14ac:dyDescent="0.25">
      <c r="A358" s="57">
        <f t="shared" si="89"/>
        <v>41333</v>
      </c>
      <c r="B358" s="58" t="s">
        <v>4</v>
      </c>
      <c r="C358">
        <v>1423.5</v>
      </c>
      <c r="D358">
        <v>3037.2</v>
      </c>
      <c r="E358">
        <v>1928.1</v>
      </c>
      <c r="F358">
        <v>4926</v>
      </c>
      <c r="G358" s="60">
        <f t="shared" si="93"/>
        <v>3351.6</v>
      </c>
      <c r="H358" s="60">
        <f t="shared" si="94"/>
        <v>7963.2</v>
      </c>
      <c r="I358" s="61">
        <f t="shared" si="95"/>
        <v>-57.911392405063289</v>
      </c>
      <c r="J358">
        <v>722.4</v>
      </c>
    </row>
    <row r="359" spans="1:10" x14ac:dyDescent="0.25">
      <c r="A359" s="57">
        <f t="shared" si="89"/>
        <v>41340</v>
      </c>
      <c r="B359" s="58" t="s">
        <v>4</v>
      </c>
      <c r="C359">
        <v>1399.1</v>
      </c>
      <c r="D359">
        <v>2930.7</v>
      </c>
      <c r="E359">
        <v>2004.9</v>
      </c>
      <c r="F359">
        <v>5255.2</v>
      </c>
      <c r="G359" s="60">
        <f t="shared" si="93"/>
        <v>3404</v>
      </c>
      <c r="H359" s="60">
        <f t="shared" si="94"/>
        <v>8185.9</v>
      </c>
      <c r="I359" s="61">
        <f t="shared" si="95"/>
        <v>-58.416301200845353</v>
      </c>
      <c r="J359">
        <v>722.4</v>
      </c>
    </row>
    <row r="360" spans="1:10" x14ac:dyDescent="0.25">
      <c r="A360" s="57">
        <f t="shared" si="89"/>
        <v>41347</v>
      </c>
      <c r="B360" s="58" t="s">
        <v>4</v>
      </c>
      <c r="C360">
        <v>1334.1</v>
      </c>
      <c r="D360">
        <v>2859.1</v>
      </c>
      <c r="E360">
        <v>2123.5</v>
      </c>
      <c r="F360">
        <v>5454.3</v>
      </c>
      <c r="G360" s="60">
        <f t="shared" si="93"/>
        <v>3457.6</v>
      </c>
      <c r="H360" s="60">
        <f t="shared" si="94"/>
        <v>8313.4</v>
      </c>
      <c r="I360" s="61">
        <f t="shared" si="95"/>
        <v>-58.409315081675373</v>
      </c>
      <c r="J360">
        <v>722.4</v>
      </c>
    </row>
    <row r="361" spans="1:10" x14ac:dyDescent="0.25">
      <c r="A361" s="57">
        <f t="shared" si="89"/>
        <v>41354</v>
      </c>
      <c r="B361" s="58" t="s">
        <v>4</v>
      </c>
      <c r="C361">
        <v>1269.5999999999999</v>
      </c>
      <c r="D361">
        <v>2662.1</v>
      </c>
      <c r="E361">
        <v>2187.6</v>
      </c>
      <c r="F361">
        <v>5699.5</v>
      </c>
      <c r="G361" s="60">
        <f t="shared" si="93"/>
        <v>3457.2</v>
      </c>
      <c r="H361" s="60">
        <f t="shared" si="94"/>
        <v>8361.6</v>
      </c>
      <c r="I361" s="61">
        <f t="shared" si="95"/>
        <v>-58.653846153846153</v>
      </c>
      <c r="J361">
        <v>722.4</v>
      </c>
    </row>
    <row r="362" spans="1:10" x14ac:dyDescent="0.25">
      <c r="A362" s="57">
        <f t="shared" si="89"/>
        <v>41361</v>
      </c>
      <c r="B362" s="58" t="s">
        <v>4</v>
      </c>
      <c r="C362">
        <v>1328.6</v>
      </c>
      <c r="D362">
        <v>2713.7</v>
      </c>
      <c r="E362">
        <v>2291.6999999999998</v>
      </c>
      <c r="F362">
        <v>5915.1</v>
      </c>
      <c r="G362" s="60">
        <f t="shared" si="93"/>
        <v>3620.2999999999997</v>
      </c>
      <c r="H362" s="60">
        <f t="shared" si="94"/>
        <v>8628.7999999999993</v>
      </c>
      <c r="I362" s="61">
        <f t="shared" si="95"/>
        <v>-58.043992212126838</v>
      </c>
      <c r="J362">
        <v>755.4</v>
      </c>
    </row>
    <row r="363" spans="1:10" x14ac:dyDescent="0.25">
      <c r="A363" s="57">
        <f t="shared" si="89"/>
        <v>41368</v>
      </c>
      <c r="B363" s="58" t="s">
        <v>4</v>
      </c>
      <c r="C363">
        <v>1320.7</v>
      </c>
      <c r="D363">
        <v>2773.1</v>
      </c>
      <c r="E363">
        <v>2381.6999999999998</v>
      </c>
      <c r="F363">
        <v>6151.5</v>
      </c>
      <c r="G363" s="60">
        <f t="shared" si="93"/>
        <v>3702.3999999999996</v>
      </c>
      <c r="H363" s="60">
        <f t="shared" si="94"/>
        <v>8924.6</v>
      </c>
      <c r="I363" s="61">
        <f t="shared" si="95"/>
        <v>-58.514667324025723</v>
      </c>
      <c r="J363">
        <v>755.4</v>
      </c>
    </row>
    <row r="364" spans="1:10" x14ac:dyDescent="0.25">
      <c r="A364" s="57">
        <f t="shared" si="89"/>
        <v>41375</v>
      </c>
      <c r="B364" s="58" t="s">
        <v>4</v>
      </c>
      <c r="C364">
        <v>1285.7</v>
      </c>
      <c r="D364">
        <v>2576.5</v>
      </c>
      <c r="E364">
        <v>2468.5</v>
      </c>
      <c r="F364">
        <v>6410.6</v>
      </c>
      <c r="G364" s="60">
        <f t="shared" ref="G364:H366" si="96">+C364+E364</f>
        <v>3754.2</v>
      </c>
      <c r="H364" s="60">
        <f t="shared" si="96"/>
        <v>8987.1</v>
      </c>
      <c r="I364" s="61">
        <f t="shared" ref="I364:I369" si="97">+(G364/H364-1)*100</f>
        <v>-58.226791734819905</v>
      </c>
      <c r="J364">
        <v>766.3</v>
      </c>
    </row>
    <row r="365" spans="1:10" x14ac:dyDescent="0.25">
      <c r="A365" s="57">
        <f t="shared" si="89"/>
        <v>41382</v>
      </c>
      <c r="B365" s="58" t="s">
        <v>4</v>
      </c>
      <c r="C365">
        <v>1251.5</v>
      </c>
      <c r="D365">
        <v>2387.6</v>
      </c>
      <c r="E365">
        <v>2555.5</v>
      </c>
      <c r="F365">
        <v>6647.3</v>
      </c>
      <c r="G365" s="60">
        <f t="shared" si="96"/>
        <v>3807</v>
      </c>
      <c r="H365" s="60">
        <f t="shared" si="96"/>
        <v>9034.9</v>
      </c>
      <c r="I365" s="61">
        <f t="shared" si="97"/>
        <v>-57.863396385128787</v>
      </c>
      <c r="J365">
        <v>777.4</v>
      </c>
    </row>
    <row r="366" spans="1:10" x14ac:dyDescent="0.25">
      <c r="A366" s="57">
        <f t="shared" si="89"/>
        <v>41389</v>
      </c>
      <c r="B366" s="58" t="s">
        <v>4</v>
      </c>
      <c r="C366">
        <v>1206.5</v>
      </c>
      <c r="D366">
        <v>2160.1</v>
      </c>
      <c r="E366">
        <v>2694.3</v>
      </c>
      <c r="F366">
        <v>6979.3</v>
      </c>
      <c r="G366" s="60">
        <f t="shared" si="96"/>
        <v>3900.8</v>
      </c>
      <c r="H366" s="60">
        <f t="shared" si="96"/>
        <v>9139.4</v>
      </c>
      <c r="I366" s="61">
        <f t="shared" si="97"/>
        <v>-57.318861194389129</v>
      </c>
      <c r="J366">
        <v>777.4</v>
      </c>
    </row>
    <row r="367" spans="1:10" x14ac:dyDescent="0.25">
      <c r="A367" s="57">
        <f t="shared" si="89"/>
        <v>41396</v>
      </c>
      <c r="B367" s="58" t="s">
        <v>4</v>
      </c>
      <c r="C367">
        <v>1146.2</v>
      </c>
      <c r="D367">
        <v>2059.6999999999998</v>
      </c>
      <c r="E367">
        <v>2777.5</v>
      </c>
      <c r="F367">
        <v>7194.8</v>
      </c>
      <c r="G367" s="60">
        <f t="shared" ref="G367:G389" si="98">+C367+E367</f>
        <v>3923.7</v>
      </c>
      <c r="H367" s="60">
        <f t="shared" ref="H367:H389" si="99">+D367+F367</f>
        <v>9254.5</v>
      </c>
      <c r="I367" s="61">
        <f t="shared" si="97"/>
        <v>-57.602247555243395</v>
      </c>
      <c r="J367">
        <v>777.4</v>
      </c>
    </row>
    <row r="368" spans="1:10" x14ac:dyDescent="0.25">
      <c r="A368" s="57">
        <f t="shared" si="89"/>
        <v>41403</v>
      </c>
      <c r="B368" s="58" t="s">
        <v>4</v>
      </c>
      <c r="C368">
        <v>1202.9000000000001</v>
      </c>
      <c r="D368">
        <v>1838</v>
      </c>
      <c r="E368">
        <v>2857.5</v>
      </c>
      <c r="F368">
        <v>7452.3</v>
      </c>
      <c r="G368" s="60">
        <f t="shared" si="98"/>
        <v>4060.4</v>
      </c>
      <c r="H368" s="60">
        <f t="shared" si="99"/>
        <v>9290.2999999999993</v>
      </c>
      <c r="I368" s="61">
        <f t="shared" si="97"/>
        <v>-56.294199326178919</v>
      </c>
      <c r="J368">
        <v>808.5</v>
      </c>
    </row>
    <row r="369" spans="1:10" x14ac:dyDescent="0.25">
      <c r="A369" s="57">
        <f t="shared" si="89"/>
        <v>41410</v>
      </c>
      <c r="B369" s="58" t="s">
        <v>4</v>
      </c>
      <c r="C369">
        <v>1101</v>
      </c>
      <c r="D369">
        <v>1691.3</v>
      </c>
      <c r="E369">
        <v>2999.7</v>
      </c>
      <c r="F369">
        <v>7653.9</v>
      </c>
      <c r="G369" s="60">
        <f t="shared" si="98"/>
        <v>4100.7</v>
      </c>
      <c r="H369" s="60">
        <f t="shared" si="99"/>
        <v>9345.1999999999989</v>
      </c>
      <c r="I369" s="61">
        <f t="shared" si="97"/>
        <v>-56.119719214142016</v>
      </c>
      <c r="J369">
        <v>827.5</v>
      </c>
    </row>
    <row r="370" spans="1:10" x14ac:dyDescent="0.25">
      <c r="A370" s="57">
        <f t="shared" si="89"/>
        <v>41417</v>
      </c>
      <c r="B370" s="58" t="s">
        <v>4</v>
      </c>
      <c r="C370">
        <v>1088.0999999999999</v>
      </c>
      <c r="D370">
        <v>1503.4</v>
      </c>
      <c r="E370">
        <v>3058.4</v>
      </c>
      <c r="F370">
        <v>7853.4</v>
      </c>
      <c r="G370" s="60">
        <f t="shared" si="98"/>
        <v>4146.5</v>
      </c>
      <c r="H370" s="60">
        <f t="shared" si="99"/>
        <v>9356.7999999999993</v>
      </c>
      <c r="I370" s="61">
        <f t="shared" ref="I370:I389" si="100">+(G370/H370-1)*100</f>
        <v>-55.684635772913815</v>
      </c>
      <c r="J370">
        <v>892.1</v>
      </c>
    </row>
    <row r="371" spans="1:10" x14ac:dyDescent="0.25">
      <c r="A371" s="57">
        <f t="shared" si="89"/>
        <v>41424</v>
      </c>
      <c r="B371" s="58" t="s">
        <v>4</v>
      </c>
      <c r="C371">
        <v>988.2</v>
      </c>
      <c r="D371">
        <v>1384.2</v>
      </c>
      <c r="E371">
        <v>3165.7</v>
      </c>
      <c r="F371">
        <v>8043.6</v>
      </c>
      <c r="G371" s="60">
        <f t="shared" si="98"/>
        <v>4153.8999999999996</v>
      </c>
      <c r="H371" s="60">
        <f t="shared" si="99"/>
        <v>9427.8000000000011</v>
      </c>
      <c r="I371" s="61">
        <f t="shared" si="100"/>
        <v>-55.939879929570004</v>
      </c>
      <c r="J371">
        <v>943.7</v>
      </c>
    </row>
    <row r="372" spans="1:10" x14ac:dyDescent="0.25">
      <c r="A372" s="57">
        <f t="shared" si="89"/>
        <v>41431</v>
      </c>
      <c r="B372" s="58" t="s">
        <v>4</v>
      </c>
      <c r="C372">
        <v>927</v>
      </c>
      <c r="D372">
        <v>1183.5</v>
      </c>
      <c r="E372">
        <v>3243.7</v>
      </c>
      <c r="F372">
        <v>8242.5</v>
      </c>
      <c r="G372" s="60">
        <f t="shared" si="98"/>
        <v>4170.7</v>
      </c>
      <c r="H372" s="60">
        <f t="shared" si="99"/>
        <v>9426</v>
      </c>
      <c r="I372" s="61">
        <f t="shared" si="100"/>
        <v>-55.753235730956931</v>
      </c>
      <c r="J372">
        <v>988.3</v>
      </c>
    </row>
    <row r="373" spans="1:10" x14ac:dyDescent="0.25">
      <c r="A373" s="57">
        <f t="shared" si="89"/>
        <v>41438</v>
      </c>
      <c r="B373" s="58" t="s">
        <v>4</v>
      </c>
      <c r="C373">
        <v>841.3</v>
      </c>
      <c r="D373">
        <v>1018.3</v>
      </c>
      <c r="E373">
        <v>3362</v>
      </c>
      <c r="F373">
        <v>8427.6</v>
      </c>
      <c r="G373" s="60">
        <f t="shared" si="98"/>
        <v>4203.3</v>
      </c>
      <c r="H373" s="60">
        <f t="shared" si="99"/>
        <v>9445.9</v>
      </c>
      <c r="I373" s="61">
        <f t="shared" si="100"/>
        <v>-55.501328618765811</v>
      </c>
      <c r="J373">
        <v>1068.5999999999999</v>
      </c>
    </row>
    <row r="374" spans="1:10" x14ac:dyDescent="0.25">
      <c r="A374" s="57">
        <f t="shared" si="89"/>
        <v>41445</v>
      </c>
      <c r="B374" s="58" t="s">
        <v>4</v>
      </c>
      <c r="C374">
        <v>806.3</v>
      </c>
      <c r="D374">
        <v>950.3</v>
      </c>
      <c r="E374">
        <v>3408.4</v>
      </c>
      <c r="F374">
        <v>8572.5</v>
      </c>
      <c r="G374" s="60">
        <f t="shared" si="98"/>
        <v>4214.7</v>
      </c>
      <c r="H374" s="60">
        <f t="shared" si="99"/>
        <v>9522.7999999999993</v>
      </c>
      <c r="I374" s="61">
        <f t="shared" si="100"/>
        <v>-55.740958541605409</v>
      </c>
      <c r="J374">
        <v>1146.0999999999999</v>
      </c>
    </row>
    <row r="375" spans="1:10" x14ac:dyDescent="0.25">
      <c r="A375" s="57">
        <f t="shared" si="89"/>
        <v>41452</v>
      </c>
      <c r="B375" s="58" t="s">
        <v>4</v>
      </c>
      <c r="C375">
        <v>744.9</v>
      </c>
      <c r="D375">
        <v>852.3</v>
      </c>
      <c r="E375">
        <v>3468.9</v>
      </c>
      <c r="F375">
        <v>8669.2000000000007</v>
      </c>
      <c r="G375" s="60">
        <f t="shared" si="98"/>
        <v>4213.8</v>
      </c>
      <c r="H375" s="60">
        <f t="shared" si="99"/>
        <v>9521.5</v>
      </c>
      <c r="I375" s="61">
        <f t="shared" si="100"/>
        <v>-55.744368009242237</v>
      </c>
      <c r="J375">
        <v>1156.9000000000001</v>
      </c>
    </row>
    <row r="376" spans="1:10" x14ac:dyDescent="0.25">
      <c r="A376" s="57">
        <f t="shared" si="89"/>
        <v>41459</v>
      </c>
      <c r="B376" s="58" t="s">
        <v>4</v>
      </c>
      <c r="C376">
        <v>742.5</v>
      </c>
      <c r="D376">
        <v>735.7</v>
      </c>
      <c r="E376">
        <v>3586.3</v>
      </c>
      <c r="F376">
        <v>8805.7000000000007</v>
      </c>
      <c r="G376" s="60">
        <f t="shared" si="98"/>
        <v>4328.8</v>
      </c>
      <c r="H376" s="60">
        <f t="shared" si="99"/>
        <v>9541.4000000000015</v>
      </c>
      <c r="I376" s="61">
        <f t="shared" si="100"/>
        <v>-54.63139581193537</v>
      </c>
      <c r="J376">
        <v>1509.1</v>
      </c>
    </row>
    <row r="377" spans="1:10" x14ac:dyDescent="0.25">
      <c r="A377" s="57">
        <f t="shared" si="89"/>
        <v>41466</v>
      </c>
      <c r="B377" s="58" t="s">
        <v>4</v>
      </c>
      <c r="C377">
        <v>760.7</v>
      </c>
      <c r="D377">
        <v>631.4</v>
      </c>
      <c r="E377">
        <v>3637</v>
      </c>
      <c r="F377">
        <v>8906.7000000000007</v>
      </c>
      <c r="G377" s="60">
        <f t="shared" si="98"/>
        <v>4397.7</v>
      </c>
      <c r="H377" s="60">
        <f t="shared" si="99"/>
        <v>9538.1</v>
      </c>
      <c r="I377" s="61">
        <f t="shared" si="100"/>
        <v>-53.893333053752848</v>
      </c>
      <c r="J377">
        <v>1554.8</v>
      </c>
    </row>
    <row r="378" spans="1:10" x14ac:dyDescent="0.25">
      <c r="A378" s="57">
        <f t="shared" si="89"/>
        <v>41473</v>
      </c>
      <c r="B378" s="58" t="s">
        <v>4</v>
      </c>
      <c r="C378">
        <v>711.9</v>
      </c>
      <c r="D378">
        <v>562.6</v>
      </c>
      <c r="E378">
        <v>3702.1</v>
      </c>
      <c r="F378">
        <v>8981.4</v>
      </c>
      <c r="G378" s="60">
        <f t="shared" si="98"/>
        <v>4414</v>
      </c>
      <c r="H378" s="60">
        <f t="shared" si="99"/>
        <v>9544</v>
      </c>
      <c r="I378" s="61">
        <f t="shared" si="100"/>
        <v>-53.751047778709136</v>
      </c>
      <c r="J378">
        <v>1555.8</v>
      </c>
    </row>
    <row r="379" spans="1:10" x14ac:dyDescent="0.25">
      <c r="A379" s="57">
        <f t="shared" si="89"/>
        <v>41480</v>
      </c>
      <c r="B379" s="58" t="s">
        <v>4</v>
      </c>
      <c r="C379">
        <v>608.5</v>
      </c>
      <c r="D379">
        <v>468.8</v>
      </c>
      <c r="E379">
        <v>3820.9</v>
      </c>
      <c r="F379">
        <v>9090.7000000000007</v>
      </c>
      <c r="G379" s="60">
        <f t="shared" si="98"/>
        <v>4429.3999999999996</v>
      </c>
      <c r="H379" s="60">
        <f t="shared" si="99"/>
        <v>9559.5</v>
      </c>
      <c r="I379" s="61">
        <f t="shared" si="100"/>
        <v>-53.664940634970449</v>
      </c>
      <c r="J379">
        <v>2043.1</v>
      </c>
    </row>
    <row r="380" spans="1:10" x14ac:dyDescent="0.25">
      <c r="A380" s="57">
        <f t="shared" si="89"/>
        <v>41487</v>
      </c>
      <c r="B380" s="58" t="s">
        <v>4</v>
      </c>
      <c r="C380">
        <v>549.5</v>
      </c>
      <c r="D380">
        <v>412.5</v>
      </c>
      <c r="E380">
        <v>3887.9</v>
      </c>
      <c r="F380">
        <v>9159.2999999999993</v>
      </c>
      <c r="G380" s="60">
        <f t="shared" si="98"/>
        <v>4437.3999999999996</v>
      </c>
      <c r="H380" s="60">
        <f t="shared" si="99"/>
        <v>9571.7999999999993</v>
      </c>
      <c r="I380" s="61">
        <f t="shared" si="100"/>
        <v>-53.64090348732735</v>
      </c>
      <c r="J380">
        <v>2139.4</v>
      </c>
    </row>
    <row r="381" spans="1:10" x14ac:dyDescent="0.25">
      <c r="A381" s="57">
        <f t="shared" si="89"/>
        <v>41494</v>
      </c>
      <c r="B381" s="58" t="s">
        <v>4</v>
      </c>
      <c r="C381">
        <v>484.8</v>
      </c>
      <c r="D381">
        <v>316.60000000000002</v>
      </c>
      <c r="E381">
        <v>3981.4</v>
      </c>
      <c r="F381">
        <v>9279</v>
      </c>
      <c r="G381" s="60">
        <f t="shared" si="98"/>
        <v>4466.2</v>
      </c>
      <c r="H381" s="60">
        <f t="shared" si="99"/>
        <v>9595.6</v>
      </c>
      <c r="I381" s="61">
        <f t="shared" si="100"/>
        <v>-53.45575055233649</v>
      </c>
      <c r="J381">
        <v>2448.1999999999998</v>
      </c>
    </row>
    <row r="382" spans="1:10" x14ac:dyDescent="0.25">
      <c r="A382" s="57">
        <f t="shared" si="89"/>
        <v>41501</v>
      </c>
      <c r="B382" s="58" t="s">
        <v>4</v>
      </c>
      <c r="C382">
        <v>416.9</v>
      </c>
      <c r="D382">
        <v>243</v>
      </c>
      <c r="E382">
        <v>4085</v>
      </c>
      <c r="F382">
        <v>9372.5</v>
      </c>
      <c r="G382" s="60">
        <f t="shared" si="98"/>
        <v>4501.8999999999996</v>
      </c>
      <c r="H382" s="60">
        <f t="shared" si="99"/>
        <v>9615.5</v>
      </c>
      <c r="I382" s="61">
        <f t="shared" si="100"/>
        <v>-53.18080183037803</v>
      </c>
      <c r="J382">
        <v>2614.5</v>
      </c>
    </row>
    <row r="383" spans="1:10" x14ac:dyDescent="0.25">
      <c r="A383" s="57">
        <f t="shared" si="89"/>
        <v>41508</v>
      </c>
      <c r="B383" s="58" t="s">
        <v>4</v>
      </c>
      <c r="C383">
        <v>318.5</v>
      </c>
      <c r="D383">
        <v>170.5</v>
      </c>
      <c r="E383">
        <v>4184.1000000000004</v>
      </c>
      <c r="F383">
        <v>9449.2999999999993</v>
      </c>
      <c r="G383" s="60">
        <f t="shared" si="98"/>
        <v>4502.6000000000004</v>
      </c>
      <c r="H383" s="60">
        <f t="shared" si="99"/>
        <v>9619.7999999999993</v>
      </c>
      <c r="I383" s="61">
        <f t="shared" si="100"/>
        <v>-53.194453107133199</v>
      </c>
      <c r="J383">
        <v>2932.1</v>
      </c>
    </row>
    <row r="384" spans="1:10" x14ac:dyDescent="0.25">
      <c r="A384" s="57">
        <f t="shared" si="89"/>
        <v>41515</v>
      </c>
      <c r="B384" s="58" t="s">
        <v>4</v>
      </c>
      <c r="C384">
        <v>159.9</v>
      </c>
      <c r="D384">
        <v>90</v>
      </c>
      <c r="E384">
        <v>4358.8</v>
      </c>
      <c r="F384">
        <v>9526.2999999999993</v>
      </c>
      <c r="G384" s="60">
        <f t="shared" si="98"/>
        <v>4518.7</v>
      </c>
      <c r="H384" s="60">
        <f t="shared" si="99"/>
        <v>9616.2999999999993</v>
      </c>
      <c r="I384" s="61">
        <f t="shared" si="100"/>
        <v>-53.009993448623696</v>
      </c>
      <c r="J384">
        <v>2937.3</v>
      </c>
    </row>
    <row r="385" spans="1:18" x14ac:dyDescent="0.25">
      <c r="A385" s="57">
        <f t="shared" si="89"/>
        <v>41522</v>
      </c>
      <c r="B385" s="58" t="s">
        <v>4</v>
      </c>
      <c r="C385">
        <v>3190.8</v>
      </c>
      <c r="D385">
        <v>2369.5</v>
      </c>
      <c r="E385">
        <v>54.8</v>
      </c>
      <c r="F385">
        <v>45.5</v>
      </c>
      <c r="G385" s="60">
        <f t="shared" si="98"/>
        <v>3245.6000000000004</v>
      </c>
      <c r="H385" s="60">
        <f t="shared" si="99"/>
        <v>2415</v>
      </c>
      <c r="I385" s="61">
        <f t="shared" si="100"/>
        <v>34.39337474120083</v>
      </c>
    </row>
    <row r="386" spans="1:18" x14ac:dyDescent="0.25">
      <c r="A386" s="57">
        <f t="shared" si="89"/>
        <v>41529</v>
      </c>
      <c r="B386" s="58" t="s">
        <v>4</v>
      </c>
      <c r="C386">
        <v>3130.9</v>
      </c>
      <c r="D386">
        <v>2288</v>
      </c>
      <c r="E386">
        <v>251.2</v>
      </c>
      <c r="F386">
        <v>182.5</v>
      </c>
      <c r="G386" s="60">
        <f t="shared" si="98"/>
        <v>3382.1</v>
      </c>
      <c r="H386" s="60">
        <f t="shared" si="99"/>
        <v>2470.5</v>
      </c>
      <c r="I386" s="61">
        <f t="shared" si="100"/>
        <v>36.899413074276467</v>
      </c>
      <c r="L386" s="59"/>
      <c r="M386" s="59"/>
      <c r="N386" s="59"/>
      <c r="O386" s="59"/>
      <c r="P386" s="59"/>
      <c r="Q386" s="59"/>
      <c r="R386" s="59"/>
    </row>
    <row r="387" spans="1:18" x14ac:dyDescent="0.25">
      <c r="A387" s="57">
        <f t="shared" si="89"/>
        <v>41536</v>
      </c>
      <c r="B387" s="58" t="s">
        <v>4</v>
      </c>
      <c r="C387">
        <v>3331.9</v>
      </c>
      <c r="D387">
        <v>2197</v>
      </c>
      <c r="E387">
        <v>440.9</v>
      </c>
      <c r="F387">
        <v>290.8</v>
      </c>
      <c r="G387" s="60">
        <f t="shared" si="98"/>
        <v>3772.8</v>
      </c>
      <c r="H387" s="60">
        <f t="shared" si="99"/>
        <v>2487.8000000000002</v>
      </c>
      <c r="I387" s="61">
        <f t="shared" si="100"/>
        <v>51.65206206286679</v>
      </c>
      <c r="L387" s="59"/>
      <c r="M387" s="59"/>
      <c r="N387" s="59"/>
      <c r="O387" s="59"/>
      <c r="P387" s="59"/>
      <c r="Q387" s="59"/>
      <c r="R387" s="59"/>
    </row>
    <row r="388" spans="1:18" x14ac:dyDescent="0.25">
      <c r="A388" s="57">
        <f t="shared" ref="A388:A451" si="101">+A387+7</f>
        <v>41543</v>
      </c>
      <c r="B388" s="58" t="s">
        <v>4</v>
      </c>
      <c r="C388">
        <v>3444.2</v>
      </c>
      <c r="D388">
        <v>2135.3000000000002</v>
      </c>
      <c r="E388">
        <v>599.70000000000005</v>
      </c>
      <c r="F388">
        <v>378.9</v>
      </c>
      <c r="G388" s="60">
        <f t="shared" si="98"/>
        <v>4043.8999999999996</v>
      </c>
      <c r="H388" s="60">
        <f t="shared" si="99"/>
        <v>2514.2000000000003</v>
      </c>
      <c r="I388" s="61">
        <f t="shared" si="100"/>
        <v>60.842415082332323</v>
      </c>
      <c r="L388" s="59"/>
      <c r="M388" s="59"/>
      <c r="N388" s="59"/>
      <c r="O388" s="59"/>
      <c r="P388" s="59"/>
      <c r="Q388" s="59"/>
      <c r="R388" s="59"/>
    </row>
    <row r="389" spans="1:18" ht="15" x14ac:dyDescent="0.25">
      <c r="A389" s="57">
        <f t="shared" si="101"/>
        <v>41550</v>
      </c>
      <c r="B389" s="58" t="s">
        <v>4</v>
      </c>
      <c r="C389">
        <v>3410.8</v>
      </c>
      <c r="D389">
        <v>2082</v>
      </c>
      <c r="E389">
        <v>762.6</v>
      </c>
      <c r="F389">
        <v>460.5</v>
      </c>
      <c r="G389" s="60">
        <f t="shared" si="98"/>
        <v>4173.4000000000005</v>
      </c>
      <c r="H389" s="60">
        <f t="shared" si="99"/>
        <v>2542.5</v>
      </c>
      <c r="I389" s="61">
        <f t="shared" si="100"/>
        <v>64.145526057030494</v>
      </c>
      <c r="L389" s="194"/>
      <c r="M389" s="59"/>
      <c r="N389" s="59"/>
      <c r="O389" s="59"/>
      <c r="P389" s="59"/>
      <c r="Q389" s="59"/>
      <c r="R389" s="59"/>
    </row>
    <row r="390" spans="1:18" x14ac:dyDescent="0.25">
      <c r="A390" s="57">
        <f t="shared" si="101"/>
        <v>41557</v>
      </c>
      <c r="B390" s="58" t="s">
        <v>4</v>
      </c>
      <c r="L390" s="59"/>
      <c r="M390" s="59"/>
      <c r="N390" s="59"/>
      <c r="O390" s="59"/>
      <c r="P390" s="59"/>
      <c r="Q390" s="59"/>
      <c r="R390" s="59"/>
    </row>
    <row r="391" spans="1:18" x14ac:dyDescent="0.25">
      <c r="A391" s="57">
        <f t="shared" si="101"/>
        <v>41564</v>
      </c>
      <c r="B391" s="58" t="s">
        <v>4</v>
      </c>
      <c r="L391" s="59"/>
      <c r="M391" s="59"/>
      <c r="N391" s="59"/>
      <c r="O391" s="59"/>
      <c r="P391" s="59"/>
      <c r="Q391" s="59"/>
      <c r="R391" s="59"/>
    </row>
    <row r="392" spans="1:18" x14ac:dyDescent="0.25">
      <c r="A392" s="57">
        <f t="shared" si="101"/>
        <v>41571</v>
      </c>
      <c r="B392" s="58" t="s">
        <v>4</v>
      </c>
      <c r="C392">
        <v>4391.8</v>
      </c>
      <c r="D392">
        <v>2004.6</v>
      </c>
      <c r="E392">
        <v>1470.9</v>
      </c>
      <c r="F392">
        <v>672.6</v>
      </c>
      <c r="G392" s="60">
        <f t="shared" ref="G392:H394" si="102">+C392+E392</f>
        <v>5862.7000000000007</v>
      </c>
      <c r="H392" s="60">
        <f t="shared" si="102"/>
        <v>2677.2</v>
      </c>
      <c r="I392" s="61">
        <f t="shared" ref="I392:I402" si="103">+(G392/H392-1)*100</f>
        <v>118.98625429553266</v>
      </c>
      <c r="J392">
        <v>756.4</v>
      </c>
    </row>
    <row r="393" spans="1:18" ht="15" x14ac:dyDescent="0.25">
      <c r="A393" s="57">
        <f t="shared" si="101"/>
        <v>41578</v>
      </c>
      <c r="B393" s="58" t="s">
        <v>4</v>
      </c>
      <c r="C393">
        <v>4317.5</v>
      </c>
      <c r="D393">
        <v>1912.3</v>
      </c>
      <c r="E393">
        <v>1766.3</v>
      </c>
      <c r="F393">
        <v>832.7</v>
      </c>
      <c r="G393" s="60">
        <f t="shared" si="102"/>
        <v>6083.8</v>
      </c>
      <c r="H393" s="60">
        <f t="shared" si="102"/>
        <v>2745</v>
      </c>
      <c r="I393" s="61">
        <f t="shared" si="103"/>
        <v>121.63205828779601</v>
      </c>
      <c r="J393">
        <v>757.4</v>
      </c>
      <c r="M393" s="123"/>
    </row>
    <row r="394" spans="1:18" x14ac:dyDescent="0.25">
      <c r="A394" s="57">
        <f t="shared" si="101"/>
        <v>41585</v>
      </c>
      <c r="B394" s="58" t="s">
        <v>4</v>
      </c>
      <c r="C394">
        <v>4484.2</v>
      </c>
      <c r="D394">
        <v>1791.7</v>
      </c>
      <c r="E394">
        <v>1901.1</v>
      </c>
      <c r="F394">
        <v>924</v>
      </c>
      <c r="G394" s="60">
        <f t="shared" si="102"/>
        <v>6385.2999999999993</v>
      </c>
      <c r="H394" s="60">
        <f t="shared" si="102"/>
        <v>2715.7</v>
      </c>
      <c r="I394" s="61">
        <f t="shared" si="103"/>
        <v>135.1253820377803</v>
      </c>
      <c r="J394">
        <v>756.4</v>
      </c>
    </row>
    <row r="395" spans="1:18" x14ac:dyDescent="0.25">
      <c r="A395" s="57">
        <f t="shared" si="101"/>
        <v>41592</v>
      </c>
      <c r="B395" s="58" t="s">
        <v>4</v>
      </c>
      <c r="C395" s="59">
        <v>4549.1000000000004</v>
      </c>
      <c r="D395">
        <v>1678.9</v>
      </c>
      <c r="E395" s="143">
        <v>2112</v>
      </c>
      <c r="F395" s="143">
        <v>1056.7</v>
      </c>
      <c r="G395" s="60">
        <f t="shared" ref="G395:H409" si="104">+C395+E395</f>
        <v>6661.1</v>
      </c>
      <c r="H395" s="60">
        <f t="shared" si="104"/>
        <v>2735.6000000000004</v>
      </c>
      <c r="I395" s="61">
        <f t="shared" si="103"/>
        <v>143.49685626553588</v>
      </c>
      <c r="J395">
        <v>756.4</v>
      </c>
    </row>
    <row r="396" spans="1:18" x14ac:dyDescent="0.25">
      <c r="A396" s="57">
        <f t="shared" si="101"/>
        <v>41599</v>
      </c>
      <c r="B396" s="58" t="s">
        <v>4</v>
      </c>
      <c r="C396" s="149">
        <v>4466</v>
      </c>
      <c r="D396" s="143">
        <v>1660.3</v>
      </c>
      <c r="E396" s="143">
        <v>2282.1999999999998</v>
      </c>
      <c r="F396" s="143">
        <v>1115.7</v>
      </c>
      <c r="G396" s="60">
        <f t="shared" si="104"/>
        <v>6748.2</v>
      </c>
      <c r="H396" s="60">
        <f t="shared" si="104"/>
        <v>2776</v>
      </c>
      <c r="I396" s="61">
        <f t="shared" si="103"/>
        <v>143.09077809798271</v>
      </c>
      <c r="J396">
        <v>756.4</v>
      </c>
    </row>
    <row r="397" spans="1:18" x14ac:dyDescent="0.25">
      <c r="A397" s="57">
        <f t="shared" si="101"/>
        <v>41606</v>
      </c>
      <c r="B397" s="58" t="s">
        <v>4</v>
      </c>
      <c r="C397" s="59">
        <v>4355.6000000000004</v>
      </c>
      <c r="D397">
        <v>1591.3</v>
      </c>
      <c r="E397">
        <v>2460.6</v>
      </c>
      <c r="F397">
        <v>1162.9000000000001</v>
      </c>
      <c r="G397" s="60">
        <f t="shared" si="104"/>
        <v>6816.2000000000007</v>
      </c>
      <c r="H397" s="60">
        <f t="shared" si="104"/>
        <v>2754.2</v>
      </c>
      <c r="I397" s="61">
        <f t="shared" si="103"/>
        <v>147.48384285818025</v>
      </c>
      <c r="J397">
        <v>756.4</v>
      </c>
    </row>
    <row r="398" spans="1:18" x14ac:dyDescent="0.25">
      <c r="A398" s="57">
        <f t="shared" si="101"/>
        <v>41613</v>
      </c>
      <c r="B398" s="58" t="s">
        <v>4</v>
      </c>
      <c r="C398" s="59">
        <v>4597.3</v>
      </c>
      <c r="D398">
        <v>1589.5</v>
      </c>
      <c r="E398">
        <v>2738.7</v>
      </c>
      <c r="F398">
        <v>1247.4000000000001</v>
      </c>
      <c r="G398" s="60">
        <f t="shared" si="104"/>
        <v>7336</v>
      </c>
      <c r="H398" s="60">
        <f t="shared" si="104"/>
        <v>2836.9</v>
      </c>
      <c r="I398" s="61">
        <f t="shared" si="103"/>
        <v>158.59212520709224</v>
      </c>
      <c r="J398">
        <v>865.8</v>
      </c>
    </row>
    <row r="399" spans="1:18" x14ac:dyDescent="0.25">
      <c r="A399" s="57">
        <f t="shared" si="101"/>
        <v>41620</v>
      </c>
      <c r="B399" s="58" t="s">
        <v>4</v>
      </c>
      <c r="C399" s="59">
        <v>4616.7</v>
      </c>
      <c r="D399">
        <v>1554.6</v>
      </c>
      <c r="E399">
        <v>2854.4</v>
      </c>
      <c r="F399">
        <v>1294.7</v>
      </c>
      <c r="G399" s="60">
        <f t="shared" si="104"/>
        <v>7471.1</v>
      </c>
      <c r="H399" s="60">
        <f t="shared" si="104"/>
        <v>2849.3</v>
      </c>
      <c r="I399" s="61">
        <f t="shared" si="103"/>
        <v>162.20826167830694</v>
      </c>
      <c r="J399">
        <v>865.8</v>
      </c>
    </row>
    <row r="400" spans="1:18" x14ac:dyDescent="0.25">
      <c r="A400" s="57">
        <f t="shared" si="101"/>
        <v>41627</v>
      </c>
      <c r="B400" s="58" t="s">
        <v>4</v>
      </c>
      <c r="C400" s="59">
        <v>4573.8999999999996</v>
      </c>
      <c r="D400">
        <v>1547.7</v>
      </c>
      <c r="E400">
        <v>3144.1</v>
      </c>
      <c r="F400">
        <v>1362.5</v>
      </c>
      <c r="G400" s="60">
        <f t="shared" si="104"/>
        <v>7718</v>
      </c>
      <c r="H400" s="60">
        <f t="shared" si="104"/>
        <v>2910.2</v>
      </c>
      <c r="I400" s="61">
        <f t="shared" si="103"/>
        <v>165.20514054016905</v>
      </c>
      <c r="J400">
        <v>865.8</v>
      </c>
      <c r="M400" s="59"/>
      <c r="N400" s="59"/>
    </row>
    <row r="401" spans="1:26" ht="15" x14ac:dyDescent="0.25">
      <c r="A401" s="57">
        <f t="shared" si="101"/>
        <v>41634</v>
      </c>
      <c r="B401" s="58" t="s">
        <v>4</v>
      </c>
      <c r="C401" s="59">
        <v>4483.3</v>
      </c>
      <c r="D401">
        <v>1500.6</v>
      </c>
      <c r="E401">
        <v>3264.7</v>
      </c>
      <c r="F401">
        <v>1415.1</v>
      </c>
      <c r="G401" s="60">
        <f t="shared" si="104"/>
        <v>7748</v>
      </c>
      <c r="H401" s="60">
        <f t="shared" si="104"/>
        <v>2915.7</v>
      </c>
      <c r="I401" s="61">
        <f t="shared" si="103"/>
        <v>165.73378605480676</v>
      </c>
      <c r="J401">
        <v>886.1</v>
      </c>
      <c r="M401" s="194"/>
      <c r="N401" s="59"/>
      <c r="P401" s="123"/>
    </row>
    <row r="402" spans="1:26" x14ac:dyDescent="0.25">
      <c r="A402" s="57">
        <f t="shared" si="101"/>
        <v>41641</v>
      </c>
      <c r="B402" s="58" t="s">
        <v>4</v>
      </c>
      <c r="C402" s="59">
        <v>4402.8999999999996</v>
      </c>
      <c r="D402">
        <v>1478.6</v>
      </c>
      <c r="E402">
        <v>3415.7</v>
      </c>
      <c r="F402">
        <v>1437.1</v>
      </c>
      <c r="G402" s="60">
        <f t="shared" si="104"/>
        <v>7818.5999999999995</v>
      </c>
      <c r="H402" s="60">
        <f t="shared" si="104"/>
        <v>2915.7</v>
      </c>
      <c r="I402" s="61">
        <f t="shared" si="103"/>
        <v>168.15515999588433</v>
      </c>
      <c r="J402">
        <v>886.1</v>
      </c>
      <c r="M402" s="59"/>
      <c r="N402" s="59"/>
    </row>
    <row r="403" spans="1:26" x14ac:dyDescent="0.25">
      <c r="A403" s="57">
        <f t="shared" si="101"/>
        <v>41648</v>
      </c>
      <c r="B403" s="58" t="s">
        <v>4</v>
      </c>
      <c r="C403" s="59">
        <v>4449.7</v>
      </c>
      <c r="D403" s="202">
        <f>C351</f>
        <v>1543.7</v>
      </c>
      <c r="E403">
        <v>3564.6</v>
      </c>
      <c r="F403" s="199">
        <f>E351</f>
        <v>1485</v>
      </c>
      <c r="G403" s="60">
        <f t="shared" si="104"/>
        <v>8014.2999999999993</v>
      </c>
      <c r="H403" s="60">
        <f t="shared" ref="H403:H408" si="105">+D403+F403</f>
        <v>3028.7</v>
      </c>
      <c r="I403" s="61">
        <f t="shared" ref="I403:I408" si="106">+(G403/H403-1)*100</f>
        <v>164.61187968435303</v>
      </c>
      <c r="J403">
        <v>886.1</v>
      </c>
    </row>
    <row r="404" spans="1:26" x14ac:dyDescent="0.25">
      <c r="A404" s="57">
        <f t="shared" si="101"/>
        <v>41655</v>
      </c>
      <c r="B404" s="58" t="s">
        <v>4</v>
      </c>
      <c r="C404" s="59">
        <v>4349.7</v>
      </c>
      <c r="D404" s="202">
        <f t="shared" ref="D404:D414" si="107">C352</f>
        <v>1545.2</v>
      </c>
      <c r="E404">
        <v>3777.4</v>
      </c>
      <c r="F404" s="199">
        <f t="shared" ref="F404:F414" si="108">E352</f>
        <v>1531.7</v>
      </c>
      <c r="G404" s="60">
        <f t="shared" si="104"/>
        <v>8127.1</v>
      </c>
      <c r="H404" s="60">
        <f t="shared" si="105"/>
        <v>3076.9</v>
      </c>
      <c r="I404" s="61">
        <f t="shared" si="106"/>
        <v>164.13273099548249</v>
      </c>
      <c r="J404">
        <v>886.1</v>
      </c>
    </row>
    <row r="405" spans="1:26" x14ac:dyDescent="0.25">
      <c r="A405" s="57">
        <f t="shared" si="101"/>
        <v>41662</v>
      </c>
      <c r="B405" s="58" t="s">
        <v>4</v>
      </c>
      <c r="C405" s="59">
        <v>4144.5</v>
      </c>
      <c r="D405" s="202">
        <f t="shared" si="107"/>
        <v>1495.8</v>
      </c>
      <c r="E405">
        <v>4007.6</v>
      </c>
      <c r="F405" s="199">
        <f t="shared" si="108"/>
        <v>1629.3</v>
      </c>
      <c r="G405" s="60">
        <f t="shared" si="104"/>
        <v>8152.1</v>
      </c>
      <c r="H405" s="60">
        <f t="shared" si="105"/>
        <v>3125.1</v>
      </c>
      <c r="I405" s="61">
        <f t="shared" si="106"/>
        <v>160.85885251671948</v>
      </c>
      <c r="J405">
        <v>886.1</v>
      </c>
      <c r="O405" s="59"/>
      <c r="P405" s="59"/>
      <c r="Q405" s="59"/>
      <c r="R405" s="59"/>
      <c r="S405" s="59"/>
      <c r="T405" s="59"/>
      <c r="U405" s="59"/>
      <c r="V405" s="59"/>
      <c r="W405" s="59"/>
      <c r="X405" s="59"/>
      <c r="Y405" s="59"/>
      <c r="Z405" s="59"/>
    </row>
    <row r="406" spans="1:26" ht="15" x14ac:dyDescent="0.25">
      <c r="A406" s="57">
        <f t="shared" si="101"/>
        <v>41669</v>
      </c>
      <c r="B406" s="58" t="s">
        <v>4</v>
      </c>
      <c r="C406" s="59">
        <v>4051.6</v>
      </c>
      <c r="D406" s="202">
        <f t="shared" si="107"/>
        <v>1441.9</v>
      </c>
      <c r="E406">
        <v>4129.3</v>
      </c>
      <c r="F406" s="199">
        <f t="shared" si="108"/>
        <v>1680.9</v>
      </c>
      <c r="G406" s="60">
        <f t="shared" si="104"/>
        <v>8180.9</v>
      </c>
      <c r="H406" s="60">
        <f t="shared" si="105"/>
        <v>3122.8</v>
      </c>
      <c r="I406" s="61">
        <f t="shared" si="106"/>
        <v>161.97322915332393</v>
      </c>
      <c r="J406">
        <v>886.1</v>
      </c>
      <c r="O406" s="194"/>
      <c r="P406" s="59"/>
      <c r="Q406" s="59"/>
      <c r="R406" s="194"/>
      <c r="S406" s="59"/>
      <c r="T406" s="59"/>
      <c r="U406" s="59"/>
      <c r="V406" s="59"/>
      <c r="W406" s="59"/>
      <c r="X406" s="59"/>
      <c r="Y406" s="59"/>
      <c r="Z406" s="59"/>
    </row>
    <row r="407" spans="1:26" ht="15" x14ac:dyDescent="0.25">
      <c r="A407" s="57">
        <f t="shared" si="101"/>
        <v>41676</v>
      </c>
      <c r="B407" s="58" t="s">
        <v>4</v>
      </c>
      <c r="C407" s="59">
        <v>3974.9</v>
      </c>
      <c r="D407" s="202">
        <f t="shared" si="107"/>
        <v>1453.4</v>
      </c>
      <c r="E407">
        <v>4350.3</v>
      </c>
      <c r="F407" s="199">
        <f t="shared" si="108"/>
        <v>1722.9</v>
      </c>
      <c r="G407" s="60">
        <f t="shared" si="104"/>
        <v>8325.2000000000007</v>
      </c>
      <c r="H407" s="60">
        <f t="shared" si="105"/>
        <v>3176.3</v>
      </c>
      <c r="I407" s="61">
        <f t="shared" si="106"/>
        <v>162.10370556937318</v>
      </c>
      <c r="J407">
        <v>887.1</v>
      </c>
      <c r="M407" s="123"/>
      <c r="N407" s="59"/>
      <c r="O407" s="59"/>
      <c r="P407" s="59"/>
      <c r="Q407" s="59"/>
      <c r="R407" s="59"/>
      <c r="S407" s="59"/>
      <c r="T407" s="59"/>
      <c r="U407" s="59"/>
      <c r="V407" s="59"/>
      <c r="W407" s="59"/>
      <c r="X407" s="59"/>
      <c r="Y407" s="59"/>
      <c r="Z407" s="59"/>
    </row>
    <row r="408" spans="1:26" ht="15" x14ac:dyDescent="0.25">
      <c r="A408" s="57">
        <f t="shared" si="101"/>
        <v>41683</v>
      </c>
      <c r="B408" s="58" t="s">
        <v>4</v>
      </c>
      <c r="C408" s="59">
        <v>3845.3</v>
      </c>
      <c r="D408" s="202">
        <f t="shared" si="107"/>
        <v>1421.7</v>
      </c>
      <c r="E408" s="66">
        <v>4497</v>
      </c>
      <c r="F408" s="199">
        <f t="shared" si="108"/>
        <v>1822.4</v>
      </c>
      <c r="G408" s="60">
        <f t="shared" si="104"/>
        <v>8342.2999999999993</v>
      </c>
      <c r="H408" s="60">
        <f t="shared" si="105"/>
        <v>3244.1000000000004</v>
      </c>
      <c r="I408" s="61">
        <f t="shared" si="106"/>
        <v>157.15298541968491</v>
      </c>
      <c r="J408">
        <v>886.1</v>
      </c>
      <c r="O408" s="194"/>
      <c r="P408" s="59"/>
      <c r="Q408" s="59"/>
      <c r="R408" s="194"/>
      <c r="S408" s="59"/>
      <c r="T408" s="59"/>
      <c r="U408" s="59"/>
      <c r="V408" s="59"/>
      <c r="W408" s="59"/>
      <c r="X408" s="59"/>
      <c r="Y408" s="59"/>
      <c r="Z408" s="59"/>
    </row>
    <row r="409" spans="1:26" ht="15" x14ac:dyDescent="0.25">
      <c r="A409" s="57">
        <f t="shared" si="101"/>
        <v>41690</v>
      </c>
      <c r="B409" s="58" t="s">
        <v>4</v>
      </c>
      <c r="C409" s="59">
        <v>3703.6</v>
      </c>
      <c r="D409" s="202">
        <f t="shared" si="107"/>
        <v>1503.4</v>
      </c>
      <c r="E409">
        <v>4683.3999999999996</v>
      </c>
      <c r="F409" s="199">
        <f t="shared" si="108"/>
        <v>1839.4</v>
      </c>
      <c r="G409" s="60">
        <f t="shared" si="104"/>
        <v>8387</v>
      </c>
      <c r="H409" s="60">
        <f>+D409+F409</f>
        <v>3342.8</v>
      </c>
      <c r="I409" s="61">
        <f>+(G409/H409-1)*100</f>
        <v>150.89745123848269</v>
      </c>
      <c r="J409">
        <v>886.1</v>
      </c>
      <c r="N409" s="123"/>
      <c r="O409" s="194"/>
      <c r="P409" s="59"/>
      <c r="Q409" s="59"/>
      <c r="R409" s="59"/>
      <c r="S409" s="59"/>
      <c r="T409" s="59"/>
      <c r="U409" s="59"/>
      <c r="V409" s="59"/>
      <c r="W409" s="59"/>
      <c r="X409" s="59"/>
      <c r="Y409" s="59"/>
      <c r="Z409" s="59"/>
    </row>
    <row r="410" spans="1:26" ht="15" x14ac:dyDescent="0.25">
      <c r="A410" s="57">
        <f t="shared" si="101"/>
        <v>41697</v>
      </c>
      <c r="B410" s="58" t="s">
        <v>4</v>
      </c>
      <c r="D410" s="202">
        <f t="shared" si="107"/>
        <v>1423.5</v>
      </c>
      <c r="F410" s="199">
        <f t="shared" si="108"/>
        <v>1928.1</v>
      </c>
      <c r="O410" s="196"/>
      <c r="P410" s="59"/>
      <c r="Q410" s="59"/>
      <c r="R410" s="194"/>
      <c r="S410" s="59"/>
      <c r="T410" s="59"/>
      <c r="U410" s="59"/>
      <c r="V410" s="59"/>
      <c r="W410" s="59"/>
      <c r="X410" s="59"/>
      <c r="Y410" s="59"/>
      <c r="Z410" s="59"/>
    </row>
    <row r="411" spans="1:26" ht="15" x14ac:dyDescent="0.25">
      <c r="A411" s="57">
        <f t="shared" si="101"/>
        <v>41704</v>
      </c>
      <c r="B411" s="58" t="s">
        <v>4</v>
      </c>
      <c r="D411" s="202">
        <f t="shared" si="107"/>
        <v>1399.1</v>
      </c>
      <c r="F411" s="199">
        <f t="shared" si="108"/>
        <v>2004.9</v>
      </c>
      <c r="O411" s="196"/>
      <c r="P411" s="59"/>
      <c r="Q411" s="59"/>
      <c r="R411" s="194"/>
      <c r="S411" s="59"/>
      <c r="T411" s="59"/>
      <c r="U411" s="59"/>
      <c r="V411" s="59"/>
      <c r="W411" s="59"/>
      <c r="X411" s="59"/>
      <c r="Y411" s="59"/>
      <c r="Z411" s="59"/>
    </row>
    <row r="412" spans="1:26" ht="15" x14ac:dyDescent="0.25">
      <c r="A412" s="57">
        <f t="shared" si="101"/>
        <v>41711</v>
      </c>
      <c r="B412" s="58" t="s">
        <v>4</v>
      </c>
      <c r="D412" s="202">
        <f t="shared" si="107"/>
        <v>1334.1</v>
      </c>
      <c r="F412" s="199">
        <f t="shared" si="108"/>
        <v>2123.5</v>
      </c>
      <c r="O412" s="194"/>
      <c r="P412" s="59"/>
      <c r="Q412" s="59"/>
      <c r="R412" s="194"/>
      <c r="S412" s="59"/>
      <c r="T412" s="59"/>
      <c r="U412" s="59"/>
      <c r="V412" s="59"/>
      <c r="W412" s="59"/>
      <c r="X412" s="59"/>
      <c r="Y412" s="59"/>
      <c r="Z412" s="59"/>
    </row>
    <row r="413" spans="1:26" ht="15" x14ac:dyDescent="0.25">
      <c r="A413" s="57">
        <f t="shared" si="101"/>
        <v>41718</v>
      </c>
      <c r="B413" s="58" t="s">
        <v>4</v>
      </c>
      <c r="D413" s="202">
        <f t="shared" si="107"/>
        <v>1269.5999999999999</v>
      </c>
      <c r="F413" s="199">
        <f t="shared" si="108"/>
        <v>2187.6</v>
      </c>
      <c r="O413" s="194"/>
      <c r="P413" s="59"/>
      <c r="Q413" s="59"/>
      <c r="R413" s="194"/>
      <c r="S413" s="59"/>
      <c r="T413" s="59"/>
      <c r="U413" s="59"/>
      <c r="V413" s="59"/>
      <c r="W413" s="59"/>
      <c r="X413" s="59"/>
      <c r="Y413" s="59"/>
      <c r="Z413" s="59"/>
    </row>
    <row r="414" spans="1:26" ht="15" x14ac:dyDescent="0.25">
      <c r="A414" s="57">
        <f t="shared" si="101"/>
        <v>41725</v>
      </c>
      <c r="B414" s="58" t="s">
        <v>4</v>
      </c>
      <c r="D414" s="202">
        <f t="shared" si="107"/>
        <v>1328.6</v>
      </c>
      <c r="F414" s="199">
        <f t="shared" si="108"/>
        <v>2291.6999999999998</v>
      </c>
      <c r="O414" s="194"/>
      <c r="P414" s="59"/>
      <c r="Q414" s="59"/>
      <c r="R414" s="194"/>
      <c r="S414" s="59"/>
      <c r="T414" s="59"/>
      <c r="U414" s="59"/>
      <c r="V414" s="59"/>
      <c r="W414" s="59"/>
      <c r="X414" s="59"/>
      <c r="Y414" s="59"/>
      <c r="Z414" s="59"/>
    </row>
    <row r="415" spans="1:26" ht="15" x14ac:dyDescent="0.25">
      <c r="A415" s="57">
        <f t="shared" si="101"/>
        <v>41732</v>
      </c>
      <c r="B415" s="58" t="s">
        <v>4</v>
      </c>
      <c r="O415" s="194"/>
      <c r="P415" s="59"/>
      <c r="Q415" s="59"/>
      <c r="R415" s="194"/>
      <c r="S415" s="59"/>
      <c r="T415" s="59"/>
      <c r="U415" s="59"/>
      <c r="V415" s="59"/>
      <c r="W415" s="59"/>
      <c r="X415" s="59"/>
      <c r="Y415" s="59"/>
      <c r="Z415" s="59"/>
    </row>
    <row r="416" spans="1:26" ht="15" x14ac:dyDescent="0.25">
      <c r="A416" s="57">
        <f t="shared" si="101"/>
        <v>41739</v>
      </c>
      <c r="B416" s="58" t="s">
        <v>4</v>
      </c>
      <c r="O416" s="194"/>
      <c r="P416" s="59"/>
      <c r="Q416" s="59"/>
      <c r="R416" s="194"/>
      <c r="S416" s="59"/>
      <c r="T416" s="59"/>
      <c r="U416" s="59"/>
      <c r="V416" s="59"/>
      <c r="W416" s="59"/>
      <c r="X416" s="59"/>
      <c r="Y416" s="59"/>
      <c r="Z416" s="59"/>
    </row>
    <row r="417" spans="1:26" ht="15" x14ac:dyDescent="0.25">
      <c r="A417" s="57">
        <f t="shared" si="101"/>
        <v>41746</v>
      </c>
      <c r="B417" s="58" t="s">
        <v>4</v>
      </c>
      <c r="O417" s="194"/>
      <c r="P417" s="59"/>
      <c r="Q417" s="59"/>
      <c r="R417" s="194"/>
      <c r="S417" s="59"/>
      <c r="T417" s="59"/>
      <c r="U417" s="59"/>
      <c r="V417" s="59"/>
      <c r="W417" s="59"/>
      <c r="X417" s="59"/>
      <c r="Y417" s="59"/>
      <c r="Z417" s="59"/>
    </row>
    <row r="418" spans="1:26" ht="15" x14ac:dyDescent="0.25">
      <c r="A418" s="57">
        <f t="shared" si="101"/>
        <v>41753</v>
      </c>
      <c r="B418" s="58" t="s">
        <v>4</v>
      </c>
      <c r="O418" s="194"/>
      <c r="P418" s="59"/>
      <c r="Q418" s="59"/>
      <c r="R418" s="194"/>
      <c r="S418" s="59"/>
      <c r="T418" s="59"/>
      <c r="U418" s="59"/>
      <c r="V418" s="59"/>
      <c r="W418" s="59"/>
      <c r="X418" s="59"/>
      <c r="Y418" s="59"/>
      <c r="Z418" s="59"/>
    </row>
    <row r="419" spans="1:26" ht="15" x14ac:dyDescent="0.25">
      <c r="A419" s="57">
        <f t="shared" si="101"/>
        <v>41760</v>
      </c>
      <c r="B419" s="58" t="s">
        <v>4</v>
      </c>
      <c r="O419" s="194"/>
      <c r="P419" s="59"/>
      <c r="Q419" s="59"/>
      <c r="R419" s="194"/>
      <c r="S419" s="59"/>
      <c r="T419" s="59"/>
      <c r="U419" s="59"/>
      <c r="V419" s="59"/>
      <c r="W419" s="59"/>
      <c r="X419" s="59"/>
      <c r="Y419" s="59"/>
      <c r="Z419" s="59"/>
    </row>
    <row r="420" spans="1:26" ht="15" x14ac:dyDescent="0.25">
      <c r="A420" s="57">
        <f t="shared" si="101"/>
        <v>41767</v>
      </c>
      <c r="B420" s="58" t="s">
        <v>4</v>
      </c>
      <c r="O420" s="194"/>
      <c r="P420" s="59"/>
      <c r="Q420" s="59"/>
      <c r="R420" s="194"/>
      <c r="S420" s="59"/>
      <c r="T420" s="59"/>
      <c r="U420" s="59"/>
      <c r="V420" s="59"/>
      <c r="W420" s="59"/>
      <c r="X420" s="59"/>
      <c r="Y420" s="59"/>
      <c r="Z420" s="59"/>
    </row>
    <row r="421" spans="1:26" ht="15" x14ac:dyDescent="0.25">
      <c r="A421" s="57">
        <f t="shared" si="101"/>
        <v>41774</v>
      </c>
      <c r="B421" s="58" t="s">
        <v>4</v>
      </c>
      <c r="O421" s="194"/>
      <c r="P421" s="59"/>
      <c r="Q421" s="59"/>
      <c r="R421" s="194"/>
      <c r="S421" s="59"/>
      <c r="T421" s="59"/>
      <c r="U421" s="59"/>
      <c r="V421" s="59"/>
      <c r="W421" s="59"/>
      <c r="X421" s="59"/>
      <c r="Y421" s="59"/>
      <c r="Z421" s="59"/>
    </row>
    <row r="422" spans="1:26" ht="15" x14ac:dyDescent="0.25">
      <c r="A422" s="57">
        <f t="shared" si="101"/>
        <v>41781</v>
      </c>
      <c r="B422" s="58" t="s">
        <v>4</v>
      </c>
      <c r="O422" s="194"/>
      <c r="P422" s="59"/>
      <c r="Q422" s="59"/>
      <c r="R422" s="194"/>
      <c r="S422" s="59"/>
      <c r="T422" s="59"/>
      <c r="U422" s="59"/>
      <c r="V422" s="59"/>
      <c r="W422" s="59"/>
      <c r="X422" s="59"/>
      <c r="Y422" s="59"/>
      <c r="Z422" s="59"/>
    </row>
    <row r="423" spans="1:26" ht="15" x14ac:dyDescent="0.25">
      <c r="A423" s="57">
        <f t="shared" si="101"/>
        <v>41788</v>
      </c>
      <c r="B423" s="58" t="s">
        <v>4</v>
      </c>
      <c r="O423" s="194"/>
      <c r="P423" s="59"/>
      <c r="Q423" s="59"/>
      <c r="R423" s="194"/>
      <c r="S423" s="59"/>
      <c r="T423" s="59"/>
      <c r="U423" s="59"/>
      <c r="V423" s="59"/>
      <c r="W423" s="59"/>
      <c r="X423" s="59"/>
      <c r="Y423" s="59"/>
      <c r="Z423" s="59"/>
    </row>
    <row r="424" spans="1:26" ht="15" x14ac:dyDescent="0.25">
      <c r="A424" s="57">
        <f t="shared" si="101"/>
        <v>41795</v>
      </c>
      <c r="B424" s="58" t="s">
        <v>4</v>
      </c>
      <c r="O424" s="194"/>
      <c r="P424" s="59"/>
      <c r="Q424" s="59"/>
      <c r="R424" s="194"/>
      <c r="S424" s="59"/>
      <c r="T424" s="59"/>
      <c r="U424" s="59"/>
      <c r="V424" s="59"/>
      <c r="W424" s="59"/>
      <c r="X424" s="59"/>
      <c r="Y424" s="59"/>
      <c r="Z424" s="59"/>
    </row>
    <row r="425" spans="1:26" ht="15" x14ac:dyDescent="0.25">
      <c r="A425" s="57">
        <f t="shared" si="101"/>
        <v>41802</v>
      </c>
      <c r="B425" s="58" t="s">
        <v>4</v>
      </c>
      <c r="O425" s="194"/>
      <c r="P425" s="59"/>
      <c r="Q425" s="59"/>
      <c r="R425" s="194"/>
      <c r="S425" s="59"/>
      <c r="T425" s="59"/>
      <c r="U425" s="59"/>
      <c r="V425" s="59"/>
      <c r="W425" s="59"/>
      <c r="X425" s="59"/>
      <c r="Y425" s="59"/>
      <c r="Z425" s="59"/>
    </row>
    <row r="426" spans="1:26" ht="15" x14ac:dyDescent="0.25">
      <c r="A426" s="57">
        <f t="shared" si="101"/>
        <v>41809</v>
      </c>
      <c r="B426" s="58" t="s">
        <v>4</v>
      </c>
      <c r="O426" s="194"/>
      <c r="P426" s="59"/>
      <c r="Q426" s="59"/>
      <c r="R426" s="194"/>
      <c r="S426" s="59"/>
      <c r="T426" s="59"/>
      <c r="U426" s="59"/>
      <c r="V426" s="59"/>
      <c r="W426" s="59"/>
      <c r="X426" s="59"/>
      <c r="Y426" s="59"/>
      <c r="Z426" s="59"/>
    </row>
    <row r="427" spans="1:26" ht="15" x14ac:dyDescent="0.25">
      <c r="A427" s="57">
        <f t="shared" si="101"/>
        <v>41816</v>
      </c>
      <c r="B427" s="58" t="s">
        <v>4</v>
      </c>
      <c r="O427" s="194"/>
      <c r="P427" s="59"/>
      <c r="Q427" s="59"/>
      <c r="R427" s="194"/>
      <c r="S427" s="59"/>
      <c r="T427" s="59"/>
      <c r="U427" s="59"/>
      <c r="V427" s="59"/>
      <c r="W427" s="59"/>
      <c r="X427" s="59"/>
      <c r="Y427" s="59"/>
      <c r="Z427" s="59"/>
    </row>
    <row r="428" spans="1:26" ht="15" x14ac:dyDescent="0.25">
      <c r="A428" s="57">
        <f t="shared" si="101"/>
        <v>41823</v>
      </c>
      <c r="B428" s="58" t="s">
        <v>4</v>
      </c>
      <c r="O428" s="194"/>
      <c r="P428" s="59"/>
      <c r="Q428" s="59"/>
      <c r="R428" s="194"/>
      <c r="S428" s="59"/>
      <c r="T428" s="59"/>
      <c r="U428" s="59"/>
      <c r="V428" s="59"/>
      <c r="W428" s="59"/>
      <c r="X428" s="59"/>
      <c r="Y428" s="59"/>
      <c r="Z428" s="59"/>
    </row>
    <row r="429" spans="1:26" ht="15" x14ac:dyDescent="0.25">
      <c r="A429" s="57">
        <f t="shared" si="101"/>
        <v>41830</v>
      </c>
      <c r="B429" s="58" t="s">
        <v>4</v>
      </c>
      <c r="O429" s="194"/>
      <c r="P429" s="59"/>
      <c r="Q429" s="59"/>
      <c r="R429" s="194"/>
      <c r="S429" s="59"/>
      <c r="T429" s="59"/>
      <c r="U429" s="59"/>
      <c r="V429" s="59"/>
      <c r="W429" s="59"/>
      <c r="X429" s="59"/>
      <c r="Y429" s="59"/>
      <c r="Z429" s="59"/>
    </row>
    <row r="430" spans="1:26" ht="15" x14ac:dyDescent="0.25">
      <c r="A430" s="57">
        <f t="shared" si="101"/>
        <v>41837</v>
      </c>
      <c r="B430" s="58" t="s">
        <v>4</v>
      </c>
      <c r="O430" s="194"/>
      <c r="P430" s="59"/>
      <c r="Q430" s="59"/>
      <c r="R430" s="194"/>
      <c r="S430" s="59"/>
      <c r="T430" s="59"/>
      <c r="U430" s="59"/>
      <c r="V430" s="59"/>
      <c r="W430" s="59"/>
      <c r="X430" s="59"/>
      <c r="Y430" s="59"/>
      <c r="Z430" s="59"/>
    </row>
    <row r="431" spans="1:26" ht="15" x14ac:dyDescent="0.25">
      <c r="A431" s="57">
        <f t="shared" si="101"/>
        <v>41844</v>
      </c>
      <c r="B431" s="58" t="s">
        <v>4</v>
      </c>
      <c r="O431" s="194"/>
      <c r="P431" s="59"/>
      <c r="Q431" s="59"/>
      <c r="R431" s="194"/>
      <c r="S431" s="59"/>
      <c r="T431" s="59"/>
      <c r="U431" s="59"/>
      <c r="V431" s="59"/>
      <c r="W431" s="59"/>
      <c r="X431" s="59"/>
      <c r="Y431" s="59"/>
      <c r="Z431" s="59"/>
    </row>
    <row r="432" spans="1:26" ht="15" x14ac:dyDescent="0.25">
      <c r="A432" s="57">
        <f t="shared" si="101"/>
        <v>41851</v>
      </c>
      <c r="B432" s="58" t="s">
        <v>4</v>
      </c>
      <c r="O432" s="194"/>
      <c r="P432" s="59"/>
      <c r="Q432" s="59"/>
      <c r="R432" s="194"/>
      <c r="S432" s="59"/>
      <c r="T432" s="59"/>
      <c r="U432" s="59"/>
      <c r="V432" s="59"/>
      <c r="W432" s="59"/>
      <c r="X432" s="59"/>
      <c r="Y432" s="59"/>
      <c r="Z432" s="59"/>
    </row>
    <row r="433" spans="1:26" ht="15" x14ac:dyDescent="0.25">
      <c r="A433" s="57">
        <f t="shared" si="101"/>
        <v>41858</v>
      </c>
      <c r="B433" s="58" t="s">
        <v>4</v>
      </c>
      <c r="O433" s="194"/>
      <c r="P433" s="59"/>
      <c r="Q433" s="59"/>
      <c r="R433" s="194"/>
      <c r="S433" s="59"/>
      <c r="T433" s="59"/>
      <c r="U433" s="59"/>
      <c r="V433" s="59"/>
      <c r="W433" s="59"/>
      <c r="X433" s="59"/>
      <c r="Y433" s="59"/>
      <c r="Z433" s="59"/>
    </row>
    <row r="434" spans="1:26" ht="15" x14ac:dyDescent="0.25">
      <c r="A434" s="57">
        <f t="shared" si="101"/>
        <v>41865</v>
      </c>
      <c r="B434" s="58" t="s">
        <v>4</v>
      </c>
      <c r="O434" s="194"/>
      <c r="P434" s="59"/>
      <c r="Q434" s="59"/>
      <c r="R434" s="194"/>
      <c r="S434" s="59"/>
      <c r="T434" s="59"/>
      <c r="U434" s="59"/>
      <c r="V434" s="59"/>
      <c r="W434" s="59"/>
      <c r="X434" s="59"/>
      <c r="Y434" s="59"/>
      <c r="Z434" s="59"/>
    </row>
    <row r="435" spans="1:26" ht="15" x14ac:dyDescent="0.25">
      <c r="A435" s="57">
        <f t="shared" si="101"/>
        <v>41872</v>
      </c>
      <c r="B435" s="58" t="s">
        <v>4</v>
      </c>
      <c r="O435" s="194"/>
      <c r="P435" s="59"/>
      <c r="Q435" s="59"/>
      <c r="R435" s="194"/>
      <c r="S435" s="59"/>
      <c r="T435" s="59"/>
      <c r="U435" s="59"/>
      <c r="V435" s="59"/>
      <c r="W435" s="59"/>
      <c r="X435" s="59"/>
      <c r="Y435" s="59"/>
      <c r="Z435" s="59"/>
    </row>
    <row r="436" spans="1:26" ht="15" x14ac:dyDescent="0.25">
      <c r="A436" s="57">
        <f t="shared" si="101"/>
        <v>41879</v>
      </c>
      <c r="B436" s="58" t="s">
        <v>4</v>
      </c>
      <c r="O436" s="194"/>
      <c r="P436" s="59"/>
      <c r="Q436" s="59"/>
      <c r="R436" s="194"/>
      <c r="S436" s="59"/>
      <c r="T436" s="59"/>
      <c r="U436" s="59"/>
      <c r="V436" s="59"/>
      <c r="W436" s="59"/>
      <c r="X436" s="59"/>
      <c r="Y436" s="59"/>
      <c r="Z436" s="59"/>
    </row>
    <row r="437" spans="1:26" ht="15" x14ac:dyDescent="0.25">
      <c r="A437" s="57">
        <f t="shared" si="101"/>
        <v>41886</v>
      </c>
      <c r="B437" s="58" t="s">
        <v>4</v>
      </c>
      <c r="O437" s="194"/>
      <c r="P437" s="59"/>
      <c r="Q437" s="59"/>
      <c r="R437" s="194"/>
      <c r="S437" s="59"/>
      <c r="T437" s="59"/>
      <c r="U437" s="59"/>
      <c r="V437" s="59"/>
      <c r="W437" s="59"/>
      <c r="X437" s="59"/>
      <c r="Y437" s="59"/>
      <c r="Z437" s="59"/>
    </row>
    <row r="438" spans="1:26" ht="15" x14ac:dyDescent="0.25">
      <c r="A438" s="57">
        <f t="shared" si="101"/>
        <v>41893</v>
      </c>
      <c r="B438" s="58" t="s">
        <v>4</v>
      </c>
      <c r="O438" s="194"/>
      <c r="P438" s="59"/>
      <c r="Q438" s="59"/>
      <c r="R438" s="194"/>
      <c r="S438" s="59"/>
      <c r="T438" s="59"/>
      <c r="U438" s="59"/>
      <c r="V438" s="59"/>
      <c r="W438" s="59"/>
      <c r="X438" s="59"/>
      <c r="Y438" s="59"/>
      <c r="Z438" s="59"/>
    </row>
    <row r="439" spans="1:26" ht="15" x14ac:dyDescent="0.25">
      <c r="A439" s="57">
        <f t="shared" si="101"/>
        <v>41900</v>
      </c>
      <c r="B439" s="58" t="s">
        <v>4</v>
      </c>
      <c r="O439" s="194"/>
      <c r="P439" s="59"/>
      <c r="Q439" s="59"/>
      <c r="R439" s="194"/>
      <c r="S439" s="59"/>
      <c r="T439" s="59"/>
      <c r="U439" s="59"/>
      <c r="V439" s="59"/>
      <c r="W439" s="59"/>
      <c r="X439" s="59"/>
      <c r="Y439" s="59"/>
      <c r="Z439" s="59"/>
    </row>
    <row r="440" spans="1:26" ht="15" x14ac:dyDescent="0.25">
      <c r="A440" s="57">
        <f t="shared" si="101"/>
        <v>41907</v>
      </c>
      <c r="B440" s="58" t="s">
        <v>4</v>
      </c>
      <c r="O440" s="194"/>
      <c r="P440" s="59"/>
      <c r="Q440" s="59"/>
      <c r="R440" s="194"/>
      <c r="S440" s="59"/>
      <c r="T440" s="59"/>
      <c r="U440" s="59"/>
      <c r="V440" s="59"/>
      <c r="W440" s="59"/>
      <c r="X440" s="59"/>
      <c r="Y440" s="59"/>
      <c r="Z440" s="59"/>
    </row>
    <row r="441" spans="1:26" ht="15" x14ac:dyDescent="0.25">
      <c r="A441" s="57">
        <f t="shared" si="101"/>
        <v>41914</v>
      </c>
      <c r="B441" s="58" t="s">
        <v>4</v>
      </c>
      <c r="O441" s="194"/>
      <c r="P441" s="59"/>
      <c r="Q441" s="59"/>
      <c r="R441" s="194"/>
      <c r="S441" s="59"/>
      <c r="T441" s="59"/>
      <c r="U441" s="59"/>
      <c r="V441" s="59"/>
      <c r="W441" s="59"/>
      <c r="X441" s="59"/>
      <c r="Y441" s="59"/>
      <c r="Z441" s="59"/>
    </row>
    <row r="442" spans="1:26" ht="15" x14ac:dyDescent="0.25">
      <c r="A442" s="57">
        <f t="shared" si="101"/>
        <v>41921</v>
      </c>
      <c r="B442" s="58" t="s">
        <v>4</v>
      </c>
      <c r="O442" s="194"/>
      <c r="P442" s="59"/>
      <c r="Q442" s="59"/>
      <c r="R442" s="194"/>
      <c r="S442" s="59"/>
      <c r="T442" s="59"/>
      <c r="U442" s="59"/>
      <c r="V442" s="59"/>
      <c r="W442" s="59"/>
      <c r="X442" s="59"/>
      <c r="Y442" s="59"/>
      <c r="Z442" s="59"/>
    </row>
    <row r="443" spans="1:26" ht="15" x14ac:dyDescent="0.25">
      <c r="A443" s="57">
        <f t="shared" si="101"/>
        <v>41928</v>
      </c>
      <c r="B443" s="58" t="s">
        <v>4</v>
      </c>
      <c r="O443" s="194"/>
      <c r="P443" s="59"/>
      <c r="Q443" s="59"/>
      <c r="R443" s="194"/>
      <c r="S443" s="59"/>
      <c r="T443" s="59"/>
      <c r="U443" s="59"/>
      <c r="V443" s="59"/>
      <c r="W443" s="59"/>
      <c r="X443" s="59"/>
      <c r="Y443" s="59"/>
      <c r="Z443" s="59"/>
    </row>
    <row r="444" spans="1:26" ht="15" x14ac:dyDescent="0.25">
      <c r="A444" s="57">
        <f t="shared" si="101"/>
        <v>41935</v>
      </c>
      <c r="B444" s="58" t="s">
        <v>4</v>
      </c>
      <c r="O444" s="194"/>
      <c r="P444" s="59"/>
      <c r="Q444" s="59"/>
      <c r="R444" s="194"/>
      <c r="S444" s="59"/>
      <c r="T444" s="59"/>
      <c r="U444" s="59"/>
      <c r="V444" s="59"/>
      <c r="W444" s="59"/>
      <c r="X444" s="59"/>
      <c r="Y444" s="59"/>
      <c r="Z444" s="59"/>
    </row>
    <row r="445" spans="1:26" ht="15" x14ac:dyDescent="0.25">
      <c r="A445" s="57">
        <f t="shared" si="101"/>
        <v>41942</v>
      </c>
      <c r="B445" s="58" t="s">
        <v>4</v>
      </c>
      <c r="O445" s="194"/>
      <c r="P445" s="59"/>
      <c r="Q445" s="59"/>
      <c r="R445" s="194"/>
      <c r="S445" s="59"/>
      <c r="T445" s="59"/>
      <c r="U445" s="59"/>
      <c r="V445" s="59"/>
      <c r="W445" s="59"/>
      <c r="X445" s="59"/>
      <c r="Y445" s="59"/>
      <c r="Z445" s="59"/>
    </row>
    <row r="446" spans="1:26" ht="15" x14ac:dyDescent="0.25">
      <c r="A446" s="57">
        <f t="shared" si="101"/>
        <v>41949</v>
      </c>
      <c r="B446" s="58" t="s">
        <v>4</v>
      </c>
      <c r="O446" s="194"/>
      <c r="P446" s="59"/>
      <c r="Q446" s="59"/>
      <c r="R446" s="194"/>
      <c r="S446" s="59"/>
      <c r="T446" s="59"/>
      <c r="U446" s="59"/>
      <c r="V446" s="59"/>
      <c r="W446" s="59"/>
      <c r="X446" s="59"/>
      <c r="Y446" s="59"/>
      <c r="Z446" s="59"/>
    </row>
    <row r="447" spans="1:26" ht="15" x14ac:dyDescent="0.25">
      <c r="A447" s="57">
        <f t="shared" si="101"/>
        <v>41956</v>
      </c>
      <c r="B447" s="58" t="s">
        <v>4</v>
      </c>
      <c r="O447" s="194"/>
      <c r="P447" s="59"/>
      <c r="Q447" s="59"/>
      <c r="R447" s="194"/>
      <c r="S447" s="59"/>
      <c r="T447" s="59"/>
      <c r="U447" s="59"/>
      <c r="V447" s="59"/>
      <c r="W447" s="59"/>
      <c r="X447" s="59"/>
      <c r="Y447" s="59"/>
      <c r="Z447" s="59"/>
    </row>
    <row r="448" spans="1:26" ht="15" x14ac:dyDescent="0.25">
      <c r="A448" s="57">
        <f t="shared" si="101"/>
        <v>41963</v>
      </c>
      <c r="B448" s="58" t="s">
        <v>4</v>
      </c>
      <c r="O448" s="194"/>
      <c r="P448" s="59"/>
      <c r="Q448" s="59"/>
      <c r="R448" s="194"/>
      <c r="S448" s="59"/>
      <c r="T448" s="59"/>
      <c r="U448" s="59"/>
      <c r="V448" s="59"/>
      <c r="W448" s="59"/>
      <c r="X448" s="59"/>
      <c r="Y448" s="59"/>
      <c r="Z448" s="59"/>
    </row>
    <row r="449" spans="1:26" ht="15" x14ac:dyDescent="0.25">
      <c r="A449" s="57">
        <f t="shared" si="101"/>
        <v>41970</v>
      </c>
      <c r="B449" s="58" t="s">
        <v>4</v>
      </c>
      <c r="O449" s="194"/>
      <c r="P449" s="59"/>
      <c r="Q449" s="59"/>
      <c r="R449" s="194"/>
      <c r="S449" s="59"/>
      <c r="T449" s="59"/>
      <c r="U449" s="59"/>
      <c r="V449" s="59"/>
      <c r="W449" s="59"/>
      <c r="X449" s="59"/>
      <c r="Y449" s="59"/>
      <c r="Z449" s="59"/>
    </row>
    <row r="450" spans="1:26" ht="15" x14ac:dyDescent="0.25">
      <c r="A450" s="57">
        <f t="shared" si="101"/>
        <v>41977</v>
      </c>
      <c r="B450" s="58" t="s">
        <v>4</v>
      </c>
      <c r="O450" s="194"/>
      <c r="P450" s="59"/>
      <c r="Q450" s="59"/>
      <c r="R450" s="194"/>
      <c r="S450" s="59"/>
      <c r="T450" s="59"/>
      <c r="U450" s="59"/>
      <c r="V450" s="59"/>
      <c r="W450" s="59"/>
      <c r="X450" s="59"/>
      <c r="Y450" s="59"/>
      <c r="Z450" s="59"/>
    </row>
    <row r="451" spans="1:26" ht="15" x14ac:dyDescent="0.25">
      <c r="A451" s="57">
        <f t="shared" si="101"/>
        <v>41984</v>
      </c>
      <c r="B451" s="58" t="s">
        <v>4</v>
      </c>
      <c r="O451" s="194"/>
      <c r="P451" s="59"/>
      <c r="Q451" s="59"/>
      <c r="R451" s="194"/>
      <c r="S451" s="59"/>
      <c r="T451" s="59"/>
      <c r="U451" s="59"/>
      <c r="V451" s="59"/>
      <c r="W451" s="59"/>
      <c r="X451" s="59"/>
      <c r="Y451" s="59"/>
      <c r="Z451" s="59"/>
    </row>
    <row r="452" spans="1:26" ht="15" x14ac:dyDescent="0.25">
      <c r="A452" s="57">
        <f t="shared" ref="A452:A515" si="109">+A451+7</f>
        <v>41991</v>
      </c>
      <c r="B452" s="58" t="s">
        <v>4</v>
      </c>
      <c r="O452" s="194"/>
      <c r="P452" s="59"/>
      <c r="Q452" s="59"/>
      <c r="R452" s="194"/>
      <c r="S452" s="59"/>
      <c r="T452" s="59"/>
      <c r="U452" s="59"/>
      <c r="V452" s="59"/>
      <c r="W452" s="59"/>
      <c r="X452" s="59"/>
      <c r="Y452" s="59"/>
      <c r="Z452" s="59"/>
    </row>
    <row r="453" spans="1:26" ht="15" x14ac:dyDescent="0.25">
      <c r="A453" s="57">
        <f t="shared" si="109"/>
        <v>41998</v>
      </c>
      <c r="B453" s="58" t="s">
        <v>4</v>
      </c>
      <c r="O453" s="194"/>
      <c r="P453" s="59"/>
      <c r="Q453" s="59"/>
      <c r="R453" s="194"/>
      <c r="S453" s="59"/>
      <c r="T453" s="59"/>
      <c r="U453" s="59"/>
      <c r="V453" s="59"/>
      <c r="W453" s="59"/>
      <c r="X453" s="59"/>
      <c r="Y453" s="59"/>
      <c r="Z453" s="59"/>
    </row>
    <row r="454" spans="1:26" ht="15" x14ac:dyDescent="0.25">
      <c r="A454" s="57">
        <f t="shared" si="109"/>
        <v>42005</v>
      </c>
      <c r="B454" s="58" t="s">
        <v>4</v>
      </c>
      <c r="O454" s="194"/>
      <c r="P454" s="59"/>
      <c r="Q454" s="59"/>
      <c r="R454" s="194"/>
      <c r="S454" s="59"/>
      <c r="T454" s="59"/>
      <c r="U454" s="59"/>
      <c r="V454" s="59"/>
      <c r="W454" s="59"/>
      <c r="X454" s="59"/>
      <c r="Y454" s="59"/>
      <c r="Z454" s="59"/>
    </row>
    <row r="455" spans="1:26" ht="15" x14ac:dyDescent="0.25">
      <c r="A455" s="57">
        <f t="shared" si="109"/>
        <v>42012</v>
      </c>
      <c r="B455" s="58" t="s">
        <v>4</v>
      </c>
      <c r="O455" s="194"/>
      <c r="P455" s="59"/>
      <c r="Q455" s="59"/>
      <c r="R455" s="194"/>
      <c r="S455" s="59"/>
      <c r="T455" s="59"/>
      <c r="U455" s="59"/>
      <c r="V455" s="59"/>
      <c r="W455" s="59"/>
      <c r="X455" s="59"/>
      <c r="Y455" s="59"/>
      <c r="Z455" s="59"/>
    </row>
    <row r="456" spans="1:26" ht="15" x14ac:dyDescent="0.25">
      <c r="A456" s="57">
        <f t="shared" si="109"/>
        <v>42019</v>
      </c>
      <c r="B456" s="58" t="s">
        <v>4</v>
      </c>
      <c r="O456" s="194"/>
      <c r="P456" s="59"/>
      <c r="Q456" s="59"/>
      <c r="R456" s="194"/>
      <c r="S456" s="59"/>
      <c r="T456" s="59"/>
      <c r="U456" s="59"/>
      <c r="V456" s="59"/>
      <c r="W456" s="59"/>
      <c r="X456" s="59"/>
      <c r="Y456" s="59"/>
      <c r="Z456" s="59"/>
    </row>
    <row r="457" spans="1:26" ht="15" x14ac:dyDescent="0.25">
      <c r="A457" s="57">
        <f t="shared" si="109"/>
        <v>42026</v>
      </c>
      <c r="B457" s="58" t="s">
        <v>4</v>
      </c>
      <c r="O457" s="194"/>
      <c r="P457" s="59"/>
      <c r="Q457" s="59"/>
      <c r="R457" s="194"/>
      <c r="S457" s="59"/>
      <c r="T457" s="59"/>
      <c r="U457" s="59"/>
      <c r="V457" s="59"/>
      <c r="W457" s="59"/>
      <c r="X457" s="59"/>
      <c r="Y457" s="59"/>
      <c r="Z457" s="59"/>
    </row>
    <row r="458" spans="1:26" ht="15" x14ac:dyDescent="0.25">
      <c r="A458" s="57">
        <f t="shared" si="109"/>
        <v>42033</v>
      </c>
      <c r="B458" s="58" t="s">
        <v>4</v>
      </c>
      <c r="O458" s="194"/>
      <c r="P458" s="59"/>
      <c r="Q458" s="59"/>
      <c r="R458" s="194"/>
      <c r="S458" s="59"/>
      <c r="T458" s="59"/>
      <c r="U458" s="59"/>
      <c r="V458" s="59"/>
      <c r="W458" s="59"/>
      <c r="X458" s="59"/>
      <c r="Y458" s="59"/>
      <c r="Z458" s="59"/>
    </row>
    <row r="459" spans="1:26" ht="15" x14ac:dyDescent="0.25">
      <c r="A459" s="57">
        <f t="shared" si="109"/>
        <v>42040</v>
      </c>
      <c r="B459" s="58" t="s">
        <v>4</v>
      </c>
      <c r="O459" s="194"/>
      <c r="P459" s="59"/>
      <c r="Q459" s="59"/>
      <c r="R459" s="194"/>
      <c r="S459" s="59"/>
      <c r="T459" s="59"/>
      <c r="U459" s="59"/>
      <c r="V459" s="59"/>
      <c r="W459" s="59"/>
      <c r="X459" s="59"/>
      <c r="Y459" s="59"/>
      <c r="Z459" s="59"/>
    </row>
    <row r="460" spans="1:26" ht="15" x14ac:dyDescent="0.25">
      <c r="A460" s="57">
        <f t="shared" si="109"/>
        <v>42047</v>
      </c>
      <c r="B460" s="58" t="s">
        <v>4</v>
      </c>
      <c r="O460" s="194"/>
      <c r="P460" s="59"/>
      <c r="Q460" s="59"/>
      <c r="R460" s="194"/>
      <c r="S460" s="59"/>
      <c r="T460" s="59"/>
      <c r="U460" s="59"/>
      <c r="V460" s="59"/>
      <c r="W460" s="59"/>
      <c r="X460" s="59"/>
      <c r="Y460" s="59"/>
      <c r="Z460" s="59"/>
    </row>
    <row r="461" spans="1:26" ht="15" x14ac:dyDescent="0.25">
      <c r="A461" s="57">
        <f t="shared" si="109"/>
        <v>42054</v>
      </c>
      <c r="B461" s="58" t="s">
        <v>4</v>
      </c>
      <c r="O461" s="194"/>
      <c r="P461" s="59"/>
      <c r="Q461" s="59"/>
      <c r="R461" s="194"/>
      <c r="S461" s="59"/>
      <c r="T461" s="59"/>
      <c r="U461" s="59"/>
      <c r="V461" s="59"/>
      <c r="W461" s="59"/>
      <c r="X461" s="59"/>
      <c r="Y461" s="59"/>
      <c r="Z461" s="59"/>
    </row>
    <row r="462" spans="1:26" ht="15" x14ac:dyDescent="0.25">
      <c r="A462" s="57">
        <f t="shared" si="109"/>
        <v>42061</v>
      </c>
      <c r="B462" s="58" t="s">
        <v>4</v>
      </c>
      <c r="O462" s="194"/>
      <c r="P462" s="59"/>
      <c r="Q462" s="59"/>
      <c r="R462" s="196"/>
      <c r="S462" s="59"/>
      <c r="T462" s="59"/>
      <c r="U462" s="59"/>
      <c r="V462" s="59"/>
      <c r="W462" s="59"/>
      <c r="X462" s="59"/>
      <c r="Y462" s="59"/>
      <c r="Z462" s="59"/>
    </row>
    <row r="463" spans="1:26" ht="15" x14ac:dyDescent="0.25">
      <c r="A463" s="57">
        <f t="shared" si="109"/>
        <v>42068</v>
      </c>
      <c r="B463" s="58" t="s">
        <v>4</v>
      </c>
      <c r="O463" s="194"/>
      <c r="P463" s="59"/>
      <c r="Q463" s="59"/>
      <c r="R463" s="196"/>
      <c r="S463" s="59"/>
      <c r="T463" s="59"/>
      <c r="U463" s="59"/>
      <c r="V463" s="59"/>
      <c r="W463" s="59"/>
      <c r="X463" s="59"/>
      <c r="Y463" s="59"/>
      <c r="Z463" s="59"/>
    </row>
    <row r="464" spans="1:26" ht="15" x14ac:dyDescent="0.25">
      <c r="A464" s="57">
        <f t="shared" si="109"/>
        <v>42075</v>
      </c>
      <c r="B464" s="58" t="s">
        <v>4</v>
      </c>
      <c r="O464" s="194"/>
      <c r="P464" s="59"/>
      <c r="Q464" s="59"/>
      <c r="R464" s="194"/>
      <c r="S464" s="59"/>
      <c r="T464" s="59"/>
      <c r="U464" s="59"/>
      <c r="V464" s="59"/>
      <c r="W464" s="59"/>
      <c r="X464" s="59"/>
      <c r="Y464" s="59"/>
      <c r="Z464" s="59"/>
    </row>
    <row r="465" spans="1:26" ht="15" x14ac:dyDescent="0.25">
      <c r="A465" s="57">
        <f t="shared" si="109"/>
        <v>42082</v>
      </c>
      <c r="B465" s="58" t="s">
        <v>4</v>
      </c>
      <c r="O465" s="194"/>
      <c r="P465" s="59"/>
      <c r="Q465" s="59"/>
      <c r="R465" s="194"/>
      <c r="S465" s="59"/>
      <c r="T465" s="59"/>
      <c r="U465" s="59"/>
      <c r="V465" s="59"/>
      <c r="W465" s="59"/>
      <c r="X465" s="59"/>
      <c r="Y465" s="59"/>
      <c r="Z465" s="59"/>
    </row>
    <row r="466" spans="1:26" ht="15" x14ac:dyDescent="0.25">
      <c r="A466" s="57">
        <f t="shared" si="109"/>
        <v>42089</v>
      </c>
      <c r="B466" s="58" t="s">
        <v>4</v>
      </c>
      <c r="O466" s="194"/>
      <c r="P466" s="59"/>
      <c r="Q466" s="59"/>
      <c r="R466" s="194"/>
      <c r="S466" s="59"/>
      <c r="T466" s="59"/>
      <c r="U466" s="59"/>
      <c r="V466" s="59"/>
      <c r="W466" s="59"/>
      <c r="X466" s="59"/>
      <c r="Y466" s="59"/>
      <c r="Z466" s="59"/>
    </row>
    <row r="467" spans="1:26" ht="15" x14ac:dyDescent="0.25">
      <c r="A467" s="57">
        <f t="shared" si="109"/>
        <v>42096</v>
      </c>
      <c r="B467" s="58" t="s">
        <v>4</v>
      </c>
      <c r="O467" s="194"/>
      <c r="P467" s="59"/>
      <c r="Q467" s="59"/>
      <c r="R467" s="194"/>
      <c r="S467" s="59"/>
      <c r="T467" s="59"/>
      <c r="U467" s="59"/>
      <c r="V467" s="59"/>
      <c r="W467" s="59"/>
      <c r="X467" s="59"/>
      <c r="Y467" s="59"/>
      <c r="Z467" s="59"/>
    </row>
    <row r="468" spans="1:26" ht="15" x14ac:dyDescent="0.25">
      <c r="A468" s="57">
        <f t="shared" si="109"/>
        <v>42103</v>
      </c>
      <c r="B468" s="58" t="s">
        <v>4</v>
      </c>
      <c r="O468" s="194"/>
      <c r="P468" s="59"/>
      <c r="Q468" s="59"/>
      <c r="R468" s="194"/>
      <c r="S468" s="59"/>
      <c r="T468" s="59"/>
      <c r="U468" s="59"/>
      <c r="V468" s="59"/>
      <c r="W468" s="59"/>
      <c r="X468" s="59"/>
      <c r="Y468" s="59"/>
      <c r="Z468" s="59"/>
    </row>
    <row r="469" spans="1:26" ht="15" x14ac:dyDescent="0.25">
      <c r="A469" s="57">
        <f t="shared" si="109"/>
        <v>42110</v>
      </c>
      <c r="B469" s="58" t="s">
        <v>4</v>
      </c>
      <c r="O469" s="194"/>
      <c r="P469" s="59"/>
      <c r="Q469" s="59"/>
      <c r="R469" s="194"/>
      <c r="S469" s="59"/>
      <c r="T469" s="59"/>
      <c r="U469" s="59"/>
      <c r="V469" s="59"/>
      <c r="W469" s="59"/>
      <c r="X469" s="59"/>
      <c r="Y469" s="59"/>
      <c r="Z469" s="59"/>
    </row>
    <row r="470" spans="1:26" ht="15" x14ac:dyDescent="0.25">
      <c r="A470" s="57">
        <f t="shared" si="109"/>
        <v>42117</v>
      </c>
      <c r="B470" s="58" t="s">
        <v>4</v>
      </c>
      <c r="O470" s="194"/>
      <c r="P470" s="59"/>
      <c r="Q470" s="59"/>
      <c r="R470" s="194"/>
      <c r="S470" s="59"/>
      <c r="T470" s="59"/>
      <c r="U470" s="59"/>
      <c r="V470" s="59"/>
      <c r="W470" s="59"/>
      <c r="X470" s="59"/>
      <c r="Y470" s="59"/>
      <c r="Z470" s="59"/>
    </row>
    <row r="471" spans="1:26" ht="15" x14ac:dyDescent="0.25">
      <c r="A471" s="57">
        <f t="shared" si="109"/>
        <v>42124</v>
      </c>
      <c r="B471" s="58" t="s">
        <v>4</v>
      </c>
      <c r="O471" s="194"/>
      <c r="P471" s="59"/>
      <c r="Q471" s="59"/>
      <c r="R471" s="194"/>
      <c r="S471" s="59"/>
      <c r="T471" s="59"/>
      <c r="U471" s="59"/>
      <c r="V471" s="59"/>
      <c r="W471" s="59"/>
      <c r="X471" s="59"/>
      <c r="Y471" s="59"/>
      <c r="Z471" s="59"/>
    </row>
    <row r="472" spans="1:26" ht="15" x14ac:dyDescent="0.25">
      <c r="A472" s="57">
        <f t="shared" si="109"/>
        <v>42131</v>
      </c>
      <c r="B472" s="58" t="s">
        <v>4</v>
      </c>
      <c r="O472" s="194"/>
      <c r="P472" s="59"/>
      <c r="Q472" s="59"/>
      <c r="R472" s="194"/>
      <c r="S472" s="59"/>
      <c r="T472" s="59"/>
      <c r="U472" s="59"/>
      <c r="V472" s="59"/>
      <c r="W472" s="59"/>
      <c r="X472" s="59"/>
      <c r="Y472" s="59"/>
      <c r="Z472" s="59"/>
    </row>
    <row r="473" spans="1:26" ht="15" x14ac:dyDescent="0.35">
      <c r="A473" s="57">
        <f t="shared" si="109"/>
        <v>42138</v>
      </c>
      <c r="B473" s="58" t="s">
        <v>4</v>
      </c>
      <c r="O473" s="194"/>
      <c r="P473" s="59"/>
      <c r="Q473" s="59"/>
      <c r="R473" s="210"/>
      <c r="S473" s="59"/>
      <c r="T473" s="59"/>
      <c r="U473" s="59"/>
      <c r="V473" s="59"/>
      <c r="W473" s="59"/>
      <c r="X473" s="59"/>
      <c r="Y473" s="59"/>
      <c r="Z473" s="59"/>
    </row>
    <row r="474" spans="1:26" ht="15" x14ac:dyDescent="0.25">
      <c r="A474" s="57">
        <f t="shared" si="109"/>
        <v>42145</v>
      </c>
      <c r="B474" s="58" t="s">
        <v>4</v>
      </c>
      <c r="O474" s="194"/>
      <c r="P474" s="59"/>
      <c r="Q474" s="59"/>
      <c r="R474" s="59"/>
      <c r="S474" s="59"/>
      <c r="T474" s="59"/>
      <c r="U474" s="59"/>
      <c r="V474" s="59"/>
      <c r="W474" s="59"/>
      <c r="X474" s="59"/>
      <c r="Y474" s="59"/>
      <c r="Z474" s="59"/>
    </row>
    <row r="475" spans="1:26" ht="15" x14ac:dyDescent="0.25">
      <c r="A475" s="57">
        <f t="shared" si="109"/>
        <v>42152</v>
      </c>
      <c r="B475" s="58" t="s">
        <v>4</v>
      </c>
      <c r="O475" s="194"/>
      <c r="P475" s="59"/>
      <c r="Q475" s="59"/>
      <c r="R475" s="59"/>
      <c r="S475" s="59"/>
      <c r="T475" s="59"/>
      <c r="U475" s="59"/>
      <c r="V475" s="59"/>
      <c r="W475" s="59"/>
      <c r="X475" s="59"/>
      <c r="Y475" s="59"/>
      <c r="Z475" s="59"/>
    </row>
    <row r="476" spans="1:26" ht="15" x14ac:dyDescent="0.25">
      <c r="A476" s="57">
        <f t="shared" si="109"/>
        <v>42159</v>
      </c>
      <c r="B476" s="58" t="s">
        <v>4</v>
      </c>
      <c r="O476" s="194"/>
      <c r="P476" s="59"/>
      <c r="Q476" s="59"/>
      <c r="R476" s="59"/>
      <c r="S476" s="59"/>
      <c r="T476" s="59"/>
      <c r="U476" s="59"/>
      <c r="V476" s="59"/>
      <c r="W476" s="59"/>
      <c r="X476" s="59"/>
      <c r="Y476" s="59"/>
      <c r="Z476" s="59"/>
    </row>
    <row r="477" spans="1:26" ht="15" x14ac:dyDescent="0.25">
      <c r="A477" s="57">
        <f t="shared" si="109"/>
        <v>42166</v>
      </c>
      <c r="B477" s="58" t="s">
        <v>4</v>
      </c>
      <c r="O477" s="194"/>
      <c r="P477" s="59"/>
      <c r="Q477" s="59"/>
      <c r="R477" s="59"/>
      <c r="S477" s="59"/>
      <c r="T477" s="59"/>
      <c r="U477" s="59"/>
      <c r="V477" s="59"/>
      <c r="W477" s="59"/>
      <c r="X477" s="59"/>
      <c r="Y477" s="59"/>
      <c r="Z477" s="59"/>
    </row>
    <row r="478" spans="1:26" ht="15" x14ac:dyDescent="0.25">
      <c r="A478" s="57">
        <f t="shared" si="109"/>
        <v>42173</v>
      </c>
      <c r="B478" s="58" t="s">
        <v>4</v>
      </c>
      <c r="O478" s="194"/>
      <c r="P478" s="59"/>
      <c r="Q478" s="59"/>
      <c r="R478" s="59"/>
      <c r="S478" s="59"/>
      <c r="T478" s="59"/>
      <c r="U478" s="59"/>
      <c r="V478" s="59"/>
      <c r="W478" s="59"/>
      <c r="X478" s="59"/>
      <c r="Y478" s="59"/>
      <c r="Z478" s="59"/>
    </row>
    <row r="479" spans="1:26" ht="15" x14ac:dyDescent="0.25">
      <c r="A479" s="57">
        <f t="shared" si="109"/>
        <v>42180</v>
      </c>
      <c r="B479" s="58" t="s">
        <v>4</v>
      </c>
      <c r="O479" s="194"/>
      <c r="P479" s="59"/>
      <c r="Q479" s="59"/>
      <c r="R479" s="59"/>
      <c r="S479" s="59"/>
      <c r="T479" s="59"/>
      <c r="U479" s="59"/>
      <c r="V479" s="59"/>
      <c r="W479" s="59"/>
      <c r="X479" s="59"/>
      <c r="Y479" s="59"/>
      <c r="Z479" s="59"/>
    </row>
    <row r="480" spans="1:26" ht="15" x14ac:dyDescent="0.25">
      <c r="A480" s="57">
        <f t="shared" si="109"/>
        <v>42187</v>
      </c>
      <c r="B480" s="58" t="s">
        <v>4</v>
      </c>
      <c r="O480" s="194"/>
      <c r="P480" s="59"/>
      <c r="Q480" s="59"/>
      <c r="R480" s="59"/>
      <c r="S480" s="59"/>
      <c r="T480" s="59"/>
      <c r="U480" s="59"/>
      <c r="V480" s="59"/>
      <c r="W480" s="59"/>
      <c r="X480" s="59"/>
      <c r="Y480" s="59"/>
      <c r="Z480" s="59"/>
    </row>
    <row r="481" spans="1:26" ht="15" x14ac:dyDescent="0.25">
      <c r="A481" s="57">
        <f t="shared" si="109"/>
        <v>42194</v>
      </c>
      <c r="B481" s="58" t="s">
        <v>4</v>
      </c>
      <c r="O481" s="194"/>
      <c r="P481" s="59"/>
      <c r="Q481" s="59"/>
      <c r="R481" s="59"/>
      <c r="S481" s="59"/>
      <c r="T481" s="59"/>
      <c r="U481" s="59"/>
      <c r="V481" s="59"/>
      <c r="W481" s="59"/>
      <c r="X481" s="59"/>
      <c r="Y481" s="59"/>
      <c r="Z481" s="59"/>
    </row>
    <row r="482" spans="1:26" ht="15" x14ac:dyDescent="0.25">
      <c r="A482" s="57">
        <f t="shared" si="109"/>
        <v>42201</v>
      </c>
      <c r="B482" s="58" t="s">
        <v>4</v>
      </c>
      <c r="O482" s="194"/>
      <c r="P482" s="59"/>
      <c r="Q482" s="59"/>
      <c r="R482" s="59"/>
      <c r="S482" s="59"/>
      <c r="T482" s="59"/>
      <c r="U482" s="59"/>
      <c r="V482" s="59"/>
      <c r="W482" s="59"/>
      <c r="X482" s="59"/>
      <c r="Y482" s="59"/>
      <c r="Z482" s="59"/>
    </row>
    <row r="483" spans="1:26" x14ac:dyDescent="0.25">
      <c r="A483" s="57">
        <f t="shared" si="109"/>
        <v>42208</v>
      </c>
      <c r="B483" s="58" t="s">
        <v>4</v>
      </c>
      <c r="O483" s="59"/>
      <c r="P483" s="59"/>
      <c r="Q483" s="59"/>
      <c r="R483" s="59"/>
      <c r="S483" s="59"/>
      <c r="T483" s="59"/>
      <c r="U483" s="59"/>
      <c r="V483" s="59"/>
      <c r="W483" s="59"/>
      <c r="X483" s="59"/>
      <c r="Y483" s="59"/>
      <c r="Z483" s="59"/>
    </row>
    <row r="484" spans="1:26" x14ac:dyDescent="0.25">
      <c r="A484" s="57">
        <f t="shared" si="109"/>
        <v>42215</v>
      </c>
      <c r="B484" s="58" t="s">
        <v>4</v>
      </c>
      <c r="O484" s="59"/>
      <c r="P484" s="59"/>
      <c r="Q484" s="59"/>
      <c r="R484" s="59"/>
      <c r="S484" s="59"/>
      <c r="T484" s="59"/>
      <c r="U484" s="59"/>
      <c r="V484" s="59"/>
      <c r="W484" s="59"/>
      <c r="X484" s="59"/>
      <c r="Y484" s="59"/>
      <c r="Z484" s="59"/>
    </row>
    <row r="485" spans="1:26" x14ac:dyDescent="0.25">
      <c r="A485" s="57">
        <f t="shared" si="109"/>
        <v>42222</v>
      </c>
      <c r="B485" s="58" t="s">
        <v>4</v>
      </c>
      <c r="O485" s="59"/>
      <c r="P485" s="59"/>
      <c r="Q485" s="59"/>
      <c r="R485" s="59"/>
      <c r="S485" s="59"/>
      <c r="T485" s="59"/>
      <c r="U485" s="59"/>
      <c r="V485" s="59"/>
      <c r="W485" s="59"/>
      <c r="X485" s="59"/>
      <c r="Y485" s="59"/>
      <c r="Z485" s="59"/>
    </row>
    <row r="486" spans="1:26" x14ac:dyDescent="0.25">
      <c r="A486" s="57">
        <f t="shared" si="109"/>
        <v>42229</v>
      </c>
      <c r="B486" s="58" t="s">
        <v>4</v>
      </c>
      <c r="O486" s="59"/>
      <c r="P486" s="59"/>
      <c r="Q486" s="59"/>
      <c r="R486" s="59"/>
      <c r="S486" s="59"/>
      <c r="T486" s="59"/>
      <c r="U486" s="59"/>
      <c r="V486" s="59"/>
      <c r="W486" s="59"/>
      <c r="X486" s="59"/>
      <c r="Y486" s="59"/>
      <c r="Z486" s="59"/>
    </row>
    <row r="487" spans="1:26" x14ac:dyDescent="0.25">
      <c r="A487" s="57">
        <f t="shared" si="109"/>
        <v>42236</v>
      </c>
      <c r="B487" s="58" t="s">
        <v>4</v>
      </c>
      <c r="O487" s="59"/>
      <c r="P487" s="59"/>
      <c r="Q487" s="59"/>
      <c r="R487" s="59"/>
      <c r="S487" s="59"/>
      <c r="T487" s="59"/>
      <c r="U487" s="59"/>
      <c r="V487" s="59"/>
      <c r="W487" s="59"/>
      <c r="X487" s="59"/>
      <c r="Y487" s="59"/>
      <c r="Z487" s="59"/>
    </row>
    <row r="488" spans="1:26" x14ac:dyDescent="0.25">
      <c r="A488" s="57">
        <f t="shared" si="109"/>
        <v>42243</v>
      </c>
      <c r="B488" s="58" t="s">
        <v>4</v>
      </c>
      <c r="O488" s="59"/>
      <c r="P488" s="59"/>
      <c r="Q488" s="59"/>
      <c r="R488" s="59"/>
      <c r="S488" s="59"/>
      <c r="T488" s="59"/>
      <c r="U488" s="59"/>
      <c r="V488" s="59"/>
      <c r="W488" s="59"/>
      <c r="X488" s="59"/>
      <c r="Y488" s="59"/>
      <c r="Z488" s="59"/>
    </row>
    <row r="489" spans="1:26" x14ac:dyDescent="0.25">
      <c r="A489" s="57">
        <f t="shared" si="109"/>
        <v>42250</v>
      </c>
      <c r="B489" s="58" t="s">
        <v>4</v>
      </c>
      <c r="O489" s="59"/>
      <c r="P489" s="59"/>
      <c r="Q489" s="59"/>
      <c r="R489" s="59"/>
      <c r="S489" s="59"/>
      <c r="T489" s="59"/>
      <c r="U489" s="59"/>
      <c r="V489" s="59"/>
      <c r="W489" s="59"/>
      <c r="X489" s="59"/>
      <c r="Y489" s="59"/>
      <c r="Z489" s="59"/>
    </row>
    <row r="490" spans="1:26" x14ac:dyDescent="0.25">
      <c r="A490" s="57">
        <f t="shared" si="109"/>
        <v>42257</v>
      </c>
      <c r="B490" s="58" t="s">
        <v>4</v>
      </c>
      <c r="O490" s="59"/>
      <c r="P490" s="59"/>
      <c r="Q490" s="59"/>
      <c r="R490" s="59"/>
      <c r="S490" s="59"/>
      <c r="T490" s="59"/>
      <c r="U490" s="59"/>
      <c r="V490" s="59"/>
      <c r="W490" s="59"/>
      <c r="X490" s="59"/>
      <c r="Y490" s="59"/>
      <c r="Z490" s="59"/>
    </row>
    <row r="491" spans="1:26" x14ac:dyDescent="0.25">
      <c r="A491" s="57">
        <f t="shared" si="109"/>
        <v>42264</v>
      </c>
      <c r="B491" s="58" t="s">
        <v>4</v>
      </c>
      <c r="O491" s="59"/>
      <c r="P491" s="59"/>
      <c r="Q491" s="59"/>
      <c r="R491" s="59"/>
      <c r="S491" s="59"/>
      <c r="T491" s="59"/>
      <c r="U491" s="59"/>
      <c r="V491" s="59"/>
      <c r="W491" s="59"/>
      <c r="X491" s="59"/>
      <c r="Y491" s="59"/>
      <c r="Z491" s="59"/>
    </row>
    <row r="492" spans="1:26" x14ac:dyDescent="0.25">
      <c r="A492" s="57">
        <f t="shared" si="109"/>
        <v>42271</v>
      </c>
      <c r="B492" s="58" t="s">
        <v>4</v>
      </c>
      <c r="O492" s="59"/>
      <c r="P492" s="59"/>
      <c r="Q492" s="59"/>
      <c r="R492" s="59"/>
      <c r="S492" s="59"/>
      <c r="T492" s="59"/>
      <c r="U492" s="59"/>
      <c r="V492" s="59"/>
      <c r="W492" s="59"/>
      <c r="X492" s="59"/>
      <c r="Y492" s="59"/>
      <c r="Z492" s="59"/>
    </row>
    <row r="493" spans="1:26" x14ac:dyDescent="0.25">
      <c r="A493" s="57">
        <f t="shared" si="109"/>
        <v>42278</v>
      </c>
      <c r="B493" s="58" t="s">
        <v>4</v>
      </c>
      <c r="O493" s="59"/>
      <c r="P493" s="59"/>
      <c r="Q493" s="59"/>
      <c r="R493" s="59"/>
      <c r="S493" s="59"/>
      <c r="T493" s="59"/>
      <c r="U493" s="59"/>
      <c r="V493" s="59"/>
      <c r="W493" s="59"/>
      <c r="X493" s="59"/>
      <c r="Y493" s="59"/>
      <c r="Z493" s="59"/>
    </row>
    <row r="494" spans="1:26" x14ac:dyDescent="0.25">
      <c r="A494" s="57">
        <f t="shared" si="109"/>
        <v>42285</v>
      </c>
      <c r="B494" s="58" t="s">
        <v>4</v>
      </c>
      <c r="O494" s="59"/>
      <c r="P494" s="59"/>
      <c r="Q494" s="59"/>
      <c r="R494" s="59"/>
      <c r="S494" s="59"/>
      <c r="T494" s="59"/>
      <c r="U494" s="59"/>
      <c r="V494" s="59"/>
      <c r="W494" s="59"/>
      <c r="X494" s="59"/>
      <c r="Y494" s="59"/>
      <c r="Z494" s="59"/>
    </row>
    <row r="495" spans="1:26" x14ac:dyDescent="0.25">
      <c r="A495" s="57">
        <f t="shared" si="109"/>
        <v>42292</v>
      </c>
      <c r="B495" s="58" t="s">
        <v>4</v>
      </c>
      <c r="O495" s="59"/>
      <c r="P495" s="59"/>
      <c r="Q495" s="59"/>
      <c r="R495" s="59"/>
      <c r="S495" s="59"/>
      <c r="T495" s="59"/>
      <c r="U495" s="59"/>
      <c r="V495" s="59"/>
      <c r="W495" s="59"/>
      <c r="X495" s="59"/>
      <c r="Y495" s="59"/>
      <c r="Z495" s="59"/>
    </row>
    <row r="496" spans="1:26" x14ac:dyDescent="0.25">
      <c r="A496" s="57">
        <f t="shared" si="109"/>
        <v>42299</v>
      </c>
      <c r="B496" s="58" t="s">
        <v>4</v>
      </c>
      <c r="O496" s="59"/>
      <c r="P496" s="59"/>
      <c r="Q496" s="59"/>
      <c r="R496" s="59"/>
      <c r="S496" s="59"/>
      <c r="T496" s="59"/>
      <c r="U496" s="59"/>
      <c r="V496" s="59"/>
      <c r="W496" s="59"/>
      <c r="X496" s="59"/>
      <c r="Y496" s="59"/>
      <c r="Z496" s="59"/>
    </row>
    <row r="497" spans="1:26" x14ac:dyDescent="0.25">
      <c r="A497" s="57">
        <f t="shared" si="109"/>
        <v>42306</v>
      </c>
      <c r="B497" s="58" t="s">
        <v>4</v>
      </c>
      <c r="O497" s="59"/>
      <c r="P497" s="59"/>
      <c r="Q497" s="59"/>
      <c r="R497" s="59"/>
      <c r="S497" s="59"/>
      <c r="T497" s="59"/>
      <c r="U497" s="59"/>
      <c r="V497" s="59"/>
      <c r="W497" s="59"/>
      <c r="X497" s="59"/>
      <c r="Y497" s="59"/>
      <c r="Z497" s="59"/>
    </row>
    <row r="498" spans="1:26" x14ac:dyDescent="0.25">
      <c r="A498" s="57">
        <f t="shared" si="109"/>
        <v>42313</v>
      </c>
      <c r="B498" s="58" t="s">
        <v>4</v>
      </c>
      <c r="O498" s="59"/>
      <c r="P498" s="59"/>
      <c r="Q498" s="59"/>
      <c r="R498" s="59"/>
      <c r="S498" s="59"/>
      <c r="T498" s="59"/>
      <c r="U498" s="59"/>
      <c r="V498" s="59"/>
      <c r="W498" s="59"/>
      <c r="X498" s="59"/>
      <c r="Y498" s="59"/>
      <c r="Z498" s="59"/>
    </row>
    <row r="499" spans="1:26" x14ac:dyDescent="0.25">
      <c r="A499" s="57">
        <f t="shared" si="109"/>
        <v>42320</v>
      </c>
      <c r="B499" s="58" t="s">
        <v>4</v>
      </c>
      <c r="O499" s="59"/>
      <c r="P499" s="59"/>
      <c r="Q499" s="59"/>
      <c r="R499" s="59"/>
      <c r="S499" s="59"/>
      <c r="T499" s="59"/>
      <c r="U499" s="59"/>
      <c r="V499" s="59"/>
      <c r="W499" s="59"/>
      <c r="X499" s="59"/>
      <c r="Y499" s="59"/>
      <c r="Z499" s="59"/>
    </row>
    <row r="500" spans="1:26" x14ac:dyDescent="0.25">
      <c r="A500" s="57">
        <f t="shared" si="109"/>
        <v>42327</v>
      </c>
      <c r="B500" s="58" t="s">
        <v>4</v>
      </c>
      <c r="O500" s="59"/>
      <c r="P500" s="59"/>
      <c r="Q500" s="59"/>
      <c r="R500" s="59"/>
      <c r="S500" s="59"/>
      <c r="T500" s="59"/>
      <c r="U500" s="59"/>
      <c r="V500" s="59"/>
      <c r="W500" s="59"/>
      <c r="X500" s="59"/>
      <c r="Y500" s="59"/>
      <c r="Z500" s="59"/>
    </row>
    <row r="501" spans="1:26" x14ac:dyDescent="0.25">
      <c r="A501" s="57">
        <f t="shared" si="109"/>
        <v>42334</v>
      </c>
      <c r="B501" s="58" t="s">
        <v>4</v>
      </c>
      <c r="O501" s="59"/>
      <c r="P501" s="59"/>
      <c r="Q501" s="59"/>
      <c r="R501" s="59"/>
      <c r="S501" s="59"/>
      <c r="T501" s="59"/>
      <c r="U501" s="59"/>
      <c r="V501" s="59"/>
      <c r="W501" s="59"/>
      <c r="X501" s="59"/>
      <c r="Y501" s="59"/>
      <c r="Z501" s="59"/>
    </row>
    <row r="502" spans="1:26" x14ac:dyDescent="0.25">
      <c r="A502" s="57">
        <f t="shared" si="109"/>
        <v>42341</v>
      </c>
      <c r="B502" s="58" t="s">
        <v>4</v>
      </c>
      <c r="O502" s="59"/>
      <c r="P502" s="59"/>
      <c r="Q502" s="59"/>
      <c r="R502" s="59"/>
      <c r="S502" s="59"/>
      <c r="T502" s="59"/>
      <c r="U502" s="59"/>
      <c r="V502" s="59"/>
      <c r="W502" s="59"/>
      <c r="X502" s="59"/>
      <c r="Y502" s="59"/>
      <c r="Z502" s="59"/>
    </row>
    <row r="503" spans="1:26" x14ac:dyDescent="0.25">
      <c r="A503" s="57">
        <f t="shared" si="109"/>
        <v>42348</v>
      </c>
      <c r="B503" s="58" t="s">
        <v>4</v>
      </c>
      <c r="O503" s="59"/>
      <c r="P503" s="59"/>
      <c r="Q503" s="59"/>
      <c r="R503" s="59"/>
      <c r="S503" s="59"/>
      <c r="T503" s="59"/>
      <c r="U503" s="59"/>
      <c r="V503" s="59"/>
      <c r="W503" s="59"/>
      <c r="X503" s="59"/>
      <c r="Y503" s="59"/>
      <c r="Z503" s="59"/>
    </row>
    <row r="504" spans="1:26" x14ac:dyDescent="0.25">
      <c r="A504" s="57">
        <f t="shared" si="109"/>
        <v>42355</v>
      </c>
      <c r="B504" s="58" t="s">
        <v>4</v>
      </c>
      <c r="O504" s="59"/>
      <c r="P504" s="59"/>
      <c r="Q504" s="59"/>
      <c r="R504" s="59"/>
      <c r="S504" s="59"/>
      <c r="T504" s="59"/>
      <c r="U504" s="59"/>
      <c r="V504" s="59"/>
      <c r="W504" s="59"/>
      <c r="X504" s="59"/>
      <c r="Y504" s="59"/>
      <c r="Z504" s="59"/>
    </row>
    <row r="505" spans="1:26" x14ac:dyDescent="0.25">
      <c r="A505" s="57">
        <f t="shared" si="109"/>
        <v>42362</v>
      </c>
      <c r="B505" s="58" t="s">
        <v>4</v>
      </c>
      <c r="O505" s="59"/>
      <c r="P505" s="59"/>
      <c r="Q505" s="59"/>
      <c r="R505" s="59"/>
      <c r="S505" s="59"/>
      <c r="T505" s="59"/>
      <c r="U505" s="59"/>
      <c r="V505" s="59"/>
      <c r="W505" s="59"/>
      <c r="X505" s="59"/>
      <c r="Y505" s="59"/>
      <c r="Z505" s="59"/>
    </row>
    <row r="506" spans="1:26" x14ac:dyDescent="0.25">
      <c r="A506" s="57">
        <f t="shared" si="109"/>
        <v>42369</v>
      </c>
      <c r="B506" s="58" t="s">
        <v>4</v>
      </c>
      <c r="O506" s="59"/>
      <c r="P506" s="59"/>
      <c r="Q506" s="59"/>
      <c r="R506" s="59"/>
      <c r="S506" s="59"/>
      <c r="T506" s="59"/>
      <c r="U506" s="59"/>
      <c r="V506" s="59"/>
      <c r="W506" s="59"/>
      <c r="X506" s="59"/>
      <c r="Y506" s="59"/>
      <c r="Z506" s="59"/>
    </row>
    <row r="507" spans="1:26" x14ac:dyDescent="0.25">
      <c r="A507" s="57">
        <f t="shared" si="109"/>
        <v>42376</v>
      </c>
      <c r="B507" s="58" t="s">
        <v>4</v>
      </c>
      <c r="O507" s="59"/>
      <c r="P507" s="59"/>
      <c r="Q507" s="59"/>
      <c r="R507" s="59"/>
      <c r="S507" s="59"/>
      <c r="T507" s="59"/>
      <c r="U507" s="59"/>
      <c r="V507" s="59"/>
      <c r="W507" s="59"/>
      <c r="X507" s="59"/>
      <c r="Y507" s="59"/>
      <c r="Z507" s="59"/>
    </row>
    <row r="508" spans="1:26" x14ac:dyDescent="0.25">
      <c r="A508" s="57">
        <f t="shared" si="109"/>
        <v>42383</v>
      </c>
      <c r="B508" s="58" t="s">
        <v>4</v>
      </c>
      <c r="O508" s="59"/>
      <c r="P508" s="59"/>
      <c r="Q508" s="59"/>
      <c r="R508" s="59"/>
      <c r="S508" s="59"/>
      <c r="T508" s="59"/>
      <c r="U508" s="59"/>
      <c r="V508" s="59"/>
      <c r="W508" s="59"/>
      <c r="X508" s="59"/>
      <c r="Y508" s="59"/>
      <c r="Z508" s="59"/>
    </row>
    <row r="509" spans="1:26" x14ac:dyDescent="0.25">
      <c r="A509" s="57">
        <f t="shared" si="109"/>
        <v>42390</v>
      </c>
      <c r="B509" s="58" t="s">
        <v>4</v>
      </c>
      <c r="O509" s="59"/>
      <c r="P509" s="59"/>
      <c r="Q509" s="59"/>
      <c r="R509" s="59"/>
      <c r="S509" s="59"/>
      <c r="T509" s="59"/>
      <c r="U509" s="59"/>
      <c r="V509" s="59"/>
      <c r="W509" s="59"/>
      <c r="X509" s="59"/>
      <c r="Y509" s="59"/>
      <c r="Z509" s="59"/>
    </row>
    <row r="510" spans="1:26" x14ac:dyDescent="0.25">
      <c r="A510" s="57">
        <f t="shared" si="109"/>
        <v>42397</v>
      </c>
      <c r="B510" s="58" t="s">
        <v>4</v>
      </c>
      <c r="O510" s="59"/>
      <c r="P510" s="59"/>
      <c r="Q510" s="59"/>
      <c r="R510" s="59"/>
      <c r="S510" s="59"/>
      <c r="T510" s="59"/>
      <c r="U510" s="59"/>
      <c r="V510" s="59"/>
      <c r="W510" s="59"/>
      <c r="X510" s="59"/>
      <c r="Y510" s="59"/>
      <c r="Z510" s="59"/>
    </row>
    <row r="511" spans="1:26" x14ac:dyDescent="0.25">
      <c r="A511" s="57">
        <f t="shared" si="109"/>
        <v>42404</v>
      </c>
      <c r="B511" s="58" t="s">
        <v>4</v>
      </c>
      <c r="O511" s="59"/>
      <c r="P511" s="59"/>
      <c r="Q511" s="59"/>
      <c r="R511" s="59"/>
      <c r="S511" s="59"/>
      <c r="T511" s="59"/>
      <c r="U511" s="59"/>
      <c r="V511" s="59"/>
      <c r="W511" s="59"/>
      <c r="X511" s="59"/>
      <c r="Y511" s="59"/>
      <c r="Z511" s="59"/>
    </row>
    <row r="512" spans="1:26" x14ac:dyDescent="0.25">
      <c r="A512" s="57">
        <f t="shared" si="109"/>
        <v>42411</v>
      </c>
      <c r="B512" s="58" t="s">
        <v>4</v>
      </c>
      <c r="O512" s="59"/>
      <c r="P512" s="59"/>
      <c r="Q512" s="59"/>
      <c r="R512" s="59"/>
      <c r="S512" s="59"/>
      <c r="T512" s="59"/>
      <c r="U512" s="59"/>
      <c r="V512" s="59"/>
      <c r="W512" s="59"/>
      <c r="X512" s="59"/>
      <c r="Y512" s="59"/>
      <c r="Z512" s="59"/>
    </row>
    <row r="513" spans="1:26" x14ac:dyDescent="0.25">
      <c r="A513" s="57">
        <f t="shared" si="109"/>
        <v>42418</v>
      </c>
      <c r="B513" s="58" t="s">
        <v>4</v>
      </c>
      <c r="O513" s="59"/>
      <c r="P513" s="59"/>
      <c r="Q513" s="59"/>
      <c r="R513" s="59"/>
      <c r="S513" s="59"/>
      <c r="T513" s="59"/>
      <c r="U513" s="59"/>
      <c r="V513" s="59"/>
      <c r="W513" s="59"/>
      <c r="X513" s="59"/>
      <c r="Y513" s="59"/>
      <c r="Z513" s="59"/>
    </row>
    <row r="514" spans="1:26" x14ac:dyDescent="0.25">
      <c r="A514" s="57">
        <f t="shared" si="109"/>
        <v>42425</v>
      </c>
      <c r="B514" s="58" t="s">
        <v>4</v>
      </c>
      <c r="O514" s="59"/>
      <c r="P514" s="59"/>
      <c r="Q514" s="59"/>
      <c r="R514" s="59"/>
      <c r="S514" s="59"/>
      <c r="T514" s="59"/>
      <c r="U514" s="59"/>
      <c r="V514" s="59"/>
      <c r="W514" s="59"/>
      <c r="X514" s="59"/>
      <c r="Y514" s="59"/>
      <c r="Z514" s="59"/>
    </row>
    <row r="515" spans="1:26" x14ac:dyDescent="0.25">
      <c r="A515" s="57">
        <f t="shared" si="109"/>
        <v>42432</v>
      </c>
      <c r="B515" s="58" t="s">
        <v>4</v>
      </c>
      <c r="O515" s="59"/>
      <c r="P515" s="59"/>
      <c r="Q515" s="59"/>
      <c r="R515" s="59"/>
      <c r="S515" s="59"/>
      <c r="T515" s="59"/>
      <c r="U515" s="59"/>
      <c r="V515" s="59"/>
      <c r="W515" s="59"/>
      <c r="X515" s="59"/>
      <c r="Y515" s="59"/>
      <c r="Z515" s="59"/>
    </row>
    <row r="516" spans="1:26" x14ac:dyDescent="0.25">
      <c r="A516" s="57">
        <f t="shared" ref="A516:A579" si="110">+A515+7</f>
        <v>42439</v>
      </c>
      <c r="B516" s="58" t="s">
        <v>4</v>
      </c>
      <c r="O516" s="59"/>
      <c r="P516" s="59"/>
      <c r="Q516" s="59"/>
      <c r="R516" s="59"/>
      <c r="S516" s="59"/>
      <c r="T516" s="59"/>
      <c r="U516" s="59"/>
      <c r="V516" s="59"/>
      <c r="W516" s="59"/>
      <c r="X516" s="59"/>
      <c r="Y516" s="59"/>
      <c r="Z516" s="59"/>
    </row>
    <row r="517" spans="1:26" x14ac:dyDescent="0.25">
      <c r="A517" s="57">
        <f t="shared" si="110"/>
        <v>42446</v>
      </c>
      <c r="B517" s="58" t="s">
        <v>4</v>
      </c>
      <c r="O517" s="59"/>
      <c r="P517" s="59"/>
      <c r="Q517" s="59"/>
      <c r="R517" s="59"/>
      <c r="S517" s="59"/>
      <c r="T517" s="59"/>
      <c r="U517" s="59"/>
      <c r="V517" s="59"/>
      <c r="W517" s="59"/>
      <c r="X517" s="59"/>
      <c r="Y517" s="59"/>
      <c r="Z517" s="59"/>
    </row>
    <row r="518" spans="1:26" x14ac:dyDescent="0.25">
      <c r="A518" s="57">
        <f t="shared" si="110"/>
        <v>42453</v>
      </c>
      <c r="B518" s="58" t="s">
        <v>4</v>
      </c>
      <c r="O518" s="59"/>
      <c r="P518" s="59"/>
      <c r="Q518" s="59"/>
      <c r="R518" s="59"/>
      <c r="S518" s="59"/>
      <c r="T518" s="59"/>
      <c r="U518" s="59"/>
      <c r="V518" s="59"/>
      <c r="W518" s="59"/>
      <c r="X518" s="59"/>
      <c r="Y518" s="59"/>
      <c r="Z518" s="59"/>
    </row>
    <row r="519" spans="1:26" x14ac:dyDescent="0.25">
      <c r="A519" s="57">
        <f t="shared" si="110"/>
        <v>42460</v>
      </c>
      <c r="B519" s="58" t="s">
        <v>4</v>
      </c>
      <c r="O519" s="59"/>
      <c r="P519" s="59"/>
      <c r="Q519" s="59"/>
      <c r="R519" s="59"/>
      <c r="S519" s="59"/>
      <c r="T519" s="59"/>
      <c r="U519" s="59"/>
      <c r="V519" s="59"/>
      <c r="W519" s="59"/>
      <c r="X519" s="59"/>
      <c r="Y519" s="59"/>
      <c r="Z519" s="59"/>
    </row>
    <row r="520" spans="1:26" x14ac:dyDescent="0.25">
      <c r="A520" s="57">
        <f t="shared" si="110"/>
        <v>42467</v>
      </c>
      <c r="B520" s="58" t="s">
        <v>4</v>
      </c>
      <c r="O520" s="59"/>
      <c r="P520" s="59"/>
      <c r="Q520" s="59"/>
      <c r="R520" s="59"/>
      <c r="S520" s="59"/>
      <c r="T520" s="59"/>
      <c r="U520" s="59"/>
      <c r="V520" s="59"/>
      <c r="W520" s="59"/>
      <c r="X520" s="59"/>
      <c r="Y520" s="59"/>
      <c r="Z520" s="59"/>
    </row>
    <row r="521" spans="1:26" x14ac:dyDescent="0.25">
      <c r="A521" s="57">
        <f t="shared" si="110"/>
        <v>42474</v>
      </c>
      <c r="B521" s="58" t="s">
        <v>4</v>
      </c>
      <c r="O521" s="59"/>
      <c r="P521" s="59"/>
      <c r="Q521" s="59"/>
      <c r="R521" s="59"/>
      <c r="S521" s="59"/>
      <c r="T521" s="59"/>
      <c r="U521" s="59"/>
      <c r="V521" s="59"/>
      <c r="W521" s="59"/>
      <c r="X521" s="59"/>
      <c r="Y521" s="59"/>
      <c r="Z521" s="59"/>
    </row>
    <row r="522" spans="1:26" x14ac:dyDescent="0.25">
      <c r="A522" s="57">
        <f t="shared" si="110"/>
        <v>42481</v>
      </c>
      <c r="B522" s="58" t="s">
        <v>4</v>
      </c>
      <c r="O522" s="59"/>
      <c r="P522" s="59"/>
      <c r="Q522" s="59"/>
      <c r="R522" s="59"/>
      <c r="S522" s="59"/>
      <c r="T522" s="59"/>
      <c r="U522" s="59"/>
      <c r="V522" s="59"/>
      <c r="W522" s="59"/>
      <c r="X522" s="59"/>
      <c r="Y522" s="59"/>
      <c r="Z522" s="59"/>
    </row>
    <row r="523" spans="1:26" x14ac:dyDescent="0.25">
      <c r="A523" s="57">
        <f t="shared" si="110"/>
        <v>42488</v>
      </c>
      <c r="B523" s="58" t="s">
        <v>4</v>
      </c>
      <c r="O523" s="59"/>
      <c r="P523" s="59"/>
      <c r="Q523" s="59"/>
      <c r="R523" s="59"/>
      <c r="S523" s="59"/>
      <c r="T523" s="59"/>
      <c r="U523" s="59"/>
      <c r="V523" s="59"/>
      <c r="W523" s="59"/>
      <c r="X523" s="59"/>
      <c r="Y523" s="59"/>
      <c r="Z523" s="59"/>
    </row>
    <row r="524" spans="1:26" x14ac:dyDescent="0.25">
      <c r="A524" s="57">
        <f t="shared" si="110"/>
        <v>42495</v>
      </c>
      <c r="B524" s="58" t="s">
        <v>4</v>
      </c>
      <c r="O524" s="59"/>
      <c r="P524" s="59"/>
      <c r="Q524" s="59"/>
      <c r="R524" s="59"/>
      <c r="S524" s="59"/>
      <c r="T524" s="59"/>
      <c r="U524" s="59"/>
      <c r="V524" s="59"/>
      <c r="W524" s="59"/>
      <c r="X524" s="59"/>
      <c r="Y524" s="59"/>
      <c r="Z524" s="59"/>
    </row>
    <row r="525" spans="1:26" x14ac:dyDescent="0.25">
      <c r="A525" s="57">
        <f t="shared" si="110"/>
        <v>42502</v>
      </c>
      <c r="B525" s="58" t="s">
        <v>4</v>
      </c>
      <c r="O525" s="59"/>
      <c r="P525" s="59"/>
      <c r="Q525" s="59"/>
      <c r="R525" s="59"/>
      <c r="S525" s="59"/>
      <c r="T525" s="59"/>
      <c r="U525" s="59"/>
      <c r="V525" s="59"/>
      <c r="W525" s="59"/>
      <c r="X525" s="59"/>
      <c r="Y525" s="59"/>
      <c r="Z525" s="59"/>
    </row>
    <row r="526" spans="1:26" x14ac:dyDescent="0.25">
      <c r="A526" s="57">
        <f t="shared" si="110"/>
        <v>42509</v>
      </c>
      <c r="B526" s="58" t="s">
        <v>4</v>
      </c>
      <c r="O526" s="59"/>
      <c r="P526" s="59"/>
      <c r="Q526" s="59"/>
      <c r="R526" s="59"/>
      <c r="S526" s="59"/>
      <c r="T526" s="59"/>
      <c r="U526" s="59"/>
      <c r="V526" s="59"/>
      <c r="W526" s="59"/>
      <c r="X526" s="59"/>
      <c r="Y526" s="59"/>
      <c r="Z526" s="59"/>
    </row>
    <row r="527" spans="1:26" x14ac:dyDescent="0.25">
      <c r="A527" s="57">
        <f t="shared" si="110"/>
        <v>42516</v>
      </c>
      <c r="B527" s="58" t="s">
        <v>4</v>
      </c>
      <c r="O527" s="59"/>
      <c r="P527" s="59"/>
      <c r="Q527" s="59"/>
      <c r="R527" s="59"/>
      <c r="S527" s="59"/>
      <c r="T527" s="59"/>
      <c r="U527" s="59"/>
      <c r="V527" s="59"/>
      <c r="W527" s="59"/>
      <c r="X527" s="59"/>
      <c r="Y527" s="59"/>
      <c r="Z527" s="59"/>
    </row>
    <row r="528" spans="1:26" x14ac:dyDescent="0.25">
      <c r="A528" s="57">
        <f t="shared" si="110"/>
        <v>42523</v>
      </c>
      <c r="B528" s="58" t="s">
        <v>4</v>
      </c>
      <c r="O528" s="59"/>
      <c r="P528" s="59"/>
      <c r="Q528" s="59"/>
      <c r="R528" s="59"/>
      <c r="S528" s="59"/>
      <c r="T528" s="59"/>
      <c r="U528" s="59"/>
      <c r="V528" s="59"/>
      <c r="W528" s="59"/>
      <c r="X528" s="59"/>
      <c r="Y528" s="59"/>
      <c r="Z528" s="59"/>
    </row>
    <row r="529" spans="1:26" x14ac:dyDescent="0.25">
      <c r="A529" s="57">
        <f t="shared" si="110"/>
        <v>42530</v>
      </c>
      <c r="B529" s="58" t="s">
        <v>4</v>
      </c>
      <c r="O529" s="59"/>
      <c r="P529" s="59"/>
      <c r="Q529" s="59"/>
      <c r="R529" s="59"/>
      <c r="S529" s="59"/>
      <c r="T529" s="59"/>
      <c r="U529" s="59"/>
      <c r="V529" s="59"/>
      <c r="W529" s="59"/>
      <c r="X529" s="59"/>
      <c r="Y529" s="59"/>
      <c r="Z529" s="59"/>
    </row>
    <row r="530" spans="1:26" x14ac:dyDescent="0.25">
      <c r="A530" s="57">
        <f t="shared" si="110"/>
        <v>42537</v>
      </c>
      <c r="B530" s="58" t="s">
        <v>4</v>
      </c>
      <c r="O530" s="59"/>
      <c r="P530" s="59"/>
      <c r="Q530" s="59"/>
      <c r="R530" s="59"/>
      <c r="S530" s="59"/>
      <c r="T530" s="59"/>
      <c r="U530" s="59"/>
      <c r="V530" s="59"/>
      <c r="W530" s="59"/>
      <c r="X530" s="59"/>
      <c r="Y530" s="59"/>
      <c r="Z530" s="59"/>
    </row>
    <row r="531" spans="1:26" x14ac:dyDescent="0.25">
      <c r="A531" s="57">
        <f t="shared" si="110"/>
        <v>42544</v>
      </c>
      <c r="B531" s="58" t="s">
        <v>4</v>
      </c>
      <c r="O531" s="59"/>
      <c r="P531" s="59"/>
      <c r="Q531" s="59"/>
      <c r="R531" s="59"/>
      <c r="S531" s="59"/>
      <c r="T531" s="59"/>
      <c r="U531" s="59"/>
      <c r="V531" s="59"/>
      <c r="W531" s="59"/>
      <c r="X531" s="59"/>
      <c r="Y531" s="59"/>
      <c r="Z531" s="59"/>
    </row>
    <row r="532" spans="1:26" x14ac:dyDescent="0.25">
      <c r="A532" s="57">
        <f t="shared" si="110"/>
        <v>42551</v>
      </c>
      <c r="B532" s="58" t="s">
        <v>4</v>
      </c>
      <c r="O532" s="59"/>
      <c r="P532" s="59"/>
      <c r="Q532" s="59"/>
      <c r="R532" s="59"/>
      <c r="S532" s="59"/>
      <c r="T532" s="59"/>
      <c r="U532" s="59"/>
      <c r="V532" s="59"/>
      <c r="W532" s="59"/>
      <c r="X532" s="59"/>
      <c r="Y532" s="59"/>
      <c r="Z532" s="59"/>
    </row>
    <row r="533" spans="1:26" x14ac:dyDescent="0.25">
      <c r="A533" s="57">
        <f t="shared" si="110"/>
        <v>42558</v>
      </c>
      <c r="B533" s="58" t="s">
        <v>4</v>
      </c>
      <c r="O533" s="59"/>
      <c r="P533" s="59"/>
      <c r="Q533" s="59"/>
      <c r="R533" s="59"/>
      <c r="S533" s="59"/>
      <c r="T533" s="59"/>
      <c r="U533" s="59"/>
      <c r="V533" s="59"/>
      <c r="W533" s="59"/>
      <c r="X533" s="59"/>
      <c r="Y533" s="59"/>
      <c r="Z533" s="59"/>
    </row>
    <row r="534" spans="1:26" x14ac:dyDescent="0.25">
      <c r="A534" s="57">
        <f t="shared" si="110"/>
        <v>42565</v>
      </c>
      <c r="B534" s="58" t="s">
        <v>4</v>
      </c>
      <c r="O534" s="59"/>
      <c r="P534" s="59"/>
      <c r="Q534" s="59"/>
      <c r="R534" s="59"/>
      <c r="S534" s="59"/>
      <c r="T534" s="59"/>
      <c r="U534" s="59"/>
      <c r="V534" s="59"/>
      <c r="W534" s="59"/>
      <c r="X534" s="59"/>
      <c r="Y534" s="59"/>
      <c r="Z534" s="59"/>
    </row>
    <row r="535" spans="1:26" x14ac:dyDescent="0.25">
      <c r="A535" s="57">
        <f t="shared" si="110"/>
        <v>42572</v>
      </c>
      <c r="B535" s="58" t="s">
        <v>4</v>
      </c>
      <c r="O535" s="59"/>
      <c r="P535" s="59"/>
      <c r="Q535" s="59"/>
      <c r="R535" s="59"/>
      <c r="S535" s="59"/>
      <c r="T535" s="59"/>
      <c r="U535" s="59"/>
      <c r="V535" s="59"/>
      <c r="W535" s="59"/>
      <c r="X535" s="59"/>
      <c r="Y535" s="59"/>
      <c r="Z535" s="59"/>
    </row>
    <row r="536" spans="1:26" x14ac:dyDescent="0.25">
      <c r="A536" s="57">
        <f t="shared" si="110"/>
        <v>42579</v>
      </c>
      <c r="B536" s="58" t="s">
        <v>4</v>
      </c>
      <c r="O536" s="59"/>
      <c r="P536" s="59"/>
      <c r="Q536" s="59"/>
      <c r="R536" s="59"/>
      <c r="S536" s="59"/>
      <c r="T536" s="59"/>
      <c r="U536" s="59"/>
      <c r="V536" s="59"/>
      <c r="W536" s="59"/>
      <c r="X536" s="59"/>
      <c r="Y536" s="59"/>
      <c r="Z536" s="59"/>
    </row>
    <row r="537" spans="1:26" x14ac:dyDescent="0.25">
      <c r="A537" s="57">
        <f t="shared" si="110"/>
        <v>42586</v>
      </c>
      <c r="B537" s="58" t="s">
        <v>4</v>
      </c>
      <c r="O537" s="59"/>
      <c r="P537" s="59"/>
      <c r="Q537" s="59"/>
      <c r="R537" s="59"/>
      <c r="S537" s="59"/>
      <c r="T537" s="59"/>
      <c r="U537" s="59"/>
      <c r="V537" s="59"/>
      <c r="W537" s="59"/>
      <c r="X537" s="59"/>
      <c r="Y537" s="59"/>
      <c r="Z537" s="59"/>
    </row>
    <row r="538" spans="1:26" x14ac:dyDescent="0.25">
      <c r="A538" s="57">
        <f t="shared" si="110"/>
        <v>42593</v>
      </c>
      <c r="B538" s="58" t="s">
        <v>4</v>
      </c>
      <c r="O538" s="59"/>
      <c r="P538" s="59"/>
      <c r="Q538" s="59"/>
      <c r="R538" s="59"/>
      <c r="S538" s="59"/>
      <c r="T538" s="59"/>
      <c r="U538" s="59"/>
      <c r="V538" s="59"/>
      <c r="W538" s="59"/>
      <c r="X538" s="59"/>
      <c r="Y538" s="59"/>
      <c r="Z538" s="59"/>
    </row>
    <row r="539" spans="1:26" x14ac:dyDescent="0.25">
      <c r="A539" s="57">
        <f t="shared" si="110"/>
        <v>42600</v>
      </c>
      <c r="B539" s="58" t="s">
        <v>4</v>
      </c>
      <c r="O539" s="59"/>
      <c r="P539" s="59"/>
      <c r="Q539" s="59"/>
      <c r="R539" s="59"/>
      <c r="S539" s="59"/>
      <c r="T539" s="59"/>
      <c r="U539" s="59"/>
      <c r="V539" s="59"/>
      <c r="W539" s="59"/>
      <c r="X539" s="59"/>
      <c r="Y539" s="59"/>
      <c r="Z539" s="59"/>
    </row>
    <row r="540" spans="1:26" x14ac:dyDescent="0.25">
      <c r="A540" s="57">
        <f t="shared" si="110"/>
        <v>42607</v>
      </c>
      <c r="B540" s="58" t="s">
        <v>4</v>
      </c>
      <c r="O540" s="59"/>
      <c r="P540" s="59"/>
      <c r="Q540" s="59"/>
      <c r="R540" s="59"/>
      <c r="S540" s="59"/>
      <c r="T540" s="59"/>
      <c r="U540" s="59"/>
      <c r="V540" s="59"/>
      <c r="W540" s="59"/>
      <c r="X540" s="59"/>
      <c r="Y540" s="59"/>
      <c r="Z540" s="59"/>
    </row>
    <row r="541" spans="1:26" x14ac:dyDescent="0.25">
      <c r="A541" s="57">
        <f t="shared" si="110"/>
        <v>42614</v>
      </c>
      <c r="B541" s="58" t="s">
        <v>4</v>
      </c>
      <c r="O541" s="59"/>
      <c r="P541" s="59"/>
      <c r="Q541" s="59"/>
      <c r="R541" s="59"/>
      <c r="S541" s="59"/>
      <c r="T541" s="59"/>
      <c r="U541" s="59"/>
      <c r="V541" s="59"/>
      <c r="W541" s="59"/>
      <c r="X541" s="59"/>
      <c r="Y541" s="59"/>
      <c r="Z541" s="59"/>
    </row>
    <row r="542" spans="1:26" x14ac:dyDescent="0.25">
      <c r="A542" s="57">
        <f t="shared" si="110"/>
        <v>42621</v>
      </c>
      <c r="B542" s="58" t="s">
        <v>4</v>
      </c>
      <c r="O542" s="59"/>
      <c r="P542" s="59"/>
      <c r="Q542" s="59"/>
      <c r="R542" s="59"/>
      <c r="S542" s="59"/>
      <c r="T542" s="59"/>
      <c r="U542" s="59"/>
      <c r="V542" s="59"/>
      <c r="W542" s="59"/>
      <c r="X542" s="59"/>
      <c r="Y542" s="59"/>
      <c r="Z542" s="59"/>
    </row>
    <row r="543" spans="1:26" x14ac:dyDescent="0.25">
      <c r="A543" s="57">
        <f t="shared" si="110"/>
        <v>42628</v>
      </c>
      <c r="B543" s="58" t="s">
        <v>4</v>
      </c>
      <c r="O543" s="59"/>
      <c r="P543" s="59"/>
      <c r="Q543" s="59"/>
      <c r="R543" s="59"/>
      <c r="S543" s="59"/>
      <c r="T543" s="59"/>
      <c r="U543" s="59"/>
      <c r="V543" s="59"/>
      <c r="W543" s="59"/>
      <c r="X543" s="59"/>
      <c r="Y543" s="59"/>
      <c r="Z543" s="59"/>
    </row>
    <row r="544" spans="1:26" x14ac:dyDescent="0.25">
      <c r="A544" s="57">
        <f t="shared" si="110"/>
        <v>42635</v>
      </c>
      <c r="B544" s="58" t="s">
        <v>4</v>
      </c>
      <c r="O544" s="59"/>
      <c r="P544" s="59"/>
      <c r="Q544" s="59"/>
      <c r="R544" s="59"/>
      <c r="S544" s="59"/>
      <c r="T544" s="59"/>
      <c r="U544" s="59"/>
      <c r="V544" s="59"/>
      <c r="W544" s="59"/>
      <c r="X544" s="59"/>
      <c r="Y544" s="59"/>
      <c r="Z544" s="59"/>
    </row>
    <row r="545" spans="1:26" x14ac:dyDescent="0.25">
      <c r="A545" s="57">
        <f t="shared" si="110"/>
        <v>42642</v>
      </c>
      <c r="B545" s="58" t="s">
        <v>4</v>
      </c>
      <c r="O545" s="59"/>
      <c r="P545" s="59"/>
      <c r="Q545" s="59"/>
      <c r="R545" s="59"/>
      <c r="S545" s="59"/>
      <c r="T545" s="59"/>
      <c r="U545" s="59"/>
      <c r="V545" s="59"/>
      <c r="W545" s="59"/>
      <c r="X545" s="59"/>
      <c r="Y545" s="59"/>
      <c r="Z545" s="59"/>
    </row>
    <row r="546" spans="1:26" x14ac:dyDescent="0.25">
      <c r="A546" s="57">
        <f t="shared" si="110"/>
        <v>42649</v>
      </c>
      <c r="B546" s="58" t="s">
        <v>4</v>
      </c>
      <c r="O546" s="59"/>
      <c r="P546" s="59"/>
      <c r="Q546" s="59"/>
      <c r="R546" s="59"/>
      <c r="S546" s="59"/>
      <c r="T546" s="59"/>
      <c r="U546" s="59"/>
      <c r="V546" s="59"/>
      <c r="W546" s="59"/>
      <c r="X546" s="59"/>
      <c r="Y546" s="59"/>
      <c r="Z546" s="59"/>
    </row>
    <row r="547" spans="1:26" x14ac:dyDescent="0.25">
      <c r="A547" s="57">
        <f t="shared" si="110"/>
        <v>42656</v>
      </c>
      <c r="B547" s="58" t="s">
        <v>4</v>
      </c>
      <c r="O547" s="59"/>
      <c r="P547" s="59"/>
      <c r="Q547" s="59"/>
      <c r="R547" s="59"/>
      <c r="S547" s="59"/>
      <c r="T547" s="59"/>
      <c r="U547" s="59"/>
      <c r="V547" s="59"/>
      <c r="W547" s="59"/>
      <c r="X547" s="59"/>
      <c r="Y547" s="59"/>
      <c r="Z547" s="59"/>
    </row>
    <row r="548" spans="1:26" x14ac:dyDescent="0.25">
      <c r="A548" s="57">
        <f t="shared" si="110"/>
        <v>42663</v>
      </c>
      <c r="B548" s="58" t="s">
        <v>4</v>
      </c>
      <c r="O548" s="59"/>
      <c r="P548" s="59"/>
      <c r="Q548" s="59"/>
      <c r="R548" s="59"/>
      <c r="S548" s="59"/>
      <c r="T548" s="59"/>
      <c r="U548" s="59"/>
      <c r="V548" s="59"/>
      <c r="W548" s="59"/>
      <c r="X548" s="59"/>
      <c r="Y548" s="59"/>
      <c r="Z548" s="59"/>
    </row>
    <row r="549" spans="1:26" x14ac:dyDescent="0.25">
      <c r="A549" s="57">
        <f t="shared" si="110"/>
        <v>42670</v>
      </c>
      <c r="B549" s="58" t="s">
        <v>4</v>
      </c>
      <c r="O549" s="59"/>
      <c r="P549" s="59"/>
      <c r="Q549" s="59"/>
      <c r="R549" s="59"/>
      <c r="S549" s="59"/>
      <c r="T549" s="59"/>
      <c r="U549" s="59"/>
      <c r="V549" s="59"/>
      <c r="W549" s="59"/>
      <c r="X549" s="59"/>
      <c r="Y549" s="59"/>
      <c r="Z549" s="59"/>
    </row>
    <row r="550" spans="1:26" x14ac:dyDescent="0.25">
      <c r="A550" s="57">
        <f t="shared" si="110"/>
        <v>42677</v>
      </c>
      <c r="B550" s="58" t="s">
        <v>4</v>
      </c>
      <c r="O550" s="59"/>
      <c r="P550" s="59"/>
      <c r="Q550" s="59"/>
      <c r="R550" s="59"/>
      <c r="S550" s="59"/>
      <c r="T550" s="59"/>
      <c r="U550" s="59"/>
      <c r="V550" s="59"/>
      <c r="W550" s="59"/>
      <c r="X550" s="59"/>
      <c r="Y550" s="59"/>
      <c r="Z550" s="59"/>
    </row>
    <row r="551" spans="1:26" x14ac:dyDescent="0.25">
      <c r="A551" s="57">
        <f t="shared" si="110"/>
        <v>42684</v>
      </c>
      <c r="B551" s="58" t="s">
        <v>4</v>
      </c>
      <c r="O551" s="59"/>
      <c r="P551" s="59"/>
      <c r="Q551" s="59"/>
      <c r="R551" s="59"/>
      <c r="S551" s="59"/>
      <c r="T551" s="59"/>
      <c r="U551" s="59"/>
      <c r="V551" s="59"/>
      <c r="W551" s="59"/>
      <c r="X551" s="59"/>
      <c r="Y551" s="59"/>
      <c r="Z551" s="59"/>
    </row>
    <row r="552" spans="1:26" x14ac:dyDescent="0.25">
      <c r="A552" s="57">
        <f t="shared" si="110"/>
        <v>42691</v>
      </c>
      <c r="B552" s="58" t="s">
        <v>4</v>
      </c>
      <c r="O552" s="59"/>
      <c r="P552" s="59"/>
      <c r="Q552" s="59"/>
      <c r="R552" s="59"/>
      <c r="S552" s="59"/>
      <c r="T552" s="59"/>
      <c r="U552" s="59"/>
      <c r="V552" s="59"/>
      <c r="W552" s="59"/>
      <c r="X552" s="59"/>
      <c r="Y552" s="59"/>
      <c r="Z552" s="59"/>
    </row>
    <row r="553" spans="1:26" x14ac:dyDescent="0.25">
      <c r="A553" s="57">
        <f t="shared" si="110"/>
        <v>42698</v>
      </c>
      <c r="B553" s="58" t="s">
        <v>4</v>
      </c>
      <c r="O553" s="59"/>
      <c r="P553" s="59"/>
      <c r="Q553" s="59"/>
      <c r="R553" s="59"/>
      <c r="S553" s="59"/>
      <c r="T553" s="59"/>
      <c r="U553" s="59"/>
      <c r="V553" s="59"/>
      <c r="W553" s="59"/>
      <c r="X553" s="59"/>
      <c r="Y553" s="59"/>
      <c r="Z553" s="59"/>
    </row>
    <row r="554" spans="1:26" x14ac:dyDescent="0.25">
      <c r="A554" s="57">
        <f t="shared" si="110"/>
        <v>42705</v>
      </c>
      <c r="B554" s="58" t="s">
        <v>4</v>
      </c>
      <c r="O554" s="59"/>
      <c r="P554" s="59"/>
      <c r="Q554" s="59"/>
      <c r="R554" s="59"/>
      <c r="S554" s="59"/>
      <c r="T554" s="59"/>
      <c r="U554" s="59"/>
      <c r="V554" s="59"/>
      <c r="W554" s="59"/>
      <c r="X554" s="59"/>
      <c r="Y554" s="59"/>
      <c r="Z554" s="59"/>
    </row>
    <row r="555" spans="1:26" x14ac:dyDescent="0.25">
      <c r="A555" s="57">
        <f t="shared" si="110"/>
        <v>42712</v>
      </c>
      <c r="B555" s="58" t="s">
        <v>4</v>
      </c>
      <c r="O555" s="59"/>
      <c r="P555" s="59"/>
      <c r="Q555" s="59"/>
      <c r="R555" s="59"/>
      <c r="S555" s="59"/>
      <c r="T555" s="59"/>
      <c r="U555" s="59"/>
      <c r="V555" s="59"/>
      <c r="W555" s="59"/>
      <c r="X555" s="59"/>
      <c r="Y555" s="59"/>
      <c r="Z555" s="59"/>
    </row>
    <row r="556" spans="1:26" x14ac:dyDescent="0.25">
      <c r="A556" s="57">
        <f t="shared" si="110"/>
        <v>42719</v>
      </c>
      <c r="B556" s="58" t="s">
        <v>4</v>
      </c>
      <c r="O556" s="59"/>
      <c r="P556" s="59"/>
      <c r="Q556" s="59"/>
      <c r="R556" s="59"/>
      <c r="S556" s="59"/>
      <c r="T556" s="59"/>
      <c r="U556" s="59"/>
      <c r="V556" s="59"/>
      <c r="W556" s="59"/>
      <c r="X556" s="59"/>
      <c r="Y556" s="59"/>
      <c r="Z556" s="59"/>
    </row>
    <row r="557" spans="1:26" x14ac:dyDescent="0.25">
      <c r="A557" s="57">
        <f t="shared" si="110"/>
        <v>42726</v>
      </c>
      <c r="B557" s="58" t="s">
        <v>4</v>
      </c>
      <c r="O557" s="59"/>
      <c r="P557" s="59"/>
      <c r="Q557" s="59"/>
      <c r="R557" s="59"/>
      <c r="S557" s="59"/>
      <c r="T557" s="59"/>
      <c r="U557" s="59"/>
      <c r="V557" s="59"/>
      <c r="W557" s="59"/>
      <c r="X557" s="59"/>
      <c r="Y557" s="59"/>
      <c r="Z557" s="59"/>
    </row>
    <row r="558" spans="1:26" x14ac:dyDescent="0.25">
      <c r="A558" s="57">
        <f t="shared" si="110"/>
        <v>42733</v>
      </c>
      <c r="B558" s="58" t="s">
        <v>4</v>
      </c>
      <c r="O558" s="59"/>
      <c r="P558" s="59"/>
      <c r="Q558" s="59"/>
      <c r="R558" s="59"/>
      <c r="S558" s="59"/>
      <c r="T558" s="59"/>
      <c r="U558" s="59"/>
      <c r="V558" s="59"/>
      <c r="W558" s="59"/>
      <c r="X558" s="59"/>
      <c r="Y558" s="59"/>
      <c r="Z558" s="59"/>
    </row>
    <row r="559" spans="1:26" x14ac:dyDescent="0.25">
      <c r="A559" s="57">
        <f t="shared" si="110"/>
        <v>42740</v>
      </c>
      <c r="B559" s="58" t="s">
        <v>4</v>
      </c>
      <c r="O559" s="59"/>
      <c r="P559" s="59"/>
      <c r="Q559" s="59"/>
      <c r="R559" s="59"/>
      <c r="S559" s="59"/>
      <c r="T559" s="59"/>
      <c r="U559" s="59"/>
      <c r="V559" s="59"/>
      <c r="W559" s="59"/>
      <c r="X559" s="59"/>
      <c r="Y559" s="59"/>
      <c r="Z559" s="59"/>
    </row>
    <row r="560" spans="1:26" x14ac:dyDescent="0.25">
      <c r="A560" s="57">
        <f t="shared" si="110"/>
        <v>42747</v>
      </c>
      <c r="B560" s="58" t="s">
        <v>4</v>
      </c>
      <c r="O560" s="59"/>
      <c r="P560" s="59"/>
      <c r="Q560" s="59"/>
      <c r="R560" s="59"/>
      <c r="S560" s="59"/>
      <c r="T560" s="59"/>
      <c r="U560" s="59"/>
      <c r="V560" s="59"/>
      <c r="W560" s="59"/>
      <c r="X560" s="59"/>
      <c r="Y560" s="59"/>
      <c r="Z560" s="59"/>
    </row>
    <row r="561" spans="1:26" x14ac:dyDescent="0.25">
      <c r="A561" s="57">
        <f t="shared" si="110"/>
        <v>42754</v>
      </c>
      <c r="B561" s="58" t="s">
        <v>4</v>
      </c>
      <c r="O561" s="59"/>
      <c r="P561" s="59"/>
      <c r="Q561" s="59"/>
      <c r="R561" s="59"/>
      <c r="S561" s="59"/>
      <c r="T561" s="59"/>
      <c r="U561" s="59"/>
      <c r="V561" s="59"/>
      <c r="W561" s="59"/>
      <c r="X561" s="59"/>
      <c r="Y561" s="59"/>
      <c r="Z561" s="59"/>
    </row>
    <row r="562" spans="1:26" x14ac:dyDescent="0.25">
      <c r="A562" s="57">
        <f t="shared" si="110"/>
        <v>42761</v>
      </c>
      <c r="B562" s="58" t="s">
        <v>4</v>
      </c>
      <c r="O562" s="59"/>
      <c r="P562" s="59"/>
      <c r="Q562" s="59"/>
      <c r="R562" s="59"/>
      <c r="S562" s="59"/>
      <c r="T562" s="59"/>
      <c r="U562" s="59"/>
      <c r="V562" s="59"/>
      <c r="W562" s="59"/>
      <c r="X562" s="59"/>
      <c r="Y562" s="59"/>
      <c r="Z562" s="59"/>
    </row>
    <row r="563" spans="1:26" x14ac:dyDescent="0.25">
      <c r="A563" s="57">
        <f t="shared" si="110"/>
        <v>42768</v>
      </c>
      <c r="B563" s="58" t="s">
        <v>4</v>
      </c>
      <c r="O563" s="59"/>
      <c r="P563" s="59"/>
      <c r="Q563" s="59"/>
      <c r="R563" s="59"/>
      <c r="S563" s="59"/>
      <c r="T563" s="59"/>
      <c r="U563" s="59"/>
      <c r="V563" s="59"/>
      <c r="W563" s="59"/>
      <c r="X563" s="59"/>
      <c r="Y563" s="59"/>
      <c r="Z563" s="59"/>
    </row>
    <row r="564" spans="1:26" x14ac:dyDescent="0.25">
      <c r="A564" s="57">
        <f t="shared" si="110"/>
        <v>42775</v>
      </c>
      <c r="B564" s="58" t="s">
        <v>4</v>
      </c>
      <c r="O564" s="59"/>
      <c r="P564" s="59"/>
      <c r="Q564" s="59"/>
      <c r="R564" s="59"/>
      <c r="S564" s="59"/>
      <c r="T564" s="59"/>
      <c r="U564" s="59"/>
      <c r="V564" s="59"/>
      <c r="W564" s="59"/>
      <c r="X564" s="59"/>
      <c r="Y564" s="59"/>
      <c r="Z564" s="59"/>
    </row>
    <row r="565" spans="1:26" x14ac:dyDescent="0.25">
      <c r="A565" s="57">
        <f t="shared" si="110"/>
        <v>42782</v>
      </c>
      <c r="B565" s="58" t="s">
        <v>4</v>
      </c>
      <c r="O565" s="59"/>
      <c r="P565" s="59"/>
      <c r="Q565" s="59"/>
      <c r="R565" s="59"/>
      <c r="S565" s="59"/>
      <c r="T565" s="59"/>
      <c r="U565" s="59"/>
      <c r="V565" s="59"/>
      <c r="W565" s="59"/>
      <c r="X565" s="59"/>
      <c r="Y565" s="59"/>
      <c r="Z565" s="59"/>
    </row>
    <row r="566" spans="1:26" x14ac:dyDescent="0.25">
      <c r="A566" s="57">
        <f t="shared" si="110"/>
        <v>42789</v>
      </c>
      <c r="B566" s="58" t="s">
        <v>4</v>
      </c>
      <c r="O566" s="59"/>
      <c r="P566" s="59"/>
      <c r="Q566" s="59"/>
      <c r="R566" s="59"/>
      <c r="S566" s="59"/>
      <c r="T566" s="59"/>
      <c r="U566" s="59"/>
      <c r="V566" s="59"/>
      <c r="W566" s="59"/>
      <c r="X566" s="59"/>
      <c r="Y566" s="59"/>
      <c r="Z566" s="59"/>
    </row>
    <row r="567" spans="1:26" x14ac:dyDescent="0.25">
      <c r="A567" s="57">
        <f t="shared" si="110"/>
        <v>42796</v>
      </c>
      <c r="B567" s="58" t="s">
        <v>4</v>
      </c>
      <c r="O567" s="59"/>
      <c r="P567" s="59"/>
      <c r="Q567" s="59"/>
      <c r="R567" s="59"/>
      <c r="S567" s="59"/>
      <c r="T567" s="59"/>
      <c r="U567" s="59"/>
      <c r="V567" s="59"/>
      <c r="W567" s="59"/>
      <c r="X567" s="59"/>
      <c r="Y567" s="59"/>
      <c r="Z567" s="59"/>
    </row>
    <row r="568" spans="1:26" x14ac:dyDescent="0.25">
      <c r="A568" s="57">
        <f t="shared" si="110"/>
        <v>42803</v>
      </c>
      <c r="B568" s="58" t="s">
        <v>4</v>
      </c>
      <c r="O568" s="59"/>
      <c r="P568" s="59"/>
      <c r="Q568" s="59"/>
      <c r="R568" s="59"/>
      <c r="S568" s="59"/>
      <c r="T568" s="59"/>
      <c r="U568" s="59"/>
      <c r="V568" s="59"/>
      <c r="W568" s="59"/>
      <c r="X568" s="59"/>
      <c r="Y568" s="59"/>
      <c r="Z568" s="59"/>
    </row>
    <row r="569" spans="1:26" x14ac:dyDescent="0.25">
      <c r="A569" s="57">
        <f t="shared" si="110"/>
        <v>42810</v>
      </c>
      <c r="B569" s="58" t="s">
        <v>4</v>
      </c>
      <c r="O569" s="59"/>
      <c r="P569" s="59"/>
      <c r="Q569" s="59"/>
      <c r="R569" s="59"/>
      <c r="S569" s="59"/>
      <c r="T569" s="59"/>
      <c r="U569" s="59"/>
      <c r="V569" s="59"/>
      <c r="W569" s="59"/>
      <c r="X569" s="59"/>
      <c r="Y569" s="59"/>
      <c r="Z569" s="59"/>
    </row>
    <row r="570" spans="1:26" x14ac:dyDescent="0.25">
      <c r="A570" s="57">
        <f t="shared" si="110"/>
        <v>42817</v>
      </c>
      <c r="B570" s="58" t="s">
        <v>4</v>
      </c>
      <c r="O570" s="59"/>
      <c r="P570" s="59"/>
      <c r="Q570" s="59"/>
      <c r="R570" s="59"/>
      <c r="S570" s="59"/>
      <c r="T570" s="59"/>
      <c r="U570" s="59"/>
      <c r="V570" s="59"/>
      <c r="W570" s="59"/>
      <c r="X570" s="59"/>
      <c r="Y570" s="59"/>
      <c r="Z570" s="59"/>
    </row>
    <row r="571" spans="1:26" x14ac:dyDescent="0.25">
      <c r="A571" s="57">
        <f t="shared" si="110"/>
        <v>42824</v>
      </c>
      <c r="B571" s="58" t="s">
        <v>4</v>
      </c>
    </row>
    <row r="572" spans="1:26" x14ac:dyDescent="0.25">
      <c r="A572" s="57">
        <f t="shared" si="110"/>
        <v>42831</v>
      </c>
      <c r="B572" s="58" t="s">
        <v>4</v>
      </c>
    </row>
    <row r="573" spans="1:26" x14ac:dyDescent="0.25">
      <c r="A573" s="57">
        <f t="shared" si="110"/>
        <v>42838</v>
      </c>
      <c r="B573" s="58" t="s">
        <v>4</v>
      </c>
    </row>
    <row r="574" spans="1:26" x14ac:dyDescent="0.25">
      <c r="A574" s="57">
        <f t="shared" si="110"/>
        <v>42845</v>
      </c>
      <c r="B574" s="58" t="s">
        <v>4</v>
      </c>
    </row>
    <row r="575" spans="1:26" x14ac:dyDescent="0.25">
      <c r="A575" s="57">
        <f t="shared" si="110"/>
        <v>42852</v>
      </c>
      <c r="B575" s="58" t="s">
        <v>4</v>
      </c>
    </row>
    <row r="576" spans="1:26" x14ac:dyDescent="0.25">
      <c r="A576" s="57">
        <f t="shared" si="110"/>
        <v>42859</v>
      </c>
      <c r="B576" s="58" t="s">
        <v>4</v>
      </c>
    </row>
    <row r="577" spans="1:2" x14ac:dyDescent="0.25">
      <c r="A577" s="57">
        <f t="shared" si="110"/>
        <v>42866</v>
      </c>
      <c r="B577" s="58" t="s">
        <v>4</v>
      </c>
    </row>
    <row r="578" spans="1:2" x14ac:dyDescent="0.25">
      <c r="A578" s="57">
        <f t="shared" si="110"/>
        <v>42873</v>
      </c>
      <c r="B578" s="58" t="s">
        <v>4</v>
      </c>
    </row>
    <row r="579" spans="1:2" x14ac:dyDescent="0.25">
      <c r="A579" s="57">
        <f t="shared" si="110"/>
        <v>42880</v>
      </c>
      <c r="B579" s="58" t="s">
        <v>4</v>
      </c>
    </row>
    <row r="580" spans="1:2" x14ac:dyDescent="0.25">
      <c r="A580" s="57">
        <f t="shared" ref="A580:A643" si="111">+A579+7</f>
        <v>42887</v>
      </c>
      <c r="B580" s="58" t="s">
        <v>4</v>
      </c>
    </row>
    <row r="581" spans="1:2" x14ac:dyDescent="0.25">
      <c r="A581" s="57">
        <f t="shared" si="111"/>
        <v>42894</v>
      </c>
      <c r="B581" s="58" t="s">
        <v>4</v>
      </c>
    </row>
    <row r="582" spans="1:2" x14ac:dyDescent="0.25">
      <c r="A582" s="57">
        <f t="shared" si="111"/>
        <v>42901</v>
      </c>
      <c r="B582" s="58" t="s">
        <v>4</v>
      </c>
    </row>
    <row r="583" spans="1:2" x14ac:dyDescent="0.25">
      <c r="A583" s="57">
        <f t="shared" si="111"/>
        <v>42908</v>
      </c>
      <c r="B583" s="58" t="s">
        <v>4</v>
      </c>
    </row>
    <row r="584" spans="1:2" x14ac:dyDescent="0.25">
      <c r="A584" s="57">
        <f t="shared" si="111"/>
        <v>42915</v>
      </c>
      <c r="B584" s="58" t="s">
        <v>4</v>
      </c>
    </row>
    <row r="585" spans="1:2" x14ac:dyDescent="0.25">
      <c r="A585" s="57">
        <f t="shared" si="111"/>
        <v>42922</v>
      </c>
      <c r="B585" s="58" t="s">
        <v>4</v>
      </c>
    </row>
    <row r="586" spans="1:2" x14ac:dyDescent="0.25">
      <c r="A586" s="57">
        <f t="shared" si="111"/>
        <v>42929</v>
      </c>
      <c r="B586" s="58" t="s">
        <v>4</v>
      </c>
    </row>
    <row r="587" spans="1:2" x14ac:dyDescent="0.25">
      <c r="A587" s="57">
        <f t="shared" si="111"/>
        <v>42936</v>
      </c>
      <c r="B587" s="58" t="s">
        <v>4</v>
      </c>
    </row>
    <row r="588" spans="1:2" x14ac:dyDescent="0.25">
      <c r="A588" s="57">
        <f t="shared" si="111"/>
        <v>42943</v>
      </c>
      <c r="B588" s="58" t="s">
        <v>4</v>
      </c>
    </row>
    <row r="589" spans="1:2" x14ac:dyDescent="0.25">
      <c r="A589" s="57">
        <f t="shared" si="111"/>
        <v>42950</v>
      </c>
      <c r="B589" s="58" t="s">
        <v>4</v>
      </c>
    </row>
    <row r="590" spans="1:2" x14ac:dyDescent="0.25">
      <c r="A590" s="57">
        <f t="shared" si="111"/>
        <v>42957</v>
      </c>
      <c r="B590" s="58" t="s">
        <v>4</v>
      </c>
    </row>
    <row r="591" spans="1:2" x14ac:dyDescent="0.25">
      <c r="A591" s="57">
        <f t="shared" si="111"/>
        <v>42964</v>
      </c>
      <c r="B591" s="58" t="s">
        <v>4</v>
      </c>
    </row>
    <row r="592" spans="1:2" x14ac:dyDescent="0.25">
      <c r="A592" s="57">
        <f t="shared" si="111"/>
        <v>42971</v>
      </c>
      <c r="B592" s="58" t="s">
        <v>4</v>
      </c>
    </row>
    <row r="593" spans="1:2" x14ac:dyDescent="0.25">
      <c r="A593" s="57">
        <f t="shared" si="111"/>
        <v>42978</v>
      </c>
      <c r="B593" s="58" t="s">
        <v>4</v>
      </c>
    </row>
    <row r="594" spans="1:2" x14ac:dyDescent="0.25">
      <c r="A594" s="57">
        <f t="shared" si="111"/>
        <v>42985</v>
      </c>
      <c r="B594" s="58" t="s">
        <v>4</v>
      </c>
    </row>
    <row r="595" spans="1:2" x14ac:dyDescent="0.25">
      <c r="A595" s="57">
        <f t="shared" si="111"/>
        <v>42992</v>
      </c>
      <c r="B595" s="58" t="s">
        <v>4</v>
      </c>
    </row>
    <row r="596" spans="1:2" x14ac:dyDescent="0.25">
      <c r="A596" s="57">
        <f t="shared" si="111"/>
        <v>42999</v>
      </c>
      <c r="B596" s="58" t="s">
        <v>4</v>
      </c>
    </row>
    <row r="597" spans="1:2" x14ac:dyDescent="0.25">
      <c r="A597" s="57">
        <f t="shared" si="111"/>
        <v>43006</v>
      </c>
      <c r="B597" s="58" t="s">
        <v>4</v>
      </c>
    </row>
    <row r="598" spans="1:2" x14ac:dyDescent="0.25">
      <c r="A598" s="57">
        <f t="shared" si="111"/>
        <v>43013</v>
      </c>
      <c r="B598" s="58" t="s">
        <v>4</v>
      </c>
    </row>
    <row r="599" spans="1:2" x14ac:dyDescent="0.25">
      <c r="A599" s="57">
        <f t="shared" si="111"/>
        <v>43020</v>
      </c>
      <c r="B599" s="58" t="s">
        <v>4</v>
      </c>
    </row>
    <row r="600" spans="1:2" x14ac:dyDescent="0.25">
      <c r="A600" s="57">
        <f t="shared" si="111"/>
        <v>43027</v>
      </c>
      <c r="B600" s="58" t="s">
        <v>4</v>
      </c>
    </row>
    <row r="601" spans="1:2" x14ac:dyDescent="0.25">
      <c r="A601" s="57">
        <f t="shared" si="111"/>
        <v>43034</v>
      </c>
      <c r="B601" s="58" t="s">
        <v>4</v>
      </c>
    </row>
    <row r="602" spans="1:2" x14ac:dyDescent="0.25">
      <c r="A602" s="57">
        <f t="shared" si="111"/>
        <v>43041</v>
      </c>
      <c r="B602" s="58" t="s">
        <v>4</v>
      </c>
    </row>
    <row r="603" spans="1:2" x14ac:dyDescent="0.25">
      <c r="A603" s="57">
        <f t="shared" si="111"/>
        <v>43048</v>
      </c>
      <c r="B603" s="58" t="s">
        <v>4</v>
      </c>
    </row>
    <row r="604" spans="1:2" x14ac:dyDescent="0.25">
      <c r="A604" s="57">
        <f t="shared" si="111"/>
        <v>43055</v>
      </c>
      <c r="B604" s="58" t="s">
        <v>4</v>
      </c>
    </row>
    <row r="605" spans="1:2" x14ac:dyDescent="0.25">
      <c r="A605" s="57">
        <f t="shared" si="111"/>
        <v>43062</v>
      </c>
      <c r="B605" s="58" t="s">
        <v>4</v>
      </c>
    </row>
    <row r="606" spans="1:2" x14ac:dyDescent="0.25">
      <c r="A606" s="57">
        <f t="shared" si="111"/>
        <v>43069</v>
      </c>
      <c r="B606" s="58" t="s">
        <v>4</v>
      </c>
    </row>
    <row r="607" spans="1:2" x14ac:dyDescent="0.25">
      <c r="A607" s="57">
        <f t="shared" si="111"/>
        <v>43076</v>
      </c>
      <c r="B607" s="58" t="s">
        <v>4</v>
      </c>
    </row>
    <row r="608" spans="1:2" x14ac:dyDescent="0.25">
      <c r="A608" s="57">
        <f t="shared" si="111"/>
        <v>43083</v>
      </c>
      <c r="B608" s="58" t="s">
        <v>4</v>
      </c>
    </row>
    <row r="609" spans="1:2" x14ac:dyDescent="0.25">
      <c r="A609" s="57">
        <f t="shared" si="111"/>
        <v>43090</v>
      </c>
      <c r="B609" s="58" t="s">
        <v>4</v>
      </c>
    </row>
    <row r="610" spans="1:2" x14ac:dyDescent="0.25">
      <c r="A610" s="57">
        <f t="shared" si="111"/>
        <v>43097</v>
      </c>
      <c r="B610" s="58" t="s">
        <v>4</v>
      </c>
    </row>
    <row r="611" spans="1:2" x14ac:dyDescent="0.25">
      <c r="A611" s="57">
        <f t="shared" si="111"/>
        <v>43104</v>
      </c>
      <c r="B611" s="58" t="s">
        <v>4</v>
      </c>
    </row>
    <row r="612" spans="1:2" x14ac:dyDescent="0.25">
      <c r="A612" s="57">
        <f t="shared" si="111"/>
        <v>43111</v>
      </c>
      <c r="B612" s="58" t="s">
        <v>4</v>
      </c>
    </row>
    <row r="613" spans="1:2" x14ac:dyDescent="0.25">
      <c r="A613" s="57">
        <f t="shared" si="111"/>
        <v>43118</v>
      </c>
      <c r="B613" s="58" t="s">
        <v>4</v>
      </c>
    </row>
    <row r="614" spans="1:2" x14ac:dyDescent="0.25">
      <c r="A614" s="57">
        <f t="shared" si="111"/>
        <v>43125</v>
      </c>
      <c r="B614" s="58" t="s">
        <v>4</v>
      </c>
    </row>
    <row r="615" spans="1:2" x14ac:dyDescent="0.25">
      <c r="A615" s="57">
        <f t="shared" si="111"/>
        <v>43132</v>
      </c>
      <c r="B615" s="58" t="s">
        <v>4</v>
      </c>
    </row>
    <row r="616" spans="1:2" x14ac:dyDescent="0.25">
      <c r="A616" s="57">
        <f t="shared" si="111"/>
        <v>43139</v>
      </c>
      <c r="B616" s="58" t="s">
        <v>4</v>
      </c>
    </row>
    <row r="617" spans="1:2" x14ac:dyDescent="0.25">
      <c r="A617" s="57">
        <f t="shared" si="111"/>
        <v>43146</v>
      </c>
      <c r="B617" s="58" t="s">
        <v>4</v>
      </c>
    </row>
    <row r="618" spans="1:2" x14ac:dyDescent="0.25">
      <c r="A618" s="57">
        <f t="shared" si="111"/>
        <v>43153</v>
      </c>
      <c r="B618" s="58" t="s">
        <v>4</v>
      </c>
    </row>
    <row r="619" spans="1:2" x14ac:dyDescent="0.25">
      <c r="A619" s="57">
        <f t="shared" si="111"/>
        <v>43160</v>
      </c>
      <c r="B619" s="58" t="s">
        <v>4</v>
      </c>
    </row>
    <row r="620" spans="1:2" x14ac:dyDescent="0.25">
      <c r="A620" s="57">
        <f t="shared" si="111"/>
        <v>43167</v>
      </c>
      <c r="B620" s="58" t="s">
        <v>4</v>
      </c>
    </row>
    <row r="621" spans="1:2" x14ac:dyDescent="0.25">
      <c r="A621" s="57">
        <f t="shared" si="111"/>
        <v>43174</v>
      </c>
      <c r="B621" s="58" t="s">
        <v>4</v>
      </c>
    </row>
    <row r="622" spans="1:2" x14ac:dyDescent="0.25">
      <c r="A622" s="57">
        <f t="shared" si="111"/>
        <v>43181</v>
      </c>
      <c r="B622" s="58" t="s">
        <v>4</v>
      </c>
    </row>
    <row r="623" spans="1:2" x14ac:dyDescent="0.25">
      <c r="A623" s="57">
        <f t="shared" si="111"/>
        <v>43188</v>
      </c>
      <c r="B623" s="58" t="s">
        <v>4</v>
      </c>
    </row>
    <row r="624" spans="1:2" x14ac:dyDescent="0.25">
      <c r="A624" s="57">
        <f t="shared" si="111"/>
        <v>43195</v>
      </c>
      <c r="B624" s="58" t="s">
        <v>4</v>
      </c>
    </row>
    <row r="625" spans="1:2" x14ac:dyDescent="0.25">
      <c r="A625" s="57">
        <f t="shared" si="111"/>
        <v>43202</v>
      </c>
      <c r="B625" s="58" t="s">
        <v>4</v>
      </c>
    </row>
    <row r="626" spans="1:2" x14ac:dyDescent="0.25">
      <c r="A626" s="57">
        <f t="shared" si="111"/>
        <v>43209</v>
      </c>
      <c r="B626" s="58" t="s">
        <v>4</v>
      </c>
    </row>
    <row r="627" spans="1:2" x14ac:dyDescent="0.25">
      <c r="A627" s="57">
        <f t="shared" si="111"/>
        <v>43216</v>
      </c>
      <c r="B627" s="58" t="s">
        <v>4</v>
      </c>
    </row>
    <row r="628" spans="1:2" x14ac:dyDescent="0.25">
      <c r="A628" s="57">
        <f t="shared" si="111"/>
        <v>43223</v>
      </c>
      <c r="B628" s="58" t="s">
        <v>4</v>
      </c>
    </row>
    <row r="629" spans="1:2" x14ac:dyDescent="0.25">
      <c r="A629" s="57">
        <f t="shared" si="111"/>
        <v>43230</v>
      </c>
      <c r="B629" s="58" t="s">
        <v>4</v>
      </c>
    </row>
    <row r="630" spans="1:2" x14ac:dyDescent="0.25">
      <c r="A630" s="57">
        <f t="shared" si="111"/>
        <v>43237</v>
      </c>
      <c r="B630" s="58" t="s">
        <v>4</v>
      </c>
    </row>
    <row r="631" spans="1:2" x14ac:dyDescent="0.25">
      <c r="A631" s="57">
        <f t="shared" si="111"/>
        <v>43244</v>
      </c>
      <c r="B631" s="58" t="s">
        <v>4</v>
      </c>
    </row>
    <row r="632" spans="1:2" x14ac:dyDescent="0.25">
      <c r="A632" s="57">
        <f t="shared" si="111"/>
        <v>43251</v>
      </c>
      <c r="B632" s="58" t="s">
        <v>4</v>
      </c>
    </row>
    <row r="633" spans="1:2" x14ac:dyDescent="0.25">
      <c r="A633" s="57">
        <f t="shared" si="111"/>
        <v>43258</v>
      </c>
      <c r="B633" s="58" t="s">
        <v>4</v>
      </c>
    </row>
    <row r="634" spans="1:2" x14ac:dyDescent="0.25">
      <c r="A634" s="57">
        <f t="shared" si="111"/>
        <v>43265</v>
      </c>
      <c r="B634" s="58" t="s">
        <v>4</v>
      </c>
    </row>
    <row r="635" spans="1:2" x14ac:dyDescent="0.25">
      <c r="A635" s="57">
        <f t="shared" si="111"/>
        <v>43272</v>
      </c>
      <c r="B635" s="58" t="s">
        <v>4</v>
      </c>
    </row>
    <row r="636" spans="1:2" x14ac:dyDescent="0.25">
      <c r="A636" s="57">
        <f t="shared" si="111"/>
        <v>43279</v>
      </c>
      <c r="B636" s="58" t="s">
        <v>4</v>
      </c>
    </row>
    <row r="637" spans="1:2" x14ac:dyDescent="0.25">
      <c r="A637" s="57">
        <f t="shared" si="111"/>
        <v>43286</v>
      </c>
      <c r="B637" s="58" t="s">
        <v>4</v>
      </c>
    </row>
    <row r="638" spans="1:2" x14ac:dyDescent="0.25">
      <c r="A638" s="57">
        <f t="shared" si="111"/>
        <v>43293</v>
      </c>
      <c r="B638" s="58" t="s">
        <v>4</v>
      </c>
    </row>
    <row r="639" spans="1:2" x14ac:dyDescent="0.25">
      <c r="A639" s="57">
        <f t="shared" si="111"/>
        <v>43300</v>
      </c>
      <c r="B639" s="58" t="s">
        <v>4</v>
      </c>
    </row>
    <row r="640" spans="1:2" x14ac:dyDescent="0.25">
      <c r="A640" s="57">
        <f t="shared" si="111"/>
        <v>43307</v>
      </c>
      <c r="B640" s="58" t="s">
        <v>4</v>
      </c>
    </row>
    <row r="641" spans="1:2" x14ac:dyDescent="0.25">
      <c r="A641" s="57">
        <f t="shared" si="111"/>
        <v>43314</v>
      </c>
      <c r="B641" s="58" t="s">
        <v>4</v>
      </c>
    </row>
    <row r="642" spans="1:2" x14ac:dyDescent="0.25">
      <c r="A642" s="57">
        <f t="shared" si="111"/>
        <v>43321</v>
      </c>
      <c r="B642" s="58" t="s">
        <v>4</v>
      </c>
    </row>
    <row r="643" spans="1:2" x14ac:dyDescent="0.25">
      <c r="A643" s="57">
        <f t="shared" si="111"/>
        <v>43328</v>
      </c>
      <c r="B643" s="58" t="s">
        <v>4</v>
      </c>
    </row>
    <row r="644" spans="1:2" x14ac:dyDescent="0.25">
      <c r="A644" s="57">
        <f t="shared" ref="A644:A707" si="112">+A643+7</f>
        <v>43335</v>
      </c>
      <c r="B644" s="58" t="s">
        <v>4</v>
      </c>
    </row>
    <row r="645" spans="1:2" x14ac:dyDescent="0.25">
      <c r="A645" s="57">
        <f t="shared" si="112"/>
        <v>43342</v>
      </c>
      <c r="B645" s="58" t="s">
        <v>4</v>
      </c>
    </row>
    <row r="646" spans="1:2" x14ac:dyDescent="0.25">
      <c r="A646" s="57">
        <f t="shared" si="112"/>
        <v>43349</v>
      </c>
      <c r="B646" s="58" t="s">
        <v>4</v>
      </c>
    </row>
    <row r="647" spans="1:2" x14ac:dyDescent="0.25">
      <c r="A647" s="57">
        <f t="shared" si="112"/>
        <v>43356</v>
      </c>
      <c r="B647" s="58" t="s">
        <v>4</v>
      </c>
    </row>
    <row r="648" spans="1:2" x14ac:dyDescent="0.25">
      <c r="A648" s="57">
        <f t="shared" si="112"/>
        <v>43363</v>
      </c>
      <c r="B648" s="58" t="s">
        <v>4</v>
      </c>
    </row>
    <row r="649" spans="1:2" x14ac:dyDescent="0.25">
      <c r="A649" s="57">
        <f t="shared" si="112"/>
        <v>43370</v>
      </c>
      <c r="B649" s="58" t="s">
        <v>4</v>
      </c>
    </row>
    <row r="650" spans="1:2" x14ac:dyDescent="0.25">
      <c r="A650" s="57">
        <f t="shared" si="112"/>
        <v>43377</v>
      </c>
      <c r="B650" s="58" t="s">
        <v>4</v>
      </c>
    </row>
    <row r="651" spans="1:2" x14ac:dyDescent="0.25">
      <c r="A651" s="57">
        <f t="shared" si="112"/>
        <v>43384</v>
      </c>
      <c r="B651" s="58" t="s">
        <v>4</v>
      </c>
    </row>
    <row r="652" spans="1:2" x14ac:dyDescent="0.25">
      <c r="A652" s="57">
        <f t="shared" si="112"/>
        <v>43391</v>
      </c>
      <c r="B652" s="58" t="s">
        <v>4</v>
      </c>
    </row>
    <row r="653" spans="1:2" x14ac:dyDescent="0.25">
      <c r="A653" s="57">
        <f t="shared" si="112"/>
        <v>43398</v>
      </c>
      <c r="B653" s="58" t="s">
        <v>4</v>
      </c>
    </row>
    <row r="654" spans="1:2" x14ac:dyDescent="0.25">
      <c r="A654" s="57">
        <f t="shared" si="112"/>
        <v>43405</v>
      </c>
      <c r="B654" s="58" t="s">
        <v>4</v>
      </c>
    </row>
    <row r="655" spans="1:2" x14ac:dyDescent="0.25">
      <c r="A655" s="57">
        <f t="shared" si="112"/>
        <v>43412</v>
      </c>
      <c r="B655" s="58" t="s">
        <v>4</v>
      </c>
    </row>
    <row r="656" spans="1:2" x14ac:dyDescent="0.25">
      <c r="A656" s="57">
        <f t="shared" si="112"/>
        <v>43419</v>
      </c>
      <c r="B656" s="58" t="s">
        <v>4</v>
      </c>
    </row>
    <row r="657" spans="1:2" x14ac:dyDescent="0.25">
      <c r="A657" s="57">
        <f t="shared" si="112"/>
        <v>43426</v>
      </c>
      <c r="B657" s="58" t="s">
        <v>4</v>
      </c>
    </row>
    <row r="658" spans="1:2" x14ac:dyDescent="0.25">
      <c r="A658" s="57">
        <f t="shared" si="112"/>
        <v>43433</v>
      </c>
      <c r="B658" s="58" t="s">
        <v>4</v>
      </c>
    </row>
    <row r="659" spans="1:2" x14ac:dyDescent="0.25">
      <c r="A659" s="57">
        <f t="shared" si="112"/>
        <v>43440</v>
      </c>
      <c r="B659" s="58" t="s">
        <v>4</v>
      </c>
    </row>
    <row r="660" spans="1:2" x14ac:dyDescent="0.25">
      <c r="A660" s="57">
        <f t="shared" si="112"/>
        <v>43447</v>
      </c>
      <c r="B660" s="58" t="s">
        <v>4</v>
      </c>
    </row>
    <row r="661" spans="1:2" x14ac:dyDescent="0.25">
      <c r="A661" s="57">
        <f t="shared" si="112"/>
        <v>43454</v>
      </c>
      <c r="B661" s="58" t="s">
        <v>4</v>
      </c>
    </row>
    <row r="662" spans="1:2" x14ac:dyDescent="0.25">
      <c r="A662" s="57">
        <f t="shared" si="112"/>
        <v>43461</v>
      </c>
      <c r="B662" s="58" t="s">
        <v>4</v>
      </c>
    </row>
    <row r="663" spans="1:2" x14ac:dyDescent="0.25">
      <c r="A663" s="57">
        <f t="shared" si="112"/>
        <v>43468</v>
      </c>
      <c r="B663" s="58" t="s">
        <v>4</v>
      </c>
    </row>
    <row r="664" spans="1:2" x14ac:dyDescent="0.25">
      <c r="A664" s="57">
        <f t="shared" si="112"/>
        <v>43475</v>
      </c>
      <c r="B664" s="58" t="s">
        <v>4</v>
      </c>
    </row>
    <row r="665" spans="1:2" x14ac:dyDescent="0.25">
      <c r="A665" s="57">
        <f t="shared" si="112"/>
        <v>43482</v>
      </c>
      <c r="B665" s="58" t="s">
        <v>4</v>
      </c>
    </row>
    <row r="666" spans="1:2" x14ac:dyDescent="0.25">
      <c r="A666" s="57">
        <f t="shared" si="112"/>
        <v>43489</v>
      </c>
      <c r="B666" s="58" t="s">
        <v>4</v>
      </c>
    </row>
    <row r="667" spans="1:2" x14ac:dyDescent="0.25">
      <c r="A667" s="57">
        <f t="shared" si="112"/>
        <v>43496</v>
      </c>
      <c r="B667" s="58" t="s">
        <v>4</v>
      </c>
    </row>
    <row r="668" spans="1:2" x14ac:dyDescent="0.25">
      <c r="A668" s="57">
        <f t="shared" si="112"/>
        <v>43503</v>
      </c>
      <c r="B668" s="58" t="s">
        <v>4</v>
      </c>
    </row>
    <row r="669" spans="1:2" x14ac:dyDescent="0.25">
      <c r="A669" s="57">
        <f t="shared" si="112"/>
        <v>43510</v>
      </c>
      <c r="B669" s="58" t="s">
        <v>4</v>
      </c>
    </row>
    <row r="670" spans="1:2" x14ac:dyDescent="0.25">
      <c r="A670" s="57">
        <f t="shared" si="112"/>
        <v>43517</v>
      </c>
      <c r="B670" s="58" t="s">
        <v>4</v>
      </c>
    </row>
    <row r="671" spans="1:2" x14ac:dyDescent="0.25">
      <c r="A671" s="57">
        <f t="shared" si="112"/>
        <v>43524</v>
      </c>
      <c r="B671" s="58" t="s">
        <v>4</v>
      </c>
    </row>
    <row r="672" spans="1:2" x14ac:dyDescent="0.25">
      <c r="A672" s="57">
        <f t="shared" si="112"/>
        <v>43531</v>
      </c>
      <c r="B672" s="58" t="s">
        <v>4</v>
      </c>
    </row>
    <row r="673" spans="1:2" x14ac:dyDescent="0.25">
      <c r="A673" s="57">
        <f t="shared" si="112"/>
        <v>43538</v>
      </c>
      <c r="B673" s="58" t="s">
        <v>4</v>
      </c>
    </row>
    <row r="674" spans="1:2" x14ac:dyDescent="0.25">
      <c r="A674" s="57">
        <f t="shared" si="112"/>
        <v>43545</v>
      </c>
      <c r="B674" s="58" t="s">
        <v>4</v>
      </c>
    </row>
    <row r="675" spans="1:2" x14ac:dyDescent="0.25">
      <c r="A675" s="57">
        <f t="shared" si="112"/>
        <v>43552</v>
      </c>
      <c r="B675" s="58" t="s">
        <v>4</v>
      </c>
    </row>
    <row r="676" spans="1:2" x14ac:dyDescent="0.25">
      <c r="A676" s="57">
        <f t="shared" si="112"/>
        <v>43559</v>
      </c>
      <c r="B676" s="58" t="s">
        <v>4</v>
      </c>
    </row>
    <row r="677" spans="1:2" x14ac:dyDescent="0.25">
      <c r="A677" s="57">
        <f t="shared" si="112"/>
        <v>43566</v>
      </c>
      <c r="B677" s="58" t="s">
        <v>4</v>
      </c>
    </row>
    <row r="678" spans="1:2" x14ac:dyDescent="0.25">
      <c r="A678" s="57">
        <f t="shared" si="112"/>
        <v>43573</v>
      </c>
      <c r="B678" s="58" t="s">
        <v>4</v>
      </c>
    </row>
    <row r="679" spans="1:2" x14ac:dyDescent="0.25">
      <c r="A679" s="57">
        <f t="shared" si="112"/>
        <v>43580</v>
      </c>
      <c r="B679" s="58" t="s">
        <v>4</v>
      </c>
    </row>
    <row r="680" spans="1:2" x14ac:dyDescent="0.25">
      <c r="A680" s="57">
        <f t="shared" si="112"/>
        <v>43587</v>
      </c>
      <c r="B680" s="58" t="s">
        <v>4</v>
      </c>
    </row>
    <row r="681" spans="1:2" x14ac:dyDescent="0.25">
      <c r="A681" s="57">
        <f t="shared" si="112"/>
        <v>43594</v>
      </c>
      <c r="B681" s="58" t="s">
        <v>4</v>
      </c>
    </row>
    <row r="682" spans="1:2" x14ac:dyDescent="0.25">
      <c r="A682" s="57">
        <f t="shared" si="112"/>
        <v>43601</v>
      </c>
      <c r="B682" s="58" t="s">
        <v>4</v>
      </c>
    </row>
    <row r="683" spans="1:2" x14ac:dyDescent="0.25">
      <c r="A683" s="57">
        <f t="shared" si="112"/>
        <v>43608</v>
      </c>
      <c r="B683" s="58" t="s">
        <v>4</v>
      </c>
    </row>
    <row r="684" spans="1:2" x14ac:dyDescent="0.25">
      <c r="A684" s="57">
        <f t="shared" si="112"/>
        <v>43615</v>
      </c>
      <c r="B684" s="58" t="s">
        <v>4</v>
      </c>
    </row>
    <row r="685" spans="1:2" x14ac:dyDescent="0.25">
      <c r="A685" s="57">
        <f t="shared" si="112"/>
        <v>43622</v>
      </c>
      <c r="B685" s="58" t="s">
        <v>4</v>
      </c>
    </row>
    <row r="686" spans="1:2" x14ac:dyDescent="0.25">
      <c r="A686" s="57">
        <f t="shared" si="112"/>
        <v>43629</v>
      </c>
      <c r="B686" s="58" t="s">
        <v>4</v>
      </c>
    </row>
    <row r="687" spans="1:2" x14ac:dyDescent="0.25">
      <c r="A687" s="57">
        <f t="shared" si="112"/>
        <v>43636</v>
      </c>
      <c r="B687" s="58" t="s">
        <v>4</v>
      </c>
    </row>
    <row r="688" spans="1:2" x14ac:dyDescent="0.25">
      <c r="A688" s="57">
        <f t="shared" si="112"/>
        <v>43643</v>
      </c>
      <c r="B688" s="58" t="s">
        <v>4</v>
      </c>
    </row>
    <row r="689" spans="1:2" x14ac:dyDescent="0.25">
      <c r="A689" s="57">
        <f t="shared" si="112"/>
        <v>43650</v>
      </c>
      <c r="B689" s="58" t="s">
        <v>4</v>
      </c>
    </row>
    <row r="690" spans="1:2" x14ac:dyDescent="0.25">
      <c r="A690" s="57">
        <f t="shared" si="112"/>
        <v>43657</v>
      </c>
      <c r="B690" s="58" t="s">
        <v>4</v>
      </c>
    </row>
    <row r="691" spans="1:2" x14ac:dyDescent="0.25">
      <c r="A691" s="57">
        <f t="shared" si="112"/>
        <v>43664</v>
      </c>
      <c r="B691" s="58" t="s">
        <v>4</v>
      </c>
    </row>
    <row r="692" spans="1:2" x14ac:dyDescent="0.25">
      <c r="A692" s="57">
        <f t="shared" si="112"/>
        <v>43671</v>
      </c>
      <c r="B692" s="58" t="s">
        <v>4</v>
      </c>
    </row>
    <row r="693" spans="1:2" x14ac:dyDescent="0.25">
      <c r="A693" s="57">
        <f t="shared" si="112"/>
        <v>43678</v>
      </c>
      <c r="B693" s="58" t="s">
        <v>4</v>
      </c>
    </row>
    <row r="694" spans="1:2" x14ac:dyDescent="0.25">
      <c r="A694" s="57">
        <f t="shared" si="112"/>
        <v>43685</v>
      </c>
      <c r="B694" s="58" t="s">
        <v>4</v>
      </c>
    </row>
    <row r="695" spans="1:2" x14ac:dyDescent="0.25">
      <c r="A695" s="57">
        <f t="shared" si="112"/>
        <v>43692</v>
      </c>
      <c r="B695" s="58" t="s">
        <v>4</v>
      </c>
    </row>
    <row r="696" spans="1:2" x14ac:dyDescent="0.25">
      <c r="A696" s="57">
        <f t="shared" si="112"/>
        <v>43699</v>
      </c>
      <c r="B696" s="58" t="s">
        <v>4</v>
      </c>
    </row>
    <row r="697" spans="1:2" x14ac:dyDescent="0.25">
      <c r="A697" s="57">
        <f t="shared" si="112"/>
        <v>43706</v>
      </c>
      <c r="B697" s="58" t="s">
        <v>4</v>
      </c>
    </row>
    <row r="698" spans="1:2" x14ac:dyDescent="0.25">
      <c r="A698" s="57">
        <f t="shared" si="112"/>
        <v>43713</v>
      </c>
      <c r="B698" s="58" t="s">
        <v>4</v>
      </c>
    </row>
    <row r="699" spans="1:2" x14ac:dyDescent="0.25">
      <c r="A699" s="57">
        <f t="shared" si="112"/>
        <v>43720</v>
      </c>
      <c r="B699" s="58" t="s">
        <v>4</v>
      </c>
    </row>
    <row r="700" spans="1:2" x14ac:dyDescent="0.25">
      <c r="A700" s="57">
        <f t="shared" si="112"/>
        <v>43727</v>
      </c>
      <c r="B700" s="58" t="s">
        <v>4</v>
      </c>
    </row>
    <row r="701" spans="1:2" x14ac:dyDescent="0.25">
      <c r="A701" s="57">
        <f t="shared" si="112"/>
        <v>43734</v>
      </c>
      <c r="B701" s="58" t="s">
        <v>4</v>
      </c>
    </row>
    <row r="702" spans="1:2" x14ac:dyDescent="0.25">
      <c r="A702" s="57">
        <f t="shared" si="112"/>
        <v>43741</v>
      </c>
      <c r="B702" s="58" t="s">
        <v>4</v>
      </c>
    </row>
    <row r="703" spans="1:2" x14ac:dyDescent="0.25">
      <c r="A703" s="57">
        <f t="shared" si="112"/>
        <v>43748</v>
      </c>
      <c r="B703" s="58" t="s">
        <v>4</v>
      </c>
    </row>
    <row r="704" spans="1:2" x14ac:dyDescent="0.25">
      <c r="A704" s="57">
        <f t="shared" si="112"/>
        <v>43755</v>
      </c>
      <c r="B704" s="58" t="s">
        <v>4</v>
      </c>
    </row>
    <row r="705" spans="1:2" x14ac:dyDescent="0.25">
      <c r="A705" s="57">
        <f t="shared" si="112"/>
        <v>43762</v>
      </c>
      <c r="B705" s="58" t="s">
        <v>4</v>
      </c>
    </row>
    <row r="706" spans="1:2" x14ac:dyDescent="0.25">
      <c r="A706" s="57">
        <f t="shared" si="112"/>
        <v>43769</v>
      </c>
      <c r="B706" s="58" t="s">
        <v>4</v>
      </c>
    </row>
    <row r="707" spans="1:2" x14ac:dyDescent="0.25">
      <c r="A707" s="57">
        <f t="shared" si="112"/>
        <v>43776</v>
      </c>
      <c r="B707" s="58" t="s">
        <v>4</v>
      </c>
    </row>
    <row r="708" spans="1:2" x14ac:dyDescent="0.25">
      <c r="A708" s="57">
        <f t="shared" ref="A708:A771" si="113">+A707+7</f>
        <v>43783</v>
      </c>
      <c r="B708" s="58" t="s">
        <v>4</v>
      </c>
    </row>
    <row r="709" spans="1:2" x14ac:dyDescent="0.25">
      <c r="A709" s="57">
        <f t="shared" si="113"/>
        <v>43790</v>
      </c>
      <c r="B709" s="58" t="s">
        <v>4</v>
      </c>
    </row>
    <row r="710" spans="1:2" x14ac:dyDescent="0.25">
      <c r="A710" s="57">
        <f t="shared" si="113"/>
        <v>43797</v>
      </c>
      <c r="B710" s="58" t="s">
        <v>4</v>
      </c>
    </row>
    <row r="711" spans="1:2" x14ac:dyDescent="0.25">
      <c r="A711" s="57">
        <f t="shared" si="113"/>
        <v>43804</v>
      </c>
      <c r="B711" s="58" t="s">
        <v>4</v>
      </c>
    </row>
    <row r="712" spans="1:2" x14ac:dyDescent="0.25">
      <c r="A712" s="57">
        <f t="shared" si="113"/>
        <v>43811</v>
      </c>
      <c r="B712" s="58" t="s">
        <v>4</v>
      </c>
    </row>
    <row r="713" spans="1:2" x14ac:dyDescent="0.25">
      <c r="A713" s="57">
        <f t="shared" si="113"/>
        <v>43818</v>
      </c>
      <c r="B713" s="58" t="s">
        <v>4</v>
      </c>
    </row>
    <row r="714" spans="1:2" x14ac:dyDescent="0.25">
      <c r="A714" s="57">
        <f t="shared" si="113"/>
        <v>43825</v>
      </c>
      <c r="B714" s="58" t="s">
        <v>4</v>
      </c>
    </row>
    <row r="715" spans="1:2" x14ac:dyDescent="0.25">
      <c r="A715" s="57">
        <f t="shared" si="113"/>
        <v>43832</v>
      </c>
      <c r="B715" s="58" t="s">
        <v>4</v>
      </c>
    </row>
    <row r="716" spans="1:2" x14ac:dyDescent="0.25">
      <c r="A716" s="57">
        <f t="shared" si="113"/>
        <v>43839</v>
      </c>
      <c r="B716" s="58" t="s">
        <v>4</v>
      </c>
    </row>
    <row r="717" spans="1:2" x14ac:dyDescent="0.25">
      <c r="A717" s="57">
        <f t="shared" si="113"/>
        <v>43846</v>
      </c>
      <c r="B717" s="58" t="s">
        <v>4</v>
      </c>
    </row>
    <row r="718" spans="1:2" x14ac:dyDescent="0.25">
      <c r="A718" s="57">
        <f t="shared" si="113"/>
        <v>43853</v>
      </c>
      <c r="B718" s="58" t="s">
        <v>4</v>
      </c>
    </row>
    <row r="719" spans="1:2" x14ac:dyDescent="0.25">
      <c r="A719" s="57">
        <f t="shared" si="113"/>
        <v>43860</v>
      </c>
      <c r="B719" s="58" t="s">
        <v>4</v>
      </c>
    </row>
    <row r="720" spans="1:2" x14ac:dyDescent="0.25">
      <c r="A720" s="57">
        <f t="shared" si="113"/>
        <v>43867</v>
      </c>
      <c r="B720" s="58" t="s">
        <v>4</v>
      </c>
    </row>
    <row r="721" spans="1:2" x14ac:dyDescent="0.25">
      <c r="A721" s="57">
        <f t="shared" si="113"/>
        <v>43874</v>
      </c>
      <c r="B721" s="58" t="s">
        <v>4</v>
      </c>
    </row>
    <row r="722" spans="1:2" x14ac:dyDescent="0.25">
      <c r="A722" s="57">
        <f t="shared" si="113"/>
        <v>43881</v>
      </c>
      <c r="B722" s="58" t="s">
        <v>4</v>
      </c>
    </row>
    <row r="723" spans="1:2" x14ac:dyDescent="0.25">
      <c r="A723" s="57">
        <f t="shared" si="113"/>
        <v>43888</v>
      </c>
      <c r="B723" s="58" t="s">
        <v>4</v>
      </c>
    </row>
    <row r="724" spans="1:2" x14ac:dyDescent="0.25">
      <c r="A724" s="57">
        <f t="shared" si="113"/>
        <v>43895</v>
      </c>
      <c r="B724" s="58" t="s">
        <v>4</v>
      </c>
    </row>
    <row r="725" spans="1:2" x14ac:dyDescent="0.25">
      <c r="A725" s="57">
        <f t="shared" si="113"/>
        <v>43902</v>
      </c>
      <c r="B725" s="58" t="s">
        <v>4</v>
      </c>
    </row>
    <row r="726" spans="1:2" x14ac:dyDescent="0.25">
      <c r="A726" s="57">
        <f t="shared" si="113"/>
        <v>43909</v>
      </c>
      <c r="B726" s="58" t="s">
        <v>4</v>
      </c>
    </row>
    <row r="727" spans="1:2" x14ac:dyDescent="0.25">
      <c r="A727" s="57">
        <f t="shared" si="113"/>
        <v>43916</v>
      </c>
      <c r="B727" s="58" t="s">
        <v>4</v>
      </c>
    </row>
    <row r="728" spans="1:2" x14ac:dyDescent="0.25">
      <c r="A728" s="57">
        <f t="shared" si="113"/>
        <v>43923</v>
      </c>
      <c r="B728" s="58" t="s">
        <v>4</v>
      </c>
    </row>
    <row r="729" spans="1:2" x14ac:dyDescent="0.25">
      <c r="A729" s="57">
        <f t="shared" si="113"/>
        <v>43930</v>
      </c>
      <c r="B729" s="58" t="s">
        <v>4</v>
      </c>
    </row>
    <row r="730" spans="1:2" x14ac:dyDescent="0.25">
      <c r="A730" s="57">
        <f t="shared" si="113"/>
        <v>43937</v>
      </c>
      <c r="B730" s="58" t="s">
        <v>4</v>
      </c>
    </row>
    <row r="731" spans="1:2" x14ac:dyDescent="0.25">
      <c r="A731" s="57">
        <f t="shared" si="113"/>
        <v>43944</v>
      </c>
      <c r="B731" s="58" t="s">
        <v>4</v>
      </c>
    </row>
    <row r="732" spans="1:2" x14ac:dyDescent="0.25">
      <c r="A732" s="57">
        <f t="shared" si="113"/>
        <v>43951</v>
      </c>
      <c r="B732" s="58" t="s">
        <v>4</v>
      </c>
    </row>
    <row r="733" spans="1:2" x14ac:dyDescent="0.25">
      <c r="A733" s="57">
        <f t="shared" si="113"/>
        <v>43958</v>
      </c>
      <c r="B733" s="58" t="s">
        <v>4</v>
      </c>
    </row>
    <row r="734" spans="1:2" x14ac:dyDescent="0.25">
      <c r="A734" s="57">
        <f t="shared" si="113"/>
        <v>43965</v>
      </c>
      <c r="B734" s="58" t="s">
        <v>4</v>
      </c>
    </row>
    <row r="735" spans="1:2" x14ac:dyDescent="0.25">
      <c r="A735" s="57">
        <f t="shared" si="113"/>
        <v>43972</v>
      </c>
      <c r="B735" s="58" t="s">
        <v>4</v>
      </c>
    </row>
    <row r="736" spans="1:2" x14ac:dyDescent="0.25">
      <c r="A736" s="57">
        <f t="shared" si="113"/>
        <v>43979</v>
      </c>
      <c r="B736" s="58" t="s">
        <v>4</v>
      </c>
    </row>
    <row r="737" spans="1:2" x14ac:dyDescent="0.25">
      <c r="A737" s="57">
        <f t="shared" si="113"/>
        <v>43986</v>
      </c>
      <c r="B737" s="58" t="s">
        <v>4</v>
      </c>
    </row>
    <row r="738" spans="1:2" x14ac:dyDescent="0.25">
      <c r="A738" s="57">
        <f t="shared" si="113"/>
        <v>43993</v>
      </c>
      <c r="B738" s="58" t="s">
        <v>4</v>
      </c>
    </row>
    <row r="739" spans="1:2" x14ac:dyDescent="0.25">
      <c r="A739" s="57">
        <f t="shared" si="113"/>
        <v>44000</v>
      </c>
      <c r="B739" s="58" t="s">
        <v>4</v>
      </c>
    </row>
    <row r="740" spans="1:2" x14ac:dyDescent="0.25">
      <c r="A740" s="57">
        <f t="shared" si="113"/>
        <v>44007</v>
      </c>
      <c r="B740" s="58" t="s">
        <v>4</v>
      </c>
    </row>
    <row r="741" spans="1:2" x14ac:dyDescent="0.25">
      <c r="A741" s="57">
        <f t="shared" si="113"/>
        <v>44014</v>
      </c>
      <c r="B741" s="58" t="s">
        <v>4</v>
      </c>
    </row>
    <row r="742" spans="1:2" x14ac:dyDescent="0.25">
      <c r="A742" s="57">
        <f t="shared" si="113"/>
        <v>44021</v>
      </c>
      <c r="B742" s="58" t="s">
        <v>4</v>
      </c>
    </row>
    <row r="743" spans="1:2" x14ac:dyDescent="0.25">
      <c r="A743" s="57">
        <f t="shared" si="113"/>
        <v>44028</v>
      </c>
      <c r="B743" s="58" t="s">
        <v>4</v>
      </c>
    </row>
    <row r="744" spans="1:2" x14ac:dyDescent="0.25">
      <c r="A744" s="57">
        <f t="shared" si="113"/>
        <v>44035</v>
      </c>
      <c r="B744" s="58" t="s">
        <v>4</v>
      </c>
    </row>
    <row r="745" spans="1:2" x14ac:dyDescent="0.25">
      <c r="A745" s="57">
        <f t="shared" si="113"/>
        <v>44042</v>
      </c>
      <c r="B745" s="58" t="s">
        <v>4</v>
      </c>
    </row>
    <row r="746" spans="1:2" x14ac:dyDescent="0.25">
      <c r="A746" s="57">
        <f t="shared" si="113"/>
        <v>44049</v>
      </c>
      <c r="B746" s="58" t="s">
        <v>4</v>
      </c>
    </row>
    <row r="747" spans="1:2" x14ac:dyDescent="0.25">
      <c r="A747" s="57">
        <f t="shared" si="113"/>
        <v>44056</v>
      </c>
      <c r="B747" s="58" t="s">
        <v>4</v>
      </c>
    </row>
    <row r="748" spans="1:2" x14ac:dyDescent="0.25">
      <c r="A748" s="57">
        <f t="shared" si="113"/>
        <v>44063</v>
      </c>
      <c r="B748" s="58" t="s">
        <v>4</v>
      </c>
    </row>
    <row r="749" spans="1:2" x14ac:dyDescent="0.25">
      <c r="A749" s="57">
        <f t="shared" si="113"/>
        <v>44070</v>
      </c>
      <c r="B749" s="58" t="s">
        <v>4</v>
      </c>
    </row>
    <row r="750" spans="1:2" x14ac:dyDescent="0.25">
      <c r="A750" s="57">
        <f t="shared" si="113"/>
        <v>44077</v>
      </c>
      <c r="B750" s="58" t="s">
        <v>4</v>
      </c>
    </row>
    <row r="751" spans="1:2" x14ac:dyDescent="0.25">
      <c r="A751" s="57">
        <f t="shared" si="113"/>
        <v>44084</v>
      </c>
      <c r="B751" s="58" t="s">
        <v>4</v>
      </c>
    </row>
    <row r="752" spans="1:2" x14ac:dyDescent="0.25">
      <c r="A752" s="57">
        <f t="shared" si="113"/>
        <v>44091</v>
      </c>
      <c r="B752" s="58" t="s">
        <v>4</v>
      </c>
    </row>
    <row r="753" spans="1:2" x14ac:dyDescent="0.25">
      <c r="A753" s="57">
        <f t="shared" si="113"/>
        <v>44098</v>
      </c>
      <c r="B753" s="58" t="s">
        <v>4</v>
      </c>
    </row>
    <row r="754" spans="1:2" x14ac:dyDescent="0.25">
      <c r="A754" s="57">
        <f t="shared" si="113"/>
        <v>44105</v>
      </c>
      <c r="B754" s="58" t="s">
        <v>4</v>
      </c>
    </row>
    <row r="755" spans="1:2" x14ac:dyDescent="0.25">
      <c r="A755" s="57">
        <f t="shared" si="113"/>
        <v>44112</v>
      </c>
      <c r="B755" s="58" t="s">
        <v>4</v>
      </c>
    </row>
    <row r="756" spans="1:2" x14ac:dyDescent="0.25">
      <c r="A756" s="57">
        <f t="shared" si="113"/>
        <v>44119</v>
      </c>
      <c r="B756" s="58" t="s">
        <v>4</v>
      </c>
    </row>
    <row r="757" spans="1:2" x14ac:dyDescent="0.25">
      <c r="A757" s="57">
        <f t="shared" si="113"/>
        <v>44126</v>
      </c>
      <c r="B757" s="58" t="s">
        <v>4</v>
      </c>
    </row>
    <row r="758" spans="1:2" x14ac:dyDescent="0.25">
      <c r="A758" s="57">
        <f t="shared" si="113"/>
        <v>44133</v>
      </c>
      <c r="B758" s="58" t="s">
        <v>4</v>
      </c>
    </row>
    <row r="759" spans="1:2" x14ac:dyDescent="0.25">
      <c r="A759" s="57">
        <f t="shared" si="113"/>
        <v>44140</v>
      </c>
      <c r="B759" s="58" t="s">
        <v>4</v>
      </c>
    </row>
    <row r="760" spans="1:2" x14ac:dyDescent="0.25">
      <c r="A760" s="57">
        <f t="shared" si="113"/>
        <v>44147</v>
      </c>
      <c r="B760" s="58" t="s">
        <v>4</v>
      </c>
    </row>
    <row r="761" spans="1:2" x14ac:dyDescent="0.25">
      <c r="A761" s="57">
        <f t="shared" si="113"/>
        <v>44154</v>
      </c>
      <c r="B761" s="58" t="s">
        <v>4</v>
      </c>
    </row>
    <row r="762" spans="1:2" x14ac:dyDescent="0.25">
      <c r="A762" s="57">
        <f t="shared" si="113"/>
        <v>44161</v>
      </c>
      <c r="B762" s="58" t="s">
        <v>4</v>
      </c>
    </row>
    <row r="763" spans="1:2" x14ac:dyDescent="0.25">
      <c r="A763" s="57">
        <f t="shared" si="113"/>
        <v>44168</v>
      </c>
      <c r="B763" s="58" t="s">
        <v>4</v>
      </c>
    </row>
    <row r="764" spans="1:2" x14ac:dyDescent="0.25">
      <c r="A764" s="57">
        <f t="shared" si="113"/>
        <v>44175</v>
      </c>
      <c r="B764" s="58" t="s">
        <v>4</v>
      </c>
    </row>
    <row r="765" spans="1:2" x14ac:dyDescent="0.25">
      <c r="A765" s="57">
        <f t="shared" si="113"/>
        <v>44182</v>
      </c>
      <c r="B765" s="58" t="s">
        <v>4</v>
      </c>
    </row>
    <row r="766" spans="1:2" x14ac:dyDescent="0.25">
      <c r="A766" s="57">
        <f t="shared" si="113"/>
        <v>44189</v>
      </c>
      <c r="B766" s="58" t="s">
        <v>4</v>
      </c>
    </row>
    <row r="767" spans="1:2" x14ac:dyDescent="0.25">
      <c r="A767" s="57">
        <f t="shared" si="113"/>
        <v>44196</v>
      </c>
      <c r="B767" s="58" t="s">
        <v>4</v>
      </c>
    </row>
    <row r="768" spans="1:2" x14ac:dyDescent="0.25">
      <c r="A768" s="57">
        <f t="shared" si="113"/>
        <v>44203</v>
      </c>
      <c r="B768" s="58" t="s">
        <v>4</v>
      </c>
    </row>
    <row r="769" spans="1:2" x14ac:dyDescent="0.25">
      <c r="A769" s="57">
        <f t="shared" si="113"/>
        <v>44210</v>
      </c>
      <c r="B769" s="58" t="s">
        <v>4</v>
      </c>
    </row>
    <row r="770" spans="1:2" x14ac:dyDescent="0.25">
      <c r="A770" s="57">
        <f t="shared" si="113"/>
        <v>44217</v>
      </c>
      <c r="B770" s="58" t="s">
        <v>4</v>
      </c>
    </row>
    <row r="771" spans="1:2" x14ac:dyDescent="0.25">
      <c r="A771" s="57">
        <f t="shared" si="113"/>
        <v>44224</v>
      </c>
      <c r="B771" s="58" t="s">
        <v>4</v>
      </c>
    </row>
    <row r="772" spans="1:2" x14ac:dyDescent="0.25">
      <c r="A772" s="57">
        <f t="shared" ref="A772:A834" si="114">+A771+7</f>
        <v>44231</v>
      </c>
      <c r="B772" s="58" t="s">
        <v>4</v>
      </c>
    </row>
    <row r="773" spans="1:2" x14ac:dyDescent="0.25">
      <c r="A773" s="57">
        <f t="shared" si="114"/>
        <v>44238</v>
      </c>
      <c r="B773" s="58" t="s">
        <v>4</v>
      </c>
    </row>
    <row r="774" spans="1:2" x14ac:dyDescent="0.25">
      <c r="A774" s="57">
        <f t="shared" si="114"/>
        <v>44245</v>
      </c>
      <c r="B774" s="58" t="s">
        <v>4</v>
      </c>
    </row>
    <row r="775" spans="1:2" x14ac:dyDescent="0.25">
      <c r="A775" s="57">
        <f t="shared" si="114"/>
        <v>44252</v>
      </c>
      <c r="B775" s="58" t="s">
        <v>4</v>
      </c>
    </row>
    <row r="776" spans="1:2" x14ac:dyDescent="0.25">
      <c r="A776" s="57">
        <f t="shared" si="114"/>
        <v>44259</v>
      </c>
      <c r="B776" s="58" t="s">
        <v>4</v>
      </c>
    </row>
    <row r="777" spans="1:2" x14ac:dyDescent="0.25">
      <c r="A777" s="57">
        <f t="shared" si="114"/>
        <v>44266</v>
      </c>
      <c r="B777" s="58" t="s">
        <v>4</v>
      </c>
    </row>
    <row r="778" spans="1:2" x14ac:dyDescent="0.25">
      <c r="A778" s="57">
        <f t="shared" si="114"/>
        <v>44273</v>
      </c>
      <c r="B778" s="58" t="s">
        <v>4</v>
      </c>
    </row>
    <row r="779" spans="1:2" x14ac:dyDescent="0.25">
      <c r="A779" s="57">
        <f t="shared" si="114"/>
        <v>44280</v>
      </c>
      <c r="B779" s="58" t="s">
        <v>4</v>
      </c>
    </row>
    <row r="780" spans="1:2" x14ac:dyDescent="0.25">
      <c r="A780" s="57">
        <f t="shared" si="114"/>
        <v>44287</v>
      </c>
      <c r="B780" s="58" t="s">
        <v>4</v>
      </c>
    </row>
    <row r="781" spans="1:2" x14ac:dyDescent="0.25">
      <c r="A781" s="57">
        <f t="shared" si="114"/>
        <v>44294</v>
      </c>
      <c r="B781" s="58" t="s">
        <v>4</v>
      </c>
    </row>
    <row r="782" spans="1:2" x14ac:dyDescent="0.25">
      <c r="A782" s="57">
        <f t="shared" si="114"/>
        <v>44301</v>
      </c>
      <c r="B782" s="58" t="s">
        <v>4</v>
      </c>
    </row>
    <row r="783" spans="1:2" x14ac:dyDescent="0.25">
      <c r="A783" s="57">
        <f t="shared" si="114"/>
        <v>44308</v>
      </c>
      <c r="B783" s="58" t="s">
        <v>4</v>
      </c>
    </row>
    <row r="784" spans="1:2" x14ac:dyDescent="0.25">
      <c r="A784" s="57">
        <f t="shared" si="114"/>
        <v>44315</v>
      </c>
      <c r="B784" s="58" t="s">
        <v>4</v>
      </c>
    </row>
    <row r="785" spans="1:2" x14ac:dyDescent="0.25">
      <c r="A785" s="57">
        <f t="shared" si="114"/>
        <v>44322</v>
      </c>
      <c r="B785" s="58" t="s">
        <v>4</v>
      </c>
    </row>
    <row r="786" spans="1:2" x14ac:dyDescent="0.25">
      <c r="A786" s="57">
        <f t="shared" si="114"/>
        <v>44329</v>
      </c>
      <c r="B786" s="58" t="s">
        <v>4</v>
      </c>
    </row>
    <row r="787" spans="1:2" x14ac:dyDescent="0.25">
      <c r="A787" s="57">
        <f t="shared" si="114"/>
        <v>44336</v>
      </c>
      <c r="B787" s="58" t="s">
        <v>4</v>
      </c>
    </row>
    <row r="788" spans="1:2" x14ac:dyDescent="0.25">
      <c r="A788" s="57">
        <f t="shared" si="114"/>
        <v>44343</v>
      </c>
      <c r="B788" s="58" t="s">
        <v>4</v>
      </c>
    </row>
    <row r="789" spans="1:2" x14ac:dyDescent="0.25">
      <c r="A789" s="57">
        <f t="shared" si="114"/>
        <v>44350</v>
      </c>
      <c r="B789" s="58" t="s">
        <v>4</v>
      </c>
    </row>
    <row r="790" spans="1:2" x14ac:dyDescent="0.25">
      <c r="A790" s="57">
        <f t="shared" si="114"/>
        <v>44357</v>
      </c>
      <c r="B790" s="58" t="s">
        <v>4</v>
      </c>
    </row>
    <row r="791" spans="1:2" x14ac:dyDescent="0.25">
      <c r="A791" s="57">
        <f t="shared" si="114"/>
        <v>44364</v>
      </c>
      <c r="B791" s="58" t="s">
        <v>4</v>
      </c>
    </row>
    <row r="792" spans="1:2" x14ac:dyDescent="0.25">
      <c r="A792" s="57">
        <f t="shared" si="114"/>
        <v>44371</v>
      </c>
      <c r="B792" s="58" t="s">
        <v>4</v>
      </c>
    </row>
    <row r="793" spans="1:2" x14ac:dyDescent="0.25">
      <c r="A793" s="57">
        <f t="shared" si="114"/>
        <v>44378</v>
      </c>
      <c r="B793" s="58" t="s">
        <v>4</v>
      </c>
    </row>
    <row r="794" spans="1:2" x14ac:dyDescent="0.25">
      <c r="A794" s="57">
        <f t="shared" si="114"/>
        <v>44385</v>
      </c>
      <c r="B794" s="58" t="s">
        <v>4</v>
      </c>
    </row>
    <row r="795" spans="1:2" x14ac:dyDescent="0.25">
      <c r="A795" s="57">
        <f t="shared" si="114"/>
        <v>44392</v>
      </c>
      <c r="B795" s="58" t="s">
        <v>4</v>
      </c>
    </row>
    <row r="796" spans="1:2" x14ac:dyDescent="0.25">
      <c r="A796" s="57">
        <f t="shared" si="114"/>
        <v>44399</v>
      </c>
      <c r="B796" s="58" t="s">
        <v>4</v>
      </c>
    </row>
    <row r="797" spans="1:2" x14ac:dyDescent="0.25">
      <c r="A797" s="57">
        <f t="shared" si="114"/>
        <v>44406</v>
      </c>
      <c r="B797" s="58" t="s">
        <v>4</v>
      </c>
    </row>
    <row r="798" spans="1:2" x14ac:dyDescent="0.25">
      <c r="A798" s="57">
        <f t="shared" si="114"/>
        <v>44413</v>
      </c>
      <c r="B798" s="58" t="s">
        <v>4</v>
      </c>
    </row>
    <row r="799" spans="1:2" x14ac:dyDescent="0.25">
      <c r="A799" s="57">
        <f t="shared" si="114"/>
        <v>44420</v>
      </c>
      <c r="B799" s="58" t="s">
        <v>4</v>
      </c>
    </row>
    <row r="800" spans="1:2" x14ac:dyDescent="0.25">
      <c r="A800" s="57">
        <f t="shared" si="114"/>
        <v>44427</v>
      </c>
      <c r="B800" s="58" t="s">
        <v>4</v>
      </c>
    </row>
    <row r="801" spans="1:2" x14ac:dyDescent="0.25">
      <c r="A801" s="57">
        <f t="shared" si="114"/>
        <v>44434</v>
      </c>
      <c r="B801" s="58" t="s">
        <v>4</v>
      </c>
    </row>
    <row r="802" spans="1:2" x14ac:dyDescent="0.25">
      <c r="A802" s="57">
        <f t="shared" si="114"/>
        <v>44441</v>
      </c>
      <c r="B802" s="58" t="s">
        <v>4</v>
      </c>
    </row>
    <row r="803" spans="1:2" x14ac:dyDescent="0.25">
      <c r="A803" s="57">
        <f t="shared" si="114"/>
        <v>44448</v>
      </c>
      <c r="B803" s="58" t="s">
        <v>4</v>
      </c>
    </row>
    <row r="804" spans="1:2" x14ac:dyDescent="0.25">
      <c r="A804" s="57">
        <f t="shared" si="114"/>
        <v>44455</v>
      </c>
      <c r="B804" s="58" t="s">
        <v>4</v>
      </c>
    </row>
    <row r="805" spans="1:2" x14ac:dyDescent="0.25">
      <c r="A805" s="57">
        <f t="shared" si="114"/>
        <v>44462</v>
      </c>
      <c r="B805" s="58" t="s">
        <v>4</v>
      </c>
    </row>
    <row r="806" spans="1:2" x14ac:dyDescent="0.25">
      <c r="A806" s="57">
        <f t="shared" si="114"/>
        <v>44469</v>
      </c>
      <c r="B806" s="58" t="s">
        <v>4</v>
      </c>
    </row>
    <row r="807" spans="1:2" x14ac:dyDescent="0.25">
      <c r="A807" s="57">
        <f t="shared" si="114"/>
        <v>44476</v>
      </c>
      <c r="B807" s="58" t="s">
        <v>4</v>
      </c>
    </row>
    <row r="808" spans="1:2" x14ac:dyDescent="0.25">
      <c r="A808" s="57">
        <f t="shared" si="114"/>
        <v>44483</v>
      </c>
      <c r="B808" s="58" t="s">
        <v>4</v>
      </c>
    </row>
    <row r="809" spans="1:2" x14ac:dyDescent="0.25">
      <c r="A809" s="57">
        <f t="shared" si="114"/>
        <v>44490</v>
      </c>
      <c r="B809" s="58" t="s">
        <v>4</v>
      </c>
    </row>
    <row r="810" spans="1:2" x14ac:dyDescent="0.25">
      <c r="A810" s="57">
        <f t="shared" si="114"/>
        <v>44497</v>
      </c>
      <c r="B810" s="58" t="s">
        <v>4</v>
      </c>
    </row>
    <row r="811" spans="1:2" x14ac:dyDescent="0.25">
      <c r="A811" s="57">
        <f t="shared" si="114"/>
        <v>44504</v>
      </c>
      <c r="B811" s="58" t="s">
        <v>4</v>
      </c>
    </row>
    <row r="812" spans="1:2" x14ac:dyDescent="0.25">
      <c r="A812" s="57">
        <f t="shared" si="114"/>
        <v>44511</v>
      </c>
      <c r="B812" s="58" t="s">
        <v>4</v>
      </c>
    </row>
    <row r="813" spans="1:2" x14ac:dyDescent="0.25">
      <c r="A813" s="57">
        <f t="shared" si="114"/>
        <v>44518</v>
      </c>
      <c r="B813" s="58" t="s">
        <v>4</v>
      </c>
    </row>
    <row r="814" spans="1:2" x14ac:dyDescent="0.25">
      <c r="A814" s="57">
        <f t="shared" si="114"/>
        <v>44525</v>
      </c>
      <c r="B814" s="58" t="s">
        <v>4</v>
      </c>
    </row>
    <row r="815" spans="1:2" x14ac:dyDescent="0.25">
      <c r="A815" s="57">
        <f t="shared" si="114"/>
        <v>44532</v>
      </c>
      <c r="B815" s="58" t="s">
        <v>4</v>
      </c>
    </row>
    <row r="816" spans="1:2" x14ac:dyDescent="0.25">
      <c r="A816" s="57">
        <f t="shared" si="114"/>
        <v>44539</v>
      </c>
      <c r="B816" s="58" t="s">
        <v>4</v>
      </c>
    </row>
    <row r="817" spans="1:2" x14ac:dyDescent="0.25">
      <c r="A817" s="57">
        <f t="shared" si="114"/>
        <v>44546</v>
      </c>
      <c r="B817" s="58" t="s">
        <v>4</v>
      </c>
    </row>
    <row r="818" spans="1:2" x14ac:dyDescent="0.25">
      <c r="A818" s="57">
        <f t="shared" si="114"/>
        <v>44553</v>
      </c>
      <c r="B818" s="58" t="s">
        <v>4</v>
      </c>
    </row>
    <row r="819" spans="1:2" x14ac:dyDescent="0.25">
      <c r="A819" s="57">
        <f t="shared" si="114"/>
        <v>44560</v>
      </c>
      <c r="B819" s="58" t="s">
        <v>4</v>
      </c>
    </row>
    <row r="820" spans="1:2" x14ac:dyDescent="0.25">
      <c r="A820" s="57">
        <f t="shared" si="114"/>
        <v>44567</v>
      </c>
      <c r="B820" s="58" t="s">
        <v>4</v>
      </c>
    </row>
    <row r="821" spans="1:2" x14ac:dyDescent="0.25">
      <c r="A821" s="57">
        <f t="shared" si="114"/>
        <v>44574</v>
      </c>
      <c r="B821" s="58" t="s">
        <v>4</v>
      </c>
    </row>
    <row r="822" spans="1:2" x14ac:dyDescent="0.25">
      <c r="A822" s="57">
        <f t="shared" si="114"/>
        <v>44581</v>
      </c>
      <c r="B822" s="58" t="s">
        <v>4</v>
      </c>
    </row>
    <row r="823" spans="1:2" x14ac:dyDescent="0.25">
      <c r="A823" s="57">
        <f t="shared" si="114"/>
        <v>44588</v>
      </c>
      <c r="B823" s="58" t="s">
        <v>4</v>
      </c>
    </row>
    <row r="824" spans="1:2" x14ac:dyDescent="0.25">
      <c r="A824" s="57">
        <f t="shared" si="114"/>
        <v>44595</v>
      </c>
      <c r="B824" s="58" t="s">
        <v>4</v>
      </c>
    </row>
    <row r="825" spans="1:2" x14ac:dyDescent="0.25">
      <c r="A825" s="57">
        <f t="shared" si="114"/>
        <v>44602</v>
      </c>
      <c r="B825" s="58" t="s">
        <v>4</v>
      </c>
    </row>
    <row r="826" spans="1:2" x14ac:dyDescent="0.25">
      <c r="A826" s="57">
        <f t="shared" si="114"/>
        <v>44609</v>
      </c>
      <c r="B826" s="58" t="s">
        <v>4</v>
      </c>
    </row>
    <row r="827" spans="1:2" x14ac:dyDescent="0.25">
      <c r="A827" s="57">
        <f t="shared" si="114"/>
        <v>44616</v>
      </c>
      <c r="B827" s="58" t="s">
        <v>4</v>
      </c>
    </row>
    <row r="828" spans="1:2" x14ac:dyDescent="0.25">
      <c r="A828" s="57">
        <f t="shared" si="114"/>
        <v>44623</v>
      </c>
      <c r="B828" s="58" t="s">
        <v>4</v>
      </c>
    </row>
    <row r="829" spans="1:2" x14ac:dyDescent="0.25">
      <c r="A829" s="57">
        <f t="shared" si="114"/>
        <v>44630</v>
      </c>
      <c r="B829" s="58" t="s">
        <v>4</v>
      </c>
    </row>
    <row r="830" spans="1:2" x14ac:dyDescent="0.25">
      <c r="A830" s="57">
        <f t="shared" si="114"/>
        <v>44637</v>
      </c>
      <c r="B830" s="58" t="s">
        <v>4</v>
      </c>
    </row>
    <row r="831" spans="1:2" x14ac:dyDescent="0.25">
      <c r="A831" s="57">
        <f t="shared" si="114"/>
        <v>44644</v>
      </c>
      <c r="B831" s="58" t="s">
        <v>4</v>
      </c>
    </row>
    <row r="832" spans="1:2" x14ac:dyDescent="0.25">
      <c r="A832" s="57">
        <f t="shared" si="114"/>
        <v>44651</v>
      </c>
      <c r="B832" s="58" t="s">
        <v>4</v>
      </c>
    </row>
    <row r="833" spans="1:2" x14ac:dyDescent="0.25">
      <c r="A833" s="57">
        <f t="shared" si="114"/>
        <v>44658</v>
      </c>
      <c r="B833" s="58" t="s">
        <v>4</v>
      </c>
    </row>
    <row r="834" spans="1:2" x14ac:dyDescent="0.25">
      <c r="A834" s="57">
        <f t="shared" si="114"/>
        <v>44665</v>
      </c>
      <c r="B834" s="58" t="s">
        <v>4</v>
      </c>
    </row>
    <row r="65510" spans="7:9" x14ac:dyDescent="0.25">
      <c r="G65510" s="60"/>
      <c r="H65510" s="60"/>
      <c r="I65510" s="61"/>
    </row>
  </sheetData>
  <mergeCells count="2">
    <mergeCell ref="E2:F2"/>
    <mergeCell ref="G2:H2"/>
  </mergeCells>
  <phoneticPr fontId="2"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2"/>
  </sheetPr>
  <dimension ref="A1:R65510"/>
  <sheetViews>
    <sheetView workbookViewId="0">
      <pane xSplit="2" ySplit="3" topLeftCell="C401" activePane="bottomRight" state="frozen"/>
      <selection pane="topRight" activeCell="C1" sqref="C1"/>
      <selection pane="bottomLeft" activeCell="A4" sqref="A4"/>
      <selection pane="bottomRight" activeCell="E405" sqref="E405"/>
    </sheetView>
  </sheetViews>
  <sheetFormatPr defaultRowHeight="13.2" x14ac:dyDescent="0.25"/>
  <cols>
    <col min="1" max="1" width="7.88671875" customWidth="1"/>
    <col min="2" max="2" width="10.5546875" customWidth="1"/>
    <col min="8" max="8" width="8" customWidth="1"/>
    <col min="9" max="9" width="7.44140625" customWidth="1"/>
  </cols>
  <sheetData>
    <row r="1" spans="1:11" ht="13.8" thickBot="1" x14ac:dyDescent="0.3">
      <c r="B1" s="13" t="s">
        <v>8</v>
      </c>
      <c r="C1" s="6"/>
      <c r="D1" s="6"/>
      <c r="F1" s="14"/>
      <c r="G1" s="6"/>
      <c r="H1" s="6"/>
      <c r="I1" s="6"/>
      <c r="J1" s="6"/>
    </row>
    <row r="2" spans="1:11" x14ac:dyDescent="0.25">
      <c r="C2" t="s">
        <v>9</v>
      </c>
      <c r="E2" s="218" t="s">
        <v>2</v>
      </c>
      <c r="F2" s="219"/>
      <c r="G2" s="218" t="s">
        <v>3</v>
      </c>
      <c r="H2" s="219"/>
      <c r="I2" s="10" t="s">
        <v>18</v>
      </c>
      <c r="J2" s="17"/>
    </row>
    <row r="3" spans="1:11" x14ac:dyDescent="0.25">
      <c r="B3" s="7"/>
      <c r="C3" s="204">
        <v>2013</v>
      </c>
      <c r="D3" s="204">
        <v>2012</v>
      </c>
      <c r="E3" s="204">
        <v>2013</v>
      </c>
      <c r="F3" s="204">
        <v>2012</v>
      </c>
      <c r="G3" s="204">
        <v>2013</v>
      </c>
      <c r="H3" s="204">
        <v>2012</v>
      </c>
      <c r="I3" s="11" t="s">
        <v>6</v>
      </c>
      <c r="J3" s="9" t="s">
        <v>29</v>
      </c>
    </row>
    <row r="4" spans="1:11" x14ac:dyDescent="0.25">
      <c r="A4" s="117" t="s">
        <v>11</v>
      </c>
      <c r="B4" s="20">
        <f>+Taiwan!A4</f>
        <v>38855</v>
      </c>
      <c r="C4">
        <v>724.1</v>
      </c>
      <c r="D4">
        <v>58.2</v>
      </c>
      <c r="E4">
        <v>3292.5</v>
      </c>
      <c r="F4">
        <v>1372.6</v>
      </c>
      <c r="G4" s="4">
        <f t="shared" ref="G4:H40" si="0">+C4+E4</f>
        <v>4016.6</v>
      </c>
      <c r="H4" s="4">
        <f t="shared" si="0"/>
        <v>1430.8</v>
      </c>
      <c r="I4" s="30">
        <f t="shared" ref="I4:I40" si="1">+(G4/H4-1)*100</f>
        <v>180.72407045009786</v>
      </c>
    </row>
    <row r="5" spans="1:11" x14ac:dyDescent="0.25">
      <c r="A5" s="117" t="s">
        <v>11</v>
      </c>
      <c r="B5" s="20">
        <f>+Taiwan!A5</f>
        <v>38862</v>
      </c>
      <c r="C5">
        <v>635</v>
      </c>
      <c r="D5">
        <v>110.2</v>
      </c>
      <c r="E5">
        <v>3443.2</v>
      </c>
      <c r="F5">
        <v>1372.6</v>
      </c>
      <c r="G5" s="4">
        <f t="shared" si="0"/>
        <v>4078.2</v>
      </c>
      <c r="H5" s="4">
        <f t="shared" si="0"/>
        <v>1482.8</v>
      </c>
      <c r="I5" s="30">
        <f t="shared" si="1"/>
        <v>175.03371998920957</v>
      </c>
      <c r="J5">
        <v>1.2</v>
      </c>
    </row>
    <row r="6" spans="1:11" x14ac:dyDescent="0.25">
      <c r="A6" s="117" t="s">
        <v>11</v>
      </c>
      <c r="B6" s="20">
        <f>+Taiwan!A6</f>
        <v>38869</v>
      </c>
      <c r="C6">
        <v>680.7</v>
      </c>
      <c r="D6">
        <v>110.6</v>
      </c>
      <c r="E6">
        <v>3560.6</v>
      </c>
      <c r="F6">
        <v>1373.4</v>
      </c>
      <c r="G6" s="4">
        <f t="shared" si="0"/>
        <v>4241.3</v>
      </c>
      <c r="H6" s="4">
        <f t="shared" si="0"/>
        <v>1484</v>
      </c>
      <c r="I6" s="30">
        <f t="shared" si="1"/>
        <v>185.80188679245288</v>
      </c>
      <c r="J6" s="45">
        <v>56.2</v>
      </c>
      <c r="K6" s="46" t="s">
        <v>38</v>
      </c>
    </row>
    <row r="7" spans="1:11" x14ac:dyDescent="0.25">
      <c r="A7" s="117" t="s">
        <v>11</v>
      </c>
      <c r="B7" s="20">
        <f>+Taiwan!A7</f>
        <v>38876</v>
      </c>
      <c r="C7">
        <v>813.5</v>
      </c>
      <c r="D7">
        <v>121.8</v>
      </c>
      <c r="E7">
        <v>3621.1</v>
      </c>
      <c r="F7">
        <v>1373.4</v>
      </c>
      <c r="G7" s="4">
        <f t="shared" si="0"/>
        <v>4434.6000000000004</v>
      </c>
      <c r="H7" s="4">
        <f t="shared" si="0"/>
        <v>1495.2</v>
      </c>
      <c r="I7" s="44">
        <f t="shared" si="1"/>
        <v>196.58908507223117</v>
      </c>
      <c r="J7">
        <v>1.2</v>
      </c>
    </row>
    <row r="8" spans="1:11" x14ac:dyDescent="0.25">
      <c r="A8" s="117" t="s">
        <v>11</v>
      </c>
      <c r="B8" s="20">
        <f>+Taiwan!A8</f>
        <v>38883</v>
      </c>
      <c r="C8">
        <v>1077.3</v>
      </c>
      <c r="D8">
        <v>121.1</v>
      </c>
      <c r="E8">
        <v>3736.6</v>
      </c>
      <c r="F8">
        <v>1431.6</v>
      </c>
      <c r="G8" s="4">
        <f t="shared" si="0"/>
        <v>4813.8999999999996</v>
      </c>
      <c r="H8" s="4">
        <f t="shared" si="0"/>
        <v>1552.6999999999998</v>
      </c>
      <c r="I8" s="44">
        <f t="shared" si="1"/>
        <v>210.03413408900627</v>
      </c>
      <c r="J8">
        <v>1.2</v>
      </c>
    </row>
    <row r="9" spans="1:11" x14ac:dyDescent="0.25">
      <c r="A9" s="117" t="s">
        <v>11</v>
      </c>
      <c r="B9" s="20">
        <f>+Taiwan!A9</f>
        <v>38890</v>
      </c>
      <c r="C9">
        <v>986.1</v>
      </c>
      <c r="D9">
        <v>239.4</v>
      </c>
      <c r="E9">
        <v>3996.1</v>
      </c>
      <c r="F9">
        <v>1432.3</v>
      </c>
      <c r="G9" s="4">
        <f t="shared" si="0"/>
        <v>4982.2</v>
      </c>
      <c r="H9" s="4">
        <f t="shared" si="0"/>
        <v>1671.7</v>
      </c>
      <c r="I9" s="44">
        <f t="shared" si="1"/>
        <v>198.03194353053777</v>
      </c>
      <c r="J9">
        <v>1.2</v>
      </c>
    </row>
    <row r="10" spans="1:11" x14ac:dyDescent="0.25">
      <c r="A10" s="117" t="s">
        <v>11</v>
      </c>
      <c r="B10" s="20">
        <f>+Taiwan!A10</f>
        <v>38897</v>
      </c>
      <c r="C10">
        <v>800.4</v>
      </c>
      <c r="D10">
        <v>274.3</v>
      </c>
      <c r="E10">
        <v>4205.6000000000004</v>
      </c>
      <c r="F10">
        <v>1512.8</v>
      </c>
      <c r="G10" s="4">
        <f t="shared" si="0"/>
        <v>5006</v>
      </c>
      <c r="H10" s="4">
        <f t="shared" si="0"/>
        <v>1787.1</v>
      </c>
      <c r="I10" s="44">
        <f t="shared" si="1"/>
        <v>180.11862794471494</v>
      </c>
      <c r="J10">
        <v>1.2</v>
      </c>
    </row>
    <row r="11" spans="1:11" x14ac:dyDescent="0.25">
      <c r="A11" s="117" t="s">
        <v>11</v>
      </c>
      <c r="B11" s="20">
        <f>+Taiwan!A11</f>
        <v>38904</v>
      </c>
      <c r="C11">
        <v>765.9</v>
      </c>
      <c r="D11">
        <v>261.8</v>
      </c>
      <c r="E11">
        <v>4210.7</v>
      </c>
      <c r="F11">
        <v>1572.2</v>
      </c>
      <c r="G11" s="4">
        <f t="shared" si="0"/>
        <v>4976.5999999999995</v>
      </c>
      <c r="H11" s="4">
        <f t="shared" si="0"/>
        <v>1834</v>
      </c>
      <c r="I11" s="44">
        <f t="shared" si="1"/>
        <v>171.3522355507088</v>
      </c>
      <c r="J11">
        <v>1.2</v>
      </c>
    </row>
    <row r="12" spans="1:11" x14ac:dyDescent="0.25">
      <c r="A12" s="117" t="s">
        <v>11</v>
      </c>
      <c r="B12" s="20">
        <f>+Taiwan!A12</f>
        <v>38911</v>
      </c>
      <c r="C12">
        <v>617.9</v>
      </c>
      <c r="D12">
        <v>173.5</v>
      </c>
      <c r="E12">
        <v>4421.3999999999996</v>
      </c>
      <c r="F12">
        <v>1663.5</v>
      </c>
      <c r="G12" s="4">
        <f t="shared" si="0"/>
        <v>5039.2999999999993</v>
      </c>
      <c r="H12" s="4">
        <f t="shared" si="0"/>
        <v>1837</v>
      </c>
      <c r="I12" s="44">
        <f t="shared" si="1"/>
        <v>174.32226456178549</v>
      </c>
      <c r="J12">
        <v>1.2</v>
      </c>
    </row>
    <row r="13" spans="1:11" x14ac:dyDescent="0.25">
      <c r="A13" s="117" t="s">
        <v>11</v>
      </c>
      <c r="B13" s="20">
        <f>+Taiwan!A13</f>
        <v>38918</v>
      </c>
      <c r="C13">
        <v>517.70000000000005</v>
      </c>
      <c r="D13">
        <v>173.7</v>
      </c>
      <c r="E13">
        <v>4527</v>
      </c>
      <c r="F13">
        <v>1721.3</v>
      </c>
      <c r="G13" s="4">
        <f t="shared" si="0"/>
        <v>5044.7</v>
      </c>
      <c r="H13" s="4">
        <f t="shared" si="0"/>
        <v>1895</v>
      </c>
      <c r="I13" s="44">
        <f t="shared" si="1"/>
        <v>166.21108179419525</v>
      </c>
      <c r="J13">
        <v>59.2</v>
      </c>
    </row>
    <row r="14" spans="1:11" x14ac:dyDescent="0.25">
      <c r="A14" s="117" t="s">
        <v>11</v>
      </c>
      <c r="B14" s="20">
        <f>+Taiwan!A14</f>
        <v>38925</v>
      </c>
      <c r="C14">
        <v>475.7</v>
      </c>
      <c r="D14">
        <v>181</v>
      </c>
      <c r="E14">
        <v>4675.3</v>
      </c>
      <c r="F14">
        <v>1779</v>
      </c>
      <c r="G14" s="4">
        <f t="shared" si="0"/>
        <v>5151</v>
      </c>
      <c r="H14" s="4">
        <f t="shared" si="0"/>
        <v>1960</v>
      </c>
      <c r="I14" s="44">
        <f t="shared" si="1"/>
        <v>162.80612244897958</v>
      </c>
      <c r="J14">
        <v>230.7</v>
      </c>
    </row>
    <row r="15" spans="1:11" x14ac:dyDescent="0.25">
      <c r="A15" s="117" t="s">
        <v>11</v>
      </c>
      <c r="B15" s="20">
        <f>+Taiwan!A15</f>
        <v>38932</v>
      </c>
      <c r="C15">
        <v>541.4</v>
      </c>
      <c r="D15">
        <v>237.5</v>
      </c>
      <c r="E15">
        <v>4895.7</v>
      </c>
      <c r="F15">
        <v>1836.7</v>
      </c>
      <c r="G15" s="4">
        <f t="shared" si="0"/>
        <v>5437.0999999999995</v>
      </c>
      <c r="H15" s="4">
        <f t="shared" si="0"/>
        <v>2074.1999999999998</v>
      </c>
      <c r="I15" s="44">
        <f t="shared" si="1"/>
        <v>162.12997782277503</v>
      </c>
      <c r="J15">
        <v>230.7</v>
      </c>
    </row>
    <row r="16" spans="1:11" x14ac:dyDescent="0.25">
      <c r="A16" s="117" t="s">
        <v>11</v>
      </c>
      <c r="B16" s="20">
        <f>+Taiwan!A16</f>
        <v>38939</v>
      </c>
      <c r="C16">
        <v>541.6</v>
      </c>
      <c r="D16">
        <v>284.39999999999998</v>
      </c>
      <c r="E16">
        <v>5069.3</v>
      </c>
      <c r="F16">
        <v>1836.8</v>
      </c>
      <c r="G16" s="4">
        <f t="shared" si="0"/>
        <v>5610.9000000000005</v>
      </c>
      <c r="H16" s="4">
        <f t="shared" si="0"/>
        <v>2121.1999999999998</v>
      </c>
      <c r="I16" s="44">
        <f t="shared" si="1"/>
        <v>164.51536865924953</v>
      </c>
      <c r="J16">
        <v>230.7</v>
      </c>
    </row>
    <row r="17" spans="1:10" x14ac:dyDescent="0.25">
      <c r="A17" s="117" t="s">
        <v>11</v>
      </c>
      <c r="B17" s="20">
        <f>+Taiwan!A17</f>
        <v>38946</v>
      </c>
      <c r="C17">
        <v>596.6</v>
      </c>
      <c r="D17">
        <v>286.10000000000002</v>
      </c>
      <c r="E17">
        <v>5069.3</v>
      </c>
      <c r="F17">
        <v>1926.7</v>
      </c>
      <c r="G17" s="4">
        <f t="shared" si="0"/>
        <v>5665.9000000000005</v>
      </c>
      <c r="H17" s="4">
        <f t="shared" si="0"/>
        <v>2212.8000000000002</v>
      </c>
      <c r="I17" s="44">
        <f t="shared" si="1"/>
        <v>156.05115690527839</v>
      </c>
      <c r="J17">
        <v>390.5</v>
      </c>
    </row>
    <row r="18" spans="1:10" x14ac:dyDescent="0.25">
      <c r="A18" s="117" t="s">
        <v>11</v>
      </c>
      <c r="B18" s="20">
        <f>+Taiwan!A18</f>
        <v>38953</v>
      </c>
      <c r="C18">
        <v>323</v>
      </c>
      <c r="D18">
        <v>228.6</v>
      </c>
      <c r="E18">
        <v>5239.2</v>
      </c>
      <c r="F18">
        <v>1981.8</v>
      </c>
      <c r="G18" s="4">
        <f t="shared" si="0"/>
        <v>5562.2</v>
      </c>
      <c r="H18" s="4">
        <f t="shared" si="0"/>
        <v>2210.4</v>
      </c>
      <c r="I18" s="44">
        <f t="shared" si="1"/>
        <v>151.63771263119793</v>
      </c>
      <c r="J18">
        <v>551.29999999999995</v>
      </c>
    </row>
    <row r="19" spans="1:10" x14ac:dyDescent="0.25">
      <c r="A19" s="117" t="s">
        <v>11</v>
      </c>
      <c r="B19" s="20">
        <f>+Taiwan!A19</f>
        <v>38960</v>
      </c>
      <c r="C19">
        <v>62.4</v>
      </c>
      <c r="D19">
        <v>169.8</v>
      </c>
      <c r="E19">
        <v>5572.9</v>
      </c>
      <c r="F19">
        <v>2098.5</v>
      </c>
      <c r="G19" s="4">
        <f t="shared" si="0"/>
        <v>5635.2999999999993</v>
      </c>
      <c r="H19" s="4">
        <f t="shared" si="0"/>
        <v>2268.3000000000002</v>
      </c>
      <c r="I19" s="44">
        <f t="shared" si="1"/>
        <v>148.43715557906796</v>
      </c>
      <c r="J19">
        <v>727.5</v>
      </c>
    </row>
    <row r="20" spans="1:10" x14ac:dyDescent="0.25">
      <c r="A20" s="117" t="s">
        <v>11</v>
      </c>
      <c r="B20" s="53">
        <f>+Taiwan!A20</f>
        <v>38967</v>
      </c>
      <c r="C20">
        <v>669.2</v>
      </c>
      <c r="D20">
        <v>586.29999999999995</v>
      </c>
      <c r="E20">
        <v>175.4</v>
      </c>
      <c r="F20">
        <v>0</v>
      </c>
      <c r="G20" s="4">
        <f t="shared" si="0"/>
        <v>844.6</v>
      </c>
      <c r="H20" s="4">
        <f t="shared" si="0"/>
        <v>586.29999999999995</v>
      </c>
      <c r="I20" s="44">
        <f t="shared" si="1"/>
        <v>44.05594405594406</v>
      </c>
    </row>
    <row r="21" spans="1:10" x14ac:dyDescent="0.25">
      <c r="A21" s="117" t="s">
        <v>11</v>
      </c>
      <c r="B21" s="33">
        <f>+Taiwan!A21</f>
        <v>38974</v>
      </c>
      <c r="C21">
        <v>672.6</v>
      </c>
      <c r="D21">
        <v>528.29999999999995</v>
      </c>
      <c r="E21">
        <v>339.6</v>
      </c>
      <c r="F21">
        <v>58.4</v>
      </c>
      <c r="G21" s="4">
        <f t="shared" si="0"/>
        <v>1012.2</v>
      </c>
      <c r="H21" s="4">
        <f t="shared" si="0"/>
        <v>586.69999999999993</v>
      </c>
      <c r="I21" s="44">
        <f t="shared" si="1"/>
        <v>72.524288392704989</v>
      </c>
    </row>
    <row r="22" spans="1:10" x14ac:dyDescent="0.25">
      <c r="A22" s="117" t="s">
        <v>11</v>
      </c>
      <c r="B22" s="33">
        <f>+Taiwan!A22</f>
        <v>38981</v>
      </c>
      <c r="C22">
        <v>500.2</v>
      </c>
      <c r="D22">
        <v>418.3</v>
      </c>
      <c r="E22">
        <v>454.6</v>
      </c>
      <c r="F22">
        <v>169.5</v>
      </c>
      <c r="G22" s="4">
        <f t="shared" si="0"/>
        <v>954.8</v>
      </c>
      <c r="H22" s="4">
        <f t="shared" si="0"/>
        <v>587.79999999999995</v>
      </c>
      <c r="I22" s="44">
        <f t="shared" si="1"/>
        <v>62.436202790064655</v>
      </c>
    </row>
    <row r="23" spans="1:10" x14ac:dyDescent="0.25">
      <c r="A23" s="117" t="s">
        <v>11</v>
      </c>
      <c r="B23" s="33">
        <f>+Taiwan!A23</f>
        <v>38988</v>
      </c>
      <c r="C23">
        <v>387</v>
      </c>
      <c r="D23">
        <v>398.3</v>
      </c>
      <c r="E23">
        <v>618.79999999999995</v>
      </c>
      <c r="F23">
        <v>341.1</v>
      </c>
      <c r="G23" s="4">
        <f t="shared" si="0"/>
        <v>1005.8</v>
      </c>
      <c r="H23" s="4">
        <f t="shared" si="0"/>
        <v>739.40000000000009</v>
      </c>
      <c r="I23" s="61">
        <f t="shared" si="1"/>
        <v>36.029212875304275</v>
      </c>
    </row>
    <row r="24" spans="1:10" x14ac:dyDescent="0.25">
      <c r="A24" s="117" t="s">
        <v>11</v>
      </c>
      <c r="B24" s="33">
        <f>+Taiwan!A24</f>
        <v>38995</v>
      </c>
      <c r="C24">
        <v>444.9</v>
      </c>
      <c r="D24">
        <v>287.8</v>
      </c>
      <c r="E24">
        <v>618.79999999999995</v>
      </c>
      <c r="F24">
        <v>456.4</v>
      </c>
      <c r="G24" s="4">
        <f t="shared" si="0"/>
        <v>1063.6999999999998</v>
      </c>
      <c r="H24" s="4">
        <f t="shared" si="0"/>
        <v>744.2</v>
      </c>
      <c r="I24" s="61">
        <f t="shared" si="1"/>
        <v>42.932007524858882</v>
      </c>
    </row>
    <row r="25" spans="1:10" x14ac:dyDescent="0.25">
      <c r="A25" s="117" t="s">
        <v>11</v>
      </c>
      <c r="B25" s="33">
        <f>+Taiwan!A25</f>
        <v>39002</v>
      </c>
      <c r="C25">
        <v>444.9</v>
      </c>
      <c r="D25">
        <v>232.8</v>
      </c>
      <c r="E25">
        <v>665.3</v>
      </c>
      <c r="F25">
        <v>456.6</v>
      </c>
      <c r="G25" s="4">
        <f t="shared" si="0"/>
        <v>1110.1999999999998</v>
      </c>
      <c r="H25" s="4">
        <f t="shared" si="0"/>
        <v>689.40000000000009</v>
      </c>
      <c r="I25" s="61">
        <f t="shared" si="1"/>
        <v>61.038584276182142</v>
      </c>
    </row>
    <row r="26" spans="1:10" x14ac:dyDescent="0.25">
      <c r="A26" s="117" t="s">
        <v>11</v>
      </c>
      <c r="B26" s="33">
        <f>+Taiwan!A26</f>
        <v>39009</v>
      </c>
      <c r="C26">
        <v>445</v>
      </c>
      <c r="D26">
        <v>215.7</v>
      </c>
      <c r="E26">
        <v>665.8</v>
      </c>
      <c r="F26">
        <v>515.79999999999995</v>
      </c>
      <c r="G26" s="4">
        <f t="shared" si="0"/>
        <v>1110.8</v>
      </c>
      <c r="H26" s="4">
        <f t="shared" si="0"/>
        <v>731.5</v>
      </c>
      <c r="I26" s="61">
        <f t="shared" si="1"/>
        <v>51.852358168147639</v>
      </c>
    </row>
    <row r="27" spans="1:10" x14ac:dyDescent="0.25">
      <c r="A27" s="117" t="s">
        <v>11</v>
      </c>
      <c r="B27" s="33">
        <f>+Taiwan!A27</f>
        <v>39016</v>
      </c>
      <c r="C27">
        <v>499.9</v>
      </c>
      <c r="D27">
        <v>218.7</v>
      </c>
      <c r="E27">
        <v>666.2</v>
      </c>
      <c r="F27">
        <v>572.79999999999995</v>
      </c>
      <c r="G27" s="4">
        <f t="shared" si="0"/>
        <v>1166.0999999999999</v>
      </c>
      <c r="H27" s="4">
        <f t="shared" si="0"/>
        <v>791.5</v>
      </c>
      <c r="I27" s="61">
        <f t="shared" si="1"/>
        <v>47.327858496525565</v>
      </c>
    </row>
    <row r="28" spans="1:10" x14ac:dyDescent="0.25">
      <c r="A28" s="117" t="s">
        <v>11</v>
      </c>
      <c r="B28" s="33">
        <f>+Taiwan!A28</f>
        <v>39023</v>
      </c>
      <c r="C28">
        <v>618.70000000000005</v>
      </c>
      <c r="D28">
        <v>243.1</v>
      </c>
      <c r="E28">
        <v>781.9</v>
      </c>
      <c r="F28">
        <v>605.1</v>
      </c>
      <c r="G28" s="4">
        <f t="shared" si="0"/>
        <v>1400.6</v>
      </c>
      <c r="H28" s="4">
        <f t="shared" si="0"/>
        <v>848.2</v>
      </c>
      <c r="I28" s="61">
        <f t="shared" si="1"/>
        <v>65.126149493044068</v>
      </c>
    </row>
    <row r="29" spans="1:10" x14ac:dyDescent="0.25">
      <c r="A29" s="117" t="s">
        <v>11</v>
      </c>
      <c r="B29" s="33">
        <f>+Taiwan!A29</f>
        <v>39030</v>
      </c>
      <c r="C29">
        <v>645.29999999999995</v>
      </c>
      <c r="D29">
        <v>244.7</v>
      </c>
      <c r="E29">
        <v>874.5</v>
      </c>
      <c r="F29">
        <v>661.5</v>
      </c>
      <c r="G29" s="4">
        <f t="shared" si="0"/>
        <v>1519.8</v>
      </c>
      <c r="H29" s="4">
        <f t="shared" si="0"/>
        <v>906.2</v>
      </c>
      <c r="I29" s="61">
        <f t="shared" si="1"/>
        <v>67.711322003972626</v>
      </c>
    </row>
    <row r="30" spans="1:10" x14ac:dyDescent="0.25">
      <c r="A30" s="117" t="s">
        <v>11</v>
      </c>
      <c r="B30" s="33">
        <f>+Taiwan!A30</f>
        <v>39037</v>
      </c>
      <c r="C30">
        <v>534.70000000000005</v>
      </c>
      <c r="D30">
        <v>245</v>
      </c>
      <c r="E30">
        <v>990.1</v>
      </c>
      <c r="F30">
        <v>714.6</v>
      </c>
      <c r="G30" s="4">
        <f t="shared" si="0"/>
        <v>1524.8000000000002</v>
      </c>
      <c r="H30" s="4">
        <f t="shared" si="0"/>
        <v>959.6</v>
      </c>
      <c r="I30" s="61">
        <f t="shared" si="1"/>
        <v>58.899541475614846</v>
      </c>
    </row>
    <row r="31" spans="1:10" x14ac:dyDescent="0.25">
      <c r="A31" s="117" t="s">
        <v>11</v>
      </c>
      <c r="B31" s="33">
        <f>+Taiwan!A31</f>
        <v>39044</v>
      </c>
      <c r="C31">
        <v>647.5</v>
      </c>
      <c r="D31">
        <v>245</v>
      </c>
      <c r="E31">
        <v>990.3</v>
      </c>
      <c r="F31">
        <v>774.5</v>
      </c>
      <c r="G31" s="4">
        <f t="shared" si="0"/>
        <v>1637.8</v>
      </c>
      <c r="H31" s="4">
        <f t="shared" si="0"/>
        <v>1019.5</v>
      </c>
      <c r="I31" s="61">
        <f t="shared" si="1"/>
        <v>60.647376164786657</v>
      </c>
    </row>
    <row r="32" spans="1:10" x14ac:dyDescent="0.25">
      <c r="A32" s="117" t="s">
        <v>11</v>
      </c>
      <c r="B32" s="20">
        <f>+B31+7</f>
        <v>39051</v>
      </c>
      <c r="C32">
        <v>700.8</v>
      </c>
      <c r="D32">
        <v>199</v>
      </c>
      <c r="E32">
        <v>1104.9000000000001</v>
      </c>
      <c r="F32">
        <v>774.5</v>
      </c>
      <c r="G32" s="4">
        <f t="shared" si="0"/>
        <v>1805.7</v>
      </c>
      <c r="H32" s="4">
        <f t="shared" si="0"/>
        <v>973.5</v>
      </c>
      <c r="I32" s="61">
        <f t="shared" si="1"/>
        <v>85.485362095531599</v>
      </c>
    </row>
    <row r="33" spans="1:10" x14ac:dyDescent="0.25">
      <c r="A33" s="117" t="s">
        <v>11</v>
      </c>
      <c r="B33" s="20">
        <f t="shared" ref="B33:B253" si="2">+B32+7</f>
        <v>39058</v>
      </c>
      <c r="C33">
        <v>920.1</v>
      </c>
      <c r="D33">
        <v>233.9</v>
      </c>
      <c r="E33">
        <v>1105.5999999999999</v>
      </c>
      <c r="F33">
        <v>774.5</v>
      </c>
      <c r="G33" s="4">
        <f t="shared" si="0"/>
        <v>2025.6999999999998</v>
      </c>
      <c r="H33" s="4">
        <f t="shared" si="0"/>
        <v>1008.4</v>
      </c>
      <c r="I33" s="61">
        <f t="shared" si="1"/>
        <v>100.88258627528757</v>
      </c>
    </row>
    <row r="34" spans="1:10" x14ac:dyDescent="0.25">
      <c r="A34" s="117" t="s">
        <v>11</v>
      </c>
      <c r="B34" s="20">
        <f t="shared" si="2"/>
        <v>39065</v>
      </c>
      <c r="C34">
        <v>1038.2</v>
      </c>
      <c r="D34">
        <v>288.8</v>
      </c>
      <c r="E34">
        <v>1211.3</v>
      </c>
      <c r="F34">
        <v>832.8</v>
      </c>
      <c r="G34" s="4">
        <f t="shared" si="0"/>
        <v>2249.5</v>
      </c>
      <c r="H34" s="4">
        <f t="shared" si="0"/>
        <v>1121.5999999999999</v>
      </c>
      <c r="I34" s="61">
        <f t="shared" si="1"/>
        <v>100.56169757489303</v>
      </c>
    </row>
    <row r="35" spans="1:10" x14ac:dyDescent="0.25">
      <c r="A35" s="117" t="s">
        <v>11</v>
      </c>
      <c r="B35" s="20">
        <f t="shared" si="2"/>
        <v>39072</v>
      </c>
      <c r="C35">
        <v>954</v>
      </c>
      <c r="D35">
        <v>230.6</v>
      </c>
      <c r="E35">
        <v>1325.5</v>
      </c>
      <c r="F35">
        <v>833</v>
      </c>
      <c r="G35" s="4">
        <f t="shared" si="0"/>
        <v>2279.5</v>
      </c>
      <c r="H35" s="4">
        <f t="shared" si="0"/>
        <v>1063.5999999999999</v>
      </c>
      <c r="I35" s="61">
        <f t="shared" si="1"/>
        <v>114.31929296728094</v>
      </c>
    </row>
    <row r="36" spans="1:10" x14ac:dyDescent="0.25">
      <c r="A36" s="117" t="s">
        <v>11</v>
      </c>
      <c r="B36" s="20">
        <f t="shared" si="2"/>
        <v>39079</v>
      </c>
      <c r="C36">
        <v>1009</v>
      </c>
      <c r="D36">
        <v>254.6</v>
      </c>
      <c r="E36">
        <v>1325.5</v>
      </c>
      <c r="F36">
        <v>865.8</v>
      </c>
      <c r="G36" s="4">
        <f t="shared" si="0"/>
        <v>2334.5</v>
      </c>
      <c r="H36" s="4">
        <f t="shared" si="0"/>
        <v>1120.3999999999999</v>
      </c>
      <c r="I36" s="61">
        <f t="shared" si="1"/>
        <v>108.36308461263835</v>
      </c>
    </row>
    <row r="37" spans="1:10" x14ac:dyDescent="0.25">
      <c r="A37" s="117" t="s">
        <v>11</v>
      </c>
      <c r="B37" s="20">
        <f t="shared" si="2"/>
        <v>39086</v>
      </c>
      <c r="C37">
        <v>1008.9</v>
      </c>
      <c r="D37">
        <v>199.6</v>
      </c>
      <c r="E37">
        <v>1325.6</v>
      </c>
      <c r="F37">
        <v>1040.4000000000001</v>
      </c>
      <c r="G37" s="4">
        <f t="shared" si="0"/>
        <v>2334.5</v>
      </c>
      <c r="H37" s="4">
        <f t="shared" si="0"/>
        <v>1240</v>
      </c>
      <c r="I37" s="61">
        <f t="shared" si="1"/>
        <v>88.26612903225805</v>
      </c>
    </row>
    <row r="38" spans="1:10" x14ac:dyDescent="0.25">
      <c r="A38" s="117" t="s">
        <v>11</v>
      </c>
      <c r="B38" s="20">
        <f t="shared" si="2"/>
        <v>39093</v>
      </c>
      <c r="C38">
        <v>898.7</v>
      </c>
      <c r="D38">
        <v>253.9</v>
      </c>
      <c r="E38">
        <v>1382.7</v>
      </c>
      <c r="F38">
        <v>1059.4000000000001</v>
      </c>
      <c r="G38" s="4">
        <f t="shared" si="0"/>
        <v>2281.4</v>
      </c>
      <c r="H38" s="4">
        <f t="shared" si="0"/>
        <v>1313.3000000000002</v>
      </c>
      <c r="I38" s="61">
        <f t="shared" si="1"/>
        <v>73.71506891037842</v>
      </c>
    </row>
    <row r="39" spans="1:10" x14ac:dyDescent="0.25">
      <c r="A39" s="117" t="s">
        <v>11</v>
      </c>
      <c r="B39" s="20">
        <f t="shared" si="2"/>
        <v>39100</v>
      </c>
      <c r="C39">
        <v>898.7</v>
      </c>
      <c r="D39">
        <v>538.9</v>
      </c>
      <c r="E39">
        <v>1382.7</v>
      </c>
      <c r="F39">
        <v>1059.4000000000001</v>
      </c>
      <c r="G39" s="4">
        <f t="shared" si="0"/>
        <v>2281.4</v>
      </c>
      <c r="H39" s="4">
        <f t="shared" si="0"/>
        <v>1598.3000000000002</v>
      </c>
      <c r="I39" s="61">
        <f t="shared" si="1"/>
        <v>42.739160357880237</v>
      </c>
    </row>
    <row r="40" spans="1:10" x14ac:dyDescent="0.25">
      <c r="A40" s="117" t="s">
        <v>11</v>
      </c>
      <c r="B40" s="20">
        <f t="shared" si="2"/>
        <v>39107</v>
      </c>
      <c r="C40">
        <v>840.4</v>
      </c>
      <c r="D40">
        <v>627.9</v>
      </c>
      <c r="E40">
        <v>1498.5</v>
      </c>
      <c r="F40">
        <v>1090.4000000000001</v>
      </c>
      <c r="G40" s="4">
        <f t="shared" si="0"/>
        <v>2338.9</v>
      </c>
      <c r="H40" s="4">
        <f t="shared" si="0"/>
        <v>1718.3000000000002</v>
      </c>
      <c r="I40" s="61">
        <f t="shared" si="1"/>
        <v>36.117092475120756</v>
      </c>
    </row>
    <row r="41" spans="1:10" x14ac:dyDescent="0.25">
      <c r="A41" s="117" t="s">
        <v>11</v>
      </c>
      <c r="B41" s="20">
        <f t="shared" si="2"/>
        <v>39114</v>
      </c>
      <c r="C41">
        <v>724.5</v>
      </c>
      <c r="D41">
        <v>573.20000000000005</v>
      </c>
      <c r="E41">
        <v>1557.9</v>
      </c>
      <c r="F41">
        <v>1207.4000000000001</v>
      </c>
      <c r="G41" s="4">
        <f t="shared" ref="G41:H43" si="3">+C41+E41</f>
        <v>2282.4</v>
      </c>
      <c r="H41" s="4">
        <f t="shared" si="3"/>
        <v>1780.6000000000001</v>
      </c>
      <c r="I41" s="61">
        <f t="shared" ref="I41:I46" si="4">+(G41/H41-1)*100</f>
        <v>28.181511849938225</v>
      </c>
    </row>
    <row r="42" spans="1:10" x14ac:dyDescent="0.25">
      <c r="A42" s="117" t="s">
        <v>11</v>
      </c>
      <c r="B42" s="20">
        <f t="shared" si="2"/>
        <v>39121</v>
      </c>
      <c r="C42">
        <v>724.1</v>
      </c>
      <c r="D42">
        <v>628.20000000000005</v>
      </c>
      <c r="E42">
        <v>1558.3</v>
      </c>
      <c r="F42">
        <v>1379.5</v>
      </c>
      <c r="G42" s="4">
        <f t="shared" si="3"/>
        <v>2282.4</v>
      </c>
      <c r="H42" s="4">
        <f t="shared" si="3"/>
        <v>2007.7</v>
      </c>
      <c r="I42" s="61">
        <f t="shared" si="4"/>
        <v>13.682323056233514</v>
      </c>
    </row>
    <row r="43" spans="1:10" x14ac:dyDescent="0.25">
      <c r="A43" s="117" t="s">
        <v>11</v>
      </c>
      <c r="B43" s="20">
        <f t="shared" si="2"/>
        <v>39128</v>
      </c>
      <c r="C43">
        <v>666</v>
      </c>
      <c r="D43">
        <v>680.2</v>
      </c>
      <c r="E43">
        <v>1673.9</v>
      </c>
      <c r="F43">
        <v>1437.3</v>
      </c>
      <c r="G43" s="4">
        <f t="shared" si="3"/>
        <v>2339.9</v>
      </c>
      <c r="H43" s="4">
        <f t="shared" si="3"/>
        <v>2117.5</v>
      </c>
      <c r="I43" s="61">
        <f t="shared" si="4"/>
        <v>10.502951593860699</v>
      </c>
    </row>
    <row r="44" spans="1:10" x14ac:dyDescent="0.25">
      <c r="A44" s="117" t="s">
        <v>11</v>
      </c>
      <c r="B44" s="20">
        <f t="shared" si="2"/>
        <v>39135</v>
      </c>
      <c r="C44">
        <v>665.9</v>
      </c>
      <c r="D44">
        <v>726.2</v>
      </c>
      <c r="E44">
        <v>1674</v>
      </c>
      <c r="F44">
        <v>1493</v>
      </c>
      <c r="G44" s="4">
        <f t="shared" ref="G44:H46" si="5">+C44+E44</f>
        <v>2339.9</v>
      </c>
      <c r="H44" s="4">
        <f t="shared" si="5"/>
        <v>2219.1999999999998</v>
      </c>
      <c r="I44" s="61">
        <f t="shared" si="4"/>
        <v>5.4388968997837184</v>
      </c>
    </row>
    <row r="45" spans="1:10" x14ac:dyDescent="0.25">
      <c r="A45" s="117" t="s">
        <v>11</v>
      </c>
      <c r="B45" s="20">
        <f t="shared" si="2"/>
        <v>39142</v>
      </c>
      <c r="C45">
        <v>610.9</v>
      </c>
      <c r="D45">
        <v>671</v>
      </c>
      <c r="E45">
        <v>1731.8</v>
      </c>
      <c r="F45">
        <v>1629.6</v>
      </c>
      <c r="G45" s="4">
        <f t="shared" si="5"/>
        <v>2342.6999999999998</v>
      </c>
      <c r="H45" s="4">
        <f t="shared" si="5"/>
        <v>2300.6</v>
      </c>
      <c r="I45" s="61">
        <f t="shared" si="4"/>
        <v>1.8299574024167597</v>
      </c>
    </row>
    <row r="46" spans="1:10" x14ac:dyDescent="0.25">
      <c r="A46" s="117" t="s">
        <v>11</v>
      </c>
      <c r="B46" s="20">
        <f t="shared" si="2"/>
        <v>39149</v>
      </c>
      <c r="C46">
        <v>500.7</v>
      </c>
      <c r="D46">
        <v>784</v>
      </c>
      <c r="E46">
        <v>1905.1</v>
      </c>
      <c r="F46">
        <v>1629.8</v>
      </c>
      <c r="G46" s="4">
        <f t="shared" si="5"/>
        <v>2405.7999999999997</v>
      </c>
      <c r="H46" s="4">
        <f t="shared" si="5"/>
        <v>2413.8000000000002</v>
      </c>
      <c r="I46" s="61">
        <f t="shared" si="4"/>
        <v>-0.33142762449251961</v>
      </c>
      <c r="J46" s="4">
        <f t="shared" ref="J46:J51" si="6">+G46-G45</f>
        <v>63.099999999999909</v>
      </c>
    </row>
    <row r="47" spans="1:10" x14ac:dyDescent="0.25">
      <c r="A47" s="117" t="s">
        <v>11</v>
      </c>
      <c r="B47" s="20">
        <f t="shared" si="2"/>
        <v>39156</v>
      </c>
      <c r="C47">
        <v>503.7</v>
      </c>
      <c r="D47">
        <v>783.9</v>
      </c>
      <c r="E47">
        <v>1905.7</v>
      </c>
      <c r="F47">
        <v>1799</v>
      </c>
      <c r="G47" s="4">
        <f t="shared" ref="G47:H49" si="7">+C47+E47</f>
        <v>2409.4</v>
      </c>
      <c r="H47" s="4">
        <f t="shared" si="7"/>
        <v>2582.9</v>
      </c>
      <c r="I47" s="61">
        <f t="shared" ref="I47:I52" si="8">+(G47/H47-1)*100</f>
        <v>-6.7172557977467235</v>
      </c>
      <c r="J47" s="4">
        <f t="shared" si="6"/>
        <v>3.6000000000003638</v>
      </c>
    </row>
    <row r="48" spans="1:10" x14ac:dyDescent="0.25">
      <c r="A48" s="117" t="s">
        <v>11</v>
      </c>
      <c r="B48" s="20">
        <f t="shared" si="2"/>
        <v>39163</v>
      </c>
      <c r="C48">
        <v>616.70000000000005</v>
      </c>
      <c r="D48">
        <v>989.8</v>
      </c>
      <c r="E48">
        <v>1905.7</v>
      </c>
      <c r="F48">
        <v>1855.9</v>
      </c>
      <c r="G48" s="4">
        <f t="shared" si="7"/>
        <v>2522.4</v>
      </c>
      <c r="H48" s="4">
        <f t="shared" si="7"/>
        <v>2845.7</v>
      </c>
      <c r="I48" s="61">
        <f t="shared" si="8"/>
        <v>-11.361000808236977</v>
      </c>
      <c r="J48" s="4">
        <f t="shared" si="6"/>
        <v>113</v>
      </c>
    </row>
    <row r="49" spans="1:10" x14ac:dyDescent="0.25">
      <c r="A49" s="117" t="s">
        <v>11</v>
      </c>
      <c r="B49" s="20">
        <f t="shared" si="2"/>
        <v>39170</v>
      </c>
      <c r="C49">
        <v>561.5</v>
      </c>
      <c r="D49">
        <v>920.2</v>
      </c>
      <c r="E49">
        <v>1960.3</v>
      </c>
      <c r="F49">
        <v>2031.1</v>
      </c>
      <c r="G49" s="4">
        <f t="shared" si="7"/>
        <v>2521.8000000000002</v>
      </c>
      <c r="H49" s="4">
        <f t="shared" si="7"/>
        <v>2951.3</v>
      </c>
      <c r="I49" s="61">
        <f t="shared" si="8"/>
        <v>-14.552908887608851</v>
      </c>
      <c r="J49" s="4">
        <f t="shared" si="6"/>
        <v>-0.59999999999990905</v>
      </c>
    </row>
    <row r="50" spans="1:10" x14ac:dyDescent="0.25">
      <c r="A50" s="117" t="s">
        <v>11</v>
      </c>
      <c r="B50" s="20">
        <f t="shared" si="2"/>
        <v>39177</v>
      </c>
      <c r="C50">
        <v>558.5</v>
      </c>
      <c r="D50">
        <v>864.8</v>
      </c>
      <c r="E50">
        <v>1960.4</v>
      </c>
      <c r="F50">
        <v>2262.4</v>
      </c>
      <c r="G50" s="4">
        <f t="shared" ref="G50:H52" si="9">+C50+E50</f>
        <v>2518.9</v>
      </c>
      <c r="H50" s="4">
        <f t="shared" si="9"/>
        <v>3127.2</v>
      </c>
      <c r="I50" s="61">
        <f t="shared" si="8"/>
        <v>-19.451905858275765</v>
      </c>
      <c r="J50" s="4">
        <f t="shared" si="6"/>
        <v>-2.9000000000000909</v>
      </c>
    </row>
    <row r="51" spans="1:10" x14ac:dyDescent="0.25">
      <c r="A51" s="117" t="s">
        <v>11</v>
      </c>
      <c r="B51" s="20">
        <f t="shared" si="2"/>
        <v>39184</v>
      </c>
      <c r="C51">
        <v>558.1</v>
      </c>
      <c r="D51">
        <v>974.7</v>
      </c>
      <c r="E51">
        <v>2076.6999999999998</v>
      </c>
      <c r="F51">
        <v>2377.3000000000002</v>
      </c>
      <c r="G51" s="4">
        <f t="shared" si="9"/>
        <v>2634.7999999999997</v>
      </c>
      <c r="H51" s="4">
        <f t="shared" si="9"/>
        <v>3352</v>
      </c>
      <c r="I51" s="61">
        <f t="shared" si="8"/>
        <v>-21.396181384248216</v>
      </c>
      <c r="J51" s="4">
        <f t="shared" si="6"/>
        <v>115.89999999999964</v>
      </c>
    </row>
    <row r="52" spans="1:10" x14ac:dyDescent="0.25">
      <c r="A52" s="117" t="s">
        <v>11</v>
      </c>
      <c r="B52" s="20">
        <f t="shared" si="2"/>
        <v>39191</v>
      </c>
      <c r="C52">
        <v>610.4</v>
      </c>
      <c r="D52">
        <v>901.7</v>
      </c>
      <c r="E52">
        <v>2135.3000000000002</v>
      </c>
      <c r="F52">
        <v>2660.5</v>
      </c>
      <c r="G52" s="4">
        <f t="shared" si="9"/>
        <v>2745.7000000000003</v>
      </c>
      <c r="H52" s="4">
        <f t="shared" si="9"/>
        <v>3562.2</v>
      </c>
      <c r="I52" s="61">
        <f t="shared" si="8"/>
        <v>-22.92122845432597</v>
      </c>
    </row>
    <row r="53" spans="1:10" x14ac:dyDescent="0.25">
      <c r="A53" s="117" t="s">
        <v>11</v>
      </c>
      <c r="B53" s="20">
        <f t="shared" si="2"/>
        <v>39198</v>
      </c>
      <c r="C53">
        <v>600.20000000000005</v>
      </c>
      <c r="D53">
        <v>881.5</v>
      </c>
      <c r="E53">
        <v>2368.6</v>
      </c>
      <c r="F53">
        <v>2682.7</v>
      </c>
      <c r="G53" s="4">
        <f t="shared" ref="G53:H55" si="10">+C53+E53</f>
        <v>2968.8</v>
      </c>
      <c r="H53" s="4">
        <f t="shared" si="10"/>
        <v>3564.2</v>
      </c>
      <c r="I53" s="61">
        <f t="shared" ref="I53:I58" si="11">+(G53/H53-1)*100</f>
        <v>-16.705010942146892</v>
      </c>
    </row>
    <row r="54" spans="1:10" x14ac:dyDescent="0.25">
      <c r="A54" s="117" t="s">
        <v>11</v>
      </c>
      <c r="B54" s="20">
        <f t="shared" si="2"/>
        <v>39205</v>
      </c>
      <c r="C54">
        <v>494.5</v>
      </c>
      <c r="D54">
        <v>839.3</v>
      </c>
      <c r="E54">
        <v>2484.9</v>
      </c>
      <c r="F54">
        <v>2847.6</v>
      </c>
      <c r="G54" s="4">
        <f t="shared" si="10"/>
        <v>2979.4</v>
      </c>
      <c r="H54" s="4">
        <f t="shared" si="10"/>
        <v>3686.8999999999996</v>
      </c>
      <c r="I54" s="61">
        <f t="shared" si="11"/>
        <v>-19.189563047546709</v>
      </c>
      <c r="J54">
        <v>0.6</v>
      </c>
    </row>
    <row r="55" spans="1:10" x14ac:dyDescent="0.25">
      <c r="A55" s="117" t="s">
        <v>11</v>
      </c>
      <c r="B55" s="20">
        <f t="shared" si="2"/>
        <v>39212</v>
      </c>
      <c r="C55">
        <v>934.4</v>
      </c>
      <c r="D55">
        <v>834.3</v>
      </c>
      <c r="E55">
        <v>2658.8</v>
      </c>
      <c r="F55">
        <v>3063.4</v>
      </c>
      <c r="G55" s="4">
        <f t="shared" si="10"/>
        <v>3593.2000000000003</v>
      </c>
      <c r="H55" s="4">
        <f t="shared" si="10"/>
        <v>3897.7</v>
      </c>
      <c r="I55" s="61">
        <f t="shared" si="11"/>
        <v>-7.8122995612797226</v>
      </c>
      <c r="J55">
        <v>55.6</v>
      </c>
    </row>
    <row r="56" spans="1:10" x14ac:dyDescent="0.25">
      <c r="A56" s="117" t="s">
        <v>11</v>
      </c>
      <c r="B56" s="20">
        <f t="shared" si="2"/>
        <v>39219</v>
      </c>
      <c r="C56">
        <v>824.4</v>
      </c>
      <c r="D56">
        <v>724.1</v>
      </c>
      <c r="E56">
        <v>2773.4</v>
      </c>
      <c r="F56">
        <v>3292.5</v>
      </c>
      <c r="G56" s="4">
        <f t="shared" ref="G56:H58" si="12">+C56+E56</f>
        <v>3597.8</v>
      </c>
      <c r="H56" s="4">
        <f t="shared" si="12"/>
        <v>4016.6</v>
      </c>
      <c r="I56" s="61">
        <f t="shared" si="11"/>
        <v>-10.426729074341479</v>
      </c>
      <c r="J56">
        <v>55.6</v>
      </c>
    </row>
    <row r="57" spans="1:10" x14ac:dyDescent="0.25">
      <c r="A57" s="117" t="s">
        <v>11</v>
      </c>
      <c r="B57" s="20">
        <f t="shared" si="2"/>
        <v>39226</v>
      </c>
      <c r="C57">
        <v>714.4</v>
      </c>
      <c r="D57">
        <v>635</v>
      </c>
      <c r="E57">
        <v>2884.3</v>
      </c>
      <c r="F57">
        <v>3443.2</v>
      </c>
      <c r="G57" s="4">
        <f t="shared" si="12"/>
        <v>3598.7000000000003</v>
      </c>
      <c r="H57" s="4">
        <f t="shared" si="12"/>
        <v>4078.2</v>
      </c>
      <c r="I57" s="61">
        <f t="shared" si="11"/>
        <v>-11.757638173704077</v>
      </c>
      <c r="J57">
        <v>55.6</v>
      </c>
    </row>
    <row r="58" spans="1:10" x14ac:dyDescent="0.25">
      <c r="A58" s="117" t="s">
        <v>11</v>
      </c>
      <c r="B58" s="20">
        <f t="shared" si="2"/>
        <v>39233</v>
      </c>
      <c r="C58">
        <v>714.2</v>
      </c>
      <c r="D58">
        <v>680.7</v>
      </c>
      <c r="E58">
        <v>2884.5</v>
      </c>
      <c r="F58">
        <v>3560.6</v>
      </c>
      <c r="G58" s="4">
        <f t="shared" si="12"/>
        <v>3598.7</v>
      </c>
      <c r="H58" s="4">
        <f t="shared" si="12"/>
        <v>4241.3</v>
      </c>
      <c r="I58" s="61">
        <f t="shared" si="11"/>
        <v>-15.15101501898004</v>
      </c>
      <c r="J58">
        <v>113.6</v>
      </c>
    </row>
    <row r="59" spans="1:10" x14ac:dyDescent="0.25">
      <c r="A59" s="117" t="s">
        <v>11</v>
      </c>
      <c r="B59" s="20">
        <f t="shared" si="2"/>
        <v>39240</v>
      </c>
      <c r="C59">
        <v>715.4</v>
      </c>
      <c r="D59">
        <v>813.5</v>
      </c>
      <c r="E59">
        <v>2905.8</v>
      </c>
      <c r="F59">
        <v>3621.1</v>
      </c>
      <c r="G59" s="4">
        <f t="shared" ref="G59:H61" si="13">+C59+E59</f>
        <v>3621.2000000000003</v>
      </c>
      <c r="H59" s="4">
        <f t="shared" si="13"/>
        <v>4434.6000000000004</v>
      </c>
      <c r="I59" s="61">
        <f t="shared" ref="I59:I64" si="14">+(G59/H59-1)*100</f>
        <v>-18.342127813106035</v>
      </c>
      <c r="J59">
        <v>113.6</v>
      </c>
    </row>
    <row r="60" spans="1:10" x14ac:dyDescent="0.25">
      <c r="A60" s="117" t="s">
        <v>11</v>
      </c>
      <c r="B60" s="20">
        <f t="shared" si="2"/>
        <v>39247</v>
      </c>
      <c r="C60">
        <v>500.7</v>
      </c>
      <c r="D60">
        <v>1077.3</v>
      </c>
      <c r="E60">
        <v>3130.6</v>
      </c>
      <c r="F60">
        <v>3736.6</v>
      </c>
      <c r="G60" s="4">
        <f t="shared" si="13"/>
        <v>3631.2999999999997</v>
      </c>
      <c r="H60" s="4">
        <f t="shared" si="13"/>
        <v>4813.8999999999996</v>
      </c>
      <c r="I60" s="61">
        <f t="shared" si="14"/>
        <v>-24.566359916076365</v>
      </c>
      <c r="J60">
        <v>113.6</v>
      </c>
    </row>
    <row r="61" spans="1:10" x14ac:dyDescent="0.25">
      <c r="A61" s="117" t="s">
        <v>11</v>
      </c>
      <c r="B61" s="20">
        <f t="shared" si="2"/>
        <v>39254</v>
      </c>
      <c r="C61">
        <v>445.5</v>
      </c>
      <c r="D61">
        <v>986.1</v>
      </c>
      <c r="E61">
        <v>3185.5</v>
      </c>
      <c r="F61">
        <v>3996.1</v>
      </c>
      <c r="G61" s="4">
        <f t="shared" si="13"/>
        <v>3631</v>
      </c>
      <c r="H61" s="4">
        <f t="shared" si="13"/>
        <v>4982.2</v>
      </c>
      <c r="I61" s="61">
        <f t="shared" si="14"/>
        <v>-27.120549154991767</v>
      </c>
      <c r="J61">
        <v>113.6</v>
      </c>
    </row>
    <row r="62" spans="1:10" x14ac:dyDescent="0.25">
      <c r="A62" s="117" t="s">
        <v>11</v>
      </c>
      <c r="B62" s="20">
        <f t="shared" si="2"/>
        <v>39261</v>
      </c>
      <c r="C62">
        <v>614.4</v>
      </c>
      <c r="D62">
        <v>800.4</v>
      </c>
      <c r="E62">
        <v>3242.4</v>
      </c>
      <c r="F62">
        <v>4205.6000000000004</v>
      </c>
      <c r="G62" s="4">
        <f t="shared" ref="G62:H64" si="15">+C62+E62</f>
        <v>3856.8</v>
      </c>
      <c r="H62" s="4">
        <f t="shared" si="15"/>
        <v>5006</v>
      </c>
      <c r="I62" s="61">
        <f t="shared" si="14"/>
        <v>-22.95645225729125</v>
      </c>
      <c r="J62">
        <v>548.6</v>
      </c>
    </row>
    <row r="63" spans="1:10" x14ac:dyDescent="0.25">
      <c r="A63" s="117" t="s">
        <v>11</v>
      </c>
      <c r="B63" s="20">
        <f t="shared" si="2"/>
        <v>39268</v>
      </c>
      <c r="C63">
        <v>559.29999999999995</v>
      </c>
      <c r="D63">
        <v>765.9</v>
      </c>
      <c r="E63">
        <v>3357.7</v>
      </c>
      <c r="F63">
        <v>4210.7</v>
      </c>
      <c r="G63" s="4">
        <f t="shared" si="15"/>
        <v>3917</v>
      </c>
      <c r="H63" s="4">
        <f t="shared" si="15"/>
        <v>4976.5999999999995</v>
      </c>
      <c r="I63" s="61">
        <f t="shared" si="14"/>
        <v>-21.291644898123209</v>
      </c>
      <c r="J63">
        <v>603.6</v>
      </c>
    </row>
    <row r="64" spans="1:10" x14ac:dyDescent="0.25">
      <c r="A64" s="117" t="s">
        <v>11</v>
      </c>
      <c r="B64" s="20">
        <f t="shared" si="2"/>
        <v>39275</v>
      </c>
      <c r="C64">
        <v>448.5</v>
      </c>
      <c r="D64">
        <v>617.9</v>
      </c>
      <c r="E64">
        <v>3472.9</v>
      </c>
      <c r="F64">
        <v>4421.3999999999996</v>
      </c>
      <c r="G64" s="4">
        <f t="shared" si="15"/>
        <v>3921.4</v>
      </c>
      <c r="H64" s="4">
        <f t="shared" si="15"/>
        <v>5039.2999999999993</v>
      </c>
      <c r="I64" s="61">
        <f t="shared" si="14"/>
        <v>-22.183636616196679</v>
      </c>
      <c r="J64">
        <v>603.6</v>
      </c>
    </row>
    <row r="65" spans="1:10" x14ac:dyDescent="0.25">
      <c r="A65" s="117" t="s">
        <v>11</v>
      </c>
      <c r="B65" s="20">
        <f t="shared" si="2"/>
        <v>39282</v>
      </c>
      <c r="C65">
        <v>293.60000000000002</v>
      </c>
      <c r="D65">
        <v>517.70000000000005</v>
      </c>
      <c r="E65">
        <v>3635.6</v>
      </c>
      <c r="F65">
        <v>4527</v>
      </c>
      <c r="G65" s="4">
        <f t="shared" ref="G65:H67" si="16">+C65+E65</f>
        <v>3929.2</v>
      </c>
      <c r="H65" s="4">
        <f t="shared" si="16"/>
        <v>5044.7</v>
      </c>
      <c r="I65" s="61">
        <f t="shared" ref="I65:I71" si="17">+(G65/H65-1)*100</f>
        <v>-22.112315895890731</v>
      </c>
      <c r="J65">
        <v>659.5</v>
      </c>
    </row>
    <row r="66" spans="1:10" x14ac:dyDescent="0.25">
      <c r="A66" s="117" t="s">
        <v>11</v>
      </c>
      <c r="B66" s="20">
        <f t="shared" si="2"/>
        <v>39289</v>
      </c>
      <c r="C66">
        <v>347.9</v>
      </c>
      <c r="D66">
        <v>475.7</v>
      </c>
      <c r="E66">
        <v>3739.5</v>
      </c>
      <c r="F66">
        <v>4675.3</v>
      </c>
      <c r="G66" s="4">
        <f t="shared" si="16"/>
        <v>4087.4</v>
      </c>
      <c r="H66" s="4">
        <f t="shared" si="16"/>
        <v>5151</v>
      </c>
      <c r="I66" s="61">
        <f t="shared" si="17"/>
        <v>-20.648417782954766</v>
      </c>
      <c r="J66">
        <v>659.5</v>
      </c>
    </row>
    <row r="67" spans="1:10" x14ac:dyDescent="0.25">
      <c r="A67" s="117" t="s">
        <v>11</v>
      </c>
      <c r="B67" s="20">
        <f t="shared" si="2"/>
        <v>39296</v>
      </c>
      <c r="C67">
        <v>292.89999999999998</v>
      </c>
      <c r="D67">
        <v>541.4</v>
      </c>
      <c r="E67">
        <v>3790.3</v>
      </c>
      <c r="F67">
        <v>4895.7</v>
      </c>
      <c r="G67" s="4">
        <f t="shared" si="16"/>
        <v>4083.2000000000003</v>
      </c>
      <c r="H67" s="4">
        <f t="shared" si="16"/>
        <v>5437.0999999999995</v>
      </c>
      <c r="I67" s="61">
        <f t="shared" si="17"/>
        <v>-24.901142152985955</v>
      </c>
      <c r="J67">
        <v>659.5</v>
      </c>
    </row>
    <row r="68" spans="1:10" x14ac:dyDescent="0.25">
      <c r="A68" s="117" t="s">
        <v>11</v>
      </c>
      <c r="B68" s="20">
        <f t="shared" si="2"/>
        <v>39303</v>
      </c>
      <c r="C68">
        <v>182.9</v>
      </c>
      <c r="D68">
        <v>541.6</v>
      </c>
      <c r="E68">
        <v>4077.9</v>
      </c>
      <c r="F68">
        <v>5069.3</v>
      </c>
      <c r="G68" s="4">
        <f t="shared" ref="G68:H70" si="18">+C68+E68</f>
        <v>4260.8</v>
      </c>
      <c r="H68" s="4">
        <f t="shared" si="18"/>
        <v>5610.9000000000005</v>
      </c>
      <c r="I68" s="61">
        <f t="shared" si="17"/>
        <v>-24.062093425297192</v>
      </c>
      <c r="J68">
        <v>659.5</v>
      </c>
    </row>
    <row r="69" spans="1:10" x14ac:dyDescent="0.25">
      <c r="A69" s="117" t="s">
        <v>11</v>
      </c>
      <c r="B69" s="20">
        <f t="shared" si="2"/>
        <v>39310</v>
      </c>
      <c r="C69">
        <v>154.1</v>
      </c>
      <c r="D69">
        <v>596.6</v>
      </c>
      <c r="E69">
        <v>4078.3</v>
      </c>
      <c r="F69">
        <v>5069.3</v>
      </c>
      <c r="G69" s="4">
        <f t="shared" si="18"/>
        <v>4232.4000000000005</v>
      </c>
      <c r="H69" s="4">
        <f t="shared" si="18"/>
        <v>5665.9000000000005</v>
      </c>
      <c r="I69" s="61">
        <f t="shared" si="17"/>
        <v>-25.300481829894629</v>
      </c>
      <c r="J69">
        <v>659.5</v>
      </c>
    </row>
    <row r="70" spans="1:10" x14ac:dyDescent="0.25">
      <c r="A70" s="117" t="s">
        <v>11</v>
      </c>
      <c r="B70" s="20">
        <f t="shared" si="2"/>
        <v>39317</v>
      </c>
      <c r="C70">
        <v>127</v>
      </c>
      <c r="D70">
        <v>323</v>
      </c>
      <c r="E70">
        <v>4078.3</v>
      </c>
      <c r="F70">
        <v>5239.2</v>
      </c>
      <c r="G70" s="4">
        <f t="shared" si="18"/>
        <v>4205.3</v>
      </c>
      <c r="H70" s="4">
        <f t="shared" si="18"/>
        <v>5562.2</v>
      </c>
      <c r="I70" s="61">
        <f t="shared" si="17"/>
        <v>-24.395023551832008</v>
      </c>
      <c r="J70">
        <v>659.5</v>
      </c>
    </row>
    <row r="71" spans="1:10" x14ac:dyDescent="0.25">
      <c r="A71" s="117" t="s">
        <v>11</v>
      </c>
      <c r="B71" s="20">
        <f t="shared" si="2"/>
        <v>39324</v>
      </c>
      <c r="C71">
        <v>126.7</v>
      </c>
      <c r="D71">
        <v>62.4</v>
      </c>
      <c r="E71">
        <v>4078.6</v>
      </c>
      <c r="F71">
        <v>5572.9</v>
      </c>
      <c r="G71" s="4">
        <f t="shared" ref="G71:H73" si="19">+C71+E71</f>
        <v>4205.3</v>
      </c>
      <c r="H71" s="4">
        <f t="shared" si="19"/>
        <v>5635.2999999999993</v>
      </c>
      <c r="I71" s="61">
        <f t="shared" si="17"/>
        <v>-25.375756392738612</v>
      </c>
      <c r="J71">
        <v>705.5</v>
      </c>
    </row>
    <row r="72" spans="1:10" x14ac:dyDescent="0.25">
      <c r="A72" s="117" t="s">
        <v>11</v>
      </c>
      <c r="B72" s="73">
        <f t="shared" si="2"/>
        <v>39331</v>
      </c>
      <c r="C72">
        <v>944.9</v>
      </c>
      <c r="D72">
        <v>669.2</v>
      </c>
      <c r="E72">
        <v>171.6</v>
      </c>
      <c r="F72">
        <v>175.4</v>
      </c>
      <c r="G72" s="4">
        <f t="shared" si="19"/>
        <v>1116.5</v>
      </c>
      <c r="H72" s="4">
        <f t="shared" si="19"/>
        <v>844.6</v>
      </c>
      <c r="I72" s="61">
        <f t="shared" ref="I72:I77" si="20">+(G72/H72-1)*100</f>
        <v>32.192753966374624</v>
      </c>
    </row>
    <row r="73" spans="1:10" x14ac:dyDescent="0.25">
      <c r="A73" s="117" t="s">
        <v>11</v>
      </c>
      <c r="B73" s="20">
        <f t="shared" si="2"/>
        <v>39338</v>
      </c>
      <c r="C73">
        <v>1127.8</v>
      </c>
      <c r="D73">
        <v>672.6</v>
      </c>
      <c r="E73">
        <v>229.4</v>
      </c>
      <c r="F73">
        <v>339.6</v>
      </c>
      <c r="G73" s="4">
        <f t="shared" si="19"/>
        <v>1357.2</v>
      </c>
      <c r="H73" s="4">
        <f t="shared" si="19"/>
        <v>1012.2</v>
      </c>
      <c r="I73" s="61">
        <f t="shared" si="20"/>
        <v>34.084173088322459</v>
      </c>
    </row>
    <row r="74" spans="1:10" x14ac:dyDescent="0.25">
      <c r="A74" s="117" t="s">
        <v>11</v>
      </c>
      <c r="B74" s="20">
        <f t="shared" si="2"/>
        <v>39345</v>
      </c>
      <c r="C74">
        <v>1132</v>
      </c>
      <c r="D74">
        <v>500.2</v>
      </c>
      <c r="E74">
        <v>283.3</v>
      </c>
      <c r="F74">
        <v>454.6</v>
      </c>
      <c r="G74" s="4">
        <f t="shared" ref="G74:H76" si="21">+C74+E74</f>
        <v>1415.3</v>
      </c>
      <c r="H74" s="4">
        <f t="shared" si="21"/>
        <v>954.8</v>
      </c>
      <c r="I74" s="61">
        <f t="shared" si="20"/>
        <v>48.229995810640979</v>
      </c>
    </row>
    <row r="75" spans="1:10" x14ac:dyDescent="0.25">
      <c r="A75" s="117" t="s">
        <v>11</v>
      </c>
      <c r="B75" s="20">
        <f t="shared" si="2"/>
        <v>39352</v>
      </c>
      <c r="C75">
        <v>1017.5</v>
      </c>
      <c r="D75">
        <v>387</v>
      </c>
      <c r="E75">
        <v>460.5</v>
      </c>
      <c r="F75">
        <v>618.79999999999995</v>
      </c>
      <c r="G75" s="4">
        <f t="shared" si="21"/>
        <v>1478</v>
      </c>
      <c r="H75" s="4">
        <f t="shared" si="21"/>
        <v>1005.8</v>
      </c>
      <c r="I75" s="61">
        <f t="shared" si="20"/>
        <v>46.94770332073972</v>
      </c>
    </row>
    <row r="76" spans="1:10" x14ac:dyDescent="0.25">
      <c r="A76" s="117" t="s">
        <v>11</v>
      </c>
      <c r="B76" s="20">
        <f t="shared" si="2"/>
        <v>39359</v>
      </c>
      <c r="C76">
        <v>1299.0999999999999</v>
      </c>
      <c r="D76">
        <v>444.9</v>
      </c>
      <c r="E76">
        <v>564.5</v>
      </c>
      <c r="F76">
        <v>618.79999999999995</v>
      </c>
      <c r="G76" s="4">
        <f t="shared" si="21"/>
        <v>1863.6</v>
      </c>
      <c r="H76" s="4">
        <f t="shared" si="21"/>
        <v>1063.6999999999998</v>
      </c>
      <c r="I76" s="61">
        <f t="shared" si="20"/>
        <v>75.19977437247347</v>
      </c>
    </row>
    <row r="77" spans="1:10" x14ac:dyDescent="0.25">
      <c r="A77" s="117" t="s">
        <v>11</v>
      </c>
      <c r="B77" s="20">
        <f t="shared" si="2"/>
        <v>39366</v>
      </c>
      <c r="C77">
        <v>1398.3</v>
      </c>
      <c r="D77">
        <v>444.9</v>
      </c>
      <c r="E77">
        <v>715.1</v>
      </c>
      <c r="F77">
        <v>665.3</v>
      </c>
      <c r="G77" s="4">
        <f t="shared" ref="G77:H79" si="22">+C77+E77</f>
        <v>2113.4</v>
      </c>
      <c r="H77" s="4">
        <f t="shared" si="22"/>
        <v>1110.1999999999998</v>
      </c>
      <c r="I77" s="61">
        <f t="shared" si="20"/>
        <v>90.362096919474013</v>
      </c>
    </row>
    <row r="78" spans="1:10" x14ac:dyDescent="0.25">
      <c r="A78" s="117" t="s">
        <v>11</v>
      </c>
      <c r="B78" s="20">
        <f t="shared" si="2"/>
        <v>39373</v>
      </c>
      <c r="C78">
        <v>1514.9</v>
      </c>
      <c r="D78">
        <v>445</v>
      </c>
      <c r="E78">
        <v>763.8</v>
      </c>
      <c r="F78">
        <v>665.8</v>
      </c>
      <c r="G78" s="4">
        <f t="shared" si="22"/>
        <v>2278.6999999999998</v>
      </c>
      <c r="H78" s="4">
        <f t="shared" si="22"/>
        <v>1110.8</v>
      </c>
      <c r="I78" s="61">
        <f t="shared" ref="I78:I83" si="23">+(G78/H78-1)*100</f>
        <v>105.14043932301043</v>
      </c>
    </row>
    <row r="79" spans="1:10" x14ac:dyDescent="0.25">
      <c r="A79" s="117" t="s">
        <v>11</v>
      </c>
      <c r="B79" s="20">
        <f t="shared" si="2"/>
        <v>39380</v>
      </c>
      <c r="C79">
        <v>1452.6</v>
      </c>
      <c r="D79">
        <v>499.9</v>
      </c>
      <c r="E79">
        <v>881.6</v>
      </c>
      <c r="F79">
        <v>666.2</v>
      </c>
      <c r="G79" s="4">
        <f t="shared" si="22"/>
        <v>2334.1999999999998</v>
      </c>
      <c r="H79" s="4">
        <f t="shared" si="22"/>
        <v>1166.0999999999999</v>
      </c>
      <c r="I79" s="61">
        <f t="shared" si="23"/>
        <v>100.17151187719749</v>
      </c>
      <c r="J79">
        <v>1.2</v>
      </c>
    </row>
    <row r="80" spans="1:10" x14ac:dyDescent="0.25">
      <c r="A80" s="117" t="s">
        <v>11</v>
      </c>
      <c r="B80" s="20">
        <f t="shared" si="2"/>
        <v>39387</v>
      </c>
      <c r="C80">
        <v>1671.6</v>
      </c>
      <c r="D80">
        <v>618.70000000000005</v>
      </c>
      <c r="E80">
        <v>1145.2</v>
      </c>
      <c r="F80">
        <v>781.9</v>
      </c>
      <c r="G80" s="4">
        <f t="shared" ref="G80:H82" si="24">+C80+E80</f>
        <v>2816.8</v>
      </c>
      <c r="H80" s="4">
        <f t="shared" si="24"/>
        <v>1400.6</v>
      </c>
      <c r="I80" s="61">
        <f t="shared" si="23"/>
        <v>101.11380836784237</v>
      </c>
    </row>
    <row r="81" spans="1:9" x14ac:dyDescent="0.25">
      <c r="A81" s="117" t="s">
        <v>11</v>
      </c>
      <c r="B81" s="20">
        <f t="shared" si="2"/>
        <v>39394</v>
      </c>
      <c r="C81">
        <v>1913</v>
      </c>
      <c r="D81">
        <v>645.29999999999995</v>
      </c>
      <c r="E81">
        <v>1191.5999999999999</v>
      </c>
      <c r="F81">
        <v>874.5</v>
      </c>
      <c r="G81" s="4">
        <f t="shared" si="24"/>
        <v>3104.6</v>
      </c>
      <c r="H81" s="4">
        <f t="shared" si="24"/>
        <v>1519.8</v>
      </c>
      <c r="I81" s="61">
        <f t="shared" si="23"/>
        <v>104.27687853664955</v>
      </c>
    </row>
    <row r="82" spans="1:9" x14ac:dyDescent="0.25">
      <c r="A82" s="117" t="s">
        <v>11</v>
      </c>
      <c r="B82" s="20">
        <f t="shared" si="2"/>
        <v>39401</v>
      </c>
      <c r="C82">
        <v>1903.3</v>
      </c>
      <c r="D82">
        <v>534.70000000000005</v>
      </c>
      <c r="E82">
        <v>1453.6</v>
      </c>
      <c r="F82">
        <v>990.1</v>
      </c>
      <c r="G82" s="4">
        <f t="shared" si="24"/>
        <v>3356.8999999999996</v>
      </c>
      <c r="H82" s="4">
        <f t="shared" si="24"/>
        <v>1524.8000000000002</v>
      </c>
      <c r="I82" s="61">
        <f t="shared" si="23"/>
        <v>120.15346274921295</v>
      </c>
    </row>
    <row r="83" spans="1:9" x14ac:dyDescent="0.25">
      <c r="A83" s="117" t="s">
        <v>11</v>
      </c>
      <c r="B83" s="20">
        <f t="shared" si="2"/>
        <v>39408</v>
      </c>
      <c r="C83">
        <v>2611.4</v>
      </c>
      <c r="D83">
        <v>647.5</v>
      </c>
      <c r="E83">
        <v>1498.1</v>
      </c>
      <c r="F83">
        <v>990.3</v>
      </c>
      <c r="G83" s="4">
        <f t="shared" ref="G83:H85" si="25">+C83+E83</f>
        <v>4109.5</v>
      </c>
      <c r="H83" s="4">
        <f t="shared" si="25"/>
        <v>1637.8</v>
      </c>
      <c r="I83" s="61">
        <f t="shared" si="23"/>
        <v>150.91586274270364</v>
      </c>
    </row>
    <row r="84" spans="1:9" x14ac:dyDescent="0.25">
      <c r="A84" s="117" t="s">
        <v>11</v>
      </c>
      <c r="B84" s="20">
        <f t="shared" si="2"/>
        <v>39415</v>
      </c>
      <c r="C84">
        <v>2641</v>
      </c>
      <c r="D84">
        <v>700.8</v>
      </c>
      <c r="E84">
        <v>1697.8</v>
      </c>
      <c r="F84">
        <v>1104.9000000000001</v>
      </c>
      <c r="G84" s="4">
        <f t="shared" si="25"/>
        <v>4338.8</v>
      </c>
      <c r="H84" s="4">
        <f t="shared" si="25"/>
        <v>1805.7</v>
      </c>
      <c r="I84" s="61">
        <f t="shared" ref="I84:I89" si="26">+(G84/H84-1)*100</f>
        <v>140.28354654704546</v>
      </c>
    </row>
    <row r="85" spans="1:9" x14ac:dyDescent="0.25">
      <c r="A85" s="117" t="s">
        <v>11</v>
      </c>
      <c r="B85" s="20">
        <f t="shared" si="2"/>
        <v>39422</v>
      </c>
      <c r="C85">
        <v>2638.8</v>
      </c>
      <c r="D85">
        <v>920.1</v>
      </c>
      <c r="E85">
        <v>1740.2</v>
      </c>
      <c r="F85">
        <v>1105.5999999999999</v>
      </c>
      <c r="G85" s="4">
        <f t="shared" si="25"/>
        <v>4379</v>
      </c>
      <c r="H85" s="4">
        <f t="shared" si="25"/>
        <v>2025.6999999999998</v>
      </c>
      <c r="I85" s="61">
        <f t="shared" si="26"/>
        <v>116.17218739201265</v>
      </c>
    </row>
    <row r="86" spans="1:9" x14ac:dyDescent="0.25">
      <c r="A86" s="117" t="s">
        <v>11</v>
      </c>
      <c r="B86" s="20">
        <f t="shared" si="2"/>
        <v>39429</v>
      </c>
      <c r="C86">
        <v>2604.1999999999998</v>
      </c>
      <c r="D86">
        <v>1038.2</v>
      </c>
      <c r="E86">
        <v>1883.8</v>
      </c>
      <c r="F86">
        <v>1211.3</v>
      </c>
      <c r="G86" s="4">
        <f t="shared" ref="G86:H88" si="27">+C86+E86</f>
        <v>4488</v>
      </c>
      <c r="H86" s="4">
        <f t="shared" si="27"/>
        <v>2249.5</v>
      </c>
      <c r="I86" s="61">
        <f t="shared" si="26"/>
        <v>99.511002444987781</v>
      </c>
    </row>
    <row r="87" spans="1:9" x14ac:dyDescent="0.25">
      <c r="A87" s="117" t="s">
        <v>11</v>
      </c>
      <c r="B87" s="20">
        <f t="shared" si="2"/>
        <v>39436</v>
      </c>
      <c r="C87">
        <v>2655</v>
      </c>
      <c r="D87">
        <v>954</v>
      </c>
      <c r="E87">
        <v>1944.8</v>
      </c>
      <c r="F87">
        <v>1325.5</v>
      </c>
      <c r="G87" s="4">
        <f t="shared" si="27"/>
        <v>4599.8</v>
      </c>
      <c r="H87" s="4">
        <f t="shared" si="27"/>
        <v>2279.5</v>
      </c>
      <c r="I87" s="61">
        <f t="shared" si="26"/>
        <v>101.78986619872781</v>
      </c>
    </row>
    <row r="88" spans="1:9" x14ac:dyDescent="0.25">
      <c r="A88" s="117" t="s">
        <v>11</v>
      </c>
      <c r="B88" s="20">
        <f t="shared" si="2"/>
        <v>39443</v>
      </c>
      <c r="C88">
        <v>2869</v>
      </c>
      <c r="D88">
        <v>1009</v>
      </c>
      <c r="E88">
        <v>2053.9</v>
      </c>
      <c r="F88">
        <v>1325.5</v>
      </c>
      <c r="G88" s="4">
        <f t="shared" si="27"/>
        <v>4922.8999999999996</v>
      </c>
      <c r="H88" s="4">
        <f t="shared" si="27"/>
        <v>2334.5</v>
      </c>
      <c r="I88" s="61">
        <f t="shared" si="26"/>
        <v>110.87599057614051</v>
      </c>
    </row>
    <row r="89" spans="1:9" x14ac:dyDescent="0.25">
      <c r="A89" s="117" t="s">
        <v>11</v>
      </c>
      <c r="B89" s="20">
        <f t="shared" si="2"/>
        <v>39450</v>
      </c>
      <c r="C89">
        <v>2787.6</v>
      </c>
      <c r="D89">
        <v>1008.9</v>
      </c>
      <c r="E89">
        <v>2170.5</v>
      </c>
      <c r="F89">
        <v>1325.6</v>
      </c>
      <c r="G89" s="4">
        <f t="shared" ref="G89:H91" si="28">+C89+E89</f>
        <v>4958.1000000000004</v>
      </c>
      <c r="H89" s="4">
        <f t="shared" si="28"/>
        <v>2334.5</v>
      </c>
      <c r="I89" s="61">
        <f t="shared" si="26"/>
        <v>112.38380809595205</v>
      </c>
    </row>
    <row r="90" spans="1:9" x14ac:dyDescent="0.25">
      <c r="A90" s="117" t="s">
        <v>11</v>
      </c>
      <c r="B90" s="20">
        <f t="shared" si="2"/>
        <v>39457</v>
      </c>
      <c r="C90">
        <v>3427.3</v>
      </c>
      <c r="D90">
        <v>898.7</v>
      </c>
      <c r="E90">
        <v>2371.3000000000002</v>
      </c>
      <c r="F90">
        <v>1382.7</v>
      </c>
      <c r="G90" s="4">
        <f t="shared" si="28"/>
        <v>5798.6</v>
      </c>
      <c r="H90" s="4">
        <f t="shared" si="28"/>
        <v>2281.4</v>
      </c>
      <c r="I90" s="61">
        <f t="shared" ref="I90:I95" si="29">+(G90/H90-1)*100</f>
        <v>154.16849303059524</v>
      </c>
    </row>
    <row r="91" spans="1:9" x14ac:dyDescent="0.25">
      <c r="A91" s="117" t="s">
        <v>11</v>
      </c>
      <c r="B91" s="20">
        <f t="shared" si="2"/>
        <v>39464</v>
      </c>
      <c r="C91">
        <v>3765.8</v>
      </c>
      <c r="D91">
        <v>898.7</v>
      </c>
      <c r="E91">
        <v>2469.9</v>
      </c>
      <c r="F91">
        <v>1382.7</v>
      </c>
      <c r="G91" s="4">
        <f t="shared" si="28"/>
        <v>6235.7000000000007</v>
      </c>
      <c r="H91" s="4">
        <f t="shared" si="28"/>
        <v>2281.4</v>
      </c>
      <c r="I91" s="61">
        <f t="shared" si="29"/>
        <v>173.32778118699048</v>
      </c>
    </row>
    <row r="92" spans="1:9" x14ac:dyDescent="0.25">
      <c r="A92" s="117" t="s">
        <v>11</v>
      </c>
      <c r="B92" s="20">
        <f t="shared" si="2"/>
        <v>39471</v>
      </c>
      <c r="C92">
        <v>4219.3</v>
      </c>
      <c r="D92">
        <v>840.4</v>
      </c>
      <c r="E92">
        <v>2728</v>
      </c>
      <c r="F92">
        <v>1498.5</v>
      </c>
      <c r="G92" s="4">
        <f t="shared" ref="G92:H94" si="30">+C92+E92</f>
        <v>6947.3</v>
      </c>
      <c r="H92" s="4">
        <f t="shared" si="30"/>
        <v>2338.9</v>
      </c>
      <c r="I92" s="61">
        <f t="shared" si="29"/>
        <v>197.03279319338151</v>
      </c>
    </row>
    <row r="93" spans="1:9" x14ac:dyDescent="0.25">
      <c r="A93" s="117" t="s">
        <v>11</v>
      </c>
      <c r="B93" s="20">
        <f t="shared" si="2"/>
        <v>39478</v>
      </c>
      <c r="C93">
        <v>4279.6000000000004</v>
      </c>
      <c r="D93">
        <v>724.5</v>
      </c>
      <c r="E93">
        <v>2818.7</v>
      </c>
      <c r="F93">
        <v>1557.9</v>
      </c>
      <c r="G93" s="4">
        <f t="shared" si="30"/>
        <v>7098.3</v>
      </c>
      <c r="H93" s="4">
        <f t="shared" si="30"/>
        <v>2282.4</v>
      </c>
      <c r="I93" s="61">
        <f t="shared" si="29"/>
        <v>211.00157728706623</v>
      </c>
    </row>
    <row r="94" spans="1:9" x14ac:dyDescent="0.25">
      <c r="A94" s="117" t="s">
        <v>11</v>
      </c>
      <c r="B94" s="20">
        <f t="shared" si="2"/>
        <v>39485</v>
      </c>
      <c r="C94">
        <v>4240.7</v>
      </c>
      <c r="D94">
        <v>724.1</v>
      </c>
      <c r="E94">
        <v>3025.4</v>
      </c>
      <c r="F94">
        <v>1558.3</v>
      </c>
      <c r="G94" s="4">
        <f t="shared" si="30"/>
        <v>7266.1</v>
      </c>
      <c r="H94" s="4">
        <f t="shared" si="30"/>
        <v>2282.4</v>
      </c>
      <c r="I94" s="61">
        <f t="shared" si="29"/>
        <v>218.35348755695759</v>
      </c>
    </row>
    <row r="95" spans="1:9" x14ac:dyDescent="0.25">
      <c r="A95" s="117" t="s">
        <v>11</v>
      </c>
      <c r="B95" s="20">
        <f t="shared" si="2"/>
        <v>39492</v>
      </c>
      <c r="C95">
        <v>4441.2</v>
      </c>
      <c r="D95">
        <v>666</v>
      </c>
      <c r="E95">
        <v>3193.2</v>
      </c>
      <c r="F95">
        <v>1673.9</v>
      </c>
      <c r="G95" s="4">
        <f t="shared" ref="G95:H97" si="31">+C95+E95</f>
        <v>7634.4</v>
      </c>
      <c r="H95" s="4">
        <f t="shared" si="31"/>
        <v>2339.9</v>
      </c>
      <c r="I95" s="61">
        <f t="shared" si="29"/>
        <v>226.27035343390739</v>
      </c>
    </row>
    <row r="96" spans="1:9" x14ac:dyDescent="0.25">
      <c r="A96" s="117" t="s">
        <v>11</v>
      </c>
      <c r="B96" s="20">
        <f t="shared" si="2"/>
        <v>39499</v>
      </c>
      <c r="C96">
        <v>4175.1000000000004</v>
      </c>
      <c r="D96">
        <v>665.9</v>
      </c>
      <c r="E96">
        <v>3456.2</v>
      </c>
      <c r="F96">
        <v>1674</v>
      </c>
      <c r="G96" s="4">
        <f t="shared" si="31"/>
        <v>7631.3</v>
      </c>
      <c r="H96" s="4">
        <f t="shared" si="31"/>
        <v>2339.9</v>
      </c>
      <c r="I96" s="61">
        <f t="shared" ref="I96:I101" si="32">+(G96/H96-1)*100</f>
        <v>226.13786913970682</v>
      </c>
    </row>
    <row r="97" spans="1:10" x14ac:dyDescent="0.25">
      <c r="A97" s="117" t="s">
        <v>11</v>
      </c>
      <c r="B97" s="20">
        <f t="shared" si="2"/>
        <v>39506</v>
      </c>
      <c r="C97">
        <v>4267.8</v>
      </c>
      <c r="D97">
        <v>610.9</v>
      </c>
      <c r="E97">
        <v>3562.2</v>
      </c>
      <c r="F97">
        <v>1674</v>
      </c>
      <c r="G97" s="4">
        <f t="shared" si="31"/>
        <v>7830</v>
      </c>
      <c r="H97" s="4">
        <f t="shared" si="31"/>
        <v>2284.9</v>
      </c>
      <c r="I97" s="61">
        <f t="shared" si="32"/>
        <v>242.68458138211736</v>
      </c>
    </row>
    <row r="98" spans="1:10" x14ac:dyDescent="0.25">
      <c r="A98" s="117" t="s">
        <v>11</v>
      </c>
      <c r="B98" s="20">
        <f t="shared" si="2"/>
        <v>39513</v>
      </c>
      <c r="C98">
        <v>4267.8</v>
      </c>
      <c r="D98">
        <v>610.9</v>
      </c>
      <c r="E98">
        <v>3562.2</v>
      </c>
      <c r="F98">
        <v>1674</v>
      </c>
      <c r="G98" s="4">
        <f t="shared" ref="G98:H100" si="33">+C98+E98</f>
        <v>7830</v>
      </c>
      <c r="H98" s="4">
        <f t="shared" si="33"/>
        <v>2284.9</v>
      </c>
      <c r="I98" s="61">
        <f t="shared" si="32"/>
        <v>242.68458138211736</v>
      </c>
    </row>
    <row r="99" spans="1:10" x14ac:dyDescent="0.25">
      <c r="A99" s="117" t="s">
        <v>11</v>
      </c>
      <c r="B99" s="20">
        <f t="shared" si="2"/>
        <v>39520</v>
      </c>
      <c r="C99">
        <v>4098.3999999999996</v>
      </c>
      <c r="D99">
        <v>503.7</v>
      </c>
      <c r="E99">
        <v>3943.6</v>
      </c>
      <c r="F99">
        <v>1905.7</v>
      </c>
      <c r="G99" s="4">
        <f t="shared" si="33"/>
        <v>8042</v>
      </c>
      <c r="H99" s="4">
        <f t="shared" si="33"/>
        <v>2409.4</v>
      </c>
      <c r="I99" s="61">
        <f t="shared" si="32"/>
        <v>233.776043828339</v>
      </c>
    </row>
    <row r="100" spans="1:10" x14ac:dyDescent="0.25">
      <c r="A100" s="117" t="s">
        <v>11</v>
      </c>
      <c r="B100" s="20">
        <f t="shared" si="2"/>
        <v>39527</v>
      </c>
      <c r="C100">
        <v>3934</v>
      </c>
      <c r="D100">
        <v>616.70000000000005</v>
      </c>
      <c r="E100">
        <v>4169.7</v>
      </c>
      <c r="F100">
        <v>1905.7</v>
      </c>
      <c r="G100" s="4">
        <f t="shared" si="33"/>
        <v>8103.7</v>
      </c>
      <c r="H100" s="4">
        <f t="shared" si="33"/>
        <v>2522.4</v>
      </c>
      <c r="I100" s="61">
        <f t="shared" si="32"/>
        <v>221.2694259435458</v>
      </c>
    </row>
    <row r="101" spans="1:10" x14ac:dyDescent="0.25">
      <c r="A101" s="117" t="s">
        <v>11</v>
      </c>
      <c r="B101" s="20">
        <f t="shared" si="2"/>
        <v>39534</v>
      </c>
      <c r="C101">
        <v>3818.6</v>
      </c>
      <c r="D101">
        <v>561.5</v>
      </c>
      <c r="E101">
        <v>4291.3999999999996</v>
      </c>
      <c r="F101">
        <v>1961.1</v>
      </c>
      <c r="G101" s="4">
        <f t="shared" ref="G101:H103" si="34">+C101+E101</f>
        <v>8110</v>
      </c>
      <c r="H101" s="4">
        <f t="shared" si="34"/>
        <v>2522.6</v>
      </c>
      <c r="I101" s="61">
        <f t="shared" si="32"/>
        <v>221.49369697930709</v>
      </c>
    </row>
    <row r="102" spans="1:10" x14ac:dyDescent="0.25">
      <c r="A102" s="117" t="s">
        <v>11</v>
      </c>
      <c r="B102" s="20">
        <f t="shared" si="2"/>
        <v>39541</v>
      </c>
      <c r="C102">
        <v>3582</v>
      </c>
      <c r="D102">
        <v>558.5</v>
      </c>
      <c r="E102">
        <v>4654.8</v>
      </c>
      <c r="F102">
        <v>1961.2</v>
      </c>
      <c r="G102" s="4">
        <f t="shared" si="34"/>
        <v>8236.7999999999993</v>
      </c>
      <c r="H102" s="4">
        <f t="shared" si="34"/>
        <v>2519.6999999999998</v>
      </c>
      <c r="I102" s="61">
        <f t="shared" ref="I102:I107" si="35">+(G102/H102-1)*100</f>
        <v>226.89605905464938</v>
      </c>
    </row>
    <row r="103" spans="1:10" x14ac:dyDescent="0.25">
      <c r="A103" s="117" t="s">
        <v>11</v>
      </c>
      <c r="B103" s="20">
        <f t="shared" si="2"/>
        <v>39548</v>
      </c>
      <c r="C103">
        <v>3633.6</v>
      </c>
      <c r="D103">
        <v>558.1</v>
      </c>
      <c r="E103">
        <v>4775.8999999999996</v>
      </c>
      <c r="F103">
        <v>2077.6</v>
      </c>
      <c r="G103" s="4">
        <f t="shared" si="34"/>
        <v>8409.5</v>
      </c>
      <c r="H103" s="4">
        <f t="shared" si="34"/>
        <v>2635.7</v>
      </c>
      <c r="I103" s="61">
        <f t="shared" si="35"/>
        <v>219.06134992601588</v>
      </c>
    </row>
    <row r="104" spans="1:10" x14ac:dyDescent="0.25">
      <c r="A104" s="117" t="s">
        <v>11</v>
      </c>
      <c r="B104" s="20">
        <f t="shared" si="2"/>
        <v>39555</v>
      </c>
      <c r="C104">
        <v>3338.9</v>
      </c>
      <c r="D104">
        <v>610.4</v>
      </c>
      <c r="E104">
        <v>5071</v>
      </c>
      <c r="F104">
        <v>2136.1999999999998</v>
      </c>
      <c r="G104" s="4">
        <f t="shared" ref="G104:H106" si="36">+C104+E104</f>
        <v>8409.9</v>
      </c>
      <c r="H104" s="4">
        <f t="shared" si="36"/>
        <v>2746.6</v>
      </c>
      <c r="I104" s="61">
        <f t="shared" si="35"/>
        <v>206.19311148328842</v>
      </c>
    </row>
    <row r="105" spans="1:10" x14ac:dyDescent="0.25">
      <c r="A105" s="117" t="s">
        <v>11</v>
      </c>
      <c r="B105" s="20">
        <f t="shared" si="2"/>
        <v>39562</v>
      </c>
      <c r="C105">
        <v>3122.8</v>
      </c>
      <c r="D105">
        <v>600.20000000000005</v>
      </c>
      <c r="E105">
        <v>5298.7</v>
      </c>
      <c r="F105">
        <v>2369.5</v>
      </c>
      <c r="G105" s="4">
        <f t="shared" si="36"/>
        <v>8421.5</v>
      </c>
      <c r="H105" s="4">
        <f t="shared" si="36"/>
        <v>2969.7</v>
      </c>
      <c r="I105" s="61">
        <f t="shared" si="35"/>
        <v>183.58083308078255</v>
      </c>
    </row>
    <row r="106" spans="1:10" x14ac:dyDescent="0.25">
      <c r="A106" s="117" t="s">
        <v>11</v>
      </c>
      <c r="B106" s="20">
        <f t="shared" si="2"/>
        <v>39569</v>
      </c>
      <c r="C106">
        <v>3016.3</v>
      </c>
      <c r="D106">
        <v>494.5</v>
      </c>
      <c r="E106">
        <v>5411.3</v>
      </c>
      <c r="F106">
        <v>2484.9</v>
      </c>
      <c r="G106" s="4">
        <f t="shared" si="36"/>
        <v>8427.6</v>
      </c>
      <c r="H106" s="4">
        <f t="shared" si="36"/>
        <v>2979.4</v>
      </c>
      <c r="I106" s="61">
        <f t="shared" si="35"/>
        <v>182.86232127273948</v>
      </c>
      <c r="J106">
        <v>384.2</v>
      </c>
    </row>
    <row r="107" spans="1:10" x14ac:dyDescent="0.25">
      <c r="A107" s="117" t="s">
        <v>11</v>
      </c>
      <c r="B107" s="20">
        <f t="shared" si="2"/>
        <v>39576</v>
      </c>
      <c r="C107">
        <v>2773.4</v>
      </c>
      <c r="D107">
        <v>934.4</v>
      </c>
      <c r="E107">
        <v>5644.7</v>
      </c>
      <c r="F107">
        <v>2658.8</v>
      </c>
      <c r="G107" s="4">
        <f t="shared" ref="G107:H109" si="37">+C107+E107</f>
        <v>8418.1</v>
      </c>
      <c r="H107" s="4">
        <f t="shared" si="37"/>
        <v>3593.2000000000003</v>
      </c>
      <c r="I107" s="61">
        <f t="shared" si="35"/>
        <v>134.27863742624959</v>
      </c>
      <c r="J107">
        <v>384.2</v>
      </c>
    </row>
    <row r="108" spans="1:10" x14ac:dyDescent="0.25">
      <c r="A108" s="117" t="s">
        <v>11</v>
      </c>
      <c r="B108" s="20">
        <f t="shared" si="2"/>
        <v>39583</v>
      </c>
      <c r="C108">
        <v>2598.9</v>
      </c>
      <c r="D108">
        <v>824.4</v>
      </c>
      <c r="E108">
        <v>5820.3</v>
      </c>
      <c r="F108">
        <v>2773.4</v>
      </c>
      <c r="G108" s="4">
        <f t="shared" si="37"/>
        <v>8419.2000000000007</v>
      </c>
      <c r="H108" s="4">
        <f t="shared" si="37"/>
        <v>3597.8</v>
      </c>
      <c r="I108" s="61">
        <f t="shared" ref="I108:I113" si="38">+(G108/H108-1)*100</f>
        <v>134.00967257768639</v>
      </c>
      <c r="J108">
        <v>384.2</v>
      </c>
    </row>
    <row r="109" spans="1:10" x14ac:dyDescent="0.25">
      <c r="A109" s="117" t="s">
        <v>11</v>
      </c>
      <c r="B109" s="20">
        <f t="shared" si="2"/>
        <v>39590</v>
      </c>
      <c r="C109">
        <v>2370.1</v>
      </c>
      <c r="D109">
        <v>714.4</v>
      </c>
      <c r="E109">
        <v>6039.5</v>
      </c>
      <c r="F109">
        <v>2884.3</v>
      </c>
      <c r="G109" s="4">
        <f t="shared" si="37"/>
        <v>8409.6</v>
      </c>
      <c r="H109" s="4">
        <f t="shared" si="37"/>
        <v>3598.7000000000003</v>
      </c>
      <c r="I109" s="61">
        <f t="shared" si="38"/>
        <v>133.684386028288</v>
      </c>
      <c r="J109">
        <v>384.2</v>
      </c>
    </row>
    <row r="110" spans="1:10" x14ac:dyDescent="0.25">
      <c r="A110" s="117" t="s">
        <v>11</v>
      </c>
      <c r="B110" s="20">
        <f t="shared" si="2"/>
        <v>39597</v>
      </c>
      <c r="C110">
        <v>2194</v>
      </c>
      <c r="D110">
        <v>714.2</v>
      </c>
      <c r="E110">
        <v>6200.5</v>
      </c>
      <c r="F110">
        <v>2884.5</v>
      </c>
      <c r="G110" s="4">
        <f t="shared" ref="G110:H112" si="39">+C110+E110</f>
        <v>8394.5</v>
      </c>
      <c r="H110" s="4">
        <f t="shared" si="39"/>
        <v>3598.7</v>
      </c>
      <c r="I110" s="61">
        <f t="shared" si="38"/>
        <v>133.26479006307835</v>
      </c>
      <c r="J110">
        <v>384.2</v>
      </c>
    </row>
    <row r="111" spans="1:10" x14ac:dyDescent="0.25">
      <c r="A111" s="117" t="s">
        <v>11</v>
      </c>
      <c r="B111" s="20">
        <f t="shared" si="2"/>
        <v>39604</v>
      </c>
      <c r="C111">
        <v>1978.2</v>
      </c>
      <c r="D111">
        <v>715.4</v>
      </c>
      <c r="E111">
        <v>6358.7</v>
      </c>
      <c r="F111">
        <v>2905.8</v>
      </c>
      <c r="G111" s="4">
        <f t="shared" si="39"/>
        <v>8336.9</v>
      </c>
      <c r="H111" s="4">
        <f t="shared" si="39"/>
        <v>3621.2000000000003</v>
      </c>
      <c r="I111" s="61">
        <f t="shared" si="38"/>
        <v>130.22478736330493</v>
      </c>
      <c r="J111">
        <v>384.2</v>
      </c>
    </row>
    <row r="112" spans="1:10" x14ac:dyDescent="0.25">
      <c r="A112" s="117" t="s">
        <v>11</v>
      </c>
      <c r="B112" s="20">
        <f t="shared" si="2"/>
        <v>39611</v>
      </c>
      <c r="C112">
        <v>1752.7</v>
      </c>
      <c r="D112">
        <v>500.7</v>
      </c>
      <c r="E112">
        <v>6682</v>
      </c>
      <c r="F112">
        <v>3130.6</v>
      </c>
      <c r="G112" s="4">
        <f t="shared" si="39"/>
        <v>8434.7000000000007</v>
      </c>
      <c r="H112" s="4">
        <f t="shared" si="39"/>
        <v>3631.2999999999997</v>
      </c>
      <c r="I112" s="61">
        <f t="shared" si="38"/>
        <v>132.27769669264453</v>
      </c>
      <c r="J112">
        <v>384.2</v>
      </c>
    </row>
    <row r="113" spans="1:11" x14ac:dyDescent="0.25">
      <c r="A113" s="117" t="s">
        <v>11</v>
      </c>
      <c r="B113" s="20">
        <f t="shared" si="2"/>
        <v>39618</v>
      </c>
      <c r="C113">
        <v>1580.7</v>
      </c>
      <c r="D113">
        <v>445.5</v>
      </c>
      <c r="E113">
        <v>6900</v>
      </c>
      <c r="F113">
        <v>3185.5</v>
      </c>
      <c r="G113" s="4">
        <f t="shared" ref="G113:H115" si="40">+C113+E113</f>
        <v>8480.7000000000007</v>
      </c>
      <c r="H113" s="4">
        <f t="shared" si="40"/>
        <v>3631</v>
      </c>
      <c r="I113" s="61">
        <f t="shared" si="38"/>
        <v>133.56375654089786</v>
      </c>
      <c r="J113">
        <v>384.2</v>
      </c>
    </row>
    <row r="114" spans="1:11" x14ac:dyDescent="0.25">
      <c r="A114" s="117" t="s">
        <v>11</v>
      </c>
      <c r="B114" s="20">
        <f t="shared" si="2"/>
        <v>39625</v>
      </c>
      <c r="C114">
        <v>1307.7</v>
      </c>
      <c r="D114">
        <v>614.4</v>
      </c>
      <c r="E114">
        <v>7168.5</v>
      </c>
      <c r="F114">
        <v>3242.4</v>
      </c>
      <c r="G114" s="4">
        <f t="shared" si="40"/>
        <v>8476.2000000000007</v>
      </c>
      <c r="H114" s="4">
        <f t="shared" si="40"/>
        <v>3856.8</v>
      </c>
      <c r="I114" s="61">
        <f t="shared" ref="I114:I119" si="41">+(G114/H114-1)*100</f>
        <v>119.77286869943997</v>
      </c>
      <c r="J114">
        <v>385.4</v>
      </c>
    </row>
    <row r="115" spans="1:11" x14ac:dyDescent="0.25">
      <c r="A115" s="117" t="s">
        <v>11</v>
      </c>
      <c r="B115" s="20">
        <f t="shared" si="2"/>
        <v>39632</v>
      </c>
      <c r="C115">
        <v>1191.2</v>
      </c>
      <c r="D115">
        <v>559.29999999999995</v>
      </c>
      <c r="E115">
        <v>7451.4</v>
      </c>
      <c r="F115">
        <v>3357.7</v>
      </c>
      <c r="G115" s="4">
        <f t="shared" si="40"/>
        <v>8642.6</v>
      </c>
      <c r="H115" s="4">
        <f t="shared" si="40"/>
        <v>3917</v>
      </c>
      <c r="I115" s="61">
        <f t="shared" si="41"/>
        <v>120.64334950217001</v>
      </c>
      <c r="J115">
        <v>385.4</v>
      </c>
    </row>
    <row r="116" spans="1:11" x14ac:dyDescent="0.25">
      <c r="A116" s="117" t="s">
        <v>11</v>
      </c>
      <c r="B116" s="20">
        <f t="shared" si="2"/>
        <v>39639</v>
      </c>
      <c r="C116">
        <v>1190.9000000000001</v>
      </c>
      <c r="D116">
        <v>448.5</v>
      </c>
      <c r="E116">
        <v>7451.6</v>
      </c>
      <c r="F116">
        <v>3472.9</v>
      </c>
      <c r="G116" s="4">
        <f t="shared" ref="G116:H118" si="42">+C116+E116</f>
        <v>8642.5</v>
      </c>
      <c r="H116" s="4">
        <f t="shared" si="42"/>
        <v>3921.4</v>
      </c>
      <c r="I116" s="61">
        <f t="shared" si="41"/>
        <v>120.39322690875709</v>
      </c>
      <c r="J116">
        <v>474.4</v>
      </c>
    </row>
    <row r="117" spans="1:11" x14ac:dyDescent="0.25">
      <c r="A117" s="117" t="s">
        <v>11</v>
      </c>
      <c r="B117" s="20">
        <f t="shared" si="2"/>
        <v>39646</v>
      </c>
      <c r="C117">
        <v>1234.5</v>
      </c>
      <c r="D117">
        <v>293.60000000000002</v>
      </c>
      <c r="E117">
        <v>7670.2</v>
      </c>
      <c r="F117">
        <v>3635.6</v>
      </c>
      <c r="G117" s="4">
        <f t="shared" si="42"/>
        <v>8904.7000000000007</v>
      </c>
      <c r="H117" s="4">
        <f t="shared" si="42"/>
        <v>3929.2</v>
      </c>
      <c r="I117" s="61">
        <f t="shared" si="41"/>
        <v>126.62883029624355</v>
      </c>
      <c r="J117">
        <v>441.4</v>
      </c>
    </row>
    <row r="118" spans="1:11" x14ac:dyDescent="0.25">
      <c r="A118" s="117" t="s">
        <v>11</v>
      </c>
      <c r="B118" s="20">
        <f t="shared" si="2"/>
        <v>39653</v>
      </c>
      <c r="C118">
        <v>951.6</v>
      </c>
      <c r="D118">
        <v>347.9</v>
      </c>
      <c r="E118">
        <v>7884.8</v>
      </c>
      <c r="F118">
        <v>3739.5</v>
      </c>
      <c r="G118" s="4">
        <f t="shared" si="42"/>
        <v>8836.4</v>
      </c>
      <c r="H118" s="4">
        <f t="shared" si="42"/>
        <v>4087.4</v>
      </c>
      <c r="I118" s="61">
        <f t="shared" si="41"/>
        <v>116.18632871752213</v>
      </c>
      <c r="J118">
        <v>601.4</v>
      </c>
    </row>
    <row r="119" spans="1:11" x14ac:dyDescent="0.25">
      <c r="A119" s="117" t="s">
        <v>11</v>
      </c>
      <c r="B119" s="20">
        <f t="shared" si="2"/>
        <v>39660</v>
      </c>
      <c r="C119">
        <v>853.6</v>
      </c>
      <c r="D119">
        <v>292.89999999999998</v>
      </c>
      <c r="E119">
        <v>7982.8</v>
      </c>
      <c r="F119">
        <v>3790.3</v>
      </c>
      <c r="G119" s="4">
        <f t="shared" ref="G119:H121" si="43">+C119+E119</f>
        <v>8836.4</v>
      </c>
      <c r="H119" s="4">
        <f t="shared" si="43"/>
        <v>4083.2000000000003</v>
      </c>
      <c r="I119" s="61">
        <f t="shared" si="41"/>
        <v>116.4086990595611</v>
      </c>
      <c r="J119">
        <v>713.4</v>
      </c>
    </row>
    <row r="120" spans="1:11" x14ac:dyDescent="0.25">
      <c r="A120" s="117" t="s">
        <v>11</v>
      </c>
      <c r="B120" s="20">
        <f t="shared" si="2"/>
        <v>39667</v>
      </c>
      <c r="C120">
        <v>753.6</v>
      </c>
      <c r="D120">
        <v>182.9</v>
      </c>
      <c r="E120">
        <v>8139</v>
      </c>
      <c r="F120">
        <v>4077.9</v>
      </c>
      <c r="G120" s="4">
        <f t="shared" si="43"/>
        <v>8892.6</v>
      </c>
      <c r="H120" s="4">
        <f t="shared" si="43"/>
        <v>4260.8</v>
      </c>
      <c r="I120" s="61">
        <f t="shared" ref="I120:I125" si="44">+(G120/H120-1)*100</f>
        <v>108.70728501689824</v>
      </c>
      <c r="J120">
        <v>718.4</v>
      </c>
    </row>
    <row r="121" spans="1:11" x14ac:dyDescent="0.25">
      <c r="A121" s="117" t="s">
        <v>11</v>
      </c>
      <c r="B121" s="20">
        <f t="shared" si="2"/>
        <v>39674</v>
      </c>
      <c r="C121">
        <v>595.4</v>
      </c>
      <c r="D121">
        <v>154.1</v>
      </c>
      <c r="E121">
        <v>8350.7999999999993</v>
      </c>
      <c r="F121">
        <v>4078.3</v>
      </c>
      <c r="G121" s="4">
        <f t="shared" si="43"/>
        <v>8946.1999999999989</v>
      </c>
      <c r="H121" s="4">
        <f t="shared" si="43"/>
        <v>4232.4000000000005</v>
      </c>
      <c r="I121" s="61">
        <f t="shared" si="44"/>
        <v>111.37416123239765</v>
      </c>
      <c r="J121">
        <v>773.4</v>
      </c>
    </row>
    <row r="122" spans="1:11" x14ac:dyDescent="0.25">
      <c r="A122" s="117" t="s">
        <v>11</v>
      </c>
      <c r="B122" s="20">
        <f t="shared" si="2"/>
        <v>39681</v>
      </c>
      <c r="C122">
        <v>543</v>
      </c>
      <c r="D122">
        <v>127</v>
      </c>
      <c r="E122">
        <v>8452</v>
      </c>
      <c r="F122">
        <v>4078.3</v>
      </c>
      <c r="G122" s="4">
        <f t="shared" ref="G122:H124" si="45">+C122+E122</f>
        <v>8995</v>
      </c>
      <c r="H122" s="4">
        <f t="shared" si="45"/>
        <v>4205.3</v>
      </c>
      <c r="I122" s="61">
        <f t="shared" si="44"/>
        <v>113.89674934011839</v>
      </c>
      <c r="J122">
        <v>773.4</v>
      </c>
    </row>
    <row r="123" spans="1:11" x14ac:dyDescent="0.25">
      <c r="A123" s="117" t="s">
        <v>11</v>
      </c>
      <c r="B123" s="20">
        <f t="shared" si="2"/>
        <v>39688</v>
      </c>
      <c r="C123">
        <v>378.9</v>
      </c>
      <c r="D123">
        <v>126.7</v>
      </c>
      <c r="E123">
        <v>8616.5</v>
      </c>
      <c r="F123">
        <v>4078.6</v>
      </c>
      <c r="G123" s="4">
        <f t="shared" si="45"/>
        <v>8995.4</v>
      </c>
      <c r="H123" s="4">
        <f t="shared" si="45"/>
        <v>4205.3</v>
      </c>
      <c r="I123" s="61">
        <f t="shared" si="44"/>
        <v>113.90626114664828</v>
      </c>
      <c r="J123">
        <v>776.9</v>
      </c>
      <c r="K123" s="4">
        <f>+G123-DATA!N75</f>
        <v>8995.4</v>
      </c>
    </row>
    <row r="124" spans="1:11" x14ac:dyDescent="0.25">
      <c r="A124" s="117" t="s">
        <v>11</v>
      </c>
      <c r="B124" s="20">
        <f t="shared" si="2"/>
        <v>39695</v>
      </c>
      <c r="C124">
        <v>1195.5999999999999</v>
      </c>
      <c r="D124">
        <v>944.9</v>
      </c>
      <c r="E124">
        <v>58.1</v>
      </c>
      <c r="F124">
        <v>171.6</v>
      </c>
      <c r="G124" s="4">
        <f t="shared" si="45"/>
        <v>1253.6999999999998</v>
      </c>
      <c r="H124" s="4">
        <f t="shared" si="45"/>
        <v>1116.5</v>
      </c>
      <c r="I124" s="61">
        <f t="shared" si="44"/>
        <v>12.288401253918479</v>
      </c>
    </row>
    <row r="125" spans="1:11" x14ac:dyDescent="0.25">
      <c r="A125" s="117" t="s">
        <v>11</v>
      </c>
      <c r="B125" s="20">
        <f t="shared" si="2"/>
        <v>39702</v>
      </c>
      <c r="C125">
        <v>1083.7</v>
      </c>
      <c r="D125">
        <v>1127.8</v>
      </c>
      <c r="E125">
        <v>111.4</v>
      </c>
      <c r="F125">
        <v>229.4</v>
      </c>
      <c r="G125" s="4">
        <f t="shared" ref="G125:H127" si="46">+C125+E125</f>
        <v>1195.1000000000001</v>
      </c>
      <c r="H125" s="4">
        <f t="shared" si="46"/>
        <v>1357.2</v>
      </c>
      <c r="I125" s="61">
        <f t="shared" si="44"/>
        <v>-11.943707633362799</v>
      </c>
    </row>
    <row r="126" spans="1:11" x14ac:dyDescent="0.25">
      <c r="A126" s="117" t="s">
        <v>11</v>
      </c>
      <c r="B126" s="20">
        <f t="shared" si="2"/>
        <v>39709</v>
      </c>
      <c r="C126">
        <v>1035</v>
      </c>
      <c r="D126">
        <v>1132</v>
      </c>
      <c r="E126">
        <v>216.7</v>
      </c>
      <c r="F126">
        <v>283.3</v>
      </c>
      <c r="G126" s="4">
        <f t="shared" si="46"/>
        <v>1251.7</v>
      </c>
      <c r="H126" s="4">
        <f t="shared" si="46"/>
        <v>1415.3</v>
      </c>
      <c r="I126" s="61">
        <f t="shared" ref="I126:I131" si="47">+(G126/H126-1)*100</f>
        <v>-11.5593867024659</v>
      </c>
    </row>
    <row r="127" spans="1:11" x14ac:dyDescent="0.25">
      <c r="A127" s="117" t="s">
        <v>11</v>
      </c>
      <c r="B127" s="20">
        <f t="shared" si="2"/>
        <v>39716</v>
      </c>
      <c r="C127">
        <v>917.1</v>
      </c>
      <c r="D127">
        <v>1017.5</v>
      </c>
      <c r="E127">
        <v>318.5</v>
      </c>
      <c r="F127">
        <v>460.5</v>
      </c>
      <c r="G127" s="4">
        <f t="shared" si="46"/>
        <v>1235.5999999999999</v>
      </c>
      <c r="H127" s="4">
        <f t="shared" si="46"/>
        <v>1478</v>
      </c>
      <c r="I127" s="61">
        <f t="shared" si="47"/>
        <v>-16.400541271989177</v>
      </c>
    </row>
    <row r="128" spans="1:11" x14ac:dyDescent="0.25">
      <c r="A128" s="117" t="s">
        <v>11</v>
      </c>
      <c r="B128" s="20">
        <f t="shared" si="2"/>
        <v>39723</v>
      </c>
      <c r="C128">
        <v>963.3</v>
      </c>
      <c r="D128">
        <v>1299.0999999999999</v>
      </c>
      <c r="E128">
        <v>319.2</v>
      </c>
      <c r="F128">
        <v>564.5</v>
      </c>
      <c r="G128" s="4">
        <f t="shared" ref="G128:H130" si="48">+C128+E128</f>
        <v>1282.5</v>
      </c>
      <c r="H128" s="4">
        <f t="shared" si="48"/>
        <v>1863.6</v>
      </c>
      <c r="I128" s="61">
        <f t="shared" si="47"/>
        <v>-31.181584030907917</v>
      </c>
    </row>
    <row r="129" spans="1:9" x14ac:dyDescent="0.25">
      <c r="A129" s="117" t="s">
        <v>11</v>
      </c>
      <c r="B129" s="20">
        <f t="shared" si="2"/>
        <v>39730</v>
      </c>
      <c r="C129">
        <v>839.4</v>
      </c>
      <c r="D129">
        <v>1398.3</v>
      </c>
      <c r="E129">
        <v>368.1</v>
      </c>
      <c r="F129">
        <v>715.1</v>
      </c>
      <c r="G129" s="4">
        <f t="shared" si="48"/>
        <v>1207.5</v>
      </c>
      <c r="H129" s="4">
        <f t="shared" si="48"/>
        <v>2113.4</v>
      </c>
      <c r="I129" s="61">
        <f t="shared" si="47"/>
        <v>-42.864578404466734</v>
      </c>
    </row>
    <row r="130" spans="1:9" x14ac:dyDescent="0.25">
      <c r="A130" s="117" t="s">
        <v>11</v>
      </c>
      <c r="B130" s="20">
        <f t="shared" si="2"/>
        <v>39737</v>
      </c>
      <c r="C130">
        <v>783.2</v>
      </c>
      <c r="D130">
        <v>1514.9</v>
      </c>
      <c r="E130">
        <v>427</v>
      </c>
      <c r="F130">
        <v>763.8</v>
      </c>
      <c r="G130" s="4">
        <f t="shared" si="48"/>
        <v>1210.2</v>
      </c>
      <c r="H130" s="4">
        <f t="shared" si="48"/>
        <v>2278.6999999999998</v>
      </c>
      <c r="I130" s="61">
        <f t="shared" si="47"/>
        <v>-46.890771053670946</v>
      </c>
    </row>
    <row r="131" spans="1:9" x14ac:dyDescent="0.25">
      <c r="A131" s="117" t="s">
        <v>11</v>
      </c>
      <c r="B131" s="20">
        <f t="shared" si="2"/>
        <v>39744</v>
      </c>
      <c r="C131">
        <v>745.7</v>
      </c>
      <c r="D131">
        <v>1452.6</v>
      </c>
      <c r="E131">
        <v>539.70000000000005</v>
      </c>
      <c r="F131">
        <v>881.6</v>
      </c>
      <c r="G131" s="4">
        <f t="shared" ref="G131:H133" si="49">+C131+E131</f>
        <v>1285.4000000000001</v>
      </c>
      <c r="H131" s="4">
        <f t="shared" si="49"/>
        <v>2334.1999999999998</v>
      </c>
      <c r="I131" s="61">
        <f t="shared" si="47"/>
        <v>-44.931882443663774</v>
      </c>
    </row>
    <row r="132" spans="1:9" x14ac:dyDescent="0.25">
      <c r="A132" s="117" t="s">
        <v>11</v>
      </c>
      <c r="B132" s="20">
        <f t="shared" si="2"/>
        <v>39751</v>
      </c>
      <c r="C132">
        <v>690.3</v>
      </c>
      <c r="D132">
        <v>1671.6</v>
      </c>
      <c r="E132">
        <v>643.6</v>
      </c>
      <c r="F132">
        <v>1145.2</v>
      </c>
      <c r="G132" s="4">
        <f t="shared" si="49"/>
        <v>1333.9</v>
      </c>
      <c r="H132" s="4">
        <f t="shared" si="49"/>
        <v>2816.8</v>
      </c>
      <c r="I132" s="61">
        <f t="shared" ref="I132:I137" si="50">+(G132/H132-1)*100</f>
        <v>-52.644845214427718</v>
      </c>
    </row>
    <row r="133" spans="1:9" x14ac:dyDescent="0.25">
      <c r="A133" s="117" t="s">
        <v>11</v>
      </c>
      <c r="B133" s="20">
        <f t="shared" si="2"/>
        <v>39758</v>
      </c>
      <c r="C133">
        <v>699.7</v>
      </c>
      <c r="D133">
        <v>1913</v>
      </c>
      <c r="E133">
        <v>691.4</v>
      </c>
      <c r="F133">
        <v>1191.5999999999999</v>
      </c>
      <c r="G133" s="4">
        <f t="shared" si="49"/>
        <v>1391.1</v>
      </c>
      <c r="H133" s="4">
        <f t="shared" si="49"/>
        <v>3104.6</v>
      </c>
      <c r="I133" s="61">
        <f t="shared" si="50"/>
        <v>-55.192295303742831</v>
      </c>
    </row>
    <row r="134" spans="1:9" x14ac:dyDescent="0.25">
      <c r="A134" s="117" t="s">
        <v>11</v>
      </c>
      <c r="B134" s="20">
        <f t="shared" si="2"/>
        <v>39765</v>
      </c>
      <c r="C134">
        <v>640.6</v>
      </c>
      <c r="D134">
        <v>1903.3</v>
      </c>
      <c r="E134">
        <v>776.6</v>
      </c>
      <c r="F134">
        <v>1511.2</v>
      </c>
      <c r="G134" s="4">
        <f t="shared" ref="G134:H136" si="51">+C134+E134</f>
        <v>1417.2</v>
      </c>
      <c r="H134" s="4">
        <f t="shared" si="51"/>
        <v>3414.5</v>
      </c>
      <c r="I134" s="61">
        <f t="shared" si="50"/>
        <v>-58.494655147166497</v>
      </c>
    </row>
    <row r="135" spans="1:9" x14ac:dyDescent="0.25">
      <c r="A135" s="117" t="s">
        <v>11</v>
      </c>
      <c r="B135" s="20">
        <f t="shared" si="2"/>
        <v>39772</v>
      </c>
      <c r="C135">
        <v>528.9</v>
      </c>
      <c r="D135">
        <v>2611.4</v>
      </c>
      <c r="E135">
        <v>893.9</v>
      </c>
      <c r="F135">
        <v>1555.7</v>
      </c>
      <c r="G135" s="4">
        <f t="shared" si="51"/>
        <v>1422.8</v>
      </c>
      <c r="H135" s="4">
        <f t="shared" si="51"/>
        <v>4167.1000000000004</v>
      </c>
      <c r="I135" s="61">
        <f t="shared" si="50"/>
        <v>-65.856350939502292</v>
      </c>
    </row>
    <row r="136" spans="1:9" x14ac:dyDescent="0.25">
      <c r="A136" s="117" t="s">
        <v>11</v>
      </c>
      <c r="B136" s="20">
        <f t="shared" si="2"/>
        <v>39779</v>
      </c>
      <c r="C136">
        <v>472.8</v>
      </c>
      <c r="D136">
        <v>2641</v>
      </c>
      <c r="E136">
        <v>961.4</v>
      </c>
      <c r="F136">
        <v>1697.8</v>
      </c>
      <c r="G136" s="4">
        <f t="shared" si="51"/>
        <v>1434.2</v>
      </c>
      <c r="H136" s="4">
        <f t="shared" si="51"/>
        <v>4338.8</v>
      </c>
      <c r="I136" s="61">
        <f t="shared" si="50"/>
        <v>-66.944777357794777</v>
      </c>
    </row>
    <row r="137" spans="1:9" x14ac:dyDescent="0.25">
      <c r="A137" s="117" t="s">
        <v>11</v>
      </c>
      <c r="B137" s="20">
        <f t="shared" si="2"/>
        <v>39786</v>
      </c>
      <c r="C137">
        <v>472.8</v>
      </c>
      <c r="D137">
        <v>2638.8</v>
      </c>
      <c r="E137">
        <v>961.4</v>
      </c>
      <c r="F137">
        <v>1740.2</v>
      </c>
      <c r="G137" s="4">
        <f t="shared" ref="G137:H139" si="52">+C137+E137</f>
        <v>1434.2</v>
      </c>
      <c r="H137" s="4">
        <f t="shared" si="52"/>
        <v>4379</v>
      </c>
      <c r="I137" s="61">
        <f t="shared" si="50"/>
        <v>-67.24823018954099</v>
      </c>
    </row>
    <row r="138" spans="1:9" x14ac:dyDescent="0.25">
      <c r="A138" s="117" t="s">
        <v>11</v>
      </c>
      <c r="B138" s="20">
        <f t="shared" si="2"/>
        <v>39793</v>
      </c>
      <c r="C138">
        <v>503.1</v>
      </c>
      <c r="D138">
        <v>2604.1999999999998</v>
      </c>
      <c r="E138">
        <v>1019.3</v>
      </c>
      <c r="F138">
        <v>1883.8</v>
      </c>
      <c r="G138" s="4">
        <f t="shared" si="52"/>
        <v>1522.4</v>
      </c>
      <c r="H138" s="4">
        <f t="shared" si="52"/>
        <v>4488</v>
      </c>
      <c r="I138" s="61">
        <f t="shared" ref="I138:I143" si="53">+(G138/H138-1)*100</f>
        <v>-66.078431372549019</v>
      </c>
    </row>
    <row r="139" spans="1:9" x14ac:dyDescent="0.25">
      <c r="A139" s="117" t="s">
        <v>11</v>
      </c>
      <c r="B139" s="20">
        <f t="shared" si="2"/>
        <v>39800</v>
      </c>
      <c r="C139">
        <v>364.2</v>
      </c>
      <c r="D139">
        <v>2655</v>
      </c>
      <c r="E139">
        <v>1133.5999999999999</v>
      </c>
      <c r="F139">
        <v>1944.8</v>
      </c>
      <c r="G139" s="4">
        <f t="shared" si="52"/>
        <v>1497.8</v>
      </c>
      <c r="H139" s="4">
        <f t="shared" si="52"/>
        <v>4599.8</v>
      </c>
      <c r="I139" s="61">
        <f t="shared" si="53"/>
        <v>-67.437714683247108</v>
      </c>
    </row>
    <row r="140" spans="1:9" x14ac:dyDescent="0.25">
      <c r="A140" s="117" t="s">
        <v>11</v>
      </c>
      <c r="B140" s="20">
        <f t="shared" si="2"/>
        <v>39807</v>
      </c>
      <c r="C140">
        <v>309.2</v>
      </c>
      <c r="D140">
        <v>2869</v>
      </c>
      <c r="E140">
        <v>1189.3</v>
      </c>
      <c r="F140">
        <v>2053.9</v>
      </c>
      <c r="G140" s="4">
        <f t="shared" ref="G140:H142" si="54">+C140+E140</f>
        <v>1498.5</v>
      </c>
      <c r="H140" s="4">
        <f t="shared" si="54"/>
        <v>4922.8999999999996</v>
      </c>
      <c r="I140" s="61">
        <f t="shared" si="53"/>
        <v>-69.560624834954993</v>
      </c>
    </row>
    <row r="141" spans="1:9" x14ac:dyDescent="0.25">
      <c r="A141" s="117" t="s">
        <v>11</v>
      </c>
      <c r="B141" s="20">
        <f t="shared" si="2"/>
        <v>39814</v>
      </c>
      <c r="C141">
        <v>193</v>
      </c>
      <c r="D141">
        <v>2787.6</v>
      </c>
      <c r="E141">
        <v>1305.8</v>
      </c>
      <c r="F141">
        <v>2170.5</v>
      </c>
      <c r="G141" s="4">
        <f t="shared" si="54"/>
        <v>1498.8</v>
      </c>
      <c r="H141" s="4">
        <f t="shared" si="54"/>
        <v>4958.1000000000004</v>
      </c>
      <c r="I141" s="61">
        <f t="shared" si="53"/>
        <v>-69.770678284020093</v>
      </c>
    </row>
    <row r="142" spans="1:9" x14ac:dyDescent="0.25">
      <c r="A142" s="117" t="s">
        <v>11</v>
      </c>
      <c r="B142" s="20">
        <f t="shared" si="2"/>
        <v>39821</v>
      </c>
      <c r="C142">
        <v>202.9</v>
      </c>
      <c r="D142">
        <v>3427.3</v>
      </c>
      <c r="E142">
        <v>1312.3</v>
      </c>
      <c r="F142">
        <v>2371.3000000000002</v>
      </c>
      <c r="G142" s="4">
        <f t="shared" si="54"/>
        <v>1515.2</v>
      </c>
      <c r="H142" s="4">
        <f t="shared" si="54"/>
        <v>5798.6</v>
      </c>
      <c r="I142" s="61">
        <f t="shared" si="53"/>
        <v>-73.869554720104858</v>
      </c>
    </row>
    <row r="143" spans="1:9" x14ac:dyDescent="0.25">
      <c r="A143" s="117" t="s">
        <v>11</v>
      </c>
      <c r="B143" s="20">
        <f t="shared" si="2"/>
        <v>39828</v>
      </c>
      <c r="C143">
        <v>375.1</v>
      </c>
      <c r="D143">
        <v>3765.8</v>
      </c>
      <c r="E143">
        <v>1399.9</v>
      </c>
      <c r="F143">
        <v>2469.9</v>
      </c>
      <c r="G143" s="4">
        <f t="shared" ref="G143:H145" si="55">+C143+E143</f>
        <v>1775</v>
      </c>
      <c r="H143" s="4">
        <f t="shared" si="55"/>
        <v>6235.7000000000007</v>
      </c>
      <c r="I143" s="61">
        <f t="shared" si="53"/>
        <v>-71.534871786647855</v>
      </c>
    </row>
    <row r="144" spans="1:9" x14ac:dyDescent="0.25">
      <c r="A144" s="117" t="s">
        <v>11</v>
      </c>
      <c r="B144" s="20">
        <f t="shared" si="2"/>
        <v>39835</v>
      </c>
      <c r="C144">
        <v>446</v>
      </c>
      <c r="D144">
        <v>4219.3</v>
      </c>
      <c r="E144">
        <v>1400.5</v>
      </c>
      <c r="F144">
        <v>2728</v>
      </c>
      <c r="G144" s="4">
        <f t="shared" si="55"/>
        <v>1846.5</v>
      </c>
      <c r="H144" s="4">
        <f t="shared" si="55"/>
        <v>6947.3</v>
      </c>
      <c r="I144" s="61">
        <f t="shared" ref="I144:I149" si="56">+(G144/H144-1)*100</f>
        <v>-73.42132914945374</v>
      </c>
    </row>
    <row r="145" spans="1:10" x14ac:dyDescent="0.25">
      <c r="A145" s="117" t="s">
        <v>11</v>
      </c>
      <c r="B145" s="20">
        <f t="shared" si="2"/>
        <v>39842</v>
      </c>
      <c r="C145">
        <v>591.70000000000005</v>
      </c>
      <c r="D145">
        <v>4279.6000000000004</v>
      </c>
      <c r="E145">
        <v>1458.5</v>
      </c>
      <c r="F145">
        <v>2818.7</v>
      </c>
      <c r="G145" s="4">
        <f t="shared" si="55"/>
        <v>2050.1999999999998</v>
      </c>
      <c r="H145" s="4">
        <f t="shared" si="55"/>
        <v>7098.3</v>
      </c>
      <c r="I145" s="61">
        <f t="shared" si="56"/>
        <v>-71.117028020793711</v>
      </c>
    </row>
    <row r="146" spans="1:10" x14ac:dyDescent="0.25">
      <c r="A146" s="117" t="s">
        <v>11</v>
      </c>
      <c r="B146" s="20">
        <f t="shared" si="2"/>
        <v>39849</v>
      </c>
      <c r="C146">
        <v>1075.2</v>
      </c>
      <c r="D146">
        <v>4240.7</v>
      </c>
      <c r="E146">
        <v>1459</v>
      </c>
      <c r="F146">
        <v>3025.4</v>
      </c>
      <c r="G146" s="4">
        <f t="shared" ref="G146:H148" si="57">+C146+E146</f>
        <v>2534.1999999999998</v>
      </c>
      <c r="H146" s="4">
        <f t="shared" si="57"/>
        <v>7266.1</v>
      </c>
      <c r="I146" s="61">
        <f t="shared" si="56"/>
        <v>-65.122968304867811</v>
      </c>
    </row>
    <row r="147" spans="1:10" x14ac:dyDescent="0.25">
      <c r="A147" s="117" t="s">
        <v>11</v>
      </c>
      <c r="B147" s="20">
        <f t="shared" si="2"/>
        <v>39856</v>
      </c>
      <c r="C147">
        <v>1241.2</v>
      </c>
      <c r="D147">
        <v>4441.2</v>
      </c>
      <c r="E147">
        <v>1459</v>
      </c>
      <c r="F147">
        <v>3193.2</v>
      </c>
      <c r="G147" s="4">
        <f t="shared" si="57"/>
        <v>2700.2</v>
      </c>
      <c r="H147" s="4">
        <f t="shared" si="57"/>
        <v>7634.4</v>
      </c>
      <c r="I147" s="61">
        <f t="shared" si="56"/>
        <v>-64.63114324635859</v>
      </c>
    </row>
    <row r="148" spans="1:10" x14ac:dyDescent="0.25">
      <c r="A148" s="117" t="s">
        <v>11</v>
      </c>
      <c r="B148" s="20">
        <f t="shared" si="2"/>
        <v>39863</v>
      </c>
      <c r="C148">
        <v>1168.2</v>
      </c>
      <c r="D148">
        <v>4175.1000000000004</v>
      </c>
      <c r="E148">
        <v>1530.4</v>
      </c>
      <c r="F148">
        <v>3456.2</v>
      </c>
      <c r="G148" s="4">
        <f t="shared" si="57"/>
        <v>2698.6000000000004</v>
      </c>
      <c r="H148" s="4">
        <f t="shared" si="57"/>
        <v>7631.3</v>
      </c>
      <c r="I148" s="61">
        <f t="shared" si="56"/>
        <v>-64.637741931256798</v>
      </c>
    </row>
    <row r="149" spans="1:10" x14ac:dyDescent="0.25">
      <c r="A149" s="117" t="s">
        <v>11</v>
      </c>
      <c r="B149" s="20">
        <f t="shared" si="2"/>
        <v>39870</v>
      </c>
      <c r="C149">
        <v>1413.6</v>
      </c>
      <c r="D149">
        <v>4267.8</v>
      </c>
      <c r="E149">
        <v>1579.4</v>
      </c>
      <c r="F149">
        <v>3562.2</v>
      </c>
      <c r="G149" s="4">
        <f t="shared" ref="G149:H151" si="58">+C149+E149</f>
        <v>2993</v>
      </c>
      <c r="H149" s="4">
        <f t="shared" si="58"/>
        <v>7830</v>
      </c>
      <c r="I149" s="61">
        <f t="shared" si="56"/>
        <v>-61.775223499361431</v>
      </c>
    </row>
    <row r="150" spans="1:10" x14ac:dyDescent="0.25">
      <c r="A150" s="117" t="s">
        <v>11</v>
      </c>
      <c r="B150" s="20">
        <f t="shared" si="2"/>
        <v>39877</v>
      </c>
      <c r="C150">
        <v>1216.5</v>
      </c>
      <c r="D150">
        <v>4183.3</v>
      </c>
      <c r="E150">
        <v>1744.1</v>
      </c>
      <c r="F150">
        <v>3781.8</v>
      </c>
      <c r="G150" s="4">
        <f t="shared" si="58"/>
        <v>2960.6</v>
      </c>
      <c r="H150" s="4">
        <f t="shared" si="58"/>
        <v>7965.1</v>
      </c>
      <c r="I150" s="61">
        <f t="shared" ref="I150:I155" si="59">+(G150/H150-1)*100</f>
        <v>-62.830347390491028</v>
      </c>
    </row>
    <row r="151" spans="1:10" x14ac:dyDescent="0.25">
      <c r="A151" s="117" t="s">
        <v>11</v>
      </c>
      <c r="B151" s="20">
        <f t="shared" si="2"/>
        <v>39884</v>
      </c>
      <c r="C151">
        <v>1217.3</v>
      </c>
      <c r="D151">
        <v>4098.3999999999996</v>
      </c>
      <c r="E151">
        <v>1744.1</v>
      </c>
      <c r="F151">
        <v>3943.6</v>
      </c>
      <c r="G151" s="4">
        <f t="shared" si="58"/>
        <v>2961.3999999999996</v>
      </c>
      <c r="H151" s="4">
        <f t="shared" si="58"/>
        <v>8042</v>
      </c>
      <c r="I151" s="61">
        <f t="shared" si="59"/>
        <v>-63.175826908729185</v>
      </c>
    </row>
    <row r="152" spans="1:10" x14ac:dyDescent="0.25">
      <c r="A152" s="117" t="s">
        <v>11</v>
      </c>
      <c r="B152" s="20">
        <f t="shared" si="2"/>
        <v>39891</v>
      </c>
      <c r="C152">
        <v>1427.9</v>
      </c>
      <c r="D152">
        <v>3934</v>
      </c>
      <c r="E152">
        <v>2014.5</v>
      </c>
      <c r="F152">
        <v>4169.7</v>
      </c>
      <c r="G152" s="4">
        <f t="shared" ref="G152:G183" si="60">+C152+E152</f>
        <v>3442.4</v>
      </c>
      <c r="H152" s="4">
        <f t="shared" ref="H152:H183" si="61">+D152+F152</f>
        <v>8103.7</v>
      </c>
      <c r="I152" s="61">
        <f t="shared" si="59"/>
        <v>-57.520638720584415</v>
      </c>
    </row>
    <row r="153" spans="1:10" x14ac:dyDescent="0.25">
      <c r="A153" s="117" t="s">
        <v>11</v>
      </c>
      <c r="B153" s="20">
        <f t="shared" si="2"/>
        <v>39898</v>
      </c>
      <c r="C153">
        <v>1702.1</v>
      </c>
      <c r="D153">
        <v>3818.6</v>
      </c>
      <c r="E153">
        <v>2072.3000000000002</v>
      </c>
      <c r="F153">
        <v>4291.3999999999996</v>
      </c>
      <c r="G153" s="4">
        <f t="shared" si="60"/>
        <v>3774.4</v>
      </c>
      <c r="H153" s="4">
        <f t="shared" si="61"/>
        <v>8110</v>
      </c>
      <c r="I153" s="61">
        <f t="shared" si="59"/>
        <v>-53.459926017262639</v>
      </c>
    </row>
    <row r="154" spans="1:10" x14ac:dyDescent="0.25">
      <c r="A154" s="117" t="s">
        <v>11</v>
      </c>
      <c r="B154" s="20">
        <f t="shared" si="2"/>
        <v>39905</v>
      </c>
      <c r="C154">
        <v>1709.9</v>
      </c>
      <c r="D154">
        <v>3582</v>
      </c>
      <c r="E154">
        <v>2187</v>
      </c>
      <c r="F154">
        <v>4654.8</v>
      </c>
      <c r="G154" s="4">
        <f t="shared" si="60"/>
        <v>3896.9</v>
      </c>
      <c r="H154" s="4">
        <f t="shared" si="61"/>
        <v>8236.7999999999993</v>
      </c>
      <c r="I154" s="61">
        <f t="shared" si="59"/>
        <v>-52.689151126651126</v>
      </c>
    </row>
    <row r="155" spans="1:10" x14ac:dyDescent="0.25">
      <c r="A155" s="117" t="s">
        <v>11</v>
      </c>
      <c r="B155" s="20">
        <f t="shared" si="2"/>
        <v>39912</v>
      </c>
      <c r="C155">
        <v>1760.2</v>
      </c>
      <c r="D155">
        <v>3633.6</v>
      </c>
      <c r="E155">
        <v>2188</v>
      </c>
      <c r="F155">
        <v>4775.8999999999996</v>
      </c>
      <c r="G155" s="4">
        <f t="shared" si="60"/>
        <v>3948.2</v>
      </c>
      <c r="H155" s="4">
        <f t="shared" si="61"/>
        <v>8409.5</v>
      </c>
      <c r="I155" s="61">
        <f t="shared" si="59"/>
        <v>-53.050716451632084</v>
      </c>
    </row>
    <row r="156" spans="1:10" x14ac:dyDescent="0.25">
      <c r="A156" s="117" t="s">
        <v>11</v>
      </c>
      <c r="B156" s="20">
        <f t="shared" si="2"/>
        <v>39919</v>
      </c>
      <c r="C156">
        <v>1703.5</v>
      </c>
      <c r="D156">
        <v>3338.9</v>
      </c>
      <c r="E156">
        <v>2361.5</v>
      </c>
      <c r="F156">
        <v>5071</v>
      </c>
      <c r="G156" s="4">
        <f t="shared" si="60"/>
        <v>4065</v>
      </c>
      <c r="H156" s="4">
        <f t="shared" si="61"/>
        <v>8409.9</v>
      </c>
      <c r="I156" s="61">
        <f t="shared" ref="I156:I187" si="62">+(G156/H156-1)*100</f>
        <v>-51.664110155887698</v>
      </c>
    </row>
    <row r="157" spans="1:10" x14ac:dyDescent="0.25">
      <c r="A157" s="117" t="s">
        <v>11</v>
      </c>
      <c r="B157" s="20">
        <f t="shared" si="2"/>
        <v>39926</v>
      </c>
      <c r="C157">
        <v>1891.7</v>
      </c>
      <c r="D157">
        <v>3122.8</v>
      </c>
      <c r="E157">
        <v>2446.9</v>
      </c>
      <c r="F157">
        <v>5298.7</v>
      </c>
      <c r="G157" s="4">
        <f t="shared" si="60"/>
        <v>4338.6000000000004</v>
      </c>
      <c r="H157" s="4">
        <f t="shared" si="61"/>
        <v>8421.5</v>
      </c>
      <c r="I157" s="61">
        <f t="shared" si="62"/>
        <v>-48.481861901086496</v>
      </c>
    </row>
    <row r="158" spans="1:10" x14ac:dyDescent="0.25">
      <c r="A158" s="117" t="s">
        <v>11</v>
      </c>
      <c r="B158" s="20">
        <f t="shared" si="2"/>
        <v>39933</v>
      </c>
      <c r="C158">
        <v>1665.8</v>
      </c>
      <c r="D158">
        <v>3016.3</v>
      </c>
      <c r="E158">
        <v>2683.4</v>
      </c>
      <c r="F158">
        <v>5411.3</v>
      </c>
      <c r="G158" s="4">
        <f t="shared" si="60"/>
        <v>4349.2</v>
      </c>
      <c r="H158" s="4">
        <f t="shared" si="61"/>
        <v>8427.6</v>
      </c>
      <c r="I158" s="61">
        <f t="shared" si="62"/>
        <v>-48.393374151597136</v>
      </c>
      <c r="J158">
        <v>0</v>
      </c>
    </row>
    <row r="159" spans="1:10" x14ac:dyDescent="0.25">
      <c r="A159" s="117" t="s">
        <v>11</v>
      </c>
      <c r="B159" s="20">
        <f t="shared" si="2"/>
        <v>39940</v>
      </c>
      <c r="C159">
        <v>1512.8</v>
      </c>
      <c r="D159">
        <v>2773.4</v>
      </c>
      <c r="E159">
        <v>2856.8</v>
      </c>
      <c r="F159">
        <v>5644.7</v>
      </c>
      <c r="G159" s="4">
        <f t="shared" si="60"/>
        <v>4369.6000000000004</v>
      </c>
      <c r="H159" s="4">
        <f t="shared" si="61"/>
        <v>8418.1</v>
      </c>
      <c r="I159" s="61">
        <f t="shared" si="62"/>
        <v>-48.09280003801333</v>
      </c>
      <c r="J159">
        <v>0</v>
      </c>
    </row>
    <row r="160" spans="1:10" x14ac:dyDescent="0.25">
      <c r="A160" s="117" t="s">
        <v>11</v>
      </c>
      <c r="B160" s="20">
        <f t="shared" si="2"/>
        <v>39947</v>
      </c>
      <c r="C160">
        <v>1454.7</v>
      </c>
      <c r="D160">
        <v>2598.9</v>
      </c>
      <c r="E160">
        <v>2997.8</v>
      </c>
      <c r="F160">
        <v>5820.3</v>
      </c>
      <c r="G160" s="4">
        <f t="shared" si="60"/>
        <v>4452.5</v>
      </c>
      <c r="H160" s="4">
        <f t="shared" si="61"/>
        <v>8419.2000000000007</v>
      </c>
      <c r="I160" s="61">
        <f t="shared" si="62"/>
        <v>-47.114927784112517</v>
      </c>
      <c r="J160">
        <v>0</v>
      </c>
    </row>
    <row r="161" spans="1:10" x14ac:dyDescent="0.25">
      <c r="A161" s="117" t="s">
        <v>11</v>
      </c>
      <c r="B161" s="20">
        <f t="shared" si="2"/>
        <v>39954</v>
      </c>
      <c r="C161">
        <v>1339.4</v>
      </c>
      <c r="D161">
        <v>2370.1</v>
      </c>
      <c r="E161">
        <v>3112.1</v>
      </c>
      <c r="F161">
        <v>6039.5</v>
      </c>
      <c r="G161" s="4">
        <f t="shared" si="60"/>
        <v>4451.5</v>
      </c>
      <c r="H161" s="4">
        <f t="shared" si="61"/>
        <v>8409.6</v>
      </c>
      <c r="I161" s="61">
        <f t="shared" si="62"/>
        <v>-47.066447869101978</v>
      </c>
      <c r="J161">
        <v>116</v>
      </c>
    </row>
    <row r="162" spans="1:10" x14ac:dyDescent="0.25">
      <c r="A162" s="117" t="s">
        <v>11</v>
      </c>
      <c r="B162" s="20">
        <f t="shared" si="2"/>
        <v>39961</v>
      </c>
      <c r="C162">
        <v>1111.9000000000001</v>
      </c>
      <c r="D162">
        <v>2194</v>
      </c>
      <c r="E162">
        <v>3284.8</v>
      </c>
      <c r="F162">
        <v>6200.5</v>
      </c>
      <c r="G162" s="4">
        <f t="shared" si="60"/>
        <v>4396.7000000000007</v>
      </c>
      <c r="H162" s="4">
        <f t="shared" si="61"/>
        <v>8394.5</v>
      </c>
      <c r="I162" s="61">
        <f t="shared" si="62"/>
        <v>-47.624039549705152</v>
      </c>
      <c r="J162">
        <v>116</v>
      </c>
    </row>
    <row r="163" spans="1:10" x14ac:dyDescent="0.25">
      <c r="A163" s="117" t="s">
        <v>11</v>
      </c>
      <c r="B163" s="20">
        <f t="shared" si="2"/>
        <v>39968</v>
      </c>
      <c r="C163">
        <v>953.5</v>
      </c>
      <c r="D163">
        <v>1978.2</v>
      </c>
      <c r="E163">
        <v>3453</v>
      </c>
      <c r="F163">
        <v>6358.7</v>
      </c>
      <c r="G163" s="4">
        <f t="shared" si="60"/>
        <v>4406.5</v>
      </c>
      <c r="H163" s="4">
        <f t="shared" si="61"/>
        <v>8336.9</v>
      </c>
      <c r="I163" s="61">
        <f t="shared" si="62"/>
        <v>-47.144622101740453</v>
      </c>
      <c r="J163">
        <v>118.5</v>
      </c>
    </row>
    <row r="164" spans="1:10" x14ac:dyDescent="0.25">
      <c r="A164" s="117" t="s">
        <v>11</v>
      </c>
      <c r="B164" s="20">
        <f t="shared" si="2"/>
        <v>39975</v>
      </c>
      <c r="C164">
        <v>728.8</v>
      </c>
      <c r="D164">
        <v>1752.7</v>
      </c>
      <c r="E164">
        <v>3625.9</v>
      </c>
      <c r="F164">
        <v>6682</v>
      </c>
      <c r="G164" s="4">
        <f t="shared" si="60"/>
        <v>4354.7</v>
      </c>
      <c r="H164" s="4">
        <f t="shared" si="61"/>
        <v>8434.7000000000007</v>
      </c>
      <c r="I164" s="61">
        <f t="shared" si="62"/>
        <v>-48.371607763168825</v>
      </c>
      <c r="J164">
        <v>393.5</v>
      </c>
    </row>
    <row r="165" spans="1:10" x14ac:dyDescent="0.25">
      <c r="A165" s="117" t="s">
        <v>11</v>
      </c>
      <c r="B165" s="20">
        <f t="shared" si="2"/>
        <v>39982</v>
      </c>
      <c r="C165">
        <v>670.4</v>
      </c>
      <c r="D165">
        <v>1580.7</v>
      </c>
      <c r="E165">
        <v>3685.7</v>
      </c>
      <c r="F165">
        <v>6900</v>
      </c>
      <c r="G165" s="4">
        <f t="shared" si="60"/>
        <v>4356.0999999999995</v>
      </c>
      <c r="H165" s="4">
        <f t="shared" si="61"/>
        <v>8480.7000000000007</v>
      </c>
      <c r="I165" s="61">
        <f t="shared" si="62"/>
        <v>-48.635136250545365</v>
      </c>
      <c r="J165">
        <v>419.4</v>
      </c>
    </row>
    <row r="166" spans="1:10" x14ac:dyDescent="0.25">
      <c r="A166" s="117" t="s">
        <v>11</v>
      </c>
      <c r="B166" s="20">
        <f t="shared" si="2"/>
        <v>39989</v>
      </c>
      <c r="C166">
        <v>890.3</v>
      </c>
      <c r="D166">
        <v>1307.7</v>
      </c>
      <c r="E166">
        <v>3745.6</v>
      </c>
      <c r="F166">
        <v>7168.5</v>
      </c>
      <c r="G166" s="4">
        <f t="shared" si="60"/>
        <v>4635.8999999999996</v>
      </c>
      <c r="H166" s="4">
        <f t="shared" si="61"/>
        <v>8476.2000000000007</v>
      </c>
      <c r="I166" s="61">
        <f t="shared" si="62"/>
        <v>-45.306859205776185</v>
      </c>
      <c r="J166">
        <v>477.4</v>
      </c>
    </row>
    <row r="167" spans="1:10" x14ac:dyDescent="0.25">
      <c r="A167" s="117" t="s">
        <v>11</v>
      </c>
      <c r="B167" s="20">
        <f t="shared" si="2"/>
        <v>39996</v>
      </c>
      <c r="C167">
        <v>754.8</v>
      </c>
      <c r="D167">
        <v>1191.2</v>
      </c>
      <c r="E167">
        <v>4027.5</v>
      </c>
      <c r="F167">
        <v>7451.4</v>
      </c>
      <c r="G167" s="4">
        <f t="shared" si="60"/>
        <v>4782.3</v>
      </c>
      <c r="H167" s="4">
        <f t="shared" si="61"/>
        <v>8642.6</v>
      </c>
      <c r="I167" s="61">
        <f t="shared" si="62"/>
        <v>-44.665957003679445</v>
      </c>
      <c r="J167">
        <v>575.9</v>
      </c>
    </row>
    <row r="168" spans="1:10" x14ac:dyDescent="0.25">
      <c r="A168" s="117" t="s">
        <v>11</v>
      </c>
      <c r="B168" s="20">
        <f t="shared" si="2"/>
        <v>40003</v>
      </c>
      <c r="C168">
        <v>810.6</v>
      </c>
      <c r="D168">
        <v>1190.9000000000001</v>
      </c>
      <c r="E168">
        <v>4088.3</v>
      </c>
      <c r="F168">
        <v>7451.6</v>
      </c>
      <c r="G168" s="4">
        <f t="shared" si="60"/>
        <v>4898.9000000000005</v>
      </c>
      <c r="H168" s="4">
        <f t="shared" si="61"/>
        <v>8642.5</v>
      </c>
      <c r="I168" s="61">
        <f t="shared" si="62"/>
        <v>-43.316170089673122</v>
      </c>
      <c r="J168">
        <v>575.9</v>
      </c>
    </row>
    <row r="169" spans="1:10" x14ac:dyDescent="0.25">
      <c r="A169" s="117" t="s">
        <v>11</v>
      </c>
      <c r="B169" s="20">
        <f t="shared" si="2"/>
        <v>40010</v>
      </c>
      <c r="C169">
        <v>844.8</v>
      </c>
      <c r="D169">
        <v>1234.5</v>
      </c>
      <c r="E169">
        <v>4199.5</v>
      </c>
      <c r="F169">
        <v>7670.2</v>
      </c>
      <c r="G169" s="4">
        <f t="shared" si="60"/>
        <v>5044.3</v>
      </c>
      <c r="H169" s="4">
        <f t="shared" si="61"/>
        <v>8904.7000000000007</v>
      </c>
      <c r="I169" s="61">
        <f t="shared" si="62"/>
        <v>-43.352386941727403</v>
      </c>
      <c r="J169">
        <v>731.9</v>
      </c>
    </row>
    <row r="170" spans="1:10" x14ac:dyDescent="0.25">
      <c r="A170" s="117" t="s">
        <v>11</v>
      </c>
      <c r="B170" s="20">
        <f t="shared" si="2"/>
        <v>40017</v>
      </c>
      <c r="C170">
        <v>677.8</v>
      </c>
      <c r="D170">
        <v>951.6</v>
      </c>
      <c r="E170">
        <v>4374.3</v>
      </c>
      <c r="F170">
        <v>7884.8</v>
      </c>
      <c r="G170" s="4">
        <f t="shared" si="60"/>
        <v>5052.1000000000004</v>
      </c>
      <c r="H170" s="4">
        <f t="shared" si="61"/>
        <v>8836.4</v>
      </c>
      <c r="I170" s="61">
        <f t="shared" si="62"/>
        <v>-42.826264089448188</v>
      </c>
      <c r="J170">
        <v>847.9</v>
      </c>
    </row>
    <row r="171" spans="1:10" x14ac:dyDescent="0.25">
      <c r="A171" s="117" t="s">
        <v>11</v>
      </c>
      <c r="B171" s="20">
        <f t="shared" si="2"/>
        <v>40024</v>
      </c>
      <c r="C171">
        <v>477.9</v>
      </c>
      <c r="D171">
        <v>853.6</v>
      </c>
      <c r="E171">
        <v>4581.1000000000004</v>
      </c>
      <c r="F171">
        <v>7982.8</v>
      </c>
      <c r="G171" s="4">
        <f t="shared" si="60"/>
        <v>5059</v>
      </c>
      <c r="H171" s="4">
        <f t="shared" si="61"/>
        <v>8836.4</v>
      </c>
      <c r="I171" s="61">
        <f t="shared" si="62"/>
        <v>-42.748177991037075</v>
      </c>
      <c r="J171">
        <v>965.9</v>
      </c>
    </row>
    <row r="172" spans="1:10" x14ac:dyDescent="0.25">
      <c r="A172" s="117" t="s">
        <v>11</v>
      </c>
      <c r="B172" s="20">
        <f t="shared" si="2"/>
        <v>40031</v>
      </c>
      <c r="C172">
        <v>565.29999999999995</v>
      </c>
      <c r="D172">
        <v>753.6</v>
      </c>
      <c r="E172">
        <v>4581.7</v>
      </c>
      <c r="F172">
        <v>8139</v>
      </c>
      <c r="G172" s="4">
        <f t="shared" si="60"/>
        <v>5147</v>
      </c>
      <c r="H172" s="4">
        <f t="shared" si="61"/>
        <v>8892.6</v>
      </c>
      <c r="I172" s="61">
        <f t="shared" si="62"/>
        <v>-42.120414726851543</v>
      </c>
      <c r="J172">
        <v>968.4</v>
      </c>
    </row>
    <row r="173" spans="1:10" x14ac:dyDescent="0.25">
      <c r="A173" s="117" t="s">
        <v>11</v>
      </c>
      <c r="B173" s="20">
        <f t="shared" si="2"/>
        <v>40038</v>
      </c>
      <c r="C173">
        <v>344.6</v>
      </c>
      <c r="D173">
        <v>595.4</v>
      </c>
      <c r="E173">
        <v>4863.7</v>
      </c>
      <c r="F173">
        <v>8350.7999999999993</v>
      </c>
      <c r="G173" s="4">
        <f t="shared" si="60"/>
        <v>5208.3</v>
      </c>
      <c r="H173" s="4">
        <f t="shared" si="61"/>
        <v>8946.1999999999989</v>
      </c>
      <c r="I173" s="61">
        <f t="shared" si="62"/>
        <v>-41.781985647537489</v>
      </c>
      <c r="J173">
        <v>1139.4000000000001</v>
      </c>
    </row>
    <row r="174" spans="1:10" x14ac:dyDescent="0.25">
      <c r="A174" s="117" t="s">
        <v>11</v>
      </c>
      <c r="B174" s="20">
        <f t="shared" si="2"/>
        <v>40045</v>
      </c>
      <c r="C174">
        <v>219.8</v>
      </c>
      <c r="D174">
        <v>543</v>
      </c>
      <c r="E174">
        <v>5035</v>
      </c>
      <c r="F174">
        <v>8452</v>
      </c>
      <c r="G174" s="4">
        <f t="shared" si="60"/>
        <v>5254.8</v>
      </c>
      <c r="H174" s="4">
        <f t="shared" si="61"/>
        <v>8995</v>
      </c>
      <c r="I174" s="61">
        <f t="shared" si="62"/>
        <v>-41.58087826570317</v>
      </c>
      <c r="J174">
        <v>1194.4000000000001</v>
      </c>
    </row>
    <row r="175" spans="1:10" x14ac:dyDescent="0.25">
      <c r="A175" s="117" t="s">
        <v>11</v>
      </c>
      <c r="B175" s="20">
        <f t="shared" si="2"/>
        <v>40052</v>
      </c>
      <c r="C175">
        <v>288.3</v>
      </c>
      <c r="D175">
        <v>378.9</v>
      </c>
      <c r="E175">
        <v>5129.3999999999996</v>
      </c>
      <c r="F175">
        <v>8616.5</v>
      </c>
      <c r="G175" s="4">
        <f t="shared" si="60"/>
        <v>5417.7</v>
      </c>
      <c r="H175" s="4">
        <f t="shared" si="61"/>
        <v>8995.4</v>
      </c>
      <c r="I175" s="61">
        <f t="shared" si="62"/>
        <v>-39.772550414656379</v>
      </c>
      <c r="J175">
        <v>1340</v>
      </c>
    </row>
    <row r="176" spans="1:10" x14ac:dyDescent="0.25">
      <c r="A176" s="117" t="s">
        <v>11</v>
      </c>
      <c r="B176" s="20">
        <f t="shared" si="2"/>
        <v>40059</v>
      </c>
      <c r="C176">
        <v>1633.3</v>
      </c>
      <c r="D176">
        <v>1195.5999999999999</v>
      </c>
      <c r="E176">
        <v>57.8</v>
      </c>
      <c r="F176">
        <v>58.1</v>
      </c>
      <c r="G176" s="4">
        <f t="shared" si="60"/>
        <v>1691.1</v>
      </c>
      <c r="H176" s="4">
        <f t="shared" si="61"/>
        <v>1253.6999999999998</v>
      </c>
      <c r="I176" s="61">
        <f t="shared" si="62"/>
        <v>34.888729361091173</v>
      </c>
    </row>
    <row r="177" spans="1:9" x14ac:dyDescent="0.25">
      <c r="A177" s="117" t="s">
        <v>11</v>
      </c>
      <c r="B177" s="20">
        <f t="shared" si="2"/>
        <v>40066</v>
      </c>
      <c r="C177">
        <v>1785.5</v>
      </c>
      <c r="D177">
        <v>1083.7</v>
      </c>
      <c r="E177">
        <v>173.9</v>
      </c>
      <c r="F177">
        <v>111.4</v>
      </c>
      <c r="G177" s="4">
        <f t="shared" si="60"/>
        <v>1959.4</v>
      </c>
      <c r="H177" s="4">
        <f t="shared" si="61"/>
        <v>1195.1000000000001</v>
      </c>
      <c r="I177" s="61">
        <f t="shared" si="62"/>
        <v>63.952807296460534</v>
      </c>
    </row>
    <row r="178" spans="1:9" x14ac:dyDescent="0.25">
      <c r="A178" s="117" t="s">
        <v>11</v>
      </c>
      <c r="B178" s="20">
        <f t="shared" si="2"/>
        <v>40073</v>
      </c>
      <c r="C178">
        <v>1570</v>
      </c>
      <c r="D178">
        <v>1035</v>
      </c>
      <c r="E178">
        <v>409.3</v>
      </c>
      <c r="F178">
        <v>216.7</v>
      </c>
      <c r="G178" s="4">
        <f t="shared" si="60"/>
        <v>1979.3</v>
      </c>
      <c r="H178" s="4">
        <f t="shared" si="61"/>
        <v>1251.7</v>
      </c>
      <c r="I178" s="61">
        <f t="shared" si="62"/>
        <v>58.128944635295987</v>
      </c>
    </row>
    <row r="179" spans="1:9" x14ac:dyDescent="0.25">
      <c r="A179" s="117" t="s">
        <v>11</v>
      </c>
      <c r="B179" s="20">
        <f t="shared" si="2"/>
        <v>40080</v>
      </c>
      <c r="C179">
        <v>1573.5</v>
      </c>
      <c r="D179">
        <v>917.1</v>
      </c>
      <c r="E179">
        <v>606.4</v>
      </c>
      <c r="F179">
        <v>318.5</v>
      </c>
      <c r="G179" s="4">
        <f t="shared" si="60"/>
        <v>2179.9</v>
      </c>
      <c r="H179" s="4">
        <f t="shared" si="61"/>
        <v>1235.5999999999999</v>
      </c>
      <c r="I179" s="61">
        <f t="shared" si="62"/>
        <v>76.424409193913917</v>
      </c>
    </row>
    <row r="180" spans="1:9" x14ac:dyDescent="0.25">
      <c r="A180" s="117" t="s">
        <v>11</v>
      </c>
      <c r="B180" s="20">
        <f t="shared" si="2"/>
        <v>40087</v>
      </c>
      <c r="C180">
        <v>1408.5</v>
      </c>
      <c r="D180">
        <v>963.3</v>
      </c>
      <c r="E180">
        <v>897.3</v>
      </c>
      <c r="F180">
        <v>319.2</v>
      </c>
      <c r="G180" s="4">
        <f t="shared" si="60"/>
        <v>2305.8000000000002</v>
      </c>
      <c r="H180" s="4">
        <f t="shared" si="61"/>
        <v>1282.5</v>
      </c>
      <c r="I180" s="61">
        <f t="shared" si="62"/>
        <v>79.789473684210549</v>
      </c>
    </row>
    <row r="181" spans="1:9" x14ac:dyDescent="0.25">
      <c r="A181" s="117" t="s">
        <v>11</v>
      </c>
      <c r="B181" s="20">
        <f t="shared" si="2"/>
        <v>40094</v>
      </c>
      <c r="C181">
        <v>1406.5</v>
      </c>
      <c r="D181">
        <v>839.4</v>
      </c>
      <c r="E181">
        <v>1018.7</v>
      </c>
      <c r="F181">
        <v>368.1</v>
      </c>
      <c r="G181" s="4">
        <f t="shared" si="60"/>
        <v>2425.1999999999998</v>
      </c>
      <c r="H181" s="4">
        <f t="shared" si="61"/>
        <v>1207.5</v>
      </c>
      <c r="I181" s="61">
        <f t="shared" si="62"/>
        <v>100.8447204968944</v>
      </c>
    </row>
    <row r="182" spans="1:9" x14ac:dyDescent="0.25">
      <c r="A182" s="117" t="s">
        <v>11</v>
      </c>
      <c r="B182" s="20">
        <f t="shared" si="2"/>
        <v>40101</v>
      </c>
      <c r="C182">
        <v>1266.3</v>
      </c>
      <c r="D182">
        <v>783.2</v>
      </c>
      <c r="E182">
        <v>1222.9000000000001</v>
      </c>
      <c r="F182">
        <v>427</v>
      </c>
      <c r="G182" s="4">
        <f t="shared" si="60"/>
        <v>2489.1999999999998</v>
      </c>
      <c r="H182" s="4">
        <f t="shared" si="61"/>
        <v>1210.2</v>
      </c>
      <c r="I182" s="61">
        <f t="shared" si="62"/>
        <v>105.68501074202609</v>
      </c>
    </row>
    <row r="183" spans="1:9" x14ac:dyDescent="0.25">
      <c r="A183" s="117" t="s">
        <v>11</v>
      </c>
      <c r="B183" s="20">
        <f t="shared" si="2"/>
        <v>40108</v>
      </c>
      <c r="C183">
        <v>1224.5999999999999</v>
      </c>
      <c r="D183">
        <v>745.7</v>
      </c>
      <c r="E183">
        <v>1320.9</v>
      </c>
      <c r="F183">
        <v>539.70000000000005</v>
      </c>
      <c r="G183" s="4">
        <f t="shared" si="60"/>
        <v>2545.5</v>
      </c>
      <c r="H183" s="4">
        <f t="shared" si="61"/>
        <v>1285.4000000000001</v>
      </c>
      <c r="I183" s="61">
        <f t="shared" si="62"/>
        <v>98.031741092266984</v>
      </c>
    </row>
    <row r="184" spans="1:9" x14ac:dyDescent="0.25">
      <c r="A184" s="117" t="s">
        <v>11</v>
      </c>
      <c r="B184" s="20">
        <f t="shared" si="2"/>
        <v>40115</v>
      </c>
      <c r="C184">
        <v>1224.0999999999999</v>
      </c>
      <c r="D184">
        <v>690.3</v>
      </c>
      <c r="E184">
        <v>1321.4</v>
      </c>
      <c r="F184">
        <v>643.6</v>
      </c>
      <c r="G184" s="4">
        <f t="shared" ref="G184:G215" si="63">+C184+E184</f>
        <v>2545.5</v>
      </c>
      <c r="H184" s="4">
        <f t="shared" ref="H184:H215" si="64">+D184+F184</f>
        <v>1333.9</v>
      </c>
      <c r="I184" s="61">
        <f t="shared" si="62"/>
        <v>90.83139665642102</v>
      </c>
    </row>
    <row r="185" spans="1:9" x14ac:dyDescent="0.25">
      <c r="A185" s="117" t="s">
        <v>11</v>
      </c>
      <c r="B185" s="20">
        <f t="shared" si="2"/>
        <v>40122</v>
      </c>
      <c r="C185">
        <v>1167.9000000000001</v>
      </c>
      <c r="D185">
        <v>640.6</v>
      </c>
      <c r="E185">
        <v>1378.7</v>
      </c>
      <c r="F185">
        <v>776.6</v>
      </c>
      <c r="G185" s="4">
        <f t="shared" si="63"/>
        <v>2546.6000000000004</v>
      </c>
      <c r="H185" s="4">
        <f t="shared" si="64"/>
        <v>1417.2</v>
      </c>
      <c r="I185" s="61">
        <f t="shared" si="62"/>
        <v>79.692351114874427</v>
      </c>
    </row>
    <row r="186" spans="1:9" x14ac:dyDescent="0.25">
      <c r="A186" s="117" t="s">
        <v>11</v>
      </c>
      <c r="B186" s="20">
        <f t="shared" si="2"/>
        <v>40129</v>
      </c>
      <c r="C186">
        <v>1046.4000000000001</v>
      </c>
      <c r="D186">
        <v>640.6</v>
      </c>
      <c r="E186">
        <v>1493.4</v>
      </c>
      <c r="F186">
        <v>776.6</v>
      </c>
      <c r="G186" s="4">
        <f t="shared" si="63"/>
        <v>2539.8000000000002</v>
      </c>
      <c r="H186" s="4">
        <f t="shared" si="64"/>
        <v>1417.2</v>
      </c>
      <c r="I186" s="61">
        <f t="shared" si="62"/>
        <v>79.212531752751914</v>
      </c>
    </row>
    <row r="187" spans="1:9" x14ac:dyDescent="0.25">
      <c r="A187" s="117" t="s">
        <v>11</v>
      </c>
      <c r="B187" s="20">
        <f t="shared" si="2"/>
        <v>40136</v>
      </c>
      <c r="C187">
        <v>1108.4000000000001</v>
      </c>
      <c r="D187">
        <v>528.9</v>
      </c>
      <c r="E187">
        <v>1550.4</v>
      </c>
      <c r="F187">
        <v>893.9</v>
      </c>
      <c r="G187" s="4">
        <f t="shared" si="63"/>
        <v>2658.8</v>
      </c>
      <c r="H187" s="4">
        <f t="shared" si="64"/>
        <v>1422.8</v>
      </c>
      <c r="I187" s="61">
        <f t="shared" si="62"/>
        <v>86.870958673039084</v>
      </c>
    </row>
    <row r="188" spans="1:9" x14ac:dyDescent="0.25">
      <c r="A188" s="117" t="s">
        <v>11</v>
      </c>
      <c r="B188" s="20">
        <f t="shared" si="2"/>
        <v>40143</v>
      </c>
      <c r="C188">
        <v>1199.0999999999999</v>
      </c>
      <c r="D188">
        <v>472.8</v>
      </c>
      <c r="E188">
        <v>1722.6</v>
      </c>
      <c r="F188">
        <v>961.4</v>
      </c>
      <c r="G188" s="4">
        <f t="shared" si="63"/>
        <v>2921.7</v>
      </c>
      <c r="H188" s="4">
        <f t="shared" si="64"/>
        <v>1434.2</v>
      </c>
      <c r="I188" s="61">
        <f t="shared" ref="I188:I219" si="65">+(G188/H188-1)*100</f>
        <v>103.71635755124808</v>
      </c>
    </row>
    <row r="189" spans="1:9" x14ac:dyDescent="0.25">
      <c r="A189" s="117" t="s">
        <v>11</v>
      </c>
      <c r="B189" s="20">
        <f t="shared" si="2"/>
        <v>40150</v>
      </c>
      <c r="C189">
        <v>1117.5999999999999</v>
      </c>
      <c r="D189">
        <v>472.8</v>
      </c>
      <c r="E189">
        <v>1895.8</v>
      </c>
      <c r="F189">
        <v>961.4</v>
      </c>
      <c r="G189" s="4">
        <f t="shared" si="63"/>
        <v>3013.3999999999996</v>
      </c>
      <c r="H189" s="4">
        <f t="shared" si="64"/>
        <v>1434.2</v>
      </c>
      <c r="I189" s="61">
        <f t="shared" si="65"/>
        <v>110.11016594617206</v>
      </c>
    </row>
    <row r="190" spans="1:9" x14ac:dyDescent="0.25">
      <c r="A190" s="117" t="s">
        <v>11</v>
      </c>
      <c r="B190" s="20">
        <f t="shared" si="2"/>
        <v>40157</v>
      </c>
      <c r="C190">
        <v>1215.3</v>
      </c>
      <c r="D190">
        <v>503.1</v>
      </c>
      <c r="E190">
        <v>1950.1</v>
      </c>
      <c r="F190">
        <v>1019.3</v>
      </c>
      <c r="G190" s="4">
        <f t="shared" si="63"/>
        <v>3165.3999999999996</v>
      </c>
      <c r="H190" s="4">
        <f t="shared" si="64"/>
        <v>1522.4</v>
      </c>
      <c r="I190" s="61">
        <f t="shared" si="65"/>
        <v>107.92170257488172</v>
      </c>
    </row>
    <row r="191" spans="1:9" x14ac:dyDescent="0.25">
      <c r="A191" s="117" t="s">
        <v>11</v>
      </c>
      <c r="B191" s="20">
        <f t="shared" si="2"/>
        <v>40164</v>
      </c>
      <c r="C191">
        <v>1233</v>
      </c>
      <c r="D191">
        <v>364.2</v>
      </c>
      <c r="E191">
        <v>1977.3</v>
      </c>
      <c r="F191">
        <v>1133.5999999999999</v>
      </c>
      <c r="G191" s="4">
        <f t="shared" si="63"/>
        <v>3210.3</v>
      </c>
      <c r="H191" s="4">
        <f t="shared" si="64"/>
        <v>1497.8</v>
      </c>
      <c r="I191" s="61">
        <f t="shared" si="65"/>
        <v>114.33435705701696</v>
      </c>
    </row>
    <row r="192" spans="1:9" x14ac:dyDescent="0.25">
      <c r="A192" s="117" t="s">
        <v>11</v>
      </c>
      <c r="B192" s="20">
        <f t="shared" si="2"/>
        <v>40171</v>
      </c>
      <c r="C192">
        <v>1232.7</v>
      </c>
      <c r="D192">
        <v>309.2</v>
      </c>
      <c r="E192">
        <v>2035.4</v>
      </c>
      <c r="F192">
        <v>1189.3</v>
      </c>
      <c r="G192" s="4">
        <f t="shared" si="63"/>
        <v>3268.1000000000004</v>
      </c>
      <c r="H192" s="4">
        <f t="shared" si="64"/>
        <v>1498.5</v>
      </c>
      <c r="I192" s="61">
        <f t="shared" si="65"/>
        <v>118.09142475809145</v>
      </c>
    </row>
    <row r="193" spans="1:9" x14ac:dyDescent="0.25">
      <c r="A193" s="117" t="s">
        <v>11</v>
      </c>
      <c r="B193" s="20">
        <f t="shared" si="2"/>
        <v>40178</v>
      </c>
      <c r="C193">
        <v>1103.0999999999999</v>
      </c>
      <c r="D193">
        <v>193</v>
      </c>
      <c r="E193">
        <v>2205.8000000000002</v>
      </c>
      <c r="F193">
        <v>1305.8</v>
      </c>
      <c r="G193" s="4">
        <f t="shared" si="63"/>
        <v>3308.9</v>
      </c>
      <c r="H193" s="4">
        <f t="shared" si="64"/>
        <v>1498.8</v>
      </c>
      <c r="I193" s="61">
        <f t="shared" si="65"/>
        <v>120.76994929276754</v>
      </c>
    </row>
    <row r="194" spans="1:9" x14ac:dyDescent="0.25">
      <c r="A194" s="117" t="s">
        <v>11</v>
      </c>
      <c r="B194" s="20">
        <f t="shared" si="2"/>
        <v>40185</v>
      </c>
      <c r="C194">
        <v>1217.5999999999999</v>
      </c>
      <c r="D194">
        <v>202.9</v>
      </c>
      <c r="E194">
        <v>2206.4</v>
      </c>
      <c r="F194">
        <v>1312.3</v>
      </c>
      <c r="G194" s="4">
        <f t="shared" si="63"/>
        <v>3424</v>
      </c>
      <c r="H194" s="4">
        <f t="shared" si="64"/>
        <v>1515.2</v>
      </c>
      <c r="I194" s="61">
        <f t="shared" si="65"/>
        <v>125.97676874340023</v>
      </c>
    </row>
    <row r="195" spans="1:9" x14ac:dyDescent="0.25">
      <c r="A195" s="117" t="s">
        <v>11</v>
      </c>
      <c r="B195" s="20">
        <f t="shared" si="2"/>
        <v>40192</v>
      </c>
      <c r="C195">
        <v>1326.5</v>
      </c>
      <c r="D195">
        <v>375.1</v>
      </c>
      <c r="E195">
        <v>2365.9</v>
      </c>
      <c r="F195">
        <v>1399.9</v>
      </c>
      <c r="G195" s="4">
        <f t="shared" si="63"/>
        <v>3692.4</v>
      </c>
      <c r="H195" s="4">
        <f t="shared" si="64"/>
        <v>1775</v>
      </c>
      <c r="I195" s="61">
        <f t="shared" si="65"/>
        <v>108.02253521126759</v>
      </c>
    </row>
    <row r="196" spans="1:9" x14ac:dyDescent="0.25">
      <c r="A196" s="117" t="s">
        <v>11</v>
      </c>
      <c r="B196" s="20">
        <f t="shared" si="2"/>
        <v>40199</v>
      </c>
      <c r="C196">
        <v>1512.4</v>
      </c>
      <c r="D196">
        <v>446</v>
      </c>
      <c r="E196">
        <v>2366.4</v>
      </c>
      <c r="F196">
        <v>1400.5</v>
      </c>
      <c r="G196" s="4">
        <f t="shared" si="63"/>
        <v>3878.8</v>
      </c>
      <c r="H196" s="4">
        <f t="shared" si="64"/>
        <v>1846.5</v>
      </c>
      <c r="I196" s="61">
        <f t="shared" si="65"/>
        <v>110.06227998916872</v>
      </c>
    </row>
    <row r="197" spans="1:9" x14ac:dyDescent="0.25">
      <c r="A197" s="117" t="s">
        <v>11</v>
      </c>
      <c r="B197" s="20">
        <f t="shared" si="2"/>
        <v>40206</v>
      </c>
      <c r="C197">
        <v>1282.2</v>
      </c>
      <c r="D197">
        <v>591.70000000000005</v>
      </c>
      <c r="E197">
        <v>2596.6</v>
      </c>
      <c r="F197">
        <v>1458.5</v>
      </c>
      <c r="G197" s="4">
        <f t="shared" si="63"/>
        <v>3878.8</v>
      </c>
      <c r="H197" s="4">
        <f t="shared" si="64"/>
        <v>2050.1999999999998</v>
      </c>
      <c r="I197" s="61">
        <f t="shared" si="65"/>
        <v>89.191298409911241</v>
      </c>
    </row>
    <row r="198" spans="1:9" x14ac:dyDescent="0.25">
      <c r="A198" s="117" t="s">
        <v>11</v>
      </c>
      <c r="B198" s="20">
        <f t="shared" si="2"/>
        <v>40213</v>
      </c>
      <c r="C198">
        <v>1338.3</v>
      </c>
      <c r="D198">
        <v>1075.2</v>
      </c>
      <c r="E198">
        <v>2711.9</v>
      </c>
      <c r="F198">
        <v>1459</v>
      </c>
      <c r="G198" s="4">
        <f t="shared" si="63"/>
        <v>4050.2</v>
      </c>
      <c r="H198" s="4">
        <f t="shared" si="64"/>
        <v>2534.1999999999998</v>
      </c>
      <c r="I198" s="61">
        <f t="shared" si="65"/>
        <v>59.821639965275033</v>
      </c>
    </row>
    <row r="199" spans="1:9" x14ac:dyDescent="0.25">
      <c r="A199" s="117" t="s">
        <v>11</v>
      </c>
      <c r="B199" s="20">
        <f t="shared" si="2"/>
        <v>40220</v>
      </c>
      <c r="C199">
        <v>1281.7</v>
      </c>
      <c r="D199">
        <v>1241.2</v>
      </c>
      <c r="E199">
        <v>2826.9</v>
      </c>
      <c r="F199">
        <v>1459</v>
      </c>
      <c r="G199" s="4">
        <f t="shared" si="63"/>
        <v>4108.6000000000004</v>
      </c>
      <c r="H199" s="4">
        <f t="shared" si="64"/>
        <v>2700.2</v>
      </c>
      <c r="I199" s="61">
        <f t="shared" si="65"/>
        <v>52.159099325975887</v>
      </c>
    </row>
    <row r="200" spans="1:9" x14ac:dyDescent="0.25">
      <c r="A200" s="117" t="s">
        <v>11</v>
      </c>
      <c r="B200" s="20">
        <f t="shared" si="2"/>
        <v>40227</v>
      </c>
      <c r="C200">
        <v>1224.0999999999999</v>
      </c>
      <c r="D200">
        <v>1168.2</v>
      </c>
      <c r="E200">
        <v>3114.9</v>
      </c>
      <c r="F200">
        <v>1530.4</v>
      </c>
      <c r="G200" s="4">
        <f t="shared" si="63"/>
        <v>4339</v>
      </c>
      <c r="H200" s="4">
        <f t="shared" si="64"/>
        <v>2698.6000000000004</v>
      </c>
      <c r="I200" s="61">
        <f t="shared" si="65"/>
        <v>60.787074779515279</v>
      </c>
    </row>
    <row r="201" spans="1:9" x14ac:dyDescent="0.25">
      <c r="A201" s="117" t="s">
        <v>11</v>
      </c>
      <c r="B201" s="20">
        <f t="shared" si="2"/>
        <v>40234</v>
      </c>
      <c r="C201">
        <v>1165.3</v>
      </c>
      <c r="D201">
        <v>1413.6</v>
      </c>
      <c r="E201">
        <v>3231.9</v>
      </c>
      <c r="F201">
        <v>1579.4</v>
      </c>
      <c r="G201" s="4">
        <f t="shared" si="63"/>
        <v>4397.2</v>
      </c>
      <c r="H201" s="4">
        <f t="shared" si="64"/>
        <v>2993</v>
      </c>
      <c r="I201" s="61">
        <f t="shared" si="65"/>
        <v>46.916137654527226</v>
      </c>
    </row>
    <row r="202" spans="1:9" x14ac:dyDescent="0.25">
      <c r="A202" s="117" t="s">
        <v>11</v>
      </c>
      <c r="B202" s="20">
        <f t="shared" si="2"/>
        <v>40241</v>
      </c>
      <c r="C202">
        <v>1000.9</v>
      </c>
      <c r="D202">
        <v>1216.5</v>
      </c>
      <c r="E202">
        <v>3396.6</v>
      </c>
      <c r="F202">
        <v>1744.1</v>
      </c>
      <c r="G202" s="4">
        <f t="shared" si="63"/>
        <v>4397.5</v>
      </c>
      <c r="H202" s="4">
        <f t="shared" si="64"/>
        <v>2960.6</v>
      </c>
      <c r="I202" s="61">
        <f t="shared" si="65"/>
        <v>48.534080929541325</v>
      </c>
    </row>
    <row r="203" spans="1:9" x14ac:dyDescent="0.25">
      <c r="A203" s="117" t="s">
        <v>11</v>
      </c>
      <c r="B203" s="20">
        <f t="shared" si="2"/>
        <v>40248</v>
      </c>
      <c r="C203">
        <v>1182.2</v>
      </c>
      <c r="D203">
        <v>1217.3</v>
      </c>
      <c r="E203">
        <v>3628.4</v>
      </c>
      <c r="F203">
        <v>1744.1</v>
      </c>
      <c r="G203" s="4">
        <f t="shared" si="63"/>
        <v>4810.6000000000004</v>
      </c>
      <c r="H203" s="4">
        <f t="shared" si="64"/>
        <v>2961.3999999999996</v>
      </c>
      <c r="I203" s="61">
        <f t="shared" si="65"/>
        <v>62.443438914027169</v>
      </c>
    </row>
    <row r="204" spans="1:9" x14ac:dyDescent="0.25">
      <c r="A204" s="117" t="s">
        <v>11</v>
      </c>
      <c r="B204" s="20">
        <f t="shared" si="2"/>
        <v>40255</v>
      </c>
      <c r="C204">
        <v>1162.5999999999999</v>
      </c>
      <c r="D204">
        <v>1427.9</v>
      </c>
      <c r="E204">
        <v>3760.5</v>
      </c>
      <c r="F204">
        <v>2014.5</v>
      </c>
      <c r="G204" s="4">
        <f t="shared" si="63"/>
        <v>4923.1000000000004</v>
      </c>
      <c r="H204" s="4">
        <f t="shared" si="64"/>
        <v>3442.4</v>
      </c>
      <c r="I204" s="61">
        <f t="shared" si="65"/>
        <v>43.013595166163142</v>
      </c>
    </row>
    <row r="205" spans="1:9" x14ac:dyDescent="0.25">
      <c r="A205" s="117" t="s">
        <v>11</v>
      </c>
      <c r="B205" s="20">
        <f t="shared" si="2"/>
        <v>40262</v>
      </c>
      <c r="C205">
        <v>1159.9000000000001</v>
      </c>
      <c r="D205">
        <v>1702.1</v>
      </c>
      <c r="E205">
        <v>3934.5</v>
      </c>
      <c r="F205">
        <v>2072.3000000000002</v>
      </c>
      <c r="G205" s="4">
        <f t="shared" si="63"/>
        <v>5094.3999999999996</v>
      </c>
      <c r="H205" s="4">
        <f t="shared" si="64"/>
        <v>3774.4</v>
      </c>
      <c r="I205" s="61">
        <f t="shared" si="65"/>
        <v>34.972445951674437</v>
      </c>
    </row>
    <row r="206" spans="1:9" x14ac:dyDescent="0.25">
      <c r="A206" s="117" t="s">
        <v>11</v>
      </c>
      <c r="B206" s="20">
        <f t="shared" si="2"/>
        <v>40269</v>
      </c>
      <c r="C206">
        <v>1545.9</v>
      </c>
      <c r="D206">
        <v>1709.9</v>
      </c>
      <c r="E206">
        <v>4165.3</v>
      </c>
      <c r="F206">
        <v>2187</v>
      </c>
      <c r="G206" s="4">
        <f t="shared" si="63"/>
        <v>5711.2000000000007</v>
      </c>
      <c r="H206" s="4">
        <f t="shared" si="64"/>
        <v>3896.9</v>
      </c>
      <c r="I206" s="61">
        <f t="shared" si="65"/>
        <v>46.557520080063661</v>
      </c>
    </row>
    <row r="207" spans="1:9" x14ac:dyDescent="0.25">
      <c r="A207" s="117" t="s">
        <v>11</v>
      </c>
      <c r="B207" s="20">
        <f t="shared" si="2"/>
        <v>40276</v>
      </c>
      <c r="C207">
        <v>1540.2</v>
      </c>
      <c r="D207">
        <v>1760.2</v>
      </c>
      <c r="E207">
        <v>4336.8999999999996</v>
      </c>
      <c r="F207">
        <v>2188</v>
      </c>
      <c r="G207" s="4">
        <f t="shared" si="63"/>
        <v>5877.0999999999995</v>
      </c>
      <c r="H207" s="4">
        <f t="shared" si="64"/>
        <v>3948.2</v>
      </c>
      <c r="I207" s="61">
        <f t="shared" si="65"/>
        <v>48.855174509903243</v>
      </c>
    </row>
    <row r="208" spans="1:9" x14ac:dyDescent="0.25">
      <c r="A208" s="117" t="s">
        <v>11</v>
      </c>
      <c r="B208" s="20">
        <f t="shared" si="2"/>
        <v>40283</v>
      </c>
      <c r="C208">
        <v>1887.9</v>
      </c>
      <c r="D208">
        <v>1703.5</v>
      </c>
      <c r="E208">
        <v>4483.7</v>
      </c>
      <c r="F208">
        <v>2361.5</v>
      </c>
      <c r="G208" s="4">
        <f t="shared" si="63"/>
        <v>6371.6</v>
      </c>
      <c r="H208" s="4">
        <f t="shared" si="64"/>
        <v>4065</v>
      </c>
      <c r="I208" s="61">
        <f t="shared" si="65"/>
        <v>56.742927429274289</v>
      </c>
    </row>
    <row r="209" spans="1:10" x14ac:dyDescent="0.25">
      <c r="A209" s="117" t="s">
        <v>11</v>
      </c>
      <c r="B209" s="20">
        <f t="shared" si="2"/>
        <v>40290</v>
      </c>
      <c r="C209">
        <v>1911.6</v>
      </c>
      <c r="D209">
        <v>1891.7</v>
      </c>
      <c r="E209">
        <v>4761.5</v>
      </c>
      <c r="F209">
        <v>2446.9</v>
      </c>
      <c r="G209" s="4">
        <f t="shared" si="63"/>
        <v>6673.1</v>
      </c>
      <c r="H209" s="4">
        <f t="shared" si="64"/>
        <v>4338.6000000000004</v>
      </c>
      <c r="I209" s="61">
        <f t="shared" si="65"/>
        <v>53.807679896740893</v>
      </c>
    </row>
    <row r="210" spans="1:10" x14ac:dyDescent="0.25">
      <c r="A210" s="117" t="s">
        <v>11</v>
      </c>
      <c r="B210" s="20">
        <f t="shared" si="2"/>
        <v>40297</v>
      </c>
      <c r="C210">
        <v>1909.3</v>
      </c>
      <c r="D210">
        <v>1665.8</v>
      </c>
      <c r="E210">
        <v>4932.8</v>
      </c>
      <c r="F210">
        <v>2683.4</v>
      </c>
      <c r="G210" s="4">
        <f t="shared" si="63"/>
        <v>6842.1</v>
      </c>
      <c r="H210" s="4">
        <f t="shared" si="64"/>
        <v>4349.2</v>
      </c>
      <c r="I210" s="61">
        <f t="shared" si="65"/>
        <v>57.318587326404867</v>
      </c>
      <c r="J210">
        <v>55</v>
      </c>
    </row>
    <row r="211" spans="1:10" x14ac:dyDescent="0.25">
      <c r="A211" s="117" t="s">
        <v>11</v>
      </c>
      <c r="B211" s="20">
        <f t="shared" si="2"/>
        <v>40304</v>
      </c>
      <c r="C211">
        <v>1857.3</v>
      </c>
      <c r="D211">
        <v>1512.8</v>
      </c>
      <c r="E211">
        <v>5105.7</v>
      </c>
      <c r="F211">
        <v>2856.8</v>
      </c>
      <c r="G211" s="4">
        <f t="shared" si="63"/>
        <v>6963</v>
      </c>
      <c r="H211" s="4">
        <f t="shared" si="64"/>
        <v>4369.6000000000004</v>
      </c>
      <c r="I211" s="61">
        <f t="shared" si="65"/>
        <v>59.35097034053458</v>
      </c>
      <c r="J211">
        <v>55</v>
      </c>
    </row>
    <row r="212" spans="1:10" x14ac:dyDescent="0.25">
      <c r="A212" s="117" t="s">
        <v>11</v>
      </c>
      <c r="B212" s="20">
        <f t="shared" si="2"/>
        <v>40311</v>
      </c>
      <c r="C212">
        <v>1737.6</v>
      </c>
      <c r="D212">
        <v>1454.7</v>
      </c>
      <c r="E212">
        <v>5271.1</v>
      </c>
      <c r="F212">
        <v>2997.8</v>
      </c>
      <c r="G212" s="4">
        <f t="shared" si="63"/>
        <v>7008.7000000000007</v>
      </c>
      <c r="H212" s="4">
        <f t="shared" si="64"/>
        <v>4452.5</v>
      </c>
      <c r="I212" s="61">
        <f t="shared" si="65"/>
        <v>57.410443571027535</v>
      </c>
      <c r="J212">
        <v>55</v>
      </c>
    </row>
    <row r="213" spans="1:10" x14ac:dyDescent="0.25">
      <c r="A213" s="117" t="s">
        <v>11</v>
      </c>
      <c r="B213" s="20">
        <f t="shared" si="2"/>
        <v>40318</v>
      </c>
      <c r="C213">
        <v>1522.7</v>
      </c>
      <c r="D213">
        <v>1339.4</v>
      </c>
      <c r="E213">
        <v>5553.8</v>
      </c>
      <c r="F213">
        <v>3112.1</v>
      </c>
      <c r="G213" s="4">
        <f t="shared" si="63"/>
        <v>7076.5</v>
      </c>
      <c r="H213" s="4">
        <f t="shared" si="64"/>
        <v>4451.5</v>
      </c>
      <c r="I213" s="61">
        <f t="shared" si="65"/>
        <v>58.968886892058862</v>
      </c>
      <c r="J213">
        <v>0</v>
      </c>
    </row>
    <row r="214" spans="1:10" x14ac:dyDescent="0.25">
      <c r="A214" s="117" t="s">
        <v>11</v>
      </c>
      <c r="B214" s="20">
        <f t="shared" si="2"/>
        <v>40325</v>
      </c>
      <c r="C214">
        <v>1421.3</v>
      </c>
      <c r="D214">
        <v>1111.9000000000001</v>
      </c>
      <c r="E214">
        <v>5726.1</v>
      </c>
      <c r="F214">
        <v>3284.8</v>
      </c>
      <c r="G214" s="4">
        <f t="shared" si="63"/>
        <v>7147.4000000000005</v>
      </c>
      <c r="H214" s="4">
        <f t="shared" si="64"/>
        <v>4396.7000000000007</v>
      </c>
      <c r="I214" s="61">
        <f t="shared" si="65"/>
        <v>62.562831214319829</v>
      </c>
      <c r="J214">
        <v>60</v>
      </c>
    </row>
    <row r="215" spans="1:10" x14ac:dyDescent="0.25">
      <c r="A215" s="117" t="s">
        <v>11</v>
      </c>
      <c r="B215" s="20">
        <f t="shared" si="2"/>
        <v>40332</v>
      </c>
      <c r="C215">
        <v>1576.1</v>
      </c>
      <c r="D215">
        <v>953.5</v>
      </c>
      <c r="E215">
        <v>5838.9</v>
      </c>
      <c r="F215">
        <v>3453</v>
      </c>
      <c r="G215" s="4">
        <f t="shared" si="63"/>
        <v>7415</v>
      </c>
      <c r="H215" s="4">
        <f t="shared" si="64"/>
        <v>4406.5</v>
      </c>
      <c r="I215" s="61">
        <f t="shared" si="65"/>
        <v>68.274140474299344</v>
      </c>
      <c r="J215">
        <v>118</v>
      </c>
    </row>
    <row r="216" spans="1:10" x14ac:dyDescent="0.25">
      <c r="A216" s="117" t="s">
        <v>11</v>
      </c>
      <c r="B216" s="20">
        <f t="shared" si="2"/>
        <v>40339</v>
      </c>
      <c r="C216">
        <v>1575.8</v>
      </c>
      <c r="D216">
        <v>728.8</v>
      </c>
      <c r="E216">
        <v>5996</v>
      </c>
      <c r="F216">
        <v>3625.9</v>
      </c>
      <c r="G216" s="4">
        <f t="shared" ref="G216:G247" si="66">+C216+E216</f>
        <v>7571.8</v>
      </c>
      <c r="H216" s="4">
        <f t="shared" ref="H216:H247" si="67">+D216+F216</f>
        <v>4354.7</v>
      </c>
      <c r="I216" s="61">
        <f t="shared" si="65"/>
        <v>73.876501251521361</v>
      </c>
      <c r="J216">
        <v>173</v>
      </c>
    </row>
    <row r="217" spans="1:10" x14ac:dyDescent="0.25">
      <c r="A217" s="117" t="s">
        <v>11</v>
      </c>
      <c r="B217" s="20">
        <f t="shared" si="2"/>
        <v>40346</v>
      </c>
      <c r="C217">
        <v>1468.7</v>
      </c>
      <c r="D217">
        <v>670.4</v>
      </c>
      <c r="E217">
        <v>6155.7</v>
      </c>
      <c r="F217">
        <v>3685.7</v>
      </c>
      <c r="G217" s="4">
        <f t="shared" si="66"/>
        <v>7624.4</v>
      </c>
      <c r="H217" s="4">
        <f t="shared" si="67"/>
        <v>4356.0999999999995</v>
      </c>
      <c r="I217" s="61">
        <f t="shared" si="65"/>
        <v>75.02812148481442</v>
      </c>
      <c r="J217">
        <v>288</v>
      </c>
    </row>
    <row r="218" spans="1:10" x14ac:dyDescent="0.25">
      <c r="A218" s="117" t="s">
        <v>11</v>
      </c>
      <c r="B218" s="20">
        <f t="shared" si="2"/>
        <v>40353</v>
      </c>
      <c r="C218">
        <v>1414.1</v>
      </c>
      <c r="D218">
        <v>890.3</v>
      </c>
      <c r="E218">
        <v>6270.4</v>
      </c>
      <c r="F218">
        <v>3745.6</v>
      </c>
      <c r="G218" s="4">
        <f t="shared" si="66"/>
        <v>7684.5</v>
      </c>
      <c r="H218" s="4">
        <f t="shared" si="67"/>
        <v>4635.8999999999996</v>
      </c>
      <c r="I218" s="61">
        <f t="shared" si="65"/>
        <v>65.760693716430467</v>
      </c>
      <c r="J218">
        <v>288</v>
      </c>
    </row>
    <row r="219" spans="1:10" x14ac:dyDescent="0.25">
      <c r="A219" s="117" t="s">
        <v>11</v>
      </c>
      <c r="B219" s="20">
        <f t="shared" si="2"/>
        <v>40360</v>
      </c>
      <c r="C219">
        <v>1213.9000000000001</v>
      </c>
      <c r="D219">
        <v>754.8</v>
      </c>
      <c r="E219">
        <v>6496.6</v>
      </c>
      <c r="F219">
        <v>4027.5</v>
      </c>
      <c r="G219" s="4">
        <f t="shared" si="66"/>
        <v>7710.5</v>
      </c>
      <c r="H219" s="4">
        <f t="shared" si="67"/>
        <v>4782.3</v>
      </c>
      <c r="I219" s="61">
        <f t="shared" si="65"/>
        <v>61.229952115091059</v>
      </c>
      <c r="J219">
        <v>288</v>
      </c>
    </row>
    <row r="220" spans="1:10" x14ac:dyDescent="0.25">
      <c r="A220" s="117" t="s">
        <v>11</v>
      </c>
      <c r="B220" s="20">
        <f t="shared" si="2"/>
        <v>40367</v>
      </c>
      <c r="C220">
        <v>1133.2</v>
      </c>
      <c r="D220">
        <v>810.6</v>
      </c>
      <c r="E220">
        <v>6554.5</v>
      </c>
      <c r="F220">
        <v>4088.3</v>
      </c>
      <c r="G220" s="4">
        <f t="shared" si="66"/>
        <v>7687.7</v>
      </c>
      <c r="H220" s="4">
        <f t="shared" si="67"/>
        <v>4898.9000000000005</v>
      </c>
      <c r="I220" s="61">
        <f t="shared" ref="I220:I251" si="68">+(G220/H220-1)*100</f>
        <v>56.927065259548051</v>
      </c>
      <c r="J220">
        <v>343</v>
      </c>
    </row>
    <row r="221" spans="1:10" x14ac:dyDescent="0.25">
      <c r="A221" s="117" t="s">
        <v>11</v>
      </c>
      <c r="B221" s="20">
        <f t="shared" si="2"/>
        <v>40374</v>
      </c>
      <c r="C221">
        <v>1134.4000000000001</v>
      </c>
      <c r="D221">
        <v>844.8</v>
      </c>
      <c r="E221">
        <v>6554.7</v>
      </c>
      <c r="F221">
        <v>4199.5</v>
      </c>
      <c r="G221" s="4">
        <f t="shared" si="66"/>
        <v>7689.1</v>
      </c>
      <c r="H221" s="4">
        <f t="shared" si="67"/>
        <v>5044.3</v>
      </c>
      <c r="I221" s="61">
        <f t="shared" si="68"/>
        <v>52.431457288424554</v>
      </c>
      <c r="J221">
        <v>343</v>
      </c>
    </row>
    <row r="222" spans="1:10" x14ac:dyDescent="0.25">
      <c r="A222" s="117" t="s">
        <v>11</v>
      </c>
      <c r="B222" s="20">
        <f t="shared" si="2"/>
        <v>40381</v>
      </c>
      <c r="C222">
        <v>1013.9</v>
      </c>
      <c r="D222">
        <v>677.8</v>
      </c>
      <c r="E222">
        <v>6769.4</v>
      </c>
      <c r="F222">
        <v>4374.3</v>
      </c>
      <c r="G222" s="4">
        <f t="shared" si="66"/>
        <v>7783.2999999999993</v>
      </c>
      <c r="H222" s="4">
        <f t="shared" si="67"/>
        <v>5052.1000000000004</v>
      </c>
      <c r="I222" s="61">
        <f t="shared" si="68"/>
        <v>54.060687634844882</v>
      </c>
      <c r="J222">
        <v>401</v>
      </c>
    </row>
    <row r="223" spans="1:10" x14ac:dyDescent="0.25">
      <c r="A223" s="117" t="s">
        <v>11</v>
      </c>
      <c r="B223" s="20">
        <f t="shared" si="2"/>
        <v>40388</v>
      </c>
      <c r="C223">
        <v>1014</v>
      </c>
      <c r="D223">
        <v>477.9</v>
      </c>
      <c r="E223">
        <v>6769.6</v>
      </c>
      <c r="F223">
        <v>4581.1000000000004</v>
      </c>
      <c r="G223" s="4">
        <f t="shared" si="66"/>
        <v>7783.6</v>
      </c>
      <c r="H223" s="4">
        <f t="shared" si="67"/>
        <v>5059</v>
      </c>
      <c r="I223" s="61">
        <f t="shared" si="68"/>
        <v>53.856493378137984</v>
      </c>
      <c r="J223">
        <v>401</v>
      </c>
    </row>
    <row r="224" spans="1:10" x14ac:dyDescent="0.25">
      <c r="A224" s="117" t="s">
        <v>11</v>
      </c>
      <c r="B224" s="20">
        <f t="shared" si="2"/>
        <v>40395</v>
      </c>
      <c r="C224">
        <v>835</v>
      </c>
      <c r="D224">
        <v>565.29999999999995</v>
      </c>
      <c r="E224">
        <v>6966.8</v>
      </c>
      <c r="F224">
        <v>4581.7</v>
      </c>
      <c r="G224" s="4">
        <f t="shared" si="66"/>
        <v>7801.8</v>
      </c>
      <c r="H224" s="4">
        <f t="shared" si="67"/>
        <v>5147</v>
      </c>
      <c r="I224" s="61">
        <f t="shared" si="68"/>
        <v>51.579560909267542</v>
      </c>
      <c r="J224">
        <v>453</v>
      </c>
    </row>
    <row r="225" spans="1:10" x14ac:dyDescent="0.25">
      <c r="A225" s="117" t="s">
        <v>11</v>
      </c>
      <c r="B225" s="20">
        <f t="shared" si="2"/>
        <v>40402</v>
      </c>
      <c r="C225">
        <v>646.20000000000005</v>
      </c>
      <c r="D225">
        <v>344.6</v>
      </c>
      <c r="E225">
        <v>7188.9</v>
      </c>
      <c r="F225">
        <v>4863.7</v>
      </c>
      <c r="G225" s="4">
        <f t="shared" si="66"/>
        <v>7835.0999999999995</v>
      </c>
      <c r="H225" s="4">
        <f t="shared" si="67"/>
        <v>5208.3</v>
      </c>
      <c r="I225" s="61">
        <f t="shared" si="68"/>
        <v>50.43488278324979</v>
      </c>
      <c r="J225">
        <v>453</v>
      </c>
    </row>
    <row r="226" spans="1:10" x14ac:dyDescent="0.25">
      <c r="A226" s="117" t="s">
        <v>11</v>
      </c>
      <c r="B226" s="20">
        <f t="shared" si="2"/>
        <v>40409</v>
      </c>
      <c r="C226">
        <v>532</v>
      </c>
      <c r="D226">
        <v>219.8</v>
      </c>
      <c r="E226">
        <v>7242.1</v>
      </c>
      <c r="F226">
        <v>5035</v>
      </c>
      <c r="G226" s="4">
        <f t="shared" si="66"/>
        <v>7774.1</v>
      </c>
      <c r="H226" s="4">
        <f t="shared" si="67"/>
        <v>5254.8</v>
      </c>
      <c r="I226" s="61">
        <f t="shared" si="68"/>
        <v>47.942833219152028</v>
      </c>
      <c r="J226">
        <v>453.5</v>
      </c>
    </row>
    <row r="227" spans="1:10" x14ac:dyDescent="0.25">
      <c r="A227" s="117" t="s">
        <v>11</v>
      </c>
      <c r="B227" s="20">
        <f t="shared" si="2"/>
        <v>40416</v>
      </c>
      <c r="C227">
        <v>383.5</v>
      </c>
      <c r="D227">
        <v>288.3</v>
      </c>
      <c r="E227">
        <v>7394.6</v>
      </c>
      <c r="F227">
        <v>5129.3999999999996</v>
      </c>
      <c r="G227" s="4">
        <f t="shared" si="66"/>
        <v>7778.1</v>
      </c>
      <c r="H227" s="4">
        <f t="shared" si="67"/>
        <v>5417.7</v>
      </c>
      <c r="I227" s="61">
        <f t="shared" si="68"/>
        <v>43.568303892795846</v>
      </c>
      <c r="J227">
        <v>501.5</v>
      </c>
    </row>
    <row r="228" spans="1:10" x14ac:dyDescent="0.25">
      <c r="A228" s="117" t="s">
        <v>11</v>
      </c>
      <c r="B228" s="20">
        <f t="shared" si="2"/>
        <v>40423</v>
      </c>
      <c r="C228">
        <v>832.1</v>
      </c>
      <c r="D228">
        <v>1633.3</v>
      </c>
      <c r="E228">
        <v>57.3</v>
      </c>
      <c r="F228">
        <v>57.8</v>
      </c>
      <c r="G228" s="4">
        <f t="shared" si="66"/>
        <v>889.4</v>
      </c>
      <c r="H228" s="4">
        <f t="shared" si="67"/>
        <v>1691.1</v>
      </c>
      <c r="I228" s="61">
        <f t="shared" si="68"/>
        <v>-47.407013186683223</v>
      </c>
    </row>
    <row r="229" spans="1:10" x14ac:dyDescent="0.25">
      <c r="A229" s="117" t="s">
        <v>11</v>
      </c>
      <c r="B229" s="20">
        <f t="shared" si="2"/>
        <v>40430</v>
      </c>
      <c r="C229">
        <v>914.1</v>
      </c>
      <c r="D229">
        <v>1785.5</v>
      </c>
      <c r="E229">
        <v>199.1</v>
      </c>
      <c r="F229">
        <v>173.9</v>
      </c>
      <c r="G229" s="4">
        <f t="shared" si="66"/>
        <v>1113.2</v>
      </c>
      <c r="H229" s="4">
        <f t="shared" si="67"/>
        <v>1959.4</v>
      </c>
      <c r="I229" s="61">
        <f t="shared" si="68"/>
        <v>-43.186689803000924</v>
      </c>
    </row>
    <row r="230" spans="1:10" x14ac:dyDescent="0.25">
      <c r="A230" s="117" t="s">
        <v>11</v>
      </c>
      <c r="B230" s="20">
        <f t="shared" si="2"/>
        <v>40437</v>
      </c>
      <c r="C230">
        <v>741.7</v>
      </c>
      <c r="D230">
        <v>1570</v>
      </c>
      <c r="E230">
        <v>398.3</v>
      </c>
      <c r="F230">
        <v>409.3</v>
      </c>
      <c r="G230" s="4">
        <f t="shared" si="66"/>
        <v>1140</v>
      </c>
      <c r="H230" s="4">
        <f t="shared" si="67"/>
        <v>1979.3</v>
      </c>
      <c r="I230" s="61">
        <f t="shared" si="68"/>
        <v>-42.403880159652395</v>
      </c>
    </row>
    <row r="231" spans="1:10" x14ac:dyDescent="0.25">
      <c r="A231" s="117" t="s">
        <v>11</v>
      </c>
      <c r="B231" s="20">
        <f t="shared" si="2"/>
        <v>40444</v>
      </c>
      <c r="C231">
        <v>798.9</v>
      </c>
      <c r="D231">
        <v>1573.5</v>
      </c>
      <c r="E231">
        <v>510</v>
      </c>
      <c r="F231">
        <v>606.4</v>
      </c>
      <c r="G231" s="4">
        <f t="shared" si="66"/>
        <v>1308.9000000000001</v>
      </c>
      <c r="H231" s="4">
        <f t="shared" si="67"/>
        <v>2179.9</v>
      </c>
      <c r="I231" s="61">
        <f t="shared" si="68"/>
        <v>-39.955961282627641</v>
      </c>
    </row>
    <row r="232" spans="1:10" x14ac:dyDescent="0.25">
      <c r="A232" s="117" t="s">
        <v>11</v>
      </c>
      <c r="B232" s="20">
        <f t="shared" si="2"/>
        <v>40451</v>
      </c>
      <c r="C232">
        <v>798.8</v>
      </c>
      <c r="D232">
        <v>1408.5</v>
      </c>
      <c r="E232">
        <v>567.79999999999995</v>
      </c>
      <c r="F232">
        <v>897.3</v>
      </c>
      <c r="G232" s="4">
        <f t="shared" si="66"/>
        <v>1366.6</v>
      </c>
      <c r="H232" s="4">
        <f t="shared" si="67"/>
        <v>2305.8000000000002</v>
      </c>
      <c r="I232" s="61">
        <f t="shared" si="68"/>
        <v>-40.732066961575164</v>
      </c>
    </row>
    <row r="233" spans="1:10" x14ac:dyDescent="0.25">
      <c r="A233" s="117" t="s">
        <v>11</v>
      </c>
      <c r="B233" s="20">
        <f t="shared" si="2"/>
        <v>40458</v>
      </c>
      <c r="C233">
        <v>859.6</v>
      </c>
      <c r="D233">
        <v>1406.5</v>
      </c>
      <c r="E233">
        <v>623</v>
      </c>
      <c r="F233">
        <v>1018.7</v>
      </c>
      <c r="G233" s="4">
        <f t="shared" si="66"/>
        <v>1482.6</v>
      </c>
      <c r="H233" s="4">
        <f t="shared" si="67"/>
        <v>2425.1999999999998</v>
      </c>
      <c r="I233" s="61">
        <f t="shared" si="68"/>
        <v>-38.866897575457692</v>
      </c>
    </row>
    <row r="234" spans="1:10" x14ac:dyDescent="0.25">
      <c r="A234" s="117" t="s">
        <v>11</v>
      </c>
      <c r="B234" s="20">
        <f t="shared" si="2"/>
        <v>40465</v>
      </c>
      <c r="C234">
        <v>745.3</v>
      </c>
      <c r="D234">
        <v>1266.3</v>
      </c>
      <c r="E234">
        <v>736.5</v>
      </c>
      <c r="F234">
        <v>1222.9000000000001</v>
      </c>
      <c r="G234" s="4">
        <f t="shared" si="66"/>
        <v>1481.8</v>
      </c>
      <c r="H234" s="4">
        <f t="shared" si="67"/>
        <v>2489.1999999999998</v>
      </c>
      <c r="I234" s="61">
        <f t="shared" si="68"/>
        <v>-40.470834002892495</v>
      </c>
    </row>
    <row r="235" spans="1:10" x14ac:dyDescent="0.25">
      <c r="A235" s="117" t="s">
        <v>11</v>
      </c>
      <c r="B235" s="20">
        <f t="shared" si="2"/>
        <v>40472</v>
      </c>
      <c r="C235">
        <v>810.2</v>
      </c>
      <c r="D235">
        <v>1224.5999999999999</v>
      </c>
      <c r="E235">
        <v>794.1</v>
      </c>
      <c r="F235">
        <v>1320.9</v>
      </c>
      <c r="G235" s="4">
        <f t="shared" si="66"/>
        <v>1604.3000000000002</v>
      </c>
      <c r="H235" s="4">
        <f t="shared" si="67"/>
        <v>2545.5</v>
      </c>
      <c r="I235" s="61">
        <f t="shared" si="68"/>
        <v>-36.97505401689255</v>
      </c>
    </row>
    <row r="236" spans="1:10" x14ac:dyDescent="0.25">
      <c r="A236" s="117" t="s">
        <v>11</v>
      </c>
      <c r="B236" s="20">
        <f t="shared" si="2"/>
        <v>40479</v>
      </c>
      <c r="C236">
        <v>755.4</v>
      </c>
      <c r="D236">
        <v>1224.0999999999999</v>
      </c>
      <c r="E236">
        <v>852</v>
      </c>
      <c r="F236">
        <v>1321.4</v>
      </c>
      <c r="G236" s="4">
        <f t="shared" si="66"/>
        <v>1607.4</v>
      </c>
      <c r="H236" s="4">
        <f t="shared" si="67"/>
        <v>2545.5</v>
      </c>
      <c r="I236" s="61">
        <f t="shared" si="68"/>
        <v>-36.853270477312904</v>
      </c>
    </row>
    <row r="237" spans="1:10" x14ac:dyDescent="0.25">
      <c r="A237" s="117" t="s">
        <v>11</v>
      </c>
      <c r="B237" s="20">
        <f t="shared" si="2"/>
        <v>40486</v>
      </c>
      <c r="C237">
        <v>754.6</v>
      </c>
      <c r="D237">
        <v>1167.9000000000001</v>
      </c>
      <c r="E237">
        <v>968.2</v>
      </c>
      <c r="F237">
        <v>1378.7</v>
      </c>
      <c r="G237" s="4">
        <f t="shared" si="66"/>
        <v>1722.8000000000002</v>
      </c>
      <c r="H237" s="4">
        <f t="shared" si="67"/>
        <v>2546.6000000000004</v>
      </c>
      <c r="I237" s="61">
        <f t="shared" si="68"/>
        <v>-32.34901437210398</v>
      </c>
    </row>
    <row r="238" spans="1:10" x14ac:dyDescent="0.25">
      <c r="A238" s="117" t="s">
        <v>11</v>
      </c>
      <c r="B238" s="20">
        <f t="shared" si="2"/>
        <v>40493</v>
      </c>
      <c r="C238">
        <v>1145.5999999999999</v>
      </c>
      <c r="D238">
        <v>1046.4000000000001</v>
      </c>
      <c r="E238">
        <v>1083.7</v>
      </c>
      <c r="F238">
        <v>1493.4</v>
      </c>
      <c r="G238" s="4">
        <f t="shared" si="66"/>
        <v>2229.3000000000002</v>
      </c>
      <c r="H238" s="4">
        <f t="shared" si="67"/>
        <v>2539.8000000000002</v>
      </c>
      <c r="I238" s="61">
        <f t="shared" si="68"/>
        <v>-12.225372076541463</v>
      </c>
    </row>
    <row r="239" spans="1:10" x14ac:dyDescent="0.25">
      <c r="A239" s="117" t="s">
        <v>11</v>
      </c>
      <c r="B239" s="20">
        <f t="shared" si="2"/>
        <v>40500</v>
      </c>
      <c r="C239">
        <v>1368.4</v>
      </c>
      <c r="D239">
        <v>1108.4000000000001</v>
      </c>
      <c r="E239">
        <v>1240.4000000000001</v>
      </c>
      <c r="F239">
        <v>1550.4</v>
      </c>
      <c r="G239" s="4">
        <f t="shared" si="66"/>
        <v>2608.8000000000002</v>
      </c>
      <c r="H239" s="4">
        <f t="shared" si="67"/>
        <v>2658.8</v>
      </c>
      <c r="I239" s="61">
        <f t="shared" si="68"/>
        <v>-1.880547615465622</v>
      </c>
    </row>
    <row r="240" spans="1:10" x14ac:dyDescent="0.25">
      <c r="A240" s="117" t="s">
        <v>11</v>
      </c>
      <c r="B240" s="20">
        <f t="shared" si="2"/>
        <v>40507</v>
      </c>
      <c r="C240">
        <v>1694.7</v>
      </c>
      <c r="D240">
        <v>1199.0999999999999</v>
      </c>
      <c r="E240">
        <v>1292</v>
      </c>
      <c r="F240">
        <v>1722.6</v>
      </c>
      <c r="G240" s="4">
        <f t="shared" si="66"/>
        <v>2986.7</v>
      </c>
      <c r="H240" s="4">
        <f t="shared" si="67"/>
        <v>2921.7</v>
      </c>
      <c r="I240" s="61">
        <f t="shared" si="68"/>
        <v>2.2247321764726102</v>
      </c>
    </row>
    <row r="241" spans="1:10" x14ac:dyDescent="0.25">
      <c r="A241" s="117" t="s">
        <v>11</v>
      </c>
      <c r="B241" s="20">
        <f t="shared" si="2"/>
        <v>40514</v>
      </c>
      <c r="C241">
        <v>1745.3</v>
      </c>
      <c r="D241">
        <v>1117.5999999999999</v>
      </c>
      <c r="E241">
        <v>1348.9</v>
      </c>
      <c r="F241">
        <v>1895.8</v>
      </c>
      <c r="G241" s="4">
        <f t="shared" si="66"/>
        <v>3094.2</v>
      </c>
      <c r="H241" s="4">
        <f t="shared" si="67"/>
        <v>3013.3999999999996</v>
      </c>
      <c r="I241" s="61">
        <f t="shared" si="68"/>
        <v>2.6813566071547168</v>
      </c>
    </row>
    <row r="242" spans="1:10" x14ac:dyDescent="0.25">
      <c r="A242" s="117" t="s">
        <v>11</v>
      </c>
      <c r="B242" s="20">
        <f t="shared" si="2"/>
        <v>40521</v>
      </c>
      <c r="C242">
        <v>1587.4</v>
      </c>
      <c r="D242">
        <v>1215.3</v>
      </c>
      <c r="E242">
        <v>1575.9</v>
      </c>
      <c r="F242">
        <v>1950.1</v>
      </c>
      <c r="G242" s="4">
        <f t="shared" si="66"/>
        <v>3163.3</v>
      </c>
      <c r="H242" s="4">
        <f t="shared" si="67"/>
        <v>3165.3999999999996</v>
      </c>
      <c r="I242" s="61">
        <f t="shared" si="68"/>
        <v>-6.6342326404233987E-2</v>
      </c>
    </row>
    <row r="243" spans="1:10" x14ac:dyDescent="0.25">
      <c r="A243" s="117" t="s">
        <v>11</v>
      </c>
      <c r="B243" s="20">
        <f t="shared" si="2"/>
        <v>40528</v>
      </c>
      <c r="C243">
        <v>1553.4</v>
      </c>
      <c r="D243">
        <v>1233</v>
      </c>
      <c r="E243">
        <v>1717.1</v>
      </c>
      <c r="F243">
        <v>1977.3</v>
      </c>
      <c r="G243" s="4">
        <f t="shared" si="66"/>
        <v>3270.5</v>
      </c>
      <c r="H243" s="4">
        <f t="shared" si="67"/>
        <v>3210.3</v>
      </c>
      <c r="I243" s="61">
        <f t="shared" si="68"/>
        <v>1.8752141544403855</v>
      </c>
    </row>
    <row r="244" spans="1:10" x14ac:dyDescent="0.25">
      <c r="A244" s="117" t="s">
        <v>11</v>
      </c>
      <c r="B244" s="20">
        <f t="shared" si="2"/>
        <v>40535</v>
      </c>
      <c r="C244">
        <v>1487.1</v>
      </c>
      <c r="D244">
        <v>1232.7</v>
      </c>
      <c r="E244">
        <v>1890.4</v>
      </c>
      <c r="F244">
        <v>2035.4</v>
      </c>
      <c r="G244" s="4">
        <f t="shared" si="66"/>
        <v>3377.5</v>
      </c>
      <c r="H244" s="4">
        <f t="shared" si="67"/>
        <v>3268.1000000000004</v>
      </c>
      <c r="I244" s="61">
        <f t="shared" si="68"/>
        <v>3.3475107860836406</v>
      </c>
    </row>
    <row r="245" spans="1:10" x14ac:dyDescent="0.25">
      <c r="A245" s="117" t="s">
        <v>11</v>
      </c>
      <c r="B245" s="20">
        <f t="shared" si="2"/>
        <v>40542</v>
      </c>
      <c r="C245">
        <v>1426.1</v>
      </c>
      <c r="D245">
        <v>1103.0999999999999</v>
      </c>
      <c r="E245">
        <v>1945.6</v>
      </c>
      <c r="F245">
        <v>2205.8000000000002</v>
      </c>
      <c r="G245" s="4">
        <f t="shared" si="66"/>
        <v>3371.7</v>
      </c>
      <c r="H245" s="4">
        <f t="shared" si="67"/>
        <v>3308.9</v>
      </c>
      <c r="I245" s="61">
        <f t="shared" si="68"/>
        <v>1.8979116927075435</v>
      </c>
    </row>
    <row r="246" spans="1:10" x14ac:dyDescent="0.25">
      <c r="A246" s="117" t="s">
        <v>11</v>
      </c>
      <c r="B246" s="20">
        <f t="shared" si="2"/>
        <v>40549</v>
      </c>
      <c r="C246">
        <v>1316.1</v>
      </c>
      <c r="D246">
        <v>1217.5999999999999</v>
      </c>
      <c r="E246">
        <v>2111.8000000000002</v>
      </c>
      <c r="F246">
        <v>2206.4</v>
      </c>
      <c r="G246" s="4">
        <f t="shared" si="66"/>
        <v>3427.9</v>
      </c>
      <c r="H246" s="4">
        <f t="shared" si="67"/>
        <v>3424</v>
      </c>
      <c r="I246" s="61">
        <f t="shared" si="68"/>
        <v>0.11390186915887224</v>
      </c>
    </row>
    <row r="247" spans="1:10" x14ac:dyDescent="0.25">
      <c r="A247" s="117" t="s">
        <v>11</v>
      </c>
      <c r="B247" s="20">
        <f t="shared" si="2"/>
        <v>40556</v>
      </c>
      <c r="C247">
        <v>1203.5</v>
      </c>
      <c r="D247">
        <v>1326.5</v>
      </c>
      <c r="E247">
        <v>2239.4</v>
      </c>
      <c r="F247">
        <v>2365.9</v>
      </c>
      <c r="G247" s="4">
        <f t="shared" si="66"/>
        <v>3442.9</v>
      </c>
      <c r="H247" s="4">
        <f t="shared" si="67"/>
        <v>3692.4</v>
      </c>
      <c r="I247" s="61">
        <f t="shared" si="68"/>
        <v>-6.7571227385981985</v>
      </c>
    </row>
    <row r="248" spans="1:10" x14ac:dyDescent="0.25">
      <c r="A248" s="117" t="s">
        <v>11</v>
      </c>
      <c r="B248" s="20">
        <f t="shared" si="2"/>
        <v>40563</v>
      </c>
      <c r="C248">
        <v>1088</v>
      </c>
      <c r="D248">
        <v>1512.4</v>
      </c>
      <c r="E248">
        <v>2402.6</v>
      </c>
      <c r="F248">
        <v>2366.4</v>
      </c>
      <c r="G248" s="4">
        <f t="shared" ref="G248:G267" si="69">+C248+E248</f>
        <v>3490.6</v>
      </c>
      <c r="H248" s="4">
        <f t="shared" ref="H248:H267" si="70">+D248+F248</f>
        <v>3878.8</v>
      </c>
      <c r="I248" s="61">
        <f t="shared" si="68"/>
        <v>-10.008249974218842</v>
      </c>
    </row>
    <row r="249" spans="1:10" x14ac:dyDescent="0.25">
      <c r="A249" s="117" t="s">
        <v>11</v>
      </c>
      <c r="B249" s="20">
        <f t="shared" si="2"/>
        <v>40570</v>
      </c>
      <c r="C249">
        <v>1049.9000000000001</v>
      </c>
      <c r="D249">
        <v>1282.2</v>
      </c>
      <c r="E249">
        <v>2512.8000000000002</v>
      </c>
      <c r="F249">
        <v>2596.6</v>
      </c>
      <c r="G249" s="4">
        <f t="shared" si="69"/>
        <v>3562.7000000000003</v>
      </c>
      <c r="H249" s="4">
        <f t="shared" si="70"/>
        <v>3878.8</v>
      </c>
      <c r="I249" s="61">
        <f t="shared" si="68"/>
        <v>-8.1494276580385652</v>
      </c>
      <c r="J249">
        <v>1.3</v>
      </c>
    </row>
    <row r="250" spans="1:10" x14ac:dyDescent="0.25">
      <c r="A250" s="117" t="s">
        <v>11</v>
      </c>
      <c r="B250" s="20">
        <f t="shared" si="2"/>
        <v>40577</v>
      </c>
      <c r="C250">
        <v>939.2</v>
      </c>
      <c r="D250">
        <v>1338.3</v>
      </c>
      <c r="E250">
        <v>2675.3</v>
      </c>
      <c r="F250">
        <v>2711.9</v>
      </c>
      <c r="G250" s="4">
        <f t="shared" si="69"/>
        <v>3614.5</v>
      </c>
      <c r="H250" s="4">
        <f t="shared" si="70"/>
        <v>4050.2</v>
      </c>
      <c r="I250" s="61">
        <f t="shared" si="68"/>
        <v>-10.75749345711322</v>
      </c>
      <c r="J250">
        <v>1.3</v>
      </c>
    </row>
    <row r="251" spans="1:10" x14ac:dyDescent="0.25">
      <c r="A251" s="117" t="s">
        <v>11</v>
      </c>
      <c r="B251" s="20">
        <f t="shared" si="2"/>
        <v>40584</v>
      </c>
      <c r="C251">
        <v>938.7</v>
      </c>
      <c r="D251">
        <v>1281.7</v>
      </c>
      <c r="E251">
        <v>2675.8</v>
      </c>
      <c r="F251">
        <v>2826.9</v>
      </c>
      <c r="G251" s="4">
        <f t="shared" si="69"/>
        <v>3614.5</v>
      </c>
      <c r="H251" s="4">
        <f t="shared" si="70"/>
        <v>4108.6000000000004</v>
      </c>
      <c r="I251" s="61">
        <f t="shared" si="68"/>
        <v>-12.025994255950945</v>
      </c>
      <c r="J251">
        <v>1.3</v>
      </c>
    </row>
    <row r="252" spans="1:10" x14ac:dyDescent="0.25">
      <c r="A252" s="117" t="s">
        <v>11</v>
      </c>
      <c r="B252" s="20">
        <f t="shared" si="2"/>
        <v>40591</v>
      </c>
      <c r="C252">
        <v>828.4</v>
      </c>
      <c r="D252">
        <v>1224.0999999999999</v>
      </c>
      <c r="E252">
        <v>2848.8</v>
      </c>
      <c r="F252">
        <v>3114.9</v>
      </c>
      <c r="G252" s="4">
        <f t="shared" si="69"/>
        <v>3677.2000000000003</v>
      </c>
      <c r="H252" s="4">
        <f t="shared" si="70"/>
        <v>4339</v>
      </c>
      <c r="I252" s="61">
        <f t="shared" ref="I252:I267" si="71">+(G252/H252-1)*100</f>
        <v>-15.252362295459776</v>
      </c>
      <c r="J252">
        <v>1.3</v>
      </c>
    </row>
    <row r="253" spans="1:10" x14ac:dyDescent="0.25">
      <c r="A253" s="117" t="s">
        <v>11</v>
      </c>
      <c r="B253" s="20">
        <f t="shared" si="2"/>
        <v>40598</v>
      </c>
      <c r="C253">
        <v>670.4</v>
      </c>
      <c r="D253">
        <v>1165.3</v>
      </c>
      <c r="E253">
        <v>3059</v>
      </c>
      <c r="F253">
        <v>3231.9</v>
      </c>
      <c r="G253" s="4">
        <f t="shared" si="69"/>
        <v>3729.4</v>
      </c>
      <c r="H253" s="4">
        <f t="shared" si="70"/>
        <v>4397.2</v>
      </c>
      <c r="I253" s="61">
        <f t="shared" si="71"/>
        <v>-15.186937141817513</v>
      </c>
      <c r="J253">
        <v>1.3</v>
      </c>
    </row>
    <row r="254" spans="1:10" x14ac:dyDescent="0.25">
      <c r="A254" s="117" t="s">
        <v>11</v>
      </c>
      <c r="B254" s="20">
        <f t="shared" ref="B254:B317" si="72">+B253+7</f>
        <v>40605</v>
      </c>
      <c r="C254">
        <v>512.4</v>
      </c>
      <c r="D254">
        <v>1000.9</v>
      </c>
      <c r="E254">
        <v>3223.8</v>
      </c>
      <c r="F254">
        <v>3396.6</v>
      </c>
      <c r="G254" s="4">
        <f t="shared" si="69"/>
        <v>3736.2000000000003</v>
      </c>
      <c r="H254" s="4">
        <f t="shared" si="70"/>
        <v>4397.5</v>
      </c>
      <c r="I254" s="61">
        <f t="shared" si="71"/>
        <v>-15.038089823763501</v>
      </c>
      <c r="J254">
        <v>1.3</v>
      </c>
    </row>
    <row r="255" spans="1:10" x14ac:dyDescent="0.25">
      <c r="A255" s="117" t="s">
        <v>11</v>
      </c>
      <c r="B255" s="20">
        <f t="shared" si="72"/>
        <v>40612</v>
      </c>
      <c r="C255">
        <v>513.79999999999995</v>
      </c>
      <c r="D255">
        <v>1182.2</v>
      </c>
      <c r="E255">
        <v>3271.7</v>
      </c>
      <c r="F255">
        <v>3628.4</v>
      </c>
      <c r="G255" s="4">
        <f t="shared" si="69"/>
        <v>3785.5</v>
      </c>
      <c r="H255" s="4">
        <f t="shared" si="70"/>
        <v>4810.6000000000004</v>
      </c>
      <c r="I255" s="61">
        <f t="shared" si="71"/>
        <v>-21.309192200557113</v>
      </c>
      <c r="J255">
        <v>1.3</v>
      </c>
    </row>
    <row r="256" spans="1:10" x14ac:dyDescent="0.25">
      <c r="A256" s="117" t="s">
        <v>11</v>
      </c>
      <c r="B256" s="20">
        <f t="shared" si="72"/>
        <v>40619</v>
      </c>
      <c r="C256">
        <v>803.5</v>
      </c>
      <c r="D256">
        <v>1162.5999999999999</v>
      </c>
      <c r="E256">
        <v>3272.1</v>
      </c>
      <c r="F256">
        <v>3760.5</v>
      </c>
      <c r="G256" s="4">
        <f t="shared" si="69"/>
        <v>4075.6</v>
      </c>
      <c r="H256" s="4">
        <f t="shared" si="70"/>
        <v>4923.1000000000004</v>
      </c>
      <c r="I256" s="61">
        <f t="shared" si="71"/>
        <v>-17.214763055798187</v>
      </c>
      <c r="J256">
        <v>1.3</v>
      </c>
    </row>
    <row r="257" spans="1:10" x14ac:dyDescent="0.25">
      <c r="A257" s="117" t="s">
        <v>11</v>
      </c>
      <c r="B257" s="20">
        <f t="shared" si="72"/>
        <v>40626</v>
      </c>
      <c r="C257">
        <v>702.6</v>
      </c>
      <c r="D257">
        <v>1159.9000000000001</v>
      </c>
      <c r="E257">
        <v>3487.1</v>
      </c>
      <c r="F257">
        <v>3934.5</v>
      </c>
      <c r="G257" s="4">
        <f t="shared" si="69"/>
        <v>4189.7</v>
      </c>
      <c r="H257" s="4">
        <f t="shared" si="70"/>
        <v>5094.3999999999996</v>
      </c>
      <c r="I257" s="61">
        <f t="shared" si="71"/>
        <v>-17.75871545226131</v>
      </c>
      <c r="J257">
        <v>1.3</v>
      </c>
    </row>
    <row r="258" spans="1:10" x14ac:dyDescent="0.25">
      <c r="A258" s="117" t="s">
        <v>11</v>
      </c>
      <c r="B258" s="20">
        <f t="shared" si="72"/>
        <v>40633</v>
      </c>
      <c r="C258">
        <v>845.4</v>
      </c>
      <c r="D258">
        <v>1545.9</v>
      </c>
      <c r="E258">
        <v>3500.3</v>
      </c>
      <c r="F258">
        <v>4165.3</v>
      </c>
      <c r="G258" s="4">
        <f t="shared" si="69"/>
        <v>4345.7</v>
      </c>
      <c r="H258" s="4">
        <f t="shared" si="70"/>
        <v>5711.2000000000007</v>
      </c>
      <c r="I258" s="61">
        <f t="shared" si="71"/>
        <v>-23.909160946911346</v>
      </c>
      <c r="J258">
        <v>1.3</v>
      </c>
    </row>
    <row r="259" spans="1:10" x14ac:dyDescent="0.25">
      <c r="A259" s="117" t="s">
        <v>11</v>
      </c>
      <c r="B259" s="20">
        <f t="shared" si="72"/>
        <v>40640</v>
      </c>
      <c r="C259">
        <v>762.2</v>
      </c>
      <c r="D259">
        <v>1540.2</v>
      </c>
      <c r="E259">
        <v>3630</v>
      </c>
      <c r="F259">
        <v>4336.8999999999996</v>
      </c>
      <c r="G259" s="4">
        <f t="shared" si="69"/>
        <v>4392.2</v>
      </c>
      <c r="H259" s="4">
        <f t="shared" si="70"/>
        <v>5877.0999999999995</v>
      </c>
      <c r="I259" s="61">
        <f t="shared" si="71"/>
        <v>-25.265862415136709</v>
      </c>
      <c r="J259">
        <v>1.3</v>
      </c>
    </row>
    <row r="260" spans="1:10" x14ac:dyDescent="0.25">
      <c r="A260" s="117" t="s">
        <v>11</v>
      </c>
      <c r="B260" s="20">
        <f t="shared" si="72"/>
        <v>40647</v>
      </c>
      <c r="C260">
        <v>720</v>
      </c>
      <c r="D260">
        <v>1887.9</v>
      </c>
      <c r="E260">
        <v>3678.2</v>
      </c>
      <c r="F260">
        <v>4483.7</v>
      </c>
      <c r="G260" s="4">
        <f t="shared" si="69"/>
        <v>4398.2</v>
      </c>
      <c r="H260" s="4">
        <f t="shared" si="70"/>
        <v>6371.6</v>
      </c>
      <c r="I260" s="61">
        <f t="shared" si="71"/>
        <v>-30.971812417603118</v>
      </c>
      <c r="J260">
        <v>1.3</v>
      </c>
    </row>
    <row r="261" spans="1:10" x14ac:dyDescent="0.25">
      <c r="A261" s="117" t="s">
        <v>11</v>
      </c>
      <c r="B261" s="20">
        <f t="shared" si="72"/>
        <v>40654</v>
      </c>
      <c r="C261">
        <v>511.7</v>
      </c>
      <c r="D261">
        <v>1911.6</v>
      </c>
      <c r="E261">
        <v>3880.6</v>
      </c>
      <c r="F261">
        <v>4761.5</v>
      </c>
      <c r="G261" s="4">
        <f t="shared" si="69"/>
        <v>4392.3</v>
      </c>
      <c r="H261" s="4">
        <f t="shared" si="70"/>
        <v>6673.1</v>
      </c>
      <c r="I261" s="61">
        <f t="shared" si="71"/>
        <v>-34.179017248355336</v>
      </c>
      <c r="J261">
        <v>1.3</v>
      </c>
    </row>
    <row r="262" spans="1:10" x14ac:dyDescent="0.25">
      <c r="A262" s="117" t="s">
        <v>11</v>
      </c>
      <c r="B262" s="20">
        <f t="shared" si="72"/>
        <v>40661</v>
      </c>
      <c r="C262">
        <v>561.1</v>
      </c>
      <c r="D262">
        <v>1909.3</v>
      </c>
      <c r="E262">
        <v>4045.5</v>
      </c>
      <c r="F262">
        <v>4932.8</v>
      </c>
      <c r="G262" s="4">
        <f t="shared" si="69"/>
        <v>4606.6000000000004</v>
      </c>
      <c r="H262" s="4">
        <f t="shared" si="70"/>
        <v>6842.1</v>
      </c>
      <c r="I262" s="61">
        <f t="shared" si="71"/>
        <v>-32.672717440551878</v>
      </c>
      <c r="J262">
        <v>1.3</v>
      </c>
    </row>
    <row r="263" spans="1:10" x14ac:dyDescent="0.25">
      <c r="A263" s="117" t="s">
        <v>11</v>
      </c>
      <c r="B263" s="20">
        <f t="shared" si="72"/>
        <v>40668</v>
      </c>
      <c r="C263">
        <v>671.1</v>
      </c>
      <c r="D263">
        <v>1857.3</v>
      </c>
      <c r="E263">
        <v>4045.6</v>
      </c>
      <c r="F263">
        <v>5105.7</v>
      </c>
      <c r="G263" s="4">
        <f t="shared" si="69"/>
        <v>4716.7</v>
      </c>
      <c r="H263" s="4">
        <f t="shared" si="70"/>
        <v>6963</v>
      </c>
      <c r="I263" s="61">
        <f t="shared" si="71"/>
        <v>-32.260519890851647</v>
      </c>
      <c r="J263">
        <v>1.3</v>
      </c>
    </row>
    <row r="264" spans="1:10" x14ac:dyDescent="0.25">
      <c r="A264" s="117" t="s">
        <v>11</v>
      </c>
      <c r="B264" s="20">
        <f t="shared" si="72"/>
        <v>40675</v>
      </c>
      <c r="C264">
        <v>964</v>
      </c>
      <c r="D264">
        <v>1737.6</v>
      </c>
      <c r="E264">
        <v>4271.5</v>
      </c>
      <c r="F264">
        <v>5271.1</v>
      </c>
      <c r="G264" s="4">
        <f t="shared" si="69"/>
        <v>5235.5</v>
      </c>
      <c r="H264" s="4">
        <f t="shared" si="70"/>
        <v>7008.7000000000007</v>
      </c>
      <c r="I264" s="61">
        <f t="shared" si="71"/>
        <v>-25.299984305220658</v>
      </c>
      <c r="J264">
        <v>1.3</v>
      </c>
    </row>
    <row r="265" spans="1:10" x14ac:dyDescent="0.25">
      <c r="A265" s="117" t="s">
        <v>11</v>
      </c>
      <c r="B265" s="20">
        <f t="shared" si="72"/>
        <v>40682</v>
      </c>
      <c r="C265">
        <v>914.3</v>
      </c>
      <c r="D265">
        <v>1522.7</v>
      </c>
      <c r="E265">
        <v>4392.3</v>
      </c>
      <c r="F265">
        <v>5553.8</v>
      </c>
      <c r="G265" s="4">
        <f t="shared" si="69"/>
        <v>5306.6</v>
      </c>
      <c r="H265" s="4">
        <f t="shared" si="70"/>
        <v>7076.5</v>
      </c>
      <c r="I265" s="61">
        <f t="shared" si="71"/>
        <v>-25.010951741680199</v>
      </c>
      <c r="J265">
        <v>1.3</v>
      </c>
    </row>
    <row r="266" spans="1:10" x14ac:dyDescent="0.25">
      <c r="A266" s="117" t="s">
        <v>11</v>
      </c>
      <c r="B266" s="20">
        <f t="shared" si="72"/>
        <v>40689</v>
      </c>
      <c r="C266">
        <v>858.4</v>
      </c>
      <c r="D266">
        <v>1421.3</v>
      </c>
      <c r="E266">
        <v>4508.8999999999996</v>
      </c>
      <c r="F266">
        <v>5726.1</v>
      </c>
      <c r="G266" s="4">
        <f t="shared" si="69"/>
        <v>5367.2999999999993</v>
      </c>
      <c r="H266" s="4">
        <f t="shared" si="70"/>
        <v>7147.4000000000005</v>
      </c>
      <c r="I266" s="61">
        <f t="shared" si="71"/>
        <v>-24.905560063799438</v>
      </c>
      <c r="J266">
        <v>1.3</v>
      </c>
    </row>
    <row r="267" spans="1:10" x14ac:dyDescent="0.25">
      <c r="A267" s="117" t="s">
        <v>11</v>
      </c>
      <c r="B267" s="20">
        <f t="shared" si="72"/>
        <v>40696</v>
      </c>
      <c r="C267">
        <v>748.4</v>
      </c>
      <c r="D267">
        <v>1576.1</v>
      </c>
      <c r="E267">
        <v>4624.3999999999996</v>
      </c>
      <c r="F267">
        <v>5838.9</v>
      </c>
      <c r="G267" s="4">
        <f t="shared" si="69"/>
        <v>5372.7999999999993</v>
      </c>
      <c r="H267" s="4">
        <f t="shared" si="70"/>
        <v>7415</v>
      </c>
      <c r="I267" s="61">
        <f t="shared" si="71"/>
        <v>-27.541469993256918</v>
      </c>
      <c r="J267">
        <v>1.3</v>
      </c>
    </row>
    <row r="268" spans="1:10" x14ac:dyDescent="0.25">
      <c r="A268" s="117" t="s">
        <v>11</v>
      </c>
      <c r="B268" s="20">
        <f t="shared" si="72"/>
        <v>40703</v>
      </c>
      <c r="C268">
        <v>750.6</v>
      </c>
      <c r="D268">
        <v>1575.8</v>
      </c>
      <c r="E268">
        <v>4676.7</v>
      </c>
      <c r="F268">
        <v>5996</v>
      </c>
      <c r="G268" s="4">
        <f t="shared" ref="G268:G275" si="73">+C268+E268</f>
        <v>5427.3</v>
      </c>
      <c r="H268" s="4">
        <f t="shared" ref="H268:H275" si="74">+D268+F268</f>
        <v>7571.8</v>
      </c>
      <c r="I268" s="61">
        <f t="shared" ref="I268:I275" si="75">+(G268/H268-1)*100</f>
        <v>-28.322195514937</v>
      </c>
      <c r="J268">
        <v>1.3</v>
      </c>
    </row>
    <row r="269" spans="1:10" x14ac:dyDescent="0.25">
      <c r="A269" s="117" t="s">
        <v>11</v>
      </c>
      <c r="B269" s="20">
        <f t="shared" si="72"/>
        <v>40710</v>
      </c>
      <c r="C269">
        <v>639.29999999999995</v>
      </c>
      <c r="D269">
        <v>1468.7</v>
      </c>
      <c r="E269">
        <v>4870.1000000000004</v>
      </c>
      <c r="F269">
        <v>6155.7</v>
      </c>
      <c r="G269" s="4">
        <f t="shared" si="73"/>
        <v>5509.4000000000005</v>
      </c>
      <c r="H269" s="4">
        <f t="shared" si="74"/>
        <v>7624.4</v>
      </c>
      <c r="I269" s="61">
        <f t="shared" si="75"/>
        <v>-27.73988772887046</v>
      </c>
      <c r="J269">
        <v>1.3</v>
      </c>
    </row>
    <row r="270" spans="1:10" x14ac:dyDescent="0.25">
      <c r="A270" s="117" t="s">
        <v>11</v>
      </c>
      <c r="B270" s="20">
        <f t="shared" si="72"/>
        <v>40717</v>
      </c>
      <c r="C270">
        <v>694.3</v>
      </c>
      <c r="D270">
        <v>1414.1</v>
      </c>
      <c r="E270">
        <v>4922.6000000000004</v>
      </c>
      <c r="F270">
        <v>6270.4</v>
      </c>
      <c r="G270" s="4">
        <f t="shared" si="73"/>
        <v>5616.9000000000005</v>
      </c>
      <c r="H270" s="4">
        <f t="shared" si="74"/>
        <v>7684.5</v>
      </c>
      <c r="I270" s="61">
        <f t="shared" si="75"/>
        <v>-26.906109701346857</v>
      </c>
      <c r="J270">
        <v>1.3</v>
      </c>
    </row>
    <row r="271" spans="1:10" ht="15" x14ac:dyDescent="0.35">
      <c r="A271" s="117" t="s">
        <v>11</v>
      </c>
      <c r="B271" s="20">
        <f t="shared" si="72"/>
        <v>40724</v>
      </c>
      <c r="C271">
        <v>584.4</v>
      </c>
      <c r="D271" s="84">
        <v>1213.9000000000001</v>
      </c>
      <c r="E271">
        <v>5038.2</v>
      </c>
      <c r="F271">
        <v>6496.6</v>
      </c>
      <c r="G271" s="4">
        <f t="shared" si="73"/>
        <v>5622.5999999999995</v>
      </c>
      <c r="H271" s="4">
        <f t="shared" si="74"/>
        <v>7710.5</v>
      </c>
      <c r="I271" s="61">
        <f t="shared" si="75"/>
        <v>-27.078658971532331</v>
      </c>
      <c r="J271">
        <v>1.3</v>
      </c>
    </row>
    <row r="272" spans="1:10" x14ac:dyDescent="0.25">
      <c r="A272" s="117" t="s">
        <v>11</v>
      </c>
      <c r="B272" s="20">
        <f t="shared" si="72"/>
        <v>40731</v>
      </c>
      <c r="C272">
        <v>585.29999999999995</v>
      </c>
      <c r="D272">
        <v>1133.2</v>
      </c>
      <c r="E272">
        <v>5153.7</v>
      </c>
      <c r="F272">
        <v>6554.5</v>
      </c>
      <c r="G272" s="4">
        <f t="shared" si="73"/>
        <v>5739</v>
      </c>
      <c r="H272" s="4">
        <f t="shared" si="74"/>
        <v>7687.7</v>
      </c>
      <c r="I272" s="61">
        <f t="shared" si="75"/>
        <v>-25.348283621889511</v>
      </c>
      <c r="J272">
        <v>226.3</v>
      </c>
    </row>
    <row r="273" spans="1:10" x14ac:dyDescent="0.25">
      <c r="A273" s="117" t="s">
        <v>11</v>
      </c>
      <c r="B273" s="20">
        <f t="shared" si="72"/>
        <v>40738</v>
      </c>
      <c r="C273">
        <v>376.3</v>
      </c>
      <c r="D273">
        <v>1134.4000000000001</v>
      </c>
      <c r="E273">
        <v>5428.8</v>
      </c>
      <c r="F273">
        <v>6554.7</v>
      </c>
      <c r="G273" s="4">
        <f t="shared" si="73"/>
        <v>5805.1</v>
      </c>
      <c r="H273" s="4">
        <f t="shared" si="74"/>
        <v>7689.1</v>
      </c>
      <c r="I273" s="61">
        <f t="shared" si="75"/>
        <v>-24.502217424666085</v>
      </c>
      <c r="J273">
        <v>336.3</v>
      </c>
    </row>
    <row r="274" spans="1:10" x14ac:dyDescent="0.25">
      <c r="A274" s="117" t="s">
        <v>11</v>
      </c>
      <c r="B274" s="20">
        <f t="shared" si="72"/>
        <v>40745</v>
      </c>
      <c r="C274">
        <v>517.5</v>
      </c>
      <c r="D274">
        <v>1013.9</v>
      </c>
      <c r="E274">
        <v>5485.3</v>
      </c>
      <c r="F274">
        <v>6769.4</v>
      </c>
      <c r="G274" s="4">
        <f t="shared" si="73"/>
        <v>6002.8</v>
      </c>
      <c r="H274" s="4">
        <f t="shared" si="74"/>
        <v>7783.2999999999993</v>
      </c>
      <c r="I274" s="61">
        <f t="shared" si="75"/>
        <v>-22.875900967455955</v>
      </c>
      <c r="J274">
        <v>336.3</v>
      </c>
    </row>
    <row r="275" spans="1:10" x14ac:dyDescent="0.25">
      <c r="A275" s="117" t="s">
        <v>11</v>
      </c>
      <c r="B275" s="20">
        <f t="shared" si="72"/>
        <v>40752</v>
      </c>
      <c r="C275">
        <v>517.1</v>
      </c>
      <c r="D275">
        <v>1014</v>
      </c>
      <c r="E275">
        <v>5485.7</v>
      </c>
      <c r="F275">
        <v>6769.6</v>
      </c>
      <c r="G275" s="4">
        <f t="shared" si="73"/>
        <v>6002.8</v>
      </c>
      <c r="H275" s="4">
        <f t="shared" si="74"/>
        <v>7783.6</v>
      </c>
      <c r="I275" s="61">
        <f t="shared" si="75"/>
        <v>-22.878873528958323</v>
      </c>
      <c r="J275">
        <v>336.3</v>
      </c>
    </row>
    <row r="276" spans="1:10" x14ac:dyDescent="0.25">
      <c r="A276" s="117" t="s">
        <v>11</v>
      </c>
      <c r="B276" s="20">
        <f t="shared" si="72"/>
        <v>40759</v>
      </c>
      <c r="C276">
        <v>418</v>
      </c>
      <c r="D276">
        <v>835</v>
      </c>
      <c r="E276">
        <v>5693.5</v>
      </c>
      <c r="F276">
        <v>6966.8</v>
      </c>
      <c r="G276" s="4">
        <f t="shared" ref="G276:G339" si="76">+C276+E276</f>
        <v>6111.5</v>
      </c>
      <c r="H276" s="4">
        <f t="shared" ref="H276:H339" si="77">+D276+F276</f>
        <v>7801.8</v>
      </c>
      <c r="I276" s="61">
        <f t="shared" ref="I276:I339" si="78">+(G276/H276-1)*100</f>
        <v>-21.665513086723575</v>
      </c>
      <c r="J276">
        <v>391.3</v>
      </c>
    </row>
    <row r="277" spans="1:10" x14ac:dyDescent="0.25">
      <c r="A277" s="117" t="s">
        <v>11</v>
      </c>
      <c r="B277" s="20">
        <f t="shared" si="72"/>
        <v>40766</v>
      </c>
      <c r="C277">
        <v>334.5</v>
      </c>
      <c r="D277">
        <v>646.20000000000005</v>
      </c>
      <c r="E277">
        <v>5765.3</v>
      </c>
      <c r="F277">
        <v>7188.9</v>
      </c>
      <c r="G277" s="4">
        <f t="shared" si="76"/>
        <v>6099.8</v>
      </c>
      <c r="H277" s="4">
        <f t="shared" si="77"/>
        <v>7835.0999999999995</v>
      </c>
      <c r="I277" s="61">
        <f t="shared" si="78"/>
        <v>-22.147770928258726</v>
      </c>
      <c r="J277">
        <v>446.3</v>
      </c>
    </row>
    <row r="278" spans="1:10" x14ac:dyDescent="0.25">
      <c r="A278" s="117" t="s">
        <v>11</v>
      </c>
      <c r="B278" s="20">
        <f t="shared" si="72"/>
        <v>40773</v>
      </c>
      <c r="C278">
        <v>168.2</v>
      </c>
      <c r="D278">
        <v>532</v>
      </c>
      <c r="E278">
        <v>5941.4</v>
      </c>
      <c r="F278">
        <v>7242.1</v>
      </c>
      <c r="G278" s="4">
        <f t="shared" si="76"/>
        <v>6109.5999999999995</v>
      </c>
      <c r="H278" s="4">
        <f t="shared" si="77"/>
        <v>7774.1</v>
      </c>
      <c r="I278" s="61">
        <f t="shared" si="78"/>
        <v>-21.410838553658952</v>
      </c>
      <c r="J278">
        <v>446.3</v>
      </c>
    </row>
    <row r="279" spans="1:10" x14ac:dyDescent="0.25">
      <c r="A279" s="117" t="s">
        <v>11</v>
      </c>
      <c r="B279" s="20">
        <f t="shared" si="72"/>
        <v>40780</v>
      </c>
      <c r="C279">
        <v>125.7</v>
      </c>
      <c r="D279">
        <v>383.5</v>
      </c>
      <c r="E279">
        <v>6046.7</v>
      </c>
      <c r="F279">
        <v>7394.6</v>
      </c>
      <c r="G279" s="4">
        <f t="shared" si="76"/>
        <v>6172.4</v>
      </c>
      <c r="H279" s="4">
        <f t="shared" si="77"/>
        <v>7778.1</v>
      </c>
      <c r="I279" s="61">
        <f t="shared" si="78"/>
        <v>-20.643859040125491</v>
      </c>
      <c r="J279">
        <v>446.3</v>
      </c>
    </row>
    <row r="280" spans="1:10" x14ac:dyDescent="0.25">
      <c r="A280" s="117" t="s">
        <v>11</v>
      </c>
      <c r="B280" s="20">
        <f t="shared" si="72"/>
        <v>40787</v>
      </c>
      <c r="C280" s="59">
        <v>517.70000000000005</v>
      </c>
      <c r="D280" s="59">
        <v>832.1</v>
      </c>
      <c r="E280" s="59">
        <v>71.2</v>
      </c>
      <c r="F280" s="59">
        <v>57.3</v>
      </c>
      <c r="G280" s="34">
        <f>+C280+E280</f>
        <v>588.90000000000009</v>
      </c>
      <c r="H280" s="34">
        <f t="shared" si="77"/>
        <v>889.4</v>
      </c>
      <c r="I280" s="61">
        <f t="shared" si="78"/>
        <v>-33.786822577018206</v>
      </c>
    </row>
    <row r="281" spans="1:10" x14ac:dyDescent="0.25">
      <c r="A281" s="117" t="s">
        <v>11</v>
      </c>
      <c r="B281" s="20">
        <f t="shared" si="72"/>
        <v>40794</v>
      </c>
      <c r="C281" s="59">
        <v>667.8</v>
      </c>
      <c r="D281" s="59">
        <v>914.1</v>
      </c>
      <c r="E281" s="59">
        <v>186.7</v>
      </c>
      <c r="F281" s="59">
        <v>199.1</v>
      </c>
      <c r="G281" s="34">
        <f>+C281+E281</f>
        <v>854.5</v>
      </c>
      <c r="H281" s="34">
        <f t="shared" si="77"/>
        <v>1113.2</v>
      </c>
      <c r="I281" s="61">
        <f t="shared" si="78"/>
        <v>-23.239310097017608</v>
      </c>
    </row>
    <row r="282" spans="1:10" x14ac:dyDescent="0.25">
      <c r="A282" s="117" t="s">
        <v>11</v>
      </c>
      <c r="B282" s="20">
        <f t="shared" si="72"/>
        <v>40801</v>
      </c>
      <c r="C282" s="59">
        <v>609</v>
      </c>
      <c r="D282" s="59">
        <v>742</v>
      </c>
      <c r="E282" s="59">
        <v>247</v>
      </c>
      <c r="F282" s="59">
        <v>398</v>
      </c>
      <c r="G282" s="34">
        <f>+C282+E282</f>
        <v>856</v>
      </c>
      <c r="H282" s="34">
        <f t="shared" si="77"/>
        <v>1140</v>
      </c>
      <c r="I282" s="61">
        <f t="shared" si="78"/>
        <v>-24.912280701754387</v>
      </c>
      <c r="J282" s="125"/>
    </row>
    <row r="283" spans="1:10" x14ac:dyDescent="0.25">
      <c r="A283" s="117" t="s">
        <v>11</v>
      </c>
      <c r="B283" s="20">
        <f t="shared" si="72"/>
        <v>40808</v>
      </c>
      <c r="C283" s="59">
        <v>568</v>
      </c>
      <c r="D283" s="59">
        <v>798.9</v>
      </c>
      <c r="E283" s="59">
        <v>419.7</v>
      </c>
      <c r="F283" s="59">
        <v>510</v>
      </c>
      <c r="G283" s="4">
        <f t="shared" si="76"/>
        <v>987.7</v>
      </c>
      <c r="H283" s="4">
        <f t="shared" si="77"/>
        <v>1308.9000000000001</v>
      </c>
      <c r="I283" s="61">
        <f t="shared" si="78"/>
        <v>-24.539689815875931</v>
      </c>
    </row>
    <row r="284" spans="1:10" x14ac:dyDescent="0.25">
      <c r="A284" s="117" t="s">
        <v>11</v>
      </c>
      <c r="B284" s="20">
        <f t="shared" si="72"/>
        <v>40815</v>
      </c>
      <c r="C284" s="59">
        <v>874</v>
      </c>
      <c r="D284" s="59">
        <v>798.8</v>
      </c>
      <c r="E284" s="59">
        <v>532</v>
      </c>
      <c r="F284" s="59">
        <v>567.79999999999995</v>
      </c>
      <c r="G284" s="4">
        <f t="shared" si="76"/>
        <v>1406</v>
      </c>
      <c r="H284" s="4">
        <f t="shared" si="77"/>
        <v>1366.6</v>
      </c>
      <c r="I284" s="61">
        <f t="shared" si="78"/>
        <v>2.8830674667057021</v>
      </c>
    </row>
    <row r="285" spans="1:10" ht="15" x14ac:dyDescent="0.35">
      <c r="A285" s="117" t="s">
        <v>11</v>
      </c>
      <c r="B285" s="20">
        <f t="shared" si="72"/>
        <v>40822</v>
      </c>
      <c r="C285" s="84">
        <v>819.2</v>
      </c>
      <c r="D285" s="59">
        <v>859.6</v>
      </c>
      <c r="E285" s="59">
        <v>705.3</v>
      </c>
      <c r="F285" s="59">
        <v>623</v>
      </c>
      <c r="G285" s="4">
        <f t="shared" si="76"/>
        <v>1524.5</v>
      </c>
      <c r="H285" s="4">
        <f t="shared" si="77"/>
        <v>1482.6</v>
      </c>
      <c r="I285" s="61">
        <f t="shared" si="78"/>
        <v>2.8261162822069474</v>
      </c>
    </row>
    <row r="286" spans="1:10" x14ac:dyDescent="0.25">
      <c r="A286" s="117" t="s">
        <v>11</v>
      </c>
      <c r="B286" s="20">
        <f t="shared" si="72"/>
        <v>40829</v>
      </c>
      <c r="C286" s="59">
        <v>919.9</v>
      </c>
      <c r="D286" s="59">
        <v>745.3</v>
      </c>
      <c r="E286" s="59">
        <v>763.1</v>
      </c>
      <c r="F286" s="59">
        <v>736.5</v>
      </c>
      <c r="G286" s="4">
        <f t="shared" si="76"/>
        <v>1683</v>
      </c>
      <c r="H286" s="4">
        <f t="shared" si="77"/>
        <v>1481.8</v>
      </c>
      <c r="I286" s="61">
        <f t="shared" si="78"/>
        <v>13.57808071264679</v>
      </c>
      <c r="J286" s="125"/>
    </row>
    <row r="287" spans="1:10" x14ac:dyDescent="0.25">
      <c r="A287" s="117" t="s">
        <v>11</v>
      </c>
      <c r="B287" s="20">
        <f t="shared" si="72"/>
        <v>40836</v>
      </c>
      <c r="C287" s="59">
        <v>806.4</v>
      </c>
      <c r="D287" s="59">
        <v>810.2</v>
      </c>
      <c r="E287" s="59">
        <v>877.7</v>
      </c>
      <c r="F287" s="59">
        <v>794.1</v>
      </c>
      <c r="G287" s="4">
        <f t="shared" si="76"/>
        <v>1684.1</v>
      </c>
      <c r="H287" s="4">
        <f t="shared" si="77"/>
        <v>1604.3000000000002</v>
      </c>
      <c r="I287" s="61">
        <f t="shared" si="78"/>
        <v>4.9741320201956984</v>
      </c>
    </row>
    <row r="288" spans="1:10" x14ac:dyDescent="0.25">
      <c r="A288" s="117" t="s">
        <v>11</v>
      </c>
      <c r="B288" s="20">
        <f t="shared" si="72"/>
        <v>40843</v>
      </c>
      <c r="C288" s="59">
        <v>924.5</v>
      </c>
      <c r="D288" s="59">
        <v>755.4</v>
      </c>
      <c r="E288" s="59">
        <v>878.4</v>
      </c>
      <c r="F288" s="59">
        <v>852</v>
      </c>
      <c r="G288" s="4">
        <f t="shared" si="76"/>
        <v>1802.9</v>
      </c>
      <c r="H288" s="4">
        <f t="shared" si="77"/>
        <v>1607.4</v>
      </c>
      <c r="I288" s="61">
        <f t="shared" si="78"/>
        <v>12.162498444693304</v>
      </c>
    </row>
    <row r="289" spans="1:10" x14ac:dyDescent="0.25">
      <c r="A289" s="117" t="s">
        <v>11</v>
      </c>
      <c r="B289" s="20">
        <f t="shared" si="72"/>
        <v>40850</v>
      </c>
      <c r="C289" s="59">
        <v>885.4</v>
      </c>
      <c r="D289" s="59">
        <v>754.6</v>
      </c>
      <c r="E289" s="59">
        <v>936.1</v>
      </c>
      <c r="F289" s="59">
        <v>968.2</v>
      </c>
      <c r="G289" s="4">
        <f t="shared" si="76"/>
        <v>1821.5</v>
      </c>
      <c r="H289" s="4">
        <f t="shared" si="77"/>
        <v>1722.8000000000002</v>
      </c>
      <c r="I289" s="61">
        <f t="shared" si="78"/>
        <v>5.7290457394938432</v>
      </c>
    </row>
    <row r="290" spans="1:10" x14ac:dyDescent="0.25">
      <c r="A290" s="117" t="s">
        <v>11</v>
      </c>
      <c r="B290" s="20">
        <f t="shared" si="72"/>
        <v>40857</v>
      </c>
      <c r="C290" s="59">
        <v>940.5</v>
      </c>
      <c r="D290" s="59">
        <v>1145.5999999999999</v>
      </c>
      <c r="E290" s="59">
        <v>1051.0999999999999</v>
      </c>
      <c r="F290" s="59">
        <v>1083.7</v>
      </c>
      <c r="G290" s="4">
        <f t="shared" si="76"/>
        <v>1991.6</v>
      </c>
      <c r="H290" s="4">
        <f t="shared" si="77"/>
        <v>2229.3000000000002</v>
      </c>
      <c r="I290" s="61">
        <f t="shared" si="78"/>
        <v>-10.662539810702921</v>
      </c>
    </row>
    <row r="291" spans="1:10" x14ac:dyDescent="0.25">
      <c r="A291" s="117" t="s">
        <v>11</v>
      </c>
      <c r="B291" s="20">
        <f t="shared" si="72"/>
        <v>40864</v>
      </c>
      <c r="C291" s="59">
        <v>1015.7</v>
      </c>
      <c r="D291" s="59">
        <v>1368.4</v>
      </c>
      <c r="E291" s="59">
        <v>1051.0999999999999</v>
      </c>
      <c r="F291" s="59">
        <v>1240.4000000000001</v>
      </c>
      <c r="G291" s="4">
        <f t="shared" si="76"/>
        <v>2066.8000000000002</v>
      </c>
      <c r="H291" s="4">
        <f t="shared" si="77"/>
        <v>2608.8000000000002</v>
      </c>
      <c r="I291" s="61">
        <f t="shared" si="78"/>
        <v>-20.775835633241336</v>
      </c>
    </row>
    <row r="292" spans="1:10" x14ac:dyDescent="0.25">
      <c r="A292" s="117" t="s">
        <v>11</v>
      </c>
      <c r="B292" s="20">
        <f t="shared" si="72"/>
        <v>40871</v>
      </c>
      <c r="C292" s="59">
        <v>1030.5</v>
      </c>
      <c r="D292" s="59">
        <v>1694.7</v>
      </c>
      <c r="E292" s="59">
        <v>1167.8</v>
      </c>
      <c r="F292" s="59">
        <v>1292</v>
      </c>
      <c r="G292" s="4">
        <f t="shared" si="76"/>
        <v>2198.3000000000002</v>
      </c>
      <c r="H292" s="4">
        <f t="shared" si="77"/>
        <v>2986.7</v>
      </c>
      <c r="I292" s="61">
        <f t="shared" si="78"/>
        <v>-26.397026818897096</v>
      </c>
    </row>
    <row r="293" spans="1:10" x14ac:dyDescent="0.25">
      <c r="A293" s="117" t="s">
        <v>11</v>
      </c>
      <c r="B293" s="20">
        <f t="shared" si="72"/>
        <v>40878</v>
      </c>
      <c r="C293" s="59">
        <v>919.6</v>
      </c>
      <c r="D293" s="59">
        <v>1745.3</v>
      </c>
      <c r="E293" s="59">
        <v>1283.3</v>
      </c>
      <c r="F293" s="59">
        <v>1348.9</v>
      </c>
      <c r="G293" s="4">
        <f t="shared" si="76"/>
        <v>2202.9</v>
      </c>
      <c r="H293" s="4">
        <f t="shared" si="77"/>
        <v>3094.2</v>
      </c>
      <c r="I293" s="61">
        <f t="shared" si="78"/>
        <v>-28.805507077758374</v>
      </c>
    </row>
    <row r="294" spans="1:10" x14ac:dyDescent="0.25">
      <c r="A294" s="117" t="s">
        <v>11</v>
      </c>
      <c r="B294" s="20">
        <f t="shared" si="72"/>
        <v>40885</v>
      </c>
      <c r="C294" s="59">
        <v>752.9</v>
      </c>
      <c r="D294" s="59">
        <v>1587.4</v>
      </c>
      <c r="E294" s="59">
        <v>1455.4</v>
      </c>
      <c r="F294" s="59">
        <v>1576</v>
      </c>
      <c r="G294" s="4">
        <f t="shared" si="76"/>
        <v>2208.3000000000002</v>
      </c>
      <c r="H294" s="4">
        <f t="shared" si="77"/>
        <v>3163.4</v>
      </c>
      <c r="I294" s="61">
        <f t="shared" si="78"/>
        <v>-30.192198267686663</v>
      </c>
    </row>
    <row r="295" spans="1:10" x14ac:dyDescent="0.25">
      <c r="A295" s="117" t="s">
        <v>11</v>
      </c>
      <c r="B295" s="20">
        <f t="shared" si="72"/>
        <v>40892</v>
      </c>
      <c r="C295">
        <v>813</v>
      </c>
      <c r="D295">
        <v>1553.4</v>
      </c>
      <c r="E295">
        <v>1594.2</v>
      </c>
      <c r="F295">
        <v>1717.1</v>
      </c>
      <c r="G295" s="4">
        <f t="shared" si="76"/>
        <v>2407.1999999999998</v>
      </c>
      <c r="H295" s="4">
        <f t="shared" si="77"/>
        <v>3270.5</v>
      </c>
      <c r="I295" s="61">
        <f t="shared" si="78"/>
        <v>-26.396575447179337</v>
      </c>
      <c r="J295">
        <v>0.7</v>
      </c>
    </row>
    <row r="296" spans="1:10" x14ac:dyDescent="0.25">
      <c r="A296" s="117" t="s">
        <v>11</v>
      </c>
      <c r="B296" s="20">
        <f t="shared" si="72"/>
        <v>40899</v>
      </c>
      <c r="C296">
        <v>635.1</v>
      </c>
      <c r="D296">
        <v>1487.1</v>
      </c>
      <c r="E296">
        <v>1769.1</v>
      </c>
      <c r="F296">
        <v>1890.4</v>
      </c>
      <c r="G296" s="4">
        <f t="shared" si="76"/>
        <v>2404.1999999999998</v>
      </c>
      <c r="H296" s="4">
        <f t="shared" si="77"/>
        <v>3377.5</v>
      </c>
      <c r="I296" s="61">
        <f t="shared" si="78"/>
        <v>-28.817172464840869</v>
      </c>
    </row>
    <row r="297" spans="1:10" x14ac:dyDescent="0.25">
      <c r="A297" s="117" t="s">
        <v>11</v>
      </c>
      <c r="B297" s="20">
        <f t="shared" si="72"/>
        <v>40906</v>
      </c>
      <c r="C297">
        <v>635.4</v>
      </c>
      <c r="D297">
        <v>1426.1</v>
      </c>
      <c r="E297">
        <v>1769.1</v>
      </c>
      <c r="F297">
        <v>1945.6</v>
      </c>
      <c r="G297" s="4">
        <f t="shared" si="76"/>
        <v>2404.5</v>
      </c>
      <c r="H297" s="4">
        <f t="shared" si="77"/>
        <v>3371.7</v>
      </c>
      <c r="I297" s="61">
        <f t="shared" si="78"/>
        <v>-28.685826141115754</v>
      </c>
    </row>
    <row r="298" spans="1:10" x14ac:dyDescent="0.25">
      <c r="A298" s="117" t="s">
        <v>11</v>
      </c>
      <c r="B298" s="20">
        <f t="shared" si="72"/>
        <v>40913</v>
      </c>
      <c r="C298">
        <v>568.20000000000005</v>
      </c>
      <c r="D298">
        <v>1316.1</v>
      </c>
      <c r="E298">
        <v>1835.1</v>
      </c>
      <c r="F298">
        <v>2111.8000000000002</v>
      </c>
      <c r="G298" s="4">
        <f t="shared" si="76"/>
        <v>2403.3000000000002</v>
      </c>
      <c r="H298" s="4">
        <f t="shared" si="77"/>
        <v>3427.9</v>
      </c>
      <c r="I298" s="61">
        <f t="shared" si="78"/>
        <v>-29.89002012894192</v>
      </c>
      <c r="J298">
        <v>0.7</v>
      </c>
    </row>
    <row r="299" spans="1:10" x14ac:dyDescent="0.25">
      <c r="A299" s="117" t="s">
        <v>11</v>
      </c>
      <c r="B299" s="20">
        <f t="shared" si="72"/>
        <v>40920</v>
      </c>
      <c r="C299">
        <v>689</v>
      </c>
      <c r="D299">
        <v>1203.5</v>
      </c>
      <c r="E299">
        <v>1903.6</v>
      </c>
      <c r="F299">
        <v>2239.4</v>
      </c>
      <c r="G299" s="4">
        <f t="shared" si="76"/>
        <v>2592.6</v>
      </c>
      <c r="H299" s="4">
        <f t="shared" si="77"/>
        <v>3442.9</v>
      </c>
      <c r="I299" s="61">
        <f t="shared" si="78"/>
        <v>-24.6972029393825</v>
      </c>
      <c r="J299">
        <v>0.7</v>
      </c>
    </row>
    <row r="300" spans="1:10" x14ac:dyDescent="0.25">
      <c r="A300" s="117" t="s">
        <v>11</v>
      </c>
      <c r="B300" s="20">
        <f t="shared" si="72"/>
        <v>40927</v>
      </c>
      <c r="C300">
        <v>748.9</v>
      </c>
      <c r="D300">
        <v>1088</v>
      </c>
      <c r="E300">
        <v>2030.2</v>
      </c>
      <c r="F300">
        <v>2402.6</v>
      </c>
      <c r="G300" s="4">
        <f t="shared" si="76"/>
        <v>2779.1</v>
      </c>
      <c r="H300" s="4">
        <f t="shared" si="77"/>
        <v>3490.6</v>
      </c>
      <c r="I300" s="61">
        <f t="shared" si="78"/>
        <v>-20.383315189365725</v>
      </c>
      <c r="J300">
        <v>0.7</v>
      </c>
    </row>
    <row r="301" spans="1:10" x14ac:dyDescent="0.25">
      <c r="A301" s="117" t="s">
        <v>11</v>
      </c>
      <c r="B301" s="20">
        <f t="shared" si="72"/>
        <v>40934</v>
      </c>
      <c r="C301">
        <v>689.5</v>
      </c>
      <c r="D301">
        <v>1049.9000000000001</v>
      </c>
      <c r="E301">
        <v>2119.9</v>
      </c>
      <c r="F301">
        <v>2512.8000000000002</v>
      </c>
      <c r="G301" s="4">
        <f t="shared" si="76"/>
        <v>2809.4</v>
      </c>
      <c r="H301" s="4">
        <f t="shared" si="77"/>
        <v>3562.7000000000003</v>
      </c>
      <c r="I301" s="61">
        <f t="shared" si="78"/>
        <v>-21.144076122042279</v>
      </c>
      <c r="J301">
        <v>0.7</v>
      </c>
    </row>
    <row r="302" spans="1:10" x14ac:dyDescent="0.25">
      <c r="A302" s="117" t="s">
        <v>11</v>
      </c>
      <c r="B302" s="20">
        <f t="shared" si="72"/>
        <v>40941</v>
      </c>
      <c r="C302">
        <v>373.9</v>
      </c>
      <c r="D302">
        <v>710.5</v>
      </c>
      <c r="E302">
        <v>682.1</v>
      </c>
      <c r="F302">
        <v>899.3</v>
      </c>
      <c r="G302" s="4">
        <f t="shared" si="76"/>
        <v>1056</v>
      </c>
      <c r="H302" s="4">
        <f t="shared" si="77"/>
        <v>1609.8</v>
      </c>
      <c r="I302" s="61">
        <f t="shared" si="78"/>
        <v>-34.401789042117024</v>
      </c>
    </row>
    <row r="303" spans="1:10" x14ac:dyDescent="0.25">
      <c r="A303" s="117" t="s">
        <v>11</v>
      </c>
      <c r="B303" s="20">
        <f t="shared" si="72"/>
        <v>40948</v>
      </c>
      <c r="C303">
        <v>644.70000000000005</v>
      </c>
      <c r="D303">
        <v>938.7</v>
      </c>
      <c r="E303">
        <v>2269.1</v>
      </c>
      <c r="F303">
        <v>2675.8</v>
      </c>
      <c r="G303" s="4">
        <f t="shared" si="76"/>
        <v>2913.8</v>
      </c>
      <c r="H303" s="4">
        <f t="shared" si="77"/>
        <v>3614.5</v>
      </c>
      <c r="I303" s="61">
        <f t="shared" si="78"/>
        <v>-19.385807165583056</v>
      </c>
    </row>
    <row r="304" spans="1:10" x14ac:dyDescent="0.25">
      <c r="A304" s="117" t="s">
        <v>11</v>
      </c>
      <c r="B304" s="20">
        <f t="shared" si="72"/>
        <v>40955</v>
      </c>
      <c r="C304">
        <v>949.8</v>
      </c>
      <c r="D304">
        <v>828.4</v>
      </c>
      <c r="E304">
        <v>2269.3000000000002</v>
      </c>
      <c r="F304">
        <v>2848.8</v>
      </c>
      <c r="G304" s="4">
        <f t="shared" si="76"/>
        <v>3219.1000000000004</v>
      </c>
      <c r="H304" s="4">
        <f t="shared" si="77"/>
        <v>3677.2000000000003</v>
      </c>
      <c r="I304" s="61">
        <f t="shared" si="78"/>
        <v>-12.457848362884805</v>
      </c>
    </row>
    <row r="305" spans="1:10" x14ac:dyDescent="0.25">
      <c r="A305" s="117" t="s">
        <v>11</v>
      </c>
      <c r="B305" s="20">
        <f t="shared" si="72"/>
        <v>40962</v>
      </c>
      <c r="C305">
        <v>894.3</v>
      </c>
      <c r="D305">
        <v>670.4</v>
      </c>
      <c r="E305">
        <v>2359.1999999999998</v>
      </c>
      <c r="F305">
        <v>3059</v>
      </c>
      <c r="G305" s="4">
        <f t="shared" si="76"/>
        <v>3253.5</v>
      </c>
      <c r="H305" s="4">
        <f t="shared" si="77"/>
        <v>3729.4</v>
      </c>
      <c r="I305" s="61">
        <f t="shared" si="78"/>
        <v>-12.760765806832197</v>
      </c>
    </row>
    <row r="306" spans="1:10" x14ac:dyDescent="0.25">
      <c r="A306" s="117" t="s">
        <v>11</v>
      </c>
      <c r="B306" s="20">
        <f t="shared" si="72"/>
        <v>40969</v>
      </c>
      <c r="C306">
        <v>825.2</v>
      </c>
      <c r="D306">
        <v>512.4</v>
      </c>
      <c r="E306">
        <v>2424.5</v>
      </c>
      <c r="F306">
        <v>3223.8</v>
      </c>
      <c r="G306" s="4">
        <f t="shared" si="76"/>
        <v>3249.7</v>
      </c>
      <c r="H306" s="4">
        <f t="shared" si="77"/>
        <v>3736.2000000000003</v>
      </c>
      <c r="I306" s="61">
        <f t="shared" si="78"/>
        <v>-13.021251538996847</v>
      </c>
    </row>
    <row r="307" spans="1:10" x14ac:dyDescent="0.25">
      <c r="A307" s="117" t="s">
        <v>11</v>
      </c>
      <c r="B307" s="20">
        <f t="shared" si="72"/>
        <v>40976</v>
      </c>
      <c r="C307">
        <v>825.2</v>
      </c>
      <c r="D307">
        <v>512.4</v>
      </c>
      <c r="E307">
        <v>2424.5</v>
      </c>
      <c r="F307">
        <v>3223.8</v>
      </c>
      <c r="G307" s="4">
        <f t="shared" si="76"/>
        <v>3249.7</v>
      </c>
      <c r="H307" s="4">
        <f t="shared" si="77"/>
        <v>3736.2000000000003</v>
      </c>
      <c r="I307" s="61">
        <f t="shared" si="78"/>
        <v>-13.021251538996847</v>
      </c>
    </row>
    <row r="308" spans="1:10" x14ac:dyDescent="0.25">
      <c r="A308" s="117" t="s">
        <v>11</v>
      </c>
      <c r="B308" s="20">
        <f t="shared" si="72"/>
        <v>40983</v>
      </c>
      <c r="C308">
        <v>950</v>
      </c>
      <c r="D308">
        <v>513.79999999999995</v>
      </c>
      <c r="E308">
        <v>2426.1</v>
      </c>
      <c r="F308">
        <v>3271.7</v>
      </c>
      <c r="G308" s="4">
        <f t="shared" si="76"/>
        <v>3376.1</v>
      </c>
      <c r="H308" s="4">
        <f t="shared" si="77"/>
        <v>3785.5</v>
      </c>
      <c r="I308" s="61">
        <f t="shared" si="78"/>
        <v>-10.814951789723947</v>
      </c>
    </row>
    <row r="309" spans="1:10" x14ac:dyDescent="0.25">
      <c r="A309" s="117" t="s">
        <v>11</v>
      </c>
      <c r="B309" s="20">
        <f t="shared" si="72"/>
        <v>40990</v>
      </c>
      <c r="C309">
        <v>839</v>
      </c>
      <c r="D309">
        <v>702.6</v>
      </c>
      <c r="E309">
        <v>2542.6999999999998</v>
      </c>
      <c r="F309">
        <v>3487.1</v>
      </c>
      <c r="G309" s="4">
        <f t="shared" si="76"/>
        <v>3381.7</v>
      </c>
      <c r="H309" s="4">
        <f t="shared" si="77"/>
        <v>4189.7</v>
      </c>
      <c r="I309" s="61">
        <f t="shared" si="78"/>
        <v>-19.285390362078438</v>
      </c>
    </row>
    <row r="310" spans="1:10" x14ac:dyDescent="0.25">
      <c r="A310" s="117" t="s">
        <v>11</v>
      </c>
      <c r="B310" s="20">
        <f t="shared" si="72"/>
        <v>40997</v>
      </c>
      <c r="C310">
        <v>742.7</v>
      </c>
      <c r="D310">
        <v>845.4</v>
      </c>
      <c r="E310">
        <v>2672.6</v>
      </c>
      <c r="F310">
        <v>3500.3</v>
      </c>
      <c r="G310" s="4">
        <f t="shared" si="76"/>
        <v>3415.3</v>
      </c>
      <c r="H310" s="4">
        <f t="shared" si="77"/>
        <v>4345.7</v>
      </c>
      <c r="I310" s="61">
        <f t="shared" si="78"/>
        <v>-21.409669328301529</v>
      </c>
      <c r="J310">
        <v>0.7</v>
      </c>
    </row>
    <row r="311" spans="1:10" x14ac:dyDescent="0.25">
      <c r="A311" s="117" t="s">
        <v>11</v>
      </c>
      <c r="B311" s="20">
        <f t="shared" si="72"/>
        <v>41004</v>
      </c>
      <c r="C311">
        <v>760.1</v>
      </c>
      <c r="D311">
        <v>762.2</v>
      </c>
      <c r="E311">
        <v>2780.3</v>
      </c>
      <c r="F311">
        <v>3630</v>
      </c>
      <c r="G311" s="4">
        <f t="shared" si="76"/>
        <v>3540.4</v>
      </c>
      <c r="H311" s="4">
        <f t="shared" si="77"/>
        <v>4392.2</v>
      </c>
      <c r="I311" s="61">
        <f t="shared" si="78"/>
        <v>-19.393470242702971</v>
      </c>
    </row>
    <row r="312" spans="1:10" x14ac:dyDescent="0.25">
      <c r="A312" s="117" t="s">
        <v>11</v>
      </c>
      <c r="B312" s="20">
        <f t="shared" si="72"/>
        <v>41011</v>
      </c>
      <c r="C312">
        <v>639</v>
      </c>
      <c r="D312">
        <v>720</v>
      </c>
      <c r="E312">
        <v>2896.8</v>
      </c>
      <c r="F312">
        <v>3678.2</v>
      </c>
      <c r="G312" s="4">
        <f t="shared" si="76"/>
        <v>3535.8</v>
      </c>
      <c r="H312" s="4">
        <f t="shared" si="77"/>
        <v>4398.2</v>
      </c>
      <c r="I312" s="61">
        <f t="shared" si="78"/>
        <v>-19.608021463325898</v>
      </c>
    </row>
    <row r="313" spans="1:10" x14ac:dyDescent="0.25">
      <c r="A313" s="117" t="s">
        <v>11</v>
      </c>
      <c r="B313" s="20">
        <f t="shared" si="72"/>
        <v>41018</v>
      </c>
      <c r="C313">
        <v>702</v>
      </c>
      <c r="D313">
        <v>511.7</v>
      </c>
      <c r="E313">
        <v>2897</v>
      </c>
      <c r="F313">
        <v>3880.6</v>
      </c>
      <c r="G313" s="4">
        <f t="shared" si="76"/>
        <v>3599</v>
      </c>
      <c r="H313" s="4">
        <f t="shared" si="77"/>
        <v>4392.3</v>
      </c>
      <c r="I313" s="61">
        <f t="shared" si="78"/>
        <v>-18.061152471370356</v>
      </c>
    </row>
    <row r="314" spans="1:10" x14ac:dyDescent="0.25">
      <c r="A314" s="117" t="s">
        <v>11</v>
      </c>
      <c r="B314" s="20">
        <f t="shared" si="72"/>
        <v>41025</v>
      </c>
      <c r="C314">
        <v>692.1</v>
      </c>
      <c r="D314">
        <v>561.1</v>
      </c>
      <c r="E314">
        <v>2962.2</v>
      </c>
      <c r="F314">
        <v>4045.5</v>
      </c>
      <c r="G314" s="4">
        <f t="shared" si="76"/>
        <v>3654.2999999999997</v>
      </c>
      <c r="H314" s="4">
        <f t="shared" si="77"/>
        <v>4606.6000000000004</v>
      </c>
      <c r="I314" s="61">
        <f t="shared" si="78"/>
        <v>-20.672513350410291</v>
      </c>
    </row>
    <row r="315" spans="1:10" x14ac:dyDescent="0.25">
      <c r="A315" s="117" t="s">
        <v>11</v>
      </c>
      <c r="B315" s="20">
        <f t="shared" si="72"/>
        <v>41032</v>
      </c>
      <c r="C315">
        <v>686</v>
      </c>
      <c r="D315">
        <v>671.1</v>
      </c>
      <c r="E315">
        <v>3029.7</v>
      </c>
      <c r="F315">
        <v>4045.6</v>
      </c>
      <c r="G315" s="4">
        <f t="shared" si="76"/>
        <v>3715.7</v>
      </c>
      <c r="H315" s="4">
        <f t="shared" si="77"/>
        <v>4716.7</v>
      </c>
      <c r="I315" s="61">
        <f t="shared" si="78"/>
        <v>-21.222464858905589</v>
      </c>
      <c r="J315">
        <v>116.7</v>
      </c>
    </row>
    <row r="316" spans="1:10" x14ac:dyDescent="0.25">
      <c r="A316" s="117" t="s">
        <v>11</v>
      </c>
      <c r="B316" s="20">
        <f t="shared" si="72"/>
        <v>41039</v>
      </c>
      <c r="C316">
        <v>699.5</v>
      </c>
      <c r="D316">
        <v>964.1</v>
      </c>
      <c r="E316">
        <v>3087.9</v>
      </c>
      <c r="F316">
        <v>4271.5</v>
      </c>
      <c r="G316" s="4">
        <f t="shared" si="76"/>
        <v>3787.4</v>
      </c>
      <c r="H316" s="4">
        <f t="shared" si="77"/>
        <v>5235.6000000000004</v>
      </c>
      <c r="I316" s="61">
        <f t="shared" si="78"/>
        <v>-27.660631064252428</v>
      </c>
      <c r="J316">
        <v>125.7</v>
      </c>
    </row>
    <row r="317" spans="1:10" x14ac:dyDescent="0.25">
      <c r="A317" s="117" t="s">
        <v>11</v>
      </c>
      <c r="B317" s="20">
        <f t="shared" si="72"/>
        <v>41046</v>
      </c>
      <c r="C317">
        <v>648.4</v>
      </c>
      <c r="D317">
        <v>914.3</v>
      </c>
      <c r="E317">
        <v>3138</v>
      </c>
      <c r="F317">
        <v>4392.3</v>
      </c>
      <c r="G317" s="4">
        <f t="shared" si="76"/>
        <v>3786.4</v>
      </c>
      <c r="H317" s="4">
        <f t="shared" si="77"/>
        <v>5306.6</v>
      </c>
      <c r="I317" s="61">
        <f t="shared" si="78"/>
        <v>-28.647344815889653</v>
      </c>
      <c r="J317">
        <v>181</v>
      </c>
    </row>
    <row r="318" spans="1:10" x14ac:dyDescent="0.25">
      <c r="A318" s="117" t="s">
        <v>11</v>
      </c>
      <c r="B318" s="20">
        <f t="shared" ref="B318:B381" si="79">+B317+7</f>
        <v>41053</v>
      </c>
      <c r="C318">
        <v>613.6</v>
      </c>
      <c r="D318">
        <v>858.4</v>
      </c>
      <c r="E318">
        <v>3177</v>
      </c>
      <c r="F318">
        <v>4508.8999999999996</v>
      </c>
      <c r="G318" s="4">
        <f t="shared" si="76"/>
        <v>3790.6</v>
      </c>
      <c r="H318" s="4">
        <f t="shared" si="77"/>
        <v>5367.2999999999993</v>
      </c>
      <c r="I318" s="61">
        <f t="shared" si="78"/>
        <v>-29.376036368378877</v>
      </c>
      <c r="J318">
        <v>181</v>
      </c>
    </row>
    <row r="319" spans="1:10" x14ac:dyDescent="0.25">
      <c r="A319" s="117" t="s">
        <v>11</v>
      </c>
      <c r="B319" s="20">
        <f t="shared" si="79"/>
        <v>41060</v>
      </c>
      <c r="C319">
        <v>544.5</v>
      </c>
      <c r="D319">
        <v>748.4</v>
      </c>
      <c r="E319">
        <v>3245.3</v>
      </c>
      <c r="F319">
        <v>4624.3999999999996</v>
      </c>
      <c r="G319" s="4">
        <f t="shared" si="76"/>
        <v>3789.8</v>
      </c>
      <c r="H319" s="4">
        <f t="shared" si="77"/>
        <v>5372.7999999999993</v>
      </c>
      <c r="I319" s="61">
        <f t="shared" si="78"/>
        <v>-29.463222156045255</v>
      </c>
      <c r="J319">
        <v>181</v>
      </c>
    </row>
    <row r="320" spans="1:10" x14ac:dyDescent="0.25">
      <c r="A320" s="117" t="s">
        <v>11</v>
      </c>
      <c r="B320" s="20">
        <f t="shared" si="79"/>
        <v>41067</v>
      </c>
      <c r="C320">
        <v>544.9</v>
      </c>
      <c r="D320">
        <v>750.6</v>
      </c>
      <c r="E320">
        <v>3245.6</v>
      </c>
      <c r="F320">
        <v>4676.7</v>
      </c>
      <c r="G320" s="4">
        <f t="shared" si="76"/>
        <v>3790.5</v>
      </c>
      <c r="H320" s="4">
        <f t="shared" si="77"/>
        <v>5427.3</v>
      </c>
      <c r="I320" s="61">
        <f t="shared" si="78"/>
        <v>-30.158642418882319</v>
      </c>
      <c r="J320">
        <v>181</v>
      </c>
    </row>
    <row r="321" spans="1:10" x14ac:dyDescent="0.25">
      <c r="A321" s="117" t="s">
        <v>11</v>
      </c>
      <c r="B321" s="20">
        <f t="shared" si="79"/>
        <v>41074</v>
      </c>
      <c r="C321">
        <v>483.5</v>
      </c>
      <c r="D321">
        <v>639.29999999999995</v>
      </c>
      <c r="E321">
        <v>3307</v>
      </c>
      <c r="F321">
        <v>4870.1000000000004</v>
      </c>
      <c r="G321" s="4">
        <f t="shared" si="76"/>
        <v>3790.5</v>
      </c>
      <c r="H321" s="4">
        <f t="shared" si="77"/>
        <v>5509.4000000000005</v>
      </c>
      <c r="I321" s="61">
        <f t="shared" si="78"/>
        <v>-31.199404653864317</v>
      </c>
      <c r="J321">
        <v>240</v>
      </c>
    </row>
    <row r="322" spans="1:10" x14ac:dyDescent="0.25">
      <c r="A322" s="117" t="s">
        <v>11</v>
      </c>
      <c r="B322" s="20">
        <f t="shared" si="79"/>
        <v>41081</v>
      </c>
      <c r="C322">
        <v>483.3</v>
      </c>
      <c r="D322">
        <v>694.3</v>
      </c>
      <c r="E322">
        <v>3307.3</v>
      </c>
      <c r="F322">
        <v>4922.6000000000004</v>
      </c>
      <c r="G322" s="4">
        <f t="shared" si="76"/>
        <v>3790.6000000000004</v>
      </c>
      <c r="H322" s="4">
        <f t="shared" si="77"/>
        <v>5616.9000000000005</v>
      </c>
      <c r="I322" s="61">
        <f t="shared" si="78"/>
        <v>-32.514376257366159</v>
      </c>
      <c r="J322">
        <v>240</v>
      </c>
    </row>
    <row r="323" spans="1:10" x14ac:dyDescent="0.25">
      <c r="A323" s="117" t="s">
        <v>11</v>
      </c>
      <c r="B323" s="20">
        <f t="shared" si="79"/>
        <v>41088</v>
      </c>
      <c r="C323">
        <v>364.2</v>
      </c>
      <c r="D323">
        <v>584.4</v>
      </c>
      <c r="E323">
        <v>3371.4</v>
      </c>
      <c r="F323">
        <v>5038.2</v>
      </c>
      <c r="G323" s="4">
        <f t="shared" si="76"/>
        <v>3735.6</v>
      </c>
      <c r="H323" s="4">
        <f t="shared" si="77"/>
        <v>5622.5999999999995</v>
      </c>
      <c r="I323" s="61">
        <f t="shared" si="78"/>
        <v>-33.560986020702167</v>
      </c>
      <c r="J323">
        <v>240</v>
      </c>
    </row>
    <row r="324" spans="1:10" x14ac:dyDescent="0.25">
      <c r="A324" s="117" t="s">
        <v>11</v>
      </c>
      <c r="B324" s="20">
        <f t="shared" si="79"/>
        <v>41095</v>
      </c>
      <c r="C324">
        <v>236.7</v>
      </c>
      <c r="D324">
        <v>585.29999999999995</v>
      </c>
      <c r="E324">
        <v>3501.4</v>
      </c>
      <c r="F324">
        <v>5153.7</v>
      </c>
      <c r="G324" s="4">
        <f t="shared" si="76"/>
        <v>3738.1</v>
      </c>
      <c r="H324" s="4">
        <f t="shared" si="77"/>
        <v>5739</v>
      </c>
      <c r="I324" s="61">
        <f t="shared" si="78"/>
        <v>-34.864959052099678</v>
      </c>
      <c r="J324">
        <v>306</v>
      </c>
    </row>
    <row r="325" spans="1:10" x14ac:dyDescent="0.25">
      <c r="A325" s="117" t="s">
        <v>11</v>
      </c>
      <c r="B325" s="20">
        <f t="shared" si="79"/>
        <v>41102</v>
      </c>
      <c r="C325">
        <v>162.6</v>
      </c>
      <c r="D325">
        <v>376.3</v>
      </c>
      <c r="E325">
        <v>3575.6</v>
      </c>
      <c r="F325">
        <v>5428.8</v>
      </c>
      <c r="G325" s="4">
        <f t="shared" si="76"/>
        <v>3738.2</v>
      </c>
      <c r="H325" s="4">
        <f t="shared" si="77"/>
        <v>5805.1</v>
      </c>
      <c r="I325" s="61">
        <f t="shared" si="78"/>
        <v>-35.604899140411028</v>
      </c>
      <c r="J325">
        <v>306</v>
      </c>
    </row>
    <row r="326" spans="1:10" x14ac:dyDescent="0.25">
      <c r="A326" s="117" t="s">
        <v>11</v>
      </c>
      <c r="B326" s="20">
        <f t="shared" si="79"/>
        <v>41109</v>
      </c>
      <c r="C326">
        <v>163</v>
      </c>
      <c r="D326">
        <v>517.5</v>
      </c>
      <c r="E326">
        <v>3575.6</v>
      </c>
      <c r="F326">
        <v>5485.3</v>
      </c>
      <c r="G326" s="4">
        <f t="shared" si="76"/>
        <v>3738.6</v>
      </c>
      <c r="H326" s="4">
        <f t="shared" si="77"/>
        <v>6002.8</v>
      </c>
      <c r="I326" s="61">
        <f t="shared" si="78"/>
        <v>-37.719064436596263</v>
      </c>
      <c r="J326">
        <v>306</v>
      </c>
    </row>
    <row r="327" spans="1:10" x14ac:dyDescent="0.25">
      <c r="A327" s="117" t="s">
        <v>11</v>
      </c>
      <c r="B327" s="20">
        <f t="shared" si="79"/>
        <v>41116</v>
      </c>
      <c r="C327">
        <v>163</v>
      </c>
      <c r="D327">
        <v>517.1</v>
      </c>
      <c r="E327">
        <v>3575.7</v>
      </c>
      <c r="F327">
        <v>5485.7</v>
      </c>
      <c r="G327" s="4">
        <f t="shared" si="76"/>
        <v>3738.7</v>
      </c>
      <c r="H327" s="4">
        <f t="shared" si="77"/>
        <v>6002.8</v>
      </c>
      <c r="I327" s="61">
        <f t="shared" si="78"/>
        <v>-37.71739854734458</v>
      </c>
      <c r="J327">
        <v>306</v>
      </c>
    </row>
    <row r="328" spans="1:10" x14ac:dyDescent="0.25">
      <c r="A328" s="117" t="s">
        <v>11</v>
      </c>
      <c r="B328" s="20">
        <f t="shared" si="79"/>
        <v>41123</v>
      </c>
      <c r="C328">
        <v>162.5</v>
      </c>
      <c r="D328">
        <v>418</v>
      </c>
      <c r="E328">
        <v>3576.2</v>
      </c>
      <c r="F328">
        <v>5693.5</v>
      </c>
      <c r="G328" s="4">
        <f t="shared" si="76"/>
        <v>3738.7</v>
      </c>
      <c r="H328" s="4">
        <f t="shared" si="77"/>
        <v>6111.5</v>
      </c>
      <c r="I328" s="61">
        <f t="shared" si="78"/>
        <v>-38.825165671275464</v>
      </c>
      <c r="J328">
        <v>306</v>
      </c>
    </row>
    <row r="329" spans="1:10" x14ac:dyDescent="0.25">
      <c r="A329" s="117" t="s">
        <v>11</v>
      </c>
      <c r="B329" s="20">
        <f t="shared" si="79"/>
        <v>41130</v>
      </c>
      <c r="C329">
        <v>162.30000000000001</v>
      </c>
      <c r="D329">
        <v>334.5</v>
      </c>
      <c r="E329">
        <v>3576.7</v>
      </c>
      <c r="F329">
        <v>5765.3</v>
      </c>
      <c r="G329" s="4">
        <f t="shared" si="76"/>
        <v>3739</v>
      </c>
      <c r="H329" s="4">
        <f t="shared" si="77"/>
        <v>6099.8</v>
      </c>
      <c r="I329" s="61">
        <f t="shared" si="78"/>
        <v>-38.702908292075158</v>
      </c>
      <c r="J329">
        <v>306</v>
      </c>
    </row>
    <row r="330" spans="1:10" x14ac:dyDescent="0.25">
      <c r="A330" s="117" t="s">
        <v>11</v>
      </c>
      <c r="B330" s="20">
        <f t="shared" si="79"/>
        <v>41137</v>
      </c>
      <c r="C330">
        <v>104.1</v>
      </c>
      <c r="D330">
        <v>168.2</v>
      </c>
      <c r="E330">
        <v>3634.7</v>
      </c>
      <c r="F330">
        <v>5941.4</v>
      </c>
      <c r="G330" s="4">
        <f t="shared" si="76"/>
        <v>3738.7999999999997</v>
      </c>
      <c r="H330" s="4">
        <f t="shared" si="77"/>
        <v>6109.5999999999995</v>
      </c>
      <c r="I330" s="61">
        <f t="shared" si="78"/>
        <v>-38.804504386539222</v>
      </c>
      <c r="J330">
        <v>250</v>
      </c>
    </row>
    <row r="331" spans="1:10" x14ac:dyDescent="0.25">
      <c r="A331" s="117" t="s">
        <v>11</v>
      </c>
      <c r="B331" s="20">
        <f t="shared" si="79"/>
        <v>41144</v>
      </c>
      <c r="C331">
        <v>64.2</v>
      </c>
      <c r="D331">
        <v>125.7</v>
      </c>
      <c r="E331">
        <v>3634.9</v>
      </c>
      <c r="F331">
        <v>6046.7</v>
      </c>
      <c r="G331" s="4">
        <f t="shared" si="76"/>
        <v>3699.1</v>
      </c>
      <c r="H331" s="4">
        <f t="shared" si="77"/>
        <v>6172.4</v>
      </c>
      <c r="I331" s="61">
        <f t="shared" si="78"/>
        <v>-40.070313006286042</v>
      </c>
      <c r="J331">
        <v>250</v>
      </c>
    </row>
    <row r="332" spans="1:10" x14ac:dyDescent="0.25">
      <c r="A332" s="117" t="s">
        <v>11</v>
      </c>
      <c r="B332" s="20">
        <f t="shared" si="79"/>
        <v>41151</v>
      </c>
      <c r="C332">
        <v>3.5</v>
      </c>
      <c r="D332">
        <v>517.70000000000005</v>
      </c>
      <c r="E332">
        <v>3635.2</v>
      </c>
      <c r="F332">
        <v>71.2</v>
      </c>
      <c r="G332" s="4">
        <f t="shared" si="76"/>
        <v>3638.7</v>
      </c>
      <c r="H332" s="4">
        <f t="shared" si="77"/>
        <v>588.90000000000009</v>
      </c>
      <c r="I332" s="61">
        <f t="shared" si="78"/>
        <v>517.88079470198659</v>
      </c>
      <c r="J332">
        <v>250.1</v>
      </c>
    </row>
    <row r="333" spans="1:10" x14ac:dyDescent="0.25">
      <c r="A333" s="117" t="s">
        <v>11</v>
      </c>
      <c r="B333" s="20">
        <f t="shared" si="79"/>
        <v>41158</v>
      </c>
      <c r="C333">
        <v>293.5</v>
      </c>
      <c r="D333">
        <v>517.70000000000005</v>
      </c>
      <c r="E333">
        <v>57.5</v>
      </c>
      <c r="F333">
        <v>71.2</v>
      </c>
      <c r="G333" s="4">
        <f t="shared" si="76"/>
        <v>351</v>
      </c>
      <c r="H333" s="4">
        <f t="shared" si="77"/>
        <v>588.90000000000009</v>
      </c>
      <c r="I333" s="61">
        <f t="shared" si="78"/>
        <v>-40.397350993377486</v>
      </c>
    </row>
    <row r="334" spans="1:10" x14ac:dyDescent="0.25">
      <c r="A334" s="117" t="s">
        <v>11</v>
      </c>
      <c r="B334" s="20">
        <f t="shared" si="79"/>
        <v>41165</v>
      </c>
      <c r="C334">
        <v>293.7</v>
      </c>
      <c r="D334">
        <v>608.5</v>
      </c>
      <c r="E334">
        <v>57.6</v>
      </c>
      <c r="F334">
        <v>247.2</v>
      </c>
      <c r="G334" s="4">
        <f t="shared" si="76"/>
        <v>351.3</v>
      </c>
      <c r="H334" s="4">
        <f t="shared" si="77"/>
        <v>855.7</v>
      </c>
      <c r="I334" s="61">
        <f t="shared" si="78"/>
        <v>-58.945892251957453</v>
      </c>
    </row>
    <row r="335" spans="1:10" x14ac:dyDescent="0.25">
      <c r="A335" s="117" t="s">
        <v>11</v>
      </c>
      <c r="B335" s="20">
        <f t="shared" si="79"/>
        <v>41172</v>
      </c>
      <c r="C335">
        <v>236.3</v>
      </c>
      <c r="D335">
        <v>568</v>
      </c>
      <c r="E335">
        <v>112.7</v>
      </c>
      <c r="F335">
        <v>419.7</v>
      </c>
      <c r="G335" s="4">
        <f t="shared" si="76"/>
        <v>349</v>
      </c>
      <c r="H335" s="4">
        <f t="shared" si="77"/>
        <v>987.7</v>
      </c>
      <c r="I335" s="61">
        <f t="shared" si="78"/>
        <v>-64.665384225979551</v>
      </c>
    </row>
    <row r="336" spans="1:10" x14ac:dyDescent="0.25">
      <c r="A336" s="117" t="s">
        <v>11</v>
      </c>
      <c r="B336" s="20">
        <f t="shared" si="79"/>
        <v>41179</v>
      </c>
      <c r="C336">
        <v>200</v>
      </c>
      <c r="D336">
        <v>874</v>
      </c>
      <c r="E336">
        <v>154.69999999999999</v>
      </c>
      <c r="F336">
        <v>532</v>
      </c>
      <c r="G336" s="4">
        <f t="shared" si="76"/>
        <v>354.7</v>
      </c>
      <c r="H336" s="4">
        <f t="shared" si="77"/>
        <v>1406</v>
      </c>
      <c r="I336" s="61">
        <f t="shared" si="78"/>
        <v>-74.7724039829303</v>
      </c>
    </row>
    <row r="337" spans="1:9" x14ac:dyDescent="0.25">
      <c r="A337" s="117" t="s">
        <v>11</v>
      </c>
      <c r="B337" s="20">
        <f t="shared" si="79"/>
        <v>41186</v>
      </c>
      <c r="C337">
        <v>190.2</v>
      </c>
      <c r="D337">
        <v>819.2</v>
      </c>
      <c r="E337">
        <v>163.6</v>
      </c>
      <c r="F337">
        <v>705.3</v>
      </c>
      <c r="G337" s="4">
        <f t="shared" si="76"/>
        <v>353.79999999999995</v>
      </c>
      <c r="H337" s="4">
        <f t="shared" si="77"/>
        <v>1524.5</v>
      </c>
      <c r="I337" s="61">
        <f t="shared" si="78"/>
        <v>-76.792390947851757</v>
      </c>
    </row>
    <row r="338" spans="1:9" x14ac:dyDescent="0.25">
      <c r="A338" s="117" t="s">
        <v>11</v>
      </c>
      <c r="B338" s="20">
        <f t="shared" si="79"/>
        <v>41193</v>
      </c>
      <c r="C338">
        <v>190.2</v>
      </c>
      <c r="D338">
        <v>919.9</v>
      </c>
      <c r="E338">
        <v>163.6</v>
      </c>
      <c r="F338">
        <v>763.1</v>
      </c>
      <c r="G338" s="4">
        <f t="shared" si="76"/>
        <v>353.79999999999995</v>
      </c>
      <c r="H338" s="4">
        <f t="shared" si="77"/>
        <v>1683</v>
      </c>
      <c r="I338" s="61">
        <f t="shared" si="78"/>
        <v>-78.978015448603685</v>
      </c>
    </row>
    <row r="339" spans="1:9" x14ac:dyDescent="0.25">
      <c r="A339" s="117" t="s">
        <v>11</v>
      </c>
      <c r="B339" s="20">
        <f t="shared" si="79"/>
        <v>41200</v>
      </c>
      <c r="C339">
        <v>195</v>
      </c>
      <c r="D339">
        <v>806.4</v>
      </c>
      <c r="E339">
        <v>220.8</v>
      </c>
      <c r="F339">
        <v>877.7</v>
      </c>
      <c r="G339" s="4">
        <f t="shared" si="76"/>
        <v>415.8</v>
      </c>
      <c r="H339" s="4">
        <f t="shared" si="77"/>
        <v>1684.1</v>
      </c>
      <c r="I339" s="61">
        <f t="shared" si="78"/>
        <v>-75.310254735467026</v>
      </c>
    </row>
    <row r="340" spans="1:9" x14ac:dyDescent="0.25">
      <c r="A340" s="117" t="s">
        <v>11</v>
      </c>
      <c r="B340" s="20">
        <f t="shared" si="79"/>
        <v>41207</v>
      </c>
      <c r="C340">
        <v>195.1</v>
      </c>
      <c r="D340">
        <v>924.5</v>
      </c>
      <c r="E340">
        <v>221</v>
      </c>
      <c r="F340">
        <v>878.4</v>
      </c>
      <c r="G340" s="4">
        <f t="shared" ref="G340:G403" si="80">+C340+E340</f>
        <v>416.1</v>
      </c>
      <c r="H340" s="4">
        <f t="shared" ref="H340:H403" si="81">+D340+F340</f>
        <v>1802.9</v>
      </c>
      <c r="I340" s="61">
        <f t="shared" ref="I340:I403" si="82">+(G340/H340-1)*100</f>
        <v>-76.92051694492207</v>
      </c>
    </row>
    <row r="341" spans="1:9" x14ac:dyDescent="0.25">
      <c r="A341" s="117" t="s">
        <v>11</v>
      </c>
      <c r="B341" s="20">
        <f t="shared" si="79"/>
        <v>41214</v>
      </c>
      <c r="C341">
        <v>135</v>
      </c>
      <c r="D341">
        <v>885.4</v>
      </c>
      <c r="E341">
        <v>281</v>
      </c>
      <c r="F341">
        <v>936.1</v>
      </c>
      <c r="G341" s="4">
        <f t="shared" si="80"/>
        <v>416</v>
      </c>
      <c r="H341" s="4">
        <f t="shared" si="81"/>
        <v>1821.5</v>
      </c>
      <c r="I341" s="61">
        <f t="shared" si="82"/>
        <v>-77.16167993412023</v>
      </c>
    </row>
    <row r="342" spans="1:9" x14ac:dyDescent="0.25">
      <c r="A342" s="117" t="s">
        <v>11</v>
      </c>
      <c r="B342" s="20">
        <f t="shared" si="79"/>
        <v>41221</v>
      </c>
      <c r="C342">
        <v>135.5</v>
      </c>
      <c r="D342">
        <v>940.5</v>
      </c>
      <c r="E342">
        <v>281.3</v>
      </c>
      <c r="F342">
        <v>1051.0999999999999</v>
      </c>
      <c r="G342" s="4">
        <f t="shared" si="80"/>
        <v>416.8</v>
      </c>
      <c r="H342" s="4">
        <f t="shared" si="81"/>
        <v>1991.6</v>
      </c>
      <c r="I342" s="61">
        <f t="shared" si="82"/>
        <v>-79.072102831893957</v>
      </c>
    </row>
    <row r="343" spans="1:9" x14ac:dyDescent="0.25">
      <c r="A343" s="117" t="s">
        <v>11</v>
      </c>
      <c r="B343" s="20">
        <f t="shared" si="79"/>
        <v>41228</v>
      </c>
      <c r="C343">
        <v>71.3</v>
      </c>
      <c r="D343">
        <v>1015.7</v>
      </c>
      <c r="E343">
        <v>347</v>
      </c>
      <c r="F343">
        <v>1051.0999999999999</v>
      </c>
      <c r="G343" s="4">
        <f t="shared" si="80"/>
        <v>418.3</v>
      </c>
      <c r="H343" s="4">
        <f t="shared" si="81"/>
        <v>2066.8000000000002</v>
      </c>
      <c r="I343" s="61">
        <f t="shared" si="82"/>
        <v>-79.760983162376618</v>
      </c>
    </row>
    <row r="344" spans="1:9" x14ac:dyDescent="0.25">
      <c r="A344" s="117" t="s">
        <v>11</v>
      </c>
      <c r="B344" s="20">
        <f t="shared" si="79"/>
        <v>41235</v>
      </c>
      <c r="C344">
        <v>71.3</v>
      </c>
      <c r="D344">
        <v>1030.5</v>
      </c>
      <c r="E344">
        <v>347</v>
      </c>
      <c r="F344">
        <v>1167.8</v>
      </c>
      <c r="G344" s="4">
        <f t="shared" si="80"/>
        <v>418.3</v>
      </c>
      <c r="H344" s="4">
        <f t="shared" si="81"/>
        <v>2198.3000000000002</v>
      </c>
      <c r="I344" s="61">
        <f t="shared" si="82"/>
        <v>-80.97165991902834</v>
      </c>
    </row>
    <row r="345" spans="1:9" x14ac:dyDescent="0.25">
      <c r="A345" s="117" t="s">
        <v>11</v>
      </c>
      <c r="B345" s="20">
        <f t="shared" si="79"/>
        <v>41242</v>
      </c>
      <c r="C345">
        <v>73.8</v>
      </c>
      <c r="D345">
        <v>919.6</v>
      </c>
      <c r="E345">
        <v>347.3</v>
      </c>
      <c r="F345">
        <v>1283.3</v>
      </c>
      <c r="G345" s="4">
        <f t="shared" si="80"/>
        <v>421.1</v>
      </c>
      <c r="H345" s="4">
        <f t="shared" si="81"/>
        <v>2202.9</v>
      </c>
      <c r="I345" s="61">
        <f t="shared" si="82"/>
        <v>-80.884288891915205</v>
      </c>
    </row>
    <row r="346" spans="1:9" x14ac:dyDescent="0.25">
      <c r="A346" s="117" t="s">
        <v>11</v>
      </c>
      <c r="B346" s="20">
        <f t="shared" si="79"/>
        <v>41249</v>
      </c>
      <c r="C346">
        <v>72.8</v>
      </c>
      <c r="D346">
        <v>752.9</v>
      </c>
      <c r="E346">
        <v>348.4</v>
      </c>
      <c r="F346">
        <v>1455.4</v>
      </c>
      <c r="G346" s="4">
        <f t="shared" si="80"/>
        <v>421.2</v>
      </c>
      <c r="H346" s="4">
        <f t="shared" si="81"/>
        <v>2208.3000000000002</v>
      </c>
      <c r="I346" s="61">
        <f t="shared" si="82"/>
        <v>-80.926504551012087</v>
      </c>
    </row>
    <row r="347" spans="1:9" x14ac:dyDescent="0.25">
      <c r="A347" s="117" t="s">
        <v>11</v>
      </c>
      <c r="B347" s="20">
        <f t="shared" si="79"/>
        <v>41256</v>
      </c>
      <c r="C347">
        <v>72.400000000000006</v>
      </c>
      <c r="D347">
        <v>813</v>
      </c>
      <c r="E347">
        <v>348.7</v>
      </c>
      <c r="F347">
        <v>1594.2</v>
      </c>
      <c r="G347" s="4">
        <f t="shared" si="80"/>
        <v>421.1</v>
      </c>
      <c r="H347" s="4">
        <f t="shared" si="81"/>
        <v>2407.1999999999998</v>
      </c>
      <c r="I347" s="61">
        <f t="shared" si="82"/>
        <v>-82.506646726487205</v>
      </c>
    </row>
    <row r="348" spans="1:9" x14ac:dyDescent="0.25">
      <c r="A348" s="117" t="s">
        <v>11</v>
      </c>
      <c r="B348" s="20">
        <f t="shared" si="79"/>
        <v>41263</v>
      </c>
      <c r="C348">
        <v>72.900000000000006</v>
      </c>
      <c r="D348">
        <v>635.1</v>
      </c>
      <c r="E348">
        <v>348.7</v>
      </c>
      <c r="F348">
        <v>1769.1</v>
      </c>
      <c r="G348" s="4">
        <f t="shared" si="80"/>
        <v>421.6</v>
      </c>
      <c r="H348" s="4">
        <f t="shared" si="81"/>
        <v>2404.1999999999998</v>
      </c>
      <c r="I348" s="61">
        <f t="shared" si="82"/>
        <v>-82.464021296065212</v>
      </c>
    </row>
    <row r="349" spans="1:9" x14ac:dyDescent="0.25">
      <c r="A349" s="117" t="s">
        <v>11</v>
      </c>
      <c r="B349" s="20">
        <f t="shared" si="79"/>
        <v>41270</v>
      </c>
      <c r="C349">
        <v>72.8</v>
      </c>
      <c r="D349">
        <v>635.4</v>
      </c>
      <c r="E349">
        <v>348.8</v>
      </c>
      <c r="F349">
        <v>1769.1</v>
      </c>
      <c r="G349" s="4">
        <f t="shared" si="80"/>
        <v>421.6</v>
      </c>
      <c r="H349" s="4">
        <f t="shared" si="81"/>
        <v>2404.5</v>
      </c>
      <c r="I349" s="61">
        <f t="shared" si="82"/>
        <v>-82.46620919110002</v>
      </c>
    </row>
    <row r="350" spans="1:9" x14ac:dyDescent="0.25">
      <c r="A350" s="117" t="s">
        <v>11</v>
      </c>
      <c r="B350" s="20">
        <f t="shared" si="79"/>
        <v>41277</v>
      </c>
      <c r="C350">
        <v>72.8</v>
      </c>
      <c r="D350">
        <v>568.20000000000005</v>
      </c>
      <c r="E350">
        <v>348.8</v>
      </c>
      <c r="F350">
        <v>1835.1</v>
      </c>
      <c r="G350" s="4">
        <f t="shared" si="80"/>
        <v>421.6</v>
      </c>
      <c r="H350" s="4">
        <f t="shared" si="81"/>
        <v>2403.3000000000002</v>
      </c>
      <c r="I350" s="61">
        <f t="shared" si="82"/>
        <v>-82.457454333624597</v>
      </c>
    </row>
    <row r="351" spans="1:9" x14ac:dyDescent="0.25">
      <c r="A351" s="117" t="s">
        <v>11</v>
      </c>
      <c r="B351" s="20">
        <f t="shared" si="79"/>
        <v>41284</v>
      </c>
      <c r="C351">
        <v>72.599999999999994</v>
      </c>
      <c r="D351">
        <v>689</v>
      </c>
      <c r="E351">
        <v>349</v>
      </c>
      <c r="F351">
        <v>1903.6</v>
      </c>
      <c r="G351" s="4">
        <f t="shared" si="80"/>
        <v>421.6</v>
      </c>
      <c r="H351" s="4">
        <f t="shared" si="81"/>
        <v>2592.6</v>
      </c>
      <c r="I351" s="61">
        <f t="shared" si="82"/>
        <v>-83.738332176193779</v>
      </c>
    </row>
    <row r="352" spans="1:9" x14ac:dyDescent="0.25">
      <c r="A352" s="117" t="s">
        <v>11</v>
      </c>
      <c r="B352" s="20">
        <f t="shared" si="79"/>
        <v>41291</v>
      </c>
      <c r="C352">
        <v>72.099999999999994</v>
      </c>
      <c r="D352">
        <v>748.9</v>
      </c>
      <c r="E352">
        <v>349.6</v>
      </c>
      <c r="F352">
        <v>2030.2</v>
      </c>
      <c r="G352" s="4">
        <f t="shared" si="80"/>
        <v>421.70000000000005</v>
      </c>
      <c r="H352" s="4">
        <f t="shared" si="81"/>
        <v>2779.1</v>
      </c>
      <c r="I352" s="61">
        <f t="shared" si="82"/>
        <v>-84.826022813140938</v>
      </c>
    </row>
    <row r="353" spans="1:10" x14ac:dyDescent="0.25">
      <c r="A353" s="117" t="s">
        <v>11</v>
      </c>
      <c r="B353" s="20">
        <f t="shared" si="79"/>
        <v>41298</v>
      </c>
      <c r="C353">
        <v>71.8</v>
      </c>
      <c r="D353">
        <v>689.5</v>
      </c>
      <c r="E353">
        <v>349.9</v>
      </c>
      <c r="F353">
        <v>2119.9</v>
      </c>
      <c r="G353" s="4">
        <f t="shared" si="80"/>
        <v>421.7</v>
      </c>
      <c r="H353" s="4">
        <f t="shared" si="81"/>
        <v>2809.4</v>
      </c>
      <c r="I353" s="61">
        <f t="shared" si="82"/>
        <v>-84.989677511212363</v>
      </c>
    </row>
    <row r="354" spans="1:10" x14ac:dyDescent="0.25">
      <c r="A354" s="117" t="s">
        <v>11</v>
      </c>
      <c r="B354" s="20">
        <f t="shared" si="79"/>
        <v>41305</v>
      </c>
      <c r="C354">
        <v>8.6</v>
      </c>
      <c r="D354">
        <v>667.9</v>
      </c>
      <c r="E354">
        <v>350.2</v>
      </c>
      <c r="F354">
        <v>2196.5</v>
      </c>
      <c r="G354" s="4">
        <f t="shared" si="80"/>
        <v>358.8</v>
      </c>
      <c r="H354" s="4">
        <f t="shared" si="81"/>
        <v>2864.4</v>
      </c>
      <c r="I354" s="61">
        <f t="shared" si="82"/>
        <v>-87.47381650607457</v>
      </c>
    </row>
    <row r="355" spans="1:10" x14ac:dyDescent="0.25">
      <c r="A355" s="117" t="s">
        <v>11</v>
      </c>
      <c r="B355" s="20">
        <f t="shared" si="79"/>
        <v>41312</v>
      </c>
      <c r="C355">
        <v>9.1</v>
      </c>
      <c r="D355">
        <v>644.70000000000005</v>
      </c>
      <c r="E355">
        <v>350.7</v>
      </c>
      <c r="F355">
        <v>2269.1</v>
      </c>
      <c r="G355" s="4">
        <f t="shared" si="80"/>
        <v>359.8</v>
      </c>
      <c r="H355" s="4">
        <f t="shared" si="81"/>
        <v>2913.8</v>
      </c>
      <c r="I355" s="61">
        <f t="shared" si="82"/>
        <v>-87.651863545885107</v>
      </c>
    </row>
    <row r="356" spans="1:10" x14ac:dyDescent="0.25">
      <c r="A356" s="117" t="s">
        <v>11</v>
      </c>
      <c r="B356" s="20">
        <f t="shared" si="79"/>
        <v>41319</v>
      </c>
      <c r="C356">
        <v>8.9</v>
      </c>
      <c r="D356">
        <v>949.8</v>
      </c>
      <c r="E356">
        <v>350.8</v>
      </c>
      <c r="F356">
        <v>2269.3000000000002</v>
      </c>
      <c r="G356" s="4">
        <f t="shared" si="80"/>
        <v>359.7</v>
      </c>
      <c r="H356" s="4">
        <f t="shared" si="81"/>
        <v>3219.1000000000004</v>
      </c>
      <c r="I356" s="61">
        <f t="shared" si="82"/>
        <v>-88.826069398279031</v>
      </c>
    </row>
    <row r="357" spans="1:10" x14ac:dyDescent="0.25">
      <c r="A357" s="117" t="s">
        <v>11</v>
      </c>
      <c r="B357" s="20">
        <f t="shared" si="79"/>
        <v>41326</v>
      </c>
      <c r="C357">
        <v>8.6999999999999993</v>
      </c>
      <c r="D357">
        <v>894.3</v>
      </c>
      <c r="E357">
        <v>351.3</v>
      </c>
      <c r="F357">
        <v>2359.1999999999998</v>
      </c>
      <c r="G357" s="4">
        <f t="shared" si="80"/>
        <v>360</v>
      </c>
      <c r="H357" s="4">
        <f t="shared" si="81"/>
        <v>3253.5</v>
      </c>
      <c r="I357" s="61">
        <f t="shared" si="82"/>
        <v>-88.934993084370674</v>
      </c>
    </row>
    <row r="358" spans="1:10" x14ac:dyDescent="0.25">
      <c r="A358" s="117" t="s">
        <v>11</v>
      </c>
      <c r="B358" s="20">
        <f t="shared" si="79"/>
        <v>41333</v>
      </c>
      <c r="C358">
        <v>7.7</v>
      </c>
      <c r="D358">
        <v>825.2</v>
      </c>
      <c r="E358">
        <v>352.3</v>
      </c>
      <c r="F358">
        <v>2424.5</v>
      </c>
      <c r="G358" s="4">
        <f t="shared" si="80"/>
        <v>360</v>
      </c>
      <c r="H358" s="4">
        <f t="shared" si="81"/>
        <v>3249.7</v>
      </c>
      <c r="I358" s="61">
        <f t="shared" si="82"/>
        <v>-88.922054343477868</v>
      </c>
    </row>
    <row r="359" spans="1:10" x14ac:dyDescent="0.25">
      <c r="A359" s="117" t="s">
        <v>11</v>
      </c>
      <c r="B359" s="20">
        <f t="shared" si="79"/>
        <v>41340</v>
      </c>
      <c r="C359">
        <v>7.6</v>
      </c>
      <c r="D359">
        <v>950</v>
      </c>
      <c r="E359">
        <v>352.4</v>
      </c>
      <c r="F359">
        <v>2426.1</v>
      </c>
      <c r="G359" s="4">
        <f t="shared" si="80"/>
        <v>360</v>
      </c>
      <c r="H359" s="4">
        <f t="shared" si="81"/>
        <v>3376.1</v>
      </c>
      <c r="I359" s="61">
        <f t="shared" si="82"/>
        <v>-89.336808743816832</v>
      </c>
    </row>
    <row r="360" spans="1:10" x14ac:dyDescent="0.25">
      <c r="A360" s="117" t="s">
        <v>11</v>
      </c>
      <c r="B360" s="20">
        <f t="shared" si="79"/>
        <v>41347</v>
      </c>
      <c r="C360">
        <v>5.6</v>
      </c>
      <c r="D360">
        <v>949.3</v>
      </c>
      <c r="E360">
        <v>352.5</v>
      </c>
      <c r="F360">
        <v>2427</v>
      </c>
      <c r="G360" s="4">
        <f t="shared" si="80"/>
        <v>358.1</v>
      </c>
      <c r="H360" s="4">
        <f t="shared" si="81"/>
        <v>3376.3</v>
      </c>
      <c r="I360" s="61">
        <f t="shared" si="82"/>
        <v>-89.393715013476296</v>
      </c>
      <c r="J360">
        <v>1.9</v>
      </c>
    </row>
    <row r="361" spans="1:10" x14ac:dyDescent="0.25">
      <c r="A361" s="117" t="s">
        <v>11</v>
      </c>
      <c r="B361" s="20">
        <f t="shared" si="79"/>
        <v>41354</v>
      </c>
      <c r="C361">
        <v>5.2</v>
      </c>
      <c r="D361">
        <v>839</v>
      </c>
      <c r="E361">
        <v>353</v>
      </c>
      <c r="F361">
        <v>2542.6999999999998</v>
      </c>
      <c r="G361" s="4">
        <f t="shared" si="80"/>
        <v>358.2</v>
      </c>
      <c r="H361" s="4">
        <f t="shared" si="81"/>
        <v>3381.7</v>
      </c>
      <c r="I361" s="61">
        <f t="shared" si="82"/>
        <v>-89.407694354910248</v>
      </c>
      <c r="J361">
        <v>1.9</v>
      </c>
    </row>
    <row r="362" spans="1:10" x14ac:dyDescent="0.25">
      <c r="A362" s="117" t="s">
        <v>11</v>
      </c>
      <c r="B362" s="20">
        <f t="shared" si="79"/>
        <v>41361</v>
      </c>
      <c r="C362">
        <v>5.3</v>
      </c>
      <c r="D362">
        <v>742.7</v>
      </c>
      <c r="E362">
        <v>353</v>
      </c>
      <c r="F362">
        <v>2672.6</v>
      </c>
      <c r="G362" s="4">
        <f t="shared" si="80"/>
        <v>358.3</v>
      </c>
      <c r="H362" s="4">
        <f t="shared" si="81"/>
        <v>3415.3</v>
      </c>
      <c r="I362" s="61">
        <f t="shared" si="82"/>
        <v>-89.5089743214359</v>
      </c>
      <c r="J362">
        <v>1.9</v>
      </c>
    </row>
    <row r="363" spans="1:10" x14ac:dyDescent="0.25">
      <c r="A363" s="117" t="s">
        <v>11</v>
      </c>
      <c r="B363" s="20">
        <f t="shared" si="79"/>
        <v>41368</v>
      </c>
      <c r="C363">
        <v>5.9</v>
      </c>
      <c r="D363">
        <v>760.1</v>
      </c>
      <c r="E363">
        <v>353</v>
      </c>
      <c r="F363">
        <v>2780.3</v>
      </c>
      <c r="G363" s="4">
        <f t="shared" si="80"/>
        <v>358.9</v>
      </c>
      <c r="H363" s="4">
        <f t="shared" si="81"/>
        <v>3540.4</v>
      </c>
      <c r="I363" s="61">
        <f t="shared" si="82"/>
        <v>-89.8627273754378</v>
      </c>
      <c r="J363">
        <v>1.9</v>
      </c>
    </row>
    <row r="364" spans="1:10" x14ac:dyDescent="0.25">
      <c r="A364" s="117" t="s">
        <v>11</v>
      </c>
      <c r="B364" s="20">
        <f t="shared" si="79"/>
        <v>41375</v>
      </c>
      <c r="C364">
        <v>5.7</v>
      </c>
      <c r="D364">
        <v>639</v>
      </c>
      <c r="E364">
        <v>353.2</v>
      </c>
      <c r="F364">
        <v>2896.8</v>
      </c>
      <c r="G364" s="4">
        <f t="shared" si="80"/>
        <v>358.9</v>
      </c>
      <c r="H364" s="4">
        <f t="shared" si="81"/>
        <v>3535.8</v>
      </c>
      <c r="I364" s="61">
        <f t="shared" si="82"/>
        <v>-89.849539001074717</v>
      </c>
      <c r="J364">
        <v>1.9</v>
      </c>
    </row>
    <row r="365" spans="1:10" x14ac:dyDescent="0.25">
      <c r="A365" s="117" t="s">
        <v>11</v>
      </c>
      <c r="B365" s="20">
        <f t="shared" si="79"/>
        <v>41382</v>
      </c>
      <c r="C365">
        <v>5.5</v>
      </c>
      <c r="D365">
        <v>702</v>
      </c>
      <c r="E365">
        <v>353.4</v>
      </c>
      <c r="F365">
        <v>2897</v>
      </c>
      <c r="G365" s="4">
        <f t="shared" si="80"/>
        <v>358.9</v>
      </c>
      <c r="H365" s="4">
        <f t="shared" si="81"/>
        <v>3599</v>
      </c>
      <c r="I365" s="61">
        <f t="shared" si="82"/>
        <v>-90.027785495971102</v>
      </c>
      <c r="J365">
        <v>1.9</v>
      </c>
    </row>
    <row r="366" spans="1:10" x14ac:dyDescent="0.25">
      <c r="A366" s="117" t="s">
        <v>11</v>
      </c>
      <c r="B366" s="20">
        <f t="shared" si="79"/>
        <v>41389</v>
      </c>
      <c r="C366">
        <v>4.7</v>
      </c>
      <c r="D366">
        <v>692.1</v>
      </c>
      <c r="E366">
        <v>354.3</v>
      </c>
      <c r="F366">
        <v>2962.2</v>
      </c>
      <c r="G366" s="4">
        <f t="shared" si="80"/>
        <v>359</v>
      </c>
      <c r="H366" s="4">
        <f t="shared" si="81"/>
        <v>3654.2999999999997</v>
      </c>
      <c r="I366" s="61">
        <f t="shared" si="82"/>
        <v>-90.175957091645458</v>
      </c>
      <c r="J366">
        <v>1.9</v>
      </c>
    </row>
    <row r="367" spans="1:10" x14ac:dyDescent="0.25">
      <c r="A367" s="117" t="s">
        <v>11</v>
      </c>
      <c r="B367" s="20">
        <f t="shared" si="79"/>
        <v>41396</v>
      </c>
      <c r="C367">
        <v>4.5</v>
      </c>
      <c r="D367">
        <v>686</v>
      </c>
      <c r="E367">
        <v>355.1</v>
      </c>
      <c r="F367">
        <v>3029.7</v>
      </c>
      <c r="G367" s="4">
        <f t="shared" si="80"/>
        <v>359.6</v>
      </c>
      <c r="H367" s="4">
        <f t="shared" si="81"/>
        <v>3715.7</v>
      </c>
      <c r="I367" s="61">
        <f t="shared" si="82"/>
        <v>-90.322146567268618</v>
      </c>
      <c r="J367">
        <v>1.9</v>
      </c>
    </row>
    <row r="368" spans="1:10" x14ac:dyDescent="0.25">
      <c r="A368" s="117" t="s">
        <v>11</v>
      </c>
      <c r="B368" s="20">
        <f t="shared" si="79"/>
        <v>41403</v>
      </c>
      <c r="C368">
        <v>4.5999999999999996</v>
      </c>
      <c r="D368">
        <v>699.5</v>
      </c>
      <c r="E368">
        <v>355.1</v>
      </c>
      <c r="F368">
        <v>3087.9</v>
      </c>
      <c r="G368" s="4">
        <f t="shared" si="80"/>
        <v>359.70000000000005</v>
      </c>
      <c r="H368" s="4">
        <f t="shared" si="81"/>
        <v>3787.4</v>
      </c>
      <c r="I368" s="61">
        <f t="shared" si="82"/>
        <v>-90.502719543750331</v>
      </c>
      <c r="J368">
        <v>1.9</v>
      </c>
    </row>
    <row r="369" spans="1:10" x14ac:dyDescent="0.25">
      <c r="A369" s="117" t="s">
        <v>11</v>
      </c>
      <c r="B369" s="20">
        <f t="shared" si="79"/>
        <v>41410</v>
      </c>
      <c r="C369">
        <v>4.5</v>
      </c>
      <c r="D369">
        <v>648.4</v>
      </c>
      <c r="E369">
        <v>355.1</v>
      </c>
      <c r="F369">
        <v>3138</v>
      </c>
      <c r="G369" s="4">
        <f t="shared" si="80"/>
        <v>359.6</v>
      </c>
      <c r="H369" s="4">
        <f t="shared" si="81"/>
        <v>3786.4</v>
      </c>
      <c r="I369" s="61">
        <f t="shared" si="82"/>
        <v>-90.502852313543201</v>
      </c>
      <c r="J369">
        <v>1.9</v>
      </c>
    </row>
    <row r="370" spans="1:10" x14ac:dyDescent="0.25">
      <c r="A370" s="117" t="s">
        <v>11</v>
      </c>
      <c r="B370" s="20">
        <f t="shared" si="79"/>
        <v>41417</v>
      </c>
      <c r="C370">
        <v>4.3</v>
      </c>
      <c r="D370">
        <v>613.6</v>
      </c>
      <c r="E370">
        <v>412.8</v>
      </c>
      <c r="F370">
        <v>3177</v>
      </c>
      <c r="G370" s="4">
        <f t="shared" si="80"/>
        <v>417.1</v>
      </c>
      <c r="H370" s="4">
        <f t="shared" si="81"/>
        <v>3790.6</v>
      </c>
      <c r="I370" s="61">
        <f t="shared" si="82"/>
        <v>-88.996464939587398</v>
      </c>
      <c r="J370">
        <v>1.9</v>
      </c>
    </row>
    <row r="371" spans="1:10" x14ac:dyDescent="0.25">
      <c r="A371" s="117" t="s">
        <v>11</v>
      </c>
      <c r="B371" s="20">
        <f t="shared" si="79"/>
        <v>41424</v>
      </c>
      <c r="C371">
        <v>4.7</v>
      </c>
      <c r="D371">
        <v>544.5</v>
      </c>
      <c r="E371">
        <v>412.9</v>
      </c>
      <c r="F371">
        <v>3245.3</v>
      </c>
      <c r="G371" s="4">
        <f t="shared" si="80"/>
        <v>417.59999999999997</v>
      </c>
      <c r="H371" s="4">
        <f t="shared" si="81"/>
        <v>3789.8</v>
      </c>
      <c r="I371" s="61">
        <f t="shared" si="82"/>
        <v>-88.980948862736824</v>
      </c>
      <c r="J371">
        <v>1.9</v>
      </c>
    </row>
    <row r="372" spans="1:10" x14ac:dyDescent="0.25">
      <c r="A372" s="117" t="s">
        <v>11</v>
      </c>
      <c r="B372" s="20">
        <f t="shared" si="79"/>
        <v>41431</v>
      </c>
      <c r="C372">
        <v>4.5999999999999996</v>
      </c>
      <c r="D372">
        <v>544.9</v>
      </c>
      <c r="E372">
        <v>413</v>
      </c>
      <c r="F372">
        <v>3245.6</v>
      </c>
      <c r="G372" s="4">
        <f t="shared" si="80"/>
        <v>417.6</v>
      </c>
      <c r="H372" s="4">
        <f t="shared" si="81"/>
        <v>3790.5</v>
      </c>
      <c r="I372" s="61">
        <f t="shared" si="82"/>
        <v>-88.982983775227538</v>
      </c>
      <c r="J372">
        <v>2.5</v>
      </c>
    </row>
    <row r="373" spans="1:10" x14ac:dyDescent="0.25">
      <c r="A373" s="117" t="s">
        <v>11</v>
      </c>
      <c r="B373" s="20">
        <f t="shared" si="79"/>
        <v>41438</v>
      </c>
      <c r="C373">
        <v>4.5999999999999996</v>
      </c>
      <c r="D373">
        <v>483.5</v>
      </c>
      <c r="E373">
        <v>413</v>
      </c>
      <c r="F373">
        <v>3307</v>
      </c>
      <c r="G373" s="4">
        <f t="shared" si="80"/>
        <v>417.6</v>
      </c>
      <c r="H373" s="4">
        <f t="shared" si="81"/>
        <v>3790.5</v>
      </c>
      <c r="I373" s="61">
        <f t="shared" si="82"/>
        <v>-88.982983775227538</v>
      </c>
      <c r="J373">
        <v>2.5</v>
      </c>
    </row>
    <row r="374" spans="1:10" x14ac:dyDescent="0.25">
      <c r="A374" s="117" t="s">
        <v>11</v>
      </c>
      <c r="B374" s="20">
        <f t="shared" si="79"/>
        <v>41445</v>
      </c>
      <c r="C374">
        <v>4</v>
      </c>
      <c r="D374">
        <v>483.3</v>
      </c>
      <c r="E374">
        <v>413.6</v>
      </c>
      <c r="F374">
        <v>3307.3</v>
      </c>
      <c r="G374" s="4">
        <f t="shared" si="80"/>
        <v>417.6</v>
      </c>
      <c r="H374" s="4">
        <f t="shared" si="81"/>
        <v>3790.6000000000004</v>
      </c>
      <c r="I374" s="61">
        <f t="shared" si="82"/>
        <v>-88.983274415659793</v>
      </c>
      <c r="J374">
        <v>2.5</v>
      </c>
    </row>
    <row r="375" spans="1:10" x14ac:dyDescent="0.25">
      <c r="A375" s="117" t="s">
        <v>11</v>
      </c>
      <c r="B375" s="20">
        <f t="shared" si="79"/>
        <v>41452</v>
      </c>
      <c r="C375">
        <v>4</v>
      </c>
      <c r="D375">
        <v>364.2</v>
      </c>
      <c r="E375">
        <v>413.7</v>
      </c>
      <c r="F375">
        <v>3371.4</v>
      </c>
      <c r="G375" s="4">
        <f t="shared" si="80"/>
        <v>417.7</v>
      </c>
      <c r="H375" s="4">
        <f t="shared" si="81"/>
        <v>3735.6</v>
      </c>
      <c r="I375" s="61">
        <f t="shared" si="82"/>
        <v>-88.81839597387301</v>
      </c>
      <c r="J375">
        <v>2.5</v>
      </c>
    </row>
    <row r="376" spans="1:10" x14ac:dyDescent="0.25">
      <c r="A376" s="117" t="s">
        <v>11</v>
      </c>
      <c r="B376" s="20">
        <f t="shared" si="79"/>
        <v>41459</v>
      </c>
      <c r="C376">
        <v>4.5</v>
      </c>
      <c r="D376">
        <v>236.7</v>
      </c>
      <c r="E376">
        <v>413.7</v>
      </c>
      <c r="F376">
        <v>3501.4</v>
      </c>
      <c r="G376" s="4">
        <f t="shared" si="80"/>
        <v>418.2</v>
      </c>
      <c r="H376" s="4">
        <f t="shared" si="81"/>
        <v>3738.1</v>
      </c>
      <c r="I376" s="61">
        <f t="shared" si="82"/>
        <v>-88.812498328027615</v>
      </c>
      <c r="J376">
        <v>2.5</v>
      </c>
    </row>
    <row r="377" spans="1:10" x14ac:dyDescent="0.25">
      <c r="A377" s="117" t="s">
        <v>11</v>
      </c>
      <c r="B377" s="20">
        <f t="shared" si="79"/>
        <v>41466</v>
      </c>
      <c r="C377">
        <v>4.5</v>
      </c>
      <c r="D377">
        <v>162.6</v>
      </c>
      <c r="E377">
        <v>413.7</v>
      </c>
      <c r="F377">
        <v>3575.6</v>
      </c>
      <c r="G377" s="4">
        <f t="shared" si="80"/>
        <v>418.2</v>
      </c>
      <c r="H377" s="4">
        <f t="shared" si="81"/>
        <v>3738.2</v>
      </c>
      <c r="I377" s="61">
        <f t="shared" si="82"/>
        <v>-88.812797603124494</v>
      </c>
      <c r="J377">
        <v>2.5</v>
      </c>
    </row>
    <row r="378" spans="1:10" x14ac:dyDescent="0.25">
      <c r="A378" s="117" t="s">
        <v>11</v>
      </c>
      <c r="B378" s="20">
        <f t="shared" si="79"/>
        <v>41473</v>
      </c>
      <c r="C378">
        <v>4.3</v>
      </c>
      <c r="D378">
        <v>163</v>
      </c>
      <c r="E378">
        <v>414</v>
      </c>
      <c r="F378">
        <v>3575.6</v>
      </c>
      <c r="G378" s="4">
        <f t="shared" si="80"/>
        <v>418.3</v>
      </c>
      <c r="H378" s="4">
        <f t="shared" si="81"/>
        <v>3738.6</v>
      </c>
      <c r="I378" s="61">
        <f t="shared" si="82"/>
        <v>-88.811319745359228</v>
      </c>
      <c r="J378">
        <v>2.5</v>
      </c>
    </row>
    <row r="379" spans="1:10" x14ac:dyDescent="0.25">
      <c r="A379" s="117" t="s">
        <v>11</v>
      </c>
      <c r="B379" s="20">
        <f t="shared" si="79"/>
        <v>41480</v>
      </c>
      <c r="C379">
        <v>4.3</v>
      </c>
      <c r="D379">
        <v>163</v>
      </c>
      <c r="E379">
        <v>414.1</v>
      </c>
      <c r="F379">
        <v>3575.7</v>
      </c>
      <c r="G379" s="4">
        <f t="shared" si="80"/>
        <v>418.40000000000003</v>
      </c>
      <c r="H379" s="4">
        <f t="shared" si="81"/>
        <v>3738.7</v>
      </c>
      <c r="I379" s="61">
        <f t="shared" si="82"/>
        <v>-88.808944285446813</v>
      </c>
      <c r="J379">
        <v>2.5</v>
      </c>
    </row>
    <row r="380" spans="1:10" x14ac:dyDescent="0.25">
      <c r="A380" s="117" t="s">
        <v>11</v>
      </c>
      <c r="B380" s="20">
        <f t="shared" si="79"/>
        <v>41487</v>
      </c>
      <c r="C380">
        <v>4.3</v>
      </c>
      <c r="D380">
        <v>162.5</v>
      </c>
      <c r="E380">
        <v>414.1</v>
      </c>
      <c r="F380">
        <v>3576.2</v>
      </c>
      <c r="G380" s="4">
        <f t="shared" si="80"/>
        <v>418.40000000000003</v>
      </c>
      <c r="H380" s="4">
        <f t="shared" si="81"/>
        <v>3738.7</v>
      </c>
      <c r="I380" s="61">
        <f t="shared" si="82"/>
        <v>-88.808944285446813</v>
      </c>
      <c r="J380">
        <v>2.5</v>
      </c>
    </row>
    <row r="381" spans="1:10" x14ac:dyDescent="0.25">
      <c r="A381" s="117" t="s">
        <v>11</v>
      </c>
      <c r="B381" s="20">
        <f t="shared" si="79"/>
        <v>41494</v>
      </c>
      <c r="C381">
        <v>4.3</v>
      </c>
      <c r="D381">
        <v>162.30000000000001</v>
      </c>
      <c r="E381">
        <v>414.1</v>
      </c>
      <c r="F381">
        <v>3576.7</v>
      </c>
      <c r="G381" s="4">
        <f t="shared" si="80"/>
        <v>418.40000000000003</v>
      </c>
      <c r="H381" s="4">
        <f t="shared" si="81"/>
        <v>3739</v>
      </c>
      <c r="I381" s="61">
        <f t="shared" si="82"/>
        <v>-88.8098422037978</v>
      </c>
      <c r="J381">
        <v>2.5</v>
      </c>
    </row>
    <row r="382" spans="1:10" x14ac:dyDescent="0.25">
      <c r="A382" s="117" t="s">
        <v>11</v>
      </c>
      <c r="B382" s="20">
        <f t="shared" ref="B382:B445" si="83">+B381+7</f>
        <v>41501</v>
      </c>
      <c r="C382">
        <v>3.9</v>
      </c>
      <c r="D382">
        <v>104.1</v>
      </c>
      <c r="E382">
        <v>414.5</v>
      </c>
      <c r="F382">
        <v>3634.7</v>
      </c>
      <c r="G382" s="4">
        <f t="shared" si="80"/>
        <v>418.4</v>
      </c>
      <c r="H382" s="4">
        <f t="shared" si="81"/>
        <v>3738.7999999999997</v>
      </c>
      <c r="I382" s="61">
        <f t="shared" si="82"/>
        <v>-88.809243607574629</v>
      </c>
      <c r="J382">
        <v>2.5</v>
      </c>
    </row>
    <row r="383" spans="1:10" x14ac:dyDescent="0.25">
      <c r="A383" s="117" t="s">
        <v>11</v>
      </c>
      <c r="B383" s="20">
        <f t="shared" si="83"/>
        <v>41508</v>
      </c>
      <c r="C383">
        <v>2.7</v>
      </c>
      <c r="D383">
        <v>64.2</v>
      </c>
      <c r="E383">
        <v>416.2</v>
      </c>
      <c r="F383">
        <v>3634.9</v>
      </c>
      <c r="G383" s="4">
        <f t="shared" si="80"/>
        <v>418.9</v>
      </c>
      <c r="H383" s="4">
        <f t="shared" si="81"/>
        <v>3699.1</v>
      </c>
      <c r="I383" s="61">
        <f t="shared" si="82"/>
        <v>-88.675623800383875</v>
      </c>
      <c r="J383">
        <v>2.5</v>
      </c>
    </row>
    <row r="384" spans="1:10" x14ac:dyDescent="0.25">
      <c r="A384" s="117" t="s">
        <v>11</v>
      </c>
      <c r="B384" s="20">
        <f t="shared" si="83"/>
        <v>41515</v>
      </c>
      <c r="C384">
        <v>2.7</v>
      </c>
      <c r="D384">
        <v>3.5</v>
      </c>
      <c r="E384">
        <v>416.2</v>
      </c>
      <c r="F384">
        <v>3635.2</v>
      </c>
      <c r="G384" s="4">
        <f t="shared" si="80"/>
        <v>418.9</v>
      </c>
      <c r="H384" s="4">
        <f t="shared" si="81"/>
        <v>3638.7</v>
      </c>
      <c r="I384" s="61">
        <f t="shared" si="82"/>
        <v>-88.48764668700359</v>
      </c>
      <c r="J384">
        <v>2.5</v>
      </c>
    </row>
    <row r="385" spans="1:13" x14ac:dyDescent="0.25">
      <c r="A385" s="117" t="s">
        <v>11</v>
      </c>
      <c r="B385" s="20">
        <f t="shared" si="83"/>
        <v>41522</v>
      </c>
      <c r="C385">
        <v>5.9</v>
      </c>
      <c r="D385">
        <v>293.5</v>
      </c>
      <c r="E385">
        <v>0.6</v>
      </c>
      <c r="F385">
        <v>57.5</v>
      </c>
      <c r="G385" s="4">
        <f t="shared" si="80"/>
        <v>6.5</v>
      </c>
      <c r="H385" s="4">
        <f t="shared" si="81"/>
        <v>351</v>
      </c>
      <c r="I385" s="61">
        <f t="shared" si="82"/>
        <v>-98.148148148148152</v>
      </c>
    </row>
    <row r="386" spans="1:13" x14ac:dyDescent="0.25">
      <c r="A386" s="117" t="s">
        <v>11</v>
      </c>
      <c r="B386" s="20">
        <f t="shared" si="83"/>
        <v>41529</v>
      </c>
      <c r="C386">
        <v>6.1</v>
      </c>
      <c r="D386">
        <v>293.7</v>
      </c>
      <c r="E386">
        <v>1.4</v>
      </c>
      <c r="F386">
        <v>57.6</v>
      </c>
      <c r="G386" s="4">
        <f t="shared" si="80"/>
        <v>7.5</v>
      </c>
      <c r="H386" s="4">
        <f t="shared" si="81"/>
        <v>351.3</v>
      </c>
      <c r="I386" s="61">
        <f t="shared" si="82"/>
        <v>-97.865072587532026</v>
      </c>
    </row>
    <row r="387" spans="1:13" x14ac:dyDescent="0.25">
      <c r="A387" s="117" t="s">
        <v>11</v>
      </c>
      <c r="B387" s="20">
        <f t="shared" si="83"/>
        <v>41536</v>
      </c>
      <c r="C387">
        <v>6</v>
      </c>
      <c r="D387">
        <v>36.299999999999997</v>
      </c>
      <c r="E387">
        <v>1.5</v>
      </c>
      <c r="F387">
        <v>112.7</v>
      </c>
      <c r="G387" s="4">
        <f t="shared" si="80"/>
        <v>7.5</v>
      </c>
      <c r="H387" s="4">
        <f t="shared" si="81"/>
        <v>149</v>
      </c>
      <c r="I387" s="61">
        <f t="shared" si="82"/>
        <v>-94.966442953020135</v>
      </c>
    </row>
    <row r="388" spans="1:13" x14ac:dyDescent="0.25">
      <c r="A388" s="117" t="s">
        <v>11</v>
      </c>
      <c r="B388" s="20">
        <f t="shared" si="83"/>
        <v>41543</v>
      </c>
      <c r="C388">
        <v>6.5</v>
      </c>
      <c r="D388">
        <v>200</v>
      </c>
      <c r="E388">
        <v>1.5</v>
      </c>
      <c r="F388">
        <v>154.69999999999999</v>
      </c>
      <c r="G388" s="4">
        <f t="shared" si="80"/>
        <v>8</v>
      </c>
      <c r="H388" s="4">
        <f t="shared" si="81"/>
        <v>354.7</v>
      </c>
      <c r="I388" s="61">
        <f t="shared" si="82"/>
        <v>-97.744572878488867</v>
      </c>
    </row>
    <row r="389" spans="1:13" x14ac:dyDescent="0.25">
      <c r="A389" s="117" t="s">
        <v>11</v>
      </c>
      <c r="B389" s="20">
        <f t="shared" si="83"/>
        <v>41550</v>
      </c>
      <c r="C389">
        <v>6.4</v>
      </c>
      <c r="D389">
        <v>190.2</v>
      </c>
      <c r="E389">
        <v>1.7</v>
      </c>
      <c r="F389">
        <v>163.6</v>
      </c>
      <c r="G389" s="4">
        <f t="shared" si="80"/>
        <v>8.1</v>
      </c>
      <c r="H389" s="4">
        <f t="shared" si="81"/>
        <v>353.79999999999995</v>
      </c>
      <c r="I389" s="61">
        <f t="shared" si="82"/>
        <v>-97.710570944036178</v>
      </c>
    </row>
    <row r="390" spans="1:13" x14ac:dyDescent="0.25">
      <c r="A390" s="117" t="s">
        <v>11</v>
      </c>
      <c r="B390" s="20">
        <f t="shared" si="83"/>
        <v>41557</v>
      </c>
      <c r="G390" s="4">
        <f t="shared" si="80"/>
        <v>0</v>
      </c>
      <c r="H390" s="4">
        <f t="shared" si="81"/>
        <v>0</v>
      </c>
      <c r="I390" s="61" t="e">
        <f t="shared" si="82"/>
        <v>#DIV/0!</v>
      </c>
    </row>
    <row r="391" spans="1:13" ht="15" x14ac:dyDescent="0.25">
      <c r="A391" s="117" t="s">
        <v>11</v>
      </c>
      <c r="B391" s="20">
        <f t="shared" si="83"/>
        <v>41564</v>
      </c>
      <c r="G391" s="4">
        <f t="shared" si="80"/>
        <v>0</v>
      </c>
      <c r="H391" s="4">
        <f t="shared" si="81"/>
        <v>0</v>
      </c>
      <c r="I391" s="61" t="e">
        <f t="shared" si="82"/>
        <v>#DIV/0!</v>
      </c>
      <c r="M391" s="123"/>
    </row>
    <row r="392" spans="1:13" x14ac:dyDescent="0.25">
      <c r="A392" s="117" t="s">
        <v>11</v>
      </c>
      <c r="B392" s="20">
        <f t="shared" si="83"/>
        <v>41571</v>
      </c>
      <c r="C392">
        <v>6.1</v>
      </c>
      <c r="D392">
        <v>195.1</v>
      </c>
      <c r="E392">
        <v>3.4</v>
      </c>
      <c r="F392">
        <v>221</v>
      </c>
      <c r="G392" s="4">
        <f t="shared" si="80"/>
        <v>9.5</v>
      </c>
      <c r="H392" s="4">
        <f t="shared" si="81"/>
        <v>416.1</v>
      </c>
      <c r="I392" s="61">
        <f t="shared" si="82"/>
        <v>-97.716894977168948</v>
      </c>
    </row>
    <row r="393" spans="1:13" ht="15" x14ac:dyDescent="0.25">
      <c r="A393" s="117" t="s">
        <v>11</v>
      </c>
      <c r="B393" s="20">
        <f t="shared" si="83"/>
        <v>41578</v>
      </c>
      <c r="C393">
        <v>314.10000000000002</v>
      </c>
      <c r="D393">
        <v>135</v>
      </c>
      <c r="E393">
        <v>3.6</v>
      </c>
      <c r="F393">
        <v>281</v>
      </c>
      <c r="G393" s="4">
        <f t="shared" si="80"/>
        <v>317.70000000000005</v>
      </c>
      <c r="H393" s="4">
        <f t="shared" si="81"/>
        <v>416</v>
      </c>
      <c r="I393" s="61">
        <f t="shared" si="82"/>
        <v>-23.629807692307679</v>
      </c>
      <c r="L393" s="123"/>
    </row>
    <row r="394" spans="1:13" x14ac:dyDescent="0.25">
      <c r="A394" s="117" t="s">
        <v>11</v>
      </c>
      <c r="B394" s="20">
        <f t="shared" si="83"/>
        <v>41585</v>
      </c>
      <c r="C394">
        <v>464.1</v>
      </c>
      <c r="D394">
        <v>135.5</v>
      </c>
      <c r="E394">
        <v>4.5</v>
      </c>
      <c r="F394">
        <v>281.3</v>
      </c>
      <c r="G394" s="4">
        <f t="shared" si="80"/>
        <v>468.6</v>
      </c>
      <c r="H394" s="4">
        <f t="shared" si="81"/>
        <v>416.8</v>
      </c>
      <c r="I394" s="61">
        <f t="shared" si="82"/>
        <v>12.428023032629554</v>
      </c>
    </row>
    <row r="395" spans="1:13" x14ac:dyDescent="0.25">
      <c r="A395" s="117" t="s">
        <v>11</v>
      </c>
      <c r="B395" s="20">
        <f t="shared" si="83"/>
        <v>41592</v>
      </c>
      <c r="C395">
        <v>463.5</v>
      </c>
      <c r="D395">
        <v>71.3</v>
      </c>
      <c r="E395">
        <v>5.2</v>
      </c>
      <c r="F395">
        <v>347</v>
      </c>
      <c r="G395" s="4">
        <f t="shared" si="80"/>
        <v>468.7</v>
      </c>
      <c r="H395" s="4">
        <f t="shared" si="81"/>
        <v>418.3</v>
      </c>
      <c r="I395" s="61">
        <f t="shared" si="82"/>
        <v>12.048768826201295</v>
      </c>
    </row>
    <row r="396" spans="1:13" x14ac:dyDescent="0.25">
      <c r="A396" s="117" t="s">
        <v>11</v>
      </c>
      <c r="B396" s="20">
        <f t="shared" si="83"/>
        <v>41599</v>
      </c>
      <c r="C396">
        <v>642.1</v>
      </c>
      <c r="D396">
        <v>71.3</v>
      </c>
      <c r="E396">
        <v>5.3</v>
      </c>
      <c r="F396">
        <v>347</v>
      </c>
      <c r="G396" s="4">
        <f t="shared" si="80"/>
        <v>647.4</v>
      </c>
      <c r="H396" s="4">
        <f t="shared" si="81"/>
        <v>418.3</v>
      </c>
      <c r="I396" s="61">
        <f t="shared" si="82"/>
        <v>54.769304327037993</v>
      </c>
    </row>
    <row r="397" spans="1:13" x14ac:dyDescent="0.25">
      <c r="A397" s="117" t="s">
        <v>11</v>
      </c>
      <c r="B397" s="20">
        <f t="shared" si="83"/>
        <v>41606</v>
      </c>
      <c r="C397">
        <v>698.3</v>
      </c>
      <c r="D397">
        <v>73.8</v>
      </c>
      <c r="E397">
        <v>72.2</v>
      </c>
      <c r="F397">
        <v>347.3</v>
      </c>
      <c r="G397" s="4">
        <f t="shared" si="80"/>
        <v>770.5</v>
      </c>
      <c r="H397" s="4">
        <f t="shared" si="81"/>
        <v>421.1</v>
      </c>
      <c r="I397" s="61">
        <f t="shared" si="82"/>
        <v>82.973165518879128</v>
      </c>
    </row>
    <row r="398" spans="1:13" x14ac:dyDescent="0.25">
      <c r="A398" s="117" t="s">
        <v>11</v>
      </c>
      <c r="B398" s="20">
        <f t="shared" si="83"/>
        <v>41613</v>
      </c>
      <c r="C398">
        <v>698.4</v>
      </c>
      <c r="D398">
        <v>72.8</v>
      </c>
      <c r="E398">
        <v>72.5</v>
      </c>
      <c r="F398">
        <v>348.4</v>
      </c>
      <c r="G398" s="4">
        <f t="shared" si="80"/>
        <v>770.9</v>
      </c>
      <c r="H398" s="4">
        <f t="shared" si="81"/>
        <v>421.2</v>
      </c>
      <c r="I398" s="61">
        <f t="shared" si="82"/>
        <v>83.024691358024683</v>
      </c>
    </row>
    <row r="399" spans="1:13" x14ac:dyDescent="0.25">
      <c r="A399" s="117" t="s">
        <v>11</v>
      </c>
      <c r="B399" s="20">
        <f t="shared" si="83"/>
        <v>41620</v>
      </c>
      <c r="C399">
        <v>697.8</v>
      </c>
      <c r="D399">
        <v>72.400000000000006</v>
      </c>
      <c r="E399">
        <v>135.4</v>
      </c>
      <c r="F399">
        <v>348.7</v>
      </c>
      <c r="G399" s="4">
        <f t="shared" si="80"/>
        <v>833.19999999999993</v>
      </c>
      <c r="H399" s="4">
        <f t="shared" si="81"/>
        <v>421.1</v>
      </c>
      <c r="I399" s="61">
        <f t="shared" si="82"/>
        <v>97.862740441700296</v>
      </c>
    </row>
    <row r="400" spans="1:13" x14ac:dyDescent="0.25">
      <c r="A400" s="117" t="s">
        <v>11</v>
      </c>
      <c r="B400" s="20">
        <f t="shared" si="83"/>
        <v>41627</v>
      </c>
      <c r="C400">
        <v>885.9</v>
      </c>
      <c r="D400">
        <v>72.900000000000006</v>
      </c>
      <c r="E400">
        <v>257.60000000000002</v>
      </c>
      <c r="F400">
        <v>348.7</v>
      </c>
      <c r="G400" s="4">
        <f t="shared" si="80"/>
        <v>1143.5</v>
      </c>
      <c r="H400" s="4">
        <f t="shared" si="81"/>
        <v>421.6</v>
      </c>
      <c r="I400" s="61">
        <f t="shared" si="82"/>
        <v>171.22865275142311</v>
      </c>
    </row>
    <row r="401" spans="1:18" x14ac:dyDescent="0.25">
      <c r="A401" s="117" t="s">
        <v>11</v>
      </c>
      <c r="B401" s="20">
        <f t="shared" si="83"/>
        <v>41634</v>
      </c>
      <c r="C401" s="143">
        <v>701</v>
      </c>
      <c r="D401">
        <v>72.8</v>
      </c>
      <c r="E401">
        <v>456.5</v>
      </c>
      <c r="F401">
        <v>348.8</v>
      </c>
      <c r="G401" s="4">
        <f t="shared" si="80"/>
        <v>1157.5</v>
      </c>
      <c r="H401" s="4">
        <f t="shared" si="81"/>
        <v>421.6</v>
      </c>
      <c r="I401" s="61">
        <f t="shared" si="82"/>
        <v>174.54933586337756</v>
      </c>
    </row>
    <row r="402" spans="1:18" x14ac:dyDescent="0.25">
      <c r="A402" s="117" t="s">
        <v>11</v>
      </c>
      <c r="B402" s="20">
        <f t="shared" si="83"/>
        <v>41641</v>
      </c>
      <c r="C402" s="143">
        <v>756</v>
      </c>
      <c r="D402">
        <v>72.8</v>
      </c>
      <c r="E402">
        <v>456.5</v>
      </c>
      <c r="F402">
        <v>348.8</v>
      </c>
      <c r="G402" s="4">
        <f t="shared" si="80"/>
        <v>1212.5</v>
      </c>
      <c r="H402" s="4">
        <f t="shared" si="81"/>
        <v>421.6</v>
      </c>
      <c r="I402" s="61">
        <f t="shared" si="82"/>
        <v>187.59487666034155</v>
      </c>
    </row>
    <row r="403" spans="1:18" x14ac:dyDescent="0.25">
      <c r="A403" s="117" t="s">
        <v>11</v>
      </c>
      <c r="B403" s="20">
        <f t="shared" si="83"/>
        <v>41648</v>
      </c>
      <c r="C403">
        <v>756.1</v>
      </c>
      <c r="D403" s="202">
        <f>C351</f>
        <v>72.599999999999994</v>
      </c>
      <c r="E403">
        <v>515.29999999999995</v>
      </c>
      <c r="F403" s="199">
        <f>E351</f>
        <v>349</v>
      </c>
      <c r="G403" s="4">
        <f t="shared" si="80"/>
        <v>1271.4000000000001</v>
      </c>
      <c r="H403" s="4">
        <f t="shared" si="81"/>
        <v>421.6</v>
      </c>
      <c r="I403" s="61">
        <f t="shared" si="82"/>
        <v>201.56546489563567</v>
      </c>
      <c r="K403" s="59"/>
      <c r="L403" s="59"/>
      <c r="M403" s="59"/>
      <c r="N403" s="59"/>
      <c r="O403" s="59"/>
      <c r="P403" s="59"/>
      <c r="Q403" s="59"/>
      <c r="R403" s="59"/>
    </row>
    <row r="404" spans="1:18" x14ac:dyDescent="0.25">
      <c r="A404" s="117" t="s">
        <v>11</v>
      </c>
      <c r="B404" s="20">
        <f t="shared" si="83"/>
        <v>41655</v>
      </c>
      <c r="C404">
        <v>700.5</v>
      </c>
      <c r="D404" s="202">
        <f t="shared" ref="D404:D414" si="84">C352</f>
        <v>72.099999999999994</v>
      </c>
      <c r="E404">
        <v>635.4</v>
      </c>
      <c r="F404" s="203">
        <f t="shared" ref="F404:F414" si="85">E352</f>
        <v>349.6</v>
      </c>
      <c r="G404" s="4">
        <f t="shared" ref="G404:G467" si="86">+C404+E404</f>
        <v>1335.9</v>
      </c>
      <c r="H404" s="4">
        <f t="shared" ref="H404:H467" si="87">+D404+F404</f>
        <v>421.70000000000005</v>
      </c>
      <c r="I404" s="61">
        <f t="shared" ref="I404:I467" si="88">+(G404/H404-1)*100</f>
        <v>216.78918662556316</v>
      </c>
      <c r="K404" s="59"/>
      <c r="L404" s="59"/>
      <c r="M404" s="59"/>
      <c r="N404" s="59"/>
      <c r="O404" s="59"/>
      <c r="P404" s="59"/>
      <c r="Q404" s="59"/>
      <c r="R404" s="59"/>
    </row>
    <row r="405" spans="1:18" x14ac:dyDescent="0.25">
      <c r="A405" s="117" t="s">
        <v>11</v>
      </c>
      <c r="B405" s="20">
        <f t="shared" si="83"/>
        <v>41662</v>
      </c>
      <c r="C405">
        <v>759.9</v>
      </c>
      <c r="D405" s="202">
        <f t="shared" si="84"/>
        <v>71.8</v>
      </c>
      <c r="E405" s="143">
        <v>696</v>
      </c>
      <c r="F405" s="203">
        <f t="shared" si="85"/>
        <v>349.9</v>
      </c>
      <c r="G405" s="4">
        <f t="shared" si="86"/>
        <v>1455.9</v>
      </c>
      <c r="H405" s="4">
        <f t="shared" si="87"/>
        <v>421.7</v>
      </c>
      <c r="I405" s="61">
        <f t="shared" si="88"/>
        <v>245.24543514346698</v>
      </c>
      <c r="K405" s="59"/>
      <c r="L405" s="59"/>
      <c r="M405" s="59"/>
      <c r="N405" s="59"/>
      <c r="O405" s="59"/>
      <c r="P405" s="59"/>
      <c r="Q405" s="59"/>
      <c r="R405" s="59"/>
    </row>
    <row r="406" spans="1:18" x14ac:dyDescent="0.25">
      <c r="A406" s="117" t="s">
        <v>11</v>
      </c>
      <c r="B406" s="20">
        <f t="shared" si="83"/>
        <v>41669</v>
      </c>
      <c r="C406">
        <v>822.9</v>
      </c>
      <c r="D406" s="202">
        <f t="shared" si="84"/>
        <v>8.6</v>
      </c>
      <c r="E406">
        <v>696.1</v>
      </c>
      <c r="F406" s="203">
        <f t="shared" si="85"/>
        <v>350.2</v>
      </c>
      <c r="G406" s="4">
        <f t="shared" si="86"/>
        <v>1519</v>
      </c>
      <c r="H406" s="4">
        <f t="shared" si="87"/>
        <v>358.8</v>
      </c>
      <c r="I406" s="61">
        <f t="shared" si="88"/>
        <v>323.35562987736904</v>
      </c>
      <c r="K406" s="59"/>
      <c r="L406" s="59"/>
      <c r="M406" s="59"/>
      <c r="N406" s="59"/>
      <c r="O406" s="59"/>
      <c r="P406" s="59"/>
      <c r="Q406" s="59"/>
      <c r="R406" s="59"/>
    </row>
    <row r="407" spans="1:18" ht="15" x14ac:dyDescent="0.25">
      <c r="A407" s="117" t="s">
        <v>11</v>
      </c>
      <c r="B407" s="20">
        <f t="shared" si="83"/>
        <v>41676</v>
      </c>
      <c r="C407">
        <v>878.1</v>
      </c>
      <c r="D407" s="202">
        <f t="shared" si="84"/>
        <v>9.1</v>
      </c>
      <c r="E407">
        <v>874.4</v>
      </c>
      <c r="F407" s="203">
        <f t="shared" si="85"/>
        <v>350.7</v>
      </c>
      <c r="G407" s="4">
        <f t="shared" si="86"/>
        <v>1752.5</v>
      </c>
      <c r="H407" s="4">
        <f t="shared" si="87"/>
        <v>359.8</v>
      </c>
      <c r="I407" s="61">
        <f t="shared" si="88"/>
        <v>387.07615341856581</v>
      </c>
      <c r="K407" s="194"/>
      <c r="L407" s="59"/>
      <c r="M407" s="59"/>
      <c r="N407" s="194"/>
      <c r="O407" s="59"/>
      <c r="P407" s="59"/>
      <c r="Q407" s="59"/>
      <c r="R407" s="59"/>
    </row>
    <row r="408" spans="1:18" ht="15" x14ac:dyDescent="0.25">
      <c r="A408" s="117" t="s">
        <v>11</v>
      </c>
      <c r="B408" s="20">
        <f t="shared" si="83"/>
        <v>41683</v>
      </c>
      <c r="C408">
        <v>818.9</v>
      </c>
      <c r="D408" s="202">
        <f t="shared" si="84"/>
        <v>8.9</v>
      </c>
      <c r="E408" s="143">
        <v>935</v>
      </c>
      <c r="F408" s="203">
        <f t="shared" si="85"/>
        <v>350.8</v>
      </c>
      <c r="G408" s="4">
        <f t="shared" si="86"/>
        <v>1753.9</v>
      </c>
      <c r="H408" s="4">
        <f t="shared" si="87"/>
        <v>359.7</v>
      </c>
      <c r="I408" s="61">
        <f t="shared" si="88"/>
        <v>387.60077842646649</v>
      </c>
      <c r="K408" s="59"/>
      <c r="L408" s="123"/>
      <c r="M408" s="59"/>
      <c r="N408" s="194"/>
      <c r="O408" s="59"/>
      <c r="P408" s="59"/>
      <c r="Q408" s="59"/>
      <c r="R408" s="59"/>
    </row>
    <row r="409" spans="1:18" x14ac:dyDescent="0.25">
      <c r="A409" s="117" t="s">
        <v>11</v>
      </c>
      <c r="B409" s="20">
        <f t="shared" si="83"/>
        <v>41690</v>
      </c>
      <c r="C409" s="143">
        <v>822</v>
      </c>
      <c r="D409" s="202">
        <f t="shared" si="84"/>
        <v>8.6999999999999993</v>
      </c>
      <c r="E409">
        <v>991.5</v>
      </c>
      <c r="F409" s="203">
        <f t="shared" si="85"/>
        <v>351.3</v>
      </c>
      <c r="G409" s="4">
        <f t="shared" si="86"/>
        <v>1813.5</v>
      </c>
      <c r="H409" s="4">
        <f t="shared" si="87"/>
        <v>360</v>
      </c>
      <c r="I409" s="61">
        <f t="shared" si="88"/>
        <v>403.74999999999994</v>
      </c>
      <c r="K409" s="59"/>
      <c r="L409" s="59"/>
      <c r="M409" s="59"/>
      <c r="N409" s="59"/>
      <c r="O409" s="59"/>
      <c r="P409" s="59"/>
      <c r="Q409" s="59"/>
      <c r="R409" s="59"/>
    </row>
    <row r="410" spans="1:18" x14ac:dyDescent="0.25">
      <c r="A410" s="117" t="s">
        <v>11</v>
      </c>
      <c r="B410" s="20">
        <f t="shared" si="83"/>
        <v>41697</v>
      </c>
      <c r="D410" s="202">
        <f t="shared" si="84"/>
        <v>7.7</v>
      </c>
      <c r="F410" s="203">
        <f t="shared" si="85"/>
        <v>352.3</v>
      </c>
      <c r="G410" s="4">
        <f t="shared" si="86"/>
        <v>0</v>
      </c>
      <c r="H410" s="4">
        <f t="shared" si="87"/>
        <v>360</v>
      </c>
      <c r="I410" s="61">
        <f t="shared" si="88"/>
        <v>-100</v>
      </c>
      <c r="K410" s="59"/>
      <c r="L410" s="59"/>
      <c r="M410" s="59"/>
      <c r="N410" s="59"/>
      <c r="O410" s="59"/>
      <c r="P410" s="59"/>
      <c r="Q410" s="59"/>
      <c r="R410" s="59"/>
    </row>
    <row r="411" spans="1:18" x14ac:dyDescent="0.25">
      <c r="A411" s="117" t="s">
        <v>11</v>
      </c>
      <c r="B411" s="20">
        <f t="shared" si="83"/>
        <v>41704</v>
      </c>
      <c r="D411" s="202">
        <f t="shared" si="84"/>
        <v>7.6</v>
      </c>
      <c r="F411" s="203">
        <f t="shared" si="85"/>
        <v>352.4</v>
      </c>
      <c r="G411" s="4">
        <f t="shared" si="86"/>
        <v>0</v>
      </c>
      <c r="H411" s="4">
        <f t="shared" si="87"/>
        <v>360</v>
      </c>
      <c r="I411" s="61">
        <f t="shared" si="88"/>
        <v>-100</v>
      </c>
      <c r="K411" s="59"/>
      <c r="L411" s="59"/>
      <c r="M411" s="59"/>
      <c r="N411" s="59"/>
      <c r="O411" s="59"/>
      <c r="P411" s="59"/>
      <c r="Q411" s="59"/>
      <c r="R411" s="59"/>
    </row>
    <row r="412" spans="1:18" x14ac:dyDescent="0.25">
      <c r="A412" s="117" t="s">
        <v>11</v>
      </c>
      <c r="B412" s="20">
        <f t="shared" si="83"/>
        <v>41711</v>
      </c>
      <c r="D412" s="202">
        <f t="shared" si="84"/>
        <v>5.6</v>
      </c>
      <c r="F412" s="203">
        <f t="shared" si="85"/>
        <v>352.5</v>
      </c>
      <c r="G412" s="4">
        <f t="shared" si="86"/>
        <v>0</v>
      </c>
      <c r="H412" s="4">
        <f t="shared" si="87"/>
        <v>358.1</v>
      </c>
      <c r="I412" s="61">
        <f t="shared" si="88"/>
        <v>-100</v>
      </c>
      <c r="K412" s="59"/>
      <c r="L412" s="59"/>
      <c r="M412" s="59"/>
      <c r="N412" s="59"/>
      <c r="O412" s="59"/>
      <c r="P412" s="59"/>
      <c r="Q412" s="59"/>
      <c r="R412" s="59"/>
    </row>
    <row r="413" spans="1:18" x14ac:dyDescent="0.25">
      <c r="A413" s="117" t="s">
        <v>11</v>
      </c>
      <c r="B413" s="20">
        <f t="shared" si="83"/>
        <v>41718</v>
      </c>
      <c r="D413" s="202">
        <f t="shared" si="84"/>
        <v>5.2</v>
      </c>
      <c r="F413" s="199">
        <f t="shared" si="85"/>
        <v>353</v>
      </c>
      <c r="G413" s="4">
        <f t="shared" si="86"/>
        <v>0</v>
      </c>
      <c r="H413" s="4">
        <f t="shared" si="87"/>
        <v>358.2</v>
      </c>
      <c r="I413" s="61">
        <f t="shared" si="88"/>
        <v>-100</v>
      </c>
      <c r="K413" s="59"/>
      <c r="L413" s="59"/>
      <c r="M413" s="59"/>
      <c r="N413" s="59"/>
      <c r="O413" s="59"/>
      <c r="P413" s="59"/>
      <c r="Q413" s="59"/>
      <c r="R413" s="59"/>
    </row>
    <row r="414" spans="1:18" ht="15" x14ac:dyDescent="0.25">
      <c r="A414" s="117" t="s">
        <v>11</v>
      </c>
      <c r="B414" s="20">
        <f t="shared" si="83"/>
        <v>41725</v>
      </c>
      <c r="D414" s="202">
        <f t="shared" si="84"/>
        <v>5.3</v>
      </c>
      <c r="F414" s="199">
        <f t="shared" si="85"/>
        <v>353</v>
      </c>
      <c r="G414" s="4">
        <f t="shared" si="86"/>
        <v>0</v>
      </c>
      <c r="H414" s="4">
        <f t="shared" si="87"/>
        <v>358.3</v>
      </c>
      <c r="I414" s="61">
        <f t="shared" si="88"/>
        <v>-100</v>
      </c>
      <c r="K414" s="123"/>
      <c r="M414" s="59"/>
      <c r="N414" s="194"/>
      <c r="O414" s="59"/>
      <c r="P414" s="59"/>
      <c r="Q414" s="59"/>
    </row>
    <row r="415" spans="1:18" x14ac:dyDescent="0.25">
      <c r="A415" s="117" t="s">
        <v>11</v>
      </c>
      <c r="B415" s="20">
        <f t="shared" si="83"/>
        <v>41732</v>
      </c>
      <c r="G415" s="4">
        <f t="shared" si="86"/>
        <v>0</v>
      </c>
      <c r="H415" s="4">
        <f t="shared" si="87"/>
        <v>0</v>
      </c>
      <c r="I415" s="61" t="e">
        <f t="shared" si="88"/>
        <v>#DIV/0!</v>
      </c>
    </row>
    <row r="416" spans="1:18" x14ac:dyDescent="0.25">
      <c r="A416" s="117" t="s">
        <v>11</v>
      </c>
      <c r="B416" s="20">
        <f t="shared" si="83"/>
        <v>41739</v>
      </c>
      <c r="G416" s="4">
        <f t="shared" si="86"/>
        <v>0</v>
      </c>
      <c r="H416" s="4">
        <f t="shared" si="87"/>
        <v>0</v>
      </c>
      <c r="I416" s="61" t="e">
        <f t="shared" si="88"/>
        <v>#DIV/0!</v>
      </c>
    </row>
    <row r="417" spans="1:9" x14ac:dyDescent="0.25">
      <c r="A417" s="117" t="s">
        <v>11</v>
      </c>
      <c r="B417" s="20">
        <f t="shared" si="83"/>
        <v>41746</v>
      </c>
      <c r="G417" s="4">
        <f t="shared" si="86"/>
        <v>0</v>
      </c>
      <c r="H417" s="4">
        <f t="shared" si="87"/>
        <v>0</v>
      </c>
      <c r="I417" s="61" t="e">
        <f t="shared" si="88"/>
        <v>#DIV/0!</v>
      </c>
    </row>
    <row r="418" spans="1:9" x14ac:dyDescent="0.25">
      <c r="A418" s="117" t="s">
        <v>11</v>
      </c>
      <c r="B418" s="20">
        <f t="shared" si="83"/>
        <v>41753</v>
      </c>
      <c r="G418" s="4">
        <f t="shared" si="86"/>
        <v>0</v>
      </c>
      <c r="H418" s="4">
        <f t="shared" si="87"/>
        <v>0</v>
      </c>
      <c r="I418" s="61" t="e">
        <f t="shared" si="88"/>
        <v>#DIV/0!</v>
      </c>
    </row>
    <row r="419" spans="1:9" x14ac:dyDescent="0.25">
      <c r="A419" s="117" t="s">
        <v>11</v>
      </c>
      <c r="B419" s="20">
        <f t="shared" si="83"/>
        <v>41760</v>
      </c>
      <c r="G419" s="4">
        <f t="shared" si="86"/>
        <v>0</v>
      </c>
      <c r="H419" s="4">
        <f t="shared" si="87"/>
        <v>0</v>
      </c>
      <c r="I419" s="61" t="e">
        <f t="shared" si="88"/>
        <v>#DIV/0!</v>
      </c>
    </row>
    <row r="420" spans="1:9" x14ac:dyDescent="0.25">
      <c r="A420" s="117" t="s">
        <v>11</v>
      </c>
      <c r="B420" s="20">
        <f t="shared" si="83"/>
        <v>41767</v>
      </c>
      <c r="G420" s="4">
        <f t="shared" si="86"/>
        <v>0</v>
      </c>
      <c r="H420" s="4">
        <f t="shared" si="87"/>
        <v>0</v>
      </c>
      <c r="I420" s="61" t="e">
        <f t="shared" si="88"/>
        <v>#DIV/0!</v>
      </c>
    </row>
    <row r="421" spans="1:9" x14ac:dyDescent="0.25">
      <c r="A421" s="117" t="s">
        <v>11</v>
      </c>
      <c r="B421" s="20">
        <f t="shared" si="83"/>
        <v>41774</v>
      </c>
      <c r="G421" s="4">
        <f t="shared" si="86"/>
        <v>0</v>
      </c>
      <c r="H421" s="4">
        <f t="shared" si="87"/>
        <v>0</v>
      </c>
      <c r="I421" s="61" t="e">
        <f t="shared" si="88"/>
        <v>#DIV/0!</v>
      </c>
    </row>
    <row r="422" spans="1:9" x14ac:dyDescent="0.25">
      <c r="A422" s="117" t="s">
        <v>11</v>
      </c>
      <c r="B422" s="20">
        <f t="shared" si="83"/>
        <v>41781</v>
      </c>
      <c r="G422" s="4">
        <f t="shared" si="86"/>
        <v>0</v>
      </c>
      <c r="H422" s="4">
        <f t="shared" si="87"/>
        <v>0</v>
      </c>
      <c r="I422" s="61" t="e">
        <f t="shared" si="88"/>
        <v>#DIV/0!</v>
      </c>
    </row>
    <row r="423" spans="1:9" x14ac:dyDescent="0.25">
      <c r="A423" s="117" t="s">
        <v>11</v>
      </c>
      <c r="B423" s="20">
        <f t="shared" si="83"/>
        <v>41788</v>
      </c>
      <c r="G423" s="4">
        <f t="shared" si="86"/>
        <v>0</v>
      </c>
      <c r="H423" s="4">
        <f t="shared" si="87"/>
        <v>0</v>
      </c>
      <c r="I423" s="61" t="e">
        <f t="shared" si="88"/>
        <v>#DIV/0!</v>
      </c>
    </row>
    <row r="424" spans="1:9" x14ac:dyDescent="0.25">
      <c r="A424" s="117" t="s">
        <v>11</v>
      </c>
      <c r="B424" s="20">
        <f t="shared" si="83"/>
        <v>41795</v>
      </c>
      <c r="G424" s="4">
        <f t="shared" si="86"/>
        <v>0</v>
      </c>
      <c r="H424" s="4">
        <f t="shared" si="87"/>
        <v>0</v>
      </c>
      <c r="I424" s="61" t="e">
        <f t="shared" si="88"/>
        <v>#DIV/0!</v>
      </c>
    </row>
    <row r="425" spans="1:9" x14ac:dyDescent="0.25">
      <c r="A425" s="117" t="s">
        <v>11</v>
      </c>
      <c r="B425" s="20">
        <f t="shared" si="83"/>
        <v>41802</v>
      </c>
      <c r="G425" s="4">
        <f t="shared" si="86"/>
        <v>0</v>
      </c>
      <c r="H425" s="4">
        <f t="shared" si="87"/>
        <v>0</v>
      </c>
      <c r="I425" s="61" t="e">
        <f t="shared" si="88"/>
        <v>#DIV/0!</v>
      </c>
    </row>
    <row r="426" spans="1:9" x14ac:dyDescent="0.25">
      <c r="A426" s="117" t="s">
        <v>11</v>
      </c>
      <c r="B426" s="20">
        <f t="shared" si="83"/>
        <v>41809</v>
      </c>
      <c r="G426" s="4">
        <f t="shared" si="86"/>
        <v>0</v>
      </c>
      <c r="H426" s="4">
        <f t="shared" si="87"/>
        <v>0</v>
      </c>
      <c r="I426" s="61" t="e">
        <f t="shared" si="88"/>
        <v>#DIV/0!</v>
      </c>
    </row>
    <row r="427" spans="1:9" x14ac:dyDescent="0.25">
      <c r="A427" s="117" t="s">
        <v>11</v>
      </c>
      <c r="B427" s="20">
        <f t="shared" si="83"/>
        <v>41816</v>
      </c>
      <c r="G427" s="4">
        <f t="shared" si="86"/>
        <v>0</v>
      </c>
      <c r="H427" s="4">
        <f t="shared" si="87"/>
        <v>0</v>
      </c>
      <c r="I427" s="61" t="e">
        <f t="shared" si="88"/>
        <v>#DIV/0!</v>
      </c>
    </row>
    <row r="428" spans="1:9" x14ac:dyDescent="0.25">
      <c r="A428" s="117" t="s">
        <v>11</v>
      </c>
      <c r="B428" s="20">
        <f t="shared" si="83"/>
        <v>41823</v>
      </c>
      <c r="G428" s="4">
        <f t="shared" si="86"/>
        <v>0</v>
      </c>
      <c r="H428" s="4">
        <f t="shared" si="87"/>
        <v>0</v>
      </c>
      <c r="I428" s="61" t="e">
        <f t="shared" si="88"/>
        <v>#DIV/0!</v>
      </c>
    </row>
    <row r="429" spans="1:9" x14ac:dyDescent="0.25">
      <c r="A429" s="117" t="s">
        <v>11</v>
      </c>
      <c r="B429" s="20">
        <f t="shared" si="83"/>
        <v>41830</v>
      </c>
      <c r="G429" s="4">
        <f t="shared" si="86"/>
        <v>0</v>
      </c>
      <c r="H429" s="4">
        <f t="shared" si="87"/>
        <v>0</v>
      </c>
      <c r="I429" s="61" t="e">
        <f t="shared" si="88"/>
        <v>#DIV/0!</v>
      </c>
    </row>
    <row r="430" spans="1:9" x14ac:dyDescent="0.25">
      <c r="A430" s="117" t="s">
        <v>11</v>
      </c>
      <c r="B430" s="20">
        <f t="shared" si="83"/>
        <v>41837</v>
      </c>
      <c r="G430" s="4">
        <f t="shared" si="86"/>
        <v>0</v>
      </c>
      <c r="H430" s="4">
        <f t="shared" si="87"/>
        <v>0</v>
      </c>
      <c r="I430" s="61" t="e">
        <f t="shared" si="88"/>
        <v>#DIV/0!</v>
      </c>
    </row>
    <row r="431" spans="1:9" x14ac:dyDescent="0.25">
      <c r="A431" s="117" t="s">
        <v>11</v>
      </c>
      <c r="B431" s="20">
        <f t="shared" si="83"/>
        <v>41844</v>
      </c>
      <c r="G431" s="4">
        <f t="shared" si="86"/>
        <v>0</v>
      </c>
      <c r="H431" s="4">
        <f t="shared" si="87"/>
        <v>0</v>
      </c>
      <c r="I431" s="61" t="e">
        <f t="shared" si="88"/>
        <v>#DIV/0!</v>
      </c>
    </row>
    <row r="432" spans="1:9" x14ac:dyDescent="0.25">
      <c r="A432" s="117" t="s">
        <v>11</v>
      </c>
      <c r="B432" s="20">
        <f t="shared" si="83"/>
        <v>41851</v>
      </c>
      <c r="G432" s="4">
        <f t="shared" si="86"/>
        <v>0</v>
      </c>
      <c r="H432" s="4">
        <f t="shared" si="87"/>
        <v>0</v>
      </c>
      <c r="I432" s="61" t="e">
        <f t="shared" si="88"/>
        <v>#DIV/0!</v>
      </c>
    </row>
    <row r="433" spans="1:9" x14ac:dyDescent="0.25">
      <c r="A433" s="117" t="s">
        <v>11</v>
      </c>
      <c r="B433" s="20">
        <f t="shared" si="83"/>
        <v>41858</v>
      </c>
      <c r="G433" s="4">
        <f t="shared" si="86"/>
        <v>0</v>
      </c>
      <c r="H433" s="4">
        <f t="shared" si="87"/>
        <v>0</v>
      </c>
      <c r="I433" s="61" t="e">
        <f t="shared" si="88"/>
        <v>#DIV/0!</v>
      </c>
    </row>
    <row r="434" spans="1:9" x14ac:dyDescent="0.25">
      <c r="A434" s="117" t="s">
        <v>11</v>
      </c>
      <c r="B434" s="20">
        <f t="shared" si="83"/>
        <v>41865</v>
      </c>
      <c r="G434" s="4">
        <f t="shared" si="86"/>
        <v>0</v>
      </c>
      <c r="H434" s="4">
        <f t="shared" si="87"/>
        <v>0</v>
      </c>
      <c r="I434" s="61" t="e">
        <f t="shared" si="88"/>
        <v>#DIV/0!</v>
      </c>
    </row>
    <row r="435" spans="1:9" x14ac:dyDescent="0.25">
      <c r="A435" s="117" t="s">
        <v>11</v>
      </c>
      <c r="B435" s="20">
        <f t="shared" si="83"/>
        <v>41872</v>
      </c>
      <c r="G435" s="4">
        <f t="shared" si="86"/>
        <v>0</v>
      </c>
      <c r="H435" s="4">
        <f t="shared" si="87"/>
        <v>0</v>
      </c>
      <c r="I435" s="61" t="e">
        <f t="shared" si="88"/>
        <v>#DIV/0!</v>
      </c>
    </row>
    <row r="436" spans="1:9" x14ac:dyDescent="0.25">
      <c r="A436" s="117" t="s">
        <v>11</v>
      </c>
      <c r="B436" s="20">
        <f t="shared" si="83"/>
        <v>41879</v>
      </c>
      <c r="G436" s="4">
        <f t="shared" si="86"/>
        <v>0</v>
      </c>
      <c r="H436" s="4">
        <f t="shared" si="87"/>
        <v>0</v>
      </c>
      <c r="I436" s="61" t="e">
        <f t="shared" si="88"/>
        <v>#DIV/0!</v>
      </c>
    </row>
    <row r="437" spans="1:9" x14ac:dyDescent="0.25">
      <c r="A437" s="117" t="s">
        <v>11</v>
      </c>
      <c r="B437" s="20">
        <f t="shared" si="83"/>
        <v>41886</v>
      </c>
      <c r="G437" s="4">
        <f t="shared" si="86"/>
        <v>0</v>
      </c>
      <c r="H437" s="4">
        <f t="shared" si="87"/>
        <v>0</v>
      </c>
      <c r="I437" s="61" t="e">
        <f t="shared" si="88"/>
        <v>#DIV/0!</v>
      </c>
    </row>
    <row r="438" spans="1:9" x14ac:dyDescent="0.25">
      <c r="A438" s="117" t="s">
        <v>11</v>
      </c>
      <c r="B438" s="20">
        <f t="shared" si="83"/>
        <v>41893</v>
      </c>
      <c r="G438" s="4">
        <f t="shared" si="86"/>
        <v>0</v>
      </c>
      <c r="H438" s="4">
        <f t="shared" si="87"/>
        <v>0</v>
      </c>
      <c r="I438" s="61" t="e">
        <f t="shared" si="88"/>
        <v>#DIV/0!</v>
      </c>
    </row>
    <row r="439" spans="1:9" x14ac:dyDescent="0.25">
      <c r="A439" s="117" t="s">
        <v>11</v>
      </c>
      <c r="B439" s="20">
        <f t="shared" si="83"/>
        <v>41900</v>
      </c>
      <c r="G439" s="4">
        <f t="shared" si="86"/>
        <v>0</v>
      </c>
      <c r="H439" s="4">
        <f t="shared" si="87"/>
        <v>0</v>
      </c>
      <c r="I439" s="61" t="e">
        <f t="shared" si="88"/>
        <v>#DIV/0!</v>
      </c>
    </row>
    <row r="440" spans="1:9" x14ac:dyDescent="0.25">
      <c r="A440" s="117" t="s">
        <v>11</v>
      </c>
      <c r="B440" s="20">
        <f t="shared" si="83"/>
        <v>41907</v>
      </c>
      <c r="G440" s="4">
        <f t="shared" si="86"/>
        <v>0</v>
      </c>
      <c r="H440" s="4">
        <f t="shared" si="87"/>
        <v>0</v>
      </c>
      <c r="I440" s="61" t="e">
        <f t="shared" si="88"/>
        <v>#DIV/0!</v>
      </c>
    </row>
    <row r="441" spans="1:9" x14ac:dyDescent="0.25">
      <c r="A441" s="117" t="s">
        <v>11</v>
      </c>
      <c r="B441" s="20">
        <f t="shared" si="83"/>
        <v>41914</v>
      </c>
      <c r="G441" s="4">
        <f t="shared" si="86"/>
        <v>0</v>
      </c>
      <c r="H441" s="4">
        <f t="shared" si="87"/>
        <v>0</v>
      </c>
      <c r="I441" s="61" t="e">
        <f t="shared" si="88"/>
        <v>#DIV/0!</v>
      </c>
    </row>
    <row r="442" spans="1:9" x14ac:dyDescent="0.25">
      <c r="A442" s="117" t="s">
        <v>11</v>
      </c>
      <c r="B442" s="20">
        <f t="shared" si="83"/>
        <v>41921</v>
      </c>
      <c r="G442" s="4">
        <f t="shared" si="86"/>
        <v>0</v>
      </c>
      <c r="H442" s="4">
        <f t="shared" si="87"/>
        <v>0</v>
      </c>
      <c r="I442" s="61" t="e">
        <f t="shared" si="88"/>
        <v>#DIV/0!</v>
      </c>
    </row>
    <row r="443" spans="1:9" x14ac:dyDescent="0.25">
      <c r="A443" s="117" t="s">
        <v>11</v>
      </c>
      <c r="B443" s="20">
        <f t="shared" si="83"/>
        <v>41928</v>
      </c>
      <c r="G443" s="4">
        <f t="shared" si="86"/>
        <v>0</v>
      </c>
      <c r="H443" s="4">
        <f t="shared" si="87"/>
        <v>0</v>
      </c>
      <c r="I443" s="61" t="e">
        <f t="shared" si="88"/>
        <v>#DIV/0!</v>
      </c>
    </row>
    <row r="444" spans="1:9" x14ac:dyDescent="0.25">
      <c r="A444" s="117" t="s">
        <v>11</v>
      </c>
      <c r="B444" s="20">
        <f t="shared" si="83"/>
        <v>41935</v>
      </c>
      <c r="G444" s="4">
        <f t="shared" si="86"/>
        <v>0</v>
      </c>
      <c r="H444" s="4">
        <f t="shared" si="87"/>
        <v>0</v>
      </c>
      <c r="I444" s="61" t="e">
        <f t="shared" si="88"/>
        <v>#DIV/0!</v>
      </c>
    </row>
    <row r="445" spans="1:9" x14ac:dyDescent="0.25">
      <c r="A445" s="117" t="s">
        <v>11</v>
      </c>
      <c r="B445" s="20">
        <f t="shared" si="83"/>
        <v>41942</v>
      </c>
      <c r="G445" s="4">
        <f t="shared" si="86"/>
        <v>0</v>
      </c>
      <c r="H445" s="4">
        <f t="shared" si="87"/>
        <v>0</v>
      </c>
      <c r="I445" s="61" t="e">
        <f t="shared" si="88"/>
        <v>#DIV/0!</v>
      </c>
    </row>
    <row r="446" spans="1:9" x14ac:dyDescent="0.25">
      <c r="A446" s="117" t="s">
        <v>11</v>
      </c>
      <c r="B446" s="20">
        <f t="shared" ref="B446:B509" si="89">+B445+7</f>
        <v>41949</v>
      </c>
      <c r="G446" s="4">
        <f t="shared" si="86"/>
        <v>0</v>
      </c>
      <c r="H446" s="4">
        <f t="shared" si="87"/>
        <v>0</v>
      </c>
      <c r="I446" s="61" t="e">
        <f t="shared" si="88"/>
        <v>#DIV/0!</v>
      </c>
    </row>
    <row r="447" spans="1:9" x14ac:dyDescent="0.25">
      <c r="A447" s="117" t="s">
        <v>11</v>
      </c>
      <c r="B447" s="20">
        <f t="shared" si="89"/>
        <v>41956</v>
      </c>
      <c r="G447" s="4">
        <f t="shared" si="86"/>
        <v>0</v>
      </c>
      <c r="H447" s="4">
        <f t="shared" si="87"/>
        <v>0</v>
      </c>
      <c r="I447" s="61" t="e">
        <f t="shared" si="88"/>
        <v>#DIV/0!</v>
      </c>
    </row>
    <row r="448" spans="1:9" x14ac:dyDescent="0.25">
      <c r="A448" s="117" t="s">
        <v>11</v>
      </c>
      <c r="B448" s="20">
        <f t="shared" si="89"/>
        <v>41963</v>
      </c>
      <c r="G448" s="4">
        <f t="shared" si="86"/>
        <v>0</v>
      </c>
      <c r="H448" s="4">
        <f t="shared" si="87"/>
        <v>0</v>
      </c>
      <c r="I448" s="61" t="e">
        <f t="shared" si="88"/>
        <v>#DIV/0!</v>
      </c>
    </row>
    <row r="449" spans="1:9" x14ac:dyDescent="0.25">
      <c r="A449" s="117" t="s">
        <v>11</v>
      </c>
      <c r="B449" s="20">
        <f t="shared" si="89"/>
        <v>41970</v>
      </c>
      <c r="G449" s="4">
        <f t="shared" si="86"/>
        <v>0</v>
      </c>
      <c r="H449" s="4">
        <f t="shared" si="87"/>
        <v>0</v>
      </c>
      <c r="I449" s="61" t="e">
        <f t="shared" si="88"/>
        <v>#DIV/0!</v>
      </c>
    </row>
    <row r="450" spans="1:9" x14ac:dyDescent="0.25">
      <c r="A450" s="117" t="s">
        <v>11</v>
      </c>
      <c r="B450" s="20">
        <f t="shared" si="89"/>
        <v>41977</v>
      </c>
      <c r="G450" s="4">
        <f t="shared" si="86"/>
        <v>0</v>
      </c>
      <c r="H450" s="4">
        <f t="shared" si="87"/>
        <v>0</v>
      </c>
      <c r="I450" s="61" t="e">
        <f t="shared" si="88"/>
        <v>#DIV/0!</v>
      </c>
    </row>
    <row r="451" spans="1:9" x14ac:dyDescent="0.25">
      <c r="A451" s="117" t="s">
        <v>11</v>
      </c>
      <c r="B451" s="20">
        <f t="shared" si="89"/>
        <v>41984</v>
      </c>
      <c r="G451" s="4">
        <f t="shared" si="86"/>
        <v>0</v>
      </c>
      <c r="H451" s="4">
        <f t="shared" si="87"/>
        <v>0</v>
      </c>
      <c r="I451" s="61" t="e">
        <f t="shared" si="88"/>
        <v>#DIV/0!</v>
      </c>
    </row>
    <row r="452" spans="1:9" x14ac:dyDescent="0.25">
      <c r="A452" s="117" t="s">
        <v>11</v>
      </c>
      <c r="B452" s="20">
        <f t="shared" si="89"/>
        <v>41991</v>
      </c>
      <c r="G452" s="4">
        <f t="shared" si="86"/>
        <v>0</v>
      </c>
      <c r="H452" s="4">
        <f t="shared" si="87"/>
        <v>0</v>
      </c>
      <c r="I452" s="61" t="e">
        <f t="shared" si="88"/>
        <v>#DIV/0!</v>
      </c>
    </row>
    <row r="453" spans="1:9" x14ac:dyDescent="0.25">
      <c r="A453" s="117" t="s">
        <v>11</v>
      </c>
      <c r="B453" s="20">
        <f t="shared" si="89"/>
        <v>41998</v>
      </c>
      <c r="G453" s="4">
        <f t="shared" si="86"/>
        <v>0</v>
      </c>
      <c r="H453" s="4">
        <f t="shared" si="87"/>
        <v>0</v>
      </c>
      <c r="I453" s="61" t="e">
        <f t="shared" si="88"/>
        <v>#DIV/0!</v>
      </c>
    </row>
    <row r="454" spans="1:9" x14ac:dyDescent="0.25">
      <c r="A454" s="117" t="s">
        <v>11</v>
      </c>
      <c r="B454" s="20">
        <f t="shared" si="89"/>
        <v>42005</v>
      </c>
      <c r="G454" s="4">
        <f t="shared" si="86"/>
        <v>0</v>
      </c>
      <c r="H454" s="4">
        <f t="shared" si="87"/>
        <v>0</v>
      </c>
      <c r="I454" s="61" t="e">
        <f t="shared" si="88"/>
        <v>#DIV/0!</v>
      </c>
    </row>
    <row r="455" spans="1:9" x14ac:dyDescent="0.25">
      <c r="A455" s="117" t="s">
        <v>11</v>
      </c>
      <c r="B455" s="20">
        <f t="shared" si="89"/>
        <v>42012</v>
      </c>
      <c r="G455" s="4">
        <f t="shared" si="86"/>
        <v>0</v>
      </c>
      <c r="H455" s="4">
        <f t="shared" si="87"/>
        <v>0</v>
      </c>
      <c r="I455" s="61" t="e">
        <f t="shared" si="88"/>
        <v>#DIV/0!</v>
      </c>
    </row>
    <row r="456" spans="1:9" x14ac:dyDescent="0.25">
      <c r="A456" s="117" t="s">
        <v>11</v>
      </c>
      <c r="B456" s="20">
        <f t="shared" si="89"/>
        <v>42019</v>
      </c>
      <c r="G456" s="4">
        <f t="shared" si="86"/>
        <v>0</v>
      </c>
      <c r="H456" s="4">
        <f t="shared" si="87"/>
        <v>0</v>
      </c>
      <c r="I456" s="61" t="e">
        <f t="shared" si="88"/>
        <v>#DIV/0!</v>
      </c>
    </row>
    <row r="457" spans="1:9" x14ac:dyDescent="0.25">
      <c r="A457" s="117" t="s">
        <v>11</v>
      </c>
      <c r="B457" s="20">
        <f t="shared" si="89"/>
        <v>42026</v>
      </c>
      <c r="G457" s="4">
        <f t="shared" si="86"/>
        <v>0</v>
      </c>
      <c r="H457" s="4">
        <f t="shared" si="87"/>
        <v>0</v>
      </c>
      <c r="I457" s="61" t="e">
        <f t="shared" si="88"/>
        <v>#DIV/0!</v>
      </c>
    </row>
    <row r="458" spans="1:9" x14ac:dyDescent="0.25">
      <c r="A458" s="117" t="s">
        <v>11</v>
      </c>
      <c r="B458" s="20">
        <f t="shared" si="89"/>
        <v>42033</v>
      </c>
      <c r="G458" s="4">
        <f t="shared" si="86"/>
        <v>0</v>
      </c>
      <c r="H458" s="4">
        <f t="shared" si="87"/>
        <v>0</v>
      </c>
      <c r="I458" s="61" t="e">
        <f t="shared" si="88"/>
        <v>#DIV/0!</v>
      </c>
    </row>
    <row r="459" spans="1:9" x14ac:dyDescent="0.25">
      <c r="A459" s="117" t="s">
        <v>11</v>
      </c>
      <c r="B459" s="20">
        <f t="shared" si="89"/>
        <v>42040</v>
      </c>
      <c r="G459" s="4">
        <f t="shared" si="86"/>
        <v>0</v>
      </c>
      <c r="H459" s="4">
        <f t="shared" si="87"/>
        <v>0</v>
      </c>
      <c r="I459" s="61" t="e">
        <f t="shared" si="88"/>
        <v>#DIV/0!</v>
      </c>
    </row>
    <row r="460" spans="1:9" x14ac:dyDescent="0.25">
      <c r="A460" s="117" t="s">
        <v>11</v>
      </c>
      <c r="B460" s="20">
        <f t="shared" si="89"/>
        <v>42047</v>
      </c>
      <c r="G460" s="4">
        <f t="shared" si="86"/>
        <v>0</v>
      </c>
      <c r="H460" s="4">
        <f t="shared" si="87"/>
        <v>0</v>
      </c>
      <c r="I460" s="61" t="e">
        <f t="shared" si="88"/>
        <v>#DIV/0!</v>
      </c>
    </row>
    <row r="461" spans="1:9" x14ac:dyDescent="0.25">
      <c r="A461" s="117" t="s">
        <v>11</v>
      </c>
      <c r="B461" s="20">
        <f t="shared" si="89"/>
        <v>42054</v>
      </c>
      <c r="G461" s="4">
        <f t="shared" si="86"/>
        <v>0</v>
      </c>
      <c r="H461" s="4">
        <f t="shared" si="87"/>
        <v>0</v>
      </c>
      <c r="I461" s="61" t="e">
        <f t="shared" si="88"/>
        <v>#DIV/0!</v>
      </c>
    </row>
    <row r="462" spans="1:9" x14ac:dyDescent="0.25">
      <c r="A462" s="117" t="s">
        <v>11</v>
      </c>
      <c r="B462" s="20">
        <f t="shared" si="89"/>
        <v>42061</v>
      </c>
      <c r="G462" s="4">
        <f t="shared" si="86"/>
        <v>0</v>
      </c>
      <c r="H462" s="4">
        <f t="shared" si="87"/>
        <v>0</v>
      </c>
      <c r="I462" s="61" t="e">
        <f t="shared" si="88"/>
        <v>#DIV/0!</v>
      </c>
    </row>
    <row r="463" spans="1:9" x14ac:dyDescent="0.25">
      <c r="A463" s="117" t="s">
        <v>11</v>
      </c>
      <c r="B463" s="20">
        <f t="shared" si="89"/>
        <v>42068</v>
      </c>
      <c r="G463" s="4">
        <f t="shared" si="86"/>
        <v>0</v>
      </c>
      <c r="H463" s="4">
        <f t="shared" si="87"/>
        <v>0</v>
      </c>
      <c r="I463" s="61" t="e">
        <f t="shared" si="88"/>
        <v>#DIV/0!</v>
      </c>
    </row>
    <row r="464" spans="1:9" x14ac:dyDescent="0.25">
      <c r="A464" s="117" t="s">
        <v>11</v>
      </c>
      <c r="B464" s="20">
        <f t="shared" si="89"/>
        <v>42075</v>
      </c>
      <c r="G464" s="4">
        <f t="shared" si="86"/>
        <v>0</v>
      </c>
      <c r="H464" s="4">
        <f t="shared" si="87"/>
        <v>0</v>
      </c>
      <c r="I464" s="61" t="e">
        <f t="shared" si="88"/>
        <v>#DIV/0!</v>
      </c>
    </row>
    <row r="465" spans="1:9" x14ac:dyDescent="0.25">
      <c r="A465" s="117" t="s">
        <v>11</v>
      </c>
      <c r="B465" s="20">
        <f t="shared" si="89"/>
        <v>42082</v>
      </c>
      <c r="G465" s="4">
        <f t="shared" si="86"/>
        <v>0</v>
      </c>
      <c r="H465" s="4">
        <f t="shared" si="87"/>
        <v>0</v>
      </c>
      <c r="I465" s="61" t="e">
        <f t="shared" si="88"/>
        <v>#DIV/0!</v>
      </c>
    </row>
    <row r="466" spans="1:9" x14ac:dyDescent="0.25">
      <c r="A466" s="117" t="s">
        <v>11</v>
      </c>
      <c r="B466" s="20">
        <f t="shared" si="89"/>
        <v>42089</v>
      </c>
      <c r="G466" s="4">
        <f t="shared" si="86"/>
        <v>0</v>
      </c>
      <c r="H466" s="4">
        <f t="shared" si="87"/>
        <v>0</v>
      </c>
      <c r="I466" s="61" t="e">
        <f t="shared" si="88"/>
        <v>#DIV/0!</v>
      </c>
    </row>
    <row r="467" spans="1:9" x14ac:dyDescent="0.25">
      <c r="A467" s="117" t="s">
        <v>11</v>
      </c>
      <c r="B467" s="20">
        <f t="shared" si="89"/>
        <v>42096</v>
      </c>
      <c r="G467" s="4">
        <f t="shared" si="86"/>
        <v>0</v>
      </c>
      <c r="H467" s="4">
        <f t="shared" si="87"/>
        <v>0</v>
      </c>
      <c r="I467" s="61" t="e">
        <f t="shared" si="88"/>
        <v>#DIV/0!</v>
      </c>
    </row>
    <row r="468" spans="1:9" x14ac:dyDescent="0.25">
      <c r="A468" s="117" t="s">
        <v>11</v>
      </c>
      <c r="B468" s="20">
        <f t="shared" si="89"/>
        <v>42103</v>
      </c>
      <c r="G468" s="4">
        <f t="shared" ref="G468:G531" si="90">+C468+E468</f>
        <v>0</v>
      </c>
      <c r="H468" s="4">
        <f t="shared" ref="H468:H531" si="91">+D468+F468</f>
        <v>0</v>
      </c>
      <c r="I468" s="61" t="e">
        <f t="shared" ref="I468:I531" si="92">+(G468/H468-1)*100</f>
        <v>#DIV/0!</v>
      </c>
    </row>
    <row r="469" spans="1:9" x14ac:dyDescent="0.25">
      <c r="A469" s="117" t="s">
        <v>11</v>
      </c>
      <c r="B469" s="20">
        <f t="shared" si="89"/>
        <v>42110</v>
      </c>
      <c r="G469" s="4">
        <f t="shared" si="90"/>
        <v>0</v>
      </c>
      <c r="H469" s="4">
        <f t="shared" si="91"/>
        <v>0</v>
      </c>
      <c r="I469" s="61" t="e">
        <f t="shared" si="92"/>
        <v>#DIV/0!</v>
      </c>
    </row>
    <row r="470" spans="1:9" x14ac:dyDescent="0.25">
      <c r="A470" s="117" t="s">
        <v>11</v>
      </c>
      <c r="B470" s="20">
        <f t="shared" si="89"/>
        <v>42117</v>
      </c>
      <c r="G470" s="4">
        <f t="shared" si="90"/>
        <v>0</v>
      </c>
      <c r="H470" s="4">
        <f t="shared" si="91"/>
        <v>0</v>
      </c>
      <c r="I470" s="61" t="e">
        <f t="shared" si="92"/>
        <v>#DIV/0!</v>
      </c>
    </row>
    <row r="471" spans="1:9" x14ac:dyDescent="0.25">
      <c r="A471" s="117" t="s">
        <v>11</v>
      </c>
      <c r="B471" s="20">
        <f t="shared" si="89"/>
        <v>42124</v>
      </c>
      <c r="G471" s="4">
        <f t="shared" si="90"/>
        <v>0</v>
      </c>
      <c r="H471" s="4">
        <f t="shared" si="91"/>
        <v>0</v>
      </c>
      <c r="I471" s="61" t="e">
        <f t="shared" si="92"/>
        <v>#DIV/0!</v>
      </c>
    </row>
    <row r="472" spans="1:9" x14ac:dyDescent="0.25">
      <c r="A472" s="117" t="s">
        <v>11</v>
      </c>
      <c r="B472" s="20">
        <f t="shared" si="89"/>
        <v>42131</v>
      </c>
      <c r="G472" s="4">
        <f t="shared" si="90"/>
        <v>0</v>
      </c>
      <c r="H472" s="4">
        <f t="shared" si="91"/>
        <v>0</v>
      </c>
      <c r="I472" s="61" t="e">
        <f t="shared" si="92"/>
        <v>#DIV/0!</v>
      </c>
    </row>
    <row r="473" spans="1:9" x14ac:dyDescent="0.25">
      <c r="A473" s="117" t="s">
        <v>11</v>
      </c>
      <c r="B473" s="20">
        <f t="shared" si="89"/>
        <v>42138</v>
      </c>
      <c r="G473" s="4">
        <f t="shared" si="90"/>
        <v>0</v>
      </c>
      <c r="H473" s="4">
        <f t="shared" si="91"/>
        <v>0</v>
      </c>
      <c r="I473" s="61" t="e">
        <f t="shared" si="92"/>
        <v>#DIV/0!</v>
      </c>
    </row>
    <row r="474" spans="1:9" x14ac:dyDescent="0.25">
      <c r="A474" s="117" t="s">
        <v>11</v>
      </c>
      <c r="B474" s="20">
        <f t="shared" si="89"/>
        <v>42145</v>
      </c>
      <c r="G474" s="4">
        <f t="shared" si="90"/>
        <v>0</v>
      </c>
      <c r="H474" s="4">
        <f t="shared" si="91"/>
        <v>0</v>
      </c>
      <c r="I474" s="61" t="e">
        <f t="shared" si="92"/>
        <v>#DIV/0!</v>
      </c>
    </row>
    <row r="475" spans="1:9" x14ac:dyDescent="0.25">
      <c r="A475" s="117" t="s">
        <v>11</v>
      </c>
      <c r="B475" s="20">
        <f t="shared" si="89"/>
        <v>42152</v>
      </c>
      <c r="G475" s="4">
        <f t="shared" si="90"/>
        <v>0</v>
      </c>
      <c r="H475" s="4">
        <f t="shared" si="91"/>
        <v>0</v>
      </c>
      <c r="I475" s="61" t="e">
        <f t="shared" si="92"/>
        <v>#DIV/0!</v>
      </c>
    </row>
    <row r="476" spans="1:9" x14ac:dyDescent="0.25">
      <c r="A476" s="117" t="s">
        <v>11</v>
      </c>
      <c r="B476" s="20">
        <f t="shared" si="89"/>
        <v>42159</v>
      </c>
      <c r="G476" s="4">
        <f t="shared" si="90"/>
        <v>0</v>
      </c>
      <c r="H476" s="4">
        <f t="shared" si="91"/>
        <v>0</v>
      </c>
      <c r="I476" s="61" t="e">
        <f t="shared" si="92"/>
        <v>#DIV/0!</v>
      </c>
    </row>
    <row r="477" spans="1:9" x14ac:dyDescent="0.25">
      <c r="A477" s="117" t="s">
        <v>11</v>
      </c>
      <c r="B477" s="20">
        <f t="shared" si="89"/>
        <v>42166</v>
      </c>
      <c r="G477" s="4">
        <f t="shared" si="90"/>
        <v>0</v>
      </c>
      <c r="H477" s="4">
        <f t="shared" si="91"/>
        <v>0</v>
      </c>
      <c r="I477" s="61" t="e">
        <f t="shared" si="92"/>
        <v>#DIV/0!</v>
      </c>
    </row>
    <row r="478" spans="1:9" x14ac:dyDescent="0.25">
      <c r="A478" s="117" t="s">
        <v>11</v>
      </c>
      <c r="B478" s="20">
        <f t="shared" si="89"/>
        <v>42173</v>
      </c>
      <c r="G478" s="4">
        <f t="shared" si="90"/>
        <v>0</v>
      </c>
      <c r="H478" s="4">
        <f t="shared" si="91"/>
        <v>0</v>
      </c>
      <c r="I478" s="61" t="e">
        <f t="shared" si="92"/>
        <v>#DIV/0!</v>
      </c>
    </row>
    <row r="479" spans="1:9" x14ac:dyDescent="0.25">
      <c r="A479" s="117" t="s">
        <v>11</v>
      </c>
      <c r="B479" s="20">
        <f t="shared" si="89"/>
        <v>42180</v>
      </c>
      <c r="G479" s="4">
        <f t="shared" si="90"/>
        <v>0</v>
      </c>
      <c r="H479" s="4">
        <f t="shared" si="91"/>
        <v>0</v>
      </c>
      <c r="I479" s="61" t="e">
        <f t="shared" si="92"/>
        <v>#DIV/0!</v>
      </c>
    </row>
    <row r="480" spans="1:9" x14ac:dyDescent="0.25">
      <c r="A480" s="117" t="s">
        <v>11</v>
      </c>
      <c r="B480" s="20">
        <f t="shared" si="89"/>
        <v>42187</v>
      </c>
      <c r="G480" s="4">
        <f t="shared" si="90"/>
        <v>0</v>
      </c>
      <c r="H480" s="4">
        <f t="shared" si="91"/>
        <v>0</v>
      </c>
      <c r="I480" s="61" t="e">
        <f t="shared" si="92"/>
        <v>#DIV/0!</v>
      </c>
    </row>
    <row r="481" spans="1:9" x14ac:dyDescent="0.25">
      <c r="A481" s="117" t="s">
        <v>11</v>
      </c>
      <c r="B481" s="20">
        <f t="shared" si="89"/>
        <v>42194</v>
      </c>
      <c r="G481" s="4">
        <f t="shared" si="90"/>
        <v>0</v>
      </c>
      <c r="H481" s="4">
        <f t="shared" si="91"/>
        <v>0</v>
      </c>
      <c r="I481" s="61" t="e">
        <f t="shared" si="92"/>
        <v>#DIV/0!</v>
      </c>
    </row>
    <row r="482" spans="1:9" x14ac:dyDescent="0.25">
      <c r="A482" s="117" t="s">
        <v>11</v>
      </c>
      <c r="B482" s="20">
        <f t="shared" si="89"/>
        <v>42201</v>
      </c>
      <c r="G482" s="4">
        <f t="shared" si="90"/>
        <v>0</v>
      </c>
      <c r="H482" s="4">
        <f t="shared" si="91"/>
        <v>0</v>
      </c>
      <c r="I482" s="61" t="e">
        <f t="shared" si="92"/>
        <v>#DIV/0!</v>
      </c>
    </row>
    <row r="483" spans="1:9" x14ac:dyDescent="0.25">
      <c r="A483" s="117" t="s">
        <v>11</v>
      </c>
      <c r="B483" s="20">
        <f t="shared" si="89"/>
        <v>42208</v>
      </c>
      <c r="G483" s="4">
        <f t="shared" si="90"/>
        <v>0</v>
      </c>
      <c r="H483" s="4">
        <f t="shared" si="91"/>
        <v>0</v>
      </c>
      <c r="I483" s="61" t="e">
        <f t="shared" si="92"/>
        <v>#DIV/0!</v>
      </c>
    </row>
    <row r="484" spans="1:9" x14ac:dyDescent="0.25">
      <c r="A484" s="117" t="s">
        <v>11</v>
      </c>
      <c r="B484" s="20">
        <f t="shared" si="89"/>
        <v>42215</v>
      </c>
      <c r="G484" s="4">
        <f t="shared" si="90"/>
        <v>0</v>
      </c>
      <c r="H484" s="4">
        <f t="shared" si="91"/>
        <v>0</v>
      </c>
      <c r="I484" s="61" t="e">
        <f t="shared" si="92"/>
        <v>#DIV/0!</v>
      </c>
    </row>
    <row r="485" spans="1:9" x14ac:dyDescent="0.25">
      <c r="A485" s="117" t="s">
        <v>11</v>
      </c>
      <c r="B485" s="20">
        <f t="shared" si="89"/>
        <v>42222</v>
      </c>
      <c r="G485" s="4">
        <f t="shared" si="90"/>
        <v>0</v>
      </c>
      <c r="H485" s="4">
        <f t="shared" si="91"/>
        <v>0</v>
      </c>
      <c r="I485" s="61" t="e">
        <f t="shared" si="92"/>
        <v>#DIV/0!</v>
      </c>
    </row>
    <row r="486" spans="1:9" x14ac:dyDescent="0.25">
      <c r="A486" s="117" t="s">
        <v>11</v>
      </c>
      <c r="B486" s="20">
        <f t="shared" si="89"/>
        <v>42229</v>
      </c>
      <c r="G486" s="4">
        <f t="shared" si="90"/>
        <v>0</v>
      </c>
      <c r="H486" s="4">
        <f t="shared" si="91"/>
        <v>0</v>
      </c>
      <c r="I486" s="61" t="e">
        <f t="shared" si="92"/>
        <v>#DIV/0!</v>
      </c>
    </row>
    <row r="487" spans="1:9" x14ac:dyDescent="0.25">
      <c r="A487" s="117" t="s">
        <v>11</v>
      </c>
      <c r="B487" s="20">
        <f t="shared" si="89"/>
        <v>42236</v>
      </c>
      <c r="G487" s="4">
        <f t="shared" si="90"/>
        <v>0</v>
      </c>
      <c r="H487" s="4">
        <f t="shared" si="91"/>
        <v>0</v>
      </c>
      <c r="I487" s="61" t="e">
        <f t="shared" si="92"/>
        <v>#DIV/0!</v>
      </c>
    </row>
    <row r="488" spans="1:9" x14ac:dyDescent="0.25">
      <c r="A488" s="117" t="s">
        <v>11</v>
      </c>
      <c r="B488" s="20">
        <f t="shared" si="89"/>
        <v>42243</v>
      </c>
      <c r="G488" s="4">
        <f t="shared" si="90"/>
        <v>0</v>
      </c>
      <c r="H488" s="4">
        <f t="shared" si="91"/>
        <v>0</v>
      </c>
      <c r="I488" s="61" t="e">
        <f t="shared" si="92"/>
        <v>#DIV/0!</v>
      </c>
    </row>
    <row r="489" spans="1:9" x14ac:dyDescent="0.25">
      <c r="A489" s="117" t="s">
        <v>11</v>
      </c>
      <c r="B489" s="20">
        <f t="shared" si="89"/>
        <v>42250</v>
      </c>
      <c r="G489" s="4">
        <f t="shared" si="90"/>
        <v>0</v>
      </c>
      <c r="H489" s="4">
        <f t="shared" si="91"/>
        <v>0</v>
      </c>
      <c r="I489" s="61" t="e">
        <f t="shared" si="92"/>
        <v>#DIV/0!</v>
      </c>
    </row>
    <row r="490" spans="1:9" x14ac:dyDescent="0.25">
      <c r="A490" s="117" t="s">
        <v>11</v>
      </c>
      <c r="B490" s="20">
        <f t="shared" si="89"/>
        <v>42257</v>
      </c>
      <c r="G490" s="4">
        <f t="shared" si="90"/>
        <v>0</v>
      </c>
      <c r="H490" s="4">
        <f t="shared" si="91"/>
        <v>0</v>
      </c>
      <c r="I490" s="61" t="e">
        <f t="shared" si="92"/>
        <v>#DIV/0!</v>
      </c>
    </row>
    <row r="491" spans="1:9" x14ac:dyDescent="0.25">
      <c r="A491" s="117" t="s">
        <v>11</v>
      </c>
      <c r="B491" s="20">
        <f t="shared" si="89"/>
        <v>42264</v>
      </c>
      <c r="G491" s="4">
        <f t="shared" si="90"/>
        <v>0</v>
      </c>
      <c r="H491" s="4">
        <f t="shared" si="91"/>
        <v>0</v>
      </c>
      <c r="I491" s="61" t="e">
        <f t="shared" si="92"/>
        <v>#DIV/0!</v>
      </c>
    </row>
    <row r="492" spans="1:9" x14ac:dyDescent="0.25">
      <c r="A492" s="117" t="s">
        <v>11</v>
      </c>
      <c r="B492" s="20">
        <f t="shared" si="89"/>
        <v>42271</v>
      </c>
      <c r="G492" s="4">
        <f t="shared" si="90"/>
        <v>0</v>
      </c>
      <c r="H492" s="4">
        <f t="shared" si="91"/>
        <v>0</v>
      </c>
      <c r="I492" s="61" t="e">
        <f t="shared" si="92"/>
        <v>#DIV/0!</v>
      </c>
    </row>
    <row r="493" spans="1:9" x14ac:dyDescent="0.25">
      <c r="A493" s="117" t="s">
        <v>11</v>
      </c>
      <c r="B493" s="20">
        <f t="shared" si="89"/>
        <v>42278</v>
      </c>
      <c r="G493" s="4">
        <f t="shared" si="90"/>
        <v>0</v>
      </c>
      <c r="H493" s="4">
        <f t="shared" si="91"/>
        <v>0</v>
      </c>
      <c r="I493" s="61" t="e">
        <f t="shared" si="92"/>
        <v>#DIV/0!</v>
      </c>
    </row>
    <row r="494" spans="1:9" x14ac:dyDescent="0.25">
      <c r="A494" s="117" t="s">
        <v>11</v>
      </c>
      <c r="B494" s="20">
        <f t="shared" si="89"/>
        <v>42285</v>
      </c>
      <c r="G494" s="4">
        <f t="shared" si="90"/>
        <v>0</v>
      </c>
      <c r="H494" s="4">
        <f t="shared" si="91"/>
        <v>0</v>
      </c>
      <c r="I494" s="61" t="e">
        <f t="shared" si="92"/>
        <v>#DIV/0!</v>
      </c>
    </row>
    <row r="495" spans="1:9" x14ac:dyDescent="0.25">
      <c r="A495" s="117" t="s">
        <v>11</v>
      </c>
      <c r="B495" s="20">
        <f t="shared" si="89"/>
        <v>42292</v>
      </c>
      <c r="G495" s="4">
        <f t="shared" si="90"/>
        <v>0</v>
      </c>
      <c r="H495" s="4">
        <f t="shared" si="91"/>
        <v>0</v>
      </c>
      <c r="I495" s="61" t="e">
        <f t="shared" si="92"/>
        <v>#DIV/0!</v>
      </c>
    </row>
    <row r="496" spans="1:9" x14ac:dyDescent="0.25">
      <c r="A496" s="117" t="s">
        <v>11</v>
      </c>
      <c r="B496" s="20">
        <f t="shared" si="89"/>
        <v>42299</v>
      </c>
      <c r="G496" s="4">
        <f t="shared" si="90"/>
        <v>0</v>
      </c>
      <c r="H496" s="4">
        <f t="shared" si="91"/>
        <v>0</v>
      </c>
      <c r="I496" s="61" t="e">
        <f t="shared" si="92"/>
        <v>#DIV/0!</v>
      </c>
    </row>
    <row r="497" spans="1:9" x14ac:dyDescent="0.25">
      <c r="A497" s="117" t="s">
        <v>11</v>
      </c>
      <c r="B497" s="20">
        <f t="shared" si="89"/>
        <v>42306</v>
      </c>
      <c r="G497" s="4">
        <f t="shared" si="90"/>
        <v>0</v>
      </c>
      <c r="H497" s="4">
        <f t="shared" si="91"/>
        <v>0</v>
      </c>
      <c r="I497" s="61" t="e">
        <f t="shared" si="92"/>
        <v>#DIV/0!</v>
      </c>
    </row>
    <row r="498" spans="1:9" x14ac:dyDescent="0.25">
      <c r="A498" s="117" t="s">
        <v>11</v>
      </c>
      <c r="B498" s="20">
        <f t="shared" si="89"/>
        <v>42313</v>
      </c>
      <c r="G498" s="4">
        <f t="shared" si="90"/>
        <v>0</v>
      </c>
      <c r="H498" s="4">
        <f t="shared" si="91"/>
        <v>0</v>
      </c>
      <c r="I498" s="61" t="e">
        <f t="shared" si="92"/>
        <v>#DIV/0!</v>
      </c>
    </row>
    <row r="499" spans="1:9" x14ac:dyDescent="0.25">
      <c r="A499" s="117" t="s">
        <v>11</v>
      </c>
      <c r="B499" s="20">
        <f t="shared" si="89"/>
        <v>42320</v>
      </c>
      <c r="G499" s="4">
        <f t="shared" si="90"/>
        <v>0</v>
      </c>
      <c r="H499" s="4">
        <f t="shared" si="91"/>
        <v>0</v>
      </c>
      <c r="I499" s="61" t="e">
        <f t="shared" si="92"/>
        <v>#DIV/0!</v>
      </c>
    </row>
    <row r="500" spans="1:9" x14ac:dyDescent="0.25">
      <c r="A500" s="117" t="s">
        <v>11</v>
      </c>
      <c r="B500" s="20">
        <f t="shared" si="89"/>
        <v>42327</v>
      </c>
      <c r="G500" s="4">
        <f t="shared" si="90"/>
        <v>0</v>
      </c>
      <c r="H500" s="4">
        <f t="shared" si="91"/>
        <v>0</v>
      </c>
      <c r="I500" s="61" t="e">
        <f t="shared" si="92"/>
        <v>#DIV/0!</v>
      </c>
    </row>
    <row r="501" spans="1:9" x14ac:dyDescent="0.25">
      <c r="A501" s="117" t="s">
        <v>11</v>
      </c>
      <c r="B501" s="20">
        <f t="shared" si="89"/>
        <v>42334</v>
      </c>
      <c r="G501" s="4">
        <f t="shared" si="90"/>
        <v>0</v>
      </c>
      <c r="H501" s="4">
        <f t="shared" si="91"/>
        <v>0</v>
      </c>
      <c r="I501" s="61" t="e">
        <f t="shared" si="92"/>
        <v>#DIV/0!</v>
      </c>
    </row>
    <row r="502" spans="1:9" x14ac:dyDescent="0.25">
      <c r="A502" s="117" t="s">
        <v>11</v>
      </c>
      <c r="B502" s="20">
        <f t="shared" si="89"/>
        <v>42341</v>
      </c>
      <c r="G502" s="4">
        <f t="shared" si="90"/>
        <v>0</v>
      </c>
      <c r="H502" s="4">
        <f t="shared" si="91"/>
        <v>0</v>
      </c>
      <c r="I502" s="61" t="e">
        <f t="shared" si="92"/>
        <v>#DIV/0!</v>
      </c>
    </row>
    <row r="503" spans="1:9" x14ac:dyDescent="0.25">
      <c r="A503" s="117" t="s">
        <v>11</v>
      </c>
      <c r="B503" s="20">
        <f t="shared" si="89"/>
        <v>42348</v>
      </c>
      <c r="G503" s="4">
        <f t="shared" si="90"/>
        <v>0</v>
      </c>
      <c r="H503" s="4">
        <f t="shared" si="91"/>
        <v>0</v>
      </c>
      <c r="I503" s="61" t="e">
        <f t="shared" si="92"/>
        <v>#DIV/0!</v>
      </c>
    </row>
    <row r="504" spans="1:9" x14ac:dyDescent="0.25">
      <c r="A504" s="117" t="s">
        <v>11</v>
      </c>
      <c r="B504" s="20">
        <f t="shared" si="89"/>
        <v>42355</v>
      </c>
      <c r="G504" s="4">
        <f t="shared" si="90"/>
        <v>0</v>
      </c>
      <c r="H504" s="4">
        <f t="shared" si="91"/>
        <v>0</v>
      </c>
      <c r="I504" s="61" t="e">
        <f t="shared" si="92"/>
        <v>#DIV/0!</v>
      </c>
    </row>
    <row r="505" spans="1:9" x14ac:dyDescent="0.25">
      <c r="A505" s="117" t="s">
        <v>11</v>
      </c>
      <c r="B505" s="20">
        <f t="shared" si="89"/>
        <v>42362</v>
      </c>
      <c r="G505" s="4">
        <f t="shared" si="90"/>
        <v>0</v>
      </c>
      <c r="H505" s="4">
        <f t="shared" si="91"/>
        <v>0</v>
      </c>
      <c r="I505" s="61" t="e">
        <f t="shared" si="92"/>
        <v>#DIV/0!</v>
      </c>
    </row>
    <row r="506" spans="1:9" x14ac:dyDescent="0.25">
      <c r="A506" s="117" t="s">
        <v>11</v>
      </c>
      <c r="B506" s="20">
        <f t="shared" si="89"/>
        <v>42369</v>
      </c>
      <c r="G506" s="4">
        <f t="shared" si="90"/>
        <v>0</v>
      </c>
      <c r="H506" s="4">
        <f t="shared" si="91"/>
        <v>0</v>
      </c>
      <c r="I506" s="61" t="e">
        <f t="shared" si="92"/>
        <v>#DIV/0!</v>
      </c>
    </row>
    <row r="507" spans="1:9" x14ac:dyDescent="0.25">
      <c r="A507" s="117" t="s">
        <v>11</v>
      </c>
      <c r="B507" s="20">
        <f t="shared" si="89"/>
        <v>42376</v>
      </c>
      <c r="G507" s="4">
        <f t="shared" si="90"/>
        <v>0</v>
      </c>
      <c r="H507" s="4">
        <f t="shared" si="91"/>
        <v>0</v>
      </c>
      <c r="I507" s="61" t="e">
        <f t="shared" si="92"/>
        <v>#DIV/0!</v>
      </c>
    </row>
    <row r="508" spans="1:9" x14ac:dyDescent="0.25">
      <c r="A508" s="117" t="s">
        <v>11</v>
      </c>
      <c r="B508" s="20">
        <f t="shared" si="89"/>
        <v>42383</v>
      </c>
      <c r="G508" s="4">
        <f t="shared" si="90"/>
        <v>0</v>
      </c>
      <c r="H508" s="4">
        <f t="shared" si="91"/>
        <v>0</v>
      </c>
      <c r="I508" s="61" t="e">
        <f t="shared" si="92"/>
        <v>#DIV/0!</v>
      </c>
    </row>
    <row r="509" spans="1:9" x14ac:dyDescent="0.25">
      <c r="A509" s="117" t="s">
        <v>11</v>
      </c>
      <c r="B509" s="20">
        <f t="shared" si="89"/>
        <v>42390</v>
      </c>
      <c r="G509" s="4">
        <f t="shared" si="90"/>
        <v>0</v>
      </c>
      <c r="H509" s="4">
        <f t="shared" si="91"/>
        <v>0</v>
      </c>
      <c r="I509" s="61" t="e">
        <f t="shared" si="92"/>
        <v>#DIV/0!</v>
      </c>
    </row>
    <row r="510" spans="1:9" x14ac:dyDescent="0.25">
      <c r="A510" s="117" t="s">
        <v>11</v>
      </c>
      <c r="B510" s="20">
        <f t="shared" ref="B510:B573" si="93">+B509+7</f>
        <v>42397</v>
      </c>
      <c r="G510" s="4">
        <f t="shared" si="90"/>
        <v>0</v>
      </c>
      <c r="H510" s="4">
        <f t="shared" si="91"/>
        <v>0</v>
      </c>
      <c r="I510" s="61" t="e">
        <f t="shared" si="92"/>
        <v>#DIV/0!</v>
      </c>
    </row>
    <row r="511" spans="1:9" x14ac:dyDescent="0.25">
      <c r="A511" s="117" t="s">
        <v>11</v>
      </c>
      <c r="B511" s="20">
        <f t="shared" si="93"/>
        <v>42404</v>
      </c>
      <c r="G511" s="4">
        <f t="shared" si="90"/>
        <v>0</v>
      </c>
      <c r="H511" s="4">
        <f t="shared" si="91"/>
        <v>0</v>
      </c>
      <c r="I511" s="61" t="e">
        <f t="shared" si="92"/>
        <v>#DIV/0!</v>
      </c>
    </row>
    <row r="512" spans="1:9" x14ac:dyDescent="0.25">
      <c r="A512" s="117" t="s">
        <v>11</v>
      </c>
      <c r="B512" s="20">
        <f t="shared" si="93"/>
        <v>42411</v>
      </c>
      <c r="G512" s="4">
        <f t="shared" si="90"/>
        <v>0</v>
      </c>
      <c r="H512" s="4">
        <f t="shared" si="91"/>
        <v>0</v>
      </c>
      <c r="I512" s="61" t="e">
        <f t="shared" si="92"/>
        <v>#DIV/0!</v>
      </c>
    </row>
    <row r="513" spans="1:9" x14ac:dyDescent="0.25">
      <c r="A513" s="117" t="s">
        <v>11</v>
      </c>
      <c r="B513" s="20">
        <f t="shared" si="93"/>
        <v>42418</v>
      </c>
      <c r="G513" s="4">
        <f t="shared" si="90"/>
        <v>0</v>
      </c>
      <c r="H513" s="4">
        <f t="shared" si="91"/>
        <v>0</v>
      </c>
      <c r="I513" s="61" t="e">
        <f t="shared" si="92"/>
        <v>#DIV/0!</v>
      </c>
    </row>
    <row r="514" spans="1:9" x14ac:dyDescent="0.25">
      <c r="A514" s="117" t="s">
        <v>11</v>
      </c>
      <c r="B514" s="20">
        <f t="shared" si="93"/>
        <v>42425</v>
      </c>
      <c r="G514" s="4">
        <f t="shared" si="90"/>
        <v>0</v>
      </c>
      <c r="H514" s="4">
        <f t="shared" si="91"/>
        <v>0</v>
      </c>
      <c r="I514" s="61" t="e">
        <f t="shared" si="92"/>
        <v>#DIV/0!</v>
      </c>
    </row>
    <row r="515" spans="1:9" x14ac:dyDescent="0.25">
      <c r="A515" s="117" t="s">
        <v>11</v>
      </c>
      <c r="B515" s="20">
        <f t="shared" si="93"/>
        <v>42432</v>
      </c>
      <c r="G515" s="4">
        <f t="shared" si="90"/>
        <v>0</v>
      </c>
      <c r="H515" s="4">
        <f t="shared" si="91"/>
        <v>0</v>
      </c>
      <c r="I515" s="61" t="e">
        <f t="shared" si="92"/>
        <v>#DIV/0!</v>
      </c>
    </row>
    <row r="516" spans="1:9" x14ac:dyDescent="0.25">
      <c r="A516" s="117" t="s">
        <v>11</v>
      </c>
      <c r="B516" s="20">
        <f t="shared" si="93"/>
        <v>42439</v>
      </c>
      <c r="G516" s="4">
        <f t="shared" si="90"/>
        <v>0</v>
      </c>
      <c r="H516" s="4">
        <f t="shared" si="91"/>
        <v>0</v>
      </c>
      <c r="I516" s="61" t="e">
        <f t="shared" si="92"/>
        <v>#DIV/0!</v>
      </c>
    </row>
    <row r="517" spans="1:9" x14ac:dyDescent="0.25">
      <c r="A517" s="117" t="s">
        <v>11</v>
      </c>
      <c r="B517" s="20">
        <f t="shared" si="93"/>
        <v>42446</v>
      </c>
      <c r="G517" s="4">
        <f t="shared" si="90"/>
        <v>0</v>
      </c>
      <c r="H517" s="4">
        <f t="shared" si="91"/>
        <v>0</v>
      </c>
      <c r="I517" s="61" t="e">
        <f t="shared" si="92"/>
        <v>#DIV/0!</v>
      </c>
    </row>
    <row r="518" spans="1:9" x14ac:dyDescent="0.25">
      <c r="A518" s="117" t="s">
        <v>11</v>
      </c>
      <c r="B518" s="20">
        <f t="shared" si="93"/>
        <v>42453</v>
      </c>
      <c r="G518" s="4">
        <f t="shared" si="90"/>
        <v>0</v>
      </c>
      <c r="H518" s="4">
        <f t="shared" si="91"/>
        <v>0</v>
      </c>
      <c r="I518" s="61" t="e">
        <f t="shared" si="92"/>
        <v>#DIV/0!</v>
      </c>
    </row>
    <row r="519" spans="1:9" x14ac:dyDescent="0.25">
      <c r="A519" s="117" t="s">
        <v>11</v>
      </c>
      <c r="B519" s="20">
        <f t="shared" si="93"/>
        <v>42460</v>
      </c>
      <c r="G519" s="4">
        <f t="shared" si="90"/>
        <v>0</v>
      </c>
      <c r="H519" s="4">
        <f t="shared" si="91"/>
        <v>0</v>
      </c>
      <c r="I519" s="61" t="e">
        <f t="shared" si="92"/>
        <v>#DIV/0!</v>
      </c>
    </row>
    <row r="520" spans="1:9" x14ac:dyDescent="0.25">
      <c r="A520" s="117" t="s">
        <v>11</v>
      </c>
      <c r="B520" s="20">
        <f t="shared" si="93"/>
        <v>42467</v>
      </c>
      <c r="G520" s="4">
        <f t="shared" si="90"/>
        <v>0</v>
      </c>
      <c r="H520" s="4">
        <f t="shared" si="91"/>
        <v>0</v>
      </c>
      <c r="I520" s="61" t="e">
        <f t="shared" si="92"/>
        <v>#DIV/0!</v>
      </c>
    </row>
    <row r="521" spans="1:9" x14ac:dyDescent="0.25">
      <c r="A521" s="117" t="s">
        <v>11</v>
      </c>
      <c r="B521" s="20">
        <f t="shared" si="93"/>
        <v>42474</v>
      </c>
      <c r="G521" s="4">
        <f t="shared" si="90"/>
        <v>0</v>
      </c>
      <c r="H521" s="4">
        <f t="shared" si="91"/>
        <v>0</v>
      </c>
      <c r="I521" s="61" t="e">
        <f t="shared" si="92"/>
        <v>#DIV/0!</v>
      </c>
    </row>
    <row r="522" spans="1:9" x14ac:dyDescent="0.25">
      <c r="A522" s="117" t="s">
        <v>11</v>
      </c>
      <c r="B522" s="20">
        <f t="shared" si="93"/>
        <v>42481</v>
      </c>
      <c r="G522" s="4">
        <f t="shared" si="90"/>
        <v>0</v>
      </c>
      <c r="H522" s="4">
        <f t="shared" si="91"/>
        <v>0</v>
      </c>
      <c r="I522" s="61" t="e">
        <f t="shared" si="92"/>
        <v>#DIV/0!</v>
      </c>
    </row>
    <row r="523" spans="1:9" x14ac:dyDescent="0.25">
      <c r="A523" s="117" t="s">
        <v>11</v>
      </c>
      <c r="B523" s="20">
        <f t="shared" si="93"/>
        <v>42488</v>
      </c>
      <c r="G523" s="4">
        <f t="shared" si="90"/>
        <v>0</v>
      </c>
      <c r="H523" s="4">
        <f t="shared" si="91"/>
        <v>0</v>
      </c>
      <c r="I523" s="61" t="e">
        <f t="shared" si="92"/>
        <v>#DIV/0!</v>
      </c>
    </row>
    <row r="524" spans="1:9" x14ac:dyDescent="0.25">
      <c r="A524" s="117" t="s">
        <v>11</v>
      </c>
      <c r="B524" s="20">
        <f t="shared" si="93"/>
        <v>42495</v>
      </c>
      <c r="G524" s="4">
        <f t="shared" si="90"/>
        <v>0</v>
      </c>
      <c r="H524" s="4">
        <f t="shared" si="91"/>
        <v>0</v>
      </c>
      <c r="I524" s="61" t="e">
        <f t="shared" si="92"/>
        <v>#DIV/0!</v>
      </c>
    </row>
    <row r="525" spans="1:9" x14ac:dyDescent="0.25">
      <c r="A525" s="117" t="s">
        <v>11</v>
      </c>
      <c r="B525" s="20">
        <f t="shared" si="93"/>
        <v>42502</v>
      </c>
      <c r="G525" s="4">
        <f t="shared" si="90"/>
        <v>0</v>
      </c>
      <c r="H525" s="4">
        <f t="shared" si="91"/>
        <v>0</v>
      </c>
      <c r="I525" s="61" t="e">
        <f t="shared" si="92"/>
        <v>#DIV/0!</v>
      </c>
    </row>
    <row r="526" spans="1:9" x14ac:dyDescent="0.25">
      <c r="A526" s="117" t="s">
        <v>11</v>
      </c>
      <c r="B526" s="20">
        <f t="shared" si="93"/>
        <v>42509</v>
      </c>
      <c r="G526" s="4">
        <f t="shared" si="90"/>
        <v>0</v>
      </c>
      <c r="H526" s="4">
        <f t="shared" si="91"/>
        <v>0</v>
      </c>
      <c r="I526" s="61" t="e">
        <f t="shared" si="92"/>
        <v>#DIV/0!</v>
      </c>
    </row>
    <row r="527" spans="1:9" x14ac:dyDescent="0.25">
      <c r="A527" s="117" t="s">
        <v>11</v>
      </c>
      <c r="B527" s="20">
        <f t="shared" si="93"/>
        <v>42516</v>
      </c>
      <c r="G527" s="4">
        <f t="shared" si="90"/>
        <v>0</v>
      </c>
      <c r="H527" s="4">
        <f t="shared" si="91"/>
        <v>0</v>
      </c>
      <c r="I527" s="61" t="e">
        <f t="shared" si="92"/>
        <v>#DIV/0!</v>
      </c>
    </row>
    <row r="528" spans="1:9" x14ac:dyDescent="0.25">
      <c r="A528" s="117" t="s">
        <v>11</v>
      </c>
      <c r="B528" s="20">
        <f t="shared" si="93"/>
        <v>42523</v>
      </c>
      <c r="G528" s="4">
        <f t="shared" si="90"/>
        <v>0</v>
      </c>
      <c r="H528" s="4">
        <f t="shared" si="91"/>
        <v>0</v>
      </c>
      <c r="I528" s="61" t="e">
        <f t="shared" si="92"/>
        <v>#DIV/0!</v>
      </c>
    </row>
    <row r="529" spans="1:9" x14ac:dyDescent="0.25">
      <c r="A529" s="117" t="s">
        <v>11</v>
      </c>
      <c r="B529" s="20">
        <f t="shared" si="93"/>
        <v>42530</v>
      </c>
      <c r="G529" s="4">
        <f t="shared" si="90"/>
        <v>0</v>
      </c>
      <c r="H529" s="4">
        <f t="shared" si="91"/>
        <v>0</v>
      </c>
      <c r="I529" s="61" t="e">
        <f t="shared" si="92"/>
        <v>#DIV/0!</v>
      </c>
    </row>
    <row r="530" spans="1:9" x14ac:dyDescent="0.25">
      <c r="A530" s="117" t="s">
        <v>11</v>
      </c>
      <c r="B530" s="20">
        <f t="shared" si="93"/>
        <v>42537</v>
      </c>
      <c r="G530" s="4">
        <f t="shared" si="90"/>
        <v>0</v>
      </c>
      <c r="H530" s="4">
        <f t="shared" si="91"/>
        <v>0</v>
      </c>
      <c r="I530" s="61" t="e">
        <f t="shared" si="92"/>
        <v>#DIV/0!</v>
      </c>
    </row>
    <row r="531" spans="1:9" x14ac:dyDescent="0.25">
      <c r="A531" s="117" t="s">
        <v>11</v>
      </c>
      <c r="B531" s="20">
        <f t="shared" si="93"/>
        <v>42544</v>
      </c>
      <c r="G531" s="4">
        <f t="shared" si="90"/>
        <v>0</v>
      </c>
      <c r="H531" s="4">
        <f t="shared" si="91"/>
        <v>0</v>
      </c>
      <c r="I531" s="61" t="e">
        <f t="shared" si="92"/>
        <v>#DIV/0!</v>
      </c>
    </row>
    <row r="532" spans="1:9" x14ac:dyDescent="0.25">
      <c r="A532" s="117" t="s">
        <v>11</v>
      </c>
      <c r="B532" s="20">
        <f t="shared" si="93"/>
        <v>42551</v>
      </c>
      <c r="G532" s="4">
        <f t="shared" ref="G532:G595" si="94">+C532+E532</f>
        <v>0</v>
      </c>
      <c r="H532" s="4">
        <f t="shared" ref="H532:H595" si="95">+D532+F532</f>
        <v>0</v>
      </c>
      <c r="I532" s="61" t="e">
        <f t="shared" ref="I532:I595" si="96">+(G532/H532-1)*100</f>
        <v>#DIV/0!</v>
      </c>
    </row>
    <row r="533" spans="1:9" x14ac:dyDescent="0.25">
      <c r="A533" s="117" t="s">
        <v>11</v>
      </c>
      <c r="B533" s="20">
        <f t="shared" si="93"/>
        <v>42558</v>
      </c>
      <c r="G533" s="4">
        <f t="shared" si="94"/>
        <v>0</v>
      </c>
      <c r="H533" s="4">
        <f t="shared" si="95"/>
        <v>0</v>
      </c>
      <c r="I533" s="61" t="e">
        <f t="shared" si="96"/>
        <v>#DIV/0!</v>
      </c>
    </row>
    <row r="534" spans="1:9" x14ac:dyDescent="0.25">
      <c r="A534" s="117" t="s">
        <v>11</v>
      </c>
      <c r="B534" s="20">
        <f t="shared" si="93"/>
        <v>42565</v>
      </c>
      <c r="G534" s="4">
        <f t="shared" si="94"/>
        <v>0</v>
      </c>
      <c r="H534" s="4">
        <f t="shared" si="95"/>
        <v>0</v>
      </c>
      <c r="I534" s="61" t="e">
        <f t="shared" si="96"/>
        <v>#DIV/0!</v>
      </c>
    </row>
    <row r="535" spans="1:9" x14ac:dyDescent="0.25">
      <c r="A535" s="117" t="s">
        <v>11</v>
      </c>
      <c r="B535" s="20">
        <f t="shared" si="93"/>
        <v>42572</v>
      </c>
      <c r="G535" s="4">
        <f t="shared" si="94"/>
        <v>0</v>
      </c>
      <c r="H535" s="4">
        <f t="shared" si="95"/>
        <v>0</v>
      </c>
      <c r="I535" s="61" t="e">
        <f t="shared" si="96"/>
        <v>#DIV/0!</v>
      </c>
    </row>
    <row r="536" spans="1:9" x14ac:dyDescent="0.25">
      <c r="A536" s="117" t="s">
        <v>11</v>
      </c>
      <c r="B536" s="20">
        <f t="shared" si="93"/>
        <v>42579</v>
      </c>
      <c r="G536" s="4">
        <f t="shared" si="94"/>
        <v>0</v>
      </c>
      <c r="H536" s="4">
        <f t="shared" si="95"/>
        <v>0</v>
      </c>
      <c r="I536" s="61" t="e">
        <f t="shared" si="96"/>
        <v>#DIV/0!</v>
      </c>
    </row>
    <row r="537" spans="1:9" x14ac:dyDescent="0.25">
      <c r="A537" s="117" t="s">
        <v>11</v>
      </c>
      <c r="B537" s="20">
        <f t="shared" si="93"/>
        <v>42586</v>
      </c>
      <c r="G537" s="4">
        <f t="shared" si="94"/>
        <v>0</v>
      </c>
      <c r="H537" s="4">
        <f t="shared" si="95"/>
        <v>0</v>
      </c>
      <c r="I537" s="61" t="e">
        <f t="shared" si="96"/>
        <v>#DIV/0!</v>
      </c>
    </row>
    <row r="538" spans="1:9" x14ac:dyDescent="0.25">
      <c r="A538" s="117" t="s">
        <v>11</v>
      </c>
      <c r="B538" s="20">
        <f t="shared" si="93"/>
        <v>42593</v>
      </c>
      <c r="G538" s="4">
        <f t="shared" si="94"/>
        <v>0</v>
      </c>
      <c r="H538" s="4">
        <f t="shared" si="95"/>
        <v>0</v>
      </c>
      <c r="I538" s="61" t="e">
        <f t="shared" si="96"/>
        <v>#DIV/0!</v>
      </c>
    </row>
    <row r="539" spans="1:9" x14ac:dyDescent="0.25">
      <c r="A539" s="117" t="s">
        <v>11</v>
      </c>
      <c r="B539" s="20">
        <f t="shared" si="93"/>
        <v>42600</v>
      </c>
      <c r="G539" s="4">
        <f t="shared" si="94"/>
        <v>0</v>
      </c>
      <c r="H539" s="4">
        <f t="shared" si="95"/>
        <v>0</v>
      </c>
      <c r="I539" s="61" t="e">
        <f t="shared" si="96"/>
        <v>#DIV/0!</v>
      </c>
    </row>
    <row r="540" spans="1:9" x14ac:dyDescent="0.25">
      <c r="A540" s="117" t="s">
        <v>11</v>
      </c>
      <c r="B540" s="20">
        <f t="shared" si="93"/>
        <v>42607</v>
      </c>
      <c r="G540" s="4">
        <f t="shared" si="94"/>
        <v>0</v>
      </c>
      <c r="H540" s="4">
        <f t="shared" si="95"/>
        <v>0</v>
      </c>
      <c r="I540" s="61" t="e">
        <f t="shared" si="96"/>
        <v>#DIV/0!</v>
      </c>
    </row>
    <row r="541" spans="1:9" x14ac:dyDescent="0.25">
      <c r="A541" s="117" t="s">
        <v>11</v>
      </c>
      <c r="B541" s="20">
        <f t="shared" si="93"/>
        <v>42614</v>
      </c>
      <c r="G541" s="4">
        <f t="shared" si="94"/>
        <v>0</v>
      </c>
      <c r="H541" s="4">
        <f t="shared" si="95"/>
        <v>0</v>
      </c>
      <c r="I541" s="61" t="e">
        <f t="shared" si="96"/>
        <v>#DIV/0!</v>
      </c>
    </row>
    <row r="542" spans="1:9" x14ac:dyDescent="0.25">
      <c r="A542" s="117" t="s">
        <v>11</v>
      </c>
      <c r="B542" s="20">
        <f t="shared" si="93"/>
        <v>42621</v>
      </c>
      <c r="G542" s="4">
        <f t="shared" si="94"/>
        <v>0</v>
      </c>
      <c r="H542" s="4">
        <f t="shared" si="95"/>
        <v>0</v>
      </c>
      <c r="I542" s="61" t="e">
        <f t="shared" si="96"/>
        <v>#DIV/0!</v>
      </c>
    </row>
    <row r="543" spans="1:9" x14ac:dyDescent="0.25">
      <c r="A543" s="117" t="s">
        <v>11</v>
      </c>
      <c r="B543" s="20">
        <f t="shared" si="93"/>
        <v>42628</v>
      </c>
      <c r="G543" s="4">
        <f t="shared" si="94"/>
        <v>0</v>
      </c>
      <c r="H543" s="4">
        <f t="shared" si="95"/>
        <v>0</v>
      </c>
      <c r="I543" s="61" t="e">
        <f t="shared" si="96"/>
        <v>#DIV/0!</v>
      </c>
    </row>
    <row r="544" spans="1:9" x14ac:dyDescent="0.25">
      <c r="A544" s="117" t="s">
        <v>11</v>
      </c>
      <c r="B544" s="20">
        <f t="shared" si="93"/>
        <v>42635</v>
      </c>
      <c r="G544" s="4">
        <f t="shared" si="94"/>
        <v>0</v>
      </c>
      <c r="H544" s="4">
        <f t="shared" si="95"/>
        <v>0</v>
      </c>
      <c r="I544" s="61" t="e">
        <f t="shared" si="96"/>
        <v>#DIV/0!</v>
      </c>
    </row>
    <row r="545" spans="1:9" x14ac:dyDescent="0.25">
      <c r="A545" s="117" t="s">
        <v>11</v>
      </c>
      <c r="B545" s="20">
        <f t="shared" si="93"/>
        <v>42642</v>
      </c>
      <c r="G545" s="4">
        <f t="shared" si="94"/>
        <v>0</v>
      </c>
      <c r="H545" s="4">
        <f t="shared" si="95"/>
        <v>0</v>
      </c>
      <c r="I545" s="61" t="e">
        <f t="shared" si="96"/>
        <v>#DIV/0!</v>
      </c>
    </row>
    <row r="546" spans="1:9" x14ac:dyDescent="0.25">
      <c r="A546" s="117" t="s">
        <v>11</v>
      </c>
      <c r="B546" s="20">
        <f t="shared" si="93"/>
        <v>42649</v>
      </c>
      <c r="G546" s="4">
        <f t="shared" si="94"/>
        <v>0</v>
      </c>
      <c r="H546" s="4">
        <f t="shared" si="95"/>
        <v>0</v>
      </c>
      <c r="I546" s="61" t="e">
        <f t="shared" si="96"/>
        <v>#DIV/0!</v>
      </c>
    </row>
    <row r="547" spans="1:9" x14ac:dyDescent="0.25">
      <c r="A547" s="117" t="s">
        <v>11</v>
      </c>
      <c r="B547" s="20">
        <f t="shared" si="93"/>
        <v>42656</v>
      </c>
      <c r="G547" s="4">
        <f t="shared" si="94"/>
        <v>0</v>
      </c>
      <c r="H547" s="4">
        <f t="shared" si="95"/>
        <v>0</v>
      </c>
      <c r="I547" s="61" t="e">
        <f t="shared" si="96"/>
        <v>#DIV/0!</v>
      </c>
    </row>
    <row r="548" spans="1:9" x14ac:dyDescent="0.25">
      <c r="A548" s="117" t="s">
        <v>11</v>
      </c>
      <c r="B548" s="20">
        <f t="shared" si="93"/>
        <v>42663</v>
      </c>
      <c r="G548" s="4">
        <f t="shared" si="94"/>
        <v>0</v>
      </c>
      <c r="H548" s="4">
        <f t="shared" si="95"/>
        <v>0</v>
      </c>
      <c r="I548" s="61" t="e">
        <f t="shared" si="96"/>
        <v>#DIV/0!</v>
      </c>
    </row>
    <row r="549" spans="1:9" x14ac:dyDescent="0.25">
      <c r="A549" s="117" t="s">
        <v>11</v>
      </c>
      <c r="B549" s="20">
        <f t="shared" si="93"/>
        <v>42670</v>
      </c>
      <c r="G549" s="4">
        <f t="shared" si="94"/>
        <v>0</v>
      </c>
      <c r="H549" s="4">
        <f t="shared" si="95"/>
        <v>0</v>
      </c>
      <c r="I549" s="61" t="e">
        <f t="shared" si="96"/>
        <v>#DIV/0!</v>
      </c>
    </row>
    <row r="550" spans="1:9" x14ac:dyDescent="0.25">
      <c r="A550" s="117" t="s">
        <v>11</v>
      </c>
      <c r="B550" s="20">
        <f t="shared" si="93"/>
        <v>42677</v>
      </c>
      <c r="G550" s="4">
        <f t="shared" si="94"/>
        <v>0</v>
      </c>
      <c r="H550" s="4">
        <f t="shared" si="95"/>
        <v>0</v>
      </c>
      <c r="I550" s="61" t="e">
        <f t="shared" si="96"/>
        <v>#DIV/0!</v>
      </c>
    </row>
    <row r="551" spans="1:9" x14ac:dyDescent="0.25">
      <c r="A551" s="117" t="s">
        <v>11</v>
      </c>
      <c r="B551" s="20">
        <f t="shared" si="93"/>
        <v>42684</v>
      </c>
      <c r="G551" s="4">
        <f t="shared" si="94"/>
        <v>0</v>
      </c>
      <c r="H551" s="4">
        <f t="shared" si="95"/>
        <v>0</v>
      </c>
      <c r="I551" s="61" t="e">
        <f t="shared" si="96"/>
        <v>#DIV/0!</v>
      </c>
    </row>
    <row r="552" spans="1:9" x14ac:dyDescent="0.25">
      <c r="A552" s="117" t="s">
        <v>11</v>
      </c>
      <c r="B552" s="20">
        <f t="shared" si="93"/>
        <v>42691</v>
      </c>
      <c r="G552" s="4">
        <f t="shared" si="94"/>
        <v>0</v>
      </c>
      <c r="H552" s="4">
        <f t="shared" si="95"/>
        <v>0</v>
      </c>
      <c r="I552" s="61" t="e">
        <f t="shared" si="96"/>
        <v>#DIV/0!</v>
      </c>
    </row>
    <row r="553" spans="1:9" x14ac:dyDescent="0.25">
      <c r="A553" s="117" t="s">
        <v>11</v>
      </c>
      <c r="B553" s="20">
        <f t="shared" si="93"/>
        <v>42698</v>
      </c>
      <c r="G553" s="4">
        <f t="shared" si="94"/>
        <v>0</v>
      </c>
      <c r="H553" s="4">
        <f t="shared" si="95"/>
        <v>0</v>
      </c>
      <c r="I553" s="61" t="e">
        <f t="shared" si="96"/>
        <v>#DIV/0!</v>
      </c>
    </row>
    <row r="554" spans="1:9" x14ac:dyDescent="0.25">
      <c r="A554" s="117" t="s">
        <v>11</v>
      </c>
      <c r="B554" s="20">
        <f t="shared" si="93"/>
        <v>42705</v>
      </c>
      <c r="G554" s="4">
        <f t="shared" si="94"/>
        <v>0</v>
      </c>
      <c r="H554" s="4">
        <f t="shared" si="95"/>
        <v>0</v>
      </c>
      <c r="I554" s="61" t="e">
        <f t="shared" si="96"/>
        <v>#DIV/0!</v>
      </c>
    </row>
    <row r="555" spans="1:9" x14ac:dyDescent="0.25">
      <c r="A555" s="117" t="s">
        <v>11</v>
      </c>
      <c r="B555" s="20">
        <f t="shared" si="93"/>
        <v>42712</v>
      </c>
      <c r="G555" s="4">
        <f t="shared" si="94"/>
        <v>0</v>
      </c>
      <c r="H555" s="4">
        <f t="shared" si="95"/>
        <v>0</v>
      </c>
      <c r="I555" s="61" t="e">
        <f t="shared" si="96"/>
        <v>#DIV/0!</v>
      </c>
    </row>
    <row r="556" spans="1:9" x14ac:dyDescent="0.25">
      <c r="A556" s="117" t="s">
        <v>11</v>
      </c>
      <c r="B556" s="20">
        <f t="shared" si="93"/>
        <v>42719</v>
      </c>
      <c r="G556" s="4">
        <f t="shared" si="94"/>
        <v>0</v>
      </c>
      <c r="H556" s="4">
        <f t="shared" si="95"/>
        <v>0</v>
      </c>
      <c r="I556" s="61" t="e">
        <f t="shared" si="96"/>
        <v>#DIV/0!</v>
      </c>
    </row>
    <row r="557" spans="1:9" x14ac:dyDescent="0.25">
      <c r="A557" s="117" t="s">
        <v>11</v>
      </c>
      <c r="B557" s="20">
        <f t="shared" si="93"/>
        <v>42726</v>
      </c>
      <c r="G557" s="4">
        <f t="shared" si="94"/>
        <v>0</v>
      </c>
      <c r="H557" s="4">
        <f t="shared" si="95"/>
        <v>0</v>
      </c>
      <c r="I557" s="61" t="e">
        <f t="shared" si="96"/>
        <v>#DIV/0!</v>
      </c>
    </row>
    <row r="558" spans="1:9" x14ac:dyDescent="0.25">
      <c r="A558" s="117" t="s">
        <v>11</v>
      </c>
      <c r="B558" s="20">
        <f t="shared" si="93"/>
        <v>42733</v>
      </c>
      <c r="G558" s="4">
        <f t="shared" si="94"/>
        <v>0</v>
      </c>
      <c r="H558" s="4">
        <f t="shared" si="95"/>
        <v>0</v>
      </c>
      <c r="I558" s="61" t="e">
        <f t="shared" si="96"/>
        <v>#DIV/0!</v>
      </c>
    </row>
    <row r="559" spans="1:9" x14ac:dyDescent="0.25">
      <c r="A559" s="117" t="s">
        <v>11</v>
      </c>
      <c r="B559" s="20">
        <f t="shared" si="93"/>
        <v>42740</v>
      </c>
      <c r="G559" s="4">
        <f t="shared" si="94"/>
        <v>0</v>
      </c>
      <c r="H559" s="4">
        <f t="shared" si="95"/>
        <v>0</v>
      </c>
      <c r="I559" s="61" t="e">
        <f t="shared" si="96"/>
        <v>#DIV/0!</v>
      </c>
    </row>
    <row r="560" spans="1:9" x14ac:dyDescent="0.25">
      <c r="A560" s="117" t="s">
        <v>11</v>
      </c>
      <c r="B560" s="20">
        <f t="shared" si="93"/>
        <v>42747</v>
      </c>
      <c r="G560" s="4">
        <f t="shared" si="94"/>
        <v>0</v>
      </c>
      <c r="H560" s="4">
        <f t="shared" si="95"/>
        <v>0</v>
      </c>
      <c r="I560" s="61" t="e">
        <f t="shared" si="96"/>
        <v>#DIV/0!</v>
      </c>
    </row>
    <row r="561" spans="1:9" x14ac:dyDescent="0.25">
      <c r="A561" s="117" t="s">
        <v>11</v>
      </c>
      <c r="B561" s="20">
        <f t="shared" si="93"/>
        <v>42754</v>
      </c>
      <c r="G561" s="4">
        <f t="shared" si="94"/>
        <v>0</v>
      </c>
      <c r="H561" s="4">
        <f t="shared" si="95"/>
        <v>0</v>
      </c>
      <c r="I561" s="61" t="e">
        <f t="shared" si="96"/>
        <v>#DIV/0!</v>
      </c>
    </row>
    <row r="562" spans="1:9" x14ac:dyDescent="0.25">
      <c r="A562" s="117" t="s">
        <v>11</v>
      </c>
      <c r="B562" s="20">
        <f t="shared" si="93"/>
        <v>42761</v>
      </c>
      <c r="G562" s="4">
        <f t="shared" si="94"/>
        <v>0</v>
      </c>
      <c r="H562" s="4">
        <f t="shared" si="95"/>
        <v>0</v>
      </c>
      <c r="I562" s="61" t="e">
        <f t="shared" si="96"/>
        <v>#DIV/0!</v>
      </c>
    </row>
    <row r="563" spans="1:9" x14ac:dyDescent="0.25">
      <c r="A563" s="117" t="s">
        <v>11</v>
      </c>
      <c r="B563" s="20">
        <f t="shared" si="93"/>
        <v>42768</v>
      </c>
      <c r="G563" s="4">
        <f t="shared" si="94"/>
        <v>0</v>
      </c>
      <c r="H563" s="4">
        <f t="shared" si="95"/>
        <v>0</v>
      </c>
      <c r="I563" s="61" t="e">
        <f t="shared" si="96"/>
        <v>#DIV/0!</v>
      </c>
    </row>
    <row r="564" spans="1:9" x14ac:dyDescent="0.25">
      <c r="A564" s="117" t="s">
        <v>11</v>
      </c>
      <c r="B564" s="20">
        <f t="shared" si="93"/>
        <v>42775</v>
      </c>
      <c r="G564" s="4">
        <f t="shared" si="94"/>
        <v>0</v>
      </c>
      <c r="H564" s="4">
        <f t="shared" si="95"/>
        <v>0</v>
      </c>
      <c r="I564" s="61" t="e">
        <f t="shared" si="96"/>
        <v>#DIV/0!</v>
      </c>
    </row>
    <row r="565" spans="1:9" x14ac:dyDescent="0.25">
      <c r="A565" s="117" t="s">
        <v>11</v>
      </c>
      <c r="B565" s="20">
        <f t="shared" si="93"/>
        <v>42782</v>
      </c>
      <c r="G565" s="4">
        <f t="shared" si="94"/>
        <v>0</v>
      </c>
      <c r="H565" s="4">
        <f t="shared" si="95"/>
        <v>0</v>
      </c>
      <c r="I565" s="61" t="e">
        <f t="shared" si="96"/>
        <v>#DIV/0!</v>
      </c>
    </row>
    <row r="566" spans="1:9" x14ac:dyDescent="0.25">
      <c r="A566" s="117" t="s">
        <v>11</v>
      </c>
      <c r="B566" s="20">
        <f t="shared" si="93"/>
        <v>42789</v>
      </c>
      <c r="G566" s="4">
        <f t="shared" si="94"/>
        <v>0</v>
      </c>
      <c r="H566" s="4">
        <f t="shared" si="95"/>
        <v>0</v>
      </c>
      <c r="I566" s="61" t="e">
        <f t="shared" si="96"/>
        <v>#DIV/0!</v>
      </c>
    </row>
    <row r="567" spans="1:9" x14ac:dyDescent="0.25">
      <c r="A567" s="117" t="s">
        <v>11</v>
      </c>
      <c r="B567" s="20">
        <f t="shared" si="93"/>
        <v>42796</v>
      </c>
      <c r="G567" s="4">
        <f t="shared" si="94"/>
        <v>0</v>
      </c>
      <c r="H567" s="4">
        <f t="shared" si="95"/>
        <v>0</v>
      </c>
      <c r="I567" s="61" t="e">
        <f t="shared" si="96"/>
        <v>#DIV/0!</v>
      </c>
    </row>
    <row r="568" spans="1:9" x14ac:dyDescent="0.25">
      <c r="A568" s="117" t="s">
        <v>11</v>
      </c>
      <c r="B568" s="20">
        <f t="shared" si="93"/>
        <v>42803</v>
      </c>
      <c r="G568" s="4">
        <f t="shared" si="94"/>
        <v>0</v>
      </c>
      <c r="H568" s="4">
        <f t="shared" si="95"/>
        <v>0</v>
      </c>
      <c r="I568" s="61" t="e">
        <f t="shared" si="96"/>
        <v>#DIV/0!</v>
      </c>
    </row>
    <row r="569" spans="1:9" x14ac:dyDescent="0.25">
      <c r="A569" s="117" t="s">
        <v>11</v>
      </c>
      <c r="B569" s="20">
        <f t="shared" si="93"/>
        <v>42810</v>
      </c>
      <c r="G569" s="4">
        <f t="shared" si="94"/>
        <v>0</v>
      </c>
      <c r="H569" s="4">
        <f t="shared" si="95"/>
        <v>0</v>
      </c>
      <c r="I569" s="61" t="e">
        <f t="shared" si="96"/>
        <v>#DIV/0!</v>
      </c>
    </row>
    <row r="570" spans="1:9" x14ac:dyDescent="0.25">
      <c r="A570" s="117" t="s">
        <v>11</v>
      </c>
      <c r="B570" s="20">
        <f t="shared" si="93"/>
        <v>42817</v>
      </c>
      <c r="G570" s="4">
        <f t="shared" si="94"/>
        <v>0</v>
      </c>
      <c r="H570" s="4">
        <f t="shared" si="95"/>
        <v>0</v>
      </c>
      <c r="I570" s="61" t="e">
        <f t="shared" si="96"/>
        <v>#DIV/0!</v>
      </c>
    </row>
    <row r="571" spans="1:9" x14ac:dyDescent="0.25">
      <c r="A571" s="117" t="s">
        <v>11</v>
      </c>
      <c r="B571" s="20">
        <f t="shared" si="93"/>
        <v>42824</v>
      </c>
      <c r="G571" s="4">
        <f t="shared" si="94"/>
        <v>0</v>
      </c>
      <c r="H571" s="4">
        <f t="shared" si="95"/>
        <v>0</v>
      </c>
      <c r="I571" s="61" t="e">
        <f t="shared" si="96"/>
        <v>#DIV/0!</v>
      </c>
    </row>
    <row r="572" spans="1:9" x14ac:dyDescent="0.25">
      <c r="A572" s="117" t="s">
        <v>11</v>
      </c>
      <c r="B572" s="20">
        <f t="shared" si="93"/>
        <v>42831</v>
      </c>
      <c r="G572" s="4">
        <f t="shared" si="94"/>
        <v>0</v>
      </c>
      <c r="H572" s="4">
        <f t="shared" si="95"/>
        <v>0</v>
      </c>
      <c r="I572" s="61" t="e">
        <f t="shared" si="96"/>
        <v>#DIV/0!</v>
      </c>
    </row>
    <row r="573" spans="1:9" x14ac:dyDescent="0.25">
      <c r="A573" s="117" t="s">
        <v>11</v>
      </c>
      <c r="B573" s="20">
        <f t="shared" si="93"/>
        <v>42838</v>
      </c>
      <c r="G573" s="4">
        <f t="shared" si="94"/>
        <v>0</v>
      </c>
      <c r="H573" s="4">
        <f t="shared" si="95"/>
        <v>0</v>
      </c>
      <c r="I573" s="61" t="e">
        <f t="shared" si="96"/>
        <v>#DIV/0!</v>
      </c>
    </row>
    <row r="574" spans="1:9" x14ac:dyDescent="0.25">
      <c r="A574" s="117" t="s">
        <v>11</v>
      </c>
      <c r="B574" s="20">
        <f t="shared" ref="B574:B637" si="97">+B573+7</f>
        <v>42845</v>
      </c>
      <c r="G574" s="4">
        <f t="shared" si="94"/>
        <v>0</v>
      </c>
      <c r="H574" s="4">
        <f t="shared" si="95"/>
        <v>0</v>
      </c>
      <c r="I574" s="61" t="e">
        <f t="shared" si="96"/>
        <v>#DIV/0!</v>
      </c>
    </row>
    <row r="575" spans="1:9" x14ac:dyDescent="0.25">
      <c r="A575" s="117" t="s">
        <v>11</v>
      </c>
      <c r="B575" s="20">
        <f t="shared" si="97"/>
        <v>42852</v>
      </c>
      <c r="G575" s="4">
        <f t="shared" si="94"/>
        <v>0</v>
      </c>
      <c r="H575" s="4">
        <f t="shared" si="95"/>
        <v>0</v>
      </c>
      <c r="I575" s="61" t="e">
        <f t="shared" si="96"/>
        <v>#DIV/0!</v>
      </c>
    </row>
    <row r="576" spans="1:9" x14ac:dyDescent="0.25">
      <c r="A576" s="117" t="s">
        <v>11</v>
      </c>
      <c r="B576" s="20">
        <f t="shared" si="97"/>
        <v>42859</v>
      </c>
      <c r="G576" s="4">
        <f t="shared" si="94"/>
        <v>0</v>
      </c>
      <c r="H576" s="4">
        <f t="shared" si="95"/>
        <v>0</v>
      </c>
      <c r="I576" s="61" t="e">
        <f t="shared" si="96"/>
        <v>#DIV/0!</v>
      </c>
    </row>
    <row r="577" spans="1:9" x14ac:dyDescent="0.25">
      <c r="A577" s="117" t="s">
        <v>11</v>
      </c>
      <c r="B577" s="20">
        <f t="shared" si="97"/>
        <v>42866</v>
      </c>
      <c r="G577" s="4">
        <f t="shared" si="94"/>
        <v>0</v>
      </c>
      <c r="H577" s="4">
        <f t="shared" si="95"/>
        <v>0</v>
      </c>
      <c r="I577" s="61" t="e">
        <f t="shared" si="96"/>
        <v>#DIV/0!</v>
      </c>
    </row>
    <row r="578" spans="1:9" x14ac:dyDescent="0.25">
      <c r="A578" s="117" t="s">
        <v>11</v>
      </c>
      <c r="B578" s="20">
        <f t="shared" si="97"/>
        <v>42873</v>
      </c>
      <c r="G578" s="4">
        <f t="shared" si="94"/>
        <v>0</v>
      </c>
      <c r="H578" s="4">
        <f t="shared" si="95"/>
        <v>0</v>
      </c>
      <c r="I578" s="61" t="e">
        <f t="shared" si="96"/>
        <v>#DIV/0!</v>
      </c>
    </row>
    <row r="579" spans="1:9" x14ac:dyDescent="0.25">
      <c r="A579" s="117" t="s">
        <v>11</v>
      </c>
      <c r="B579" s="20">
        <f t="shared" si="97"/>
        <v>42880</v>
      </c>
      <c r="G579" s="4">
        <f t="shared" si="94"/>
        <v>0</v>
      </c>
      <c r="H579" s="4">
        <f t="shared" si="95"/>
        <v>0</v>
      </c>
      <c r="I579" s="61" t="e">
        <f t="shared" si="96"/>
        <v>#DIV/0!</v>
      </c>
    </row>
    <row r="580" spans="1:9" x14ac:dyDescent="0.25">
      <c r="A580" s="117" t="s">
        <v>11</v>
      </c>
      <c r="B580" s="20">
        <f t="shared" si="97"/>
        <v>42887</v>
      </c>
      <c r="G580" s="4">
        <f t="shared" si="94"/>
        <v>0</v>
      </c>
      <c r="H580" s="4">
        <f t="shared" si="95"/>
        <v>0</v>
      </c>
      <c r="I580" s="61" t="e">
        <f t="shared" si="96"/>
        <v>#DIV/0!</v>
      </c>
    </row>
    <row r="581" spans="1:9" x14ac:dyDescent="0.25">
      <c r="A581" s="117" t="s">
        <v>11</v>
      </c>
      <c r="B581" s="20">
        <f t="shared" si="97"/>
        <v>42894</v>
      </c>
      <c r="G581" s="4">
        <f t="shared" si="94"/>
        <v>0</v>
      </c>
      <c r="H581" s="4">
        <f t="shared" si="95"/>
        <v>0</v>
      </c>
      <c r="I581" s="61" t="e">
        <f t="shared" si="96"/>
        <v>#DIV/0!</v>
      </c>
    </row>
    <row r="582" spans="1:9" x14ac:dyDescent="0.25">
      <c r="A582" s="117" t="s">
        <v>11</v>
      </c>
      <c r="B582" s="20">
        <f t="shared" si="97"/>
        <v>42901</v>
      </c>
      <c r="G582" s="4">
        <f t="shared" si="94"/>
        <v>0</v>
      </c>
      <c r="H582" s="4">
        <f t="shared" si="95"/>
        <v>0</v>
      </c>
      <c r="I582" s="61" t="e">
        <f t="shared" si="96"/>
        <v>#DIV/0!</v>
      </c>
    </row>
    <row r="583" spans="1:9" x14ac:dyDescent="0.25">
      <c r="A583" s="117" t="s">
        <v>11</v>
      </c>
      <c r="B583" s="20">
        <f t="shared" si="97"/>
        <v>42908</v>
      </c>
      <c r="G583" s="4">
        <f t="shared" si="94"/>
        <v>0</v>
      </c>
      <c r="H583" s="4">
        <f t="shared" si="95"/>
        <v>0</v>
      </c>
      <c r="I583" s="61" t="e">
        <f t="shared" si="96"/>
        <v>#DIV/0!</v>
      </c>
    </row>
    <row r="584" spans="1:9" x14ac:dyDescent="0.25">
      <c r="A584" s="117" t="s">
        <v>11</v>
      </c>
      <c r="B584" s="20">
        <f t="shared" si="97"/>
        <v>42915</v>
      </c>
      <c r="G584" s="4">
        <f t="shared" si="94"/>
        <v>0</v>
      </c>
      <c r="H584" s="4">
        <f t="shared" si="95"/>
        <v>0</v>
      </c>
      <c r="I584" s="61" t="e">
        <f t="shared" si="96"/>
        <v>#DIV/0!</v>
      </c>
    </row>
    <row r="585" spans="1:9" x14ac:dyDescent="0.25">
      <c r="A585" s="117" t="s">
        <v>11</v>
      </c>
      <c r="B585" s="20">
        <f t="shared" si="97"/>
        <v>42922</v>
      </c>
      <c r="G585" s="4">
        <f t="shared" si="94"/>
        <v>0</v>
      </c>
      <c r="H585" s="4">
        <f t="shared" si="95"/>
        <v>0</v>
      </c>
      <c r="I585" s="61" t="e">
        <f t="shared" si="96"/>
        <v>#DIV/0!</v>
      </c>
    </row>
    <row r="586" spans="1:9" x14ac:dyDescent="0.25">
      <c r="A586" s="117" t="s">
        <v>11</v>
      </c>
      <c r="B586" s="20">
        <f t="shared" si="97"/>
        <v>42929</v>
      </c>
      <c r="G586" s="4">
        <f t="shared" si="94"/>
        <v>0</v>
      </c>
      <c r="H586" s="4">
        <f t="shared" si="95"/>
        <v>0</v>
      </c>
      <c r="I586" s="61" t="e">
        <f t="shared" si="96"/>
        <v>#DIV/0!</v>
      </c>
    </row>
    <row r="587" spans="1:9" x14ac:dyDescent="0.25">
      <c r="A587" s="117" t="s">
        <v>11</v>
      </c>
      <c r="B587" s="20">
        <f t="shared" si="97"/>
        <v>42936</v>
      </c>
      <c r="G587" s="4">
        <f t="shared" si="94"/>
        <v>0</v>
      </c>
      <c r="H587" s="4">
        <f t="shared" si="95"/>
        <v>0</v>
      </c>
      <c r="I587" s="61" t="e">
        <f t="shared" si="96"/>
        <v>#DIV/0!</v>
      </c>
    </row>
    <row r="588" spans="1:9" x14ac:dyDescent="0.25">
      <c r="A588" s="117" t="s">
        <v>11</v>
      </c>
      <c r="B588" s="20">
        <f t="shared" si="97"/>
        <v>42943</v>
      </c>
      <c r="G588" s="4">
        <f t="shared" si="94"/>
        <v>0</v>
      </c>
      <c r="H588" s="4">
        <f t="shared" si="95"/>
        <v>0</v>
      </c>
      <c r="I588" s="61" t="e">
        <f t="shared" si="96"/>
        <v>#DIV/0!</v>
      </c>
    </row>
    <row r="589" spans="1:9" x14ac:dyDescent="0.25">
      <c r="A589" s="117" t="s">
        <v>11</v>
      </c>
      <c r="B589" s="20">
        <f t="shared" si="97"/>
        <v>42950</v>
      </c>
      <c r="G589" s="4">
        <f t="shared" si="94"/>
        <v>0</v>
      </c>
      <c r="H589" s="4">
        <f t="shared" si="95"/>
        <v>0</v>
      </c>
      <c r="I589" s="61" t="e">
        <f t="shared" si="96"/>
        <v>#DIV/0!</v>
      </c>
    </row>
    <row r="590" spans="1:9" x14ac:dyDescent="0.25">
      <c r="A590" s="117" t="s">
        <v>11</v>
      </c>
      <c r="B590" s="20">
        <f t="shared" si="97"/>
        <v>42957</v>
      </c>
      <c r="G590" s="4">
        <f t="shared" si="94"/>
        <v>0</v>
      </c>
      <c r="H590" s="4">
        <f t="shared" si="95"/>
        <v>0</v>
      </c>
      <c r="I590" s="61" t="e">
        <f t="shared" si="96"/>
        <v>#DIV/0!</v>
      </c>
    </row>
    <row r="591" spans="1:9" x14ac:dyDescent="0.25">
      <c r="A591" s="117" t="s">
        <v>11</v>
      </c>
      <c r="B591" s="20">
        <f t="shared" si="97"/>
        <v>42964</v>
      </c>
      <c r="G591" s="4">
        <f t="shared" si="94"/>
        <v>0</v>
      </c>
      <c r="H591" s="4">
        <f t="shared" si="95"/>
        <v>0</v>
      </c>
      <c r="I591" s="61" t="e">
        <f t="shared" si="96"/>
        <v>#DIV/0!</v>
      </c>
    </row>
    <row r="592" spans="1:9" x14ac:dyDescent="0.25">
      <c r="A592" s="117" t="s">
        <v>11</v>
      </c>
      <c r="B592" s="20">
        <f t="shared" si="97"/>
        <v>42971</v>
      </c>
      <c r="G592" s="4">
        <f t="shared" si="94"/>
        <v>0</v>
      </c>
      <c r="H592" s="4">
        <f t="shared" si="95"/>
        <v>0</v>
      </c>
      <c r="I592" s="61" t="e">
        <f t="shared" si="96"/>
        <v>#DIV/0!</v>
      </c>
    </row>
    <row r="593" spans="1:9" x14ac:dyDescent="0.25">
      <c r="A593" s="117" t="s">
        <v>11</v>
      </c>
      <c r="B593" s="20">
        <f t="shared" si="97"/>
        <v>42978</v>
      </c>
      <c r="G593" s="4">
        <f t="shared" si="94"/>
        <v>0</v>
      </c>
      <c r="H593" s="4">
        <f t="shared" si="95"/>
        <v>0</v>
      </c>
      <c r="I593" s="61" t="e">
        <f t="shared" si="96"/>
        <v>#DIV/0!</v>
      </c>
    </row>
    <row r="594" spans="1:9" x14ac:dyDescent="0.25">
      <c r="A594" s="117" t="s">
        <v>11</v>
      </c>
      <c r="B594" s="20">
        <f t="shared" si="97"/>
        <v>42985</v>
      </c>
      <c r="G594" s="4">
        <f t="shared" si="94"/>
        <v>0</v>
      </c>
      <c r="H594" s="4">
        <f t="shared" si="95"/>
        <v>0</v>
      </c>
      <c r="I594" s="61" t="e">
        <f t="shared" si="96"/>
        <v>#DIV/0!</v>
      </c>
    </row>
    <row r="595" spans="1:9" x14ac:dyDescent="0.25">
      <c r="A595" s="117" t="s">
        <v>11</v>
      </c>
      <c r="B595" s="20">
        <f t="shared" si="97"/>
        <v>42992</v>
      </c>
      <c r="G595" s="4">
        <f t="shared" si="94"/>
        <v>0</v>
      </c>
      <c r="H595" s="4">
        <f t="shared" si="95"/>
        <v>0</v>
      </c>
      <c r="I595" s="61" t="e">
        <f t="shared" si="96"/>
        <v>#DIV/0!</v>
      </c>
    </row>
    <row r="596" spans="1:9" x14ac:dyDescent="0.25">
      <c r="A596" s="117" t="s">
        <v>11</v>
      </c>
      <c r="B596" s="20">
        <f t="shared" si="97"/>
        <v>42999</v>
      </c>
      <c r="G596" s="4">
        <f t="shared" ref="G596:G649" si="98">+C596+E596</f>
        <v>0</v>
      </c>
      <c r="H596" s="4">
        <f t="shared" ref="H596:H649" si="99">+D596+F596</f>
        <v>0</v>
      </c>
      <c r="I596" s="61" t="e">
        <f t="shared" ref="I596:I649" si="100">+(G596/H596-1)*100</f>
        <v>#DIV/0!</v>
      </c>
    </row>
    <row r="597" spans="1:9" x14ac:dyDescent="0.25">
      <c r="A597" s="117" t="s">
        <v>11</v>
      </c>
      <c r="B597" s="20">
        <f t="shared" si="97"/>
        <v>43006</v>
      </c>
      <c r="G597" s="4">
        <f t="shared" si="98"/>
        <v>0</v>
      </c>
      <c r="H597" s="4">
        <f t="shared" si="99"/>
        <v>0</v>
      </c>
      <c r="I597" s="61" t="e">
        <f t="shared" si="100"/>
        <v>#DIV/0!</v>
      </c>
    </row>
    <row r="598" spans="1:9" x14ac:dyDescent="0.25">
      <c r="A598" s="117" t="s">
        <v>11</v>
      </c>
      <c r="B598" s="20">
        <f t="shared" si="97"/>
        <v>43013</v>
      </c>
      <c r="G598" s="4">
        <f t="shared" si="98"/>
        <v>0</v>
      </c>
      <c r="H598" s="4">
        <f t="shared" si="99"/>
        <v>0</v>
      </c>
      <c r="I598" s="61" t="e">
        <f t="shared" si="100"/>
        <v>#DIV/0!</v>
      </c>
    </row>
    <row r="599" spans="1:9" x14ac:dyDescent="0.25">
      <c r="A599" s="117" t="s">
        <v>11</v>
      </c>
      <c r="B599" s="20">
        <f t="shared" si="97"/>
        <v>43020</v>
      </c>
      <c r="G599" s="4">
        <f t="shared" si="98"/>
        <v>0</v>
      </c>
      <c r="H599" s="4">
        <f t="shared" si="99"/>
        <v>0</v>
      </c>
      <c r="I599" s="61" t="e">
        <f t="shared" si="100"/>
        <v>#DIV/0!</v>
      </c>
    </row>
    <row r="600" spans="1:9" x14ac:dyDescent="0.25">
      <c r="A600" s="117" t="s">
        <v>11</v>
      </c>
      <c r="B600" s="20">
        <f t="shared" si="97"/>
        <v>43027</v>
      </c>
      <c r="G600" s="4">
        <f t="shared" si="98"/>
        <v>0</v>
      </c>
      <c r="H600" s="4">
        <f t="shared" si="99"/>
        <v>0</v>
      </c>
      <c r="I600" s="61" t="e">
        <f t="shared" si="100"/>
        <v>#DIV/0!</v>
      </c>
    </row>
    <row r="601" spans="1:9" x14ac:dyDescent="0.25">
      <c r="A601" s="117" t="s">
        <v>11</v>
      </c>
      <c r="B601" s="20">
        <f t="shared" si="97"/>
        <v>43034</v>
      </c>
      <c r="G601" s="4">
        <f t="shared" si="98"/>
        <v>0</v>
      </c>
      <c r="H601" s="4">
        <f t="shared" si="99"/>
        <v>0</v>
      </c>
      <c r="I601" s="61" t="e">
        <f t="shared" si="100"/>
        <v>#DIV/0!</v>
      </c>
    </row>
    <row r="602" spans="1:9" x14ac:dyDescent="0.25">
      <c r="A602" s="117" t="s">
        <v>11</v>
      </c>
      <c r="B602" s="20">
        <f t="shared" si="97"/>
        <v>43041</v>
      </c>
      <c r="G602" s="4">
        <f t="shared" si="98"/>
        <v>0</v>
      </c>
      <c r="H602" s="4">
        <f t="shared" si="99"/>
        <v>0</v>
      </c>
      <c r="I602" s="61" t="e">
        <f t="shared" si="100"/>
        <v>#DIV/0!</v>
      </c>
    </row>
    <row r="603" spans="1:9" x14ac:dyDescent="0.25">
      <c r="A603" s="117" t="s">
        <v>11</v>
      </c>
      <c r="B603" s="20">
        <f t="shared" si="97"/>
        <v>43048</v>
      </c>
      <c r="G603" s="4">
        <f t="shared" si="98"/>
        <v>0</v>
      </c>
      <c r="H603" s="4">
        <f t="shared" si="99"/>
        <v>0</v>
      </c>
      <c r="I603" s="61" t="e">
        <f t="shared" si="100"/>
        <v>#DIV/0!</v>
      </c>
    </row>
    <row r="604" spans="1:9" x14ac:dyDescent="0.25">
      <c r="A604" s="117" t="s">
        <v>11</v>
      </c>
      <c r="B604" s="20">
        <f t="shared" si="97"/>
        <v>43055</v>
      </c>
      <c r="G604" s="4">
        <f t="shared" si="98"/>
        <v>0</v>
      </c>
      <c r="H604" s="4">
        <f t="shared" si="99"/>
        <v>0</v>
      </c>
      <c r="I604" s="61" t="e">
        <f t="shared" si="100"/>
        <v>#DIV/0!</v>
      </c>
    </row>
    <row r="605" spans="1:9" x14ac:dyDescent="0.25">
      <c r="A605" s="117" t="s">
        <v>11</v>
      </c>
      <c r="B605" s="20">
        <f t="shared" si="97"/>
        <v>43062</v>
      </c>
      <c r="G605" s="4">
        <f t="shared" si="98"/>
        <v>0</v>
      </c>
      <c r="H605" s="4">
        <f t="shared" si="99"/>
        <v>0</v>
      </c>
      <c r="I605" s="61" t="e">
        <f t="shared" si="100"/>
        <v>#DIV/0!</v>
      </c>
    </row>
    <row r="606" spans="1:9" x14ac:dyDescent="0.25">
      <c r="A606" s="117" t="s">
        <v>11</v>
      </c>
      <c r="B606" s="20">
        <f t="shared" si="97"/>
        <v>43069</v>
      </c>
      <c r="G606" s="4">
        <f t="shared" si="98"/>
        <v>0</v>
      </c>
      <c r="H606" s="4">
        <f t="shared" si="99"/>
        <v>0</v>
      </c>
      <c r="I606" s="61" t="e">
        <f t="shared" si="100"/>
        <v>#DIV/0!</v>
      </c>
    </row>
    <row r="607" spans="1:9" x14ac:dyDescent="0.25">
      <c r="A607" s="117" t="s">
        <v>11</v>
      </c>
      <c r="B607" s="20">
        <f t="shared" si="97"/>
        <v>43076</v>
      </c>
      <c r="G607" s="4">
        <f t="shared" si="98"/>
        <v>0</v>
      </c>
      <c r="H607" s="4">
        <f t="shared" si="99"/>
        <v>0</v>
      </c>
      <c r="I607" s="61" t="e">
        <f t="shared" si="100"/>
        <v>#DIV/0!</v>
      </c>
    </row>
    <row r="608" spans="1:9" x14ac:dyDescent="0.25">
      <c r="A608" s="117" t="s">
        <v>11</v>
      </c>
      <c r="B608" s="20">
        <f t="shared" si="97"/>
        <v>43083</v>
      </c>
      <c r="G608" s="4">
        <f t="shared" si="98"/>
        <v>0</v>
      </c>
      <c r="H608" s="4">
        <f t="shared" si="99"/>
        <v>0</v>
      </c>
      <c r="I608" s="61" t="e">
        <f t="shared" si="100"/>
        <v>#DIV/0!</v>
      </c>
    </row>
    <row r="609" spans="1:9" x14ac:dyDescent="0.25">
      <c r="A609" s="117" t="s">
        <v>11</v>
      </c>
      <c r="B609" s="20">
        <f t="shared" si="97"/>
        <v>43090</v>
      </c>
      <c r="G609" s="4">
        <f t="shared" si="98"/>
        <v>0</v>
      </c>
      <c r="H609" s="4">
        <f t="shared" si="99"/>
        <v>0</v>
      </c>
      <c r="I609" s="61" t="e">
        <f t="shared" si="100"/>
        <v>#DIV/0!</v>
      </c>
    </row>
    <row r="610" spans="1:9" x14ac:dyDescent="0.25">
      <c r="A610" s="117" t="s">
        <v>11</v>
      </c>
      <c r="B610" s="20">
        <f t="shared" si="97"/>
        <v>43097</v>
      </c>
      <c r="G610" s="4">
        <f t="shared" si="98"/>
        <v>0</v>
      </c>
      <c r="H610" s="4">
        <f t="shared" si="99"/>
        <v>0</v>
      </c>
      <c r="I610" s="61" t="e">
        <f t="shared" si="100"/>
        <v>#DIV/0!</v>
      </c>
    </row>
    <row r="611" spans="1:9" x14ac:dyDescent="0.25">
      <c r="A611" s="117" t="s">
        <v>11</v>
      </c>
      <c r="B611" s="20">
        <f t="shared" si="97"/>
        <v>43104</v>
      </c>
      <c r="G611" s="4">
        <f t="shared" si="98"/>
        <v>0</v>
      </c>
      <c r="H611" s="4">
        <f t="shared" si="99"/>
        <v>0</v>
      </c>
      <c r="I611" s="61" t="e">
        <f t="shared" si="100"/>
        <v>#DIV/0!</v>
      </c>
    </row>
    <row r="612" spans="1:9" x14ac:dyDescent="0.25">
      <c r="A612" s="117" t="s">
        <v>11</v>
      </c>
      <c r="B612" s="20">
        <f t="shared" si="97"/>
        <v>43111</v>
      </c>
      <c r="G612" s="4">
        <f t="shared" si="98"/>
        <v>0</v>
      </c>
      <c r="H612" s="4">
        <f t="shared" si="99"/>
        <v>0</v>
      </c>
      <c r="I612" s="61" t="e">
        <f t="shared" si="100"/>
        <v>#DIV/0!</v>
      </c>
    </row>
    <row r="613" spans="1:9" x14ac:dyDescent="0.25">
      <c r="A613" s="117" t="s">
        <v>11</v>
      </c>
      <c r="B613" s="20">
        <f t="shared" si="97"/>
        <v>43118</v>
      </c>
      <c r="G613" s="4">
        <f t="shared" si="98"/>
        <v>0</v>
      </c>
      <c r="H613" s="4">
        <f t="shared" si="99"/>
        <v>0</v>
      </c>
      <c r="I613" s="61" t="e">
        <f t="shared" si="100"/>
        <v>#DIV/0!</v>
      </c>
    </row>
    <row r="614" spans="1:9" x14ac:dyDescent="0.25">
      <c r="A614" s="117" t="s">
        <v>11</v>
      </c>
      <c r="B614" s="20">
        <f t="shared" si="97"/>
        <v>43125</v>
      </c>
      <c r="G614" s="4">
        <f t="shared" si="98"/>
        <v>0</v>
      </c>
      <c r="H614" s="4">
        <f t="shared" si="99"/>
        <v>0</v>
      </c>
      <c r="I614" s="61" t="e">
        <f t="shared" si="100"/>
        <v>#DIV/0!</v>
      </c>
    </row>
    <row r="615" spans="1:9" x14ac:dyDescent="0.25">
      <c r="A615" s="117" t="s">
        <v>11</v>
      </c>
      <c r="B615" s="20">
        <f t="shared" si="97"/>
        <v>43132</v>
      </c>
      <c r="G615" s="4">
        <f t="shared" si="98"/>
        <v>0</v>
      </c>
      <c r="H615" s="4">
        <f t="shared" si="99"/>
        <v>0</v>
      </c>
      <c r="I615" s="61" t="e">
        <f t="shared" si="100"/>
        <v>#DIV/0!</v>
      </c>
    </row>
    <row r="616" spans="1:9" x14ac:dyDescent="0.25">
      <c r="A616" s="117" t="s">
        <v>11</v>
      </c>
      <c r="B616" s="20">
        <f t="shared" si="97"/>
        <v>43139</v>
      </c>
      <c r="G616" s="4">
        <f t="shared" si="98"/>
        <v>0</v>
      </c>
      <c r="H616" s="4">
        <f t="shared" si="99"/>
        <v>0</v>
      </c>
      <c r="I616" s="61" t="e">
        <f t="shared" si="100"/>
        <v>#DIV/0!</v>
      </c>
    </row>
    <row r="617" spans="1:9" x14ac:dyDescent="0.25">
      <c r="A617" s="117" t="s">
        <v>11</v>
      </c>
      <c r="B617" s="20">
        <f t="shared" si="97"/>
        <v>43146</v>
      </c>
      <c r="G617" s="4">
        <f t="shared" si="98"/>
        <v>0</v>
      </c>
      <c r="H617" s="4">
        <f t="shared" si="99"/>
        <v>0</v>
      </c>
      <c r="I617" s="61" t="e">
        <f t="shared" si="100"/>
        <v>#DIV/0!</v>
      </c>
    </row>
    <row r="618" spans="1:9" x14ac:dyDescent="0.25">
      <c r="A618" s="117" t="s">
        <v>11</v>
      </c>
      <c r="B618" s="20">
        <f t="shared" si="97"/>
        <v>43153</v>
      </c>
      <c r="G618" s="4">
        <f t="shared" si="98"/>
        <v>0</v>
      </c>
      <c r="H618" s="4">
        <f t="shared" si="99"/>
        <v>0</v>
      </c>
      <c r="I618" s="61" t="e">
        <f t="shared" si="100"/>
        <v>#DIV/0!</v>
      </c>
    </row>
    <row r="619" spans="1:9" x14ac:dyDescent="0.25">
      <c r="A619" s="117" t="s">
        <v>11</v>
      </c>
      <c r="B619" s="20">
        <f t="shared" si="97"/>
        <v>43160</v>
      </c>
      <c r="G619" s="4">
        <f t="shared" si="98"/>
        <v>0</v>
      </c>
      <c r="H619" s="4">
        <f t="shared" si="99"/>
        <v>0</v>
      </c>
      <c r="I619" s="61" t="e">
        <f t="shared" si="100"/>
        <v>#DIV/0!</v>
      </c>
    </row>
    <row r="620" spans="1:9" x14ac:dyDescent="0.25">
      <c r="A620" s="117" t="s">
        <v>11</v>
      </c>
      <c r="B620" s="20">
        <f t="shared" si="97"/>
        <v>43167</v>
      </c>
      <c r="G620" s="4">
        <f t="shared" si="98"/>
        <v>0</v>
      </c>
      <c r="H620" s="4">
        <f t="shared" si="99"/>
        <v>0</v>
      </c>
      <c r="I620" s="61" t="e">
        <f t="shared" si="100"/>
        <v>#DIV/0!</v>
      </c>
    </row>
    <row r="621" spans="1:9" x14ac:dyDescent="0.25">
      <c r="A621" s="117" t="s">
        <v>11</v>
      </c>
      <c r="B621" s="20">
        <f t="shared" si="97"/>
        <v>43174</v>
      </c>
      <c r="G621" s="4">
        <f t="shared" si="98"/>
        <v>0</v>
      </c>
      <c r="H621" s="4">
        <f t="shared" si="99"/>
        <v>0</v>
      </c>
      <c r="I621" s="61" t="e">
        <f t="shared" si="100"/>
        <v>#DIV/0!</v>
      </c>
    </row>
    <row r="622" spans="1:9" x14ac:dyDescent="0.25">
      <c r="A622" s="117" t="s">
        <v>11</v>
      </c>
      <c r="B622" s="20">
        <f t="shared" si="97"/>
        <v>43181</v>
      </c>
      <c r="G622" s="4">
        <f t="shared" si="98"/>
        <v>0</v>
      </c>
      <c r="H622" s="4">
        <f t="shared" si="99"/>
        <v>0</v>
      </c>
      <c r="I622" s="61" t="e">
        <f t="shared" si="100"/>
        <v>#DIV/0!</v>
      </c>
    </row>
    <row r="623" spans="1:9" x14ac:dyDescent="0.25">
      <c r="A623" s="117" t="s">
        <v>11</v>
      </c>
      <c r="B623" s="20">
        <f t="shared" si="97"/>
        <v>43188</v>
      </c>
      <c r="G623" s="4">
        <f t="shared" si="98"/>
        <v>0</v>
      </c>
      <c r="H623" s="4">
        <f t="shared" si="99"/>
        <v>0</v>
      </c>
      <c r="I623" s="61" t="e">
        <f t="shared" si="100"/>
        <v>#DIV/0!</v>
      </c>
    </row>
    <row r="624" spans="1:9" x14ac:dyDescent="0.25">
      <c r="A624" s="117" t="s">
        <v>11</v>
      </c>
      <c r="B624" s="20">
        <f t="shared" si="97"/>
        <v>43195</v>
      </c>
      <c r="G624" s="4">
        <f t="shared" si="98"/>
        <v>0</v>
      </c>
      <c r="H624" s="4">
        <f t="shared" si="99"/>
        <v>0</v>
      </c>
      <c r="I624" s="61" t="e">
        <f t="shared" si="100"/>
        <v>#DIV/0!</v>
      </c>
    </row>
    <row r="625" spans="1:9" x14ac:dyDescent="0.25">
      <c r="A625" s="117" t="s">
        <v>11</v>
      </c>
      <c r="B625" s="20">
        <f t="shared" si="97"/>
        <v>43202</v>
      </c>
      <c r="G625" s="4">
        <f t="shared" si="98"/>
        <v>0</v>
      </c>
      <c r="H625" s="4">
        <f t="shared" si="99"/>
        <v>0</v>
      </c>
      <c r="I625" s="61" t="e">
        <f t="shared" si="100"/>
        <v>#DIV/0!</v>
      </c>
    </row>
    <row r="626" spans="1:9" x14ac:dyDescent="0.25">
      <c r="A626" s="117" t="s">
        <v>11</v>
      </c>
      <c r="B626" s="20">
        <f t="shared" si="97"/>
        <v>43209</v>
      </c>
      <c r="G626" s="4">
        <f t="shared" si="98"/>
        <v>0</v>
      </c>
      <c r="H626" s="4">
        <f t="shared" si="99"/>
        <v>0</v>
      </c>
      <c r="I626" s="61" t="e">
        <f t="shared" si="100"/>
        <v>#DIV/0!</v>
      </c>
    </row>
    <row r="627" spans="1:9" x14ac:dyDescent="0.25">
      <c r="A627" s="117" t="s">
        <v>11</v>
      </c>
      <c r="B627" s="20">
        <f t="shared" si="97"/>
        <v>43216</v>
      </c>
      <c r="G627" s="4">
        <f t="shared" si="98"/>
        <v>0</v>
      </c>
      <c r="H627" s="4">
        <f t="shared" si="99"/>
        <v>0</v>
      </c>
      <c r="I627" s="61" t="e">
        <f t="shared" si="100"/>
        <v>#DIV/0!</v>
      </c>
    </row>
    <row r="628" spans="1:9" x14ac:dyDescent="0.25">
      <c r="A628" s="117" t="s">
        <v>11</v>
      </c>
      <c r="B628" s="20">
        <f t="shared" si="97"/>
        <v>43223</v>
      </c>
      <c r="G628" s="4">
        <f t="shared" si="98"/>
        <v>0</v>
      </c>
      <c r="H628" s="4">
        <f t="shared" si="99"/>
        <v>0</v>
      </c>
      <c r="I628" s="61" t="e">
        <f t="shared" si="100"/>
        <v>#DIV/0!</v>
      </c>
    </row>
    <row r="629" spans="1:9" x14ac:dyDescent="0.25">
      <c r="A629" s="117" t="s">
        <v>11</v>
      </c>
      <c r="B629" s="20">
        <f t="shared" si="97"/>
        <v>43230</v>
      </c>
      <c r="G629" s="4">
        <f t="shared" si="98"/>
        <v>0</v>
      </c>
      <c r="H629" s="4">
        <f t="shared" si="99"/>
        <v>0</v>
      </c>
      <c r="I629" s="61" t="e">
        <f t="shared" si="100"/>
        <v>#DIV/0!</v>
      </c>
    </row>
    <row r="630" spans="1:9" x14ac:dyDescent="0.25">
      <c r="A630" s="117" t="s">
        <v>11</v>
      </c>
      <c r="B630" s="20">
        <f t="shared" si="97"/>
        <v>43237</v>
      </c>
      <c r="G630" s="4">
        <f t="shared" si="98"/>
        <v>0</v>
      </c>
      <c r="H630" s="4">
        <f t="shared" si="99"/>
        <v>0</v>
      </c>
      <c r="I630" s="61" t="e">
        <f t="shared" si="100"/>
        <v>#DIV/0!</v>
      </c>
    </row>
    <row r="631" spans="1:9" x14ac:dyDescent="0.25">
      <c r="A631" s="117" t="s">
        <v>11</v>
      </c>
      <c r="B631" s="20">
        <f t="shared" si="97"/>
        <v>43244</v>
      </c>
      <c r="G631" s="4">
        <f t="shared" si="98"/>
        <v>0</v>
      </c>
      <c r="H631" s="4">
        <f t="shared" si="99"/>
        <v>0</v>
      </c>
      <c r="I631" s="61" t="e">
        <f t="shared" si="100"/>
        <v>#DIV/0!</v>
      </c>
    </row>
    <row r="632" spans="1:9" x14ac:dyDescent="0.25">
      <c r="A632" s="117" t="s">
        <v>11</v>
      </c>
      <c r="B632" s="20">
        <f t="shared" si="97"/>
        <v>43251</v>
      </c>
      <c r="G632" s="4">
        <f t="shared" si="98"/>
        <v>0</v>
      </c>
      <c r="H632" s="4">
        <f t="shared" si="99"/>
        <v>0</v>
      </c>
      <c r="I632" s="61" t="e">
        <f t="shared" si="100"/>
        <v>#DIV/0!</v>
      </c>
    </row>
    <row r="633" spans="1:9" x14ac:dyDescent="0.25">
      <c r="A633" s="117" t="s">
        <v>11</v>
      </c>
      <c r="B633" s="20">
        <f t="shared" si="97"/>
        <v>43258</v>
      </c>
      <c r="G633" s="4">
        <f t="shared" si="98"/>
        <v>0</v>
      </c>
      <c r="H633" s="4">
        <f t="shared" si="99"/>
        <v>0</v>
      </c>
      <c r="I633" s="61" t="e">
        <f t="shared" si="100"/>
        <v>#DIV/0!</v>
      </c>
    </row>
    <row r="634" spans="1:9" x14ac:dyDescent="0.25">
      <c r="A634" s="117" t="s">
        <v>11</v>
      </c>
      <c r="B634" s="20">
        <f t="shared" si="97"/>
        <v>43265</v>
      </c>
      <c r="G634" s="4">
        <f t="shared" si="98"/>
        <v>0</v>
      </c>
      <c r="H634" s="4">
        <f t="shared" si="99"/>
        <v>0</v>
      </c>
      <c r="I634" s="61" t="e">
        <f t="shared" si="100"/>
        <v>#DIV/0!</v>
      </c>
    </row>
    <row r="635" spans="1:9" x14ac:dyDescent="0.25">
      <c r="A635" s="117" t="s">
        <v>11</v>
      </c>
      <c r="B635" s="20">
        <f t="shared" si="97"/>
        <v>43272</v>
      </c>
      <c r="G635" s="4">
        <f t="shared" si="98"/>
        <v>0</v>
      </c>
      <c r="H635" s="4">
        <f t="shared" si="99"/>
        <v>0</v>
      </c>
      <c r="I635" s="61" t="e">
        <f t="shared" si="100"/>
        <v>#DIV/0!</v>
      </c>
    </row>
    <row r="636" spans="1:9" x14ac:dyDescent="0.25">
      <c r="A636" s="117" t="s">
        <v>11</v>
      </c>
      <c r="B636" s="20">
        <f t="shared" si="97"/>
        <v>43279</v>
      </c>
      <c r="G636" s="4">
        <f t="shared" si="98"/>
        <v>0</v>
      </c>
      <c r="H636" s="4">
        <f t="shared" si="99"/>
        <v>0</v>
      </c>
      <c r="I636" s="61" t="e">
        <f t="shared" si="100"/>
        <v>#DIV/0!</v>
      </c>
    </row>
    <row r="637" spans="1:9" x14ac:dyDescent="0.25">
      <c r="A637" s="117" t="s">
        <v>11</v>
      </c>
      <c r="B637" s="20">
        <f t="shared" si="97"/>
        <v>43286</v>
      </c>
      <c r="G637" s="4">
        <f t="shared" si="98"/>
        <v>0</v>
      </c>
      <c r="H637" s="4">
        <f t="shared" si="99"/>
        <v>0</v>
      </c>
      <c r="I637" s="61" t="e">
        <f t="shared" si="100"/>
        <v>#DIV/0!</v>
      </c>
    </row>
    <row r="638" spans="1:9" x14ac:dyDescent="0.25">
      <c r="A638" s="117" t="s">
        <v>11</v>
      </c>
      <c r="B638" s="20">
        <f t="shared" ref="B638:B701" si="101">+B637+7</f>
        <v>43293</v>
      </c>
      <c r="G638" s="4">
        <f t="shared" si="98"/>
        <v>0</v>
      </c>
      <c r="H638" s="4">
        <f t="shared" si="99"/>
        <v>0</v>
      </c>
      <c r="I638" s="61" t="e">
        <f t="shared" si="100"/>
        <v>#DIV/0!</v>
      </c>
    </row>
    <row r="639" spans="1:9" x14ac:dyDescent="0.25">
      <c r="A639" s="117" t="s">
        <v>11</v>
      </c>
      <c r="B639" s="20">
        <f t="shared" si="101"/>
        <v>43300</v>
      </c>
      <c r="G639" s="4">
        <f t="shared" si="98"/>
        <v>0</v>
      </c>
      <c r="H639" s="4">
        <f t="shared" si="99"/>
        <v>0</v>
      </c>
      <c r="I639" s="61" t="e">
        <f t="shared" si="100"/>
        <v>#DIV/0!</v>
      </c>
    </row>
    <row r="640" spans="1:9" x14ac:dyDescent="0.25">
      <c r="A640" s="117" t="s">
        <v>11</v>
      </c>
      <c r="B640" s="20">
        <f t="shared" si="101"/>
        <v>43307</v>
      </c>
      <c r="G640" s="4">
        <f t="shared" si="98"/>
        <v>0</v>
      </c>
      <c r="H640" s="4">
        <f t="shared" si="99"/>
        <v>0</v>
      </c>
      <c r="I640" s="61" t="e">
        <f t="shared" si="100"/>
        <v>#DIV/0!</v>
      </c>
    </row>
    <row r="641" spans="1:9" x14ac:dyDescent="0.25">
      <c r="A641" s="117" t="s">
        <v>11</v>
      </c>
      <c r="B641" s="20">
        <f t="shared" si="101"/>
        <v>43314</v>
      </c>
      <c r="G641" s="4">
        <f t="shared" si="98"/>
        <v>0</v>
      </c>
      <c r="H641" s="4">
        <f t="shared" si="99"/>
        <v>0</v>
      </c>
      <c r="I641" s="61" t="e">
        <f t="shared" si="100"/>
        <v>#DIV/0!</v>
      </c>
    </row>
    <row r="642" spans="1:9" x14ac:dyDescent="0.25">
      <c r="A642" s="117" t="s">
        <v>11</v>
      </c>
      <c r="B642" s="20">
        <f t="shared" si="101"/>
        <v>43321</v>
      </c>
      <c r="G642" s="4">
        <f t="shared" si="98"/>
        <v>0</v>
      </c>
      <c r="H642" s="4">
        <f t="shared" si="99"/>
        <v>0</v>
      </c>
      <c r="I642" s="61" t="e">
        <f t="shared" si="100"/>
        <v>#DIV/0!</v>
      </c>
    </row>
    <row r="643" spans="1:9" x14ac:dyDescent="0.25">
      <c r="A643" s="117" t="s">
        <v>11</v>
      </c>
      <c r="B643" s="20">
        <f t="shared" si="101"/>
        <v>43328</v>
      </c>
      <c r="G643" s="4">
        <f t="shared" si="98"/>
        <v>0</v>
      </c>
      <c r="H643" s="4">
        <f t="shared" si="99"/>
        <v>0</v>
      </c>
      <c r="I643" s="61" t="e">
        <f t="shared" si="100"/>
        <v>#DIV/0!</v>
      </c>
    </row>
    <row r="644" spans="1:9" x14ac:dyDescent="0.25">
      <c r="A644" s="117" t="s">
        <v>11</v>
      </c>
      <c r="B644" s="20">
        <f t="shared" si="101"/>
        <v>43335</v>
      </c>
      <c r="G644" s="4">
        <f t="shared" si="98"/>
        <v>0</v>
      </c>
      <c r="H644" s="4">
        <f t="shared" si="99"/>
        <v>0</v>
      </c>
      <c r="I644" s="61" t="e">
        <f t="shared" si="100"/>
        <v>#DIV/0!</v>
      </c>
    </row>
    <row r="645" spans="1:9" x14ac:dyDescent="0.25">
      <c r="A645" s="117" t="s">
        <v>11</v>
      </c>
      <c r="B645" s="20">
        <f t="shared" si="101"/>
        <v>43342</v>
      </c>
      <c r="G645" s="4">
        <f t="shared" si="98"/>
        <v>0</v>
      </c>
      <c r="H645" s="4">
        <f t="shared" si="99"/>
        <v>0</v>
      </c>
      <c r="I645" s="61" t="e">
        <f t="shared" si="100"/>
        <v>#DIV/0!</v>
      </c>
    </row>
    <row r="646" spans="1:9" x14ac:dyDescent="0.25">
      <c r="A646" s="117" t="s">
        <v>11</v>
      </c>
      <c r="B646" s="20">
        <f t="shared" si="101"/>
        <v>43349</v>
      </c>
      <c r="G646" s="4">
        <f t="shared" si="98"/>
        <v>0</v>
      </c>
      <c r="H646" s="4">
        <f t="shared" si="99"/>
        <v>0</v>
      </c>
      <c r="I646" s="61" t="e">
        <f t="shared" si="100"/>
        <v>#DIV/0!</v>
      </c>
    </row>
    <row r="647" spans="1:9" x14ac:dyDescent="0.25">
      <c r="A647" s="117" t="s">
        <v>11</v>
      </c>
      <c r="B647" s="20">
        <f t="shared" si="101"/>
        <v>43356</v>
      </c>
      <c r="G647" s="4">
        <f t="shared" si="98"/>
        <v>0</v>
      </c>
      <c r="H647" s="4">
        <f t="shared" si="99"/>
        <v>0</v>
      </c>
      <c r="I647" s="61" t="e">
        <f t="shared" si="100"/>
        <v>#DIV/0!</v>
      </c>
    </row>
    <row r="648" spans="1:9" x14ac:dyDescent="0.25">
      <c r="A648" s="117" t="s">
        <v>11</v>
      </c>
      <c r="B648" s="20">
        <f t="shared" si="101"/>
        <v>43363</v>
      </c>
      <c r="G648" s="4">
        <f t="shared" si="98"/>
        <v>0</v>
      </c>
      <c r="H648" s="4">
        <f t="shared" si="99"/>
        <v>0</v>
      </c>
      <c r="I648" s="61" t="e">
        <f t="shared" si="100"/>
        <v>#DIV/0!</v>
      </c>
    </row>
    <row r="649" spans="1:9" x14ac:dyDescent="0.25">
      <c r="A649" s="117" t="s">
        <v>11</v>
      </c>
      <c r="B649" s="20">
        <f t="shared" si="101"/>
        <v>43370</v>
      </c>
      <c r="G649" s="4">
        <f t="shared" si="98"/>
        <v>0</v>
      </c>
      <c r="H649" s="4">
        <f t="shared" si="99"/>
        <v>0</v>
      </c>
      <c r="I649" s="61" t="e">
        <f t="shared" si="100"/>
        <v>#DIV/0!</v>
      </c>
    </row>
    <row r="650" spans="1:9" x14ac:dyDescent="0.25">
      <c r="A650" s="117" t="s">
        <v>11</v>
      </c>
      <c r="B650" s="20">
        <f t="shared" si="101"/>
        <v>43377</v>
      </c>
    </row>
    <row r="651" spans="1:9" x14ac:dyDescent="0.25">
      <c r="A651" s="117" t="s">
        <v>11</v>
      </c>
      <c r="B651" s="20">
        <f t="shared" si="101"/>
        <v>43384</v>
      </c>
    </row>
    <row r="652" spans="1:9" x14ac:dyDescent="0.25">
      <c r="A652" s="117" t="s">
        <v>11</v>
      </c>
      <c r="B652" s="20">
        <f t="shared" si="101"/>
        <v>43391</v>
      </c>
    </row>
    <row r="653" spans="1:9" x14ac:dyDescent="0.25">
      <c r="A653" s="117" t="s">
        <v>11</v>
      </c>
      <c r="B653" s="20">
        <f t="shared" si="101"/>
        <v>43398</v>
      </c>
    </row>
    <row r="654" spans="1:9" x14ac:dyDescent="0.25">
      <c r="A654" s="117" t="s">
        <v>11</v>
      </c>
      <c r="B654" s="20">
        <f t="shared" si="101"/>
        <v>43405</v>
      </c>
    </row>
    <row r="655" spans="1:9" x14ac:dyDescent="0.25">
      <c r="A655" s="117" t="s">
        <v>11</v>
      </c>
      <c r="B655" s="20">
        <f t="shared" si="101"/>
        <v>43412</v>
      </c>
    </row>
    <row r="656" spans="1:9" x14ac:dyDescent="0.25">
      <c r="A656" s="117" t="s">
        <v>11</v>
      </c>
      <c r="B656" s="20">
        <f t="shared" si="101"/>
        <v>43419</v>
      </c>
    </row>
    <row r="657" spans="1:2" x14ac:dyDescent="0.25">
      <c r="A657" s="117" t="s">
        <v>11</v>
      </c>
      <c r="B657" s="20">
        <f t="shared" si="101"/>
        <v>43426</v>
      </c>
    </row>
    <row r="658" spans="1:2" x14ac:dyDescent="0.25">
      <c r="A658" s="117" t="s">
        <v>11</v>
      </c>
      <c r="B658" s="20">
        <f t="shared" si="101"/>
        <v>43433</v>
      </c>
    </row>
    <row r="659" spans="1:2" x14ac:dyDescent="0.25">
      <c r="A659" s="117" t="s">
        <v>11</v>
      </c>
      <c r="B659" s="20">
        <f t="shared" si="101"/>
        <v>43440</v>
      </c>
    </row>
    <row r="660" spans="1:2" x14ac:dyDescent="0.25">
      <c r="A660" s="117" t="s">
        <v>11</v>
      </c>
      <c r="B660" s="20">
        <f t="shared" si="101"/>
        <v>43447</v>
      </c>
    </row>
    <row r="661" spans="1:2" x14ac:dyDescent="0.25">
      <c r="A661" s="117" t="s">
        <v>11</v>
      </c>
      <c r="B661" s="20">
        <f t="shared" si="101"/>
        <v>43454</v>
      </c>
    </row>
    <row r="662" spans="1:2" x14ac:dyDescent="0.25">
      <c r="A662" s="117" t="s">
        <v>11</v>
      </c>
      <c r="B662" s="20">
        <f t="shared" si="101"/>
        <v>43461</v>
      </c>
    </row>
    <row r="663" spans="1:2" x14ac:dyDescent="0.25">
      <c r="A663" s="117" t="s">
        <v>11</v>
      </c>
      <c r="B663" s="20">
        <f t="shared" si="101"/>
        <v>43468</v>
      </c>
    </row>
    <row r="664" spans="1:2" x14ac:dyDescent="0.25">
      <c r="A664" s="117" t="s">
        <v>11</v>
      </c>
      <c r="B664" s="20">
        <f t="shared" si="101"/>
        <v>43475</v>
      </c>
    </row>
    <row r="665" spans="1:2" x14ac:dyDescent="0.25">
      <c r="A665" s="117" t="s">
        <v>11</v>
      </c>
      <c r="B665" s="20">
        <f t="shared" si="101"/>
        <v>43482</v>
      </c>
    </row>
    <row r="666" spans="1:2" x14ac:dyDescent="0.25">
      <c r="A666" s="117" t="s">
        <v>11</v>
      </c>
      <c r="B666" s="20">
        <f t="shared" si="101"/>
        <v>43489</v>
      </c>
    </row>
    <row r="667" spans="1:2" x14ac:dyDescent="0.25">
      <c r="A667" s="117" t="s">
        <v>11</v>
      </c>
      <c r="B667" s="20">
        <f t="shared" si="101"/>
        <v>43496</v>
      </c>
    </row>
    <row r="668" spans="1:2" x14ac:dyDescent="0.25">
      <c r="A668" s="117" t="s">
        <v>11</v>
      </c>
      <c r="B668" s="20">
        <f t="shared" si="101"/>
        <v>43503</v>
      </c>
    </row>
    <row r="669" spans="1:2" x14ac:dyDescent="0.25">
      <c r="A669" s="117" t="s">
        <v>11</v>
      </c>
      <c r="B669" s="20">
        <f t="shared" si="101"/>
        <v>43510</v>
      </c>
    </row>
    <row r="670" spans="1:2" x14ac:dyDescent="0.25">
      <c r="A670" s="117" t="s">
        <v>11</v>
      </c>
      <c r="B670" s="20">
        <f t="shared" si="101"/>
        <v>43517</v>
      </c>
    </row>
    <row r="671" spans="1:2" x14ac:dyDescent="0.25">
      <c r="A671" s="117" t="s">
        <v>11</v>
      </c>
      <c r="B671" s="20">
        <f t="shared" si="101"/>
        <v>43524</v>
      </c>
    </row>
    <row r="672" spans="1:2" x14ac:dyDescent="0.25">
      <c r="A672" s="117" t="s">
        <v>11</v>
      </c>
      <c r="B672" s="20">
        <f t="shared" si="101"/>
        <v>43531</v>
      </c>
    </row>
    <row r="673" spans="1:2" x14ac:dyDescent="0.25">
      <c r="A673" s="117" t="s">
        <v>11</v>
      </c>
      <c r="B673" s="20">
        <f t="shared" si="101"/>
        <v>43538</v>
      </c>
    </row>
    <row r="674" spans="1:2" x14ac:dyDescent="0.25">
      <c r="A674" s="117" t="s">
        <v>11</v>
      </c>
      <c r="B674" s="20">
        <f t="shared" si="101"/>
        <v>43545</v>
      </c>
    </row>
    <row r="675" spans="1:2" x14ac:dyDescent="0.25">
      <c r="A675" s="117" t="s">
        <v>11</v>
      </c>
      <c r="B675" s="20">
        <f t="shared" si="101"/>
        <v>43552</v>
      </c>
    </row>
    <row r="676" spans="1:2" x14ac:dyDescent="0.25">
      <c r="A676" s="117" t="s">
        <v>11</v>
      </c>
      <c r="B676" s="20">
        <f t="shared" si="101"/>
        <v>43559</v>
      </c>
    </row>
    <row r="677" spans="1:2" x14ac:dyDescent="0.25">
      <c r="A677" s="117" t="s">
        <v>11</v>
      </c>
      <c r="B677" s="20">
        <f t="shared" si="101"/>
        <v>43566</v>
      </c>
    </row>
    <row r="678" spans="1:2" x14ac:dyDescent="0.25">
      <c r="A678" s="117" t="s">
        <v>11</v>
      </c>
      <c r="B678" s="20">
        <f t="shared" si="101"/>
        <v>43573</v>
      </c>
    </row>
    <row r="679" spans="1:2" x14ac:dyDescent="0.25">
      <c r="A679" s="117" t="s">
        <v>11</v>
      </c>
      <c r="B679" s="20">
        <f t="shared" si="101"/>
        <v>43580</v>
      </c>
    </row>
    <row r="680" spans="1:2" x14ac:dyDescent="0.25">
      <c r="A680" s="117" t="s">
        <v>11</v>
      </c>
      <c r="B680" s="20">
        <f t="shared" si="101"/>
        <v>43587</v>
      </c>
    </row>
    <row r="681" spans="1:2" x14ac:dyDescent="0.25">
      <c r="A681" s="117" t="s">
        <v>11</v>
      </c>
      <c r="B681" s="20">
        <f t="shared" si="101"/>
        <v>43594</v>
      </c>
    </row>
    <row r="682" spans="1:2" x14ac:dyDescent="0.25">
      <c r="A682" s="117" t="s">
        <v>11</v>
      </c>
      <c r="B682" s="20">
        <f t="shared" si="101"/>
        <v>43601</v>
      </c>
    </row>
    <row r="683" spans="1:2" x14ac:dyDescent="0.25">
      <c r="A683" s="117" t="s">
        <v>11</v>
      </c>
      <c r="B683" s="20">
        <f t="shared" si="101"/>
        <v>43608</v>
      </c>
    </row>
    <row r="684" spans="1:2" x14ac:dyDescent="0.25">
      <c r="A684" s="117" t="s">
        <v>11</v>
      </c>
      <c r="B684" s="20">
        <f t="shared" si="101"/>
        <v>43615</v>
      </c>
    </row>
    <row r="685" spans="1:2" x14ac:dyDescent="0.25">
      <c r="A685" s="117" t="s">
        <v>11</v>
      </c>
      <c r="B685" s="20">
        <f t="shared" si="101"/>
        <v>43622</v>
      </c>
    </row>
    <row r="686" spans="1:2" x14ac:dyDescent="0.25">
      <c r="A686" s="117" t="s">
        <v>11</v>
      </c>
      <c r="B686" s="20">
        <f t="shared" si="101"/>
        <v>43629</v>
      </c>
    </row>
    <row r="687" spans="1:2" x14ac:dyDescent="0.25">
      <c r="A687" s="117" t="s">
        <v>11</v>
      </c>
      <c r="B687" s="20">
        <f t="shared" si="101"/>
        <v>43636</v>
      </c>
    </row>
    <row r="688" spans="1:2" x14ac:dyDescent="0.25">
      <c r="A688" s="117" t="s">
        <v>11</v>
      </c>
      <c r="B688" s="20">
        <f t="shared" si="101"/>
        <v>43643</v>
      </c>
    </row>
    <row r="689" spans="1:2" x14ac:dyDescent="0.25">
      <c r="A689" s="117" t="s">
        <v>11</v>
      </c>
      <c r="B689" s="20">
        <f t="shared" si="101"/>
        <v>43650</v>
      </c>
    </row>
    <row r="690" spans="1:2" x14ac:dyDescent="0.25">
      <c r="A690" s="117" t="s">
        <v>11</v>
      </c>
      <c r="B690" s="20">
        <f t="shared" si="101"/>
        <v>43657</v>
      </c>
    </row>
    <row r="691" spans="1:2" x14ac:dyDescent="0.25">
      <c r="A691" s="117" t="s">
        <v>11</v>
      </c>
      <c r="B691" s="20">
        <f t="shared" si="101"/>
        <v>43664</v>
      </c>
    </row>
    <row r="692" spans="1:2" x14ac:dyDescent="0.25">
      <c r="A692" s="117" t="s">
        <v>11</v>
      </c>
      <c r="B692" s="20">
        <f t="shared" si="101"/>
        <v>43671</v>
      </c>
    </row>
    <row r="693" spans="1:2" x14ac:dyDescent="0.25">
      <c r="A693" s="117" t="s">
        <v>11</v>
      </c>
      <c r="B693" s="20">
        <f t="shared" si="101"/>
        <v>43678</v>
      </c>
    </row>
    <row r="694" spans="1:2" x14ac:dyDescent="0.25">
      <c r="A694" s="117" t="s">
        <v>11</v>
      </c>
      <c r="B694" s="20">
        <f t="shared" si="101"/>
        <v>43685</v>
      </c>
    </row>
    <row r="695" spans="1:2" x14ac:dyDescent="0.25">
      <c r="A695" s="117" t="s">
        <v>11</v>
      </c>
      <c r="B695" s="20">
        <f t="shared" si="101"/>
        <v>43692</v>
      </c>
    </row>
    <row r="696" spans="1:2" x14ac:dyDescent="0.25">
      <c r="A696" s="117" t="s">
        <v>11</v>
      </c>
      <c r="B696" s="20">
        <f t="shared" si="101"/>
        <v>43699</v>
      </c>
    </row>
    <row r="697" spans="1:2" x14ac:dyDescent="0.25">
      <c r="A697" s="117" t="s">
        <v>11</v>
      </c>
      <c r="B697" s="20">
        <f t="shared" si="101"/>
        <v>43706</v>
      </c>
    </row>
    <row r="698" spans="1:2" x14ac:dyDescent="0.25">
      <c r="A698" s="117" t="s">
        <v>11</v>
      </c>
      <c r="B698" s="20">
        <f t="shared" si="101"/>
        <v>43713</v>
      </c>
    </row>
    <row r="699" spans="1:2" x14ac:dyDescent="0.25">
      <c r="A699" s="117" t="s">
        <v>11</v>
      </c>
      <c r="B699" s="20">
        <f t="shared" si="101"/>
        <v>43720</v>
      </c>
    </row>
    <row r="700" spans="1:2" x14ac:dyDescent="0.25">
      <c r="A700" s="117" t="s">
        <v>11</v>
      </c>
      <c r="B700" s="20">
        <f t="shared" si="101"/>
        <v>43727</v>
      </c>
    </row>
    <row r="701" spans="1:2" x14ac:dyDescent="0.25">
      <c r="A701" s="117" t="s">
        <v>11</v>
      </c>
      <c r="B701" s="20">
        <f t="shared" si="101"/>
        <v>43734</v>
      </c>
    </row>
    <row r="702" spans="1:2" x14ac:dyDescent="0.25">
      <c r="A702" s="117" t="s">
        <v>11</v>
      </c>
      <c r="B702" s="20">
        <f t="shared" ref="B702:B720" si="102">+B701+7</f>
        <v>43741</v>
      </c>
    </row>
    <row r="703" spans="1:2" x14ac:dyDescent="0.25">
      <c r="A703" s="117" t="s">
        <v>11</v>
      </c>
      <c r="B703" s="20">
        <f t="shared" si="102"/>
        <v>43748</v>
      </c>
    </row>
    <row r="704" spans="1:2" x14ac:dyDescent="0.25">
      <c r="A704" s="117" t="s">
        <v>11</v>
      </c>
      <c r="B704" s="20">
        <f t="shared" si="102"/>
        <v>43755</v>
      </c>
    </row>
    <row r="705" spans="1:2" x14ac:dyDescent="0.25">
      <c r="A705" s="117" t="s">
        <v>11</v>
      </c>
      <c r="B705" s="20">
        <f t="shared" si="102"/>
        <v>43762</v>
      </c>
    </row>
    <row r="706" spans="1:2" x14ac:dyDescent="0.25">
      <c r="A706" s="117" t="s">
        <v>11</v>
      </c>
      <c r="B706" s="20">
        <f t="shared" si="102"/>
        <v>43769</v>
      </c>
    </row>
    <row r="707" spans="1:2" x14ac:dyDescent="0.25">
      <c r="A707" s="117" t="s">
        <v>11</v>
      </c>
      <c r="B707" s="20">
        <f t="shared" si="102"/>
        <v>43776</v>
      </c>
    </row>
    <row r="708" spans="1:2" x14ac:dyDescent="0.25">
      <c r="A708" s="117" t="s">
        <v>11</v>
      </c>
      <c r="B708" s="20">
        <f t="shared" si="102"/>
        <v>43783</v>
      </c>
    </row>
    <row r="709" spans="1:2" x14ac:dyDescent="0.25">
      <c r="A709" s="117" t="s">
        <v>11</v>
      </c>
      <c r="B709" s="20">
        <f t="shared" si="102"/>
        <v>43790</v>
      </c>
    </row>
    <row r="710" spans="1:2" x14ac:dyDescent="0.25">
      <c r="A710" s="117" t="s">
        <v>11</v>
      </c>
      <c r="B710" s="20">
        <f t="shared" si="102"/>
        <v>43797</v>
      </c>
    </row>
    <row r="711" spans="1:2" x14ac:dyDescent="0.25">
      <c r="A711" s="117" t="s">
        <v>11</v>
      </c>
      <c r="B711" s="20">
        <f t="shared" si="102"/>
        <v>43804</v>
      </c>
    </row>
    <row r="712" spans="1:2" x14ac:dyDescent="0.25">
      <c r="A712" s="117" t="s">
        <v>11</v>
      </c>
      <c r="B712" s="20">
        <f t="shared" si="102"/>
        <v>43811</v>
      </c>
    </row>
    <row r="713" spans="1:2" x14ac:dyDescent="0.25">
      <c r="A713" s="117" t="s">
        <v>11</v>
      </c>
      <c r="B713" s="20">
        <f t="shared" si="102"/>
        <v>43818</v>
      </c>
    </row>
    <row r="714" spans="1:2" x14ac:dyDescent="0.25">
      <c r="A714" s="117" t="s">
        <v>11</v>
      </c>
      <c r="B714" s="20">
        <f t="shared" si="102"/>
        <v>43825</v>
      </c>
    </row>
    <row r="715" spans="1:2" x14ac:dyDescent="0.25">
      <c r="A715" s="117" t="s">
        <v>11</v>
      </c>
      <c r="B715" s="20">
        <f t="shared" si="102"/>
        <v>43832</v>
      </c>
    </row>
    <row r="716" spans="1:2" x14ac:dyDescent="0.25">
      <c r="A716" s="117" t="s">
        <v>11</v>
      </c>
      <c r="B716" s="20">
        <f t="shared" si="102"/>
        <v>43839</v>
      </c>
    </row>
    <row r="717" spans="1:2" x14ac:dyDescent="0.25">
      <c r="A717" s="117" t="s">
        <v>11</v>
      </c>
      <c r="B717" s="20">
        <f t="shared" si="102"/>
        <v>43846</v>
      </c>
    </row>
    <row r="718" spans="1:2" x14ac:dyDescent="0.25">
      <c r="A718" s="117" t="s">
        <v>11</v>
      </c>
      <c r="B718" s="20">
        <f t="shared" si="102"/>
        <v>43853</v>
      </c>
    </row>
    <row r="719" spans="1:2" x14ac:dyDescent="0.25">
      <c r="A719" s="117" t="s">
        <v>11</v>
      </c>
      <c r="B719" s="20">
        <f t="shared" si="102"/>
        <v>43860</v>
      </c>
    </row>
    <row r="720" spans="1:2" x14ac:dyDescent="0.25">
      <c r="A720" s="117" t="s">
        <v>11</v>
      </c>
      <c r="B720" s="20">
        <f t="shared" si="102"/>
        <v>43867</v>
      </c>
    </row>
    <row r="65510" spans="2:9" x14ac:dyDescent="0.25">
      <c r="B65510" s="20"/>
      <c r="G65510" s="4"/>
      <c r="H65510" s="4"/>
      <c r="I65510" s="61"/>
    </row>
  </sheetData>
  <mergeCells count="2">
    <mergeCell ref="E2:F2"/>
    <mergeCell ref="G2:H2"/>
  </mergeCells>
  <phoneticPr fontId="2" type="noConversion"/>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8"/>
  <sheetViews>
    <sheetView topLeftCell="A90" workbookViewId="0">
      <selection activeCell="I108" sqref="I108"/>
    </sheetView>
  </sheetViews>
  <sheetFormatPr defaultRowHeight="13.2" x14ac:dyDescent="0.25"/>
  <cols>
    <col min="1" max="1" width="11.33203125" customWidth="1"/>
  </cols>
  <sheetData>
    <row r="1" spans="1:10" ht="13.8" thickBot="1" x14ac:dyDescent="0.3">
      <c r="B1" s="13" t="s">
        <v>8</v>
      </c>
      <c r="C1" s="6"/>
      <c r="D1" s="6"/>
      <c r="F1" s="14"/>
      <c r="G1" s="6"/>
      <c r="H1" s="6"/>
      <c r="I1" s="6"/>
      <c r="J1" s="6"/>
    </row>
    <row r="2" spans="1:10" x14ac:dyDescent="0.25">
      <c r="C2" t="s">
        <v>9</v>
      </c>
      <c r="E2" s="218" t="s">
        <v>2</v>
      </c>
      <c r="F2" s="219"/>
      <c r="G2" s="218" t="s">
        <v>3</v>
      </c>
      <c r="H2" s="219"/>
      <c r="I2" s="10" t="s">
        <v>18</v>
      </c>
      <c r="J2" s="17" t="s">
        <v>27</v>
      </c>
    </row>
    <row r="3" spans="1:10" x14ac:dyDescent="0.25">
      <c r="B3" s="7"/>
      <c r="C3" s="7" t="s">
        <v>36</v>
      </c>
      <c r="D3" s="7" t="s">
        <v>37</v>
      </c>
      <c r="E3" s="7" t="s">
        <v>36</v>
      </c>
      <c r="F3" s="7" t="s">
        <v>37</v>
      </c>
      <c r="G3" s="7" t="s">
        <v>36</v>
      </c>
      <c r="H3" s="7" t="s">
        <v>37</v>
      </c>
      <c r="I3" s="11" t="s">
        <v>6</v>
      </c>
      <c r="J3" s="9" t="s">
        <v>28</v>
      </c>
    </row>
    <row r="4" spans="1:10" x14ac:dyDescent="0.25">
      <c r="A4" s="20">
        <v>40976</v>
      </c>
      <c r="B4" s="117" t="s">
        <v>233</v>
      </c>
      <c r="C4">
        <v>1029.2</v>
      </c>
      <c r="D4">
        <v>0</v>
      </c>
      <c r="E4">
        <v>2764.9</v>
      </c>
      <c r="F4">
        <v>313.7</v>
      </c>
      <c r="G4" s="18">
        <f t="shared" ref="G4:G9" si="0">+C4+E4</f>
        <v>3794.1000000000004</v>
      </c>
      <c r="H4" s="18">
        <f t="shared" ref="H4:H35" si="1">+D4+F4</f>
        <v>313.7</v>
      </c>
      <c r="I4" s="30">
        <f t="shared" ref="I4:I35" si="2">+(G4/H4-1)*100</f>
        <v>1109.467644246095</v>
      </c>
    </row>
    <row r="5" spans="1:10" x14ac:dyDescent="0.25">
      <c r="A5" s="20">
        <f t="shared" ref="A5:A10" si="3">+A4+7</f>
        <v>40983</v>
      </c>
      <c r="B5" s="117" t="s">
        <v>233</v>
      </c>
      <c r="C5">
        <v>1032.7</v>
      </c>
      <c r="D5">
        <v>0</v>
      </c>
      <c r="E5">
        <v>2764.9</v>
      </c>
      <c r="F5">
        <v>313.7</v>
      </c>
      <c r="G5" s="18">
        <f t="shared" si="0"/>
        <v>3797.6000000000004</v>
      </c>
      <c r="H5" s="18">
        <f t="shared" si="1"/>
        <v>313.7</v>
      </c>
      <c r="I5" s="30">
        <f t="shared" si="2"/>
        <v>1110.5833598979918</v>
      </c>
    </row>
    <row r="6" spans="1:10" x14ac:dyDescent="0.25">
      <c r="A6" s="20">
        <f t="shared" si="3"/>
        <v>40990</v>
      </c>
      <c r="B6" s="117" t="s">
        <v>233</v>
      </c>
      <c r="C6">
        <v>1037.2</v>
      </c>
      <c r="D6">
        <v>0</v>
      </c>
      <c r="E6">
        <v>2765.4</v>
      </c>
      <c r="F6">
        <v>313.7</v>
      </c>
      <c r="G6" s="18">
        <f t="shared" si="0"/>
        <v>3802.6000000000004</v>
      </c>
      <c r="H6" s="18">
        <f t="shared" si="1"/>
        <v>313.7</v>
      </c>
      <c r="I6" s="30">
        <f t="shared" si="2"/>
        <v>1112.1772394007016</v>
      </c>
    </row>
    <row r="7" spans="1:10" x14ac:dyDescent="0.25">
      <c r="A7" s="20">
        <f t="shared" si="3"/>
        <v>40997</v>
      </c>
      <c r="B7" s="117" t="s">
        <v>233</v>
      </c>
      <c r="C7">
        <v>1426.5</v>
      </c>
      <c r="D7">
        <v>0</v>
      </c>
      <c r="E7">
        <v>2770.2</v>
      </c>
      <c r="F7">
        <v>313.7</v>
      </c>
      <c r="G7" s="18">
        <f t="shared" si="0"/>
        <v>4196.7</v>
      </c>
      <c r="H7" s="18">
        <f t="shared" si="1"/>
        <v>313.7</v>
      </c>
      <c r="I7" s="30">
        <f t="shared" si="2"/>
        <v>1237.8068218042715</v>
      </c>
    </row>
    <row r="8" spans="1:10" x14ac:dyDescent="0.25">
      <c r="A8" s="20">
        <f t="shared" si="3"/>
        <v>41004</v>
      </c>
      <c r="B8" s="117" t="s">
        <v>233</v>
      </c>
      <c r="C8">
        <v>1486.5</v>
      </c>
      <c r="D8">
        <v>0</v>
      </c>
      <c r="E8">
        <v>2770.2</v>
      </c>
      <c r="F8">
        <v>313.7</v>
      </c>
      <c r="G8" s="18">
        <f t="shared" si="0"/>
        <v>4256.7</v>
      </c>
      <c r="H8" s="18">
        <f t="shared" si="1"/>
        <v>313.7</v>
      </c>
      <c r="I8" s="30">
        <f t="shared" si="2"/>
        <v>1256.9333758367866</v>
      </c>
    </row>
    <row r="9" spans="1:10" x14ac:dyDescent="0.25">
      <c r="A9" s="20">
        <f t="shared" si="3"/>
        <v>41011</v>
      </c>
      <c r="B9" s="117" t="s">
        <v>233</v>
      </c>
      <c r="C9">
        <v>1501.5</v>
      </c>
      <c r="D9">
        <v>0.5</v>
      </c>
      <c r="E9">
        <v>2770.2</v>
      </c>
      <c r="F9">
        <v>313.7</v>
      </c>
      <c r="G9" s="18">
        <f t="shared" si="0"/>
        <v>4271.7</v>
      </c>
      <c r="H9" s="18">
        <f t="shared" si="1"/>
        <v>314.2</v>
      </c>
      <c r="I9" s="30">
        <f t="shared" si="2"/>
        <v>1259.5480585614257</v>
      </c>
    </row>
    <row r="10" spans="1:10" x14ac:dyDescent="0.25">
      <c r="A10" s="20">
        <f t="shared" si="3"/>
        <v>41018</v>
      </c>
      <c r="B10" s="117" t="s">
        <v>233</v>
      </c>
      <c r="C10">
        <v>1472</v>
      </c>
      <c r="E10">
        <v>2837</v>
      </c>
      <c r="F10">
        <v>314.10000000000002</v>
      </c>
      <c r="G10" s="18">
        <f t="shared" ref="G10:G41" si="4">+C10+E10</f>
        <v>4309</v>
      </c>
      <c r="H10" s="18">
        <f t="shared" si="1"/>
        <v>314.10000000000002</v>
      </c>
      <c r="I10" s="30">
        <f t="shared" si="2"/>
        <v>1271.8560967844635</v>
      </c>
    </row>
    <row r="11" spans="1:10" x14ac:dyDescent="0.25">
      <c r="A11" s="20">
        <f t="shared" ref="A11:A74" si="5">+A10+7</f>
        <v>41025</v>
      </c>
      <c r="B11" s="117" t="s">
        <v>233</v>
      </c>
      <c r="C11">
        <v>1686</v>
      </c>
      <c r="E11">
        <v>2837</v>
      </c>
      <c r="F11">
        <v>314.10000000000002</v>
      </c>
      <c r="G11" s="18">
        <f t="shared" si="4"/>
        <v>4523</v>
      </c>
      <c r="H11" s="18">
        <f t="shared" si="1"/>
        <v>314.10000000000002</v>
      </c>
      <c r="I11" s="30">
        <f t="shared" si="2"/>
        <v>1339.9872652021647</v>
      </c>
    </row>
    <row r="12" spans="1:10" x14ac:dyDescent="0.25">
      <c r="A12" s="20">
        <f t="shared" si="5"/>
        <v>41032</v>
      </c>
      <c r="B12" s="117" t="s">
        <v>233</v>
      </c>
      <c r="C12">
        <v>1626</v>
      </c>
      <c r="E12">
        <v>2837</v>
      </c>
      <c r="F12">
        <v>314.10000000000002</v>
      </c>
      <c r="G12" s="18">
        <f t="shared" si="4"/>
        <v>4463</v>
      </c>
      <c r="H12" s="18">
        <f t="shared" si="1"/>
        <v>314.10000000000002</v>
      </c>
      <c r="I12" s="30">
        <f t="shared" si="2"/>
        <v>1320.8850684495383</v>
      </c>
      <c r="J12">
        <v>172.5</v>
      </c>
    </row>
    <row r="13" spans="1:10" x14ac:dyDescent="0.25">
      <c r="A13" s="20">
        <f t="shared" si="5"/>
        <v>41039</v>
      </c>
      <c r="B13" s="117" t="s">
        <v>233</v>
      </c>
      <c r="C13">
        <v>1633.2</v>
      </c>
      <c r="E13">
        <v>2902.5</v>
      </c>
      <c r="F13">
        <v>314.10000000000002</v>
      </c>
      <c r="G13" s="18">
        <f t="shared" si="4"/>
        <v>4535.7</v>
      </c>
      <c r="H13" s="18">
        <f t="shared" si="1"/>
        <v>314.10000000000002</v>
      </c>
      <c r="I13" s="30">
        <f t="shared" si="2"/>
        <v>1344.030563514804</v>
      </c>
      <c r="J13">
        <v>284.2</v>
      </c>
    </row>
    <row r="14" spans="1:10" x14ac:dyDescent="0.25">
      <c r="A14" s="20">
        <f t="shared" si="5"/>
        <v>41046</v>
      </c>
      <c r="B14" s="117" t="s">
        <v>233</v>
      </c>
      <c r="C14">
        <v>1820.1</v>
      </c>
      <c r="E14">
        <v>2970.6</v>
      </c>
      <c r="F14">
        <v>430.9</v>
      </c>
      <c r="G14" s="18">
        <f t="shared" si="4"/>
        <v>4790.7</v>
      </c>
      <c r="H14" s="18">
        <f t="shared" si="1"/>
        <v>430.9</v>
      </c>
      <c r="I14" s="30">
        <f t="shared" si="2"/>
        <v>1011.7892782548156</v>
      </c>
      <c r="J14">
        <v>987.8</v>
      </c>
    </row>
    <row r="15" spans="1:10" x14ac:dyDescent="0.25">
      <c r="A15" s="20">
        <f t="shared" si="5"/>
        <v>41053</v>
      </c>
      <c r="B15" s="117" t="s">
        <v>233</v>
      </c>
      <c r="C15">
        <v>1644.9</v>
      </c>
      <c r="D15">
        <v>2</v>
      </c>
      <c r="E15">
        <v>3287.7</v>
      </c>
      <c r="F15">
        <v>430.9</v>
      </c>
      <c r="G15" s="18">
        <f t="shared" si="4"/>
        <v>4932.6000000000004</v>
      </c>
      <c r="H15" s="18">
        <f t="shared" si="1"/>
        <v>432.9</v>
      </c>
      <c r="I15" s="30">
        <f t="shared" si="2"/>
        <v>1039.4317394317395</v>
      </c>
      <c r="J15">
        <v>1042.8</v>
      </c>
    </row>
    <row r="16" spans="1:10" x14ac:dyDescent="0.25">
      <c r="A16" s="20">
        <f t="shared" si="5"/>
        <v>41060</v>
      </c>
      <c r="B16" s="117" t="s">
        <v>233</v>
      </c>
      <c r="C16">
        <v>1452.5</v>
      </c>
      <c r="D16">
        <v>0</v>
      </c>
      <c r="E16">
        <v>3498.7</v>
      </c>
      <c r="F16">
        <v>489.8</v>
      </c>
      <c r="G16" s="18">
        <f t="shared" si="4"/>
        <v>4951.2</v>
      </c>
      <c r="H16" s="18">
        <f t="shared" si="1"/>
        <v>489.8</v>
      </c>
      <c r="I16" s="30">
        <f t="shared" si="2"/>
        <v>910.86157615353204</v>
      </c>
      <c r="J16">
        <v>1027.8</v>
      </c>
    </row>
    <row r="17" spans="1:10" x14ac:dyDescent="0.25">
      <c r="A17" s="20">
        <f t="shared" si="5"/>
        <v>41067</v>
      </c>
      <c r="B17" s="117" t="s">
        <v>233</v>
      </c>
      <c r="C17">
        <v>1446</v>
      </c>
      <c r="D17">
        <v>0</v>
      </c>
      <c r="E17">
        <v>3569.9</v>
      </c>
      <c r="F17">
        <v>555.5</v>
      </c>
      <c r="G17" s="18">
        <f t="shared" si="4"/>
        <v>5015.8999999999996</v>
      </c>
      <c r="H17" s="18">
        <f t="shared" si="1"/>
        <v>555.5</v>
      </c>
      <c r="I17" s="30">
        <f t="shared" si="2"/>
        <v>802.95229522952297</v>
      </c>
      <c r="J17">
        <v>1041.3</v>
      </c>
    </row>
    <row r="18" spans="1:10" x14ac:dyDescent="0.25">
      <c r="A18" s="20">
        <f t="shared" si="5"/>
        <v>41074</v>
      </c>
      <c r="B18" s="117" t="s">
        <v>233</v>
      </c>
      <c r="C18">
        <v>1258.2</v>
      </c>
      <c r="D18">
        <v>0</v>
      </c>
      <c r="E18">
        <v>3777.6</v>
      </c>
      <c r="F18">
        <v>555.5</v>
      </c>
      <c r="G18" s="18">
        <f t="shared" si="4"/>
        <v>5035.8</v>
      </c>
      <c r="H18" s="18">
        <f t="shared" si="1"/>
        <v>555.5</v>
      </c>
      <c r="I18" s="30">
        <f t="shared" si="2"/>
        <v>806.53465346534665</v>
      </c>
      <c r="J18">
        <v>1041.3</v>
      </c>
    </row>
    <row r="19" spans="1:10" x14ac:dyDescent="0.25">
      <c r="A19" s="20">
        <f t="shared" si="5"/>
        <v>41081</v>
      </c>
      <c r="B19" s="117" t="s">
        <v>233</v>
      </c>
      <c r="C19">
        <v>1130</v>
      </c>
      <c r="D19">
        <v>0</v>
      </c>
      <c r="E19">
        <v>3912.3</v>
      </c>
      <c r="F19">
        <v>555.5</v>
      </c>
      <c r="G19" s="18">
        <f t="shared" si="4"/>
        <v>5042.3</v>
      </c>
      <c r="H19" s="18">
        <f t="shared" si="1"/>
        <v>555.5</v>
      </c>
      <c r="I19" s="30">
        <f t="shared" si="2"/>
        <v>807.70477047704765</v>
      </c>
      <c r="J19">
        <v>1101.3</v>
      </c>
    </row>
    <row r="20" spans="1:10" x14ac:dyDescent="0.25">
      <c r="A20" s="20">
        <f t="shared" si="5"/>
        <v>41088</v>
      </c>
      <c r="B20" s="117" t="s">
        <v>233</v>
      </c>
      <c r="C20">
        <v>1058.5999999999999</v>
      </c>
      <c r="D20">
        <v>0</v>
      </c>
      <c r="E20">
        <v>4107.6000000000004</v>
      </c>
      <c r="F20">
        <v>555.5</v>
      </c>
      <c r="G20" s="18">
        <f t="shared" si="4"/>
        <v>5166.2000000000007</v>
      </c>
      <c r="H20" s="18">
        <f t="shared" si="1"/>
        <v>555.5</v>
      </c>
      <c r="I20" s="30">
        <f t="shared" si="2"/>
        <v>830.0090009000902</v>
      </c>
      <c r="J20">
        <v>1101.3</v>
      </c>
    </row>
    <row r="21" spans="1:10" x14ac:dyDescent="0.25">
      <c r="A21" s="20">
        <f t="shared" si="5"/>
        <v>41095</v>
      </c>
      <c r="B21" s="117" t="s">
        <v>233</v>
      </c>
      <c r="C21">
        <v>1051.0999999999999</v>
      </c>
      <c r="D21">
        <v>15</v>
      </c>
      <c r="E21">
        <v>4115.1000000000004</v>
      </c>
      <c r="F21">
        <v>615.1</v>
      </c>
      <c r="G21" s="18">
        <f t="shared" si="4"/>
        <v>5166.2000000000007</v>
      </c>
      <c r="H21" s="18">
        <f t="shared" si="1"/>
        <v>630.1</v>
      </c>
      <c r="I21" s="30">
        <f t="shared" si="2"/>
        <v>719.90160292017151</v>
      </c>
      <c r="J21">
        <v>1101.3</v>
      </c>
    </row>
    <row r="22" spans="1:10" x14ac:dyDescent="0.25">
      <c r="A22" s="20">
        <f t="shared" si="5"/>
        <v>41102</v>
      </c>
      <c r="B22" s="117" t="s">
        <v>233</v>
      </c>
      <c r="C22">
        <v>951</v>
      </c>
      <c r="D22">
        <v>15</v>
      </c>
      <c r="E22">
        <v>4240</v>
      </c>
      <c r="F22">
        <v>615.1</v>
      </c>
      <c r="G22" s="18">
        <f t="shared" si="4"/>
        <v>5191</v>
      </c>
      <c r="H22" s="18">
        <f t="shared" si="1"/>
        <v>630.1</v>
      </c>
      <c r="I22" s="30">
        <f t="shared" si="2"/>
        <v>723.83748611331521</v>
      </c>
      <c r="J22">
        <v>1101.3</v>
      </c>
    </row>
    <row r="23" spans="1:10" x14ac:dyDescent="0.25">
      <c r="A23" s="20">
        <f t="shared" si="5"/>
        <v>41109</v>
      </c>
      <c r="B23" s="117" t="s">
        <v>233</v>
      </c>
      <c r="C23">
        <v>884.1</v>
      </c>
      <c r="D23">
        <v>15</v>
      </c>
      <c r="E23">
        <v>4317.7</v>
      </c>
      <c r="F23">
        <v>671.3</v>
      </c>
      <c r="G23" s="18">
        <f t="shared" si="4"/>
        <v>5201.8</v>
      </c>
      <c r="H23" s="18">
        <f t="shared" si="1"/>
        <v>686.3</v>
      </c>
      <c r="I23" s="30">
        <f t="shared" si="2"/>
        <v>657.94841905872067</v>
      </c>
      <c r="J23">
        <v>861.3</v>
      </c>
    </row>
    <row r="24" spans="1:10" x14ac:dyDescent="0.25">
      <c r="A24" s="20">
        <f t="shared" si="5"/>
        <v>41116</v>
      </c>
      <c r="B24" s="117" t="s">
        <v>233</v>
      </c>
      <c r="C24">
        <v>745.5</v>
      </c>
      <c r="D24">
        <v>11.6</v>
      </c>
      <c r="E24">
        <v>4503.8</v>
      </c>
      <c r="F24">
        <v>731.4</v>
      </c>
      <c r="G24" s="18">
        <f t="shared" si="4"/>
        <v>5249.3</v>
      </c>
      <c r="H24" s="18">
        <f t="shared" si="1"/>
        <v>743</v>
      </c>
      <c r="I24" s="30">
        <f t="shared" si="2"/>
        <v>606.50067294751011</v>
      </c>
      <c r="J24">
        <v>861.3</v>
      </c>
    </row>
    <row r="25" spans="1:10" x14ac:dyDescent="0.25">
      <c r="A25" s="20">
        <f t="shared" si="5"/>
        <v>41123</v>
      </c>
      <c r="B25" s="117" t="s">
        <v>233</v>
      </c>
      <c r="C25">
        <v>566.6</v>
      </c>
      <c r="D25">
        <v>11.6</v>
      </c>
      <c r="E25">
        <v>4688</v>
      </c>
      <c r="F25">
        <v>792</v>
      </c>
      <c r="G25" s="18">
        <f t="shared" si="4"/>
        <v>5254.6</v>
      </c>
      <c r="H25" s="18">
        <f t="shared" si="1"/>
        <v>803.6</v>
      </c>
      <c r="I25" s="30">
        <f t="shared" si="2"/>
        <v>553.88252862120464</v>
      </c>
      <c r="J25">
        <v>800.3</v>
      </c>
    </row>
    <row r="26" spans="1:10" x14ac:dyDescent="0.25">
      <c r="A26" s="20">
        <f t="shared" si="5"/>
        <v>41130</v>
      </c>
      <c r="B26" s="117" t="s">
        <v>233</v>
      </c>
      <c r="C26">
        <v>364.7</v>
      </c>
      <c r="D26">
        <v>5.0999999999999996</v>
      </c>
      <c r="E26">
        <v>4949.1000000000004</v>
      </c>
      <c r="F26">
        <v>798.4</v>
      </c>
      <c r="G26" s="18">
        <f t="shared" si="4"/>
        <v>5313.8</v>
      </c>
      <c r="H26" s="18">
        <f t="shared" si="1"/>
        <v>803.5</v>
      </c>
      <c r="I26" s="30">
        <f t="shared" si="2"/>
        <v>561.33167392657128</v>
      </c>
      <c r="J26">
        <v>800.3</v>
      </c>
    </row>
    <row r="27" spans="1:10" x14ac:dyDescent="0.25">
      <c r="A27" s="20">
        <f t="shared" si="5"/>
        <v>41137</v>
      </c>
      <c r="B27" s="117" t="s">
        <v>233</v>
      </c>
      <c r="C27">
        <v>305.7</v>
      </c>
      <c r="D27">
        <v>5.0999999999999996</v>
      </c>
      <c r="E27">
        <v>5057.7</v>
      </c>
      <c r="F27">
        <v>857</v>
      </c>
      <c r="G27" s="18">
        <f t="shared" si="4"/>
        <v>5363.4</v>
      </c>
      <c r="H27" s="18">
        <f t="shared" si="1"/>
        <v>862.1</v>
      </c>
      <c r="I27" s="30">
        <f t="shared" si="2"/>
        <v>522.13200324788295</v>
      </c>
      <c r="J27">
        <v>800.3</v>
      </c>
    </row>
    <row r="28" spans="1:10" x14ac:dyDescent="0.25">
      <c r="A28" s="20">
        <f t="shared" si="5"/>
        <v>41144</v>
      </c>
      <c r="B28" s="117" t="s">
        <v>233</v>
      </c>
      <c r="C28">
        <v>301</v>
      </c>
      <c r="D28">
        <v>0.9</v>
      </c>
      <c r="E28">
        <v>5119.3</v>
      </c>
      <c r="F28">
        <v>977.2</v>
      </c>
      <c r="G28" s="18">
        <f t="shared" si="4"/>
        <v>5420.3</v>
      </c>
      <c r="H28" s="18">
        <f t="shared" si="1"/>
        <v>978.1</v>
      </c>
      <c r="I28" s="30">
        <f t="shared" si="2"/>
        <v>454.16624067068813</v>
      </c>
      <c r="J28">
        <v>801.3</v>
      </c>
    </row>
    <row r="29" spans="1:10" x14ac:dyDescent="0.25">
      <c r="A29" s="20">
        <f t="shared" si="5"/>
        <v>41151</v>
      </c>
      <c r="B29" s="117" t="s">
        <v>233</v>
      </c>
      <c r="C29">
        <v>239.8</v>
      </c>
      <c r="D29">
        <v>540.9</v>
      </c>
      <c r="E29">
        <v>5174.1000000000004</v>
      </c>
      <c r="F29">
        <v>0</v>
      </c>
      <c r="G29" s="18">
        <f t="shared" si="4"/>
        <v>5413.9000000000005</v>
      </c>
      <c r="H29" s="18">
        <f t="shared" si="1"/>
        <v>540.9</v>
      </c>
      <c r="I29" s="30">
        <f t="shared" si="2"/>
        <v>900.90589757811074</v>
      </c>
      <c r="J29">
        <v>801.3</v>
      </c>
    </row>
    <row r="30" spans="1:10" x14ac:dyDescent="0.25">
      <c r="A30" s="20">
        <f t="shared" si="5"/>
        <v>41158</v>
      </c>
      <c r="B30" s="117" t="s">
        <v>233</v>
      </c>
      <c r="C30">
        <v>980.8</v>
      </c>
      <c r="D30">
        <v>540.9</v>
      </c>
      <c r="E30">
        <v>54.6</v>
      </c>
      <c r="F30">
        <v>0</v>
      </c>
      <c r="G30" s="18">
        <f t="shared" si="4"/>
        <v>1035.3999999999999</v>
      </c>
      <c r="H30" s="18">
        <f t="shared" si="1"/>
        <v>540.9</v>
      </c>
      <c r="I30" s="30">
        <f t="shared" si="2"/>
        <v>91.421704566463276</v>
      </c>
    </row>
    <row r="31" spans="1:10" x14ac:dyDescent="0.25">
      <c r="A31" s="20">
        <f t="shared" si="5"/>
        <v>41165</v>
      </c>
      <c r="B31" s="117" t="s">
        <v>233</v>
      </c>
      <c r="C31">
        <v>785.6</v>
      </c>
      <c r="D31">
        <v>540.20000000000005</v>
      </c>
      <c r="E31">
        <v>275.10000000000002</v>
      </c>
      <c r="F31">
        <v>123.6</v>
      </c>
      <c r="G31" s="18">
        <f t="shared" si="4"/>
        <v>1060.7</v>
      </c>
      <c r="H31" s="18">
        <f t="shared" si="1"/>
        <v>663.80000000000007</v>
      </c>
      <c r="I31" s="30">
        <f t="shared" si="2"/>
        <v>59.792106056040971</v>
      </c>
    </row>
    <row r="32" spans="1:10" x14ac:dyDescent="0.25">
      <c r="A32" s="20">
        <f t="shared" si="5"/>
        <v>41172</v>
      </c>
      <c r="B32" s="117" t="s">
        <v>233</v>
      </c>
      <c r="C32">
        <v>613.1</v>
      </c>
      <c r="D32">
        <v>540.20000000000005</v>
      </c>
      <c r="E32">
        <v>440.3</v>
      </c>
      <c r="F32">
        <v>305.7</v>
      </c>
      <c r="G32" s="18">
        <f t="shared" si="4"/>
        <v>1053.4000000000001</v>
      </c>
      <c r="H32" s="18">
        <f t="shared" si="1"/>
        <v>845.90000000000009</v>
      </c>
      <c r="I32" s="30">
        <f t="shared" si="2"/>
        <v>24.530086298616858</v>
      </c>
    </row>
    <row r="33" spans="1:9" x14ac:dyDescent="0.25">
      <c r="A33" s="20">
        <f t="shared" si="5"/>
        <v>41179</v>
      </c>
      <c r="B33" s="117" t="s">
        <v>233</v>
      </c>
      <c r="C33">
        <v>493.1</v>
      </c>
      <c r="D33">
        <v>540</v>
      </c>
      <c r="E33">
        <v>548.4</v>
      </c>
      <c r="F33">
        <v>363.7</v>
      </c>
      <c r="G33" s="18">
        <f t="shared" si="4"/>
        <v>1041.5</v>
      </c>
      <c r="H33" s="18">
        <f t="shared" si="1"/>
        <v>903.7</v>
      </c>
      <c r="I33" s="30">
        <f t="shared" si="2"/>
        <v>15.248423149275192</v>
      </c>
    </row>
    <row r="34" spans="1:9" x14ac:dyDescent="0.25">
      <c r="A34" s="20">
        <f t="shared" si="5"/>
        <v>41186</v>
      </c>
      <c r="B34" s="117" t="s">
        <v>233</v>
      </c>
      <c r="C34">
        <v>433.1</v>
      </c>
      <c r="D34">
        <v>540</v>
      </c>
      <c r="E34">
        <v>665.7</v>
      </c>
      <c r="F34">
        <v>483</v>
      </c>
      <c r="G34" s="18">
        <f t="shared" si="4"/>
        <v>1098.8000000000002</v>
      </c>
      <c r="H34" s="18">
        <f t="shared" si="1"/>
        <v>1023</v>
      </c>
      <c r="I34" s="30">
        <f t="shared" si="2"/>
        <v>7.409579667644195</v>
      </c>
    </row>
    <row r="35" spans="1:9" x14ac:dyDescent="0.25">
      <c r="A35" s="20">
        <f t="shared" si="5"/>
        <v>41193</v>
      </c>
      <c r="B35" s="117" t="s">
        <v>233</v>
      </c>
      <c r="C35">
        <v>433.1</v>
      </c>
      <c r="D35">
        <v>1440.1</v>
      </c>
      <c r="E35">
        <v>665.7</v>
      </c>
      <c r="F35">
        <v>483</v>
      </c>
      <c r="G35" s="18">
        <f t="shared" si="4"/>
        <v>1098.8000000000002</v>
      </c>
      <c r="H35" s="18">
        <f t="shared" si="1"/>
        <v>1923.1</v>
      </c>
      <c r="I35" s="30">
        <f t="shared" si="2"/>
        <v>-42.86308564297228</v>
      </c>
    </row>
    <row r="36" spans="1:9" x14ac:dyDescent="0.25">
      <c r="A36" s="20">
        <f t="shared" si="5"/>
        <v>41200</v>
      </c>
      <c r="B36" s="117" t="s">
        <v>233</v>
      </c>
      <c r="C36">
        <v>311.60000000000002</v>
      </c>
      <c r="D36">
        <v>1500</v>
      </c>
      <c r="E36">
        <v>666.9</v>
      </c>
      <c r="F36">
        <v>483.1</v>
      </c>
      <c r="G36" s="18">
        <f t="shared" si="4"/>
        <v>978.5</v>
      </c>
      <c r="H36" s="18">
        <f t="shared" ref="H36:H63" si="6">+D36+F36</f>
        <v>1983.1</v>
      </c>
      <c r="I36" s="30">
        <f t="shared" ref="I36:I63" si="7">+(G36/H36-1)*100</f>
        <v>-50.658060612172861</v>
      </c>
    </row>
    <row r="37" spans="1:9" x14ac:dyDescent="0.25">
      <c r="A37" s="20">
        <f t="shared" si="5"/>
        <v>41207</v>
      </c>
      <c r="B37" s="117" t="s">
        <v>233</v>
      </c>
      <c r="C37">
        <v>189.8</v>
      </c>
      <c r="D37">
        <v>1560</v>
      </c>
      <c r="E37">
        <v>727.8</v>
      </c>
      <c r="F37">
        <v>483.1</v>
      </c>
      <c r="G37" s="18">
        <f t="shared" si="4"/>
        <v>917.59999999999991</v>
      </c>
      <c r="H37" s="18">
        <f t="shared" si="6"/>
        <v>2043.1</v>
      </c>
      <c r="I37" s="30">
        <f t="shared" si="7"/>
        <v>-55.087856688365719</v>
      </c>
    </row>
    <row r="38" spans="1:9" x14ac:dyDescent="0.25">
      <c r="A38" s="20">
        <f t="shared" si="5"/>
        <v>41214</v>
      </c>
      <c r="B38" s="117" t="s">
        <v>233</v>
      </c>
      <c r="C38">
        <v>189.8</v>
      </c>
      <c r="D38">
        <v>1554.8</v>
      </c>
      <c r="E38">
        <v>782.3</v>
      </c>
      <c r="F38">
        <v>607.9</v>
      </c>
      <c r="G38" s="18">
        <f t="shared" si="4"/>
        <v>972.09999999999991</v>
      </c>
      <c r="H38" s="18">
        <f t="shared" si="6"/>
        <v>2162.6999999999998</v>
      </c>
      <c r="I38" s="30">
        <f t="shared" si="7"/>
        <v>-55.051555925463532</v>
      </c>
    </row>
    <row r="39" spans="1:9" x14ac:dyDescent="0.25">
      <c r="A39" s="20">
        <f t="shared" si="5"/>
        <v>41221</v>
      </c>
      <c r="B39" s="117" t="s">
        <v>233</v>
      </c>
      <c r="C39">
        <v>183.8</v>
      </c>
      <c r="D39">
        <v>1551.4</v>
      </c>
      <c r="E39">
        <v>836.8</v>
      </c>
      <c r="F39">
        <v>671.3</v>
      </c>
      <c r="G39" s="18">
        <f t="shared" si="4"/>
        <v>1020.5999999999999</v>
      </c>
      <c r="H39" s="18">
        <f t="shared" si="6"/>
        <v>2222.6999999999998</v>
      </c>
      <c r="I39" s="30">
        <f t="shared" si="7"/>
        <v>-54.08287218248077</v>
      </c>
    </row>
    <row r="40" spans="1:9" x14ac:dyDescent="0.25">
      <c r="A40" s="20">
        <f t="shared" si="5"/>
        <v>41228</v>
      </c>
      <c r="B40" s="117" t="s">
        <v>233</v>
      </c>
      <c r="C40">
        <v>183.8</v>
      </c>
      <c r="D40">
        <v>1500</v>
      </c>
      <c r="E40">
        <v>836.8</v>
      </c>
      <c r="F40">
        <v>916.4</v>
      </c>
      <c r="G40" s="18">
        <f t="shared" si="4"/>
        <v>1020.5999999999999</v>
      </c>
      <c r="H40" s="18">
        <f t="shared" si="6"/>
        <v>2416.4</v>
      </c>
      <c r="I40" s="30">
        <f t="shared" si="7"/>
        <v>-57.763615295480889</v>
      </c>
    </row>
    <row r="41" spans="1:9" x14ac:dyDescent="0.25">
      <c r="A41" s="20">
        <f t="shared" si="5"/>
        <v>41235</v>
      </c>
      <c r="B41" s="117" t="s">
        <v>233</v>
      </c>
      <c r="C41">
        <v>183.8</v>
      </c>
      <c r="D41">
        <v>1440.5</v>
      </c>
      <c r="E41">
        <v>894.8</v>
      </c>
      <c r="F41">
        <v>976.6</v>
      </c>
      <c r="G41" s="18">
        <f t="shared" si="4"/>
        <v>1078.5999999999999</v>
      </c>
      <c r="H41" s="18">
        <f t="shared" si="6"/>
        <v>2417.1</v>
      </c>
      <c r="I41" s="30">
        <f t="shared" si="7"/>
        <v>-55.376277357163552</v>
      </c>
    </row>
    <row r="42" spans="1:9" x14ac:dyDescent="0.25">
      <c r="A42" s="20">
        <f t="shared" si="5"/>
        <v>41242</v>
      </c>
      <c r="B42" s="117" t="s">
        <v>233</v>
      </c>
      <c r="C42">
        <v>183.8</v>
      </c>
      <c r="D42">
        <v>1383.3</v>
      </c>
      <c r="E42">
        <v>1003.8</v>
      </c>
      <c r="F42">
        <v>1271.8</v>
      </c>
      <c r="G42" s="18">
        <f t="shared" ref="G42:G63" si="8">+C42+E42</f>
        <v>1187.5999999999999</v>
      </c>
      <c r="H42" s="18">
        <f t="shared" si="6"/>
        <v>2655.1</v>
      </c>
      <c r="I42" s="30">
        <f t="shared" si="7"/>
        <v>-55.270987910059887</v>
      </c>
    </row>
    <row r="43" spans="1:9" x14ac:dyDescent="0.25">
      <c r="A43" s="20">
        <f t="shared" si="5"/>
        <v>41249</v>
      </c>
      <c r="B43" s="117" t="s">
        <v>233</v>
      </c>
      <c r="C43">
        <v>183.8</v>
      </c>
      <c r="D43">
        <v>1383.3</v>
      </c>
      <c r="E43">
        <v>1003.8</v>
      </c>
      <c r="F43">
        <v>1395.5</v>
      </c>
      <c r="G43" s="18">
        <f t="shared" si="8"/>
        <v>1187.5999999999999</v>
      </c>
      <c r="H43" s="18">
        <f t="shared" si="6"/>
        <v>2778.8</v>
      </c>
      <c r="I43" s="30">
        <f t="shared" si="7"/>
        <v>-57.262127537066362</v>
      </c>
    </row>
    <row r="44" spans="1:9" x14ac:dyDescent="0.25">
      <c r="A44" s="20">
        <f t="shared" si="5"/>
        <v>41256</v>
      </c>
      <c r="B44" s="117" t="s">
        <v>233</v>
      </c>
      <c r="C44">
        <v>183.8</v>
      </c>
      <c r="D44">
        <v>1259.5</v>
      </c>
      <c r="E44">
        <v>1175.5</v>
      </c>
      <c r="F44">
        <v>1577.7</v>
      </c>
      <c r="G44" s="18">
        <f t="shared" si="8"/>
        <v>1359.3</v>
      </c>
      <c r="H44" s="18">
        <f t="shared" si="6"/>
        <v>2837.2</v>
      </c>
      <c r="I44" s="30">
        <f t="shared" si="7"/>
        <v>-52.090088819963341</v>
      </c>
    </row>
    <row r="45" spans="1:9" x14ac:dyDescent="0.25">
      <c r="A45" s="20">
        <f t="shared" si="5"/>
        <v>41263</v>
      </c>
      <c r="B45" s="117" t="s">
        <v>233</v>
      </c>
      <c r="C45">
        <v>183.8</v>
      </c>
      <c r="D45">
        <v>1194.3</v>
      </c>
      <c r="E45">
        <v>1175.5</v>
      </c>
      <c r="F45">
        <v>1830.9</v>
      </c>
      <c r="G45" s="18">
        <f t="shared" si="8"/>
        <v>1359.3</v>
      </c>
      <c r="H45" s="18">
        <f t="shared" si="6"/>
        <v>3025.2</v>
      </c>
      <c r="I45" s="30">
        <f t="shared" si="7"/>
        <v>-55.067433558111858</v>
      </c>
    </row>
    <row r="46" spans="1:9" x14ac:dyDescent="0.25">
      <c r="A46" s="20">
        <f t="shared" si="5"/>
        <v>41270</v>
      </c>
      <c r="B46" s="117" t="s">
        <v>233</v>
      </c>
      <c r="C46">
        <v>183.8</v>
      </c>
      <c r="D46">
        <v>1195.8</v>
      </c>
      <c r="E46">
        <v>1175.5</v>
      </c>
      <c r="F46">
        <v>2013.7</v>
      </c>
      <c r="G46" s="18">
        <f t="shared" si="8"/>
        <v>1359.3</v>
      </c>
      <c r="H46" s="18">
        <f t="shared" si="6"/>
        <v>3209.5</v>
      </c>
      <c r="I46" s="30">
        <f t="shared" si="7"/>
        <v>-57.647608661785334</v>
      </c>
    </row>
    <row r="47" spans="1:9" x14ac:dyDescent="0.25">
      <c r="A47" s="20">
        <f t="shared" si="5"/>
        <v>41277</v>
      </c>
      <c r="B47" s="117" t="s">
        <v>233</v>
      </c>
      <c r="C47">
        <v>183.8</v>
      </c>
      <c r="D47">
        <v>1198.9000000000001</v>
      </c>
      <c r="E47">
        <v>1175.5</v>
      </c>
      <c r="F47">
        <v>2130.3000000000002</v>
      </c>
      <c r="G47" s="18">
        <f t="shared" si="8"/>
        <v>1359.3</v>
      </c>
      <c r="H47" s="18">
        <f t="shared" si="6"/>
        <v>3329.2000000000003</v>
      </c>
      <c r="I47" s="30">
        <f t="shared" si="7"/>
        <v>-59.170371260362856</v>
      </c>
    </row>
    <row r="48" spans="1:9" x14ac:dyDescent="0.25">
      <c r="A48" s="20">
        <f t="shared" si="5"/>
        <v>41284</v>
      </c>
      <c r="B48" s="117" t="s">
        <v>233</v>
      </c>
      <c r="C48">
        <v>183.8</v>
      </c>
      <c r="D48">
        <v>1193.5</v>
      </c>
      <c r="E48">
        <v>1238.0999999999999</v>
      </c>
      <c r="F48">
        <v>2268</v>
      </c>
      <c r="G48" s="18">
        <f t="shared" si="8"/>
        <v>1421.8999999999999</v>
      </c>
      <c r="H48" s="18">
        <f t="shared" si="6"/>
        <v>3461.5</v>
      </c>
      <c r="I48" s="30">
        <f t="shared" si="7"/>
        <v>-58.922432471471907</v>
      </c>
    </row>
    <row r="49" spans="1:10" x14ac:dyDescent="0.25">
      <c r="A49" s="20">
        <f t="shared" si="5"/>
        <v>41291</v>
      </c>
      <c r="B49" s="117" t="s">
        <v>233</v>
      </c>
      <c r="C49">
        <v>183.8</v>
      </c>
      <c r="D49">
        <v>1146</v>
      </c>
      <c r="E49">
        <v>1401.6</v>
      </c>
      <c r="F49">
        <v>2388.1999999999998</v>
      </c>
      <c r="G49" s="18">
        <f t="shared" si="8"/>
        <v>1585.3999999999999</v>
      </c>
      <c r="H49" s="18">
        <f t="shared" si="6"/>
        <v>3534.2</v>
      </c>
      <c r="I49" s="30">
        <f t="shared" si="7"/>
        <v>-55.141191783147534</v>
      </c>
    </row>
    <row r="50" spans="1:10" x14ac:dyDescent="0.25">
      <c r="A50" s="20">
        <f t="shared" si="5"/>
        <v>41298</v>
      </c>
      <c r="B50" s="117" t="s">
        <v>233</v>
      </c>
      <c r="C50">
        <v>123.8</v>
      </c>
      <c r="D50">
        <v>1146</v>
      </c>
      <c r="E50">
        <v>1569</v>
      </c>
      <c r="F50">
        <v>2388.1999999999998</v>
      </c>
      <c r="G50" s="18">
        <f t="shared" si="8"/>
        <v>1692.8</v>
      </c>
      <c r="H50" s="18">
        <f t="shared" si="6"/>
        <v>3534.2</v>
      </c>
      <c r="I50" s="30">
        <f t="shared" si="7"/>
        <v>-52.102314526625548</v>
      </c>
    </row>
    <row r="51" spans="1:10" x14ac:dyDescent="0.25">
      <c r="A51" s="20">
        <f t="shared" si="5"/>
        <v>41305</v>
      </c>
      <c r="B51" s="117" t="s">
        <v>233</v>
      </c>
      <c r="C51">
        <v>123.8</v>
      </c>
      <c r="D51">
        <v>1146</v>
      </c>
      <c r="E51">
        <v>1678</v>
      </c>
      <c r="F51">
        <v>2507.1</v>
      </c>
      <c r="G51" s="18">
        <f t="shared" si="8"/>
        <v>1801.8</v>
      </c>
      <c r="H51" s="18">
        <f t="shared" si="6"/>
        <v>3653.1</v>
      </c>
      <c r="I51" s="30">
        <f t="shared" si="7"/>
        <v>-50.677506775067748</v>
      </c>
    </row>
    <row r="52" spans="1:10" x14ac:dyDescent="0.25">
      <c r="A52" s="20">
        <f t="shared" si="5"/>
        <v>41312</v>
      </c>
      <c r="B52" s="117" t="s">
        <v>233</v>
      </c>
      <c r="C52">
        <v>63.8</v>
      </c>
      <c r="D52">
        <v>1080</v>
      </c>
      <c r="E52">
        <v>1840.6</v>
      </c>
      <c r="F52">
        <v>2572.1</v>
      </c>
      <c r="G52" s="18">
        <f t="shared" si="8"/>
        <v>1904.3999999999999</v>
      </c>
      <c r="H52" s="18">
        <f t="shared" si="6"/>
        <v>3652.1</v>
      </c>
      <c r="I52" s="30">
        <f t="shared" si="7"/>
        <v>-47.854658963336163</v>
      </c>
      <c r="J52">
        <v>10.199999999999999</v>
      </c>
    </row>
    <row r="53" spans="1:10" x14ac:dyDescent="0.25">
      <c r="A53" s="20">
        <f t="shared" si="5"/>
        <v>41319</v>
      </c>
      <c r="B53" s="117" t="s">
        <v>233</v>
      </c>
      <c r="C53">
        <v>63.8</v>
      </c>
      <c r="D53">
        <v>1017.7</v>
      </c>
      <c r="E53">
        <v>1895.1</v>
      </c>
      <c r="F53">
        <v>2636.4</v>
      </c>
      <c r="G53" s="18">
        <f t="shared" si="8"/>
        <v>1958.8999999999999</v>
      </c>
      <c r="H53" s="18">
        <f t="shared" si="6"/>
        <v>3654.1000000000004</v>
      </c>
      <c r="I53" s="30">
        <f t="shared" si="7"/>
        <v>-46.391724364412589</v>
      </c>
      <c r="J53">
        <v>693.3</v>
      </c>
    </row>
    <row r="54" spans="1:10" x14ac:dyDescent="0.25">
      <c r="A54" s="20">
        <f t="shared" si="5"/>
        <v>41326</v>
      </c>
      <c r="B54" s="117" t="s">
        <v>233</v>
      </c>
      <c r="C54">
        <v>75.8</v>
      </c>
      <c r="D54">
        <v>1139.7</v>
      </c>
      <c r="E54">
        <v>1895.1</v>
      </c>
      <c r="F54">
        <v>2636.4</v>
      </c>
      <c r="G54" s="18">
        <f t="shared" si="8"/>
        <v>1970.8999999999999</v>
      </c>
      <c r="H54" s="18">
        <f t="shared" si="6"/>
        <v>3776.1000000000004</v>
      </c>
      <c r="I54" s="30">
        <f t="shared" si="7"/>
        <v>-47.805937342761062</v>
      </c>
      <c r="J54">
        <v>97.5</v>
      </c>
    </row>
    <row r="55" spans="1:10" x14ac:dyDescent="0.25">
      <c r="A55" s="20">
        <f t="shared" si="5"/>
        <v>41333</v>
      </c>
      <c r="B55" s="117" t="s">
        <v>233</v>
      </c>
      <c r="C55">
        <v>78.8</v>
      </c>
      <c r="D55">
        <v>1079.8</v>
      </c>
      <c r="E55">
        <v>1949.6</v>
      </c>
      <c r="F55">
        <v>2700.8</v>
      </c>
      <c r="G55" s="18">
        <f t="shared" si="8"/>
        <v>2028.3999999999999</v>
      </c>
      <c r="H55" s="18">
        <f t="shared" si="6"/>
        <v>3780.6000000000004</v>
      </c>
      <c r="I55" s="30">
        <f t="shared" si="7"/>
        <v>-46.347140665502842</v>
      </c>
      <c r="J55">
        <v>107.6</v>
      </c>
    </row>
    <row r="56" spans="1:10" x14ac:dyDescent="0.25">
      <c r="A56" s="20">
        <f t="shared" si="5"/>
        <v>41340</v>
      </c>
      <c r="B56" s="117" t="s">
        <v>233</v>
      </c>
      <c r="C56">
        <v>80.8</v>
      </c>
      <c r="D56">
        <v>1029.2</v>
      </c>
      <c r="E56">
        <v>2058.6</v>
      </c>
      <c r="F56">
        <v>2764.9</v>
      </c>
      <c r="G56" s="18">
        <f t="shared" si="8"/>
        <v>2139.4</v>
      </c>
      <c r="H56" s="18">
        <f t="shared" si="6"/>
        <v>3794.1000000000004</v>
      </c>
      <c r="I56" s="30">
        <f t="shared" si="7"/>
        <v>-43.612450910624389</v>
      </c>
      <c r="J56">
        <v>298.7</v>
      </c>
    </row>
    <row r="57" spans="1:10" x14ac:dyDescent="0.25">
      <c r="A57" s="20">
        <f t="shared" si="5"/>
        <v>41347</v>
      </c>
      <c r="B57" s="117" t="s">
        <v>233</v>
      </c>
      <c r="C57">
        <v>81.8</v>
      </c>
      <c r="D57">
        <v>1032.7</v>
      </c>
      <c r="E57">
        <v>2167.6</v>
      </c>
      <c r="F57">
        <v>2764.9</v>
      </c>
      <c r="G57" s="18">
        <f t="shared" si="8"/>
        <v>2249.4</v>
      </c>
      <c r="H57" s="18">
        <f t="shared" si="6"/>
        <v>3797.6000000000004</v>
      </c>
      <c r="I57" s="30">
        <f t="shared" si="7"/>
        <v>-40.767853381082794</v>
      </c>
      <c r="J57">
        <v>365.7</v>
      </c>
    </row>
    <row r="58" spans="1:10" x14ac:dyDescent="0.25">
      <c r="A58" s="20">
        <f t="shared" si="5"/>
        <v>41354</v>
      </c>
      <c r="B58" s="117" t="s">
        <v>233</v>
      </c>
      <c r="C58">
        <v>77.2</v>
      </c>
      <c r="D58">
        <v>1037.2</v>
      </c>
      <c r="E58">
        <v>2286.3000000000002</v>
      </c>
      <c r="F58">
        <v>2765.4</v>
      </c>
      <c r="G58" s="18">
        <f t="shared" si="8"/>
        <v>2363.5</v>
      </c>
      <c r="H58" s="18">
        <f t="shared" si="6"/>
        <v>3802.6000000000004</v>
      </c>
      <c r="I58" s="30">
        <f t="shared" si="7"/>
        <v>-37.845158575711359</v>
      </c>
      <c r="J58">
        <v>365.7</v>
      </c>
    </row>
    <row r="59" spans="1:10" x14ac:dyDescent="0.25">
      <c r="A59" s="20">
        <f t="shared" si="5"/>
        <v>41361</v>
      </c>
      <c r="B59" s="117" t="s">
        <v>233</v>
      </c>
      <c r="C59">
        <v>77.2</v>
      </c>
      <c r="D59">
        <v>1426.5</v>
      </c>
      <c r="E59">
        <v>2395.3000000000002</v>
      </c>
      <c r="F59">
        <v>2770.2</v>
      </c>
      <c r="G59" s="18">
        <f t="shared" si="8"/>
        <v>2472.5</v>
      </c>
      <c r="H59" s="18">
        <f t="shared" si="6"/>
        <v>4196.7</v>
      </c>
      <c r="I59" s="30">
        <f t="shared" si="7"/>
        <v>-41.084661758047993</v>
      </c>
      <c r="J59">
        <v>365.7</v>
      </c>
    </row>
    <row r="60" spans="1:10" x14ac:dyDescent="0.25">
      <c r="A60" s="20">
        <f t="shared" si="5"/>
        <v>41368</v>
      </c>
      <c r="B60" s="117" t="s">
        <v>233</v>
      </c>
      <c r="C60">
        <v>24.2</v>
      </c>
      <c r="D60">
        <v>1486.5</v>
      </c>
      <c r="E60">
        <v>2449.5</v>
      </c>
      <c r="F60">
        <v>2770.2</v>
      </c>
      <c r="G60" s="18">
        <f t="shared" si="8"/>
        <v>2473.6999999999998</v>
      </c>
      <c r="H60" s="18">
        <f t="shared" si="6"/>
        <v>4256.7</v>
      </c>
      <c r="I60" s="30">
        <f t="shared" si="7"/>
        <v>-41.886907698451857</v>
      </c>
      <c r="J60">
        <v>420.7</v>
      </c>
    </row>
    <row r="61" spans="1:10" x14ac:dyDescent="0.25">
      <c r="A61" s="20">
        <f t="shared" si="5"/>
        <v>41375</v>
      </c>
      <c r="B61" s="117" t="s">
        <v>233</v>
      </c>
      <c r="C61">
        <v>24.2</v>
      </c>
      <c r="D61">
        <v>1501.5</v>
      </c>
      <c r="E61">
        <v>2449.5</v>
      </c>
      <c r="F61">
        <v>2770.2</v>
      </c>
      <c r="G61" s="18">
        <f t="shared" si="8"/>
        <v>2473.6999999999998</v>
      </c>
      <c r="H61" s="18">
        <f t="shared" si="6"/>
        <v>4271.7</v>
      </c>
      <c r="I61" s="30">
        <f t="shared" si="7"/>
        <v>-42.090970807875081</v>
      </c>
      <c r="J61">
        <v>420.7</v>
      </c>
    </row>
    <row r="62" spans="1:10" x14ac:dyDescent="0.25">
      <c r="A62" s="20">
        <f t="shared" si="5"/>
        <v>41382</v>
      </c>
      <c r="B62" s="117" t="s">
        <v>233</v>
      </c>
      <c r="C62">
        <v>24.2</v>
      </c>
      <c r="D62">
        <v>1472</v>
      </c>
      <c r="E62">
        <v>2449.5</v>
      </c>
      <c r="F62">
        <v>2837</v>
      </c>
      <c r="G62" s="18">
        <f t="shared" si="8"/>
        <v>2473.6999999999998</v>
      </c>
      <c r="H62" s="18">
        <f t="shared" si="6"/>
        <v>4309</v>
      </c>
      <c r="I62" s="30">
        <f t="shared" si="7"/>
        <v>-42.592248781619865</v>
      </c>
      <c r="J62">
        <v>425.2</v>
      </c>
    </row>
    <row r="63" spans="1:10" x14ac:dyDescent="0.25">
      <c r="A63" s="20">
        <f t="shared" si="5"/>
        <v>41389</v>
      </c>
      <c r="B63" s="117" t="s">
        <v>233</v>
      </c>
      <c r="C63">
        <v>24.2</v>
      </c>
      <c r="D63">
        <v>1686</v>
      </c>
      <c r="E63">
        <v>2449.5</v>
      </c>
      <c r="F63">
        <v>2837</v>
      </c>
      <c r="G63" s="18">
        <f t="shared" si="8"/>
        <v>2473.6999999999998</v>
      </c>
      <c r="H63" s="18">
        <f t="shared" si="6"/>
        <v>4523</v>
      </c>
      <c r="I63" s="30">
        <f t="shared" si="7"/>
        <v>-45.308423612646479</v>
      </c>
      <c r="J63">
        <v>725.2</v>
      </c>
    </row>
    <row r="64" spans="1:10" x14ac:dyDescent="0.25">
      <c r="A64" s="20">
        <f t="shared" si="5"/>
        <v>41396</v>
      </c>
      <c r="B64" s="117" t="s">
        <v>233</v>
      </c>
      <c r="C64">
        <v>24.2</v>
      </c>
      <c r="D64">
        <v>1626</v>
      </c>
      <c r="E64">
        <v>2449.5</v>
      </c>
      <c r="F64">
        <v>2837</v>
      </c>
      <c r="G64" s="18">
        <f t="shared" ref="G64:G86" si="9">+C64+E64</f>
        <v>2473.6999999999998</v>
      </c>
      <c r="H64" s="18">
        <f t="shared" ref="H64:H86" si="10">+D64+F64</f>
        <v>4463</v>
      </c>
      <c r="I64" s="30">
        <f t="shared" ref="I64:I86" si="11">+(G64/H64-1)*100</f>
        <v>-44.573157069235947</v>
      </c>
      <c r="J64">
        <v>800.2</v>
      </c>
    </row>
    <row r="65" spans="1:10" x14ac:dyDescent="0.25">
      <c r="A65" s="20">
        <f t="shared" si="5"/>
        <v>41403</v>
      </c>
      <c r="B65" s="117" t="s">
        <v>233</v>
      </c>
      <c r="C65">
        <v>24.2</v>
      </c>
      <c r="D65">
        <v>1633.2</v>
      </c>
      <c r="E65">
        <v>2449.5</v>
      </c>
      <c r="F65">
        <v>2902.5</v>
      </c>
      <c r="G65" s="18">
        <f t="shared" si="9"/>
        <v>2473.6999999999998</v>
      </c>
      <c r="H65" s="18">
        <f t="shared" si="10"/>
        <v>4535.7</v>
      </c>
      <c r="I65" s="30">
        <f t="shared" si="11"/>
        <v>-45.461560508851996</v>
      </c>
      <c r="J65">
        <v>800.2</v>
      </c>
    </row>
    <row r="66" spans="1:10" x14ac:dyDescent="0.25">
      <c r="A66" s="20">
        <f t="shared" si="5"/>
        <v>41410</v>
      </c>
      <c r="B66" s="117" t="s">
        <v>233</v>
      </c>
      <c r="C66">
        <v>24.2</v>
      </c>
      <c r="D66">
        <v>1820.1</v>
      </c>
      <c r="E66">
        <v>2449.5</v>
      </c>
      <c r="F66">
        <v>2970.6</v>
      </c>
      <c r="G66" s="18">
        <f t="shared" si="9"/>
        <v>2473.6999999999998</v>
      </c>
      <c r="H66" s="18">
        <f t="shared" si="10"/>
        <v>4790.7</v>
      </c>
      <c r="I66" s="30">
        <f t="shared" si="11"/>
        <v>-48.364539628864257</v>
      </c>
      <c r="J66">
        <v>860.2</v>
      </c>
    </row>
    <row r="67" spans="1:10" x14ac:dyDescent="0.25">
      <c r="A67" s="20">
        <f t="shared" si="5"/>
        <v>41417</v>
      </c>
      <c r="B67" s="117" t="s">
        <v>233</v>
      </c>
      <c r="C67">
        <v>24.2</v>
      </c>
      <c r="D67">
        <v>1644.9</v>
      </c>
      <c r="E67">
        <v>2449.5</v>
      </c>
      <c r="F67">
        <v>3287.7</v>
      </c>
      <c r="G67" s="18">
        <f t="shared" si="9"/>
        <v>2473.6999999999998</v>
      </c>
      <c r="H67" s="18">
        <f t="shared" si="10"/>
        <v>4932.6000000000004</v>
      </c>
      <c r="I67" s="30">
        <f t="shared" si="11"/>
        <v>-49.849977699387757</v>
      </c>
      <c r="J67">
        <v>1343.2</v>
      </c>
    </row>
    <row r="68" spans="1:10" x14ac:dyDescent="0.25">
      <c r="A68" s="20">
        <f t="shared" si="5"/>
        <v>41424</v>
      </c>
      <c r="B68" s="117" t="s">
        <v>233</v>
      </c>
      <c r="C68">
        <v>24.2</v>
      </c>
      <c r="D68">
        <v>1452.5</v>
      </c>
      <c r="E68">
        <v>2449.5</v>
      </c>
      <c r="F68">
        <v>3498.7</v>
      </c>
      <c r="G68" s="18">
        <f t="shared" si="9"/>
        <v>2473.6999999999998</v>
      </c>
      <c r="H68" s="18">
        <f t="shared" si="10"/>
        <v>4951.2</v>
      </c>
      <c r="I68" s="30">
        <f t="shared" si="11"/>
        <v>-50.038374535466154</v>
      </c>
      <c r="J68">
        <v>1343.2</v>
      </c>
    </row>
    <row r="69" spans="1:10" x14ac:dyDescent="0.25">
      <c r="A69" s="20">
        <f t="shared" si="5"/>
        <v>41431</v>
      </c>
      <c r="B69" s="117" t="s">
        <v>233</v>
      </c>
      <c r="C69">
        <v>24.2</v>
      </c>
      <c r="D69">
        <v>1446</v>
      </c>
      <c r="E69">
        <v>2449.5</v>
      </c>
      <c r="F69">
        <v>3569.9</v>
      </c>
      <c r="G69" s="18">
        <f t="shared" si="9"/>
        <v>2473.6999999999998</v>
      </c>
      <c r="H69" s="18">
        <f t="shared" si="10"/>
        <v>5015.8999999999996</v>
      </c>
      <c r="I69" s="30">
        <f t="shared" si="11"/>
        <v>-50.682828605035994</v>
      </c>
      <c r="J69">
        <v>1351</v>
      </c>
    </row>
    <row r="70" spans="1:10" x14ac:dyDescent="0.25">
      <c r="A70" s="20">
        <f t="shared" si="5"/>
        <v>41438</v>
      </c>
      <c r="B70" s="117" t="s">
        <v>233</v>
      </c>
      <c r="C70">
        <v>24.2</v>
      </c>
      <c r="D70">
        <v>1258.2</v>
      </c>
      <c r="E70">
        <v>2449.5</v>
      </c>
      <c r="F70">
        <v>3777.6</v>
      </c>
      <c r="G70" s="18">
        <f t="shared" si="9"/>
        <v>2473.6999999999998</v>
      </c>
      <c r="H70" s="18">
        <f t="shared" si="10"/>
        <v>5035.8</v>
      </c>
      <c r="I70" s="30">
        <f t="shared" si="11"/>
        <v>-50.877715556614646</v>
      </c>
      <c r="J70">
        <v>1355.1</v>
      </c>
    </row>
    <row r="71" spans="1:10" x14ac:dyDescent="0.25">
      <c r="A71" s="20">
        <f t="shared" si="5"/>
        <v>41445</v>
      </c>
      <c r="B71" s="117" t="s">
        <v>233</v>
      </c>
      <c r="C71">
        <v>24.2</v>
      </c>
      <c r="D71">
        <v>1130</v>
      </c>
      <c r="E71">
        <v>2449.5</v>
      </c>
      <c r="F71">
        <v>3912.3</v>
      </c>
      <c r="G71" s="18">
        <f t="shared" si="9"/>
        <v>2473.6999999999998</v>
      </c>
      <c r="H71" s="18">
        <f t="shared" si="10"/>
        <v>5042.3</v>
      </c>
      <c r="I71" s="30">
        <f t="shared" si="11"/>
        <v>-50.941038811653414</v>
      </c>
      <c r="J71">
        <v>1360.1</v>
      </c>
    </row>
    <row r="72" spans="1:10" x14ac:dyDescent="0.25">
      <c r="A72" s="20">
        <f t="shared" si="5"/>
        <v>41452</v>
      </c>
      <c r="B72" s="117" t="s">
        <v>233</v>
      </c>
      <c r="C72">
        <v>24.2</v>
      </c>
      <c r="D72">
        <v>1058.5999999999999</v>
      </c>
      <c r="E72">
        <v>2449.5</v>
      </c>
      <c r="F72">
        <v>4107.6000000000004</v>
      </c>
      <c r="G72" s="18">
        <f t="shared" si="9"/>
        <v>2473.6999999999998</v>
      </c>
      <c r="H72" s="18">
        <f t="shared" si="10"/>
        <v>5166.2000000000007</v>
      </c>
      <c r="I72" s="30">
        <f t="shared" si="11"/>
        <v>-52.117610622894986</v>
      </c>
      <c r="J72">
        <v>1363.1</v>
      </c>
    </row>
    <row r="73" spans="1:10" x14ac:dyDescent="0.25">
      <c r="A73" s="20">
        <f t="shared" si="5"/>
        <v>41459</v>
      </c>
      <c r="B73" s="117" t="s">
        <v>233</v>
      </c>
      <c r="C73">
        <v>29.7</v>
      </c>
      <c r="D73">
        <v>1051.0999999999999</v>
      </c>
      <c r="E73">
        <v>2449.5</v>
      </c>
      <c r="F73">
        <v>4115.1000000000004</v>
      </c>
      <c r="G73" s="18">
        <f t="shared" si="9"/>
        <v>2479.1999999999998</v>
      </c>
      <c r="H73" s="18">
        <f t="shared" si="10"/>
        <v>5166.2000000000007</v>
      </c>
      <c r="I73" s="30">
        <f t="shared" si="11"/>
        <v>-52.011149394138833</v>
      </c>
      <c r="J73">
        <v>1485.6</v>
      </c>
    </row>
    <row r="74" spans="1:10" x14ac:dyDescent="0.25">
      <c r="A74" s="20">
        <f t="shared" si="5"/>
        <v>41466</v>
      </c>
      <c r="B74" s="117" t="s">
        <v>233</v>
      </c>
      <c r="C74">
        <v>30.5</v>
      </c>
      <c r="D74">
        <v>951</v>
      </c>
      <c r="E74">
        <v>2449.6999999999998</v>
      </c>
      <c r="F74">
        <v>4240</v>
      </c>
      <c r="G74" s="18">
        <f t="shared" si="9"/>
        <v>2480.1999999999998</v>
      </c>
      <c r="H74" s="18">
        <f t="shared" si="10"/>
        <v>5191</v>
      </c>
      <c r="I74" s="30">
        <f t="shared" si="11"/>
        <v>-52.221151993835491</v>
      </c>
      <c r="J74">
        <v>2748.6</v>
      </c>
    </row>
    <row r="75" spans="1:10" x14ac:dyDescent="0.25">
      <c r="A75" s="20">
        <f t="shared" ref="A75:A80" si="12">+A74+7</f>
        <v>41473</v>
      </c>
      <c r="B75" s="117" t="s">
        <v>233</v>
      </c>
      <c r="C75">
        <v>30.5</v>
      </c>
      <c r="D75">
        <v>884.1</v>
      </c>
      <c r="E75">
        <v>2449.6999999999998</v>
      </c>
      <c r="F75">
        <v>4317.7</v>
      </c>
      <c r="G75" s="18">
        <f t="shared" si="9"/>
        <v>2480.1999999999998</v>
      </c>
      <c r="H75" s="18">
        <f t="shared" si="10"/>
        <v>5201.8</v>
      </c>
      <c r="I75" s="30">
        <f t="shared" si="11"/>
        <v>-52.320350647852678</v>
      </c>
      <c r="J75">
        <v>2749.6</v>
      </c>
    </row>
    <row r="76" spans="1:10" x14ac:dyDescent="0.25">
      <c r="A76" s="20">
        <f t="shared" si="12"/>
        <v>41480</v>
      </c>
      <c r="B76" s="117" t="s">
        <v>233</v>
      </c>
      <c r="C76">
        <v>55.5</v>
      </c>
      <c r="D76">
        <v>745.5</v>
      </c>
      <c r="E76">
        <v>2449.6999999999998</v>
      </c>
      <c r="F76">
        <v>4503.8</v>
      </c>
      <c r="G76" s="18">
        <f t="shared" si="9"/>
        <v>2505.1999999999998</v>
      </c>
      <c r="H76" s="18">
        <f t="shared" si="10"/>
        <v>5249.3</v>
      </c>
      <c r="I76" s="30">
        <f t="shared" si="11"/>
        <v>-52.275541500771538</v>
      </c>
      <c r="J76">
        <v>2958.2</v>
      </c>
    </row>
    <row r="77" spans="1:10" x14ac:dyDescent="0.25">
      <c r="A77" s="20">
        <f t="shared" si="12"/>
        <v>41487</v>
      </c>
      <c r="B77" s="117" t="s">
        <v>233</v>
      </c>
      <c r="C77">
        <v>55.5</v>
      </c>
      <c r="D77">
        <v>566.6</v>
      </c>
      <c r="E77">
        <v>2449.6999999999998</v>
      </c>
      <c r="F77">
        <v>4688</v>
      </c>
      <c r="G77" s="18">
        <f t="shared" si="9"/>
        <v>2505.1999999999998</v>
      </c>
      <c r="H77" s="18">
        <f t="shared" si="10"/>
        <v>5254.6</v>
      </c>
      <c r="I77" s="30">
        <f t="shared" si="11"/>
        <v>-52.323678300917301</v>
      </c>
      <c r="J77">
        <v>2958.2</v>
      </c>
    </row>
    <row r="78" spans="1:10" x14ac:dyDescent="0.25">
      <c r="A78" s="20">
        <f t="shared" si="12"/>
        <v>41494</v>
      </c>
      <c r="B78" s="117" t="s">
        <v>233</v>
      </c>
      <c r="C78">
        <v>118</v>
      </c>
      <c r="D78">
        <v>364.7</v>
      </c>
      <c r="E78">
        <v>2449.6999999999998</v>
      </c>
      <c r="F78">
        <v>4949.1000000000004</v>
      </c>
      <c r="G78" s="18">
        <f t="shared" si="9"/>
        <v>2567.6999999999998</v>
      </c>
      <c r="H78" s="18">
        <f t="shared" si="10"/>
        <v>5313.8</v>
      </c>
      <c r="I78" s="30">
        <f t="shared" si="11"/>
        <v>-51.678648048477548</v>
      </c>
      <c r="J78">
        <v>2968.2</v>
      </c>
    </row>
    <row r="79" spans="1:10" x14ac:dyDescent="0.25">
      <c r="A79" s="20">
        <f t="shared" si="12"/>
        <v>41501</v>
      </c>
      <c r="B79" s="117" t="s">
        <v>233</v>
      </c>
      <c r="C79">
        <v>123</v>
      </c>
      <c r="D79">
        <v>305.7</v>
      </c>
      <c r="E79">
        <v>2449.6999999999998</v>
      </c>
      <c r="F79">
        <v>5057.7</v>
      </c>
      <c r="G79" s="18">
        <f t="shared" si="9"/>
        <v>2572.6999999999998</v>
      </c>
      <c r="H79" s="18">
        <f t="shared" si="10"/>
        <v>5363.4</v>
      </c>
      <c r="I79" s="30">
        <f t="shared" si="11"/>
        <v>-52.032292948502821</v>
      </c>
      <c r="J79">
        <v>2984.2</v>
      </c>
    </row>
    <row r="80" spans="1:10" x14ac:dyDescent="0.25">
      <c r="A80" s="20">
        <f t="shared" si="12"/>
        <v>41508</v>
      </c>
      <c r="B80" s="117" t="s">
        <v>233</v>
      </c>
      <c r="C80">
        <v>123</v>
      </c>
      <c r="D80">
        <v>301</v>
      </c>
      <c r="E80">
        <v>2449.6999999999998</v>
      </c>
      <c r="F80">
        <v>5119.3</v>
      </c>
      <c r="G80" s="18">
        <f t="shared" si="9"/>
        <v>2572.6999999999998</v>
      </c>
      <c r="H80" s="18">
        <f t="shared" si="10"/>
        <v>5420.3</v>
      </c>
      <c r="I80" s="30">
        <f t="shared" si="11"/>
        <v>-52.535837499769386</v>
      </c>
      <c r="J80">
        <v>2991.2</v>
      </c>
    </row>
    <row r="81" spans="1:13" x14ac:dyDescent="0.25">
      <c r="A81" s="20">
        <f t="shared" ref="A81:A144" si="13">+A80+7</f>
        <v>41515</v>
      </c>
      <c r="B81" s="117" t="s">
        <v>233</v>
      </c>
      <c r="C81">
        <v>123</v>
      </c>
      <c r="D81">
        <v>239.8</v>
      </c>
      <c r="E81">
        <v>2449.6999999999998</v>
      </c>
      <c r="F81">
        <v>5174.1000000000004</v>
      </c>
      <c r="G81" s="18">
        <f t="shared" si="9"/>
        <v>2572.6999999999998</v>
      </c>
      <c r="H81" s="18">
        <f t="shared" si="10"/>
        <v>5413.9000000000005</v>
      </c>
      <c r="I81" s="30">
        <f t="shared" si="11"/>
        <v>-52.479728107279414</v>
      </c>
      <c r="J81">
        <v>2994.2</v>
      </c>
    </row>
    <row r="82" spans="1:13" x14ac:dyDescent="0.25">
      <c r="A82" s="20">
        <f t="shared" si="13"/>
        <v>41522</v>
      </c>
      <c r="B82" s="117" t="s">
        <v>233</v>
      </c>
      <c r="C82">
        <v>3123.2</v>
      </c>
      <c r="D82">
        <v>980.8</v>
      </c>
      <c r="E82">
        <v>0</v>
      </c>
      <c r="F82">
        <v>54.6</v>
      </c>
      <c r="G82" s="18">
        <f t="shared" si="9"/>
        <v>3123.2</v>
      </c>
      <c r="H82" s="18">
        <f t="shared" si="10"/>
        <v>1035.3999999999999</v>
      </c>
      <c r="I82" s="30">
        <f t="shared" si="11"/>
        <v>201.64187753525212</v>
      </c>
    </row>
    <row r="83" spans="1:13" x14ac:dyDescent="0.25">
      <c r="A83" s="20">
        <f t="shared" si="13"/>
        <v>41529</v>
      </c>
      <c r="B83" s="117" t="s">
        <v>233</v>
      </c>
      <c r="C83">
        <v>3127.7</v>
      </c>
      <c r="D83">
        <v>785.6</v>
      </c>
      <c r="E83">
        <v>60</v>
      </c>
      <c r="F83">
        <v>275.10000000000002</v>
      </c>
      <c r="G83" s="18">
        <f t="shared" si="9"/>
        <v>3187.7</v>
      </c>
      <c r="H83" s="18">
        <f t="shared" si="10"/>
        <v>1060.7</v>
      </c>
      <c r="I83" s="30">
        <f t="shared" si="11"/>
        <v>200.52795323842741</v>
      </c>
    </row>
    <row r="84" spans="1:13" x14ac:dyDescent="0.25">
      <c r="A84" s="20">
        <f t="shared" si="13"/>
        <v>41536</v>
      </c>
      <c r="B84" s="117" t="s">
        <v>233</v>
      </c>
      <c r="C84">
        <v>3139.6</v>
      </c>
      <c r="D84">
        <v>613.1</v>
      </c>
      <c r="E84">
        <v>178.6</v>
      </c>
      <c r="F84">
        <v>440.3</v>
      </c>
      <c r="G84" s="35">
        <f t="shared" si="9"/>
        <v>3318.2</v>
      </c>
      <c r="H84" s="35">
        <f t="shared" si="10"/>
        <v>1053.4000000000001</v>
      </c>
      <c r="I84" s="30">
        <f t="shared" si="11"/>
        <v>214.99905069299405</v>
      </c>
    </row>
    <row r="85" spans="1:13" x14ac:dyDescent="0.25">
      <c r="A85" s="20">
        <f t="shared" si="13"/>
        <v>41543</v>
      </c>
      <c r="B85" s="117" t="s">
        <v>233</v>
      </c>
      <c r="C85">
        <v>3139.6</v>
      </c>
      <c r="D85">
        <v>493.1</v>
      </c>
      <c r="E85">
        <v>293.7</v>
      </c>
      <c r="F85">
        <v>548.4</v>
      </c>
      <c r="G85" s="35">
        <f t="shared" si="9"/>
        <v>3433.2999999999997</v>
      </c>
      <c r="H85" s="35">
        <f t="shared" si="10"/>
        <v>1041.5</v>
      </c>
      <c r="I85" s="30">
        <f t="shared" si="11"/>
        <v>229.6495439270283</v>
      </c>
    </row>
    <row r="86" spans="1:13" x14ac:dyDescent="0.25">
      <c r="A86" s="20">
        <f t="shared" si="13"/>
        <v>41550</v>
      </c>
      <c r="B86" s="117" t="s">
        <v>233</v>
      </c>
      <c r="C86">
        <v>3185.6</v>
      </c>
      <c r="D86">
        <v>433.1</v>
      </c>
      <c r="E86">
        <v>478.4</v>
      </c>
      <c r="F86">
        <v>665.7</v>
      </c>
      <c r="G86" s="35">
        <f t="shared" si="9"/>
        <v>3664</v>
      </c>
      <c r="H86" s="35">
        <f t="shared" si="10"/>
        <v>1098.8000000000002</v>
      </c>
      <c r="I86" s="30">
        <f t="shared" si="11"/>
        <v>233.45467783036034</v>
      </c>
    </row>
    <row r="87" spans="1:13" x14ac:dyDescent="0.25">
      <c r="A87" s="20">
        <f t="shared" si="13"/>
        <v>41557</v>
      </c>
      <c r="B87" s="117" t="s">
        <v>233</v>
      </c>
    </row>
    <row r="88" spans="1:13" ht="15" x14ac:dyDescent="0.25">
      <c r="A88" s="20">
        <f t="shared" si="13"/>
        <v>41564</v>
      </c>
      <c r="B88" s="117" t="s">
        <v>233</v>
      </c>
      <c r="L88" s="123"/>
    </row>
    <row r="89" spans="1:13" x14ac:dyDescent="0.25">
      <c r="A89" s="20">
        <f t="shared" si="13"/>
        <v>41571</v>
      </c>
      <c r="B89" s="117" t="s">
        <v>233</v>
      </c>
      <c r="C89">
        <v>3285.4</v>
      </c>
      <c r="D89">
        <v>189.8</v>
      </c>
      <c r="E89">
        <v>1156.2</v>
      </c>
      <c r="F89">
        <v>727.8</v>
      </c>
      <c r="G89" s="35">
        <f t="shared" ref="G89:H91" si="14">+C89+E89</f>
        <v>4441.6000000000004</v>
      </c>
      <c r="H89" s="35">
        <f t="shared" si="14"/>
        <v>917.59999999999991</v>
      </c>
      <c r="I89" s="30">
        <f t="shared" ref="I89:I99" si="15">+(G89/H89-1)*100</f>
        <v>384.04533565823897</v>
      </c>
    </row>
    <row r="90" spans="1:13" ht="15" x14ac:dyDescent="0.25">
      <c r="A90" s="20">
        <f t="shared" si="13"/>
        <v>41578</v>
      </c>
      <c r="B90" s="117" t="s">
        <v>233</v>
      </c>
      <c r="C90">
        <v>3308.7</v>
      </c>
      <c r="D90">
        <v>189.8</v>
      </c>
      <c r="E90">
        <v>1350.3</v>
      </c>
      <c r="F90">
        <v>782.3</v>
      </c>
      <c r="G90" s="35">
        <f t="shared" si="14"/>
        <v>4659</v>
      </c>
      <c r="H90" s="35">
        <f t="shared" si="14"/>
        <v>972.09999999999991</v>
      </c>
      <c r="I90" s="30">
        <f t="shared" si="15"/>
        <v>379.27167986832632</v>
      </c>
      <c r="M90" s="123"/>
    </row>
    <row r="91" spans="1:13" x14ac:dyDescent="0.25">
      <c r="A91" s="20">
        <f t="shared" si="13"/>
        <v>41585</v>
      </c>
      <c r="B91" s="117" t="s">
        <v>233</v>
      </c>
      <c r="C91">
        <v>3375.4</v>
      </c>
      <c r="D91">
        <v>183.8</v>
      </c>
      <c r="E91">
        <v>1471.3</v>
      </c>
      <c r="F91">
        <v>836.8</v>
      </c>
      <c r="G91" s="35">
        <f t="shared" si="14"/>
        <v>4846.7</v>
      </c>
      <c r="H91" s="35">
        <f t="shared" si="14"/>
        <v>1020.5999999999999</v>
      </c>
      <c r="I91" s="30">
        <f t="shared" si="15"/>
        <v>374.88732118361747</v>
      </c>
    </row>
    <row r="92" spans="1:13" x14ac:dyDescent="0.25">
      <c r="A92" s="20">
        <f t="shared" si="13"/>
        <v>41592</v>
      </c>
      <c r="B92" s="117" t="s">
        <v>233</v>
      </c>
      <c r="C92">
        <v>3357.3</v>
      </c>
      <c r="D92">
        <v>183.8</v>
      </c>
      <c r="E92">
        <v>1811</v>
      </c>
      <c r="F92">
        <v>836.8</v>
      </c>
      <c r="G92" s="35">
        <f t="shared" ref="G92:H106" si="16">+C92+E92</f>
        <v>5168.3</v>
      </c>
      <c r="H92" s="35">
        <f t="shared" si="16"/>
        <v>1020.5999999999999</v>
      </c>
      <c r="I92" s="30">
        <f t="shared" si="15"/>
        <v>406.39819713893797</v>
      </c>
    </row>
    <row r="93" spans="1:13" x14ac:dyDescent="0.25">
      <c r="A93" s="20">
        <f t="shared" si="13"/>
        <v>41599</v>
      </c>
      <c r="B93" s="117" t="s">
        <v>233</v>
      </c>
      <c r="C93">
        <v>3216.1</v>
      </c>
      <c r="D93">
        <v>183.8</v>
      </c>
      <c r="E93">
        <v>2083.6</v>
      </c>
      <c r="F93">
        <v>894.8</v>
      </c>
      <c r="G93" s="35">
        <f t="shared" si="16"/>
        <v>5299.7</v>
      </c>
      <c r="H93" s="35">
        <f t="shared" si="16"/>
        <v>1078.5999999999999</v>
      </c>
      <c r="I93" s="30">
        <f t="shared" si="15"/>
        <v>391.34989801594662</v>
      </c>
    </row>
    <row r="94" spans="1:13" x14ac:dyDescent="0.25">
      <c r="A94" s="20">
        <f t="shared" si="13"/>
        <v>41606</v>
      </c>
      <c r="B94" s="117" t="s">
        <v>233</v>
      </c>
      <c r="C94">
        <v>2990.8</v>
      </c>
      <c r="D94">
        <v>183.8</v>
      </c>
      <c r="E94">
        <v>2671.8</v>
      </c>
      <c r="F94">
        <v>1003.8</v>
      </c>
      <c r="G94" s="35">
        <f t="shared" si="16"/>
        <v>5662.6</v>
      </c>
      <c r="H94" s="35">
        <f t="shared" si="16"/>
        <v>1187.5999999999999</v>
      </c>
      <c r="I94" s="30">
        <f t="shared" si="15"/>
        <v>376.81037386325363</v>
      </c>
    </row>
    <row r="95" spans="1:13" x14ac:dyDescent="0.25">
      <c r="A95" s="20">
        <f t="shared" si="13"/>
        <v>41613</v>
      </c>
      <c r="B95" s="117" t="s">
        <v>233</v>
      </c>
      <c r="C95">
        <v>2731.9</v>
      </c>
      <c r="D95">
        <v>183.6</v>
      </c>
      <c r="E95">
        <v>3042.2</v>
      </c>
      <c r="F95">
        <v>1003.8</v>
      </c>
      <c r="G95" s="35">
        <f t="shared" si="16"/>
        <v>5774.1</v>
      </c>
      <c r="H95" s="35">
        <f t="shared" si="16"/>
        <v>1187.3999999999999</v>
      </c>
      <c r="I95" s="30">
        <f t="shared" si="15"/>
        <v>386.28094997473477</v>
      </c>
    </row>
    <row r="96" spans="1:13" x14ac:dyDescent="0.25">
      <c r="A96" s="20">
        <f t="shared" si="13"/>
        <v>41620</v>
      </c>
      <c r="B96" s="117" t="s">
        <v>233</v>
      </c>
      <c r="C96">
        <v>2610.4</v>
      </c>
      <c r="D96">
        <v>183.8</v>
      </c>
      <c r="E96">
        <v>3287.7</v>
      </c>
      <c r="F96">
        <v>1175.5</v>
      </c>
      <c r="G96" s="35">
        <f t="shared" si="16"/>
        <v>5898.1</v>
      </c>
      <c r="H96" s="35">
        <f t="shared" si="16"/>
        <v>1359.3</v>
      </c>
      <c r="I96" s="30">
        <f t="shared" si="15"/>
        <v>333.90715809607894</v>
      </c>
    </row>
    <row r="97" spans="1:17" x14ac:dyDescent="0.25">
      <c r="A97" s="20">
        <f t="shared" si="13"/>
        <v>41627</v>
      </c>
      <c r="B97" s="117" t="s">
        <v>233</v>
      </c>
      <c r="C97">
        <v>2424.8000000000002</v>
      </c>
      <c r="D97">
        <v>183.8</v>
      </c>
      <c r="E97">
        <v>3073.4</v>
      </c>
      <c r="F97">
        <v>1175.5</v>
      </c>
      <c r="G97" s="35">
        <f t="shared" si="16"/>
        <v>5498.2000000000007</v>
      </c>
      <c r="H97" s="35">
        <f t="shared" si="16"/>
        <v>1359.3</v>
      </c>
      <c r="I97" s="30">
        <f t="shared" si="15"/>
        <v>304.4876039137792</v>
      </c>
    </row>
    <row r="98" spans="1:17" x14ac:dyDescent="0.25">
      <c r="A98" s="20">
        <f t="shared" si="13"/>
        <v>41634</v>
      </c>
      <c r="B98" s="117" t="s">
        <v>233</v>
      </c>
      <c r="C98">
        <v>2153.9</v>
      </c>
      <c r="D98">
        <v>183.8</v>
      </c>
      <c r="E98">
        <v>3030.3</v>
      </c>
      <c r="F98">
        <v>1175.5</v>
      </c>
      <c r="G98" s="35">
        <f t="shared" si="16"/>
        <v>5184.2000000000007</v>
      </c>
      <c r="H98" s="35">
        <f t="shared" si="16"/>
        <v>1359.3</v>
      </c>
      <c r="I98" s="30">
        <f t="shared" si="15"/>
        <v>281.38747884940784</v>
      </c>
    </row>
    <row r="99" spans="1:17" x14ac:dyDescent="0.25">
      <c r="A99" s="20">
        <f t="shared" si="13"/>
        <v>41641</v>
      </c>
      <c r="B99" s="117" t="s">
        <v>233</v>
      </c>
      <c r="C99">
        <v>2004.4</v>
      </c>
      <c r="D99">
        <v>183.8</v>
      </c>
      <c r="E99">
        <v>3134.5</v>
      </c>
      <c r="F99">
        <v>1175.5</v>
      </c>
      <c r="G99" s="35">
        <f t="shared" si="16"/>
        <v>5138.8999999999996</v>
      </c>
      <c r="H99" s="35">
        <f t="shared" si="16"/>
        <v>1359.3</v>
      </c>
      <c r="I99" s="30">
        <f t="shared" si="15"/>
        <v>278.05488118884722</v>
      </c>
    </row>
    <row r="100" spans="1:17" x14ac:dyDescent="0.25">
      <c r="A100" s="20">
        <f t="shared" si="13"/>
        <v>41648</v>
      </c>
      <c r="B100" s="117" t="s">
        <v>233</v>
      </c>
      <c r="C100">
        <v>1808.6</v>
      </c>
      <c r="D100" s="202">
        <f>C48</f>
        <v>183.8</v>
      </c>
      <c r="E100">
        <v>3101.6</v>
      </c>
      <c r="F100" s="203">
        <f>E48</f>
        <v>1238.0999999999999</v>
      </c>
      <c r="G100" s="35">
        <f t="shared" si="16"/>
        <v>4910.2</v>
      </c>
      <c r="H100" s="35">
        <f t="shared" ref="H100:H105" si="17">+D100+F100</f>
        <v>1421.8999999999999</v>
      </c>
      <c r="I100" s="30">
        <f t="shared" ref="I100:I105" si="18">+(G100/H100-1)*100</f>
        <v>245.32667557493494</v>
      </c>
    </row>
    <row r="101" spans="1:17" ht="15" x14ac:dyDescent="0.25">
      <c r="A101" s="20">
        <f t="shared" si="13"/>
        <v>41655</v>
      </c>
      <c r="B101" s="117" t="s">
        <v>233</v>
      </c>
      <c r="C101">
        <v>1870.8</v>
      </c>
      <c r="D101" s="202">
        <f t="shared" ref="D101:D111" si="19">C49</f>
        <v>183.8</v>
      </c>
      <c r="E101">
        <v>3051.6</v>
      </c>
      <c r="F101" s="203">
        <f t="shared" ref="F101:F111" si="20">E49</f>
        <v>1401.6</v>
      </c>
      <c r="G101" s="35">
        <f t="shared" si="16"/>
        <v>4922.3999999999996</v>
      </c>
      <c r="H101" s="35">
        <f t="shared" si="17"/>
        <v>1585.3999999999999</v>
      </c>
      <c r="I101" s="30">
        <f t="shared" si="18"/>
        <v>210.4831588242715</v>
      </c>
      <c r="K101" s="59"/>
      <c r="L101" s="194"/>
      <c r="M101" s="59"/>
      <c r="N101" s="59"/>
      <c r="O101" s="59"/>
    </row>
    <row r="102" spans="1:17" ht="15" x14ac:dyDescent="0.25">
      <c r="A102" s="20">
        <f t="shared" si="13"/>
        <v>41662</v>
      </c>
      <c r="B102" s="117" t="s">
        <v>233</v>
      </c>
      <c r="C102">
        <v>1856.4</v>
      </c>
      <c r="D102" s="202">
        <f t="shared" si="19"/>
        <v>123.8</v>
      </c>
      <c r="E102">
        <v>3005.9</v>
      </c>
      <c r="F102" s="199">
        <f t="shared" si="20"/>
        <v>1569</v>
      </c>
      <c r="G102" s="35">
        <f t="shared" si="16"/>
        <v>4862.3</v>
      </c>
      <c r="H102" s="35">
        <f t="shared" si="17"/>
        <v>1692.8</v>
      </c>
      <c r="I102" s="30">
        <f t="shared" si="18"/>
        <v>187.23416824196599</v>
      </c>
      <c r="K102" s="123"/>
      <c r="M102" s="59"/>
      <c r="N102" s="194"/>
      <c r="O102" s="59"/>
      <c r="P102" s="59"/>
      <c r="Q102" s="59"/>
    </row>
    <row r="103" spans="1:17" x14ac:dyDescent="0.25">
      <c r="A103" s="20">
        <f t="shared" si="13"/>
        <v>41669</v>
      </c>
      <c r="B103" s="117" t="s">
        <v>233</v>
      </c>
      <c r="C103">
        <v>1778.1</v>
      </c>
      <c r="D103" s="202">
        <f t="shared" si="19"/>
        <v>123.8</v>
      </c>
      <c r="E103">
        <v>2948.7</v>
      </c>
      <c r="F103" s="199">
        <f t="shared" si="20"/>
        <v>1678</v>
      </c>
      <c r="G103" s="35">
        <f t="shared" si="16"/>
        <v>4726.7999999999993</v>
      </c>
      <c r="H103" s="35">
        <f t="shared" si="17"/>
        <v>1801.8</v>
      </c>
      <c r="I103" s="30">
        <f t="shared" si="18"/>
        <v>162.33766233766232</v>
      </c>
    </row>
    <row r="104" spans="1:17" ht="15" x14ac:dyDescent="0.25">
      <c r="A104" s="20">
        <f t="shared" si="13"/>
        <v>41676</v>
      </c>
      <c r="B104" s="117" t="s">
        <v>233</v>
      </c>
      <c r="C104">
        <v>1544.4</v>
      </c>
      <c r="D104" s="202">
        <f t="shared" si="19"/>
        <v>63.8</v>
      </c>
      <c r="E104">
        <v>2777.9</v>
      </c>
      <c r="F104" s="203">
        <f t="shared" si="20"/>
        <v>1840.6</v>
      </c>
      <c r="G104" s="35">
        <f t="shared" si="16"/>
        <v>4322.3</v>
      </c>
      <c r="H104" s="35">
        <f t="shared" si="17"/>
        <v>1904.3999999999999</v>
      </c>
      <c r="I104" s="30">
        <f t="shared" si="18"/>
        <v>126.96387313589584</v>
      </c>
      <c r="K104" s="123"/>
      <c r="L104" s="59"/>
      <c r="M104" s="194"/>
      <c r="N104" s="59"/>
      <c r="O104" s="59"/>
      <c r="P104" s="59"/>
      <c r="Q104" s="59"/>
    </row>
    <row r="105" spans="1:17" x14ac:dyDescent="0.25">
      <c r="A105" s="20">
        <f t="shared" si="13"/>
        <v>41683</v>
      </c>
      <c r="B105" s="117" t="s">
        <v>233</v>
      </c>
      <c r="C105">
        <v>1525.4</v>
      </c>
      <c r="D105" s="202">
        <f t="shared" si="19"/>
        <v>63.8</v>
      </c>
      <c r="E105">
        <v>2778.1</v>
      </c>
      <c r="F105" s="203">
        <f t="shared" si="20"/>
        <v>1895.1</v>
      </c>
      <c r="G105" s="35">
        <f t="shared" si="16"/>
        <v>4303.5</v>
      </c>
      <c r="H105" s="35">
        <f t="shared" si="17"/>
        <v>1958.8999999999999</v>
      </c>
      <c r="I105" s="30">
        <f t="shared" si="18"/>
        <v>119.68962172647917</v>
      </c>
    </row>
    <row r="106" spans="1:17" x14ac:dyDescent="0.25">
      <c r="A106" s="20">
        <f t="shared" si="13"/>
        <v>41690</v>
      </c>
      <c r="B106" s="117" t="s">
        <v>233</v>
      </c>
      <c r="C106">
        <v>1511.5</v>
      </c>
      <c r="D106" s="202">
        <f t="shared" si="19"/>
        <v>75.8</v>
      </c>
      <c r="E106">
        <v>2789.1</v>
      </c>
      <c r="F106" s="203">
        <f t="shared" si="20"/>
        <v>1895.1</v>
      </c>
      <c r="G106" s="35">
        <f t="shared" si="16"/>
        <v>4300.6000000000004</v>
      </c>
      <c r="H106" s="35">
        <f>+D106+F106</f>
        <v>1970.8999999999999</v>
      </c>
      <c r="I106" s="30">
        <f>+(G106/H106-1)*100</f>
        <v>118.20488101882391</v>
      </c>
    </row>
    <row r="107" spans="1:17" x14ac:dyDescent="0.25">
      <c r="A107" s="20">
        <f t="shared" si="13"/>
        <v>41697</v>
      </c>
      <c r="B107" s="117" t="s">
        <v>233</v>
      </c>
      <c r="D107" s="202">
        <f t="shared" si="19"/>
        <v>78.8</v>
      </c>
      <c r="F107" s="203">
        <f t="shared" si="20"/>
        <v>1949.6</v>
      </c>
    </row>
    <row r="108" spans="1:17" x14ac:dyDescent="0.25">
      <c r="A108" s="20">
        <f t="shared" si="13"/>
        <v>41704</v>
      </c>
      <c r="B108" s="117" t="s">
        <v>233</v>
      </c>
      <c r="D108" s="202">
        <f t="shared" si="19"/>
        <v>80.8</v>
      </c>
      <c r="F108" s="203">
        <f t="shared" si="20"/>
        <v>2058.6</v>
      </c>
    </row>
    <row r="109" spans="1:17" x14ac:dyDescent="0.25">
      <c r="A109" s="20">
        <f t="shared" si="13"/>
        <v>41711</v>
      </c>
      <c r="B109" s="117" t="s">
        <v>233</v>
      </c>
      <c r="D109" s="202">
        <f t="shared" si="19"/>
        <v>81.8</v>
      </c>
      <c r="F109" s="203">
        <f t="shared" si="20"/>
        <v>2167.6</v>
      </c>
    </row>
    <row r="110" spans="1:17" x14ac:dyDescent="0.25">
      <c r="A110" s="20">
        <f t="shared" si="13"/>
        <v>41718</v>
      </c>
      <c r="B110" s="117" t="s">
        <v>233</v>
      </c>
      <c r="D110" s="202">
        <f t="shared" si="19"/>
        <v>77.2</v>
      </c>
      <c r="F110" s="203">
        <f t="shared" si="20"/>
        <v>2286.3000000000002</v>
      </c>
    </row>
    <row r="111" spans="1:17" x14ac:dyDescent="0.25">
      <c r="A111" s="20">
        <f t="shared" si="13"/>
        <v>41725</v>
      </c>
      <c r="B111" s="117" t="s">
        <v>233</v>
      </c>
      <c r="D111" s="202">
        <f t="shared" si="19"/>
        <v>77.2</v>
      </c>
      <c r="F111" s="203">
        <f t="shared" si="20"/>
        <v>2395.3000000000002</v>
      </c>
    </row>
    <row r="112" spans="1:17" x14ac:dyDescent="0.25">
      <c r="A112" s="20">
        <f t="shared" si="13"/>
        <v>41732</v>
      </c>
      <c r="B112" s="117" t="s">
        <v>233</v>
      </c>
    </row>
    <row r="113" spans="1:2" x14ac:dyDescent="0.25">
      <c r="A113" s="20">
        <f t="shared" si="13"/>
        <v>41739</v>
      </c>
      <c r="B113" s="117" t="s">
        <v>233</v>
      </c>
    </row>
    <row r="114" spans="1:2" x14ac:dyDescent="0.25">
      <c r="A114" s="20">
        <f t="shared" si="13"/>
        <v>41746</v>
      </c>
      <c r="B114" s="117" t="s">
        <v>233</v>
      </c>
    </row>
    <row r="115" spans="1:2" x14ac:dyDescent="0.25">
      <c r="A115" s="20">
        <f t="shared" si="13"/>
        <v>41753</v>
      </c>
      <c r="B115" s="117" t="s">
        <v>233</v>
      </c>
    </row>
    <row r="116" spans="1:2" x14ac:dyDescent="0.25">
      <c r="A116" s="20">
        <f t="shared" si="13"/>
        <v>41760</v>
      </c>
      <c r="B116" s="117" t="s">
        <v>233</v>
      </c>
    </row>
    <row r="117" spans="1:2" x14ac:dyDescent="0.25">
      <c r="A117" s="20">
        <f t="shared" si="13"/>
        <v>41767</v>
      </c>
      <c r="B117" s="117" t="s">
        <v>233</v>
      </c>
    </row>
    <row r="118" spans="1:2" x14ac:dyDescent="0.25">
      <c r="A118" s="20">
        <f t="shared" si="13"/>
        <v>41774</v>
      </c>
      <c r="B118" s="117" t="s">
        <v>233</v>
      </c>
    </row>
    <row r="119" spans="1:2" x14ac:dyDescent="0.25">
      <c r="A119" s="20">
        <f t="shared" si="13"/>
        <v>41781</v>
      </c>
      <c r="B119" s="117" t="s">
        <v>233</v>
      </c>
    </row>
    <row r="120" spans="1:2" x14ac:dyDescent="0.25">
      <c r="A120" s="20">
        <f t="shared" si="13"/>
        <v>41788</v>
      </c>
      <c r="B120" s="117" t="s">
        <v>233</v>
      </c>
    </row>
    <row r="121" spans="1:2" x14ac:dyDescent="0.25">
      <c r="A121" s="20">
        <f t="shared" si="13"/>
        <v>41795</v>
      </c>
      <c r="B121" s="117" t="s">
        <v>233</v>
      </c>
    </row>
    <row r="122" spans="1:2" x14ac:dyDescent="0.25">
      <c r="A122" s="20">
        <f t="shared" si="13"/>
        <v>41802</v>
      </c>
      <c r="B122" s="117" t="s">
        <v>233</v>
      </c>
    </row>
    <row r="123" spans="1:2" x14ac:dyDescent="0.25">
      <c r="A123" s="20">
        <f t="shared" si="13"/>
        <v>41809</v>
      </c>
      <c r="B123" s="117" t="s">
        <v>233</v>
      </c>
    </row>
    <row r="124" spans="1:2" x14ac:dyDescent="0.25">
      <c r="A124" s="20">
        <f t="shared" si="13"/>
        <v>41816</v>
      </c>
      <c r="B124" s="117" t="s">
        <v>233</v>
      </c>
    </row>
    <row r="125" spans="1:2" x14ac:dyDescent="0.25">
      <c r="A125" s="20">
        <f t="shared" si="13"/>
        <v>41823</v>
      </c>
      <c r="B125" s="117" t="s">
        <v>233</v>
      </c>
    </row>
    <row r="126" spans="1:2" x14ac:dyDescent="0.25">
      <c r="A126" s="20">
        <f t="shared" si="13"/>
        <v>41830</v>
      </c>
      <c r="B126" s="117" t="s">
        <v>233</v>
      </c>
    </row>
    <row r="127" spans="1:2" x14ac:dyDescent="0.25">
      <c r="A127" s="20">
        <f t="shared" si="13"/>
        <v>41837</v>
      </c>
      <c r="B127" s="117" t="s">
        <v>233</v>
      </c>
    </row>
    <row r="128" spans="1:2" x14ac:dyDescent="0.25">
      <c r="A128" s="20">
        <f t="shared" si="13"/>
        <v>41844</v>
      </c>
      <c r="B128" s="117" t="s">
        <v>233</v>
      </c>
    </row>
    <row r="129" spans="1:2" x14ac:dyDescent="0.25">
      <c r="A129" s="20">
        <f t="shared" si="13"/>
        <v>41851</v>
      </c>
      <c r="B129" s="117" t="s">
        <v>233</v>
      </c>
    </row>
    <row r="130" spans="1:2" x14ac:dyDescent="0.25">
      <c r="A130" s="20">
        <f t="shared" si="13"/>
        <v>41858</v>
      </c>
      <c r="B130" s="117" t="s">
        <v>233</v>
      </c>
    </row>
    <row r="131" spans="1:2" x14ac:dyDescent="0.25">
      <c r="A131" s="20">
        <f t="shared" si="13"/>
        <v>41865</v>
      </c>
      <c r="B131" s="117" t="s">
        <v>233</v>
      </c>
    </row>
    <row r="132" spans="1:2" x14ac:dyDescent="0.25">
      <c r="A132" s="20">
        <f t="shared" si="13"/>
        <v>41872</v>
      </c>
      <c r="B132" s="117" t="s">
        <v>233</v>
      </c>
    </row>
    <row r="133" spans="1:2" x14ac:dyDescent="0.25">
      <c r="A133" s="20">
        <f t="shared" si="13"/>
        <v>41879</v>
      </c>
      <c r="B133" s="117" t="s">
        <v>233</v>
      </c>
    </row>
    <row r="134" spans="1:2" x14ac:dyDescent="0.25">
      <c r="A134" s="20">
        <f t="shared" si="13"/>
        <v>41886</v>
      </c>
      <c r="B134" s="117" t="s">
        <v>233</v>
      </c>
    </row>
    <row r="135" spans="1:2" x14ac:dyDescent="0.25">
      <c r="A135" s="20">
        <f t="shared" si="13"/>
        <v>41893</v>
      </c>
      <c r="B135" s="117" t="s">
        <v>233</v>
      </c>
    </row>
    <row r="136" spans="1:2" x14ac:dyDescent="0.25">
      <c r="A136" s="20">
        <f t="shared" si="13"/>
        <v>41900</v>
      </c>
      <c r="B136" s="117" t="s">
        <v>233</v>
      </c>
    </row>
    <row r="137" spans="1:2" x14ac:dyDescent="0.25">
      <c r="A137" s="20">
        <f t="shared" si="13"/>
        <v>41907</v>
      </c>
      <c r="B137" s="117" t="s">
        <v>233</v>
      </c>
    </row>
    <row r="138" spans="1:2" x14ac:dyDescent="0.25">
      <c r="A138" s="20">
        <f t="shared" si="13"/>
        <v>41914</v>
      </c>
      <c r="B138" s="117" t="s">
        <v>233</v>
      </c>
    </row>
    <row r="139" spans="1:2" x14ac:dyDescent="0.25">
      <c r="A139" s="20">
        <f t="shared" si="13"/>
        <v>41921</v>
      </c>
      <c r="B139" s="117" t="s">
        <v>233</v>
      </c>
    </row>
    <row r="140" spans="1:2" x14ac:dyDescent="0.25">
      <c r="A140" s="20">
        <f t="shared" si="13"/>
        <v>41928</v>
      </c>
      <c r="B140" s="117" t="s">
        <v>233</v>
      </c>
    </row>
    <row r="141" spans="1:2" x14ac:dyDescent="0.25">
      <c r="A141" s="20">
        <f t="shared" si="13"/>
        <v>41935</v>
      </c>
      <c r="B141" s="117" t="s">
        <v>233</v>
      </c>
    </row>
    <row r="142" spans="1:2" x14ac:dyDescent="0.25">
      <c r="A142" s="20">
        <f t="shared" si="13"/>
        <v>41942</v>
      </c>
      <c r="B142" s="117" t="s">
        <v>233</v>
      </c>
    </row>
    <row r="143" spans="1:2" x14ac:dyDescent="0.25">
      <c r="A143" s="20">
        <f t="shared" si="13"/>
        <v>41949</v>
      </c>
      <c r="B143" s="117" t="s">
        <v>233</v>
      </c>
    </row>
    <row r="144" spans="1:2" x14ac:dyDescent="0.25">
      <c r="A144" s="20">
        <f t="shared" si="13"/>
        <v>41956</v>
      </c>
      <c r="B144" s="117" t="s">
        <v>233</v>
      </c>
    </row>
    <row r="145" spans="1:2" x14ac:dyDescent="0.25">
      <c r="A145" s="20">
        <f t="shared" ref="A145:A208" si="21">+A144+7</f>
        <v>41963</v>
      </c>
      <c r="B145" s="117" t="s">
        <v>233</v>
      </c>
    </row>
    <row r="146" spans="1:2" x14ac:dyDescent="0.25">
      <c r="A146" s="20">
        <f t="shared" si="21"/>
        <v>41970</v>
      </c>
      <c r="B146" s="117" t="s">
        <v>233</v>
      </c>
    </row>
    <row r="147" spans="1:2" x14ac:dyDescent="0.25">
      <c r="A147" s="20">
        <f t="shared" si="21"/>
        <v>41977</v>
      </c>
      <c r="B147" s="117" t="s">
        <v>233</v>
      </c>
    </row>
    <row r="148" spans="1:2" x14ac:dyDescent="0.25">
      <c r="A148" s="20">
        <f t="shared" si="21"/>
        <v>41984</v>
      </c>
      <c r="B148" s="117" t="s">
        <v>233</v>
      </c>
    </row>
    <row r="149" spans="1:2" x14ac:dyDescent="0.25">
      <c r="A149" s="20">
        <f t="shared" si="21"/>
        <v>41991</v>
      </c>
      <c r="B149" s="117" t="s">
        <v>233</v>
      </c>
    </row>
    <row r="150" spans="1:2" x14ac:dyDescent="0.25">
      <c r="A150" s="20">
        <f t="shared" si="21"/>
        <v>41998</v>
      </c>
      <c r="B150" s="117" t="s">
        <v>233</v>
      </c>
    </row>
    <row r="151" spans="1:2" x14ac:dyDescent="0.25">
      <c r="A151" s="20">
        <f t="shared" si="21"/>
        <v>42005</v>
      </c>
      <c r="B151" s="117" t="s">
        <v>233</v>
      </c>
    </row>
    <row r="152" spans="1:2" x14ac:dyDescent="0.25">
      <c r="A152" s="20">
        <f t="shared" si="21"/>
        <v>42012</v>
      </c>
      <c r="B152" s="117" t="s">
        <v>233</v>
      </c>
    </row>
    <row r="153" spans="1:2" x14ac:dyDescent="0.25">
      <c r="A153" s="20">
        <f t="shared" si="21"/>
        <v>42019</v>
      </c>
      <c r="B153" s="117" t="s">
        <v>233</v>
      </c>
    </row>
    <row r="154" spans="1:2" x14ac:dyDescent="0.25">
      <c r="A154" s="20">
        <f t="shared" si="21"/>
        <v>42026</v>
      </c>
      <c r="B154" s="117" t="s">
        <v>233</v>
      </c>
    </row>
    <row r="155" spans="1:2" x14ac:dyDescent="0.25">
      <c r="A155" s="20">
        <f t="shared" si="21"/>
        <v>42033</v>
      </c>
      <c r="B155" s="117" t="s">
        <v>233</v>
      </c>
    </row>
    <row r="156" spans="1:2" x14ac:dyDescent="0.25">
      <c r="A156" s="20">
        <f t="shared" si="21"/>
        <v>42040</v>
      </c>
      <c r="B156" s="117" t="s">
        <v>233</v>
      </c>
    </row>
    <row r="157" spans="1:2" x14ac:dyDescent="0.25">
      <c r="A157" s="20">
        <f t="shared" si="21"/>
        <v>42047</v>
      </c>
      <c r="B157" s="117" t="s">
        <v>233</v>
      </c>
    </row>
    <row r="158" spans="1:2" x14ac:dyDescent="0.25">
      <c r="A158" s="20">
        <f t="shared" si="21"/>
        <v>42054</v>
      </c>
      <c r="B158" s="117" t="s">
        <v>233</v>
      </c>
    </row>
    <row r="159" spans="1:2" x14ac:dyDescent="0.25">
      <c r="A159" s="20">
        <f t="shared" si="21"/>
        <v>42061</v>
      </c>
      <c r="B159" s="117" t="s">
        <v>233</v>
      </c>
    </row>
    <row r="160" spans="1:2" x14ac:dyDescent="0.25">
      <c r="A160" s="20">
        <f t="shared" si="21"/>
        <v>42068</v>
      </c>
      <c r="B160" s="117" t="s">
        <v>233</v>
      </c>
    </row>
    <row r="161" spans="1:2" x14ac:dyDescent="0.25">
      <c r="A161" s="20">
        <f t="shared" si="21"/>
        <v>42075</v>
      </c>
      <c r="B161" s="117" t="s">
        <v>233</v>
      </c>
    </row>
    <row r="162" spans="1:2" x14ac:dyDescent="0.25">
      <c r="A162" s="20">
        <f t="shared" si="21"/>
        <v>42082</v>
      </c>
      <c r="B162" s="117" t="s">
        <v>233</v>
      </c>
    </row>
    <row r="163" spans="1:2" x14ac:dyDescent="0.25">
      <c r="A163" s="20">
        <f t="shared" si="21"/>
        <v>42089</v>
      </c>
      <c r="B163" s="117" t="s">
        <v>233</v>
      </c>
    </row>
    <row r="164" spans="1:2" x14ac:dyDescent="0.25">
      <c r="A164" s="20">
        <f t="shared" si="21"/>
        <v>42096</v>
      </c>
      <c r="B164" s="117" t="s">
        <v>233</v>
      </c>
    </row>
    <row r="165" spans="1:2" x14ac:dyDescent="0.25">
      <c r="A165" s="20">
        <f t="shared" si="21"/>
        <v>42103</v>
      </c>
      <c r="B165" s="117" t="s">
        <v>233</v>
      </c>
    </row>
    <row r="166" spans="1:2" x14ac:dyDescent="0.25">
      <c r="A166" s="20">
        <f t="shared" si="21"/>
        <v>42110</v>
      </c>
      <c r="B166" s="117" t="s">
        <v>233</v>
      </c>
    </row>
    <row r="167" spans="1:2" x14ac:dyDescent="0.25">
      <c r="A167" s="20">
        <f t="shared" si="21"/>
        <v>42117</v>
      </c>
      <c r="B167" s="117" t="s">
        <v>233</v>
      </c>
    </row>
    <row r="168" spans="1:2" x14ac:dyDescent="0.25">
      <c r="A168" s="20">
        <f t="shared" si="21"/>
        <v>42124</v>
      </c>
      <c r="B168" s="117" t="s">
        <v>233</v>
      </c>
    </row>
    <row r="169" spans="1:2" x14ac:dyDescent="0.25">
      <c r="A169" s="20">
        <f t="shared" si="21"/>
        <v>42131</v>
      </c>
      <c r="B169" s="117" t="s">
        <v>233</v>
      </c>
    </row>
    <row r="170" spans="1:2" x14ac:dyDescent="0.25">
      <c r="A170" s="20">
        <f t="shared" si="21"/>
        <v>42138</v>
      </c>
      <c r="B170" s="117" t="s">
        <v>233</v>
      </c>
    </row>
    <row r="171" spans="1:2" x14ac:dyDescent="0.25">
      <c r="A171" s="20">
        <f t="shared" si="21"/>
        <v>42145</v>
      </c>
      <c r="B171" s="117" t="s">
        <v>233</v>
      </c>
    </row>
    <row r="172" spans="1:2" x14ac:dyDescent="0.25">
      <c r="A172" s="20">
        <f t="shared" si="21"/>
        <v>42152</v>
      </c>
      <c r="B172" s="117" t="s">
        <v>233</v>
      </c>
    </row>
    <row r="173" spans="1:2" x14ac:dyDescent="0.25">
      <c r="A173" s="20">
        <f t="shared" si="21"/>
        <v>42159</v>
      </c>
      <c r="B173" s="117" t="s">
        <v>233</v>
      </c>
    </row>
    <row r="174" spans="1:2" x14ac:dyDescent="0.25">
      <c r="A174" s="20">
        <f t="shared" si="21"/>
        <v>42166</v>
      </c>
      <c r="B174" s="117" t="s">
        <v>233</v>
      </c>
    </row>
    <row r="175" spans="1:2" x14ac:dyDescent="0.25">
      <c r="A175" s="20">
        <f t="shared" si="21"/>
        <v>42173</v>
      </c>
      <c r="B175" s="117" t="s">
        <v>233</v>
      </c>
    </row>
    <row r="176" spans="1:2" x14ac:dyDescent="0.25">
      <c r="A176" s="20">
        <f t="shared" si="21"/>
        <v>42180</v>
      </c>
      <c r="B176" s="117" t="s">
        <v>233</v>
      </c>
    </row>
    <row r="177" spans="1:2" x14ac:dyDescent="0.25">
      <c r="A177" s="20">
        <f t="shared" si="21"/>
        <v>42187</v>
      </c>
      <c r="B177" s="117" t="s">
        <v>233</v>
      </c>
    </row>
    <row r="178" spans="1:2" x14ac:dyDescent="0.25">
      <c r="A178" s="20">
        <f t="shared" si="21"/>
        <v>42194</v>
      </c>
      <c r="B178" s="117" t="s">
        <v>233</v>
      </c>
    </row>
    <row r="179" spans="1:2" x14ac:dyDescent="0.25">
      <c r="A179" s="20">
        <f t="shared" si="21"/>
        <v>42201</v>
      </c>
      <c r="B179" s="117" t="s">
        <v>233</v>
      </c>
    </row>
    <row r="180" spans="1:2" x14ac:dyDescent="0.25">
      <c r="A180" s="20">
        <f t="shared" si="21"/>
        <v>42208</v>
      </c>
      <c r="B180" s="117" t="s">
        <v>233</v>
      </c>
    </row>
    <row r="181" spans="1:2" x14ac:dyDescent="0.25">
      <c r="A181" s="20">
        <f t="shared" si="21"/>
        <v>42215</v>
      </c>
      <c r="B181" s="117" t="s">
        <v>233</v>
      </c>
    </row>
    <row r="182" spans="1:2" x14ac:dyDescent="0.25">
      <c r="A182" s="20">
        <f t="shared" si="21"/>
        <v>42222</v>
      </c>
      <c r="B182" s="117" t="s">
        <v>233</v>
      </c>
    </row>
    <row r="183" spans="1:2" x14ac:dyDescent="0.25">
      <c r="A183" s="20">
        <f t="shared" si="21"/>
        <v>42229</v>
      </c>
      <c r="B183" s="117" t="s">
        <v>233</v>
      </c>
    </row>
    <row r="184" spans="1:2" x14ac:dyDescent="0.25">
      <c r="A184" s="20">
        <f t="shared" si="21"/>
        <v>42236</v>
      </c>
      <c r="B184" s="117" t="s">
        <v>233</v>
      </c>
    </row>
    <row r="185" spans="1:2" x14ac:dyDescent="0.25">
      <c r="A185" s="20">
        <f t="shared" si="21"/>
        <v>42243</v>
      </c>
      <c r="B185" s="117" t="s">
        <v>233</v>
      </c>
    </row>
    <row r="186" spans="1:2" x14ac:dyDescent="0.25">
      <c r="A186" s="20">
        <f t="shared" si="21"/>
        <v>42250</v>
      </c>
      <c r="B186" s="117" t="s">
        <v>233</v>
      </c>
    </row>
    <row r="187" spans="1:2" x14ac:dyDescent="0.25">
      <c r="A187" s="20">
        <f t="shared" si="21"/>
        <v>42257</v>
      </c>
      <c r="B187" s="117" t="s">
        <v>233</v>
      </c>
    </row>
    <row r="188" spans="1:2" x14ac:dyDescent="0.25">
      <c r="A188" s="20">
        <f t="shared" si="21"/>
        <v>42264</v>
      </c>
      <c r="B188" s="117" t="s">
        <v>233</v>
      </c>
    </row>
    <row r="189" spans="1:2" x14ac:dyDescent="0.25">
      <c r="A189" s="20">
        <f t="shared" si="21"/>
        <v>42271</v>
      </c>
      <c r="B189" s="117" t="s">
        <v>233</v>
      </c>
    </row>
    <row r="190" spans="1:2" x14ac:dyDescent="0.25">
      <c r="A190" s="20">
        <f t="shared" si="21"/>
        <v>42278</v>
      </c>
      <c r="B190" s="117" t="s">
        <v>233</v>
      </c>
    </row>
    <row r="191" spans="1:2" x14ac:dyDescent="0.25">
      <c r="A191" s="20">
        <f t="shared" si="21"/>
        <v>42285</v>
      </c>
      <c r="B191" s="117" t="s">
        <v>233</v>
      </c>
    </row>
    <row r="192" spans="1:2" x14ac:dyDescent="0.25">
      <c r="A192" s="20">
        <f t="shared" si="21"/>
        <v>42292</v>
      </c>
      <c r="B192" s="117" t="s">
        <v>233</v>
      </c>
    </row>
    <row r="193" spans="1:2" x14ac:dyDescent="0.25">
      <c r="A193" s="20">
        <f t="shared" si="21"/>
        <v>42299</v>
      </c>
      <c r="B193" s="117" t="s">
        <v>233</v>
      </c>
    </row>
    <row r="194" spans="1:2" x14ac:dyDescent="0.25">
      <c r="A194" s="20">
        <f t="shared" si="21"/>
        <v>42306</v>
      </c>
      <c r="B194" s="117" t="s">
        <v>233</v>
      </c>
    </row>
    <row r="195" spans="1:2" x14ac:dyDescent="0.25">
      <c r="A195" s="20">
        <f t="shared" si="21"/>
        <v>42313</v>
      </c>
      <c r="B195" s="117" t="s">
        <v>233</v>
      </c>
    </row>
    <row r="196" spans="1:2" x14ac:dyDescent="0.25">
      <c r="A196" s="20">
        <f t="shared" si="21"/>
        <v>42320</v>
      </c>
      <c r="B196" s="117" t="s">
        <v>233</v>
      </c>
    </row>
    <row r="197" spans="1:2" x14ac:dyDescent="0.25">
      <c r="A197" s="20">
        <f t="shared" si="21"/>
        <v>42327</v>
      </c>
      <c r="B197" s="117" t="s">
        <v>233</v>
      </c>
    </row>
    <row r="198" spans="1:2" x14ac:dyDescent="0.25">
      <c r="A198" s="20">
        <f t="shared" si="21"/>
        <v>42334</v>
      </c>
      <c r="B198" s="117" t="s">
        <v>233</v>
      </c>
    </row>
    <row r="199" spans="1:2" x14ac:dyDescent="0.25">
      <c r="A199" s="20">
        <f t="shared" si="21"/>
        <v>42341</v>
      </c>
      <c r="B199" s="117" t="s">
        <v>233</v>
      </c>
    </row>
    <row r="200" spans="1:2" x14ac:dyDescent="0.25">
      <c r="A200" s="20">
        <f t="shared" si="21"/>
        <v>42348</v>
      </c>
      <c r="B200" s="117" t="s">
        <v>233</v>
      </c>
    </row>
    <row r="201" spans="1:2" x14ac:dyDescent="0.25">
      <c r="A201" s="20">
        <f t="shared" si="21"/>
        <v>42355</v>
      </c>
      <c r="B201" s="117" t="s">
        <v>233</v>
      </c>
    </row>
    <row r="202" spans="1:2" x14ac:dyDescent="0.25">
      <c r="A202" s="20">
        <f t="shared" si="21"/>
        <v>42362</v>
      </c>
      <c r="B202" s="117" t="s">
        <v>233</v>
      </c>
    </row>
    <row r="203" spans="1:2" x14ac:dyDescent="0.25">
      <c r="A203" s="20">
        <f t="shared" si="21"/>
        <v>42369</v>
      </c>
      <c r="B203" s="117" t="s">
        <v>233</v>
      </c>
    </row>
    <row r="204" spans="1:2" x14ac:dyDescent="0.25">
      <c r="A204" s="20">
        <f t="shared" si="21"/>
        <v>42376</v>
      </c>
      <c r="B204" s="117" t="s">
        <v>233</v>
      </c>
    </row>
    <row r="205" spans="1:2" x14ac:dyDescent="0.25">
      <c r="A205" s="20">
        <f t="shared" si="21"/>
        <v>42383</v>
      </c>
      <c r="B205" s="117" t="s">
        <v>233</v>
      </c>
    </row>
    <row r="206" spans="1:2" x14ac:dyDescent="0.25">
      <c r="A206" s="20">
        <f t="shared" si="21"/>
        <v>42390</v>
      </c>
      <c r="B206" s="117" t="s">
        <v>233</v>
      </c>
    </row>
    <row r="207" spans="1:2" x14ac:dyDescent="0.25">
      <c r="A207" s="20">
        <f t="shared" si="21"/>
        <v>42397</v>
      </c>
      <c r="B207" s="117" t="s">
        <v>233</v>
      </c>
    </row>
    <row r="208" spans="1:2" x14ac:dyDescent="0.25">
      <c r="A208" s="20">
        <f t="shared" si="21"/>
        <v>42404</v>
      </c>
      <c r="B208" s="117" t="s">
        <v>233</v>
      </c>
    </row>
    <row r="209" spans="1:2" x14ac:dyDescent="0.25">
      <c r="A209" s="20">
        <f t="shared" ref="A209:A272" si="22">+A208+7</f>
        <v>42411</v>
      </c>
      <c r="B209" s="117" t="s">
        <v>233</v>
      </c>
    </row>
    <row r="210" spans="1:2" x14ac:dyDescent="0.25">
      <c r="A210" s="20">
        <f t="shared" si="22"/>
        <v>42418</v>
      </c>
      <c r="B210" s="117" t="s">
        <v>233</v>
      </c>
    </row>
    <row r="211" spans="1:2" x14ac:dyDescent="0.25">
      <c r="A211" s="20">
        <f t="shared" si="22"/>
        <v>42425</v>
      </c>
      <c r="B211" s="117" t="s">
        <v>233</v>
      </c>
    </row>
    <row r="212" spans="1:2" x14ac:dyDescent="0.25">
      <c r="A212" s="20">
        <f t="shared" si="22"/>
        <v>42432</v>
      </c>
      <c r="B212" s="117" t="s">
        <v>233</v>
      </c>
    </row>
    <row r="213" spans="1:2" x14ac:dyDescent="0.25">
      <c r="A213" s="20">
        <f t="shared" si="22"/>
        <v>42439</v>
      </c>
      <c r="B213" s="117" t="s">
        <v>233</v>
      </c>
    </row>
    <row r="214" spans="1:2" x14ac:dyDescent="0.25">
      <c r="A214" s="20">
        <f t="shared" si="22"/>
        <v>42446</v>
      </c>
      <c r="B214" s="117" t="s">
        <v>233</v>
      </c>
    </row>
    <row r="215" spans="1:2" x14ac:dyDescent="0.25">
      <c r="A215" s="20">
        <f t="shared" si="22"/>
        <v>42453</v>
      </c>
      <c r="B215" s="117" t="s">
        <v>233</v>
      </c>
    </row>
    <row r="216" spans="1:2" x14ac:dyDescent="0.25">
      <c r="A216" s="20">
        <f t="shared" si="22"/>
        <v>42460</v>
      </c>
      <c r="B216" s="117" t="s">
        <v>233</v>
      </c>
    </row>
    <row r="217" spans="1:2" x14ac:dyDescent="0.25">
      <c r="A217" s="20">
        <f t="shared" si="22"/>
        <v>42467</v>
      </c>
      <c r="B217" s="117" t="s">
        <v>233</v>
      </c>
    </row>
    <row r="218" spans="1:2" x14ac:dyDescent="0.25">
      <c r="A218" s="20">
        <f t="shared" si="22"/>
        <v>42474</v>
      </c>
      <c r="B218" s="117" t="s">
        <v>233</v>
      </c>
    </row>
    <row r="219" spans="1:2" x14ac:dyDescent="0.25">
      <c r="A219" s="20">
        <f t="shared" si="22"/>
        <v>42481</v>
      </c>
      <c r="B219" s="117" t="s">
        <v>233</v>
      </c>
    </row>
    <row r="220" spans="1:2" x14ac:dyDescent="0.25">
      <c r="A220" s="20">
        <f t="shared" si="22"/>
        <v>42488</v>
      </c>
      <c r="B220" s="117" t="s">
        <v>233</v>
      </c>
    </row>
    <row r="221" spans="1:2" x14ac:dyDescent="0.25">
      <c r="A221" s="20">
        <f t="shared" si="22"/>
        <v>42495</v>
      </c>
      <c r="B221" s="117" t="s">
        <v>233</v>
      </c>
    </row>
    <row r="222" spans="1:2" x14ac:dyDescent="0.25">
      <c r="A222" s="20">
        <f t="shared" si="22"/>
        <v>42502</v>
      </c>
      <c r="B222" s="117" t="s">
        <v>233</v>
      </c>
    </row>
    <row r="223" spans="1:2" x14ac:dyDescent="0.25">
      <c r="A223" s="20">
        <f t="shared" si="22"/>
        <v>42509</v>
      </c>
      <c r="B223" s="117" t="s">
        <v>233</v>
      </c>
    </row>
    <row r="224" spans="1:2" x14ac:dyDescent="0.25">
      <c r="A224" s="20">
        <f t="shared" si="22"/>
        <v>42516</v>
      </c>
      <c r="B224" s="117" t="s">
        <v>233</v>
      </c>
    </row>
    <row r="225" spans="1:2" x14ac:dyDescent="0.25">
      <c r="A225" s="20">
        <f t="shared" si="22"/>
        <v>42523</v>
      </c>
      <c r="B225" s="117" t="s">
        <v>233</v>
      </c>
    </row>
    <row r="226" spans="1:2" x14ac:dyDescent="0.25">
      <c r="A226" s="20">
        <f t="shared" si="22"/>
        <v>42530</v>
      </c>
      <c r="B226" s="117" t="s">
        <v>233</v>
      </c>
    </row>
    <row r="227" spans="1:2" x14ac:dyDescent="0.25">
      <c r="A227" s="20">
        <f t="shared" si="22"/>
        <v>42537</v>
      </c>
      <c r="B227" s="117" t="s">
        <v>233</v>
      </c>
    </row>
    <row r="228" spans="1:2" x14ac:dyDescent="0.25">
      <c r="A228" s="20">
        <f t="shared" si="22"/>
        <v>42544</v>
      </c>
      <c r="B228" s="117" t="s">
        <v>233</v>
      </c>
    </row>
    <row r="229" spans="1:2" x14ac:dyDescent="0.25">
      <c r="A229" s="20">
        <f t="shared" si="22"/>
        <v>42551</v>
      </c>
      <c r="B229" s="117" t="s">
        <v>233</v>
      </c>
    </row>
    <row r="230" spans="1:2" x14ac:dyDescent="0.25">
      <c r="A230" s="20">
        <f t="shared" si="22"/>
        <v>42558</v>
      </c>
      <c r="B230" s="117" t="s">
        <v>233</v>
      </c>
    </row>
    <row r="231" spans="1:2" x14ac:dyDescent="0.25">
      <c r="A231" s="20">
        <f t="shared" si="22"/>
        <v>42565</v>
      </c>
      <c r="B231" s="117" t="s">
        <v>233</v>
      </c>
    </row>
    <row r="232" spans="1:2" x14ac:dyDescent="0.25">
      <c r="A232" s="20">
        <f t="shared" si="22"/>
        <v>42572</v>
      </c>
      <c r="B232" s="117" t="s">
        <v>233</v>
      </c>
    </row>
    <row r="233" spans="1:2" x14ac:dyDescent="0.25">
      <c r="A233" s="20">
        <f t="shared" si="22"/>
        <v>42579</v>
      </c>
      <c r="B233" s="117" t="s">
        <v>233</v>
      </c>
    </row>
    <row r="234" spans="1:2" x14ac:dyDescent="0.25">
      <c r="A234" s="20">
        <f t="shared" si="22"/>
        <v>42586</v>
      </c>
      <c r="B234" s="117" t="s">
        <v>233</v>
      </c>
    </row>
    <row r="235" spans="1:2" x14ac:dyDescent="0.25">
      <c r="A235" s="20">
        <f t="shared" si="22"/>
        <v>42593</v>
      </c>
      <c r="B235" s="117" t="s">
        <v>233</v>
      </c>
    </row>
    <row r="236" spans="1:2" x14ac:dyDescent="0.25">
      <c r="A236" s="20">
        <f t="shared" si="22"/>
        <v>42600</v>
      </c>
      <c r="B236" s="117" t="s">
        <v>233</v>
      </c>
    </row>
    <row r="237" spans="1:2" x14ac:dyDescent="0.25">
      <c r="A237" s="20">
        <f t="shared" si="22"/>
        <v>42607</v>
      </c>
      <c r="B237" s="117" t="s">
        <v>233</v>
      </c>
    </row>
    <row r="238" spans="1:2" x14ac:dyDescent="0.25">
      <c r="A238" s="20">
        <f t="shared" si="22"/>
        <v>42614</v>
      </c>
      <c r="B238" s="117" t="s">
        <v>233</v>
      </c>
    </row>
    <row r="239" spans="1:2" x14ac:dyDescent="0.25">
      <c r="A239" s="20">
        <f t="shared" si="22"/>
        <v>42621</v>
      </c>
      <c r="B239" s="117" t="s">
        <v>233</v>
      </c>
    </row>
    <row r="240" spans="1:2" x14ac:dyDescent="0.25">
      <c r="A240" s="20">
        <f t="shared" si="22"/>
        <v>42628</v>
      </c>
      <c r="B240" s="117" t="s">
        <v>233</v>
      </c>
    </row>
    <row r="241" spans="1:2" x14ac:dyDescent="0.25">
      <c r="A241" s="20">
        <f t="shared" si="22"/>
        <v>42635</v>
      </c>
      <c r="B241" s="117" t="s">
        <v>233</v>
      </c>
    </row>
    <row r="242" spans="1:2" x14ac:dyDescent="0.25">
      <c r="A242" s="20">
        <f t="shared" si="22"/>
        <v>42642</v>
      </c>
      <c r="B242" s="117" t="s">
        <v>233</v>
      </c>
    </row>
    <row r="243" spans="1:2" x14ac:dyDescent="0.25">
      <c r="A243" s="20">
        <f t="shared" si="22"/>
        <v>42649</v>
      </c>
      <c r="B243" s="117" t="s">
        <v>233</v>
      </c>
    </row>
    <row r="244" spans="1:2" x14ac:dyDescent="0.25">
      <c r="A244" s="20">
        <f t="shared" si="22"/>
        <v>42656</v>
      </c>
      <c r="B244" s="117" t="s">
        <v>233</v>
      </c>
    </row>
    <row r="245" spans="1:2" x14ac:dyDescent="0.25">
      <c r="A245" s="20">
        <f t="shared" si="22"/>
        <v>42663</v>
      </c>
      <c r="B245" s="117" t="s">
        <v>233</v>
      </c>
    </row>
    <row r="246" spans="1:2" x14ac:dyDescent="0.25">
      <c r="A246" s="20">
        <f t="shared" si="22"/>
        <v>42670</v>
      </c>
      <c r="B246" s="117" t="s">
        <v>233</v>
      </c>
    </row>
    <row r="247" spans="1:2" x14ac:dyDescent="0.25">
      <c r="A247" s="20">
        <f t="shared" si="22"/>
        <v>42677</v>
      </c>
      <c r="B247" s="117" t="s">
        <v>233</v>
      </c>
    </row>
    <row r="248" spans="1:2" x14ac:dyDescent="0.25">
      <c r="A248" s="20">
        <f t="shared" si="22"/>
        <v>42684</v>
      </c>
      <c r="B248" s="117" t="s">
        <v>233</v>
      </c>
    </row>
    <row r="249" spans="1:2" x14ac:dyDescent="0.25">
      <c r="A249" s="20">
        <f t="shared" si="22"/>
        <v>42691</v>
      </c>
      <c r="B249" s="117" t="s">
        <v>233</v>
      </c>
    </row>
    <row r="250" spans="1:2" x14ac:dyDescent="0.25">
      <c r="A250" s="20">
        <f t="shared" si="22"/>
        <v>42698</v>
      </c>
      <c r="B250" s="117" t="s">
        <v>233</v>
      </c>
    </row>
    <row r="251" spans="1:2" x14ac:dyDescent="0.25">
      <c r="A251" s="20">
        <f t="shared" si="22"/>
        <v>42705</v>
      </c>
      <c r="B251" s="117" t="s">
        <v>233</v>
      </c>
    </row>
    <row r="252" spans="1:2" x14ac:dyDescent="0.25">
      <c r="A252" s="20">
        <f t="shared" si="22"/>
        <v>42712</v>
      </c>
      <c r="B252" s="117" t="s">
        <v>233</v>
      </c>
    </row>
    <row r="253" spans="1:2" x14ac:dyDescent="0.25">
      <c r="A253" s="20">
        <f t="shared" si="22"/>
        <v>42719</v>
      </c>
      <c r="B253" s="117" t="s">
        <v>233</v>
      </c>
    </row>
    <row r="254" spans="1:2" x14ac:dyDescent="0.25">
      <c r="A254" s="20">
        <f t="shared" si="22"/>
        <v>42726</v>
      </c>
      <c r="B254" s="117" t="s">
        <v>233</v>
      </c>
    </row>
    <row r="255" spans="1:2" x14ac:dyDescent="0.25">
      <c r="A255" s="20">
        <f t="shared" si="22"/>
        <v>42733</v>
      </c>
      <c r="B255" s="117" t="s">
        <v>233</v>
      </c>
    </row>
    <row r="256" spans="1:2" x14ac:dyDescent="0.25">
      <c r="A256" s="20">
        <f t="shared" si="22"/>
        <v>42740</v>
      </c>
      <c r="B256" s="117" t="s">
        <v>233</v>
      </c>
    </row>
    <row r="257" spans="1:2" x14ac:dyDescent="0.25">
      <c r="A257" s="20">
        <f t="shared" si="22"/>
        <v>42747</v>
      </c>
      <c r="B257" s="117" t="s">
        <v>233</v>
      </c>
    </row>
    <row r="258" spans="1:2" x14ac:dyDescent="0.25">
      <c r="A258" s="20">
        <f t="shared" si="22"/>
        <v>42754</v>
      </c>
      <c r="B258" s="117" t="s">
        <v>233</v>
      </c>
    </row>
    <row r="259" spans="1:2" x14ac:dyDescent="0.25">
      <c r="A259" s="20">
        <f t="shared" si="22"/>
        <v>42761</v>
      </c>
      <c r="B259" s="117" t="s">
        <v>233</v>
      </c>
    </row>
    <row r="260" spans="1:2" x14ac:dyDescent="0.25">
      <c r="A260" s="20">
        <f t="shared" si="22"/>
        <v>42768</v>
      </c>
      <c r="B260" s="117" t="s">
        <v>233</v>
      </c>
    </row>
    <row r="261" spans="1:2" x14ac:dyDescent="0.25">
      <c r="A261" s="20">
        <f t="shared" si="22"/>
        <v>42775</v>
      </c>
      <c r="B261" s="117" t="s">
        <v>233</v>
      </c>
    </row>
    <row r="262" spans="1:2" x14ac:dyDescent="0.25">
      <c r="A262" s="20">
        <f t="shared" si="22"/>
        <v>42782</v>
      </c>
      <c r="B262" s="117" t="s">
        <v>233</v>
      </c>
    </row>
    <row r="263" spans="1:2" x14ac:dyDescent="0.25">
      <c r="A263" s="20">
        <f t="shared" si="22"/>
        <v>42789</v>
      </c>
      <c r="B263" s="117" t="s">
        <v>233</v>
      </c>
    </row>
    <row r="264" spans="1:2" x14ac:dyDescent="0.25">
      <c r="A264" s="20">
        <f t="shared" si="22"/>
        <v>42796</v>
      </c>
      <c r="B264" s="117" t="s">
        <v>233</v>
      </c>
    </row>
    <row r="265" spans="1:2" x14ac:dyDescent="0.25">
      <c r="A265" s="20">
        <f t="shared" si="22"/>
        <v>42803</v>
      </c>
      <c r="B265" s="117" t="s">
        <v>233</v>
      </c>
    </row>
    <row r="266" spans="1:2" x14ac:dyDescent="0.25">
      <c r="A266" s="20">
        <f t="shared" si="22"/>
        <v>42810</v>
      </c>
      <c r="B266" s="117" t="s">
        <v>233</v>
      </c>
    </row>
    <row r="267" spans="1:2" x14ac:dyDescent="0.25">
      <c r="A267" s="20">
        <f t="shared" si="22"/>
        <v>42817</v>
      </c>
      <c r="B267" s="117" t="s">
        <v>233</v>
      </c>
    </row>
    <row r="268" spans="1:2" x14ac:dyDescent="0.25">
      <c r="A268" s="20">
        <f t="shared" si="22"/>
        <v>42824</v>
      </c>
      <c r="B268" s="117" t="s">
        <v>233</v>
      </c>
    </row>
    <row r="269" spans="1:2" x14ac:dyDescent="0.25">
      <c r="A269" s="20">
        <f t="shared" si="22"/>
        <v>42831</v>
      </c>
      <c r="B269" s="117" t="s">
        <v>233</v>
      </c>
    </row>
    <row r="270" spans="1:2" x14ac:dyDescent="0.25">
      <c r="A270" s="20">
        <f t="shared" si="22"/>
        <v>42838</v>
      </c>
      <c r="B270" s="117" t="s">
        <v>233</v>
      </c>
    </row>
    <row r="271" spans="1:2" x14ac:dyDescent="0.25">
      <c r="A271" s="20">
        <f t="shared" si="22"/>
        <v>42845</v>
      </c>
      <c r="B271" s="117" t="s">
        <v>233</v>
      </c>
    </row>
    <row r="272" spans="1:2" x14ac:dyDescent="0.25">
      <c r="A272" s="20">
        <f t="shared" si="22"/>
        <v>42852</v>
      </c>
      <c r="B272" s="117" t="s">
        <v>233</v>
      </c>
    </row>
    <row r="273" spans="1:2" x14ac:dyDescent="0.25">
      <c r="A273" s="20">
        <f t="shared" ref="A273:A336" si="23">+A272+7</f>
        <v>42859</v>
      </c>
      <c r="B273" s="117" t="s">
        <v>233</v>
      </c>
    </row>
    <row r="274" spans="1:2" x14ac:dyDescent="0.25">
      <c r="A274" s="20">
        <f t="shared" si="23"/>
        <v>42866</v>
      </c>
      <c r="B274" s="117" t="s">
        <v>233</v>
      </c>
    </row>
    <row r="275" spans="1:2" x14ac:dyDescent="0.25">
      <c r="A275" s="20">
        <f t="shared" si="23"/>
        <v>42873</v>
      </c>
      <c r="B275" s="117" t="s">
        <v>233</v>
      </c>
    </row>
    <row r="276" spans="1:2" x14ac:dyDescent="0.25">
      <c r="A276" s="20">
        <f t="shared" si="23"/>
        <v>42880</v>
      </c>
      <c r="B276" s="117" t="s">
        <v>233</v>
      </c>
    </row>
    <row r="277" spans="1:2" x14ac:dyDescent="0.25">
      <c r="A277" s="20">
        <f t="shared" si="23"/>
        <v>42887</v>
      </c>
      <c r="B277" s="117" t="s">
        <v>233</v>
      </c>
    </row>
    <row r="278" spans="1:2" x14ac:dyDescent="0.25">
      <c r="A278" s="20">
        <f t="shared" si="23"/>
        <v>42894</v>
      </c>
      <c r="B278" s="117" t="s">
        <v>233</v>
      </c>
    </row>
    <row r="279" spans="1:2" x14ac:dyDescent="0.25">
      <c r="A279" s="20">
        <f t="shared" si="23"/>
        <v>42901</v>
      </c>
      <c r="B279" s="117" t="s">
        <v>233</v>
      </c>
    </row>
    <row r="280" spans="1:2" x14ac:dyDescent="0.25">
      <c r="A280" s="20">
        <f t="shared" si="23"/>
        <v>42908</v>
      </c>
      <c r="B280" s="117" t="s">
        <v>233</v>
      </c>
    </row>
    <row r="281" spans="1:2" x14ac:dyDescent="0.25">
      <c r="A281" s="20">
        <f t="shared" si="23"/>
        <v>42915</v>
      </c>
      <c r="B281" s="117" t="s">
        <v>233</v>
      </c>
    </row>
    <row r="282" spans="1:2" x14ac:dyDescent="0.25">
      <c r="A282" s="20">
        <f t="shared" si="23"/>
        <v>42922</v>
      </c>
      <c r="B282" s="117" t="s">
        <v>233</v>
      </c>
    </row>
    <row r="283" spans="1:2" x14ac:dyDescent="0.25">
      <c r="A283" s="20">
        <f t="shared" si="23"/>
        <v>42929</v>
      </c>
      <c r="B283" s="117" t="s">
        <v>233</v>
      </c>
    </row>
    <row r="284" spans="1:2" x14ac:dyDescent="0.25">
      <c r="A284" s="20">
        <f t="shared" si="23"/>
        <v>42936</v>
      </c>
      <c r="B284" s="117" t="s">
        <v>233</v>
      </c>
    </row>
    <row r="285" spans="1:2" x14ac:dyDescent="0.25">
      <c r="A285" s="20">
        <f t="shared" si="23"/>
        <v>42943</v>
      </c>
      <c r="B285" s="117" t="s">
        <v>233</v>
      </c>
    </row>
    <row r="286" spans="1:2" x14ac:dyDescent="0.25">
      <c r="A286" s="20">
        <f t="shared" si="23"/>
        <v>42950</v>
      </c>
      <c r="B286" s="117" t="s">
        <v>233</v>
      </c>
    </row>
    <row r="287" spans="1:2" x14ac:dyDescent="0.25">
      <c r="A287" s="20">
        <f t="shared" si="23"/>
        <v>42957</v>
      </c>
      <c r="B287" s="117" t="s">
        <v>233</v>
      </c>
    </row>
    <row r="288" spans="1:2" x14ac:dyDescent="0.25">
      <c r="A288" s="20">
        <f t="shared" si="23"/>
        <v>42964</v>
      </c>
      <c r="B288" s="117" t="s">
        <v>233</v>
      </c>
    </row>
    <row r="289" spans="1:2" x14ac:dyDescent="0.25">
      <c r="A289" s="20">
        <f t="shared" si="23"/>
        <v>42971</v>
      </c>
      <c r="B289" s="117" t="s">
        <v>233</v>
      </c>
    </row>
    <row r="290" spans="1:2" x14ac:dyDescent="0.25">
      <c r="A290" s="20">
        <f t="shared" si="23"/>
        <v>42978</v>
      </c>
      <c r="B290" s="117" t="s">
        <v>233</v>
      </c>
    </row>
    <row r="291" spans="1:2" x14ac:dyDescent="0.25">
      <c r="A291" s="20">
        <f t="shared" si="23"/>
        <v>42985</v>
      </c>
      <c r="B291" s="117" t="s">
        <v>233</v>
      </c>
    </row>
    <row r="292" spans="1:2" x14ac:dyDescent="0.25">
      <c r="A292" s="20">
        <f t="shared" si="23"/>
        <v>42992</v>
      </c>
      <c r="B292" s="117" t="s">
        <v>233</v>
      </c>
    </row>
    <row r="293" spans="1:2" x14ac:dyDescent="0.25">
      <c r="A293" s="20">
        <f t="shared" si="23"/>
        <v>42999</v>
      </c>
      <c r="B293" s="117" t="s">
        <v>233</v>
      </c>
    </row>
    <row r="294" spans="1:2" x14ac:dyDescent="0.25">
      <c r="A294" s="20">
        <f t="shared" si="23"/>
        <v>43006</v>
      </c>
      <c r="B294" s="117" t="s">
        <v>233</v>
      </c>
    </row>
    <row r="295" spans="1:2" x14ac:dyDescent="0.25">
      <c r="A295" s="20">
        <f t="shared" si="23"/>
        <v>43013</v>
      </c>
      <c r="B295" s="117" t="s">
        <v>233</v>
      </c>
    </row>
    <row r="296" spans="1:2" x14ac:dyDescent="0.25">
      <c r="A296" s="20">
        <f t="shared" si="23"/>
        <v>43020</v>
      </c>
      <c r="B296" s="117" t="s">
        <v>233</v>
      </c>
    </row>
    <row r="297" spans="1:2" x14ac:dyDescent="0.25">
      <c r="A297" s="20">
        <f t="shared" si="23"/>
        <v>43027</v>
      </c>
      <c r="B297" s="117" t="s">
        <v>233</v>
      </c>
    </row>
    <row r="298" spans="1:2" x14ac:dyDescent="0.25">
      <c r="A298" s="20">
        <f t="shared" si="23"/>
        <v>43034</v>
      </c>
      <c r="B298" s="117" t="s">
        <v>233</v>
      </c>
    </row>
    <row r="299" spans="1:2" x14ac:dyDescent="0.25">
      <c r="A299" s="20">
        <f t="shared" si="23"/>
        <v>43041</v>
      </c>
      <c r="B299" s="117" t="s">
        <v>233</v>
      </c>
    </row>
    <row r="300" spans="1:2" x14ac:dyDescent="0.25">
      <c r="A300" s="20">
        <f t="shared" si="23"/>
        <v>43048</v>
      </c>
      <c r="B300" s="117" t="s">
        <v>233</v>
      </c>
    </row>
    <row r="301" spans="1:2" x14ac:dyDescent="0.25">
      <c r="A301" s="20">
        <f t="shared" si="23"/>
        <v>43055</v>
      </c>
      <c r="B301" s="117" t="s">
        <v>233</v>
      </c>
    </row>
    <row r="302" spans="1:2" x14ac:dyDescent="0.25">
      <c r="A302" s="20">
        <f t="shared" si="23"/>
        <v>43062</v>
      </c>
      <c r="B302" s="117" t="s">
        <v>233</v>
      </c>
    </row>
    <row r="303" spans="1:2" x14ac:dyDescent="0.25">
      <c r="A303" s="20">
        <f t="shared" si="23"/>
        <v>43069</v>
      </c>
      <c r="B303" s="117" t="s">
        <v>233</v>
      </c>
    </row>
    <row r="304" spans="1:2" x14ac:dyDescent="0.25">
      <c r="A304" s="20">
        <f t="shared" si="23"/>
        <v>43076</v>
      </c>
      <c r="B304" s="117" t="s">
        <v>233</v>
      </c>
    </row>
    <row r="305" spans="1:2" x14ac:dyDescent="0.25">
      <c r="A305" s="20">
        <f t="shared" si="23"/>
        <v>43083</v>
      </c>
      <c r="B305" s="117" t="s">
        <v>233</v>
      </c>
    </row>
    <row r="306" spans="1:2" x14ac:dyDescent="0.25">
      <c r="A306" s="20">
        <f t="shared" si="23"/>
        <v>43090</v>
      </c>
      <c r="B306" s="117" t="s">
        <v>233</v>
      </c>
    </row>
    <row r="307" spans="1:2" x14ac:dyDescent="0.25">
      <c r="A307" s="20">
        <f t="shared" si="23"/>
        <v>43097</v>
      </c>
      <c r="B307" s="117" t="s">
        <v>233</v>
      </c>
    </row>
    <row r="308" spans="1:2" x14ac:dyDescent="0.25">
      <c r="A308" s="20">
        <f t="shared" si="23"/>
        <v>43104</v>
      </c>
      <c r="B308" s="117" t="s">
        <v>233</v>
      </c>
    </row>
    <row r="309" spans="1:2" x14ac:dyDescent="0.25">
      <c r="A309" s="20">
        <f t="shared" si="23"/>
        <v>43111</v>
      </c>
      <c r="B309" s="117" t="s">
        <v>233</v>
      </c>
    </row>
    <row r="310" spans="1:2" x14ac:dyDescent="0.25">
      <c r="A310" s="20">
        <f t="shared" si="23"/>
        <v>43118</v>
      </c>
      <c r="B310" s="117" t="s">
        <v>233</v>
      </c>
    </row>
    <row r="311" spans="1:2" x14ac:dyDescent="0.25">
      <c r="A311" s="20">
        <f t="shared" si="23"/>
        <v>43125</v>
      </c>
      <c r="B311" s="117" t="s">
        <v>233</v>
      </c>
    </row>
    <row r="312" spans="1:2" x14ac:dyDescent="0.25">
      <c r="A312" s="20">
        <f t="shared" si="23"/>
        <v>43132</v>
      </c>
      <c r="B312" s="117" t="s">
        <v>233</v>
      </c>
    </row>
    <row r="313" spans="1:2" x14ac:dyDescent="0.25">
      <c r="A313" s="20">
        <f t="shared" si="23"/>
        <v>43139</v>
      </c>
      <c r="B313" s="117" t="s">
        <v>233</v>
      </c>
    </row>
    <row r="314" spans="1:2" x14ac:dyDescent="0.25">
      <c r="A314" s="20">
        <f t="shared" si="23"/>
        <v>43146</v>
      </c>
      <c r="B314" s="117" t="s">
        <v>233</v>
      </c>
    </row>
    <row r="315" spans="1:2" x14ac:dyDescent="0.25">
      <c r="A315" s="20">
        <f t="shared" si="23"/>
        <v>43153</v>
      </c>
      <c r="B315" s="117" t="s">
        <v>233</v>
      </c>
    </row>
    <row r="316" spans="1:2" x14ac:dyDescent="0.25">
      <c r="A316" s="20">
        <f t="shared" si="23"/>
        <v>43160</v>
      </c>
      <c r="B316" s="117" t="s">
        <v>233</v>
      </c>
    </row>
    <row r="317" spans="1:2" x14ac:dyDescent="0.25">
      <c r="A317" s="20">
        <f t="shared" si="23"/>
        <v>43167</v>
      </c>
      <c r="B317" s="117" t="s">
        <v>233</v>
      </c>
    </row>
    <row r="318" spans="1:2" x14ac:dyDescent="0.25">
      <c r="A318" s="20">
        <f t="shared" si="23"/>
        <v>43174</v>
      </c>
      <c r="B318" s="117" t="s">
        <v>233</v>
      </c>
    </row>
    <row r="319" spans="1:2" x14ac:dyDescent="0.25">
      <c r="A319" s="20">
        <f t="shared" si="23"/>
        <v>43181</v>
      </c>
      <c r="B319" s="117" t="s">
        <v>233</v>
      </c>
    </row>
    <row r="320" spans="1:2" x14ac:dyDescent="0.25">
      <c r="A320" s="20">
        <f t="shared" si="23"/>
        <v>43188</v>
      </c>
      <c r="B320" s="117" t="s">
        <v>233</v>
      </c>
    </row>
    <row r="321" spans="1:2" x14ac:dyDescent="0.25">
      <c r="A321" s="20">
        <f t="shared" si="23"/>
        <v>43195</v>
      </c>
      <c r="B321" s="117" t="s">
        <v>233</v>
      </c>
    </row>
    <row r="322" spans="1:2" x14ac:dyDescent="0.25">
      <c r="A322" s="20">
        <f t="shared" si="23"/>
        <v>43202</v>
      </c>
      <c r="B322" s="117" t="s">
        <v>233</v>
      </c>
    </row>
    <row r="323" spans="1:2" x14ac:dyDescent="0.25">
      <c r="A323" s="20">
        <f t="shared" si="23"/>
        <v>43209</v>
      </c>
      <c r="B323" s="117" t="s">
        <v>233</v>
      </c>
    </row>
    <row r="324" spans="1:2" x14ac:dyDescent="0.25">
      <c r="A324" s="20">
        <f t="shared" si="23"/>
        <v>43216</v>
      </c>
      <c r="B324" s="117" t="s">
        <v>233</v>
      </c>
    </row>
    <row r="325" spans="1:2" x14ac:dyDescent="0.25">
      <c r="A325" s="20">
        <f t="shared" si="23"/>
        <v>43223</v>
      </c>
      <c r="B325" s="117" t="s">
        <v>233</v>
      </c>
    </row>
    <row r="326" spans="1:2" x14ac:dyDescent="0.25">
      <c r="A326" s="20">
        <f t="shared" si="23"/>
        <v>43230</v>
      </c>
      <c r="B326" s="117" t="s">
        <v>233</v>
      </c>
    </row>
    <row r="327" spans="1:2" x14ac:dyDescent="0.25">
      <c r="A327" s="20">
        <f t="shared" si="23"/>
        <v>43237</v>
      </c>
      <c r="B327" s="117" t="s">
        <v>233</v>
      </c>
    </row>
    <row r="328" spans="1:2" x14ac:dyDescent="0.25">
      <c r="A328" s="20">
        <f t="shared" si="23"/>
        <v>43244</v>
      </c>
      <c r="B328" s="117" t="s">
        <v>233</v>
      </c>
    </row>
    <row r="329" spans="1:2" x14ac:dyDescent="0.25">
      <c r="A329" s="20">
        <f t="shared" si="23"/>
        <v>43251</v>
      </c>
      <c r="B329" s="117" t="s">
        <v>233</v>
      </c>
    </row>
    <row r="330" spans="1:2" x14ac:dyDescent="0.25">
      <c r="A330" s="20">
        <f t="shared" si="23"/>
        <v>43258</v>
      </c>
      <c r="B330" s="117" t="s">
        <v>233</v>
      </c>
    </row>
    <row r="331" spans="1:2" x14ac:dyDescent="0.25">
      <c r="A331" s="20">
        <f t="shared" si="23"/>
        <v>43265</v>
      </c>
      <c r="B331" s="117" t="s">
        <v>233</v>
      </c>
    </row>
    <row r="332" spans="1:2" x14ac:dyDescent="0.25">
      <c r="A332" s="20">
        <f t="shared" si="23"/>
        <v>43272</v>
      </c>
      <c r="B332" s="117" t="s">
        <v>233</v>
      </c>
    </row>
    <row r="333" spans="1:2" x14ac:dyDescent="0.25">
      <c r="A333" s="20">
        <f t="shared" si="23"/>
        <v>43279</v>
      </c>
      <c r="B333" s="117" t="s">
        <v>233</v>
      </c>
    </row>
    <row r="334" spans="1:2" x14ac:dyDescent="0.25">
      <c r="A334" s="20">
        <f t="shared" si="23"/>
        <v>43286</v>
      </c>
      <c r="B334" s="117" t="s">
        <v>233</v>
      </c>
    </row>
    <row r="335" spans="1:2" x14ac:dyDescent="0.25">
      <c r="A335" s="20">
        <f t="shared" si="23"/>
        <v>43293</v>
      </c>
      <c r="B335" s="117" t="s">
        <v>233</v>
      </c>
    </row>
    <row r="336" spans="1:2" x14ac:dyDescent="0.25">
      <c r="A336" s="20">
        <f t="shared" si="23"/>
        <v>43300</v>
      </c>
      <c r="B336" s="117" t="s">
        <v>233</v>
      </c>
    </row>
    <row r="337" spans="1:2" x14ac:dyDescent="0.25">
      <c r="A337" s="20">
        <f t="shared" ref="A337:A400" si="24">+A336+7</f>
        <v>43307</v>
      </c>
      <c r="B337" s="117" t="s">
        <v>233</v>
      </c>
    </row>
    <row r="338" spans="1:2" x14ac:dyDescent="0.25">
      <c r="A338" s="20">
        <f t="shared" si="24"/>
        <v>43314</v>
      </c>
      <c r="B338" s="117" t="s">
        <v>233</v>
      </c>
    </row>
    <row r="339" spans="1:2" x14ac:dyDescent="0.25">
      <c r="A339" s="20">
        <f t="shared" si="24"/>
        <v>43321</v>
      </c>
      <c r="B339" s="117" t="s">
        <v>233</v>
      </c>
    </row>
    <row r="340" spans="1:2" x14ac:dyDescent="0.25">
      <c r="A340" s="20">
        <f t="shared" si="24"/>
        <v>43328</v>
      </c>
      <c r="B340" s="117" t="s">
        <v>233</v>
      </c>
    </row>
    <row r="341" spans="1:2" x14ac:dyDescent="0.25">
      <c r="A341" s="20">
        <f t="shared" si="24"/>
        <v>43335</v>
      </c>
      <c r="B341" s="117" t="s">
        <v>233</v>
      </c>
    </row>
    <row r="342" spans="1:2" x14ac:dyDescent="0.25">
      <c r="A342" s="20">
        <f t="shared" si="24"/>
        <v>43342</v>
      </c>
      <c r="B342" s="117" t="s">
        <v>233</v>
      </c>
    </row>
    <row r="343" spans="1:2" x14ac:dyDescent="0.25">
      <c r="A343" s="20">
        <f t="shared" si="24"/>
        <v>43349</v>
      </c>
      <c r="B343" s="117" t="s">
        <v>233</v>
      </c>
    </row>
    <row r="344" spans="1:2" x14ac:dyDescent="0.25">
      <c r="A344" s="20">
        <f t="shared" si="24"/>
        <v>43356</v>
      </c>
      <c r="B344" s="117" t="s">
        <v>233</v>
      </c>
    </row>
    <row r="345" spans="1:2" x14ac:dyDescent="0.25">
      <c r="A345" s="20">
        <f t="shared" si="24"/>
        <v>43363</v>
      </c>
      <c r="B345" s="117" t="s">
        <v>233</v>
      </c>
    </row>
    <row r="346" spans="1:2" x14ac:dyDescent="0.25">
      <c r="A346" s="20">
        <f t="shared" si="24"/>
        <v>43370</v>
      </c>
      <c r="B346" s="117" t="s">
        <v>233</v>
      </c>
    </row>
    <row r="347" spans="1:2" x14ac:dyDescent="0.25">
      <c r="A347" s="20">
        <f t="shared" si="24"/>
        <v>43377</v>
      </c>
      <c r="B347" s="117" t="s">
        <v>233</v>
      </c>
    </row>
    <row r="348" spans="1:2" x14ac:dyDescent="0.25">
      <c r="A348" s="20">
        <f t="shared" si="24"/>
        <v>43384</v>
      </c>
      <c r="B348" s="117" t="s">
        <v>233</v>
      </c>
    </row>
    <row r="349" spans="1:2" x14ac:dyDescent="0.25">
      <c r="A349" s="20">
        <f t="shared" si="24"/>
        <v>43391</v>
      </c>
      <c r="B349" s="117" t="s">
        <v>233</v>
      </c>
    </row>
    <row r="350" spans="1:2" x14ac:dyDescent="0.25">
      <c r="A350" s="20">
        <f t="shared" si="24"/>
        <v>43398</v>
      </c>
      <c r="B350" s="117" t="s">
        <v>233</v>
      </c>
    </row>
    <row r="351" spans="1:2" x14ac:dyDescent="0.25">
      <c r="A351" s="20">
        <f t="shared" si="24"/>
        <v>43405</v>
      </c>
      <c r="B351" s="117" t="s">
        <v>233</v>
      </c>
    </row>
    <row r="352" spans="1:2" x14ac:dyDescent="0.25">
      <c r="A352" s="20">
        <f t="shared" si="24"/>
        <v>43412</v>
      </c>
      <c r="B352" s="117" t="s">
        <v>233</v>
      </c>
    </row>
    <row r="353" spans="1:2" x14ac:dyDescent="0.25">
      <c r="A353" s="20">
        <f t="shared" si="24"/>
        <v>43419</v>
      </c>
      <c r="B353" s="117" t="s">
        <v>233</v>
      </c>
    </row>
    <row r="354" spans="1:2" x14ac:dyDescent="0.25">
      <c r="A354" s="20">
        <f t="shared" si="24"/>
        <v>43426</v>
      </c>
      <c r="B354" s="117" t="s">
        <v>233</v>
      </c>
    </row>
    <row r="355" spans="1:2" x14ac:dyDescent="0.25">
      <c r="A355" s="20">
        <f t="shared" si="24"/>
        <v>43433</v>
      </c>
      <c r="B355" s="117" t="s">
        <v>233</v>
      </c>
    </row>
    <row r="356" spans="1:2" x14ac:dyDescent="0.25">
      <c r="A356" s="20">
        <f t="shared" si="24"/>
        <v>43440</v>
      </c>
      <c r="B356" s="117" t="s">
        <v>233</v>
      </c>
    </row>
    <row r="357" spans="1:2" x14ac:dyDescent="0.25">
      <c r="A357" s="20">
        <f t="shared" si="24"/>
        <v>43447</v>
      </c>
      <c r="B357" s="117" t="s">
        <v>233</v>
      </c>
    </row>
    <row r="358" spans="1:2" x14ac:dyDescent="0.25">
      <c r="A358" s="20">
        <f t="shared" si="24"/>
        <v>43454</v>
      </c>
      <c r="B358" s="117" t="s">
        <v>233</v>
      </c>
    </row>
    <row r="359" spans="1:2" x14ac:dyDescent="0.25">
      <c r="A359" s="20">
        <f t="shared" si="24"/>
        <v>43461</v>
      </c>
      <c r="B359" s="117" t="s">
        <v>233</v>
      </c>
    </row>
    <row r="360" spans="1:2" x14ac:dyDescent="0.25">
      <c r="A360" s="20">
        <f t="shared" si="24"/>
        <v>43468</v>
      </c>
      <c r="B360" s="117" t="s">
        <v>233</v>
      </c>
    </row>
    <row r="361" spans="1:2" x14ac:dyDescent="0.25">
      <c r="A361" s="20">
        <f t="shared" si="24"/>
        <v>43475</v>
      </c>
      <c r="B361" s="117" t="s">
        <v>233</v>
      </c>
    </row>
    <row r="362" spans="1:2" x14ac:dyDescent="0.25">
      <c r="A362" s="20">
        <f t="shared" si="24"/>
        <v>43482</v>
      </c>
      <c r="B362" s="117" t="s">
        <v>233</v>
      </c>
    </row>
    <row r="363" spans="1:2" x14ac:dyDescent="0.25">
      <c r="A363" s="20">
        <f t="shared" si="24"/>
        <v>43489</v>
      </c>
      <c r="B363" s="117" t="s">
        <v>233</v>
      </c>
    </row>
    <row r="364" spans="1:2" x14ac:dyDescent="0.25">
      <c r="A364" s="20">
        <f t="shared" si="24"/>
        <v>43496</v>
      </c>
      <c r="B364" s="117" t="s">
        <v>233</v>
      </c>
    </row>
    <row r="365" spans="1:2" x14ac:dyDescent="0.25">
      <c r="A365" s="20">
        <f t="shared" si="24"/>
        <v>43503</v>
      </c>
      <c r="B365" s="117" t="s">
        <v>233</v>
      </c>
    </row>
    <row r="366" spans="1:2" x14ac:dyDescent="0.25">
      <c r="A366" s="20">
        <f t="shared" si="24"/>
        <v>43510</v>
      </c>
      <c r="B366" s="117" t="s">
        <v>233</v>
      </c>
    </row>
    <row r="367" spans="1:2" x14ac:dyDescent="0.25">
      <c r="A367" s="20">
        <f t="shared" si="24"/>
        <v>43517</v>
      </c>
      <c r="B367" s="117" t="s">
        <v>233</v>
      </c>
    </row>
    <row r="368" spans="1:2" x14ac:dyDescent="0.25">
      <c r="A368" s="20">
        <f t="shared" si="24"/>
        <v>43524</v>
      </c>
      <c r="B368" s="117" t="s">
        <v>233</v>
      </c>
    </row>
    <row r="369" spans="1:2" x14ac:dyDescent="0.25">
      <c r="A369" s="20">
        <f t="shared" si="24"/>
        <v>43531</v>
      </c>
      <c r="B369" s="117" t="s">
        <v>233</v>
      </c>
    </row>
    <row r="370" spans="1:2" x14ac:dyDescent="0.25">
      <c r="A370" s="20">
        <f t="shared" si="24"/>
        <v>43538</v>
      </c>
      <c r="B370" s="117" t="s">
        <v>233</v>
      </c>
    </row>
    <row r="371" spans="1:2" x14ac:dyDescent="0.25">
      <c r="A371" s="20">
        <f t="shared" si="24"/>
        <v>43545</v>
      </c>
      <c r="B371" s="117" t="s">
        <v>233</v>
      </c>
    </row>
    <row r="372" spans="1:2" x14ac:dyDescent="0.25">
      <c r="A372" s="20">
        <f t="shared" si="24"/>
        <v>43552</v>
      </c>
      <c r="B372" s="117" t="s">
        <v>233</v>
      </c>
    </row>
    <row r="373" spans="1:2" x14ac:dyDescent="0.25">
      <c r="A373" s="20">
        <f t="shared" si="24"/>
        <v>43559</v>
      </c>
      <c r="B373" s="117" t="s">
        <v>233</v>
      </c>
    </row>
    <row r="374" spans="1:2" x14ac:dyDescent="0.25">
      <c r="A374" s="20">
        <f t="shared" si="24"/>
        <v>43566</v>
      </c>
      <c r="B374" s="117" t="s">
        <v>233</v>
      </c>
    </row>
    <row r="375" spans="1:2" x14ac:dyDescent="0.25">
      <c r="A375" s="20">
        <f t="shared" si="24"/>
        <v>43573</v>
      </c>
      <c r="B375" s="117" t="s">
        <v>233</v>
      </c>
    </row>
    <row r="376" spans="1:2" x14ac:dyDescent="0.25">
      <c r="A376" s="20">
        <f t="shared" si="24"/>
        <v>43580</v>
      </c>
      <c r="B376" s="117" t="s">
        <v>233</v>
      </c>
    </row>
    <row r="377" spans="1:2" x14ac:dyDescent="0.25">
      <c r="A377" s="20">
        <f t="shared" si="24"/>
        <v>43587</v>
      </c>
      <c r="B377" s="117" t="s">
        <v>233</v>
      </c>
    </row>
    <row r="378" spans="1:2" x14ac:dyDescent="0.25">
      <c r="A378" s="20">
        <f t="shared" si="24"/>
        <v>43594</v>
      </c>
      <c r="B378" s="117" t="s">
        <v>233</v>
      </c>
    </row>
    <row r="379" spans="1:2" x14ac:dyDescent="0.25">
      <c r="A379" s="20">
        <f t="shared" si="24"/>
        <v>43601</v>
      </c>
      <c r="B379" s="117" t="s">
        <v>233</v>
      </c>
    </row>
    <row r="380" spans="1:2" x14ac:dyDescent="0.25">
      <c r="A380" s="20">
        <f t="shared" si="24"/>
        <v>43608</v>
      </c>
      <c r="B380" s="117" t="s">
        <v>233</v>
      </c>
    </row>
    <row r="381" spans="1:2" x14ac:dyDescent="0.25">
      <c r="A381" s="20">
        <f t="shared" si="24"/>
        <v>43615</v>
      </c>
      <c r="B381" s="117" t="s">
        <v>233</v>
      </c>
    </row>
    <row r="382" spans="1:2" x14ac:dyDescent="0.25">
      <c r="A382" s="20">
        <f t="shared" si="24"/>
        <v>43622</v>
      </c>
      <c r="B382" s="117" t="s">
        <v>233</v>
      </c>
    </row>
    <row r="383" spans="1:2" x14ac:dyDescent="0.25">
      <c r="A383" s="20">
        <f t="shared" si="24"/>
        <v>43629</v>
      </c>
      <c r="B383" s="117" t="s">
        <v>233</v>
      </c>
    </row>
    <row r="384" spans="1:2" x14ac:dyDescent="0.25">
      <c r="A384" s="20">
        <f t="shared" si="24"/>
        <v>43636</v>
      </c>
      <c r="B384" s="117" t="s">
        <v>233</v>
      </c>
    </row>
    <row r="385" spans="1:2" x14ac:dyDescent="0.25">
      <c r="A385" s="20">
        <f t="shared" si="24"/>
        <v>43643</v>
      </c>
      <c r="B385" s="117" t="s">
        <v>233</v>
      </c>
    </row>
    <row r="386" spans="1:2" x14ac:dyDescent="0.25">
      <c r="A386" s="20">
        <f t="shared" si="24"/>
        <v>43650</v>
      </c>
      <c r="B386" s="117" t="s">
        <v>233</v>
      </c>
    </row>
    <row r="387" spans="1:2" x14ac:dyDescent="0.25">
      <c r="A387" s="20">
        <f t="shared" si="24"/>
        <v>43657</v>
      </c>
      <c r="B387" s="117" t="s">
        <v>233</v>
      </c>
    </row>
    <row r="388" spans="1:2" x14ac:dyDescent="0.25">
      <c r="A388" s="20">
        <f t="shared" si="24"/>
        <v>43664</v>
      </c>
      <c r="B388" s="117" t="s">
        <v>233</v>
      </c>
    </row>
    <row r="389" spans="1:2" x14ac:dyDescent="0.25">
      <c r="A389" s="20">
        <f t="shared" si="24"/>
        <v>43671</v>
      </c>
      <c r="B389" s="117" t="s">
        <v>233</v>
      </c>
    </row>
    <row r="390" spans="1:2" x14ac:dyDescent="0.25">
      <c r="A390" s="20">
        <f t="shared" si="24"/>
        <v>43678</v>
      </c>
      <c r="B390" s="117" t="s">
        <v>233</v>
      </c>
    </row>
    <row r="391" spans="1:2" x14ac:dyDescent="0.25">
      <c r="A391" s="20">
        <f t="shared" si="24"/>
        <v>43685</v>
      </c>
      <c r="B391" s="117" t="s">
        <v>233</v>
      </c>
    </row>
    <row r="392" spans="1:2" x14ac:dyDescent="0.25">
      <c r="A392" s="20">
        <f t="shared" si="24"/>
        <v>43692</v>
      </c>
      <c r="B392" s="117" t="s">
        <v>233</v>
      </c>
    </row>
    <row r="393" spans="1:2" x14ac:dyDescent="0.25">
      <c r="A393" s="20">
        <f t="shared" si="24"/>
        <v>43699</v>
      </c>
      <c r="B393" s="117" t="s">
        <v>233</v>
      </c>
    </row>
    <row r="394" spans="1:2" x14ac:dyDescent="0.25">
      <c r="A394" s="20">
        <f t="shared" si="24"/>
        <v>43706</v>
      </c>
      <c r="B394" s="117" t="s">
        <v>233</v>
      </c>
    </row>
    <row r="395" spans="1:2" x14ac:dyDescent="0.25">
      <c r="A395" s="20">
        <f t="shared" si="24"/>
        <v>43713</v>
      </c>
      <c r="B395" s="117" t="s">
        <v>233</v>
      </c>
    </row>
    <row r="396" spans="1:2" x14ac:dyDescent="0.25">
      <c r="A396" s="20">
        <f t="shared" si="24"/>
        <v>43720</v>
      </c>
      <c r="B396" s="117" t="s">
        <v>233</v>
      </c>
    </row>
    <row r="397" spans="1:2" x14ac:dyDescent="0.25">
      <c r="A397" s="20">
        <f t="shared" si="24"/>
        <v>43727</v>
      </c>
      <c r="B397" s="117" t="s">
        <v>233</v>
      </c>
    </row>
    <row r="398" spans="1:2" x14ac:dyDescent="0.25">
      <c r="A398" s="20">
        <f t="shared" si="24"/>
        <v>43734</v>
      </c>
      <c r="B398" s="117" t="s">
        <v>233</v>
      </c>
    </row>
    <row r="399" spans="1:2" x14ac:dyDescent="0.25">
      <c r="A399" s="20">
        <f t="shared" si="24"/>
        <v>43741</v>
      </c>
      <c r="B399" s="117" t="s">
        <v>233</v>
      </c>
    </row>
    <row r="400" spans="1:2" x14ac:dyDescent="0.25">
      <c r="A400" s="20">
        <f t="shared" si="24"/>
        <v>43748</v>
      </c>
      <c r="B400" s="117" t="s">
        <v>233</v>
      </c>
    </row>
    <row r="401" spans="1:2" x14ac:dyDescent="0.25">
      <c r="A401" s="20">
        <f t="shared" ref="A401:A464" si="25">+A400+7</f>
        <v>43755</v>
      </c>
      <c r="B401" s="117" t="s">
        <v>233</v>
      </c>
    </row>
    <row r="402" spans="1:2" x14ac:dyDescent="0.25">
      <c r="A402" s="20">
        <f t="shared" si="25"/>
        <v>43762</v>
      </c>
      <c r="B402" s="117" t="s">
        <v>233</v>
      </c>
    </row>
    <row r="403" spans="1:2" x14ac:dyDescent="0.25">
      <c r="A403" s="20">
        <f t="shared" si="25"/>
        <v>43769</v>
      </c>
      <c r="B403" s="117" t="s">
        <v>233</v>
      </c>
    </row>
    <row r="404" spans="1:2" x14ac:dyDescent="0.25">
      <c r="A404" s="20">
        <f t="shared" si="25"/>
        <v>43776</v>
      </c>
      <c r="B404" s="117" t="s">
        <v>233</v>
      </c>
    </row>
    <row r="405" spans="1:2" x14ac:dyDescent="0.25">
      <c r="A405" s="20">
        <f t="shared" si="25"/>
        <v>43783</v>
      </c>
      <c r="B405" s="117" t="s">
        <v>233</v>
      </c>
    </row>
    <row r="406" spans="1:2" x14ac:dyDescent="0.25">
      <c r="A406" s="20">
        <f t="shared" si="25"/>
        <v>43790</v>
      </c>
      <c r="B406" s="117" t="s">
        <v>233</v>
      </c>
    </row>
    <row r="407" spans="1:2" x14ac:dyDescent="0.25">
      <c r="A407" s="20">
        <f t="shared" si="25"/>
        <v>43797</v>
      </c>
      <c r="B407" s="117" t="s">
        <v>233</v>
      </c>
    </row>
    <row r="408" spans="1:2" x14ac:dyDescent="0.25">
      <c r="A408" s="20">
        <f t="shared" si="25"/>
        <v>43804</v>
      </c>
      <c r="B408" s="117" t="s">
        <v>233</v>
      </c>
    </row>
    <row r="409" spans="1:2" x14ac:dyDescent="0.25">
      <c r="A409" s="20">
        <f t="shared" si="25"/>
        <v>43811</v>
      </c>
      <c r="B409" s="117" t="s">
        <v>233</v>
      </c>
    </row>
    <row r="410" spans="1:2" x14ac:dyDescent="0.25">
      <c r="A410" s="20">
        <f t="shared" si="25"/>
        <v>43818</v>
      </c>
      <c r="B410" s="117" t="s">
        <v>233</v>
      </c>
    </row>
    <row r="411" spans="1:2" x14ac:dyDescent="0.25">
      <c r="A411" s="20">
        <f t="shared" si="25"/>
        <v>43825</v>
      </c>
      <c r="B411" s="117" t="s">
        <v>233</v>
      </c>
    </row>
    <row r="412" spans="1:2" x14ac:dyDescent="0.25">
      <c r="A412" s="20">
        <f t="shared" si="25"/>
        <v>43832</v>
      </c>
      <c r="B412" s="117" t="s">
        <v>233</v>
      </c>
    </row>
    <row r="413" spans="1:2" x14ac:dyDescent="0.25">
      <c r="A413" s="20">
        <f t="shared" si="25"/>
        <v>43839</v>
      </c>
      <c r="B413" s="117" t="s">
        <v>233</v>
      </c>
    </row>
    <row r="414" spans="1:2" x14ac:dyDescent="0.25">
      <c r="A414" s="20">
        <f t="shared" si="25"/>
        <v>43846</v>
      </c>
      <c r="B414" s="117" t="s">
        <v>233</v>
      </c>
    </row>
    <row r="415" spans="1:2" x14ac:dyDescent="0.25">
      <c r="A415" s="20">
        <f t="shared" si="25"/>
        <v>43853</v>
      </c>
      <c r="B415" s="117" t="s">
        <v>233</v>
      </c>
    </row>
    <row r="416" spans="1:2" x14ac:dyDescent="0.25">
      <c r="A416" s="20">
        <f t="shared" si="25"/>
        <v>43860</v>
      </c>
      <c r="B416" s="117" t="s">
        <v>233</v>
      </c>
    </row>
    <row r="417" spans="1:2" x14ac:dyDescent="0.25">
      <c r="A417" s="20">
        <f t="shared" si="25"/>
        <v>43867</v>
      </c>
      <c r="B417" s="117" t="s">
        <v>233</v>
      </c>
    </row>
    <row r="418" spans="1:2" x14ac:dyDescent="0.25">
      <c r="A418" s="20">
        <f t="shared" si="25"/>
        <v>43874</v>
      </c>
      <c r="B418" s="117" t="s">
        <v>233</v>
      </c>
    </row>
    <row r="419" spans="1:2" x14ac:dyDescent="0.25">
      <c r="A419" s="20">
        <f t="shared" si="25"/>
        <v>43881</v>
      </c>
      <c r="B419" s="117" t="s">
        <v>233</v>
      </c>
    </row>
    <row r="420" spans="1:2" x14ac:dyDescent="0.25">
      <c r="A420" s="20">
        <f t="shared" si="25"/>
        <v>43888</v>
      </c>
      <c r="B420" s="117" t="s">
        <v>233</v>
      </c>
    </row>
    <row r="421" spans="1:2" x14ac:dyDescent="0.25">
      <c r="A421" s="20">
        <f t="shared" si="25"/>
        <v>43895</v>
      </c>
      <c r="B421" s="117" t="s">
        <v>233</v>
      </c>
    </row>
    <row r="422" spans="1:2" x14ac:dyDescent="0.25">
      <c r="A422" s="20">
        <f t="shared" si="25"/>
        <v>43902</v>
      </c>
      <c r="B422" s="117" t="s">
        <v>233</v>
      </c>
    </row>
    <row r="423" spans="1:2" x14ac:dyDescent="0.25">
      <c r="A423" s="20">
        <f t="shared" si="25"/>
        <v>43909</v>
      </c>
      <c r="B423" s="117" t="s">
        <v>233</v>
      </c>
    </row>
    <row r="424" spans="1:2" x14ac:dyDescent="0.25">
      <c r="A424" s="20">
        <f t="shared" si="25"/>
        <v>43916</v>
      </c>
      <c r="B424" s="117" t="s">
        <v>233</v>
      </c>
    </row>
    <row r="425" spans="1:2" x14ac:dyDescent="0.25">
      <c r="A425" s="20">
        <f t="shared" si="25"/>
        <v>43923</v>
      </c>
      <c r="B425" s="117" t="s">
        <v>233</v>
      </c>
    </row>
    <row r="426" spans="1:2" x14ac:dyDescent="0.25">
      <c r="A426" s="20">
        <f t="shared" si="25"/>
        <v>43930</v>
      </c>
      <c r="B426" s="117" t="s">
        <v>233</v>
      </c>
    </row>
    <row r="427" spans="1:2" x14ac:dyDescent="0.25">
      <c r="A427" s="20">
        <f t="shared" si="25"/>
        <v>43937</v>
      </c>
      <c r="B427" s="117" t="s">
        <v>233</v>
      </c>
    </row>
    <row r="428" spans="1:2" x14ac:dyDescent="0.25">
      <c r="A428" s="20">
        <f t="shared" si="25"/>
        <v>43944</v>
      </c>
      <c r="B428" s="117" t="s">
        <v>233</v>
      </c>
    </row>
    <row r="429" spans="1:2" x14ac:dyDescent="0.25">
      <c r="A429" s="20">
        <f t="shared" si="25"/>
        <v>43951</v>
      </c>
      <c r="B429" s="117" t="s">
        <v>233</v>
      </c>
    </row>
    <row r="430" spans="1:2" x14ac:dyDescent="0.25">
      <c r="A430" s="20">
        <f t="shared" si="25"/>
        <v>43958</v>
      </c>
      <c r="B430" s="117" t="s">
        <v>233</v>
      </c>
    </row>
    <row r="431" spans="1:2" x14ac:dyDescent="0.25">
      <c r="A431" s="20">
        <f t="shared" si="25"/>
        <v>43965</v>
      </c>
      <c r="B431" s="117" t="s">
        <v>233</v>
      </c>
    </row>
    <row r="432" spans="1:2" x14ac:dyDescent="0.25">
      <c r="A432" s="20">
        <f t="shared" si="25"/>
        <v>43972</v>
      </c>
      <c r="B432" s="117" t="s">
        <v>233</v>
      </c>
    </row>
    <row r="433" spans="1:2" x14ac:dyDescent="0.25">
      <c r="A433" s="20">
        <f t="shared" si="25"/>
        <v>43979</v>
      </c>
      <c r="B433" s="117" t="s">
        <v>233</v>
      </c>
    </row>
    <row r="434" spans="1:2" x14ac:dyDescent="0.25">
      <c r="A434" s="20">
        <f t="shared" si="25"/>
        <v>43986</v>
      </c>
      <c r="B434" s="117" t="s">
        <v>233</v>
      </c>
    </row>
    <row r="435" spans="1:2" x14ac:dyDescent="0.25">
      <c r="A435" s="20">
        <f t="shared" si="25"/>
        <v>43993</v>
      </c>
      <c r="B435" s="117" t="s">
        <v>233</v>
      </c>
    </row>
    <row r="436" spans="1:2" x14ac:dyDescent="0.25">
      <c r="A436" s="20">
        <f t="shared" si="25"/>
        <v>44000</v>
      </c>
      <c r="B436" s="117" t="s">
        <v>233</v>
      </c>
    </row>
    <row r="437" spans="1:2" x14ac:dyDescent="0.25">
      <c r="A437" s="20">
        <f t="shared" si="25"/>
        <v>44007</v>
      </c>
      <c r="B437" s="117" t="s">
        <v>233</v>
      </c>
    </row>
    <row r="438" spans="1:2" x14ac:dyDescent="0.25">
      <c r="A438" s="20">
        <f t="shared" si="25"/>
        <v>44014</v>
      </c>
      <c r="B438" s="117" t="s">
        <v>233</v>
      </c>
    </row>
    <row r="439" spans="1:2" x14ac:dyDescent="0.25">
      <c r="A439" s="20">
        <f t="shared" si="25"/>
        <v>44021</v>
      </c>
      <c r="B439" s="117" t="s">
        <v>233</v>
      </c>
    </row>
    <row r="440" spans="1:2" x14ac:dyDescent="0.25">
      <c r="A440" s="20">
        <f t="shared" si="25"/>
        <v>44028</v>
      </c>
      <c r="B440" s="117" t="s">
        <v>233</v>
      </c>
    </row>
    <row r="441" spans="1:2" x14ac:dyDescent="0.25">
      <c r="A441" s="20">
        <f t="shared" si="25"/>
        <v>44035</v>
      </c>
      <c r="B441" s="117" t="s">
        <v>233</v>
      </c>
    </row>
    <row r="442" spans="1:2" x14ac:dyDescent="0.25">
      <c r="A442" s="20">
        <f t="shared" si="25"/>
        <v>44042</v>
      </c>
      <c r="B442" s="117" t="s">
        <v>233</v>
      </c>
    </row>
    <row r="443" spans="1:2" x14ac:dyDescent="0.25">
      <c r="A443" s="20">
        <f t="shared" si="25"/>
        <v>44049</v>
      </c>
      <c r="B443" s="117" t="s">
        <v>233</v>
      </c>
    </row>
    <row r="444" spans="1:2" x14ac:dyDescent="0.25">
      <c r="A444" s="20">
        <f t="shared" si="25"/>
        <v>44056</v>
      </c>
      <c r="B444" s="117" t="s">
        <v>233</v>
      </c>
    </row>
    <row r="445" spans="1:2" x14ac:dyDescent="0.25">
      <c r="A445" s="20">
        <f t="shared" si="25"/>
        <v>44063</v>
      </c>
      <c r="B445" s="117" t="s">
        <v>233</v>
      </c>
    </row>
    <row r="446" spans="1:2" x14ac:dyDescent="0.25">
      <c r="A446" s="20">
        <f t="shared" si="25"/>
        <v>44070</v>
      </c>
      <c r="B446" s="117" t="s">
        <v>233</v>
      </c>
    </row>
    <row r="447" spans="1:2" x14ac:dyDescent="0.25">
      <c r="A447" s="20">
        <f t="shared" si="25"/>
        <v>44077</v>
      </c>
      <c r="B447" s="117" t="s">
        <v>233</v>
      </c>
    </row>
    <row r="448" spans="1:2" x14ac:dyDescent="0.25">
      <c r="A448" s="20">
        <f t="shared" si="25"/>
        <v>44084</v>
      </c>
      <c r="B448" s="117" t="s">
        <v>233</v>
      </c>
    </row>
    <row r="449" spans="1:2" x14ac:dyDescent="0.25">
      <c r="A449" s="20">
        <f t="shared" si="25"/>
        <v>44091</v>
      </c>
      <c r="B449" s="117" t="s">
        <v>233</v>
      </c>
    </row>
    <row r="450" spans="1:2" x14ac:dyDescent="0.25">
      <c r="A450" s="20">
        <f t="shared" si="25"/>
        <v>44098</v>
      </c>
      <c r="B450" s="117" t="s">
        <v>233</v>
      </c>
    </row>
    <row r="451" spans="1:2" x14ac:dyDescent="0.25">
      <c r="A451" s="20">
        <f t="shared" si="25"/>
        <v>44105</v>
      </c>
      <c r="B451" s="117" t="s">
        <v>233</v>
      </c>
    </row>
    <row r="452" spans="1:2" x14ac:dyDescent="0.25">
      <c r="A452" s="20">
        <f t="shared" si="25"/>
        <v>44112</v>
      </c>
      <c r="B452" s="117" t="s">
        <v>233</v>
      </c>
    </row>
    <row r="453" spans="1:2" x14ac:dyDescent="0.25">
      <c r="A453" s="20">
        <f t="shared" si="25"/>
        <v>44119</v>
      </c>
      <c r="B453" s="117" t="s">
        <v>233</v>
      </c>
    </row>
    <row r="454" spans="1:2" x14ac:dyDescent="0.25">
      <c r="A454" s="20">
        <f t="shared" si="25"/>
        <v>44126</v>
      </c>
      <c r="B454" s="117" t="s">
        <v>233</v>
      </c>
    </row>
    <row r="455" spans="1:2" x14ac:dyDescent="0.25">
      <c r="A455" s="20">
        <f t="shared" si="25"/>
        <v>44133</v>
      </c>
      <c r="B455" s="117" t="s">
        <v>233</v>
      </c>
    </row>
    <row r="456" spans="1:2" x14ac:dyDescent="0.25">
      <c r="A456" s="20">
        <f t="shared" si="25"/>
        <v>44140</v>
      </c>
      <c r="B456" s="117" t="s">
        <v>233</v>
      </c>
    </row>
    <row r="457" spans="1:2" x14ac:dyDescent="0.25">
      <c r="A457" s="20">
        <f t="shared" si="25"/>
        <v>44147</v>
      </c>
      <c r="B457" s="117" t="s">
        <v>233</v>
      </c>
    </row>
    <row r="458" spans="1:2" x14ac:dyDescent="0.25">
      <c r="A458" s="20">
        <f t="shared" si="25"/>
        <v>44154</v>
      </c>
      <c r="B458" s="117" t="s">
        <v>233</v>
      </c>
    </row>
    <row r="459" spans="1:2" x14ac:dyDescent="0.25">
      <c r="A459" s="20">
        <f t="shared" si="25"/>
        <v>44161</v>
      </c>
      <c r="B459" s="117" t="s">
        <v>233</v>
      </c>
    </row>
    <row r="460" spans="1:2" x14ac:dyDescent="0.25">
      <c r="A460" s="20">
        <f t="shared" si="25"/>
        <v>44168</v>
      </c>
      <c r="B460" s="117" t="s">
        <v>233</v>
      </c>
    </row>
    <row r="461" spans="1:2" x14ac:dyDescent="0.25">
      <c r="A461" s="20">
        <f t="shared" si="25"/>
        <v>44175</v>
      </c>
      <c r="B461" s="117" t="s">
        <v>233</v>
      </c>
    </row>
    <row r="462" spans="1:2" x14ac:dyDescent="0.25">
      <c r="A462" s="20">
        <f t="shared" si="25"/>
        <v>44182</v>
      </c>
      <c r="B462" s="117" t="s">
        <v>233</v>
      </c>
    </row>
    <row r="463" spans="1:2" x14ac:dyDescent="0.25">
      <c r="A463" s="20">
        <f t="shared" si="25"/>
        <v>44189</v>
      </c>
      <c r="B463" s="117" t="s">
        <v>233</v>
      </c>
    </row>
    <row r="464" spans="1:2" x14ac:dyDescent="0.25">
      <c r="A464" s="20">
        <f t="shared" si="25"/>
        <v>44196</v>
      </c>
      <c r="B464" s="117" t="s">
        <v>233</v>
      </c>
    </row>
    <row r="465" spans="1:2" x14ac:dyDescent="0.25">
      <c r="A465" s="20">
        <f>+A464+7</f>
        <v>44203</v>
      </c>
      <c r="B465" s="117" t="s">
        <v>233</v>
      </c>
    </row>
    <row r="466" spans="1:2" x14ac:dyDescent="0.25">
      <c r="A466" s="20">
        <f>+A465+7</f>
        <v>44210</v>
      </c>
      <c r="B466" s="117" t="s">
        <v>233</v>
      </c>
    </row>
    <row r="467" spans="1:2" x14ac:dyDescent="0.25">
      <c r="A467" s="20">
        <f>+A466+7</f>
        <v>44217</v>
      </c>
      <c r="B467" s="117" t="s">
        <v>233</v>
      </c>
    </row>
    <row r="468" spans="1:2" x14ac:dyDescent="0.25">
      <c r="A468" s="20">
        <f>+A467+7</f>
        <v>44224</v>
      </c>
      <c r="B468" s="117" t="s">
        <v>233</v>
      </c>
    </row>
  </sheetData>
  <mergeCells count="2">
    <mergeCell ref="E2:F2"/>
    <mergeCell ref="G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3"/>
  </sheetPr>
  <dimension ref="A1:R698"/>
  <sheetViews>
    <sheetView workbookViewId="0">
      <pane xSplit="2" ySplit="3" topLeftCell="C396" activePane="bottomRight" state="frozen"/>
      <selection pane="topRight" activeCell="C1" sqref="C1"/>
      <selection pane="bottomLeft" activeCell="A4" sqref="A4"/>
      <selection pane="bottomRight" activeCell="L406" sqref="L406:R411"/>
    </sheetView>
  </sheetViews>
  <sheetFormatPr defaultRowHeight="13.2" x14ac:dyDescent="0.25"/>
  <cols>
    <col min="1" max="1" width="14.44140625" customWidth="1"/>
    <col min="2" max="2" width="8.109375" customWidth="1"/>
    <col min="8" max="8" width="10.33203125" bestFit="1" customWidth="1"/>
  </cols>
  <sheetData>
    <row r="1" spans="1:10" ht="13.8" thickBot="1" x14ac:dyDescent="0.3">
      <c r="B1" s="13" t="s">
        <v>8</v>
      </c>
      <c r="C1" s="6"/>
      <c r="D1" s="6"/>
      <c r="F1" s="14"/>
      <c r="G1" s="6"/>
      <c r="H1" s="6"/>
      <c r="I1" s="6"/>
      <c r="J1" s="6"/>
    </row>
    <row r="2" spans="1:10" x14ac:dyDescent="0.25">
      <c r="C2" t="s">
        <v>9</v>
      </c>
      <c r="E2" s="218" t="s">
        <v>2</v>
      </c>
      <c r="F2" s="219"/>
      <c r="G2" s="218" t="s">
        <v>3</v>
      </c>
      <c r="H2" s="219"/>
      <c r="I2" s="10" t="s">
        <v>18</v>
      </c>
      <c r="J2" s="17" t="s">
        <v>16</v>
      </c>
    </row>
    <row r="3" spans="1:10" x14ac:dyDescent="0.25">
      <c r="B3" s="7"/>
      <c r="C3" s="204">
        <v>2013</v>
      </c>
      <c r="D3" s="204">
        <v>2012</v>
      </c>
      <c r="E3" s="204">
        <v>2013</v>
      </c>
      <c r="F3" s="204">
        <v>2012</v>
      </c>
      <c r="G3" s="204">
        <v>2013</v>
      </c>
      <c r="H3" s="204">
        <v>2012</v>
      </c>
      <c r="I3" s="11" t="s">
        <v>6</v>
      </c>
      <c r="J3" s="9" t="s">
        <v>17</v>
      </c>
    </row>
    <row r="4" spans="1:10" x14ac:dyDescent="0.25">
      <c r="A4" s="20">
        <f>Japan!A4</f>
        <v>38855</v>
      </c>
      <c r="B4" t="s">
        <v>10</v>
      </c>
      <c r="C4">
        <v>536.29999999999995</v>
      </c>
      <c r="D4">
        <v>541.20000000000005</v>
      </c>
      <c r="E4">
        <v>3747.6</v>
      </c>
      <c r="F4">
        <v>3254.3</v>
      </c>
      <c r="G4" s="2">
        <f t="shared" ref="G4:H40" si="0">+C4+E4</f>
        <v>4283.8999999999996</v>
      </c>
      <c r="H4" s="2">
        <f t="shared" si="0"/>
        <v>3795.5</v>
      </c>
      <c r="I4" s="30">
        <f t="shared" ref="I4:I40" si="1">+(G4/H4-1)*100</f>
        <v>12.867869845870095</v>
      </c>
    </row>
    <row r="5" spans="1:10" x14ac:dyDescent="0.25">
      <c r="A5" s="20">
        <f>Japan!A5</f>
        <v>38862</v>
      </c>
      <c r="B5" t="s">
        <v>10</v>
      </c>
      <c r="C5">
        <v>710.2</v>
      </c>
      <c r="D5">
        <v>539</v>
      </c>
      <c r="E5">
        <v>3755.6</v>
      </c>
      <c r="F5">
        <v>3323.1</v>
      </c>
      <c r="G5" s="2">
        <f t="shared" si="0"/>
        <v>4465.8</v>
      </c>
      <c r="H5" s="2">
        <f t="shared" si="0"/>
        <v>3862.1</v>
      </c>
      <c r="I5" s="30">
        <f t="shared" si="1"/>
        <v>15.631392247740884</v>
      </c>
      <c r="J5">
        <v>0</v>
      </c>
    </row>
    <row r="6" spans="1:10" x14ac:dyDescent="0.25">
      <c r="A6" s="20">
        <f>Japan!A6</f>
        <v>38869</v>
      </c>
      <c r="B6" t="s">
        <v>10</v>
      </c>
      <c r="C6">
        <v>637.6</v>
      </c>
      <c r="D6">
        <v>510.7</v>
      </c>
      <c r="E6">
        <v>3922</v>
      </c>
      <c r="F6">
        <v>3469.6</v>
      </c>
      <c r="G6" s="2">
        <f t="shared" si="0"/>
        <v>4559.6000000000004</v>
      </c>
      <c r="H6" s="2">
        <f t="shared" si="0"/>
        <v>3980.2999999999997</v>
      </c>
      <c r="I6" s="30">
        <f t="shared" si="1"/>
        <v>14.5541793332161</v>
      </c>
      <c r="J6">
        <v>0</v>
      </c>
    </row>
    <row r="7" spans="1:10" x14ac:dyDescent="0.25">
      <c r="A7" s="20">
        <f>Japan!A7</f>
        <v>38876</v>
      </c>
      <c r="B7" t="s">
        <v>10</v>
      </c>
      <c r="C7">
        <v>695</v>
      </c>
      <c r="D7">
        <v>625.9</v>
      </c>
      <c r="E7">
        <v>4000.9</v>
      </c>
      <c r="F7">
        <v>3473.3</v>
      </c>
      <c r="G7" s="2">
        <f t="shared" si="0"/>
        <v>4695.8999999999996</v>
      </c>
      <c r="H7" s="2">
        <f t="shared" si="0"/>
        <v>4099.2</v>
      </c>
      <c r="I7" s="30">
        <f t="shared" si="1"/>
        <v>14.5564988290398</v>
      </c>
      <c r="J7">
        <v>0</v>
      </c>
    </row>
    <row r="8" spans="1:10" x14ac:dyDescent="0.25">
      <c r="A8" s="20">
        <f>Japan!A8</f>
        <v>38883</v>
      </c>
      <c r="B8" t="s">
        <v>10</v>
      </c>
      <c r="C8">
        <v>784</v>
      </c>
      <c r="D8">
        <v>480.1</v>
      </c>
      <c r="E8">
        <v>4120.7</v>
      </c>
      <c r="F8">
        <v>3624.1</v>
      </c>
      <c r="G8" s="2">
        <f t="shared" si="0"/>
        <v>4904.7</v>
      </c>
      <c r="H8" s="2">
        <f t="shared" si="0"/>
        <v>4104.2</v>
      </c>
      <c r="I8" s="30">
        <f t="shared" si="1"/>
        <v>19.504410116466065</v>
      </c>
      <c r="J8">
        <v>0</v>
      </c>
    </row>
    <row r="9" spans="1:10" x14ac:dyDescent="0.25">
      <c r="A9" s="20">
        <f>Japan!A9</f>
        <v>38890</v>
      </c>
      <c r="B9" t="s">
        <v>10</v>
      </c>
      <c r="C9">
        <v>739.9</v>
      </c>
      <c r="D9">
        <v>479.8</v>
      </c>
      <c r="E9">
        <v>4211.8</v>
      </c>
      <c r="F9">
        <v>3809.4</v>
      </c>
      <c r="G9" s="2">
        <f t="shared" si="0"/>
        <v>4951.7</v>
      </c>
      <c r="H9" s="2">
        <f t="shared" si="0"/>
        <v>4289.2</v>
      </c>
      <c r="I9" s="30">
        <f t="shared" si="1"/>
        <v>15.445770773104538</v>
      </c>
      <c r="J9">
        <v>0</v>
      </c>
    </row>
    <row r="10" spans="1:10" x14ac:dyDescent="0.25">
      <c r="A10" s="20">
        <f>Japan!A10</f>
        <v>38897</v>
      </c>
      <c r="B10" t="s">
        <v>10</v>
      </c>
      <c r="C10">
        <v>635.70000000000005</v>
      </c>
      <c r="D10">
        <v>559.20000000000005</v>
      </c>
      <c r="E10">
        <v>4276</v>
      </c>
      <c r="F10">
        <v>3814.7</v>
      </c>
      <c r="G10" s="2">
        <f t="shared" si="0"/>
        <v>4911.7</v>
      </c>
      <c r="H10" s="2">
        <f t="shared" si="0"/>
        <v>4373.8999999999996</v>
      </c>
      <c r="I10" s="30">
        <f t="shared" si="1"/>
        <v>12.295662909531547</v>
      </c>
      <c r="J10">
        <v>0</v>
      </c>
    </row>
    <row r="11" spans="1:10" x14ac:dyDescent="0.25">
      <c r="A11" s="20">
        <f>Japan!A11</f>
        <v>38904</v>
      </c>
      <c r="B11" t="s">
        <v>10</v>
      </c>
      <c r="C11">
        <v>617.1</v>
      </c>
      <c r="D11">
        <v>496.8</v>
      </c>
      <c r="E11">
        <v>4352.3</v>
      </c>
      <c r="F11">
        <v>3880.4</v>
      </c>
      <c r="G11" s="2">
        <f t="shared" si="0"/>
        <v>4969.4000000000005</v>
      </c>
      <c r="H11" s="2">
        <f t="shared" si="0"/>
        <v>4377.2</v>
      </c>
      <c r="I11" s="30">
        <f t="shared" si="1"/>
        <v>13.529196746778771</v>
      </c>
      <c r="J11">
        <v>0</v>
      </c>
    </row>
    <row r="12" spans="1:10" x14ac:dyDescent="0.25">
      <c r="A12" s="20">
        <f>Japan!A12</f>
        <v>38911</v>
      </c>
      <c r="B12" t="s">
        <v>10</v>
      </c>
      <c r="C12">
        <v>692</v>
      </c>
      <c r="D12">
        <v>533</v>
      </c>
      <c r="E12">
        <v>4361.3999999999996</v>
      </c>
      <c r="F12">
        <v>3947.4</v>
      </c>
      <c r="G12" s="2">
        <f t="shared" si="0"/>
        <v>5053.3999999999996</v>
      </c>
      <c r="H12" s="2">
        <f t="shared" si="0"/>
        <v>4480.3999999999996</v>
      </c>
      <c r="I12" s="30">
        <f t="shared" si="1"/>
        <v>12.78903669315239</v>
      </c>
      <c r="J12">
        <v>74</v>
      </c>
    </row>
    <row r="13" spans="1:10" x14ac:dyDescent="0.25">
      <c r="A13" s="20">
        <f>Japan!A13</f>
        <v>38918</v>
      </c>
      <c r="B13" t="s">
        <v>10</v>
      </c>
      <c r="C13">
        <v>483.9</v>
      </c>
      <c r="D13">
        <v>471</v>
      </c>
      <c r="E13">
        <v>4619</v>
      </c>
      <c r="F13">
        <v>4014</v>
      </c>
      <c r="G13" s="2">
        <f t="shared" si="0"/>
        <v>5102.8999999999996</v>
      </c>
      <c r="H13" s="2">
        <f t="shared" si="0"/>
        <v>4485</v>
      </c>
      <c r="I13" s="30">
        <f t="shared" si="1"/>
        <v>13.777034559643253</v>
      </c>
      <c r="J13">
        <v>87</v>
      </c>
    </row>
    <row r="14" spans="1:10" x14ac:dyDescent="0.25">
      <c r="A14" s="20">
        <f>Japan!A14</f>
        <v>38925</v>
      </c>
      <c r="B14" t="s">
        <v>10</v>
      </c>
      <c r="C14">
        <v>568.70000000000005</v>
      </c>
      <c r="D14">
        <v>530.79999999999995</v>
      </c>
      <c r="E14">
        <v>4623.8999999999996</v>
      </c>
      <c r="F14">
        <v>4078.8</v>
      </c>
      <c r="G14" s="2">
        <f t="shared" si="0"/>
        <v>5192.5999999999995</v>
      </c>
      <c r="H14" s="2">
        <f t="shared" si="0"/>
        <v>4609.6000000000004</v>
      </c>
      <c r="I14" s="30">
        <f t="shared" si="1"/>
        <v>12.64751822283927</v>
      </c>
      <c r="J14">
        <v>89</v>
      </c>
    </row>
    <row r="15" spans="1:10" x14ac:dyDescent="0.25">
      <c r="A15" s="20">
        <f>Japan!A15</f>
        <v>38932</v>
      </c>
      <c r="B15" t="s">
        <v>10</v>
      </c>
      <c r="C15">
        <v>785.3</v>
      </c>
      <c r="D15">
        <v>511.1</v>
      </c>
      <c r="E15">
        <v>4669.6000000000004</v>
      </c>
      <c r="F15">
        <v>4171.7</v>
      </c>
      <c r="G15" s="2">
        <f t="shared" si="0"/>
        <v>5454.9000000000005</v>
      </c>
      <c r="H15" s="2">
        <f t="shared" si="0"/>
        <v>4682.8</v>
      </c>
      <c r="I15" s="30">
        <f t="shared" si="1"/>
        <v>16.487998633296328</v>
      </c>
      <c r="J15">
        <v>139</v>
      </c>
    </row>
    <row r="16" spans="1:10" x14ac:dyDescent="0.25">
      <c r="A16" s="20">
        <f>Japan!A16</f>
        <v>38939</v>
      </c>
      <c r="B16" t="s">
        <v>10</v>
      </c>
      <c r="C16">
        <v>816.2</v>
      </c>
      <c r="D16">
        <v>397.3</v>
      </c>
      <c r="E16">
        <v>4843.8999999999996</v>
      </c>
      <c r="F16">
        <v>4235.6000000000004</v>
      </c>
      <c r="G16" s="2">
        <f t="shared" si="0"/>
        <v>5660.0999999999995</v>
      </c>
      <c r="H16" s="2">
        <f t="shared" si="0"/>
        <v>4632.9000000000005</v>
      </c>
      <c r="I16" s="30">
        <f t="shared" si="1"/>
        <v>22.171857799650297</v>
      </c>
      <c r="J16">
        <v>143</v>
      </c>
    </row>
    <row r="17" spans="1:10" x14ac:dyDescent="0.25">
      <c r="A17" s="20">
        <f>Japan!A17</f>
        <v>38946</v>
      </c>
      <c r="B17" t="s">
        <v>10</v>
      </c>
      <c r="C17">
        <v>739.2</v>
      </c>
      <c r="D17">
        <v>323.5</v>
      </c>
      <c r="E17">
        <v>4926.8999999999996</v>
      </c>
      <c r="F17">
        <v>4394.7</v>
      </c>
      <c r="G17" s="2">
        <f t="shared" si="0"/>
        <v>5666.0999999999995</v>
      </c>
      <c r="H17" s="2">
        <f t="shared" si="0"/>
        <v>4718.2</v>
      </c>
      <c r="I17" s="30">
        <f t="shared" si="1"/>
        <v>20.090288669407808</v>
      </c>
      <c r="J17">
        <v>249</v>
      </c>
    </row>
    <row r="18" spans="1:10" x14ac:dyDescent="0.25">
      <c r="A18" s="20">
        <f>Japan!A18</f>
        <v>38953</v>
      </c>
      <c r="B18" t="s">
        <v>10</v>
      </c>
      <c r="C18">
        <v>564.20000000000005</v>
      </c>
      <c r="D18">
        <v>271</v>
      </c>
      <c r="E18">
        <v>4938.5</v>
      </c>
      <c r="F18">
        <v>4394.7</v>
      </c>
      <c r="G18" s="2">
        <f t="shared" si="0"/>
        <v>5502.7</v>
      </c>
      <c r="H18" s="2">
        <f t="shared" si="0"/>
        <v>4665.7</v>
      </c>
      <c r="I18" s="30">
        <f t="shared" si="1"/>
        <v>17.93943031056433</v>
      </c>
      <c r="J18">
        <v>470.5</v>
      </c>
    </row>
    <row r="19" spans="1:10" x14ac:dyDescent="0.25">
      <c r="A19" s="20">
        <f>Japan!A19</f>
        <v>38960</v>
      </c>
      <c r="B19" t="s">
        <v>10</v>
      </c>
      <c r="C19">
        <v>551.5</v>
      </c>
      <c r="D19">
        <v>205.4</v>
      </c>
      <c r="E19">
        <v>4951.3</v>
      </c>
      <c r="F19">
        <v>4484.8999999999996</v>
      </c>
      <c r="G19" s="2">
        <f t="shared" si="0"/>
        <v>5502.8</v>
      </c>
      <c r="H19" s="2">
        <f t="shared" si="0"/>
        <v>4690.2999999999993</v>
      </c>
      <c r="I19" s="30">
        <f t="shared" si="1"/>
        <v>17.322985736520067</v>
      </c>
      <c r="J19">
        <v>1164.9000000000001</v>
      </c>
    </row>
    <row r="20" spans="1:10" x14ac:dyDescent="0.25">
      <c r="A20" s="53">
        <f>Japan!A20</f>
        <v>38967</v>
      </c>
      <c r="B20" s="54" t="s">
        <v>10</v>
      </c>
      <c r="C20">
        <v>1280.3</v>
      </c>
      <c r="D20">
        <v>594.5</v>
      </c>
      <c r="E20">
        <v>70.900000000000006</v>
      </c>
      <c r="F20">
        <v>186.5</v>
      </c>
      <c r="G20" s="2">
        <f t="shared" si="0"/>
        <v>1351.2</v>
      </c>
      <c r="H20" s="2">
        <f t="shared" si="0"/>
        <v>781</v>
      </c>
      <c r="I20" s="30">
        <f t="shared" si="1"/>
        <v>73.008962868117806</v>
      </c>
    </row>
    <row r="21" spans="1:10" x14ac:dyDescent="0.25">
      <c r="A21" s="33">
        <f>Japan!A21</f>
        <v>38974</v>
      </c>
      <c r="B21" s="59" t="s">
        <v>10</v>
      </c>
      <c r="C21">
        <v>1212.0999999999999</v>
      </c>
      <c r="D21">
        <v>686.8</v>
      </c>
      <c r="E21">
        <v>100.6</v>
      </c>
      <c r="F21">
        <v>264.3</v>
      </c>
      <c r="G21" s="2">
        <f t="shared" si="0"/>
        <v>1312.6999999999998</v>
      </c>
      <c r="H21" s="2">
        <f t="shared" si="0"/>
        <v>951.09999999999991</v>
      </c>
      <c r="I21" s="30">
        <f t="shared" si="1"/>
        <v>38.019135737567012</v>
      </c>
    </row>
    <row r="22" spans="1:10" x14ac:dyDescent="0.25">
      <c r="A22" s="33">
        <f>Japan!A22</f>
        <v>38981</v>
      </c>
      <c r="B22" s="59" t="s">
        <v>10</v>
      </c>
      <c r="C22">
        <v>1235.4000000000001</v>
      </c>
      <c r="D22">
        <v>766.5</v>
      </c>
      <c r="E22">
        <v>208.5</v>
      </c>
      <c r="F22">
        <v>373.3</v>
      </c>
      <c r="G22" s="2">
        <f t="shared" si="0"/>
        <v>1443.9</v>
      </c>
      <c r="H22" s="2">
        <f t="shared" si="0"/>
        <v>1139.8</v>
      </c>
      <c r="I22" s="30">
        <f t="shared" si="1"/>
        <v>26.680119319178818</v>
      </c>
    </row>
    <row r="23" spans="1:10" x14ac:dyDescent="0.25">
      <c r="A23" s="33">
        <f>Japan!A23</f>
        <v>38988</v>
      </c>
      <c r="B23" s="59" t="s">
        <v>10</v>
      </c>
      <c r="C23">
        <v>1419.2</v>
      </c>
      <c r="D23">
        <v>642.5</v>
      </c>
      <c r="E23">
        <v>299.8</v>
      </c>
      <c r="F23">
        <v>501.8</v>
      </c>
      <c r="G23" s="2">
        <f t="shared" si="0"/>
        <v>1719</v>
      </c>
      <c r="H23" s="2">
        <f t="shared" si="0"/>
        <v>1144.3</v>
      </c>
      <c r="I23" s="30">
        <f t="shared" si="1"/>
        <v>50.222843659879416</v>
      </c>
    </row>
    <row r="24" spans="1:10" x14ac:dyDescent="0.25">
      <c r="A24" s="33">
        <f>Japan!A24</f>
        <v>38995</v>
      </c>
      <c r="B24" s="59" t="s">
        <v>10</v>
      </c>
      <c r="C24">
        <v>1436.2</v>
      </c>
      <c r="D24">
        <v>691</v>
      </c>
      <c r="E24">
        <v>451.4</v>
      </c>
      <c r="F24">
        <v>575.6</v>
      </c>
      <c r="G24" s="2">
        <f t="shared" si="0"/>
        <v>1887.6</v>
      </c>
      <c r="H24" s="2">
        <f t="shared" si="0"/>
        <v>1266.5999999999999</v>
      </c>
      <c r="I24" s="30">
        <f t="shared" si="1"/>
        <v>49.028896257697774</v>
      </c>
    </row>
    <row r="25" spans="1:10" x14ac:dyDescent="0.25">
      <c r="A25" s="33">
        <f>Japan!A25</f>
        <v>39002</v>
      </c>
      <c r="B25" s="59" t="s">
        <v>10</v>
      </c>
      <c r="C25">
        <v>1142.5</v>
      </c>
      <c r="D25">
        <v>706.6</v>
      </c>
      <c r="E25">
        <v>625.79999999999995</v>
      </c>
      <c r="F25">
        <v>682.3</v>
      </c>
      <c r="G25" s="2">
        <f t="shared" si="0"/>
        <v>1768.3</v>
      </c>
      <c r="H25" s="2">
        <f t="shared" si="0"/>
        <v>1388.9</v>
      </c>
      <c r="I25" s="30">
        <f t="shared" si="1"/>
        <v>27.316581467348257</v>
      </c>
    </row>
    <row r="26" spans="1:10" x14ac:dyDescent="0.25">
      <c r="A26" s="33">
        <f>Japan!A26</f>
        <v>39009</v>
      </c>
      <c r="B26" s="59" t="s">
        <v>10</v>
      </c>
      <c r="C26">
        <v>1163</v>
      </c>
      <c r="D26">
        <v>776</v>
      </c>
      <c r="E26">
        <v>641.79999999999995</v>
      </c>
      <c r="F26">
        <v>746.5</v>
      </c>
      <c r="G26" s="2">
        <f t="shared" si="0"/>
        <v>1804.8</v>
      </c>
      <c r="H26" s="2">
        <f t="shared" si="0"/>
        <v>1522.5</v>
      </c>
      <c r="I26" s="30">
        <f t="shared" si="1"/>
        <v>18.541871921182263</v>
      </c>
    </row>
    <row r="27" spans="1:10" x14ac:dyDescent="0.25">
      <c r="A27" s="33">
        <f>Japan!A27</f>
        <v>39016</v>
      </c>
      <c r="B27" s="59" t="s">
        <v>10</v>
      </c>
      <c r="C27">
        <v>1148.3</v>
      </c>
      <c r="D27">
        <v>777.8</v>
      </c>
      <c r="E27">
        <v>715.7</v>
      </c>
      <c r="F27">
        <v>821.8</v>
      </c>
      <c r="G27" s="2">
        <f t="shared" si="0"/>
        <v>1864</v>
      </c>
      <c r="H27" s="2">
        <f t="shared" si="0"/>
        <v>1599.6</v>
      </c>
      <c r="I27" s="30">
        <f t="shared" si="1"/>
        <v>16.52913228307078</v>
      </c>
    </row>
    <row r="28" spans="1:10" x14ac:dyDescent="0.25">
      <c r="A28" s="33">
        <f>Japan!A28</f>
        <v>39023</v>
      </c>
      <c r="B28" s="59" t="s">
        <v>10</v>
      </c>
      <c r="C28">
        <v>1228.5999999999999</v>
      </c>
      <c r="D28">
        <v>775.7</v>
      </c>
      <c r="E28">
        <v>802.7</v>
      </c>
      <c r="F28">
        <v>882.7</v>
      </c>
      <c r="G28" s="2">
        <f t="shared" si="0"/>
        <v>2031.3</v>
      </c>
      <c r="H28" s="2">
        <f t="shared" si="0"/>
        <v>1658.4</v>
      </c>
      <c r="I28" s="30">
        <f t="shared" si="1"/>
        <v>22.485528219971052</v>
      </c>
    </row>
    <row r="29" spans="1:10" x14ac:dyDescent="0.25">
      <c r="A29" s="33">
        <f>Japan!A29</f>
        <v>39030</v>
      </c>
      <c r="B29" s="59" t="s">
        <v>10</v>
      </c>
      <c r="C29">
        <v>1182.3</v>
      </c>
      <c r="D29">
        <v>772.5</v>
      </c>
      <c r="E29">
        <v>824</v>
      </c>
      <c r="F29">
        <v>1039.8</v>
      </c>
      <c r="G29" s="2">
        <f t="shared" si="0"/>
        <v>2006.3</v>
      </c>
      <c r="H29" s="2">
        <f t="shared" si="0"/>
        <v>1812.3</v>
      </c>
      <c r="I29" s="30">
        <f t="shared" si="1"/>
        <v>10.70462947635602</v>
      </c>
    </row>
    <row r="30" spans="1:10" x14ac:dyDescent="0.25">
      <c r="A30" s="33">
        <f>Japan!A30</f>
        <v>39037</v>
      </c>
      <c r="B30" s="59" t="s">
        <v>10</v>
      </c>
      <c r="C30">
        <v>1074.3</v>
      </c>
      <c r="D30">
        <v>812</v>
      </c>
      <c r="E30">
        <v>967</v>
      </c>
      <c r="F30">
        <v>1113.9000000000001</v>
      </c>
      <c r="G30" s="2">
        <f t="shared" si="0"/>
        <v>2041.3</v>
      </c>
      <c r="H30" s="2">
        <f t="shared" si="0"/>
        <v>1925.9</v>
      </c>
      <c r="I30" s="30">
        <f t="shared" si="1"/>
        <v>5.992003738511853</v>
      </c>
    </row>
    <row r="31" spans="1:10" x14ac:dyDescent="0.25">
      <c r="A31" s="33">
        <f>Japan!A31</f>
        <v>39044</v>
      </c>
      <c r="B31" s="59" t="s">
        <v>10</v>
      </c>
      <c r="C31">
        <v>1109.2</v>
      </c>
      <c r="D31">
        <v>746.8</v>
      </c>
      <c r="E31">
        <v>997.5</v>
      </c>
      <c r="F31">
        <v>1186.3</v>
      </c>
      <c r="G31" s="2">
        <f t="shared" si="0"/>
        <v>2106.6999999999998</v>
      </c>
      <c r="H31" s="2">
        <f t="shared" si="0"/>
        <v>1933.1</v>
      </c>
      <c r="I31" s="30">
        <f t="shared" si="1"/>
        <v>8.980394185505137</v>
      </c>
    </row>
    <row r="32" spans="1:10" x14ac:dyDescent="0.25">
      <c r="A32" s="33">
        <f t="shared" ref="A32:A39" si="2">+A31+7</f>
        <v>39051</v>
      </c>
      <c r="B32" s="59" t="s">
        <v>10</v>
      </c>
      <c r="C32">
        <v>917.6</v>
      </c>
      <c r="D32">
        <v>785.7</v>
      </c>
      <c r="E32">
        <v>1176.3</v>
      </c>
      <c r="F32">
        <v>1297</v>
      </c>
      <c r="G32" s="2">
        <f t="shared" si="0"/>
        <v>2093.9</v>
      </c>
      <c r="H32" s="2">
        <f t="shared" si="0"/>
        <v>2082.6999999999998</v>
      </c>
      <c r="I32" s="30">
        <f t="shared" si="1"/>
        <v>0.5377634800979525</v>
      </c>
    </row>
    <row r="33" spans="1:10" x14ac:dyDescent="0.25">
      <c r="A33" s="33">
        <f t="shared" si="2"/>
        <v>39058</v>
      </c>
      <c r="B33" s="59" t="s">
        <v>10</v>
      </c>
      <c r="C33">
        <v>685</v>
      </c>
      <c r="D33">
        <v>774.8</v>
      </c>
      <c r="E33">
        <v>1438.1</v>
      </c>
      <c r="F33">
        <v>1347.5</v>
      </c>
      <c r="G33" s="2">
        <f t="shared" si="0"/>
        <v>2123.1</v>
      </c>
      <c r="H33" s="2">
        <f t="shared" si="0"/>
        <v>2122.3000000000002</v>
      </c>
      <c r="I33" s="30">
        <f t="shared" si="1"/>
        <v>3.7694953588074398E-2</v>
      </c>
    </row>
    <row r="34" spans="1:10" x14ac:dyDescent="0.25">
      <c r="A34" s="33">
        <f t="shared" si="2"/>
        <v>39065</v>
      </c>
      <c r="B34" s="59" t="s">
        <v>10</v>
      </c>
      <c r="C34">
        <v>751.2</v>
      </c>
      <c r="D34">
        <v>735.3</v>
      </c>
      <c r="E34">
        <v>1547.8</v>
      </c>
      <c r="F34">
        <v>1541.7</v>
      </c>
      <c r="G34" s="2">
        <f t="shared" si="0"/>
        <v>2299</v>
      </c>
      <c r="H34" s="2">
        <f t="shared" si="0"/>
        <v>2277</v>
      </c>
      <c r="I34" s="30">
        <f t="shared" si="1"/>
        <v>0.96618357487923134</v>
      </c>
    </row>
    <row r="35" spans="1:10" x14ac:dyDescent="0.25">
      <c r="A35" s="33">
        <f t="shared" si="2"/>
        <v>39072</v>
      </c>
      <c r="B35" s="59" t="s">
        <v>10</v>
      </c>
      <c r="C35">
        <v>928.2</v>
      </c>
      <c r="D35">
        <v>716.2</v>
      </c>
      <c r="E35">
        <v>1555.9</v>
      </c>
      <c r="F35">
        <v>1678</v>
      </c>
      <c r="G35" s="2">
        <f t="shared" si="0"/>
        <v>2484.1000000000004</v>
      </c>
      <c r="H35" s="2">
        <f t="shared" si="0"/>
        <v>2394.1999999999998</v>
      </c>
      <c r="I35" s="30">
        <f t="shared" si="1"/>
        <v>3.7549076935928793</v>
      </c>
    </row>
    <row r="36" spans="1:10" x14ac:dyDescent="0.25">
      <c r="A36" s="33">
        <f t="shared" si="2"/>
        <v>39079</v>
      </c>
      <c r="B36" s="59" t="s">
        <v>10</v>
      </c>
      <c r="C36">
        <v>978.1</v>
      </c>
      <c r="D36">
        <v>596.9</v>
      </c>
      <c r="E36">
        <v>1584.5</v>
      </c>
      <c r="F36">
        <v>1867</v>
      </c>
      <c r="G36" s="2">
        <f t="shared" si="0"/>
        <v>2562.6</v>
      </c>
      <c r="H36" s="2">
        <f t="shared" si="0"/>
        <v>2463.9</v>
      </c>
      <c r="I36" s="30">
        <f t="shared" si="1"/>
        <v>4.0058443930354182</v>
      </c>
    </row>
    <row r="37" spans="1:10" x14ac:dyDescent="0.25">
      <c r="A37" s="33">
        <f t="shared" si="2"/>
        <v>39086</v>
      </c>
      <c r="B37" s="59" t="s">
        <v>10</v>
      </c>
      <c r="C37">
        <v>841.1</v>
      </c>
      <c r="D37">
        <v>484</v>
      </c>
      <c r="E37">
        <v>1734</v>
      </c>
      <c r="F37">
        <v>1921</v>
      </c>
      <c r="G37" s="2">
        <f t="shared" si="0"/>
        <v>2575.1</v>
      </c>
      <c r="H37" s="2">
        <f t="shared" si="0"/>
        <v>2405</v>
      </c>
      <c r="I37" s="30">
        <f t="shared" si="1"/>
        <v>7.0727650727650637</v>
      </c>
    </row>
    <row r="38" spans="1:10" x14ac:dyDescent="0.25">
      <c r="A38" s="33">
        <f t="shared" si="2"/>
        <v>39093</v>
      </c>
      <c r="B38" s="59" t="s">
        <v>10</v>
      </c>
      <c r="C38">
        <v>765.5</v>
      </c>
      <c r="D38">
        <v>557</v>
      </c>
      <c r="E38">
        <v>1879</v>
      </c>
      <c r="F38">
        <v>1969.5</v>
      </c>
      <c r="G38" s="2">
        <f t="shared" si="0"/>
        <v>2644.5</v>
      </c>
      <c r="H38" s="2">
        <f t="shared" si="0"/>
        <v>2526.5</v>
      </c>
      <c r="I38" s="30">
        <f t="shared" si="1"/>
        <v>4.670492776568369</v>
      </c>
    </row>
    <row r="39" spans="1:10" x14ac:dyDescent="0.25">
      <c r="A39" s="33">
        <f t="shared" si="2"/>
        <v>39100</v>
      </c>
      <c r="B39" s="59" t="s">
        <v>10</v>
      </c>
      <c r="C39">
        <v>703.2</v>
      </c>
      <c r="D39">
        <v>542.1</v>
      </c>
      <c r="E39">
        <v>1959.8</v>
      </c>
      <c r="F39">
        <v>2127.6999999999998</v>
      </c>
      <c r="G39" s="2">
        <f t="shared" si="0"/>
        <v>2663</v>
      </c>
      <c r="H39" s="2">
        <f t="shared" si="0"/>
        <v>2669.7999999999997</v>
      </c>
      <c r="I39" s="30">
        <f t="shared" si="1"/>
        <v>-0.25470072664618426</v>
      </c>
    </row>
    <row r="40" spans="1:10" x14ac:dyDescent="0.25">
      <c r="A40" s="33">
        <f t="shared" ref="A40:A46" si="3">+A39+7</f>
        <v>39107</v>
      </c>
      <c r="B40" s="59" t="s">
        <v>10</v>
      </c>
      <c r="C40">
        <v>559.1</v>
      </c>
      <c r="D40">
        <v>472.6</v>
      </c>
      <c r="E40">
        <v>2133.9</v>
      </c>
      <c r="F40">
        <v>2293.1</v>
      </c>
      <c r="G40" s="2">
        <f t="shared" si="0"/>
        <v>2693</v>
      </c>
      <c r="H40" s="2">
        <f t="shared" si="0"/>
        <v>2765.7</v>
      </c>
      <c r="I40" s="30">
        <f t="shared" si="1"/>
        <v>-2.6286292801099065</v>
      </c>
    </row>
    <row r="41" spans="1:10" x14ac:dyDescent="0.25">
      <c r="A41" s="33">
        <f t="shared" si="3"/>
        <v>39114</v>
      </c>
      <c r="B41" s="59" t="s">
        <v>10</v>
      </c>
      <c r="C41">
        <v>570.4</v>
      </c>
      <c r="D41">
        <v>465.1</v>
      </c>
      <c r="E41">
        <v>2166.4</v>
      </c>
      <c r="F41">
        <v>2301.5</v>
      </c>
      <c r="G41" s="2">
        <f t="shared" ref="G41:H43" si="4">+C41+E41</f>
        <v>2736.8</v>
      </c>
      <c r="H41" s="2">
        <f t="shared" si="4"/>
        <v>2766.6</v>
      </c>
      <c r="I41" s="30">
        <f t="shared" ref="I41:I46" si="5">+(G41/H41-1)*100</f>
        <v>-1.077134388780443</v>
      </c>
    </row>
    <row r="42" spans="1:10" x14ac:dyDescent="0.25">
      <c r="A42" s="33">
        <f t="shared" si="3"/>
        <v>39121</v>
      </c>
      <c r="B42" s="59" t="s">
        <v>10</v>
      </c>
      <c r="C42">
        <v>557</v>
      </c>
      <c r="D42">
        <v>438.9</v>
      </c>
      <c r="E42">
        <v>2241.4</v>
      </c>
      <c r="F42">
        <v>2329.3000000000002</v>
      </c>
      <c r="G42" s="2">
        <f t="shared" si="4"/>
        <v>2798.4</v>
      </c>
      <c r="H42" s="2">
        <f t="shared" si="4"/>
        <v>2768.2000000000003</v>
      </c>
      <c r="I42" s="30">
        <f t="shared" si="5"/>
        <v>1.0909616357199559</v>
      </c>
    </row>
    <row r="43" spans="1:10" x14ac:dyDescent="0.25">
      <c r="A43" s="33">
        <f t="shared" si="3"/>
        <v>39128</v>
      </c>
      <c r="B43" s="59" t="s">
        <v>10</v>
      </c>
      <c r="C43">
        <v>595.1</v>
      </c>
      <c r="D43">
        <v>616.6</v>
      </c>
      <c r="E43">
        <v>2360.4</v>
      </c>
      <c r="F43">
        <v>2453.1999999999998</v>
      </c>
      <c r="G43" s="2">
        <f t="shared" si="4"/>
        <v>2955.5</v>
      </c>
      <c r="H43" s="2">
        <f t="shared" si="4"/>
        <v>3069.7999999999997</v>
      </c>
      <c r="I43" s="30">
        <f t="shared" si="5"/>
        <v>-3.7233696006254369</v>
      </c>
    </row>
    <row r="44" spans="1:10" x14ac:dyDescent="0.25">
      <c r="A44" s="33">
        <f t="shared" si="3"/>
        <v>39135</v>
      </c>
      <c r="B44" s="59" t="s">
        <v>10</v>
      </c>
      <c r="C44">
        <v>509.2</v>
      </c>
      <c r="D44">
        <v>498</v>
      </c>
      <c r="E44">
        <v>2424.6999999999998</v>
      </c>
      <c r="F44">
        <v>2646.6</v>
      </c>
      <c r="G44" s="2">
        <f t="shared" ref="G44:H46" si="6">+C44+E44</f>
        <v>2933.8999999999996</v>
      </c>
      <c r="H44" s="2">
        <f t="shared" si="6"/>
        <v>3144.6</v>
      </c>
      <c r="I44" s="30">
        <f t="shared" si="5"/>
        <v>-6.7003752464542483</v>
      </c>
      <c r="J44" s="4">
        <f t="shared" ref="J44:J49" si="7">+H44-H43</f>
        <v>74.800000000000182</v>
      </c>
    </row>
    <row r="45" spans="1:10" x14ac:dyDescent="0.25">
      <c r="A45" s="33">
        <f t="shared" si="3"/>
        <v>39142</v>
      </c>
      <c r="B45" s="59" t="s">
        <v>10</v>
      </c>
      <c r="C45">
        <v>432.7</v>
      </c>
      <c r="D45">
        <v>502.4</v>
      </c>
      <c r="E45">
        <v>2497.1</v>
      </c>
      <c r="F45">
        <v>2649</v>
      </c>
      <c r="G45" s="2">
        <f t="shared" si="6"/>
        <v>2929.7999999999997</v>
      </c>
      <c r="H45" s="2">
        <f t="shared" si="6"/>
        <v>3151.4</v>
      </c>
      <c r="I45" s="30">
        <f t="shared" si="5"/>
        <v>-7.0317953925239651</v>
      </c>
      <c r="J45" s="4">
        <f t="shared" si="7"/>
        <v>6.8000000000001819</v>
      </c>
    </row>
    <row r="46" spans="1:10" x14ac:dyDescent="0.25">
      <c r="A46" s="33">
        <f t="shared" si="3"/>
        <v>39149</v>
      </c>
      <c r="B46" s="59" t="s">
        <v>10</v>
      </c>
      <c r="C46">
        <v>392.2</v>
      </c>
      <c r="D46">
        <v>661.9</v>
      </c>
      <c r="E46">
        <v>2515.1</v>
      </c>
      <c r="F46">
        <v>2670.1</v>
      </c>
      <c r="G46" s="2">
        <f t="shared" si="6"/>
        <v>2907.2999999999997</v>
      </c>
      <c r="H46" s="2">
        <f t="shared" si="6"/>
        <v>3332</v>
      </c>
      <c r="I46" s="30">
        <f t="shared" si="5"/>
        <v>-12.746098439375764</v>
      </c>
      <c r="J46" s="4">
        <f t="shared" si="7"/>
        <v>180.59999999999991</v>
      </c>
    </row>
    <row r="47" spans="1:10" x14ac:dyDescent="0.25">
      <c r="A47" s="33">
        <f t="shared" ref="A47:A57" si="8">+A46+7</f>
        <v>39156</v>
      </c>
      <c r="B47" s="59" t="s">
        <v>10</v>
      </c>
      <c r="C47">
        <v>505.6</v>
      </c>
      <c r="D47">
        <v>660.2</v>
      </c>
      <c r="E47">
        <v>2557.4</v>
      </c>
      <c r="F47">
        <v>2758.7</v>
      </c>
      <c r="G47" s="2">
        <f t="shared" ref="G47:H49" si="9">+C47+E47</f>
        <v>3063</v>
      </c>
      <c r="H47" s="2">
        <f t="shared" si="9"/>
        <v>3418.8999999999996</v>
      </c>
      <c r="I47" s="30">
        <f t="shared" ref="I47:I52" si="10">+(G47/H47-1)*100</f>
        <v>-10.409780923688894</v>
      </c>
      <c r="J47" s="4">
        <f t="shared" si="7"/>
        <v>86.899999999999636</v>
      </c>
    </row>
    <row r="48" spans="1:10" x14ac:dyDescent="0.25">
      <c r="A48" s="33">
        <f t="shared" si="8"/>
        <v>39163</v>
      </c>
      <c r="B48" s="59" t="s">
        <v>10</v>
      </c>
      <c r="C48">
        <v>396.8</v>
      </c>
      <c r="D48">
        <v>566.4</v>
      </c>
      <c r="E48">
        <v>2731.4</v>
      </c>
      <c r="F48">
        <v>2925.4</v>
      </c>
      <c r="G48" s="2">
        <f t="shared" si="9"/>
        <v>3128.2000000000003</v>
      </c>
      <c r="H48" s="2">
        <f t="shared" si="9"/>
        <v>3491.8</v>
      </c>
      <c r="I48" s="30">
        <f t="shared" si="10"/>
        <v>-10.412967523913164</v>
      </c>
      <c r="J48" s="4">
        <f t="shared" si="7"/>
        <v>72.900000000000546</v>
      </c>
    </row>
    <row r="49" spans="1:10" x14ac:dyDescent="0.25">
      <c r="A49" s="33">
        <f t="shared" si="8"/>
        <v>39170</v>
      </c>
      <c r="B49" s="59" t="s">
        <v>10</v>
      </c>
      <c r="C49">
        <v>466</v>
      </c>
      <c r="D49">
        <v>452.6</v>
      </c>
      <c r="E49">
        <v>2754.2</v>
      </c>
      <c r="F49">
        <v>3055.2</v>
      </c>
      <c r="G49" s="2">
        <f t="shared" si="9"/>
        <v>3220.2</v>
      </c>
      <c r="H49" s="2">
        <f t="shared" si="9"/>
        <v>3507.7999999999997</v>
      </c>
      <c r="I49" s="30">
        <f t="shared" si="10"/>
        <v>-8.198871087291181</v>
      </c>
      <c r="J49" s="4">
        <f t="shared" si="7"/>
        <v>15.999999999999545</v>
      </c>
    </row>
    <row r="50" spans="1:10" x14ac:dyDescent="0.25">
      <c r="A50" s="33">
        <f t="shared" si="8"/>
        <v>39177</v>
      </c>
      <c r="B50" s="59" t="s">
        <v>10</v>
      </c>
      <c r="C50">
        <v>472.2</v>
      </c>
      <c r="D50">
        <v>480.1</v>
      </c>
      <c r="E50">
        <v>2826.9</v>
      </c>
      <c r="F50">
        <v>3125.8</v>
      </c>
      <c r="G50" s="2">
        <f t="shared" ref="G50:H52" si="11">+C50+E50</f>
        <v>3299.1</v>
      </c>
      <c r="H50" s="2">
        <f t="shared" si="11"/>
        <v>3605.9</v>
      </c>
      <c r="I50" s="30">
        <f t="shared" si="10"/>
        <v>-8.5082780997809202</v>
      </c>
      <c r="J50" s="4">
        <f>+H50-H49</f>
        <v>98.100000000000364</v>
      </c>
    </row>
    <row r="51" spans="1:10" x14ac:dyDescent="0.25">
      <c r="A51" s="33">
        <f t="shared" si="8"/>
        <v>39184</v>
      </c>
      <c r="B51" s="59" t="s">
        <v>10</v>
      </c>
      <c r="C51">
        <v>458.8</v>
      </c>
      <c r="D51">
        <v>484.6</v>
      </c>
      <c r="E51">
        <v>2911.2</v>
      </c>
      <c r="F51">
        <v>3201.4</v>
      </c>
      <c r="G51" s="2">
        <f t="shared" si="11"/>
        <v>3370</v>
      </c>
      <c r="H51" s="2">
        <f t="shared" si="11"/>
        <v>3686</v>
      </c>
      <c r="I51" s="30">
        <f t="shared" si="10"/>
        <v>-8.5729788388496981</v>
      </c>
    </row>
    <row r="52" spans="1:10" x14ac:dyDescent="0.25">
      <c r="A52" s="33">
        <f t="shared" si="8"/>
        <v>39191</v>
      </c>
      <c r="B52" s="59" t="s">
        <v>10</v>
      </c>
      <c r="C52">
        <v>543.20000000000005</v>
      </c>
      <c r="D52">
        <v>570</v>
      </c>
      <c r="E52">
        <v>3014.1</v>
      </c>
      <c r="F52">
        <v>3271.4</v>
      </c>
      <c r="G52" s="2">
        <f t="shared" si="11"/>
        <v>3557.3</v>
      </c>
      <c r="H52" s="2">
        <f t="shared" si="11"/>
        <v>3841.4</v>
      </c>
      <c r="I52" s="30">
        <f t="shared" si="10"/>
        <v>-7.3957411360441423</v>
      </c>
    </row>
    <row r="53" spans="1:10" x14ac:dyDescent="0.25">
      <c r="A53" s="33">
        <f t="shared" si="8"/>
        <v>39198</v>
      </c>
      <c r="B53" s="59" t="s">
        <v>10</v>
      </c>
      <c r="C53">
        <v>594.9</v>
      </c>
      <c r="D53">
        <v>741.5</v>
      </c>
      <c r="E53">
        <v>3030.8</v>
      </c>
      <c r="F53">
        <v>3382.3</v>
      </c>
      <c r="G53" s="2">
        <f t="shared" ref="G53:H55" si="12">+C53+E53</f>
        <v>3625.7000000000003</v>
      </c>
      <c r="H53" s="2">
        <f t="shared" si="12"/>
        <v>4123.8</v>
      </c>
      <c r="I53" s="30">
        <f t="shared" ref="I53:I58" si="13">+(G53/H53-1)*100</f>
        <v>-12.078665308695857</v>
      </c>
    </row>
    <row r="54" spans="1:10" x14ac:dyDescent="0.25">
      <c r="A54" s="33">
        <f t="shared" si="8"/>
        <v>39205</v>
      </c>
      <c r="B54" s="59" t="s">
        <v>10</v>
      </c>
      <c r="C54">
        <v>507.5</v>
      </c>
      <c r="D54">
        <v>742.5</v>
      </c>
      <c r="E54">
        <v>3192.8</v>
      </c>
      <c r="F54">
        <v>3456.9</v>
      </c>
      <c r="G54" s="2">
        <f t="shared" si="12"/>
        <v>3700.3</v>
      </c>
      <c r="H54" s="2">
        <f t="shared" si="12"/>
        <v>4199.3999999999996</v>
      </c>
      <c r="I54" s="30">
        <f t="shared" si="13"/>
        <v>-11.885031194932594</v>
      </c>
    </row>
    <row r="55" spans="1:10" x14ac:dyDescent="0.25">
      <c r="A55" s="33">
        <f t="shared" si="8"/>
        <v>39212</v>
      </c>
      <c r="B55" s="59" t="s">
        <v>10</v>
      </c>
      <c r="C55">
        <v>495.8</v>
      </c>
      <c r="D55">
        <v>658.4</v>
      </c>
      <c r="E55">
        <v>3196.4</v>
      </c>
      <c r="F55">
        <v>3613.4</v>
      </c>
      <c r="G55" s="2">
        <f t="shared" si="12"/>
        <v>3692.2000000000003</v>
      </c>
      <c r="H55" s="2">
        <f t="shared" si="12"/>
        <v>4271.8</v>
      </c>
      <c r="I55" s="30">
        <f t="shared" si="13"/>
        <v>-13.568050938714361</v>
      </c>
    </row>
    <row r="56" spans="1:10" x14ac:dyDescent="0.25">
      <c r="A56" s="33">
        <f t="shared" si="8"/>
        <v>39219</v>
      </c>
      <c r="B56" s="59" t="s">
        <v>10</v>
      </c>
      <c r="C56">
        <v>566.79999999999995</v>
      </c>
      <c r="D56">
        <v>536.29999999999995</v>
      </c>
      <c r="E56">
        <v>3236.9</v>
      </c>
      <c r="F56">
        <v>3747.6</v>
      </c>
      <c r="G56" s="2">
        <f t="shared" ref="G56:H58" si="14">+C56+E56</f>
        <v>3803.7</v>
      </c>
      <c r="H56" s="2">
        <f t="shared" si="14"/>
        <v>4283.8999999999996</v>
      </c>
      <c r="I56" s="30">
        <f t="shared" si="13"/>
        <v>-11.209411984406724</v>
      </c>
    </row>
    <row r="57" spans="1:10" x14ac:dyDescent="0.25">
      <c r="A57" s="33">
        <f t="shared" si="8"/>
        <v>39226</v>
      </c>
      <c r="B57" s="59" t="s">
        <v>10</v>
      </c>
      <c r="C57">
        <v>513</v>
      </c>
      <c r="D57">
        <v>710.2</v>
      </c>
      <c r="E57">
        <v>3376.8</v>
      </c>
      <c r="F57">
        <v>3755.6</v>
      </c>
      <c r="G57" s="2">
        <f t="shared" si="14"/>
        <v>3889.8</v>
      </c>
      <c r="H57" s="2">
        <f t="shared" si="14"/>
        <v>4465.8</v>
      </c>
      <c r="I57" s="30">
        <f t="shared" si="13"/>
        <v>-12.898024989923417</v>
      </c>
    </row>
    <row r="58" spans="1:10" x14ac:dyDescent="0.25">
      <c r="A58" s="33">
        <f t="shared" ref="A58:A63" si="15">+A57+7</f>
        <v>39233</v>
      </c>
      <c r="B58" s="59" t="s">
        <v>10</v>
      </c>
      <c r="C58">
        <v>536.29999999999995</v>
      </c>
      <c r="D58">
        <v>637.6</v>
      </c>
      <c r="E58">
        <v>3466.7</v>
      </c>
      <c r="F58">
        <v>3922</v>
      </c>
      <c r="G58" s="2">
        <f t="shared" si="14"/>
        <v>4003</v>
      </c>
      <c r="H58" s="2">
        <f t="shared" si="14"/>
        <v>4559.6000000000004</v>
      </c>
      <c r="I58" s="30">
        <f t="shared" si="13"/>
        <v>-12.207211158873587</v>
      </c>
    </row>
    <row r="59" spans="1:10" x14ac:dyDescent="0.25">
      <c r="A59" s="33">
        <f t="shared" si="15"/>
        <v>39240</v>
      </c>
      <c r="B59" s="59" t="s">
        <v>10</v>
      </c>
      <c r="C59">
        <v>484.7</v>
      </c>
      <c r="D59">
        <v>695</v>
      </c>
      <c r="E59">
        <v>3563.4</v>
      </c>
      <c r="F59">
        <v>4000.9</v>
      </c>
      <c r="G59" s="2">
        <f t="shared" ref="G59:H61" si="16">+C59+E59</f>
        <v>4048.1</v>
      </c>
      <c r="H59" s="2">
        <f t="shared" si="16"/>
        <v>4695.8999999999996</v>
      </c>
      <c r="I59" s="30">
        <f t="shared" ref="I59:I64" si="17">+(G59/H59-1)*100</f>
        <v>-13.79501267062756</v>
      </c>
    </row>
    <row r="60" spans="1:10" x14ac:dyDescent="0.25">
      <c r="A60" s="33">
        <f t="shared" si="15"/>
        <v>39247</v>
      </c>
      <c r="B60" s="59" t="s">
        <v>10</v>
      </c>
      <c r="C60">
        <v>550.70000000000005</v>
      </c>
      <c r="D60">
        <v>784</v>
      </c>
      <c r="E60">
        <v>3657.1</v>
      </c>
      <c r="F60">
        <v>4120.7</v>
      </c>
      <c r="G60" s="2">
        <f t="shared" si="16"/>
        <v>4207.8</v>
      </c>
      <c r="H60" s="2">
        <f t="shared" si="16"/>
        <v>4904.7</v>
      </c>
      <c r="I60" s="30">
        <f t="shared" si="17"/>
        <v>-14.208820111321785</v>
      </c>
    </row>
    <row r="61" spans="1:10" x14ac:dyDescent="0.25">
      <c r="A61" s="33">
        <f t="shared" si="15"/>
        <v>39254</v>
      </c>
      <c r="B61" s="59" t="s">
        <v>10</v>
      </c>
      <c r="C61">
        <v>698</v>
      </c>
      <c r="D61">
        <v>739.9</v>
      </c>
      <c r="E61">
        <v>3757.3</v>
      </c>
      <c r="F61">
        <v>4211.8</v>
      </c>
      <c r="G61" s="2">
        <f t="shared" si="16"/>
        <v>4455.3</v>
      </c>
      <c r="H61" s="2">
        <f t="shared" si="16"/>
        <v>4951.7</v>
      </c>
      <c r="I61" s="30">
        <f t="shared" si="17"/>
        <v>-10.024839953955201</v>
      </c>
    </row>
    <row r="62" spans="1:10" x14ac:dyDescent="0.25">
      <c r="A62" s="33">
        <f t="shared" si="15"/>
        <v>39261</v>
      </c>
      <c r="B62" s="59" t="s">
        <v>10</v>
      </c>
      <c r="C62">
        <v>740</v>
      </c>
      <c r="D62">
        <v>635.70000000000005</v>
      </c>
      <c r="E62">
        <v>3779</v>
      </c>
      <c r="F62">
        <v>4276</v>
      </c>
      <c r="G62" s="2">
        <f t="shared" ref="G62:H64" si="18">+C62+E62</f>
        <v>4519</v>
      </c>
      <c r="H62" s="2">
        <f t="shared" si="18"/>
        <v>4911.7</v>
      </c>
      <c r="I62" s="30">
        <f t="shared" si="17"/>
        <v>-7.995195146283363</v>
      </c>
      <c r="J62">
        <v>4</v>
      </c>
    </row>
    <row r="63" spans="1:10" x14ac:dyDescent="0.25">
      <c r="A63" s="33">
        <f t="shared" si="15"/>
        <v>39268</v>
      </c>
      <c r="B63" s="59" t="s">
        <v>10</v>
      </c>
      <c r="C63">
        <v>799.7</v>
      </c>
      <c r="D63">
        <v>617.1</v>
      </c>
      <c r="E63">
        <v>3808.1</v>
      </c>
      <c r="F63">
        <v>4352.3</v>
      </c>
      <c r="G63" s="2">
        <f t="shared" si="18"/>
        <v>4607.8</v>
      </c>
      <c r="H63" s="2">
        <f t="shared" si="18"/>
        <v>4969.4000000000005</v>
      </c>
      <c r="I63" s="30">
        <f t="shared" si="17"/>
        <v>-7.2765323781543101</v>
      </c>
      <c r="J63">
        <v>4</v>
      </c>
    </row>
    <row r="64" spans="1:10" x14ac:dyDescent="0.25">
      <c r="A64" s="33">
        <f t="shared" ref="A64:A69" si="19">+A63+7</f>
        <v>39275</v>
      </c>
      <c r="B64" s="59" t="s">
        <v>10</v>
      </c>
      <c r="C64">
        <v>638.20000000000005</v>
      </c>
      <c r="D64">
        <v>692</v>
      </c>
      <c r="E64">
        <v>4018.2</v>
      </c>
      <c r="F64">
        <v>4361.3999999999996</v>
      </c>
      <c r="G64" s="2">
        <f t="shared" si="18"/>
        <v>4656.3999999999996</v>
      </c>
      <c r="H64" s="2">
        <f t="shared" si="18"/>
        <v>5053.3999999999996</v>
      </c>
      <c r="I64" s="30">
        <f t="shared" si="17"/>
        <v>-7.8560968852653623</v>
      </c>
      <c r="J64">
        <v>4</v>
      </c>
    </row>
    <row r="65" spans="1:10" x14ac:dyDescent="0.25">
      <c r="A65" s="33">
        <f t="shared" si="19"/>
        <v>39282</v>
      </c>
      <c r="B65" s="59" t="s">
        <v>10</v>
      </c>
      <c r="C65">
        <v>676.7</v>
      </c>
      <c r="D65">
        <v>483.9</v>
      </c>
      <c r="E65">
        <v>4056</v>
      </c>
      <c r="F65">
        <v>4619</v>
      </c>
      <c r="G65" s="2">
        <f t="shared" ref="G65:H67" si="20">+C65+E65</f>
        <v>4732.7</v>
      </c>
      <c r="H65" s="2">
        <f t="shared" si="20"/>
        <v>5102.8999999999996</v>
      </c>
      <c r="I65" s="30">
        <f t="shared" ref="I65:I70" si="21">+(G65/H65-1)*100</f>
        <v>-7.2546983088047963</v>
      </c>
      <c r="J65">
        <v>30</v>
      </c>
    </row>
    <row r="66" spans="1:10" x14ac:dyDescent="0.25">
      <c r="A66" s="33">
        <f t="shared" si="19"/>
        <v>39289</v>
      </c>
      <c r="B66" s="59" t="s">
        <v>10</v>
      </c>
      <c r="C66">
        <v>617.79999999999995</v>
      </c>
      <c r="D66">
        <v>568.70000000000005</v>
      </c>
      <c r="E66">
        <v>4155.3999999999996</v>
      </c>
      <c r="F66">
        <v>4623.8999999999996</v>
      </c>
      <c r="G66" s="2">
        <f t="shared" si="20"/>
        <v>4773.2</v>
      </c>
      <c r="H66" s="2">
        <f t="shared" si="20"/>
        <v>5192.5999999999995</v>
      </c>
      <c r="I66" s="30">
        <f t="shared" si="21"/>
        <v>-8.0768786349805453</v>
      </c>
      <c r="J66">
        <v>46.1</v>
      </c>
    </row>
    <row r="67" spans="1:10" x14ac:dyDescent="0.25">
      <c r="A67" s="33">
        <f t="shared" si="19"/>
        <v>39296</v>
      </c>
      <c r="B67" s="59" t="s">
        <v>10</v>
      </c>
      <c r="C67">
        <v>614.4</v>
      </c>
      <c r="D67">
        <v>785.3</v>
      </c>
      <c r="E67">
        <v>4172.8999999999996</v>
      </c>
      <c r="F67">
        <v>4669.6000000000004</v>
      </c>
      <c r="G67" s="2">
        <f t="shared" si="20"/>
        <v>4787.2999999999993</v>
      </c>
      <c r="H67" s="2">
        <f t="shared" si="20"/>
        <v>5454.9000000000005</v>
      </c>
      <c r="I67" s="30">
        <f t="shared" si="21"/>
        <v>-12.238537828374508</v>
      </c>
      <c r="J67">
        <v>187.9</v>
      </c>
    </row>
    <row r="68" spans="1:10" x14ac:dyDescent="0.25">
      <c r="A68" s="33">
        <f t="shared" si="19"/>
        <v>39303</v>
      </c>
      <c r="B68" s="59" t="s">
        <v>10</v>
      </c>
      <c r="C68">
        <v>555.6</v>
      </c>
      <c r="D68">
        <v>816.2</v>
      </c>
      <c r="E68">
        <v>4275</v>
      </c>
      <c r="F68">
        <v>4843.8999999999996</v>
      </c>
      <c r="G68" s="2">
        <f t="shared" ref="G68:H70" si="22">+C68+E68</f>
        <v>4830.6000000000004</v>
      </c>
      <c r="H68" s="2">
        <f t="shared" si="22"/>
        <v>5660.0999999999995</v>
      </c>
      <c r="I68" s="30">
        <f t="shared" si="21"/>
        <v>-14.655218105687162</v>
      </c>
      <c r="J68">
        <v>143.30000000000001</v>
      </c>
    </row>
    <row r="69" spans="1:10" x14ac:dyDescent="0.25">
      <c r="A69" s="33">
        <f t="shared" si="19"/>
        <v>39310</v>
      </c>
      <c r="B69" s="59" t="s">
        <v>10</v>
      </c>
      <c r="C69">
        <v>421.1</v>
      </c>
      <c r="D69">
        <v>739.2</v>
      </c>
      <c r="E69">
        <v>4435.2</v>
      </c>
      <c r="F69">
        <v>4926.8999999999996</v>
      </c>
      <c r="G69" s="2">
        <f t="shared" si="22"/>
        <v>4856.3</v>
      </c>
      <c r="H69" s="2">
        <f t="shared" si="22"/>
        <v>5666.0999999999995</v>
      </c>
      <c r="I69" s="30">
        <f t="shared" si="21"/>
        <v>-14.292017437037806</v>
      </c>
      <c r="J69">
        <v>149.30000000000001</v>
      </c>
    </row>
    <row r="70" spans="1:10" x14ac:dyDescent="0.25">
      <c r="A70" s="33">
        <f t="shared" ref="A70:A75" si="23">+A69+7</f>
        <v>39317</v>
      </c>
      <c r="B70" s="59" t="s">
        <v>10</v>
      </c>
      <c r="C70">
        <v>400.6</v>
      </c>
      <c r="D70">
        <v>564.20000000000005</v>
      </c>
      <c r="E70">
        <v>4473.1000000000004</v>
      </c>
      <c r="F70">
        <v>4938.5</v>
      </c>
      <c r="G70" s="2">
        <f t="shared" si="22"/>
        <v>4873.7000000000007</v>
      </c>
      <c r="H70" s="2">
        <f t="shared" si="22"/>
        <v>5502.7</v>
      </c>
      <c r="I70" s="30">
        <f t="shared" si="21"/>
        <v>-11.430752176204395</v>
      </c>
      <c r="J70">
        <v>157.30000000000001</v>
      </c>
    </row>
    <row r="71" spans="1:10" x14ac:dyDescent="0.25">
      <c r="A71" s="33">
        <f t="shared" si="23"/>
        <v>39324</v>
      </c>
      <c r="B71" s="59" t="s">
        <v>10</v>
      </c>
      <c r="C71">
        <v>387.8</v>
      </c>
      <c r="D71">
        <v>551.5</v>
      </c>
      <c r="E71">
        <v>4517.3999999999996</v>
      </c>
      <c r="F71">
        <v>4951.3</v>
      </c>
      <c r="G71" s="2">
        <f t="shared" ref="G71:H73" si="24">+C71+E71</f>
        <v>4905.2</v>
      </c>
      <c r="H71" s="2">
        <f t="shared" si="24"/>
        <v>5502.8</v>
      </c>
      <c r="I71" s="30">
        <f t="shared" ref="I71:I76" si="25">+(G71/H71-1)*100</f>
        <v>-10.859925855927898</v>
      </c>
    </row>
    <row r="72" spans="1:10" x14ac:dyDescent="0.25">
      <c r="A72" s="73">
        <f t="shared" si="23"/>
        <v>39331</v>
      </c>
      <c r="B72" s="16" t="s">
        <v>10</v>
      </c>
      <c r="C72">
        <v>568.9</v>
      </c>
      <c r="D72">
        <v>1280.3</v>
      </c>
      <c r="E72">
        <v>45.4</v>
      </c>
      <c r="F72">
        <v>70.900000000000006</v>
      </c>
      <c r="G72" s="2">
        <f t="shared" si="24"/>
        <v>614.29999999999995</v>
      </c>
      <c r="H72" s="2">
        <f t="shared" si="24"/>
        <v>1351.2</v>
      </c>
      <c r="I72" s="30">
        <f t="shared" si="25"/>
        <v>-54.536708111308471</v>
      </c>
    </row>
    <row r="73" spans="1:10" x14ac:dyDescent="0.25">
      <c r="A73" s="33">
        <f t="shared" si="23"/>
        <v>39338</v>
      </c>
      <c r="B73" s="59" t="s">
        <v>10</v>
      </c>
      <c r="C73">
        <v>568</v>
      </c>
      <c r="D73">
        <v>1212.0999999999999</v>
      </c>
      <c r="E73">
        <v>88.3</v>
      </c>
      <c r="F73">
        <v>100.6</v>
      </c>
      <c r="G73" s="2">
        <f t="shared" si="24"/>
        <v>656.3</v>
      </c>
      <c r="H73" s="2">
        <f t="shared" si="24"/>
        <v>1312.6999999999998</v>
      </c>
      <c r="I73" s="30">
        <f t="shared" si="25"/>
        <v>-50.0038089433991</v>
      </c>
    </row>
    <row r="74" spans="1:10" x14ac:dyDescent="0.25">
      <c r="A74" s="33">
        <f t="shared" si="23"/>
        <v>39345</v>
      </c>
      <c r="B74" s="59" t="s">
        <v>10</v>
      </c>
      <c r="C74">
        <v>648.5</v>
      </c>
      <c r="D74">
        <v>1235.4000000000001</v>
      </c>
      <c r="E74">
        <v>129.69999999999999</v>
      </c>
      <c r="F74">
        <v>208.5</v>
      </c>
      <c r="G74" s="2">
        <f t="shared" ref="G74:H76" si="26">+C74+E74</f>
        <v>778.2</v>
      </c>
      <c r="H74" s="2">
        <f t="shared" si="26"/>
        <v>1443.9</v>
      </c>
      <c r="I74" s="30">
        <f t="shared" si="25"/>
        <v>-46.104300851859549</v>
      </c>
    </row>
    <row r="75" spans="1:10" x14ac:dyDescent="0.25">
      <c r="A75" s="33">
        <f t="shared" si="23"/>
        <v>39352</v>
      </c>
      <c r="B75" s="59" t="s">
        <v>10</v>
      </c>
      <c r="C75">
        <v>719.2</v>
      </c>
      <c r="D75">
        <v>1419.2</v>
      </c>
      <c r="E75">
        <v>163.9</v>
      </c>
      <c r="F75">
        <v>299.8</v>
      </c>
      <c r="G75" s="2">
        <f t="shared" si="26"/>
        <v>883.1</v>
      </c>
      <c r="H75" s="2">
        <f t="shared" si="26"/>
        <v>1719</v>
      </c>
      <c r="I75" s="30">
        <f t="shared" si="25"/>
        <v>-48.627108784176841</v>
      </c>
    </row>
    <row r="76" spans="1:10" x14ac:dyDescent="0.25">
      <c r="A76" s="33">
        <f t="shared" ref="A76:A81" si="27">+A75+7</f>
        <v>39359</v>
      </c>
      <c r="B76" s="59" t="s">
        <v>10</v>
      </c>
      <c r="C76">
        <v>775.8</v>
      </c>
      <c r="D76">
        <v>1436.2</v>
      </c>
      <c r="E76">
        <v>266.8</v>
      </c>
      <c r="F76">
        <v>451.4</v>
      </c>
      <c r="G76" s="2">
        <f t="shared" si="26"/>
        <v>1042.5999999999999</v>
      </c>
      <c r="H76" s="2">
        <f t="shared" si="26"/>
        <v>1887.6</v>
      </c>
      <c r="I76" s="30">
        <f t="shared" si="25"/>
        <v>-44.765840220385677</v>
      </c>
    </row>
    <row r="77" spans="1:10" x14ac:dyDescent="0.25">
      <c r="A77" s="33">
        <f t="shared" si="27"/>
        <v>39366</v>
      </c>
      <c r="B77" s="59" t="s">
        <v>10</v>
      </c>
      <c r="C77">
        <v>783.9</v>
      </c>
      <c r="D77">
        <v>1142.5</v>
      </c>
      <c r="E77">
        <v>290.2</v>
      </c>
      <c r="F77">
        <v>625.79999999999995</v>
      </c>
      <c r="G77" s="2">
        <f t="shared" ref="G77:H79" si="28">+C77+E77</f>
        <v>1074.0999999999999</v>
      </c>
      <c r="H77" s="2">
        <f t="shared" si="28"/>
        <v>1768.3</v>
      </c>
      <c r="I77" s="30">
        <f t="shared" ref="I77:I82" si="29">+(G77/H77-1)*100</f>
        <v>-39.258044449471249</v>
      </c>
    </row>
    <row r="78" spans="1:10" x14ac:dyDescent="0.25">
      <c r="A78" s="33">
        <f t="shared" si="27"/>
        <v>39373</v>
      </c>
      <c r="B78" s="59" t="s">
        <v>10</v>
      </c>
      <c r="C78">
        <v>823.5</v>
      </c>
      <c r="D78">
        <v>1163</v>
      </c>
      <c r="E78">
        <v>321.39999999999998</v>
      </c>
      <c r="F78">
        <v>641.79999999999995</v>
      </c>
      <c r="G78" s="2">
        <f t="shared" si="28"/>
        <v>1144.9000000000001</v>
      </c>
      <c r="H78" s="2">
        <f t="shared" si="28"/>
        <v>1804.8</v>
      </c>
      <c r="I78" s="30">
        <f t="shared" si="29"/>
        <v>-36.563608156028359</v>
      </c>
    </row>
    <row r="79" spans="1:10" x14ac:dyDescent="0.25">
      <c r="A79" s="33">
        <f t="shared" si="27"/>
        <v>39380</v>
      </c>
      <c r="B79" s="59" t="s">
        <v>10</v>
      </c>
      <c r="C79">
        <v>811.2</v>
      </c>
      <c r="D79">
        <v>1148.3</v>
      </c>
      <c r="E79">
        <v>433</v>
      </c>
      <c r="F79">
        <v>715.7</v>
      </c>
      <c r="G79" s="2">
        <f t="shared" si="28"/>
        <v>1244.2</v>
      </c>
      <c r="H79" s="2">
        <f t="shared" si="28"/>
        <v>1864</v>
      </c>
      <c r="I79" s="30">
        <f t="shared" si="29"/>
        <v>-33.251072961373382</v>
      </c>
    </row>
    <row r="80" spans="1:10" x14ac:dyDescent="0.25">
      <c r="A80" s="33">
        <f t="shared" si="27"/>
        <v>39387</v>
      </c>
      <c r="B80" s="59" t="s">
        <v>10</v>
      </c>
      <c r="C80">
        <v>824.7</v>
      </c>
      <c r="D80">
        <v>1228.5999999999999</v>
      </c>
      <c r="E80">
        <v>478.6</v>
      </c>
      <c r="F80">
        <v>802.7</v>
      </c>
      <c r="G80" s="2">
        <f t="shared" ref="G80:H82" si="30">+C80+E80</f>
        <v>1303.3000000000002</v>
      </c>
      <c r="H80" s="2">
        <f t="shared" si="30"/>
        <v>2031.3</v>
      </c>
      <c r="I80" s="30">
        <f t="shared" si="29"/>
        <v>-35.839117806330911</v>
      </c>
    </row>
    <row r="81" spans="1:9" x14ac:dyDescent="0.25">
      <c r="A81" s="33">
        <f t="shared" si="27"/>
        <v>39394</v>
      </c>
      <c r="B81" s="59" t="s">
        <v>10</v>
      </c>
      <c r="C81">
        <v>886.8</v>
      </c>
      <c r="D81">
        <v>1182.3</v>
      </c>
      <c r="E81">
        <v>663.4</v>
      </c>
      <c r="F81">
        <v>824</v>
      </c>
      <c r="G81" s="2">
        <f t="shared" si="30"/>
        <v>1550.1999999999998</v>
      </c>
      <c r="H81" s="2">
        <f t="shared" si="30"/>
        <v>2006.3</v>
      </c>
      <c r="I81" s="30">
        <f t="shared" si="29"/>
        <v>-22.733389822060513</v>
      </c>
    </row>
    <row r="82" spans="1:9" x14ac:dyDescent="0.25">
      <c r="A82" s="33">
        <f t="shared" ref="A82:A87" si="31">+A81+7</f>
        <v>39401</v>
      </c>
      <c r="B82" s="59" t="s">
        <v>10</v>
      </c>
      <c r="C82">
        <v>917.8</v>
      </c>
      <c r="D82">
        <v>1074.3</v>
      </c>
      <c r="E82">
        <v>745.3</v>
      </c>
      <c r="F82">
        <v>967</v>
      </c>
      <c r="G82" s="2">
        <f t="shared" si="30"/>
        <v>1663.1</v>
      </c>
      <c r="H82" s="2">
        <f t="shared" si="30"/>
        <v>2041.3</v>
      </c>
      <c r="I82" s="30">
        <f t="shared" si="29"/>
        <v>-18.527409004066044</v>
      </c>
    </row>
    <row r="83" spans="1:9" x14ac:dyDescent="0.25">
      <c r="A83" s="33">
        <f t="shared" si="31"/>
        <v>39408</v>
      </c>
      <c r="B83" s="59" t="s">
        <v>10</v>
      </c>
      <c r="C83">
        <v>912.3</v>
      </c>
      <c r="D83">
        <v>1109.2</v>
      </c>
      <c r="E83">
        <v>792.7</v>
      </c>
      <c r="F83">
        <v>997.5</v>
      </c>
      <c r="G83" s="2">
        <f t="shared" ref="G83:H85" si="32">+C83+E83</f>
        <v>1705</v>
      </c>
      <c r="H83" s="2">
        <f t="shared" si="32"/>
        <v>2106.6999999999998</v>
      </c>
      <c r="I83" s="30">
        <f t="shared" ref="I83:I88" si="33">+(G83/H83-1)*100</f>
        <v>-19.067736269995716</v>
      </c>
    </row>
    <row r="84" spans="1:9" x14ac:dyDescent="0.25">
      <c r="A84" s="33">
        <f t="shared" si="31"/>
        <v>39415</v>
      </c>
      <c r="B84" s="59" t="s">
        <v>10</v>
      </c>
      <c r="C84">
        <v>975.5</v>
      </c>
      <c r="D84">
        <v>917.6</v>
      </c>
      <c r="E84">
        <v>863</v>
      </c>
      <c r="F84">
        <v>1176.3</v>
      </c>
      <c r="G84" s="2">
        <f t="shared" si="32"/>
        <v>1838.5</v>
      </c>
      <c r="H84" s="2">
        <f t="shared" si="32"/>
        <v>2093.9</v>
      </c>
      <c r="I84" s="30">
        <f t="shared" si="33"/>
        <v>-12.197335116290176</v>
      </c>
    </row>
    <row r="85" spans="1:9" x14ac:dyDescent="0.25">
      <c r="A85" s="33">
        <f t="shared" si="31"/>
        <v>39422</v>
      </c>
      <c r="B85" s="59" t="s">
        <v>10</v>
      </c>
      <c r="C85">
        <v>968.2</v>
      </c>
      <c r="D85">
        <v>685</v>
      </c>
      <c r="E85">
        <v>924.6</v>
      </c>
      <c r="F85">
        <v>1438.1</v>
      </c>
      <c r="G85" s="2">
        <f t="shared" si="32"/>
        <v>1892.8000000000002</v>
      </c>
      <c r="H85" s="2">
        <f t="shared" si="32"/>
        <v>2123.1</v>
      </c>
      <c r="I85" s="30">
        <f t="shared" si="33"/>
        <v>-10.847345862182644</v>
      </c>
    </row>
    <row r="86" spans="1:9" x14ac:dyDescent="0.25">
      <c r="A86" s="33">
        <f t="shared" si="31"/>
        <v>39429</v>
      </c>
      <c r="B86" s="59" t="s">
        <v>10</v>
      </c>
      <c r="C86">
        <v>874.5</v>
      </c>
      <c r="D86">
        <v>751.2</v>
      </c>
      <c r="E86">
        <v>1132.4000000000001</v>
      </c>
      <c r="F86">
        <v>1547.8</v>
      </c>
      <c r="G86" s="2">
        <f t="shared" ref="G86:H88" si="34">+C86+E86</f>
        <v>2006.9</v>
      </c>
      <c r="H86" s="2">
        <f t="shared" si="34"/>
        <v>2299</v>
      </c>
      <c r="I86" s="30">
        <f t="shared" si="33"/>
        <v>-12.705524140930835</v>
      </c>
    </row>
    <row r="87" spans="1:9" x14ac:dyDescent="0.25">
      <c r="A87" s="33">
        <f t="shared" si="31"/>
        <v>39436</v>
      </c>
      <c r="B87" s="59" t="s">
        <v>10</v>
      </c>
      <c r="C87">
        <v>793.5</v>
      </c>
      <c r="D87">
        <v>928.2</v>
      </c>
      <c r="E87">
        <v>1219.8</v>
      </c>
      <c r="F87">
        <v>1555.9</v>
      </c>
      <c r="G87" s="2">
        <f t="shared" si="34"/>
        <v>2013.3</v>
      </c>
      <c r="H87" s="2">
        <f t="shared" si="34"/>
        <v>2484.1000000000004</v>
      </c>
      <c r="I87" s="30">
        <f t="shared" si="33"/>
        <v>-18.95253814258686</v>
      </c>
    </row>
    <row r="88" spans="1:9" x14ac:dyDescent="0.25">
      <c r="A88" s="33">
        <f t="shared" ref="A88:A93" si="35">+A87+7</f>
        <v>39443</v>
      </c>
      <c r="B88" s="59" t="s">
        <v>10</v>
      </c>
      <c r="C88">
        <v>767.4</v>
      </c>
      <c r="D88">
        <v>978.1</v>
      </c>
      <c r="E88">
        <v>1265.0999999999999</v>
      </c>
      <c r="F88">
        <v>1584.5</v>
      </c>
      <c r="G88" s="2">
        <f t="shared" si="34"/>
        <v>2032.5</v>
      </c>
      <c r="H88" s="2">
        <f t="shared" si="34"/>
        <v>2562.6</v>
      </c>
      <c r="I88" s="30">
        <f t="shared" si="33"/>
        <v>-20.686022008897208</v>
      </c>
    </row>
    <row r="89" spans="1:9" x14ac:dyDescent="0.25">
      <c r="A89" s="33">
        <f t="shared" si="35"/>
        <v>39450</v>
      </c>
      <c r="B89" s="59" t="s">
        <v>10</v>
      </c>
      <c r="C89">
        <v>878.1</v>
      </c>
      <c r="D89">
        <v>841.1</v>
      </c>
      <c r="E89">
        <v>1303.2</v>
      </c>
      <c r="F89">
        <v>1734</v>
      </c>
      <c r="G89" s="2">
        <f t="shared" ref="G89:H91" si="36">+C89+E89</f>
        <v>2181.3000000000002</v>
      </c>
      <c r="H89" s="2">
        <f t="shared" si="36"/>
        <v>2575.1</v>
      </c>
      <c r="I89" s="30">
        <f t="shared" ref="I89:I94" si="37">+(G89/H89-1)*100</f>
        <v>-15.292609995728313</v>
      </c>
    </row>
    <row r="90" spans="1:9" x14ac:dyDescent="0.25">
      <c r="A90" s="33">
        <f t="shared" si="35"/>
        <v>39457</v>
      </c>
      <c r="B90" s="59" t="s">
        <v>10</v>
      </c>
      <c r="C90">
        <v>1150.8</v>
      </c>
      <c r="D90">
        <v>765.5</v>
      </c>
      <c r="E90">
        <v>1365.9</v>
      </c>
      <c r="F90">
        <v>1879</v>
      </c>
      <c r="G90" s="2">
        <f t="shared" si="36"/>
        <v>2516.6999999999998</v>
      </c>
      <c r="H90" s="2">
        <f t="shared" si="36"/>
        <v>2644.5</v>
      </c>
      <c r="I90" s="30">
        <f t="shared" si="37"/>
        <v>-4.832671582529791</v>
      </c>
    </row>
    <row r="91" spans="1:9" x14ac:dyDescent="0.25">
      <c r="A91" s="33">
        <f t="shared" si="35"/>
        <v>39464</v>
      </c>
      <c r="B91" s="59" t="s">
        <v>10</v>
      </c>
      <c r="C91">
        <v>1543.8</v>
      </c>
      <c r="D91">
        <v>703.2</v>
      </c>
      <c r="E91">
        <v>1406.9</v>
      </c>
      <c r="F91">
        <v>1959.8</v>
      </c>
      <c r="G91" s="2">
        <f t="shared" si="36"/>
        <v>2950.7</v>
      </c>
      <c r="H91" s="2">
        <f t="shared" si="36"/>
        <v>2663</v>
      </c>
      <c r="I91" s="30">
        <f t="shared" si="37"/>
        <v>10.803604956815605</v>
      </c>
    </row>
    <row r="92" spans="1:9" x14ac:dyDescent="0.25">
      <c r="A92" s="33">
        <f t="shared" si="35"/>
        <v>39471</v>
      </c>
      <c r="B92" s="59" t="s">
        <v>10</v>
      </c>
      <c r="C92">
        <v>1545.1</v>
      </c>
      <c r="D92">
        <v>559.1</v>
      </c>
      <c r="E92">
        <v>1453.3</v>
      </c>
      <c r="F92">
        <v>2133.9</v>
      </c>
      <c r="G92" s="2">
        <f t="shared" ref="G92:H94" si="38">+C92+E92</f>
        <v>2998.3999999999996</v>
      </c>
      <c r="H92" s="2">
        <f t="shared" si="38"/>
        <v>2693</v>
      </c>
      <c r="I92" s="30">
        <f t="shared" si="37"/>
        <v>11.340512439658369</v>
      </c>
    </row>
    <row r="93" spans="1:9" x14ac:dyDescent="0.25">
      <c r="A93" s="33">
        <f t="shared" si="35"/>
        <v>39478</v>
      </c>
      <c r="B93" s="59" t="s">
        <v>10</v>
      </c>
      <c r="C93">
        <v>1447.8</v>
      </c>
      <c r="D93">
        <v>570.4</v>
      </c>
      <c r="E93">
        <v>1616.3</v>
      </c>
      <c r="F93">
        <v>2166.4</v>
      </c>
      <c r="G93" s="2">
        <f t="shared" si="38"/>
        <v>3064.1</v>
      </c>
      <c r="H93" s="2">
        <f t="shared" si="38"/>
        <v>2736.8</v>
      </c>
      <c r="I93" s="30">
        <f t="shared" si="37"/>
        <v>11.959222449576146</v>
      </c>
    </row>
    <row r="94" spans="1:9" x14ac:dyDescent="0.25">
      <c r="A94" s="33">
        <f t="shared" ref="A94:A99" si="39">+A93+7</f>
        <v>39485</v>
      </c>
      <c r="B94" s="59" t="s">
        <v>10</v>
      </c>
      <c r="C94">
        <v>1407.6</v>
      </c>
      <c r="D94">
        <v>557</v>
      </c>
      <c r="E94">
        <v>1671.3</v>
      </c>
      <c r="F94">
        <v>2241.4</v>
      </c>
      <c r="G94" s="2">
        <f t="shared" si="38"/>
        <v>3078.8999999999996</v>
      </c>
      <c r="H94" s="2">
        <f t="shared" si="38"/>
        <v>2798.4</v>
      </c>
      <c r="I94" s="30">
        <f t="shared" si="37"/>
        <v>10.023584905660353</v>
      </c>
    </row>
    <row r="95" spans="1:9" x14ac:dyDescent="0.25">
      <c r="A95" s="33">
        <f t="shared" si="39"/>
        <v>39492</v>
      </c>
      <c r="B95" s="59" t="s">
        <v>10</v>
      </c>
      <c r="C95">
        <v>1361.5</v>
      </c>
      <c r="D95">
        <v>595.1</v>
      </c>
      <c r="E95">
        <v>1738.6</v>
      </c>
      <c r="F95">
        <v>2360.4</v>
      </c>
      <c r="G95" s="2">
        <f t="shared" ref="G95:H97" si="40">+C95+E95</f>
        <v>3100.1</v>
      </c>
      <c r="H95" s="2">
        <f t="shared" si="40"/>
        <v>2955.5</v>
      </c>
      <c r="I95" s="30">
        <f t="shared" ref="I95:I100" si="41">+(G95/H95-1)*100</f>
        <v>4.8925731686685792</v>
      </c>
    </row>
    <row r="96" spans="1:9" x14ac:dyDescent="0.25">
      <c r="A96" s="33">
        <f t="shared" si="39"/>
        <v>39499</v>
      </c>
      <c r="B96" s="59" t="s">
        <v>10</v>
      </c>
      <c r="C96">
        <v>1314.7</v>
      </c>
      <c r="D96">
        <v>509.2</v>
      </c>
      <c r="E96">
        <v>1796.3</v>
      </c>
      <c r="F96">
        <v>2424.6999999999998</v>
      </c>
      <c r="G96" s="2">
        <f t="shared" si="40"/>
        <v>3111</v>
      </c>
      <c r="H96" s="2">
        <f t="shared" si="40"/>
        <v>2933.8999999999996</v>
      </c>
      <c r="I96" s="30">
        <f t="shared" si="41"/>
        <v>6.0363338900439878</v>
      </c>
    </row>
    <row r="97" spans="1:10" x14ac:dyDescent="0.25">
      <c r="A97" s="33">
        <f t="shared" si="39"/>
        <v>39506</v>
      </c>
      <c r="B97" s="59" t="s">
        <v>10</v>
      </c>
      <c r="C97">
        <v>1223.7</v>
      </c>
      <c r="D97">
        <v>432.7</v>
      </c>
      <c r="E97">
        <v>1893</v>
      </c>
      <c r="F97">
        <v>2497.1</v>
      </c>
      <c r="G97" s="2">
        <f t="shared" si="40"/>
        <v>3116.7</v>
      </c>
      <c r="H97" s="2">
        <f t="shared" si="40"/>
        <v>2929.7999999999997</v>
      </c>
      <c r="I97" s="30">
        <f t="shared" si="41"/>
        <v>6.3792750358386385</v>
      </c>
    </row>
    <row r="98" spans="1:10" x14ac:dyDescent="0.25">
      <c r="A98" s="33">
        <f t="shared" si="39"/>
        <v>39513</v>
      </c>
      <c r="B98" s="59" t="s">
        <v>10</v>
      </c>
      <c r="C98">
        <v>1223.7</v>
      </c>
      <c r="D98">
        <v>432.7</v>
      </c>
      <c r="E98">
        <v>1893</v>
      </c>
      <c r="F98">
        <v>2497.1</v>
      </c>
      <c r="G98" s="2">
        <f t="shared" ref="G98:H100" si="42">+C98+E98</f>
        <v>3116.7</v>
      </c>
      <c r="H98" s="2">
        <f t="shared" si="42"/>
        <v>2929.7999999999997</v>
      </c>
      <c r="I98" s="30">
        <f t="shared" si="41"/>
        <v>6.3792750358386385</v>
      </c>
    </row>
    <row r="99" spans="1:10" x14ac:dyDescent="0.25">
      <c r="A99" s="33">
        <f t="shared" si="39"/>
        <v>39520</v>
      </c>
      <c r="B99" s="59" t="s">
        <v>10</v>
      </c>
      <c r="C99">
        <v>1147.2</v>
      </c>
      <c r="D99">
        <v>505.6</v>
      </c>
      <c r="E99">
        <v>2057.1</v>
      </c>
      <c r="F99">
        <v>2557.4</v>
      </c>
      <c r="G99" s="2">
        <f t="shared" si="42"/>
        <v>3204.3</v>
      </c>
      <c r="H99" s="2">
        <f t="shared" si="42"/>
        <v>3063</v>
      </c>
      <c r="I99" s="30">
        <f t="shared" si="41"/>
        <v>4.613124387855061</v>
      </c>
    </row>
    <row r="100" spans="1:10" x14ac:dyDescent="0.25">
      <c r="A100" s="33">
        <f t="shared" ref="A100:A105" si="43">+A99+7</f>
        <v>39527</v>
      </c>
      <c r="B100" s="59" t="s">
        <v>10</v>
      </c>
      <c r="C100">
        <v>1096</v>
      </c>
      <c r="D100">
        <v>396.8</v>
      </c>
      <c r="E100">
        <v>2111.1999999999998</v>
      </c>
      <c r="F100">
        <v>2731.4</v>
      </c>
      <c r="G100" s="2">
        <f t="shared" si="42"/>
        <v>3207.2</v>
      </c>
      <c r="H100" s="2">
        <f t="shared" si="42"/>
        <v>3128.2000000000003</v>
      </c>
      <c r="I100" s="30">
        <f t="shared" si="41"/>
        <v>2.5254139760884753</v>
      </c>
    </row>
    <row r="101" spans="1:10" x14ac:dyDescent="0.25">
      <c r="A101" s="33">
        <f t="shared" si="43"/>
        <v>39534</v>
      </c>
      <c r="B101" s="59" t="s">
        <v>10</v>
      </c>
      <c r="C101">
        <v>1043.4000000000001</v>
      </c>
      <c r="D101">
        <v>466</v>
      </c>
      <c r="E101">
        <v>2172.9</v>
      </c>
      <c r="F101">
        <v>2754.2</v>
      </c>
      <c r="G101" s="2">
        <f t="shared" ref="G101:H103" si="44">+C101+E101</f>
        <v>3216.3</v>
      </c>
      <c r="H101" s="2">
        <f t="shared" si="44"/>
        <v>3220.2</v>
      </c>
      <c r="I101" s="30">
        <f t="shared" ref="I101:I106" si="45">+(G101/H101-1)*100</f>
        <v>-0.12111049003166174</v>
      </c>
    </row>
    <row r="102" spans="1:10" x14ac:dyDescent="0.25">
      <c r="A102" s="33">
        <f t="shared" si="43"/>
        <v>39541</v>
      </c>
      <c r="B102" s="59" t="s">
        <v>10</v>
      </c>
      <c r="C102">
        <v>801</v>
      </c>
      <c r="D102">
        <v>472.2</v>
      </c>
      <c r="E102">
        <v>2297.6999999999998</v>
      </c>
      <c r="F102">
        <v>2826.9</v>
      </c>
      <c r="G102" s="2">
        <f t="shared" si="44"/>
        <v>3098.7</v>
      </c>
      <c r="H102" s="2">
        <f t="shared" si="44"/>
        <v>3299.1</v>
      </c>
      <c r="I102" s="30">
        <f t="shared" si="45"/>
        <v>-6.0743839228880603</v>
      </c>
    </row>
    <row r="103" spans="1:10" x14ac:dyDescent="0.25">
      <c r="A103" s="33">
        <f t="shared" si="43"/>
        <v>39548</v>
      </c>
      <c r="B103" s="59" t="s">
        <v>10</v>
      </c>
      <c r="C103">
        <v>654.9</v>
      </c>
      <c r="D103">
        <v>458.8</v>
      </c>
      <c r="E103">
        <v>2397.1</v>
      </c>
      <c r="F103">
        <v>2911.2</v>
      </c>
      <c r="G103" s="2">
        <f t="shared" si="44"/>
        <v>3052</v>
      </c>
      <c r="H103" s="2">
        <f t="shared" si="44"/>
        <v>3370</v>
      </c>
      <c r="I103" s="30">
        <f t="shared" si="45"/>
        <v>-9.4362017804154323</v>
      </c>
    </row>
    <row r="104" spans="1:10" x14ac:dyDescent="0.25">
      <c r="A104" s="33">
        <f t="shared" si="43"/>
        <v>39555</v>
      </c>
      <c r="B104" s="59" t="s">
        <v>10</v>
      </c>
      <c r="C104">
        <v>608.6</v>
      </c>
      <c r="D104">
        <v>543.20000000000005</v>
      </c>
      <c r="E104">
        <v>2450.1999999999998</v>
      </c>
      <c r="F104">
        <v>3014.1</v>
      </c>
      <c r="G104" s="2">
        <f t="shared" ref="G104:H106" si="46">+C104+E104</f>
        <v>3058.7999999999997</v>
      </c>
      <c r="H104" s="2">
        <f t="shared" si="46"/>
        <v>3557.3</v>
      </c>
      <c r="I104" s="30">
        <f t="shared" si="45"/>
        <v>-14.013437157394669</v>
      </c>
    </row>
    <row r="105" spans="1:10" x14ac:dyDescent="0.25">
      <c r="A105" s="33">
        <f t="shared" si="43"/>
        <v>39562</v>
      </c>
      <c r="B105" s="59" t="s">
        <v>10</v>
      </c>
      <c r="C105">
        <v>580.4</v>
      </c>
      <c r="D105">
        <v>594.9</v>
      </c>
      <c r="E105">
        <v>2484.4</v>
      </c>
      <c r="F105">
        <v>3030.8</v>
      </c>
      <c r="G105" s="2">
        <f t="shared" si="46"/>
        <v>3064.8</v>
      </c>
      <c r="H105" s="2">
        <f t="shared" si="46"/>
        <v>3625.7000000000003</v>
      </c>
      <c r="I105" s="30">
        <f t="shared" si="45"/>
        <v>-15.470116115508725</v>
      </c>
    </row>
    <row r="106" spans="1:10" x14ac:dyDescent="0.25">
      <c r="A106" s="33">
        <f t="shared" ref="A106:A111" si="47">+A105+7</f>
        <v>39569</v>
      </c>
      <c r="B106" s="59" t="s">
        <v>10</v>
      </c>
      <c r="C106">
        <v>375.5</v>
      </c>
      <c r="D106">
        <v>507.5</v>
      </c>
      <c r="E106">
        <v>2636.9</v>
      </c>
      <c r="F106">
        <v>3124.1</v>
      </c>
      <c r="G106" s="2">
        <f t="shared" si="46"/>
        <v>3012.4</v>
      </c>
      <c r="H106" s="2">
        <f t="shared" si="46"/>
        <v>3631.6</v>
      </c>
      <c r="I106" s="30">
        <f t="shared" si="45"/>
        <v>-17.050335940081506</v>
      </c>
      <c r="J106">
        <v>0</v>
      </c>
    </row>
    <row r="107" spans="1:10" x14ac:dyDescent="0.25">
      <c r="A107" s="33">
        <f t="shared" si="47"/>
        <v>39576</v>
      </c>
      <c r="B107" s="59" t="s">
        <v>10</v>
      </c>
      <c r="C107">
        <v>356</v>
      </c>
      <c r="D107">
        <v>495.8</v>
      </c>
      <c r="E107">
        <v>2661.6</v>
      </c>
      <c r="F107">
        <v>3196.4</v>
      </c>
      <c r="G107" s="2">
        <f t="shared" ref="G107:H109" si="48">+C107+E107</f>
        <v>3017.6</v>
      </c>
      <c r="H107" s="2">
        <f t="shared" si="48"/>
        <v>3692.2000000000003</v>
      </c>
      <c r="I107" s="30">
        <f t="shared" ref="I107:I112" si="49">+(G107/H107-1)*100</f>
        <v>-18.27094956936245</v>
      </c>
      <c r="J107">
        <v>0</v>
      </c>
    </row>
    <row r="108" spans="1:10" x14ac:dyDescent="0.25">
      <c r="A108" s="33">
        <f t="shared" si="47"/>
        <v>39583</v>
      </c>
      <c r="B108" s="59" t="s">
        <v>10</v>
      </c>
      <c r="C108">
        <v>345.8</v>
      </c>
      <c r="D108">
        <v>566.79999999999995</v>
      </c>
      <c r="E108">
        <v>2707.9</v>
      </c>
      <c r="F108">
        <v>3236.9</v>
      </c>
      <c r="G108" s="2">
        <f t="shared" si="48"/>
        <v>3053.7000000000003</v>
      </c>
      <c r="H108" s="2">
        <f t="shared" si="48"/>
        <v>3803.7</v>
      </c>
      <c r="I108" s="30">
        <f t="shared" si="49"/>
        <v>-19.717643347267121</v>
      </c>
      <c r="J108">
        <v>0</v>
      </c>
    </row>
    <row r="109" spans="1:10" x14ac:dyDescent="0.25">
      <c r="A109" s="33">
        <f t="shared" si="47"/>
        <v>39590</v>
      </c>
      <c r="B109" s="59" t="s">
        <v>10</v>
      </c>
      <c r="C109">
        <v>325.8</v>
      </c>
      <c r="D109">
        <v>513</v>
      </c>
      <c r="E109">
        <v>2786.6</v>
      </c>
      <c r="F109">
        <v>3376.8</v>
      </c>
      <c r="G109" s="2">
        <f t="shared" si="48"/>
        <v>3112.4</v>
      </c>
      <c r="H109" s="2">
        <f t="shared" si="48"/>
        <v>3889.8</v>
      </c>
      <c r="I109" s="30">
        <f t="shared" si="49"/>
        <v>-19.985603372924054</v>
      </c>
      <c r="J109">
        <v>0</v>
      </c>
    </row>
    <row r="110" spans="1:10" x14ac:dyDescent="0.25">
      <c r="A110" s="33">
        <f t="shared" si="47"/>
        <v>39597</v>
      </c>
      <c r="B110" s="59" t="s">
        <v>10</v>
      </c>
      <c r="C110">
        <v>357</v>
      </c>
      <c r="D110">
        <v>536.29999999999995</v>
      </c>
      <c r="E110">
        <v>2804</v>
      </c>
      <c r="F110">
        <v>3466.7</v>
      </c>
      <c r="G110" s="2">
        <f t="shared" ref="G110:H112" si="50">+C110+E110</f>
        <v>3161</v>
      </c>
      <c r="H110" s="2">
        <f t="shared" si="50"/>
        <v>4003</v>
      </c>
      <c r="I110" s="30">
        <f t="shared" si="49"/>
        <v>-21.034224331751183</v>
      </c>
      <c r="J110">
        <v>0</v>
      </c>
    </row>
    <row r="111" spans="1:10" x14ac:dyDescent="0.25">
      <c r="A111" s="33">
        <f t="shared" si="47"/>
        <v>39604</v>
      </c>
      <c r="B111" s="59" t="s">
        <v>10</v>
      </c>
      <c r="C111">
        <v>273</v>
      </c>
      <c r="D111">
        <v>484.7</v>
      </c>
      <c r="E111">
        <v>3013.1</v>
      </c>
      <c r="F111">
        <v>3563.4</v>
      </c>
      <c r="G111" s="2">
        <f t="shared" si="50"/>
        <v>3286.1</v>
      </c>
      <c r="H111" s="2">
        <f t="shared" si="50"/>
        <v>4048.1</v>
      </c>
      <c r="I111" s="30">
        <f t="shared" si="49"/>
        <v>-18.823645660927347</v>
      </c>
      <c r="J111">
        <v>0</v>
      </c>
    </row>
    <row r="112" spans="1:10" x14ac:dyDescent="0.25">
      <c r="A112" s="33">
        <f t="shared" ref="A112:A117" si="51">+A111+7</f>
        <v>39611</v>
      </c>
      <c r="B112" s="59" t="s">
        <v>10</v>
      </c>
      <c r="C112">
        <v>299.60000000000002</v>
      </c>
      <c r="D112">
        <v>550.70000000000005</v>
      </c>
      <c r="E112">
        <v>3024.5</v>
      </c>
      <c r="F112">
        <v>3657.1</v>
      </c>
      <c r="G112" s="2">
        <f t="shared" si="50"/>
        <v>3324.1</v>
      </c>
      <c r="H112" s="2">
        <f t="shared" si="50"/>
        <v>4207.8</v>
      </c>
      <c r="I112" s="30">
        <f t="shared" si="49"/>
        <v>-21.001473454061514</v>
      </c>
      <c r="J112">
        <v>0</v>
      </c>
    </row>
    <row r="113" spans="1:11" x14ac:dyDescent="0.25">
      <c r="A113" s="33">
        <f t="shared" si="51"/>
        <v>39618</v>
      </c>
      <c r="B113" s="59" t="s">
        <v>10</v>
      </c>
      <c r="C113">
        <v>248.4</v>
      </c>
      <c r="D113">
        <v>698</v>
      </c>
      <c r="E113">
        <v>3105.5</v>
      </c>
      <c r="F113">
        <v>3757.3</v>
      </c>
      <c r="G113" s="2">
        <f t="shared" ref="G113:H115" si="52">+C113+E113</f>
        <v>3353.9</v>
      </c>
      <c r="H113" s="2">
        <f t="shared" si="52"/>
        <v>4455.3</v>
      </c>
      <c r="I113" s="30">
        <f t="shared" ref="I113:I118" si="53">+(G113/H113-1)*100</f>
        <v>-24.721118667654252</v>
      </c>
      <c r="J113">
        <v>0</v>
      </c>
    </row>
    <row r="114" spans="1:11" x14ac:dyDescent="0.25">
      <c r="A114" s="33">
        <f t="shared" si="51"/>
        <v>39625</v>
      </c>
      <c r="B114" s="59" t="s">
        <v>10</v>
      </c>
      <c r="C114">
        <v>262.89999999999998</v>
      </c>
      <c r="D114">
        <v>740</v>
      </c>
      <c r="E114">
        <v>3132.8</v>
      </c>
      <c r="F114">
        <v>3779</v>
      </c>
      <c r="G114" s="2">
        <f t="shared" si="52"/>
        <v>3395.7000000000003</v>
      </c>
      <c r="H114" s="2">
        <f t="shared" si="52"/>
        <v>4519</v>
      </c>
      <c r="I114" s="30">
        <f t="shared" si="53"/>
        <v>-24.857269307368878</v>
      </c>
      <c r="J114">
        <v>0</v>
      </c>
    </row>
    <row r="115" spans="1:11" x14ac:dyDescent="0.25">
      <c r="A115" s="33">
        <f t="shared" si="51"/>
        <v>39632</v>
      </c>
      <c r="B115" s="59" t="s">
        <v>10</v>
      </c>
      <c r="C115">
        <v>277.39999999999998</v>
      </c>
      <c r="D115">
        <v>799.7</v>
      </c>
      <c r="E115">
        <v>3163.4</v>
      </c>
      <c r="F115">
        <v>3808.1</v>
      </c>
      <c r="G115" s="2">
        <f t="shared" si="52"/>
        <v>3440.8</v>
      </c>
      <c r="H115" s="2">
        <f t="shared" si="52"/>
        <v>4607.8</v>
      </c>
      <c r="I115" s="30">
        <f t="shared" si="53"/>
        <v>-25.326620078996488</v>
      </c>
      <c r="J115">
        <v>0</v>
      </c>
    </row>
    <row r="116" spans="1:11" x14ac:dyDescent="0.25">
      <c r="A116" s="33">
        <f t="shared" si="51"/>
        <v>39639</v>
      </c>
      <c r="B116" s="59" t="s">
        <v>10</v>
      </c>
      <c r="C116">
        <v>356.6</v>
      </c>
      <c r="D116">
        <v>638.20000000000005</v>
      </c>
      <c r="E116">
        <v>3201.5</v>
      </c>
      <c r="F116">
        <v>4018.2</v>
      </c>
      <c r="G116" s="2">
        <f t="shared" ref="G116:H118" si="54">+C116+E116</f>
        <v>3558.1</v>
      </c>
      <c r="H116" s="2">
        <f t="shared" si="54"/>
        <v>4656.3999999999996</v>
      </c>
      <c r="I116" s="30">
        <f t="shared" si="53"/>
        <v>-23.586891160553215</v>
      </c>
      <c r="J116">
        <v>0</v>
      </c>
    </row>
    <row r="117" spans="1:11" x14ac:dyDescent="0.25">
      <c r="A117" s="33">
        <f t="shared" si="51"/>
        <v>39646</v>
      </c>
      <c r="B117" s="59" t="s">
        <v>10</v>
      </c>
      <c r="C117">
        <v>358.9</v>
      </c>
      <c r="D117">
        <v>676.7</v>
      </c>
      <c r="E117">
        <v>3228.5</v>
      </c>
      <c r="F117">
        <v>4056</v>
      </c>
      <c r="G117" s="2">
        <f t="shared" si="54"/>
        <v>3587.4</v>
      </c>
      <c r="H117" s="2">
        <f t="shared" si="54"/>
        <v>4732.7</v>
      </c>
      <c r="I117" s="30">
        <f t="shared" si="53"/>
        <v>-24.199716863523989</v>
      </c>
      <c r="J117">
        <v>16.399999999999999</v>
      </c>
    </row>
    <row r="118" spans="1:11" x14ac:dyDescent="0.25">
      <c r="A118" s="33">
        <f t="shared" ref="A118:A123" si="55">+A117+7</f>
        <v>39653</v>
      </c>
      <c r="B118" s="59" t="s">
        <v>10</v>
      </c>
      <c r="C118">
        <v>351.2</v>
      </c>
      <c r="D118">
        <v>617.79999999999995</v>
      </c>
      <c r="E118">
        <v>3261.9</v>
      </c>
      <c r="F118">
        <v>4155.3999999999996</v>
      </c>
      <c r="G118" s="2">
        <f t="shared" si="54"/>
        <v>3613.1</v>
      </c>
      <c r="H118" s="2">
        <f t="shared" si="54"/>
        <v>4773.2</v>
      </c>
      <c r="I118" s="30">
        <f t="shared" si="53"/>
        <v>-24.304449844967735</v>
      </c>
      <c r="J118">
        <v>19.399999999999999</v>
      </c>
    </row>
    <row r="119" spans="1:11" x14ac:dyDescent="0.25">
      <c r="A119" s="33">
        <f t="shared" si="55"/>
        <v>39660</v>
      </c>
      <c r="B119" s="59" t="s">
        <v>10</v>
      </c>
      <c r="C119">
        <v>327.5</v>
      </c>
      <c r="D119">
        <v>614.4</v>
      </c>
      <c r="E119">
        <v>3295.3</v>
      </c>
      <c r="F119">
        <v>4172.8999999999996</v>
      </c>
      <c r="G119" s="2">
        <f t="shared" ref="G119:H121" si="56">+C119+E119</f>
        <v>3622.8</v>
      </c>
      <c r="H119" s="2">
        <f t="shared" si="56"/>
        <v>4787.2999999999993</v>
      </c>
      <c r="I119" s="30">
        <f t="shared" ref="I119:I124" si="57">+(G119/H119-1)*100</f>
        <v>-24.324775969753286</v>
      </c>
      <c r="J119">
        <v>21.4</v>
      </c>
    </row>
    <row r="120" spans="1:11" x14ac:dyDescent="0.25">
      <c r="A120" s="33">
        <f t="shared" si="55"/>
        <v>39667</v>
      </c>
      <c r="B120" s="59" t="s">
        <v>10</v>
      </c>
      <c r="C120">
        <v>291.39999999999998</v>
      </c>
      <c r="D120">
        <v>555.6</v>
      </c>
      <c r="E120">
        <v>3335.7</v>
      </c>
      <c r="F120">
        <v>4275</v>
      </c>
      <c r="G120" s="2">
        <f t="shared" si="56"/>
        <v>3627.1</v>
      </c>
      <c r="H120" s="2">
        <f t="shared" si="56"/>
        <v>4830.6000000000004</v>
      </c>
      <c r="I120" s="30">
        <f t="shared" si="57"/>
        <v>-24.914089347079049</v>
      </c>
      <c r="J120">
        <v>17</v>
      </c>
    </row>
    <row r="121" spans="1:11" x14ac:dyDescent="0.25">
      <c r="A121" s="33">
        <f t="shared" si="55"/>
        <v>39674</v>
      </c>
      <c r="B121" s="59" t="s">
        <v>10</v>
      </c>
      <c r="C121">
        <v>258.89999999999998</v>
      </c>
      <c r="D121">
        <v>421.1</v>
      </c>
      <c r="E121">
        <v>3371.5</v>
      </c>
      <c r="F121">
        <v>4435.2</v>
      </c>
      <c r="G121" s="2">
        <f t="shared" si="56"/>
        <v>3630.4</v>
      </c>
      <c r="H121" s="2">
        <f t="shared" si="56"/>
        <v>4856.3</v>
      </c>
      <c r="I121" s="30">
        <f t="shared" si="57"/>
        <v>-25.243498136441321</v>
      </c>
      <c r="J121">
        <v>44.5</v>
      </c>
    </row>
    <row r="122" spans="1:11" x14ac:dyDescent="0.25">
      <c r="A122" s="33">
        <f t="shared" si="55"/>
        <v>39681</v>
      </c>
      <c r="B122" s="59" t="s">
        <v>10</v>
      </c>
      <c r="C122">
        <v>246.7</v>
      </c>
      <c r="D122">
        <v>400.6</v>
      </c>
      <c r="E122">
        <v>3391.7</v>
      </c>
      <c r="F122">
        <v>4473.1000000000004</v>
      </c>
      <c r="G122" s="2">
        <f t="shared" ref="G122:H124" si="58">+C122+E122</f>
        <v>3638.3999999999996</v>
      </c>
      <c r="H122" s="2">
        <f t="shared" si="58"/>
        <v>4873.7000000000007</v>
      </c>
      <c r="I122" s="30">
        <f t="shared" si="57"/>
        <v>-25.346246178468125</v>
      </c>
      <c r="J122">
        <v>55.5</v>
      </c>
    </row>
    <row r="123" spans="1:11" x14ac:dyDescent="0.25">
      <c r="A123" s="33">
        <f t="shared" si="55"/>
        <v>39688</v>
      </c>
      <c r="B123" s="59" t="s">
        <v>10</v>
      </c>
      <c r="C123">
        <v>144.9</v>
      </c>
      <c r="D123">
        <v>387.8</v>
      </c>
      <c r="E123">
        <v>3460.7</v>
      </c>
      <c r="F123">
        <v>4517.3999999999996</v>
      </c>
      <c r="G123" s="2">
        <f t="shared" si="58"/>
        <v>3605.6</v>
      </c>
      <c r="H123" s="2">
        <f t="shared" si="58"/>
        <v>4905.2</v>
      </c>
      <c r="I123" s="30">
        <f t="shared" si="57"/>
        <v>-26.49433254505422</v>
      </c>
      <c r="J123">
        <v>95.5</v>
      </c>
      <c r="K123" s="4">
        <f>+G123-DATA!N65</f>
        <v>3605.6</v>
      </c>
    </row>
    <row r="124" spans="1:11" x14ac:dyDescent="0.25">
      <c r="A124" s="33">
        <f t="shared" ref="A124:A129" si="59">+A123+7</f>
        <v>39695</v>
      </c>
      <c r="B124" s="59" t="s">
        <v>10</v>
      </c>
      <c r="C124">
        <v>231.8</v>
      </c>
      <c r="D124">
        <v>568.9</v>
      </c>
      <c r="E124">
        <v>7.3</v>
      </c>
      <c r="F124">
        <v>45.4</v>
      </c>
      <c r="G124" s="2">
        <f t="shared" si="58"/>
        <v>239.10000000000002</v>
      </c>
      <c r="H124" s="2">
        <f t="shared" si="58"/>
        <v>614.29999999999995</v>
      </c>
      <c r="I124" s="30">
        <f t="shared" si="57"/>
        <v>-61.077649356991692</v>
      </c>
    </row>
    <row r="125" spans="1:11" x14ac:dyDescent="0.25">
      <c r="A125" s="33">
        <f t="shared" si="59"/>
        <v>39702</v>
      </c>
      <c r="B125" s="59" t="s">
        <v>10</v>
      </c>
      <c r="C125">
        <v>205.6</v>
      </c>
      <c r="D125">
        <v>568</v>
      </c>
      <c r="E125">
        <v>48.3</v>
      </c>
      <c r="F125">
        <v>88.3</v>
      </c>
      <c r="G125" s="2">
        <f t="shared" ref="G125:H127" si="60">+C125+E125</f>
        <v>253.89999999999998</v>
      </c>
      <c r="H125" s="2">
        <f t="shared" si="60"/>
        <v>656.3</v>
      </c>
      <c r="I125" s="30">
        <f t="shared" ref="I125:I130" si="61">+(G125/H125-1)*100</f>
        <v>-61.31342373914368</v>
      </c>
    </row>
    <row r="126" spans="1:11" x14ac:dyDescent="0.25">
      <c r="A126" s="33">
        <f t="shared" si="59"/>
        <v>39709</v>
      </c>
      <c r="B126" s="59" t="s">
        <v>10</v>
      </c>
      <c r="C126">
        <v>181.3</v>
      </c>
      <c r="D126">
        <v>648.5</v>
      </c>
      <c r="E126">
        <v>87.5</v>
      </c>
      <c r="F126">
        <v>129.69999999999999</v>
      </c>
      <c r="G126" s="2">
        <f t="shared" si="60"/>
        <v>268.8</v>
      </c>
      <c r="H126" s="2">
        <f t="shared" si="60"/>
        <v>778.2</v>
      </c>
      <c r="I126" s="30">
        <f t="shared" si="61"/>
        <v>-65.458750963762526</v>
      </c>
    </row>
    <row r="127" spans="1:11" x14ac:dyDescent="0.25">
      <c r="A127" s="33">
        <f t="shared" si="59"/>
        <v>39716</v>
      </c>
      <c r="B127" s="59" t="s">
        <v>10</v>
      </c>
      <c r="C127">
        <v>241.4</v>
      </c>
      <c r="D127">
        <v>719.2</v>
      </c>
      <c r="E127">
        <v>125.7</v>
      </c>
      <c r="F127">
        <v>163.9</v>
      </c>
      <c r="G127" s="2">
        <f t="shared" si="60"/>
        <v>367.1</v>
      </c>
      <c r="H127" s="2">
        <f t="shared" si="60"/>
        <v>883.1</v>
      </c>
      <c r="I127" s="30">
        <f t="shared" si="61"/>
        <v>-58.430528818933304</v>
      </c>
    </row>
    <row r="128" spans="1:11" x14ac:dyDescent="0.25">
      <c r="A128" s="33">
        <f t="shared" si="59"/>
        <v>39723</v>
      </c>
      <c r="B128" s="59" t="s">
        <v>10</v>
      </c>
      <c r="C128">
        <v>235.6</v>
      </c>
      <c r="D128">
        <v>775.8</v>
      </c>
      <c r="E128">
        <v>161.80000000000001</v>
      </c>
      <c r="F128">
        <v>266.8</v>
      </c>
      <c r="G128" s="2">
        <f t="shared" ref="G128:H130" si="62">+C128+E128</f>
        <v>397.4</v>
      </c>
      <c r="H128" s="2">
        <f t="shared" si="62"/>
        <v>1042.5999999999999</v>
      </c>
      <c r="I128" s="30">
        <f t="shared" si="61"/>
        <v>-61.883752158066372</v>
      </c>
    </row>
    <row r="129" spans="1:9" x14ac:dyDescent="0.25">
      <c r="A129" s="33">
        <f t="shared" si="59"/>
        <v>39730</v>
      </c>
      <c r="B129" s="59" t="s">
        <v>10</v>
      </c>
      <c r="C129">
        <v>221.4</v>
      </c>
      <c r="D129">
        <v>783.9</v>
      </c>
      <c r="E129">
        <v>187.9</v>
      </c>
      <c r="F129">
        <v>290.2</v>
      </c>
      <c r="G129" s="2">
        <f t="shared" si="62"/>
        <v>409.3</v>
      </c>
      <c r="H129" s="2">
        <f t="shared" si="62"/>
        <v>1074.0999999999999</v>
      </c>
      <c r="I129" s="30">
        <f t="shared" si="61"/>
        <v>-61.893678428451729</v>
      </c>
    </row>
    <row r="130" spans="1:9" x14ac:dyDescent="0.25">
      <c r="A130" s="33">
        <f t="shared" ref="A130:A135" si="63">+A129+7</f>
        <v>39737</v>
      </c>
      <c r="B130" s="59" t="s">
        <v>10</v>
      </c>
      <c r="C130">
        <v>301.10000000000002</v>
      </c>
      <c r="D130">
        <v>823.5</v>
      </c>
      <c r="E130">
        <v>205.7</v>
      </c>
      <c r="F130">
        <v>321.39999999999998</v>
      </c>
      <c r="G130" s="2">
        <f t="shared" si="62"/>
        <v>506.8</v>
      </c>
      <c r="H130" s="2">
        <f t="shared" si="62"/>
        <v>1144.9000000000001</v>
      </c>
      <c r="I130" s="30">
        <f t="shared" si="61"/>
        <v>-55.734125251113632</v>
      </c>
    </row>
    <row r="131" spans="1:9" x14ac:dyDescent="0.25">
      <c r="A131" s="33">
        <f t="shared" si="63"/>
        <v>39744</v>
      </c>
      <c r="B131" s="59" t="s">
        <v>10</v>
      </c>
      <c r="C131">
        <v>293.5</v>
      </c>
      <c r="D131">
        <v>811.2</v>
      </c>
      <c r="E131">
        <v>226.2</v>
      </c>
      <c r="F131">
        <v>433</v>
      </c>
      <c r="G131" s="2">
        <f t="shared" ref="G131:H133" si="64">+C131+E131</f>
        <v>519.70000000000005</v>
      </c>
      <c r="H131" s="2">
        <f t="shared" si="64"/>
        <v>1244.2</v>
      </c>
      <c r="I131" s="30">
        <f t="shared" ref="I131:I136" si="65">+(G131/H131-1)*100</f>
        <v>-58.230188072657128</v>
      </c>
    </row>
    <row r="132" spans="1:9" x14ac:dyDescent="0.25">
      <c r="A132" s="33">
        <f t="shared" si="63"/>
        <v>39751</v>
      </c>
      <c r="B132" s="59" t="s">
        <v>10</v>
      </c>
      <c r="C132">
        <v>253.6</v>
      </c>
      <c r="D132">
        <v>824.7</v>
      </c>
      <c r="E132">
        <v>273.2</v>
      </c>
      <c r="F132">
        <v>478.6</v>
      </c>
      <c r="G132" s="2">
        <f t="shared" si="64"/>
        <v>526.79999999999995</v>
      </c>
      <c r="H132" s="2">
        <f t="shared" si="64"/>
        <v>1303.3000000000002</v>
      </c>
      <c r="I132" s="30">
        <f t="shared" si="65"/>
        <v>-59.579528888206866</v>
      </c>
    </row>
    <row r="133" spans="1:9" x14ac:dyDescent="0.25">
      <c r="A133" s="33">
        <f t="shared" si="63"/>
        <v>39758</v>
      </c>
      <c r="B133" s="59" t="s">
        <v>10</v>
      </c>
      <c r="C133">
        <v>240.8</v>
      </c>
      <c r="D133">
        <v>886.8</v>
      </c>
      <c r="E133">
        <v>302.5</v>
      </c>
      <c r="F133">
        <v>663.4</v>
      </c>
      <c r="G133" s="2">
        <f t="shared" si="64"/>
        <v>543.29999999999995</v>
      </c>
      <c r="H133" s="2">
        <f t="shared" si="64"/>
        <v>1550.1999999999998</v>
      </c>
      <c r="I133" s="30">
        <f t="shared" si="65"/>
        <v>-64.952909302025546</v>
      </c>
    </row>
    <row r="134" spans="1:9" x14ac:dyDescent="0.25">
      <c r="A134" s="33">
        <f t="shared" si="63"/>
        <v>39765</v>
      </c>
      <c r="B134" s="59" t="s">
        <v>10</v>
      </c>
      <c r="C134">
        <v>240.7</v>
      </c>
      <c r="D134">
        <v>917.8</v>
      </c>
      <c r="E134">
        <v>389.9</v>
      </c>
      <c r="F134">
        <v>745.3</v>
      </c>
      <c r="G134" s="2">
        <f t="shared" ref="G134:H136" si="66">+C134+E134</f>
        <v>630.59999999999991</v>
      </c>
      <c r="H134" s="2">
        <f t="shared" si="66"/>
        <v>1663.1</v>
      </c>
      <c r="I134" s="30">
        <f t="shared" si="65"/>
        <v>-62.08285731465336</v>
      </c>
    </row>
    <row r="135" spans="1:9" x14ac:dyDescent="0.25">
      <c r="A135" s="33">
        <f t="shared" si="63"/>
        <v>39772</v>
      </c>
      <c r="B135" s="59" t="s">
        <v>10</v>
      </c>
      <c r="C135">
        <v>227.9</v>
      </c>
      <c r="D135">
        <v>912.3</v>
      </c>
      <c r="E135">
        <v>419.3</v>
      </c>
      <c r="F135">
        <v>792.7</v>
      </c>
      <c r="G135" s="2">
        <f t="shared" si="66"/>
        <v>647.20000000000005</v>
      </c>
      <c r="H135" s="2">
        <f t="shared" si="66"/>
        <v>1705</v>
      </c>
      <c r="I135" s="30">
        <f t="shared" si="65"/>
        <v>-62.041055718475072</v>
      </c>
    </row>
    <row r="136" spans="1:9" x14ac:dyDescent="0.25">
      <c r="A136" s="33">
        <f t="shared" ref="A136:A149" si="67">+A135+7</f>
        <v>39779</v>
      </c>
      <c r="B136" s="59" t="s">
        <v>10</v>
      </c>
      <c r="C136">
        <v>187.8</v>
      </c>
      <c r="D136">
        <v>975.5</v>
      </c>
      <c r="E136">
        <v>521.1</v>
      </c>
      <c r="F136">
        <v>863</v>
      </c>
      <c r="G136" s="2">
        <f t="shared" si="66"/>
        <v>708.90000000000009</v>
      </c>
      <c r="H136" s="2">
        <f t="shared" si="66"/>
        <v>1838.5</v>
      </c>
      <c r="I136" s="30">
        <f t="shared" si="65"/>
        <v>-61.441392439488709</v>
      </c>
    </row>
    <row r="137" spans="1:9" x14ac:dyDescent="0.25">
      <c r="A137" s="33">
        <f t="shared" si="67"/>
        <v>39786</v>
      </c>
      <c r="B137" s="59" t="s">
        <v>10</v>
      </c>
      <c r="C137">
        <v>158.9</v>
      </c>
      <c r="D137">
        <v>968.2</v>
      </c>
      <c r="E137">
        <v>563.9</v>
      </c>
      <c r="F137">
        <v>924.6</v>
      </c>
      <c r="G137" s="2">
        <f t="shared" ref="G137:H139" si="68">+C137+E137</f>
        <v>722.8</v>
      </c>
      <c r="H137" s="2">
        <f t="shared" si="68"/>
        <v>1892.8000000000002</v>
      </c>
      <c r="I137" s="30">
        <f t="shared" ref="I137:I142" si="69">+(G137/H137-1)*100</f>
        <v>-61.813186813186817</v>
      </c>
    </row>
    <row r="138" spans="1:9" x14ac:dyDescent="0.25">
      <c r="A138" s="33">
        <f t="shared" si="67"/>
        <v>39793</v>
      </c>
      <c r="B138" s="59" t="s">
        <v>10</v>
      </c>
      <c r="C138">
        <v>172.5</v>
      </c>
      <c r="D138">
        <v>874.5</v>
      </c>
      <c r="E138">
        <v>594.9</v>
      </c>
      <c r="F138">
        <v>1132.4000000000001</v>
      </c>
      <c r="G138" s="2">
        <f t="shared" si="68"/>
        <v>767.4</v>
      </c>
      <c r="H138" s="2">
        <f t="shared" si="68"/>
        <v>2006.9</v>
      </c>
      <c r="I138" s="30">
        <f t="shared" si="69"/>
        <v>-61.761921371269125</v>
      </c>
    </row>
    <row r="139" spans="1:9" x14ac:dyDescent="0.25">
      <c r="A139" s="33">
        <f t="shared" si="67"/>
        <v>39800</v>
      </c>
      <c r="B139" s="59" t="s">
        <v>10</v>
      </c>
      <c r="C139">
        <v>145.80000000000001</v>
      </c>
      <c r="D139">
        <v>793.5</v>
      </c>
      <c r="E139">
        <v>712.1</v>
      </c>
      <c r="F139">
        <v>1219.8</v>
      </c>
      <c r="G139" s="2">
        <f t="shared" si="68"/>
        <v>857.90000000000009</v>
      </c>
      <c r="H139" s="2">
        <f t="shared" si="68"/>
        <v>2013.3</v>
      </c>
      <c r="I139" s="30">
        <f t="shared" si="69"/>
        <v>-57.388367357075445</v>
      </c>
    </row>
    <row r="140" spans="1:9" x14ac:dyDescent="0.25">
      <c r="A140" s="33">
        <f t="shared" si="67"/>
        <v>39807</v>
      </c>
      <c r="B140" s="59" t="s">
        <v>10</v>
      </c>
      <c r="C140">
        <v>114.8</v>
      </c>
      <c r="D140">
        <v>767.4</v>
      </c>
      <c r="E140">
        <v>812.5</v>
      </c>
      <c r="F140">
        <v>1265.0999999999999</v>
      </c>
      <c r="G140" s="2">
        <f t="shared" ref="G140:H142" si="70">+C140+E140</f>
        <v>927.3</v>
      </c>
      <c r="H140" s="2">
        <f t="shared" si="70"/>
        <v>2032.5</v>
      </c>
      <c r="I140" s="30">
        <f t="shared" si="69"/>
        <v>-54.376383763837644</v>
      </c>
    </row>
    <row r="141" spans="1:9" x14ac:dyDescent="0.25">
      <c r="A141" s="33">
        <f t="shared" si="67"/>
        <v>39814</v>
      </c>
      <c r="B141" s="59" t="s">
        <v>10</v>
      </c>
      <c r="C141">
        <v>141.5</v>
      </c>
      <c r="D141">
        <v>878.1</v>
      </c>
      <c r="E141">
        <v>823.2</v>
      </c>
      <c r="F141">
        <v>1303.2</v>
      </c>
      <c r="G141" s="2">
        <f t="shared" si="70"/>
        <v>964.7</v>
      </c>
      <c r="H141" s="2">
        <f t="shared" si="70"/>
        <v>2181.3000000000002</v>
      </c>
      <c r="I141" s="30">
        <f t="shared" si="69"/>
        <v>-55.77407967725668</v>
      </c>
    </row>
    <row r="142" spans="1:9" x14ac:dyDescent="0.25">
      <c r="A142" s="33">
        <f t="shared" si="67"/>
        <v>39821</v>
      </c>
      <c r="B142" s="59" t="s">
        <v>10</v>
      </c>
      <c r="C142">
        <v>175.9</v>
      </c>
      <c r="D142">
        <v>1150.8</v>
      </c>
      <c r="E142">
        <v>883.2</v>
      </c>
      <c r="F142">
        <v>1365.9</v>
      </c>
      <c r="G142" s="2">
        <f t="shared" si="70"/>
        <v>1059.1000000000001</v>
      </c>
      <c r="H142" s="2">
        <f t="shared" si="70"/>
        <v>2516.6999999999998</v>
      </c>
      <c r="I142" s="30">
        <f t="shared" si="69"/>
        <v>-57.917113680613497</v>
      </c>
    </row>
    <row r="143" spans="1:9" x14ac:dyDescent="0.25">
      <c r="A143" s="33">
        <f t="shared" si="67"/>
        <v>39828</v>
      </c>
      <c r="B143" s="59" t="s">
        <v>10</v>
      </c>
      <c r="C143">
        <v>310.2</v>
      </c>
      <c r="D143">
        <v>1543.8</v>
      </c>
      <c r="E143">
        <v>895.5</v>
      </c>
      <c r="F143">
        <v>1406.9</v>
      </c>
      <c r="G143" s="2">
        <f t="shared" ref="G143:H145" si="71">+C143+E143</f>
        <v>1205.7</v>
      </c>
      <c r="H143" s="2">
        <f t="shared" si="71"/>
        <v>2950.7</v>
      </c>
      <c r="I143" s="30">
        <f t="shared" ref="I143:I148" si="72">+(G143/H143-1)*100</f>
        <v>-59.13850950621886</v>
      </c>
    </row>
    <row r="144" spans="1:9" x14ac:dyDescent="0.25">
      <c r="A144" s="33">
        <f t="shared" si="67"/>
        <v>39835</v>
      </c>
      <c r="B144" s="59" t="s">
        <v>10</v>
      </c>
      <c r="C144">
        <v>234.9</v>
      </c>
      <c r="D144">
        <v>1545.1</v>
      </c>
      <c r="E144">
        <v>1030.4000000000001</v>
      </c>
      <c r="F144">
        <v>1453.3</v>
      </c>
      <c r="G144" s="2">
        <f t="shared" si="71"/>
        <v>1265.3000000000002</v>
      </c>
      <c r="H144" s="2">
        <f t="shared" si="71"/>
        <v>2998.3999999999996</v>
      </c>
      <c r="I144" s="30">
        <f t="shared" si="72"/>
        <v>-57.800827107790809</v>
      </c>
    </row>
    <row r="145" spans="1:10" x14ac:dyDescent="0.25">
      <c r="A145" s="33">
        <f t="shared" si="67"/>
        <v>39842</v>
      </c>
      <c r="B145" s="59" t="s">
        <v>10</v>
      </c>
      <c r="C145">
        <v>201.2</v>
      </c>
      <c r="D145">
        <v>1447.8</v>
      </c>
      <c r="E145">
        <v>1040.2</v>
      </c>
      <c r="F145">
        <v>1616.3</v>
      </c>
      <c r="G145" s="2">
        <f t="shared" si="71"/>
        <v>1241.4000000000001</v>
      </c>
      <c r="H145" s="2">
        <f t="shared" si="71"/>
        <v>3064.1</v>
      </c>
      <c r="I145" s="30">
        <f t="shared" si="72"/>
        <v>-59.485656473352691</v>
      </c>
    </row>
    <row r="146" spans="1:10" x14ac:dyDescent="0.25">
      <c r="A146" s="33">
        <f t="shared" si="67"/>
        <v>39849</v>
      </c>
      <c r="B146" s="59" t="s">
        <v>10</v>
      </c>
      <c r="C146">
        <v>306</v>
      </c>
      <c r="D146">
        <v>1407.6</v>
      </c>
      <c r="E146">
        <v>1109.4000000000001</v>
      </c>
      <c r="F146">
        <v>1671.3</v>
      </c>
      <c r="G146" s="2">
        <f t="shared" ref="G146:H148" si="73">+C146+E146</f>
        <v>1415.4</v>
      </c>
      <c r="H146" s="2">
        <f t="shared" si="73"/>
        <v>3078.8999999999996</v>
      </c>
      <c r="I146" s="30">
        <f t="shared" si="72"/>
        <v>-54.029036344148885</v>
      </c>
    </row>
    <row r="147" spans="1:10" x14ac:dyDescent="0.25">
      <c r="A147" s="33">
        <f t="shared" si="67"/>
        <v>39856</v>
      </c>
      <c r="B147" s="59" t="s">
        <v>10</v>
      </c>
      <c r="C147">
        <v>644.5</v>
      </c>
      <c r="D147">
        <v>1361.5</v>
      </c>
      <c r="E147">
        <v>1119.0999999999999</v>
      </c>
      <c r="F147">
        <v>1738.6</v>
      </c>
      <c r="G147" s="2">
        <f t="shared" si="73"/>
        <v>1763.6</v>
      </c>
      <c r="H147" s="2">
        <f t="shared" si="73"/>
        <v>3100.1</v>
      </c>
      <c r="I147" s="30">
        <f t="shared" si="72"/>
        <v>-43.111512531853812</v>
      </c>
    </row>
    <row r="148" spans="1:10" x14ac:dyDescent="0.25">
      <c r="A148" s="33">
        <f t="shared" si="67"/>
        <v>39863</v>
      </c>
      <c r="B148" s="59" t="s">
        <v>10</v>
      </c>
      <c r="C148">
        <v>653.1</v>
      </c>
      <c r="D148">
        <v>1314.7</v>
      </c>
      <c r="E148">
        <v>1128.5999999999999</v>
      </c>
      <c r="F148">
        <v>1796.3</v>
      </c>
      <c r="G148" s="2">
        <f t="shared" si="73"/>
        <v>1781.6999999999998</v>
      </c>
      <c r="H148" s="2">
        <f t="shared" si="73"/>
        <v>3111</v>
      </c>
      <c r="I148" s="30">
        <f t="shared" si="72"/>
        <v>-42.729026036644171</v>
      </c>
    </row>
    <row r="149" spans="1:10" x14ac:dyDescent="0.25">
      <c r="A149" s="33">
        <f t="shared" si="67"/>
        <v>39870</v>
      </c>
      <c r="B149" s="59" t="s">
        <v>10</v>
      </c>
      <c r="C149">
        <v>760.8</v>
      </c>
      <c r="D149">
        <v>1223.7</v>
      </c>
      <c r="E149">
        <v>1156</v>
      </c>
      <c r="F149">
        <v>1893</v>
      </c>
      <c r="G149" s="2">
        <f t="shared" ref="G149:H151" si="74">+C149+E149</f>
        <v>1916.8</v>
      </c>
      <c r="H149" s="2">
        <f t="shared" si="74"/>
        <v>3116.7</v>
      </c>
      <c r="I149" s="30">
        <f t="shared" ref="I149:I154" si="75">+(G149/H149-1)*100</f>
        <v>-38.499053486058962</v>
      </c>
    </row>
    <row r="150" spans="1:10" x14ac:dyDescent="0.25">
      <c r="A150" s="33">
        <f t="shared" ref="A150:A155" si="76">+A149+7</f>
        <v>39877</v>
      </c>
      <c r="B150" s="59" t="s">
        <v>10</v>
      </c>
      <c r="C150">
        <v>841.2</v>
      </c>
      <c r="D150">
        <v>1179.5999999999999</v>
      </c>
      <c r="E150">
        <v>1292</v>
      </c>
      <c r="F150">
        <v>1955.9</v>
      </c>
      <c r="G150" s="2">
        <f t="shared" si="74"/>
        <v>2133.1999999999998</v>
      </c>
      <c r="H150" s="2">
        <f t="shared" si="74"/>
        <v>3135.5</v>
      </c>
      <c r="I150" s="30">
        <f t="shared" si="75"/>
        <v>-31.966193589539149</v>
      </c>
    </row>
    <row r="151" spans="1:10" x14ac:dyDescent="0.25">
      <c r="A151" s="33">
        <f t="shared" si="76"/>
        <v>39884</v>
      </c>
      <c r="B151" s="59" t="s">
        <v>10</v>
      </c>
      <c r="C151">
        <v>805.4</v>
      </c>
      <c r="D151">
        <v>1147.2</v>
      </c>
      <c r="E151">
        <v>1376.9</v>
      </c>
      <c r="F151">
        <v>2057.1</v>
      </c>
      <c r="G151" s="2">
        <f t="shared" si="74"/>
        <v>2182.3000000000002</v>
      </c>
      <c r="H151" s="2">
        <f t="shared" si="74"/>
        <v>3204.3</v>
      </c>
      <c r="I151" s="30">
        <f t="shared" si="75"/>
        <v>-31.894641575383076</v>
      </c>
    </row>
    <row r="152" spans="1:10" x14ac:dyDescent="0.25">
      <c r="A152" s="33">
        <f t="shared" si="76"/>
        <v>39891</v>
      </c>
      <c r="B152" s="59" t="s">
        <v>10</v>
      </c>
      <c r="C152">
        <v>866</v>
      </c>
      <c r="D152">
        <v>1096</v>
      </c>
      <c r="E152">
        <v>1458.7</v>
      </c>
      <c r="F152">
        <v>2111.1999999999998</v>
      </c>
      <c r="G152" s="2">
        <f t="shared" ref="G152:G183" si="77">+C152+E152</f>
        <v>2324.6999999999998</v>
      </c>
      <c r="H152" s="2">
        <f t="shared" ref="H152:H183" si="78">+D152+F152</f>
        <v>3207.2</v>
      </c>
      <c r="I152" s="30">
        <f t="shared" si="75"/>
        <v>-27.516213519580944</v>
      </c>
    </row>
    <row r="153" spans="1:10" x14ac:dyDescent="0.25">
      <c r="A153" s="33">
        <f t="shared" si="76"/>
        <v>39898</v>
      </c>
      <c r="B153" s="59" t="s">
        <v>10</v>
      </c>
      <c r="C153">
        <v>915.6</v>
      </c>
      <c r="D153">
        <v>1043.4000000000001</v>
      </c>
      <c r="E153">
        <v>1480.6</v>
      </c>
      <c r="F153">
        <v>2172.9</v>
      </c>
      <c r="G153" s="2">
        <f t="shared" si="77"/>
        <v>2396.1999999999998</v>
      </c>
      <c r="H153" s="2">
        <f t="shared" si="78"/>
        <v>3216.3</v>
      </c>
      <c r="I153" s="30">
        <f t="shared" si="75"/>
        <v>-25.498243323073112</v>
      </c>
    </row>
    <row r="154" spans="1:10" x14ac:dyDescent="0.25">
      <c r="A154" s="33">
        <f t="shared" si="76"/>
        <v>39905</v>
      </c>
      <c r="B154" s="59" t="s">
        <v>10</v>
      </c>
      <c r="C154">
        <v>983.9</v>
      </c>
      <c r="D154">
        <v>801</v>
      </c>
      <c r="E154">
        <v>1567.3</v>
      </c>
      <c r="F154">
        <v>2297.6999999999998</v>
      </c>
      <c r="G154" s="2">
        <f t="shared" si="77"/>
        <v>2551.1999999999998</v>
      </c>
      <c r="H154" s="2">
        <f t="shared" si="78"/>
        <v>3098.7</v>
      </c>
      <c r="I154" s="30">
        <f t="shared" si="75"/>
        <v>-17.66869977732598</v>
      </c>
    </row>
    <row r="155" spans="1:10" x14ac:dyDescent="0.25">
      <c r="A155" s="33">
        <f t="shared" si="76"/>
        <v>39912</v>
      </c>
      <c r="B155" s="59" t="s">
        <v>10</v>
      </c>
      <c r="C155">
        <v>865.2</v>
      </c>
      <c r="D155">
        <v>654.9</v>
      </c>
      <c r="E155">
        <v>1687.1</v>
      </c>
      <c r="F155">
        <v>2397.1</v>
      </c>
      <c r="G155" s="2">
        <f t="shared" si="77"/>
        <v>2552.3000000000002</v>
      </c>
      <c r="H155" s="2">
        <f t="shared" si="78"/>
        <v>3052</v>
      </c>
      <c r="I155" s="30">
        <f t="shared" ref="I155:I186" si="79">+(G155/H155-1)*100</f>
        <v>-16.372870249017033</v>
      </c>
    </row>
    <row r="156" spans="1:10" x14ac:dyDescent="0.25">
      <c r="A156" s="33">
        <f t="shared" ref="A156:A253" si="80">+A155+7</f>
        <v>39919</v>
      </c>
      <c r="B156" s="59" t="s">
        <v>10</v>
      </c>
      <c r="C156">
        <v>798</v>
      </c>
      <c r="D156">
        <v>608.6</v>
      </c>
      <c r="E156">
        <v>1774.2</v>
      </c>
      <c r="F156">
        <v>2450.1999999999998</v>
      </c>
      <c r="G156" s="2">
        <f t="shared" si="77"/>
        <v>2572.1999999999998</v>
      </c>
      <c r="H156" s="2">
        <f t="shared" si="78"/>
        <v>3058.7999999999997</v>
      </c>
      <c r="I156" s="30">
        <f t="shared" si="79"/>
        <v>-15.908199293840719</v>
      </c>
    </row>
    <row r="157" spans="1:10" x14ac:dyDescent="0.25">
      <c r="A157" s="33">
        <f t="shared" si="80"/>
        <v>39926</v>
      </c>
      <c r="B157" s="59" t="s">
        <v>10</v>
      </c>
      <c r="C157">
        <v>721.5</v>
      </c>
      <c r="D157">
        <v>580.4</v>
      </c>
      <c r="E157">
        <v>1870.2</v>
      </c>
      <c r="F157">
        <v>2484.4</v>
      </c>
      <c r="G157" s="2">
        <f t="shared" si="77"/>
        <v>2591.6999999999998</v>
      </c>
      <c r="H157" s="2">
        <f t="shared" si="78"/>
        <v>3064.8</v>
      </c>
      <c r="I157" s="30">
        <f t="shared" si="79"/>
        <v>-15.436570086139401</v>
      </c>
    </row>
    <row r="158" spans="1:10" x14ac:dyDescent="0.25">
      <c r="A158" s="33">
        <f t="shared" si="80"/>
        <v>39933</v>
      </c>
      <c r="B158" s="59" t="s">
        <v>10</v>
      </c>
      <c r="C158">
        <v>638.20000000000005</v>
      </c>
      <c r="D158">
        <v>375.5</v>
      </c>
      <c r="E158">
        <v>1961.6</v>
      </c>
      <c r="F158">
        <v>2636.9</v>
      </c>
      <c r="G158" s="2">
        <f t="shared" si="77"/>
        <v>2599.8000000000002</v>
      </c>
      <c r="H158" s="2">
        <f t="shared" si="78"/>
        <v>3012.4</v>
      </c>
      <c r="I158" s="30">
        <f t="shared" si="79"/>
        <v>-13.696720223077941</v>
      </c>
      <c r="J158">
        <v>0</v>
      </c>
    </row>
    <row r="159" spans="1:10" x14ac:dyDescent="0.25">
      <c r="A159" s="33">
        <f t="shared" si="80"/>
        <v>39940</v>
      </c>
      <c r="B159" s="59" t="s">
        <v>10</v>
      </c>
      <c r="C159">
        <v>702.3</v>
      </c>
      <c r="D159">
        <v>356</v>
      </c>
      <c r="E159">
        <v>2103</v>
      </c>
      <c r="F159">
        <v>2661.6</v>
      </c>
      <c r="G159" s="2">
        <f t="shared" si="77"/>
        <v>2805.3</v>
      </c>
      <c r="H159" s="2">
        <f t="shared" si="78"/>
        <v>3017.6</v>
      </c>
      <c r="I159" s="30">
        <f t="shared" si="79"/>
        <v>-7.0353923647932026</v>
      </c>
      <c r="J159">
        <v>0</v>
      </c>
    </row>
    <row r="160" spans="1:10" x14ac:dyDescent="0.25">
      <c r="A160" s="33">
        <f t="shared" si="80"/>
        <v>39947</v>
      </c>
      <c r="B160" s="59" t="s">
        <v>10</v>
      </c>
      <c r="C160">
        <v>672.3</v>
      </c>
      <c r="D160">
        <v>345.8</v>
      </c>
      <c r="E160">
        <v>2175.5</v>
      </c>
      <c r="F160">
        <v>2707.9</v>
      </c>
      <c r="G160" s="2">
        <f t="shared" si="77"/>
        <v>2847.8</v>
      </c>
      <c r="H160" s="2">
        <f t="shared" si="78"/>
        <v>3053.7000000000003</v>
      </c>
      <c r="I160" s="30">
        <f t="shared" si="79"/>
        <v>-6.7426400759734157</v>
      </c>
      <c r="J160">
        <v>0</v>
      </c>
    </row>
    <row r="161" spans="1:10" x14ac:dyDescent="0.25">
      <c r="A161" s="33">
        <f t="shared" si="80"/>
        <v>39954</v>
      </c>
      <c r="B161" s="59" t="s">
        <v>10</v>
      </c>
      <c r="C161">
        <v>788.8</v>
      </c>
      <c r="D161">
        <v>325.8</v>
      </c>
      <c r="E161">
        <v>2234.6</v>
      </c>
      <c r="F161">
        <v>2786.6</v>
      </c>
      <c r="G161" s="2">
        <f t="shared" si="77"/>
        <v>3023.3999999999996</v>
      </c>
      <c r="H161" s="2">
        <f t="shared" si="78"/>
        <v>3112.4</v>
      </c>
      <c r="I161" s="30">
        <f t="shared" si="79"/>
        <v>-2.8595296234417367</v>
      </c>
      <c r="J161">
        <v>0</v>
      </c>
    </row>
    <row r="162" spans="1:10" x14ac:dyDescent="0.25">
      <c r="A162" s="33">
        <f t="shared" si="80"/>
        <v>39961</v>
      </c>
      <c r="B162" s="59" t="s">
        <v>10</v>
      </c>
      <c r="C162">
        <v>634.9</v>
      </c>
      <c r="D162">
        <v>357</v>
      </c>
      <c r="E162">
        <v>2398.4</v>
      </c>
      <c r="F162">
        <v>2804</v>
      </c>
      <c r="G162" s="2">
        <f t="shared" si="77"/>
        <v>3033.3</v>
      </c>
      <c r="H162" s="2">
        <f t="shared" si="78"/>
        <v>3161</v>
      </c>
      <c r="I162" s="30">
        <f t="shared" si="79"/>
        <v>-4.0398608035431716</v>
      </c>
      <c r="J162">
        <v>0</v>
      </c>
    </row>
    <row r="163" spans="1:10" x14ac:dyDescent="0.25">
      <c r="A163" s="33">
        <f t="shared" si="80"/>
        <v>39968</v>
      </c>
      <c r="B163" s="59" t="s">
        <v>10</v>
      </c>
      <c r="C163">
        <v>718.3</v>
      </c>
      <c r="D163">
        <v>273</v>
      </c>
      <c r="E163">
        <v>2417.3000000000002</v>
      </c>
      <c r="F163">
        <v>3013.1</v>
      </c>
      <c r="G163" s="2">
        <f t="shared" si="77"/>
        <v>3135.6000000000004</v>
      </c>
      <c r="H163" s="2">
        <f t="shared" si="78"/>
        <v>3286.1</v>
      </c>
      <c r="I163" s="30">
        <f t="shared" si="79"/>
        <v>-4.5798971425093482</v>
      </c>
      <c r="J163">
        <v>1</v>
      </c>
    </row>
    <row r="164" spans="1:10" x14ac:dyDescent="0.25">
      <c r="A164" s="33">
        <f t="shared" si="80"/>
        <v>39975</v>
      </c>
      <c r="B164" s="59" t="s">
        <v>10</v>
      </c>
      <c r="C164">
        <v>800.3</v>
      </c>
      <c r="D164">
        <v>299.60000000000002</v>
      </c>
      <c r="E164">
        <v>2425.6</v>
      </c>
      <c r="F164">
        <v>3024.5</v>
      </c>
      <c r="G164" s="2">
        <f t="shared" si="77"/>
        <v>3225.8999999999996</v>
      </c>
      <c r="H164" s="2">
        <f t="shared" si="78"/>
        <v>3324.1</v>
      </c>
      <c r="I164" s="30">
        <f t="shared" si="79"/>
        <v>-2.9541830871514185</v>
      </c>
      <c r="J164">
        <v>1</v>
      </c>
    </row>
    <row r="165" spans="1:10" x14ac:dyDescent="0.25">
      <c r="A165" s="33">
        <f t="shared" si="80"/>
        <v>39982</v>
      </c>
      <c r="B165" s="59" t="s">
        <v>10</v>
      </c>
      <c r="C165">
        <v>731.5</v>
      </c>
      <c r="D165">
        <v>248.4</v>
      </c>
      <c r="E165">
        <v>2523.8000000000002</v>
      </c>
      <c r="F165">
        <v>3105.5</v>
      </c>
      <c r="G165" s="2">
        <f t="shared" si="77"/>
        <v>3255.3</v>
      </c>
      <c r="H165" s="2">
        <f t="shared" si="78"/>
        <v>3353.9</v>
      </c>
      <c r="I165" s="30">
        <f t="shared" si="79"/>
        <v>-2.9398610572766048</v>
      </c>
      <c r="J165">
        <v>31.5</v>
      </c>
    </row>
    <row r="166" spans="1:10" x14ac:dyDescent="0.25">
      <c r="A166" s="33">
        <f t="shared" si="80"/>
        <v>39989</v>
      </c>
      <c r="B166" s="59" t="s">
        <v>10</v>
      </c>
      <c r="C166">
        <v>729</v>
      </c>
      <c r="D166">
        <v>262.89999999999998</v>
      </c>
      <c r="E166">
        <v>2654.2</v>
      </c>
      <c r="F166">
        <v>3132.8</v>
      </c>
      <c r="G166" s="2">
        <f t="shared" si="77"/>
        <v>3383.2</v>
      </c>
      <c r="H166" s="2">
        <f t="shared" si="78"/>
        <v>3395.7000000000003</v>
      </c>
      <c r="I166" s="30">
        <f t="shared" si="79"/>
        <v>-0.36811261301058495</v>
      </c>
      <c r="J166">
        <v>33.5</v>
      </c>
    </row>
    <row r="167" spans="1:10" x14ac:dyDescent="0.25">
      <c r="A167" s="33">
        <f t="shared" si="80"/>
        <v>39996</v>
      </c>
      <c r="B167" s="59" t="s">
        <v>10</v>
      </c>
      <c r="C167">
        <v>731</v>
      </c>
      <c r="D167">
        <v>277.39999999999998</v>
      </c>
      <c r="E167">
        <v>2681.9</v>
      </c>
      <c r="F167">
        <v>3163.4</v>
      </c>
      <c r="G167" s="2">
        <f t="shared" si="77"/>
        <v>3412.9</v>
      </c>
      <c r="H167" s="2">
        <f t="shared" si="78"/>
        <v>3440.8</v>
      </c>
      <c r="I167" s="30">
        <f t="shared" si="79"/>
        <v>-0.81085794001395373</v>
      </c>
      <c r="J167">
        <v>33.5</v>
      </c>
    </row>
    <row r="168" spans="1:10" x14ac:dyDescent="0.25">
      <c r="A168" s="33">
        <f t="shared" si="80"/>
        <v>40003</v>
      </c>
      <c r="B168" s="59" t="s">
        <v>10</v>
      </c>
      <c r="C168">
        <v>679.2</v>
      </c>
      <c r="D168">
        <v>356.6</v>
      </c>
      <c r="E168">
        <v>2752.4</v>
      </c>
      <c r="F168">
        <v>3201.5</v>
      </c>
      <c r="G168" s="2">
        <f t="shared" si="77"/>
        <v>3431.6000000000004</v>
      </c>
      <c r="H168" s="2">
        <f t="shared" si="78"/>
        <v>3558.1</v>
      </c>
      <c r="I168" s="30">
        <f t="shared" si="79"/>
        <v>-3.5552682611506015</v>
      </c>
      <c r="J168">
        <v>39.5</v>
      </c>
    </row>
    <row r="169" spans="1:10" x14ac:dyDescent="0.25">
      <c r="A169" s="33">
        <f t="shared" si="80"/>
        <v>40010</v>
      </c>
      <c r="B169" s="59" t="s">
        <v>10</v>
      </c>
      <c r="C169">
        <v>664.3</v>
      </c>
      <c r="D169">
        <v>358.9</v>
      </c>
      <c r="E169">
        <v>2783.8</v>
      </c>
      <c r="F169">
        <v>3228.5</v>
      </c>
      <c r="G169" s="2">
        <f t="shared" si="77"/>
        <v>3448.1000000000004</v>
      </c>
      <c r="H169" s="2">
        <f t="shared" si="78"/>
        <v>3587.4</v>
      </c>
      <c r="I169" s="30">
        <f t="shared" si="79"/>
        <v>-3.8830350671795633</v>
      </c>
      <c r="J169">
        <v>47.5</v>
      </c>
    </row>
    <row r="170" spans="1:10" x14ac:dyDescent="0.25">
      <c r="A170" s="33">
        <f t="shared" si="80"/>
        <v>40017</v>
      </c>
      <c r="B170" s="59" t="s">
        <v>10</v>
      </c>
      <c r="C170">
        <v>696.7</v>
      </c>
      <c r="D170">
        <v>351.2</v>
      </c>
      <c r="E170">
        <v>2792.4</v>
      </c>
      <c r="F170">
        <v>3261.9</v>
      </c>
      <c r="G170" s="2">
        <f t="shared" si="77"/>
        <v>3489.1000000000004</v>
      </c>
      <c r="H170" s="2">
        <f t="shared" si="78"/>
        <v>3613.1</v>
      </c>
      <c r="I170" s="30">
        <f t="shared" si="79"/>
        <v>-3.431955938114073</v>
      </c>
      <c r="J170">
        <v>60</v>
      </c>
    </row>
    <row r="171" spans="1:10" x14ac:dyDescent="0.25">
      <c r="A171" s="33">
        <f t="shared" si="80"/>
        <v>40024</v>
      </c>
      <c r="B171" s="59" t="s">
        <v>10</v>
      </c>
      <c r="C171">
        <v>628</v>
      </c>
      <c r="D171">
        <v>327.5</v>
      </c>
      <c r="E171">
        <v>2866.2</v>
      </c>
      <c r="F171">
        <v>3295.3</v>
      </c>
      <c r="G171" s="2">
        <f t="shared" si="77"/>
        <v>3494.2</v>
      </c>
      <c r="H171" s="2">
        <f t="shared" si="78"/>
        <v>3622.8</v>
      </c>
      <c r="I171" s="30">
        <f t="shared" si="79"/>
        <v>-3.5497405321850639</v>
      </c>
      <c r="J171">
        <v>65</v>
      </c>
    </row>
    <row r="172" spans="1:10" x14ac:dyDescent="0.25">
      <c r="A172" s="33">
        <f t="shared" si="80"/>
        <v>40031</v>
      </c>
      <c r="B172" s="59" t="s">
        <v>10</v>
      </c>
      <c r="C172">
        <v>568.1</v>
      </c>
      <c r="D172">
        <v>291.39999999999998</v>
      </c>
      <c r="E172">
        <v>2954.2</v>
      </c>
      <c r="F172">
        <v>3335.7</v>
      </c>
      <c r="G172" s="2">
        <f t="shared" si="77"/>
        <v>3522.2999999999997</v>
      </c>
      <c r="H172" s="2">
        <f t="shared" si="78"/>
        <v>3627.1</v>
      </c>
      <c r="I172" s="30">
        <f t="shared" si="79"/>
        <v>-2.8893606462463195</v>
      </c>
      <c r="J172">
        <v>65</v>
      </c>
    </row>
    <row r="173" spans="1:10" x14ac:dyDescent="0.25">
      <c r="A173" s="33">
        <f t="shared" si="80"/>
        <v>40038</v>
      </c>
      <c r="B173" s="59" t="s">
        <v>10</v>
      </c>
      <c r="C173">
        <v>486.5</v>
      </c>
      <c r="D173">
        <v>258.89999999999998</v>
      </c>
      <c r="E173">
        <v>3048</v>
      </c>
      <c r="F173">
        <v>3371.5</v>
      </c>
      <c r="G173" s="2">
        <f t="shared" si="77"/>
        <v>3534.5</v>
      </c>
      <c r="H173" s="2">
        <f t="shared" si="78"/>
        <v>3630.4</v>
      </c>
      <c r="I173" s="30">
        <f t="shared" si="79"/>
        <v>-2.6415821947994744</v>
      </c>
      <c r="J173">
        <v>73</v>
      </c>
    </row>
    <row r="174" spans="1:10" x14ac:dyDescent="0.25">
      <c r="A174" s="33">
        <f t="shared" si="80"/>
        <v>40045</v>
      </c>
      <c r="B174" s="59" t="s">
        <v>10</v>
      </c>
      <c r="C174">
        <v>456.9</v>
      </c>
      <c r="D174">
        <v>246.7</v>
      </c>
      <c r="E174">
        <v>3137.1</v>
      </c>
      <c r="F174">
        <v>3391.7</v>
      </c>
      <c r="G174" s="2">
        <f t="shared" si="77"/>
        <v>3594</v>
      </c>
      <c r="H174" s="2">
        <f t="shared" si="78"/>
        <v>3638.3999999999996</v>
      </c>
      <c r="I174" s="30">
        <f t="shared" si="79"/>
        <v>-1.2203166226912865</v>
      </c>
      <c r="J174">
        <v>83.8</v>
      </c>
    </row>
    <row r="175" spans="1:10" x14ac:dyDescent="0.25">
      <c r="A175" s="33">
        <f t="shared" si="80"/>
        <v>40052</v>
      </c>
      <c r="B175" s="59" t="s">
        <v>10</v>
      </c>
      <c r="C175">
        <v>405.9</v>
      </c>
      <c r="D175">
        <v>144.9</v>
      </c>
      <c r="E175">
        <v>3171.7</v>
      </c>
      <c r="F175">
        <v>3460.7</v>
      </c>
      <c r="G175" s="2">
        <f t="shared" si="77"/>
        <v>3577.6</v>
      </c>
      <c r="H175" s="2">
        <f t="shared" si="78"/>
        <v>3605.6</v>
      </c>
      <c r="I175" s="30">
        <f t="shared" si="79"/>
        <v>-0.77656978034169599</v>
      </c>
      <c r="J175">
        <v>110.3</v>
      </c>
    </row>
    <row r="176" spans="1:10" x14ac:dyDescent="0.25">
      <c r="A176" s="33">
        <f t="shared" si="80"/>
        <v>40059</v>
      </c>
      <c r="B176" s="59" t="s">
        <v>10</v>
      </c>
      <c r="C176">
        <v>487.9</v>
      </c>
      <c r="D176">
        <v>231.8</v>
      </c>
      <c r="E176">
        <v>4.3</v>
      </c>
      <c r="F176">
        <v>7.3</v>
      </c>
      <c r="G176" s="2">
        <f t="shared" si="77"/>
        <v>492.2</v>
      </c>
      <c r="H176" s="2">
        <f t="shared" si="78"/>
        <v>239.10000000000002</v>
      </c>
      <c r="I176" s="30">
        <f t="shared" si="79"/>
        <v>105.8552906733584</v>
      </c>
    </row>
    <row r="177" spans="1:9" x14ac:dyDescent="0.25">
      <c r="A177" s="33">
        <f t="shared" si="80"/>
        <v>40066</v>
      </c>
      <c r="B177" s="59" t="s">
        <v>10</v>
      </c>
      <c r="C177">
        <v>625.6</v>
      </c>
      <c r="D177">
        <v>205.6</v>
      </c>
      <c r="E177">
        <v>92.6</v>
      </c>
      <c r="F177">
        <v>48.3</v>
      </c>
      <c r="G177" s="2">
        <f t="shared" si="77"/>
        <v>718.2</v>
      </c>
      <c r="H177" s="2">
        <f t="shared" si="78"/>
        <v>253.89999999999998</v>
      </c>
      <c r="I177" s="30">
        <f t="shared" si="79"/>
        <v>182.86727057896815</v>
      </c>
    </row>
    <row r="178" spans="1:9" x14ac:dyDescent="0.25">
      <c r="A178" s="33">
        <f t="shared" si="80"/>
        <v>40073</v>
      </c>
      <c r="B178" s="59" t="s">
        <v>10</v>
      </c>
      <c r="C178">
        <v>603.9</v>
      </c>
      <c r="D178">
        <v>181.3</v>
      </c>
      <c r="E178">
        <v>129.6</v>
      </c>
      <c r="F178">
        <v>87.5</v>
      </c>
      <c r="G178" s="2">
        <f t="shared" si="77"/>
        <v>733.5</v>
      </c>
      <c r="H178" s="2">
        <f t="shared" si="78"/>
        <v>268.8</v>
      </c>
      <c r="I178" s="30">
        <f t="shared" si="79"/>
        <v>172.87946428571428</v>
      </c>
    </row>
    <row r="179" spans="1:9" x14ac:dyDescent="0.25">
      <c r="A179" s="33">
        <f t="shared" si="80"/>
        <v>40080</v>
      </c>
      <c r="B179" s="59" t="s">
        <v>10</v>
      </c>
      <c r="C179">
        <v>667.7</v>
      </c>
      <c r="D179">
        <v>241.4</v>
      </c>
      <c r="E179">
        <v>158.69999999999999</v>
      </c>
      <c r="F179">
        <v>125.7</v>
      </c>
      <c r="G179" s="2">
        <f t="shared" si="77"/>
        <v>826.40000000000009</v>
      </c>
      <c r="H179" s="2">
        <f t="shared" si="78"/>
        <v>367.1</v>
      </c>
      <c r="I179" s="30">
        <f t="shared" si="79"/>
        <v>125.1157722691365</v>
      </c>
    </row>
    <row r="180" spans="1:9" x14ac:dyDescent="0.25">
      <c r="A180" s="33">
        <f t="shared" si="80"/>
        <v>40087</v>
      </c>
      <c r="B180" s="59" t="s">
        <v>10</v>
      </c>
      <c r="C180">
        <v>700.3</v>
      </c>
      <c r="D180">
        <v>235.6</v>
      </c>
      <c r="E180">
        <v>195.9</v>
      </c>
      <c r="F180">
        <v>161.80000000000001</v>
      </c>
      <c r="G180" s="2">
        <f t="shared" si="77"/>
        <v>896.19999999999993</v>
      </c>
      <c r="H180" s="2">
        <f t="shared" si="78"/>
        <v>397.4</v>
      </c>
      <c r="I180" s="30">
        <f t="shared" si="79"/>
        <v>125.51585304479116</v>
      </c>
    </row>
    <row r="181" spans="1:9" x14ac:dyDescent="0.25">
      <c r="A181" s="33">
        <f t="shared" si="80"/>
        <v>40094</v>
      </c>
      <c r="B181" s="59" t="s">
        <v>10</v>
      </c>
      <c r="C181">
        <v>691.1</v>
      </c>
      <c r="D181">
        <v>221.4</v>
      </c>
      <c r="E181">
        <v>232.5</v>
      </c>
      <c r="F181">
        <v>187.9</v>
      </c>
      <c r="G181" s="2">
        <f t="shared" si="77"/>
        <v>923.6</v>
      </c>
      <c r="H181" s="2">
        <f t="shared" si="78"/>
        <v>409.3</v>
      </c>
      <c r="I181" s="30">
        <f t="shared" si="79"/>
        <v>125.65355484974346</v>
      </c>
    </row>
    <row r="182" spans="1:9" x14ac:dyDescent="0.25">
      <c r="A182" s="33">
        <f t="shared" si="80"/>
        <v>40101</v>
      </c>
      <c r="B182" s="59" t="s">
        <v>10</v>
      </c>
      <c r="C182">
        <v>663.9</v>
      </c>
      <c r="D182">
        <v>301.10000000000002</v>
      </c>
      <c r="E182">
        <v>270.60000000000002</v>
      </c>
      <c r="F182">
        <v>205.7</v>
      </c>
      <c r="G182" s="2">
        <f t="shared" si="77"/>
        <v>934.5</v>
      </c>
      <c r="H182" s="2">
        <f t="shared" si="78"/>
        <v>506.8</v>
      </c>
      <c r="I182" s="30">
        <f t="shared" si="79"/>
        <v>84.39226519337015</v>
      </c>
    </row>
    <row r="183" spans="1:9" x14ac:dyDescent="0.25">
      <c r="A183" s="33">
        <f t="shared" si="80"/>
        <v>40108</v>
      </c>
      <c r="B183" s="59" t="s">
        <v>10</v>
      </c>
      <c r="C183">
        <v>618.1</v>
      </c>
      <c r="D183">
        <v>293.5</v>
      </c>
      <c r="E183">
        <v>352.2</v>
      </c>
      <c r="F183">
        <v>226.2</v>
      </c>
      <c r="G183" s="2">
        <f t="shared" si="77"/>
        <v>970.3</v>
      </c>
      <c r="H183" s="2">
        <f t="shared" si="78"/>
        <v>519.70000000000005</v>
      </c>
      <c r="I183" s="30">
        <f t="shared" si="79"/>
        <v>86.703867615932253</v>
      </c>
    </row>
    <row r="184" spans="1:9" x14ac:dyDescent="0.25">
      <c r="A184" s="33">
        <f t="shared" si="80"/>
        <v>40115</v>
      </c>
      <c r="B184" s="59" t="s">
        <v>10</v>
      </c>
      <c r="C184">
        <v>681.6</v>
      </c>
      <c r="D184">
        <v>253.6</v>
      </c>
      <c r="E184">
        <v>371.9</v>
      </c>
      <c r="F184">
        <v>273.2</v>
      </c>
      <c r="G184" s="2">
        <f t="shared" ref="G184:G215" si="81">+C184+E184</f>
        <v>1053.5</v>
      </c>
      <c r="H184" s="2">
        <f t="shared" ref="H184:H215" si="82">+D184+F184</f>
        <v>526.79999999999995</v>
      </c>
      <c r="I184" s="30">
        <f t="shared" si="79"/>
        <v>99.981017463933199</v>
      </c>
    </row>
    <row r="185" spans="1:9" x14ac:dyDescent="0.25">
      <c r="A185" s="33">
        <f t="shared" si="80"/>
        <v>40122</v>
      </c>
      <c r="B185" s="59" t="s">
        <v>10</v>
      </c>
      <c r="C185">
        <v>667.1</v>
      </c>
      <c r="D185">
        <v>240.7</v>
      </c>
      <c r="E185">
        <v>387.2</v>
      </c>
      <c r="F185">
        <v>389.9</v>
      </c>
      <c r="G185" s="2">
        <f t="shared" si="81"/>
        <v>1054.3</v>
      </c>
      <c r="H185" s="2">
        <f t="shared" si="82"/>
        <v>630.59999999999991</v>
      </c>
      <c r="I185" s="30">
        <f t="shared" si="79"/>
        <v>67.189977798921689</v>
      </c>
    </row>
    <row r="186" spans="1:9" x14ac:dyDescent="0.25">
      <c r="A186" s="33">
        <f t="shared" si="80"/>
        <v>40129</v>
      </c>
      <c r="B186" s="59" t="s">
        <v>10</v>
      </c>
      <c r="C186">
        <v>675.6</v>
      </c>
      <c r="D186">
        <v>240.7</v>
      </c>
      <c r="E186">
        <v>398.5</v>
      </c>
      <c r="F186">
        <v>389.9</v>
      </c>
      <c r="G186" s="2">
        <f t="shared" si="81"/>
        <v>1074.0999999999999</v>
      </c>
      <c r="H186" s="2">
        <f t="shared" si="82"/>
        <v>630.59999999999991</v>
      </c>
      <c r="I186" s="30">
        <f t="shared" si="79"/>
        <v>70.329844592451636</v>
      </c>
    </row>
    <row r="187" spans="1:9" x14ac:dyDescent="0.25">
      <c r="A187" s="33">
        <f t="shared" si="80"/>
        <v>40136</v>
      </c>
      <c r="B187" s="59" t="s">
        <v>10</v>
      </c>
      <c r="C187">
        <v>621.29999999999995</v>
      </c>
      <c r="D187">
        <v>227.9</v>
      </c>
      <c r="E187">
        <v>470.1</v>
      </c>
      <c r="F187">
        <v>419.3</v>
      </c>
      <c r="G187" s="2">
        <f t="shared" si="81"/>
        <v>1091.4000000000001</v>
      </c>
      <c r="H187" s="2">
        <f t="shared" si="82"/>
        <v>647.20000000000005</v>
      </c>
      <c r="I187" s="30">
        <f t="shared" ref="I187:I218" si="83">+(G187/H187-1)*100</f>
        <v>68.63411619283066</v>
      </c>
    </row>
    <row r="188" spans="1:9" x14ac:dyDescent="0.25">
      <c r="A188" s="33">
        <f t="shared" si="80"/>
        <v>40143</v>
      </c>
      <c r="B188" s="59" t="s">
        <v>10</v>
      </c>
      <c r="C188">
        <v>578.1</v>
      </c>
      <c r="D188">
        <v>187.8</v>
      </c>
      <c r="E188">
        <v>625.6</v>
      </c>
      <c r="F188">
        <v>521.1</v>
      </c>
      <c r="G188" s="2">
        <f t="shared" si="81"/>
        <v>1203.7</v>
      </c>
      <c r="H188" s="2">
        <f t="shared" si="82"/>
        <v>708.90000000000009</v>
      </c>
      <c r="I188" s="30">
        <f t="shared" si="83"/>
        <v>69.798279023839726</v>
      </c>
    </row>
    <row r="189" spans="1:9" x14ac:dyDescent="0.25">
      <c r="A189" s="33">
        <f t="shared" si="80"/>
        <v>40150</v>
      </c>
      <c r="B189" s="59" t="s">
        <v>10</v>
      </c>
      <c r="C189">
        <v>592.5</v>
      </c>
      <c r="D189">
        <v>158.9</v>
      </c>
      <c r="E189">
        <v>636.79999999999995</v>
      </c>
      <c r="F189">
        <v>563.9</v>
      </c>
      <c r="G189" s="2">
        <f t="shared" si="81"/>
        <v>1229.3</v>
      </c>
      <c r="H189" s="2">
        <f t="shared" si="82"/>
        <v>722.8</v>
      </c>
      <c r="I189" s="30">
        <f t="shared" si="83"/>
        <v>70.074709463198673</v>
      </c>
    </row>
    <row r="190" spans="1:9" x14ac:dyDescent="0.25">
      <c r="A190" s="33">
        <f t="shared" si="80"/>
        <v>40157</v>
      </c>
      <c r="B190" s="59" t="s">
        <v>10</v>
      </c>
      <c r="C190">
        <v>616.70000000000005</v>
      </c>
      <c r="D190">
        <v>172.5</v>
      </c>
      <c r="E190">
        <v>663.9</v>
      </c>
      <c r="F190">
        <v>594.9</v>
      </c>
      <c r="G190" s="2">
        <f t="shared" si="81"/>
        <v>1280.5999999999999</v>
      </c>
      <c r="H190" s="2">
        <f t="shared" si="82"/>
        <v>767.4</v>
      </c>
      <c r="I190" s="30">
        <f t="shared" si="83"/>
        <v>66.875162887672658</v>
      </c>
    </row>
    <row r="191" spans="1:9" x14ac:dyDescent="0.25">
      <c r="A191" s="33">
        <f t="shared" si="80"/>
        <v>40164</v>
      </c>
      <c r="B191" s="59" t="s">
        <v>10</v>
      </c>
      <c r="C191">
        <v>765.6</v>
      </c>
      <c r="D191">
        <v>145.80000000000001</v>
      </c>
      <c r="E191">
        <v>713</v>
      </c>
      <c r="F191">
        <v>712.1</v>
      </c>
      <c r="G191" s="2">
        <f t="shared" si="81"/>
        <v>1478.6</v>
      </c>
      <c r="H191" s="2">
        <f t="shared" si="82"/>
        <v>857.90000000000009</v>
      </c>
      <c r="I191" s="30">
        <f t="shared" si="83"/>
        <v>72.351089870614274</v>
      </c>
    </row>
    <row r="192" spans="1:9" x14ac:dyDescent="0.25">
      <c r="A192" s="33">
        <f t="shared" si="80"/>
        <v>40171</v>
      </c>
      <c r="B192" s="59" t="s">
        <v>10</v>
      </c>
      <c r="C192">
        <v>687.7</v>
      </c>
      <c r="D192">
        <v>114.8</v>
      </c>
      <c r="E192">
        <v>855</v>
      </c>
      <c r="F192">
        <v>812.5</v>
      </c>
      <c r="G192" s="2">
        <f t="shared" si="81"/>
        <v>1542.7</v>
      </c>
      <c r="H192" s="2">
        <f t="shared" si="82"/>
        <v>927.3</v>
      </c>
      <c r="I192" s="30">
        <f t="shared" si="83"/>
        <v>66.364714763291289</v>
      </c>
    </row>
    <row r="193" spans="1:9" x14ac:dyDescent="0.25">
      <c r="A193" s="33">
        <f t="shared" si="80"/>
        <v>40178</v>
      </c>
      <c r="B193" s="59" t="s">
        <v>10</v>
      </c>
      <c r="C193">
        <v>667.2</v>
      </c>
      <c r="D193">
        <v>141.5</v>
      </c>
      <c r="E193">
        <v>877.5</v>
      </c>
      <c r="F193">
        <v>823.2</v>
      </c>
      <c r="G193" s="2">
        <f t="shared" si="81"/>
        <v>1544.7</v>
      </c>
      <c r="H193" s="2">
        <f t="shared" si="82"/>
        <v>964.7</v>
      </c>
      <c r="I193" s="30">
        <f t="shared" si="83"/>
        <v>60.122317819011094</v>
      </c>
    </row>
    <row r="194" spans="1:9" x14ac:dyDescent="0.25">
      <c r="A194" s="33">
        <f t="shared" si="80"/>
        <v>40185</v>
      </c>
      <c r="B194" s="59" t="s">
        <v>10</v>
      </c>
      <c r="C194">
        <v>635.9</v>
      </c>
      <c r="D194">
        <v>175.9</v>
      </c>
      <c r="E194">
        <v>989.3</v>
      </c>
      <c r="F194">
        <v>883.2</v>
      </c>
      <c r="G194" s="2">
        <f t="shared" si="81"/>
        <v>1625.1999999999998</v>
      </c>
      <c r="H194" s="2">
        <f t="shared" si="82"/>
        <v>1059.1000000000001</v>
      </c>
      <c r="I194" s="30">
        <f t="shared" si="83"/>
        <v>53.45104333868376</v>
      </c>
    </row>
    <row r="195" spans="1:9" x14ac:dyDescent="0.25">
      <c r="A195" s="33">
        <f t="shared" si="80"/>
        <v>40192</v>
      </c>
      <c r="B195" s="59" t="s">
        <v>10</v>
      </c>
      <c r="C195">
        <v>787</v>
      </c>
      <c r="D195">
        <v>310.2</v>
      </c>
      <c r="E195">
        <v>1011.6</v>
      </c>
      <c r="F195">
        <v>895.5</v>
      </c>
      <c r="G195" s="2">
        <f t="shared" si="81"/>
        <v>1798.6</v>
      </c>
      <c r="H195" s="2">
        <f t="shared" si="82"/>
        <v>1205.7</v>
      </c>
      <c r="I195" s="30">
        <f t="shared" si="83"/>
        <v>49.174753255370305</v>
      </c>
    </row>
    <row r="196" spans="1:9" x14ac:dyDescent="0.25">
      <c r="A196" s="33">
        <f t="shared" si="80"/>
        <v>40199</v>
      </c>
      <c r="B196" s="59" t="s">
        <v>10</v>
      </c>
      <c r="C196">
        <v>757.7</v>
      </c>
      <c r="D196">
        <v>234.9</v>
      </c>
      <c r="E196">
        <v>1051.5</v>
      </c>
      <c r="F196">
        <v>1030.4000000000001</v>
      </c>
      <c r="G196" s="2">
        <f t="shared" si="81"/>
        <v>1809.2</v>
      </c>
      <c r="H196" s="2">
        <f t="shared" si="82"/>
        <v>1265.3000000000002</v>
      </c>
      <c r="I196" s="30">
        <f t="shared" si="83"/>
        <v>42.985853157353972</v>
      </c>
    </row>
    <row r="197" spans="1:9" x14ac:dyDescent="0.25">
      <c r="A197" s="33">
        <f t="shared" si="80"/>
        <v>40206</v>
      </c>
      <c r="B197" s="59" t="s">
        <v>10</v>
      </c>
      <c r="C197">
        <v>806.9</v>
      </c>
      <c r="D197">
        <v>201.2</v>
      </c>
      <c r="E197">
        <v>1071.7</v>
      </c>
      <c r="F197">
        <v>1040.2</v>
      </c>
      <c r="G197" s="2">
        <f t="shared" si="81"/>
        <v>1878.6</v>
      </c>
      <c r="H197" s="2">
        <f t="shared" si="82"/>
        <v>1241.4000000000001</v>
      </c>
      <c r="I197" s="30">
        <f t="shared" si="83"/>
        <v>51.329144514258076</v>
      </c>
    </row>
    <row r="198" spans="1:9" x14ac:dyDescent="0.25">
      <c r="A198" s="33">
        <f t="shared" si="80"/>
        <v>40213</v>
      </c>
      <c r="B198" s="59" t="s">
        <v>10</v>
      </c>
      <c r="C198">
        <v>788</v>
      </c>
      <c r="D198">
        <v>306</v>
      </c>
      <c r="E198">
        <v>1090.4000000000001</v>
      </c>
      <c r="F198">
        <v>1109.4000000000001</v>
      </c>
      <c r="G198" s="2">
        <f t="shared" si="81"/>
        <v>1878.4</v>
      </c>
      <c r="H198" s="2">
        <f t="shared" si="82"/>
        <v>1415.4</v>
      </c>
      <c r="I198" s="30">
        <f t="shared" si="83"/>
        <v>32.711600960859123</v>
      </c>
    </row>
    <row r="199" spans="1:9" x14ac:dyDescent="0.25">
      <c r="A199" s="33">
        <f t="shared" si="80"/>
        <v>40220</v>
      </c>
      <c r="B199" s="59" t="s">
        <v>10</v>
      </c>
      <c r="C199">
        <v>782.5</v>
      </c>
      <c r="D199">
        <v>644.5</v>
      </c>
      <c r="E199">
        <v>1110.5</v>
      </c>
      <c r="F199">
        <v>1119.0999999999999</v>
      </c>
      <c r="G199" s="2">
        <f t="shared" si="81"/>
        <v>1893</v>
      </c>
      <c r="H199" s="2">
        <f t="shared" si="82"/>
        <v>1763.6</v>
      </c>
      <c r="I199" s="30">
        <f t="shared" si="83"/>
        <v>7.3372646858698154</v>
      </c>
    </row>
    <row r="200" spans="1:9" x14ac:dyDescent="0.25">
      <c r="A200" s="33">
        <f t="shared" si="80"/>
        <v>40227</v>
      </c>
      <c r="B200" s="59" t="s">
        <v>10</v>
      </c>
      <c r="C200">
        <v>651.70000000000005</v>
      </c>
      <c r="D200">
        <v>653.1</v>
      </c>
      <c r="E200">
        <v>1239.5999999999999</v>
      </c>
      <c r="F200">
        <v>1128.5999999999999</v>
      </c>
      <c r="G200" s="2">
        <f t="shared" si="81"/>
        <v>1891.3</v>
      </c>
      <c r="H200" s="2">
        <f t="shared" si="82"/>
        <v>1781.6999999999998</v>
      </c>
      <c r="I200" s="30">
        <f t="shared" si="83"/>
        <v>6.1514284110680828</v>
      </c>
    </row>
    <row r="201" spans="1:9" x14ac:dyDescent="0.25">
      <c r="A201" s="33">
        <f t="shared" si="80"/>
        <v>40234</v>
      </c>
      <c r="B201" s="59" t="s">
        <v>10</v>
      </c>
      <c r="C201">
        <v>555</v>
      </c>
      <c r="D201">
        <v>760.8</v>
      </c>
      <c r="E201">
        <v>1399.9</v>
      </c>
      <c r="F201">
        <v>1156</v>
      </c>
      <c r="G201" s="2">
        <f t="shared" si="81"/>
        <v>1954.9</v>
      </c>
      <c r="H201" s="2">
        <f t="shared" si="82"/>
        <v>1916.8</v>
      </c>
      <c r="I201" s="30">
        <f t="shared" si="83"/>
        <v>1.9876878130216991</v>
      </c>
    </row>
    <row r="202" spans="1:9" x14ac:dyDescent="0.25">
      <c r="A202" s="33">
        <f t="shared" si="80"/>
        <v>40241</v>
      </c>
      <c r="B202" s="59" t="s">
        <v>10</v>
      </c>
      <c r="C202">
        <v>587.6</v>
      </c>
      <c r="D202">
        <v>841.2</v>
      </c>
      <c r="E202">
        <v>1471.5</v>
      </c>
      <c r="F202">
        <v>1292</v>
      </c>
      <c r="G202" s="2">
        <f t="shared" si="81"/>
        <v>2059.1</v>
      </c>
      <c r="H202" s="2">
        <f t="shared" si="82"/>
        <v>2133.1999999999998</v>
      </c>
      <c r="I202" s="30">
        <f t="shared" si="83"/>
        <v>-3.4736546034127125</v>
      </c>
    </row>
    <row r="203" spans="1:9" x14ac:dyDescent="0.25">
      <c r="A203" s="33">
        <f t="shared" si="80"/>
        <v>40248</v>
      </c>
      <c r="B203" s="59" t="s">
        <v>10</v>
      </c>
      <c r="C203">
        <v>762.6</v>
      </c>
      <c r="D203">
        <v>805.4</v>
      </c>
      <c r="E203">
        <v>1489.8</v>
      </c>
      <c r="F203">
        <v>1376.9</v>
      </c>
      <c r="G203" s="2">
        <f t="shared" si="81"/>
        <v>2252.4</v>
      </c>
      <c r="H203" s="2">
        <f t="shared" si="82"/>
        <v>2182.3000000000002</v>
      </c>
      <c r="I203" s="30">
        <f t="shared" si="83"/>
        <v>3.2122073042203159</v>
      </c>
    </row>
    <row r="204" spans="1:9" x14ac:dyDescent="0.25">
      <c r="A204" s="33">
        <f t="shared" si="80"/>
        <v>40255</v>
      </c>
      <c r="B204" s="59" t="s">
        <v>10</v>
      </c>
      <c r="C204">
        <v>745.9</v>
      </c>
      <c r="D204">
        <v>866</v>
      </c>
      <c r="E204">
        <v>1617.7</v>
      </c>
      <c r="F204">
        <v>1458.7</v>
      </c>
      <c r="G204" s="2">
        <f t="shared" si="81"/>
        <v>2363.6</v>
      </c>
      <c r="H204" s="2">
        <f t="shared" si="82"/>
        <v>2324.6999999999998</v>
      </c>
      <c r="I204" s="30">
        <f t="shared" si="83"/>
        <v>1.6733341936594037</v>
      </c>
    </row>
    <row r="205" spans="1:9" x14ac:dyDescent="0.25">
      <c r="A205" s="33">
        <f t="shared" si="80"/>
        <v>40262</v>
      </c>
      <c r="B205" s="59" t="s">
        <v>10</v>
      </c>
      <c r="C205">
        <v>738.1</v>
      </c>
      <c r="D205">
        <v>915.6</v>
      </c>
      <c r="E205">
        <v>1684.8</v>
      </c>
      <c r="F205">
        <v>1480.6</v>
      </c>
      <c r="G205" s="2">
        <f t="shared" si="81"/>
        <v>2422.9</v>
      </c>
      <c r="H205" s="2">
        <f t="shared" si="82"/>
        <v>2396.1999999999998</v>
      </c>
      <c r="I205" s="30">
        <f t="shared" si="83"/>
        <v>1.1142642517319112</v>
      </c>
    </row>
    <row r="206" spans="1:9" x14ac:dyDescent="0.25">
      <c r="A206" s="33">
        <f t="shared" si="80"/>
        <v>40269</v>
      </c>
      <c r="B206" s="59" t="s">
        <v>10</v>
      </c>
      <c r="C206">
        <v>730.5</v>
      </c>
      <c r="D206">
        <v>983.9</v>
      </c>
      <c r="E206">
        <v>1692.3</v>
      </c>
      <c r="F206">
        <v>1567.3</v>
      </c>
      <c r="G206" s="2">
        <f t="shared" si="81"/>
        <v>2422.8000000000002</v>
      </c>
      <c r="H206" s="2">
        <f t="shared" si="82"/>
        <v>2551.1999999999998</v>
      </c>
      <c r="I206" s="30">
        <f t="shared" si="83"/>
        <v>-5.0329256820319745</v>
      </c>
    </row>
    <row r="207" spans="1:9" x14ac:dyDescent="0.25">
      <c r="A207" s="33">
        <f t="shared" si="80"/>
        <v>40276</v>
      </c>
      <c r="B207" s="59" t="s">
        <v>10</v>
      </c>
      <c r="C207">
        <v>667.3</v>
      </c>
      <c r="D207">
        <v>865.2</v>
      </c>
      <c r="E207">
        <v>1788.4</v>
      </c>
      <c r="F207">
        <v>1687.1</v>
      </c>
      <c r="G207" s="2">
        <f t="shared" si="81"/>
        <v>2455.6999999999998</v>
      </c>
      <c r="H207" s="2">
        <f t="shared" si="82"/>
        <v>2552.3000000000002</v>
      </c>
      <c r="I207" s="30">
        <f t="shared" si="83"/>
        <v>-3.7848215335188007</v>
      </c>
    </row>
    <row r="208" spans="1:9" x14ac:dyDescent="0.25">
      <c r="A208" s="33">
        <f t="shared" si="80"/>
        <v>40283</v>
      </c>
      <c r="B208" s="59" t="s">
        <v>10</v>
      </c>
      <c r="C208">
        <v>584.6</v>
      </c>
      <c r="D208">
        <v>798</v>
      </c>
      <c r="E208">
        <v>1885.5</v>
      </c>
      <c r="F208">
        <v>1774.2</v>
      </c>
      <c r="G208" s="2">
        <f t="shared" si="81"/>
        <v>2470.1</v>
      </c>
      <c r="H208" s="2">
        <f t="shared" si="82"/>
        <v>2572.1999999999998</v>
      </c>
      <c r="I208" s="30">
        <f t="shared" si="83"/>
        <v>-3.9693647461317094</v>
      </c>
    </row>
    <row r="209" spans="1:10" x14ac:dyDescent="0.25">
      <c r="A209" s="33">
        <f t="shared" si="80"/>
        <v>40290</v>
      </c>
      <c r="B209" s="59" t="s">
        <v>10</v>
      </c>
      <c r="C209">
        <v>688.3</v>
      </c>
      <c r="D209">
        <v>721.5</v>
      </c>
      <c r="E209">
        <v>1910.8</v>
      </c>
      <c r="F209">
        <v>1870.2</v>
      </c>
      <c r="G209" s="2">
        <f t="shared" si="81"/>
        <v>2599.1</v>
      </c>
      <c r="H209" s="2">
        <f t="shared" si="82"/>
        <v>2591.6999999999998</v>
      </c>
      <c r="I209" s="30">
        <f t="shared" si="83"/>
        <v>0.28552687425242862</v>
      </c>
    </row>
    <row r="210" spans="1:10" x14ac:dyDescent="0.25">
      <c r="A210" s="33">
        <f t="shared" si="80"/>
        <v>40297</v>
      </c>
      <c r="B210" s="59" t="s">
        <v>10</v>
      </c>
      <c r="C210">
        <v>671.5</v>
      </c>
      <c r="D210">
        <v>638.20000000000005</v>
      </c>
      <c r="E210">
        <v>2038</v>
      </c>
      <c r="F210">
        <v>1961.6</v>
      </c>
      <c r="G210" s="2">
        <f t="shared" si="81"/>
        <v>2709.5</v>
      </c>
      <c r="H210" s="2">
        <f t="shared" si="82"/>
        <v>2599.8000000000002</v>
      </c>
      <c r="I210" s="30">
        <f t="shared" si="83"/>
        <v>4.2195553504115635</v>
      </c>
    </row>
    <row r="211" spans="1:10" x14ac:dyDescent="0.25">
      <c r="A211" s="33">
        <f t="shared" si="80"/>
        <v>40304</v>
      </c>
      <c r="B211" s="59" t="s">
        <v>10</v>
      </c>
      <c r="C211">
        <v>558.20000000000005</v>
      </c>
      <c r="D211">
        <v>702.3</v>
      </c>
      <c r="E211">
        <v>2162</v>
      </c>
      <c r="F211">
        <v>2103</v>
      </c>
      <c r="G211" s="2">
        <f t="shared" si="81"/>
        <v>2720.2</v>
      </c>
      <c r="H211" s="2">
        <f t="shared" si="82"/>
        <v>2805.3</v>
      </c>
      <c r="I211" s="30">
        <f t="shared" si="83"/>
        <v>-3.0335436495205648</v>
      </c>
      <c r="J211">
        <v>0</v>
      </c>
    </row>
    <row r="212" spans="1:10" x14ac:dyDescent="0.25">
      <c r="A212" s="33">
        <f t="shared" si="80"/>
        <v>40311</v>
      </c>
      <c r="B212" s="59" t="s">
        <v>10</v>
      </c>
      <c r="C212">
        <v>601.79999999999995</v>
      </c>
      <c r="D212">
        <v>672.3</v>
      </c>
      <c r="E212">
        <v>2174.1999999999998</v>
      </c>
      <c r="F212">
        <v>2175.5</v>
      </c>
      <c r="G212" s="2">
        <f t="shared" si="81"/>
        <v>2776</v>
      </c>
      <c r="H212" s="2">
        <f t="shared" si="82"/>
        <v>2847.8</v>
      </c>
      <c r="I212" s="30">
        <f t="shared" si="83"/>
        <v>-2.521244469414996</v>
      </c>
      <c r="J212">
        <v>0</v>
      </c>
    </row>
    <row r="213" spans="1:10" x14ac:dyDescent="0.25">
      <c r="A213" s="33">
        <f t="shared" si="80"/>
        <v>40318</v>
      </c>
      <c r="B213" s="59" t="s">
        <v>10</v>
      </c>
      <c r="C213">
        <v>594.4</v>
      </c>
      <c r="D213">
        <v>788.8</v>
      </c>
      <c r="E213">
        <v>2206.5</v>
      </c>
      <c r="F213">
        <v>2234.6</v>
      </c>
      <c r="G213" s="2">
        <f t="shared" si="81"/>
        <v>2800.9</v>
      </c>
      <c r="H213" s="2">
        <f t="shared" si="82"/>
        <v>3023.3999999999996</v>
      </c>
      <c r="I213" s="30">
        <f t="shared" si="83"/>
        <v>-7.3592644043130147</v>
      </c>
      <c r="J213">
        <v>0</v>
      </c>
    </row>
    <row r="214" spans="1:10" x14ac:dyDescent="0.25">
      <c r="A214" s="33">
        <f t="shared" si="80"/>
        <v>40325</v>
      </c>
      <c r="B214" s="59" t="s">
        <v>10</v>
      </c>
      <c r="C214">
        <v>421.8</v>
      </c>
      <c r="D214">
        <v>634.9</v>
      </c>
      <c r="E214">
        <v>2375.1999999999998</v>
      </c>
      <c r="F214">
        <v>2398.4</v>
      </c>
      <c r="G214" s="2">
        <f t="shared" si="81"/>
        <v>2797</v>
      </c>
      <c r="H214" s="2">
        <f t="shared" si="82"/>
        <v>3033.3</v>
      </c>
      <c r="I214" s="30">
        <f t="shared" si="83"/>
        <v>-7.7901954966538174</v>
      </c>
      <c r="J214">
        <v>0</v>
      </c>
    </row>
    <row r="215" spans="1:10" x14ac:dyDescent="0.25">
      <c r="A215" s="33">
        <f t="shared" si="80"/>
        <v>40332</v>
      </c>
      <c r="B215" s="59" t="s">
        <v>10</v>
      </c>
      <c r="C215">
        <v>479.9</v>
      </c>
      <c r="D215">
        <v>718.3</v>
      </c>
      <c r="E215">
        <v>2382.1</v>
      </c>
      <c r="F215">
        <v>2417.3000000000002</v>
      </c>
      <c r="G215" s="2">
        <f t="shared" si="81"/>
        <v>2862</v>
      </c>
      <c r="H215" s="2">
        <f t="shared" si="82"/>
        <v>3135.6000000000004</v>
      </c>
      <c r="I215" s="30">
        <f t="shared" si="83"/>
        <v>-8.7256027554535098</v>
      </c>
      <c r="J215">
        <v>0</v>
      </c>
    </row>
    <row r="216" spans="1:10" x14ac:dyDescent="0.25">
      <c r="A216" s="33">
        <f t="shared" si="80"/>
        <v>40339</v>
      </c>
      <c r="B216" s="59" t="s">
        <v>10</v>
      </c>
      <c r="C216">
        <v>532.29999999999995</v>
      </c>
      <c r="D216">
        <v>800.3</v>
      </c>
      <c r="E216">
        <v>2392.3000000000002</v>
      </c>
      <c r="F216">
        <v>2425.6</v>
      </c>
      <c r="G216" s="2">
        <f t="shared" ref="G216:G247" si="84">+C216+E216</f>
        <v>2924.6000000000004</v>
      </c>
      <c r="H216" s="2">
        <f t="shared" ref="H216:H247" si="85">+D216+F216</f>
        <v>3225.8999999999996</v>
      </c>
      <c r="I216" s="30">
        <f t="shared" si="83"/>
        <v>-9.3400291391549484</v>
      </c>
      <c r="J216">
        <v>0</v>
      </c>
    </row>
    <row r="217" spans="1:10" x14ac:dyDescent="0.25">
      <c r="A217" s="33">
        <f t="shared" si="80"/>
        <v>40346</v>
      </c>
      <c r="B217" s="59" t="s">
        <v>10</v>
      </c>
      <c r="C217">
        <v>521.5</v>
      </c>
      <c r="D217">
        <v>731.5</v>
      </c>
      <c r="E217">
        <v>2435.1</v>
      </c>
      <c r="F217">
        <v>2523.8000000000002</v>
      </c>
      <c r="G217" s="2">
        <f t="shared" si="84"/>
        <v>2956.6</v>
      </c>
      <c r="H217" s="2">
        <f t="shared" si="85"/>
        <v>3255.3</v>
      </c>
      <c r="I217" s="30">
        <f t="shared" si="83"/>
        <v>-9.1758056093140468</v>
      </c>
      <c r="J217">
        <v>0</v>
      </c>
    </row>
    <row r="218" spans="1:10" x14ac:dyDescent="0.25">
      <c r="A218" s="33">
        <f t="shared" si="80"/>
        <v>40353</v>
      </c>
      <c r="B218" s="59" t="s">
        <v>10</v>
      </c>
      <c r="C218">
        <v>516.20000000000005</v>
      </c>
      <c r="D218">
        <v>729</v>
      </c>
      <c r="E218">
        <v>2443</v>
      </c>
      <c r="F218">
        <v>2654.2</v>
      </c>
      <c r="G218" s="2">
        <f t="shared" si="84"/>
        <v>2959.2</v>
      </c>
      <c r="H218" s="2">
        <f t="shared" si="85"/>
        <v>3383.2</v>
      </c>
      <c r="I218" s="30">
        <f t="shared" si="83"/>
        <v>-12.53251359659494</v>
      </c>
      <c r="J218">
        <v>61.5</v>
      </c>
    </row>
    <row r="219" spans="1:10" x14ac:dyDescent="0.25">
      <c r="A219" s="33">
        <f t="shared" si="80"/>
        <v>40360</v>
      </c>
      <c r="B219" s="59" t="s">
        <v>10</v>
      </c>
      <c r="C219">
        <v>529.79999999999995</v>
      </c>
      <c r="D219">
        <v>731</v>
      </c>
      <c r="E219">
        <v>2457.8000000000002</v>
      </c>
      <c r="F219">
        <v>2681.9</v>
      </c>
      <c r="G219" s="2">
        <f t="shared" si="84"/>
        <v>2987.6000000000004</v>
      </c>
      <c r="H219" s="2">
        <f t="shared" si="85"/>
        <v>3412.9</v>
      </c>
      <c r="I219" s="30">
        <f t="shared" ref="I219:I250" si="86">+(G219/H219-1)*100</f>
        <v>-12.46154296932227</v>
      </c>
      <c r="J219">
        <v>0</v>
      </c>
    </row>
    <row r="220" spans="1:10" x14ac:dyDescent="0.25">
      <c r="A220" s="33">
        <f t="shared" si="80"/>
        <v>40367</v>
      </c>
      <c r="B220" s="59" t="s">
        <v>10</v>
      </c>
      <c r="C220">
        <v>527.6</v>
      </c>
      <c r="D220">
        <v>679.2</v>
      </c>
      <c r="E220">
        <v>2517.3000000000002</v>
      </c>
      <c r="F220">
        <v>2752.4</v>
      </c>
      <c r="G220" s="2">
        <f t="shared" si="84"/>
        <v>3044.9</v>
      </c>
      <c r="H220" s="2">
        <f t="shared" si="85"/>
        <v>3431.6000000000004</v>
      </c>
      <c r="I220" s="30">
        <f t="shared" si="86"/>
        <v>-11.268795896957695</v>
      </c>
    </row>
    <row r="221" spans="1:10" x14ac:dyDescent="0.25">
      <c r="A221" s="33">
        <f t="shared" si="80"/>
        <v>40374</v>
      </c>
      <c r="B221" s="59" t="s">
        <v>10</v>
      </c>
      <c r="C221">
        <v>475.7</v>
      </c>
      <c r="D221">
        <v>664.3</v>
      </c>
      <c r="E221">
        <v>2571.6</v>
      </c>
      <c r="F221">
        <v>2783.8</v>
      </c>
      <c r="G221" s="2">
        <f t="shared" si="84"/>
        <v>3047.2999999999997</v>
      </c>
      <c r="H221" s="2">
        <f t="shared" si="85"/>
        <v>3448.1000000000004</v>
      </c>
      <c r="I221" s="30">
        <f t="shared" si="86"/>
        <v>-11.623792813433498</v>
      </c>
    </row>
    <row r="222" spans="1:10" x14ac:dyDescent="0.25">
      <c r="A222" s="33">
        <f t="shared" si="80"/>
        <v>40381</v>
      </c>
      <c r="B222" s="59" t="s">
        <v>10</v>
      </c>
      <c r="C222">
        <v>504.1</v>
      </c>
      <c r="D222">
        <v>696.7</v>
      </c>
      <c r="E222">
        <v>2583.3000000000002</v>
      </c>
      <c r="F222">
        <v>2792.4</v>
      </c>
      <c r="G222" s="2">
        <f t="shared" si="84"/>
        <v>3087.4</v>
      </c>
      <c r="H222" s="2">
        <f t="shared" si="85"/>
        <v>3489.1000000000004</v>
      </c>
      <c r="I222" s="30">
        <f t="shared" si="86"/>
        <v>-11.512997621163057</v>
      </c>
      <c r="J222">
        <v>2</v>
      </c>
    </row>
    <row r="223" spans="1:10" x14ac:dyDescent="0.25">
      <c r="A223" s="33">
        <f t="shared" si="80"/>
        <v>40388</v>
      </c>
      <c r="B223" s="59" t="s">
        <v>10</v>
      </c>
      <c r="C223">
        <v>515.4</v>
      </c>
      <c r="D223">
        <v>628</v>
      </c>
      <c r="E223">
        <v>2592.8000000000002</v>
      </c>
      <c r="F223">
        <v>2866.2</v>
      </c>
      <c r="G223" s="2">
        <f t="shared" si="84"/>
        <v>3108.2000000000003</v>
      </c>
      <c r="H223" s="2">
        <f t="shared" si="85"/>
        <v>3494.2</v>
      </c>
      <c r="I223" s="30">
        <f t="shared" si="86"/>
        <v>-11.046877683017565</v>
      </c>
      <c r="J223">
        <v>2</v>
      </c>
    </row>
    <row r="224" spans="1:10" x14ac:dyDescent="0.25">
      <c r="A224" s="33">
        <f t="shared" si="80"/>
        <v>40395</v>
      </c>
      <c r="B224" s="59" t="s">
        <v>10</v>
      </c>
      <c r="C224">
        <v>461.7</v>
      </c>
      <c r="D224">
        <v>568.1</v>
      </c>
      <c r="E224">
        <v>2717.5</v>
      </c>
      <c r="F224">
        <v>2954.2</v>
      </c>
      <c r="G224" s="2">
        <f t="shared" si="84"/>
        <v>3179.2</v>
      </c>
      <c r="H224" s="2">
        <f t="shared" si="85"/>
        <v>3522.2999999999997</v>
      </c>
      <c r="I224" s="30">
        <f t="shared" si="86"/>
        <v>-9.7407943673168074</v>
      </c>
      <c r="J224">
        <v>49.5</v>
      </c>
    </row>
    <row r="225" spans="1:10" x14ac:dyDescent="0.25">
      <c r="A225" s="33">
        <f t="shared" si="80"/>
        <v>40402</v>
      </c>
      <c r="B225" s="59" t="s">
        <v>10</v>
      </c>
      <c r="C225">
        <v>434.2</v>
      </c>
      <c r="D225">
        <v>486.5</v>
      </c>
      <c r="E225">
        <v>2788.6</v>
      </c>
      <c r="F225">
        <v>3048</v>
      </c>
      <c r="G225" s="2">
        <f t="shared" si="84"/>
        <v>3222.7999999999997</v>
      </c>
      <c r="H225" s="2">
        <f t="shared" si="85"/>
        <v>3534.5</v>
      </c>
      <c r="I225" s="30">
        <f t="shared" si="86"/>
        <v>-8.8187862498231731</v>
      </c>
      <c r="J225">
        <v>120</v>
      </c>
    </row>
    <row r="226" spans="1:10" x14ac:dyDescent="0.25">
      <c r="A226" s="33">
        <f t="shared" si="80"/>
        <v>40409</v>
      </c>
      <c r="B226" s="59" t="s">
        <v>10</v>
      </c>
      <c r="C226">
        <v>451</v>
      </c>
      <c r="D226">
        <v>456.9</v>
      </c>
      <c r="E226">
        <v>2843.5</v>
      </c>
      <c r="F226">
        <v>3137.1</v>
      </c>
      <c r="G226" s="2">
        <f t="shared" si="84"/>
        <v>3294.5</v>
      </c>
      <c r="H226" s="2">
        <f t="shared" si="85"/>
        <v>3594</v>
      </c>
      <c r="I226" s="30">
        <f t="shared" si="86"/>
        <v>-8.3333333333333375</v>
      </c>
      <c r="J226">
        <v>199</v>
      </c>
    </row>
    <row r="227" spans="1:10" x14ac:dyDescent="0.25">
      <c r="A227" s="33">
        <f t="shared" si="80"/>
        <v>40416</v>
      </c>
      <c r="B227" s="59" t="s">
        <v>10</v>
      </c>
      <c r="C227">
        <v>424.9</v>
      </c>
      <c r="D227">
        <v>405.9</v>
      </c>
      <c r="E227">
        <v>2878.2</v>
      </c>
      <c r="F227">
        <v>3171.7</v>
      </c>
      <c r="G227" s="2">
        <f t="shared" si="84"/>
        <v>3303.1</v>
      </c>
      <c r="H227" s="2">
        <f t="shared" si="85"/>
        <v>3577.6</v>
      </c>
      <c r="I227" s="30">
        <f t="shared" si="86"/>
        <v>-7.6727415026833672</v>
      </c>
      <c r="J227">
        <v>220.6</v>
      </c>
    </row>
    <row r="228" spans="1:10" x14ac:dyDescent="0.25">
      <c r="A228" s="33">
        <f t="shared" si="80"/>
        <v>40423</v>
      </c>
      <c r="B228" s="59" t="s">
        <v>10</v>
      </c>
      <c r="C228">
        <v>651.4</v>
      </c>
      <c r="D228">
        <v>487.9</v>
      </c>
      <c r="E228">
        <v>0</v>
      </c>
      <c r="F228">
        <v>4.3</v>
      </c>
      <c r="G228" s="2">
        <f t="shared" si="84"/>
        <v>651.4</v>
      </c>
      <c r="H228" s="2">
        <f t="shared" si="85"/>
        <v>492.2</v>
      </c>
      <c r="I228" s="30">
        <f t="shared" si="86"/>
        <v>32.344575375863457</v>
      </c>
    </row>
    <row r="229" spans="1:10" x14ac:dyDescent="0.25">
      <c r="A229" s="33">
        <f t="shared" si="80"/>
        <v>40430</v>
      </c>
      <c r="B229" s="59" t="s">
        <v>10</v>
      </c>
      <c r="C229">
        <v>633.70000000000005</v>
      </c>
      <c r="D229">
        <v>625.6</v>
      </c>
      <c r="E229">
        <v>18.7</v>
      </c>
      <c r="F229">
        <v>92.6</v>
      </c>
      <c r="G229" s="2">
        <f t="shared" si="84"/>
        <v>652.40000000000009</v>
      </c>
      <c r="H229" s="2">
        <f t="shared" si="85"/>
        <v>718.2</v>
      </c>
      <c r="I229" s="30">
        <f t="shared" si="86"/>
        <v>-9.161793372319682</v>
      </c>
    </row>
    <row r="230" spans="1:10" x14ac:dyDescent="0.25">
      <c r="A230" s="33">
        <f t="shared" si="80"/>
        <v>40437</v>
      </c>
      <c r="B230" s="59" t="s">
        <v>10</v>
      </c>
      <c r="C230">
        <v>655.29999999999995</v>
      </c>
      <c r="D230">
        <v>603.9</v>
      </c>
      <c r="E230">
        <v>29.5</v>
      </c>
      <c r="F230">
        <v>129.6</v>
      </c>
      <c r="G230" s="2">
        <f t="shared" si="84"/>
        <v>684.8</v>
      </c>
      <c r="H230" s="2">
        <f t="shared" si="85"/>
        <v>733.5</v>
      </c>
      <c r="I230" s="30">
        <f t="shared" si="86"/>
        <v>-6.6394001363326627</v>
      </c>
    </row>
    <row r="231" spans="1:10" x14ac:dyDescent="0.25">
      <c r="A231" s="33">
        <f t="shared" si="80"/>
        <v>40444</v>
      </c>
      <c r="B231" s="59" t="s">
        <v>10</v>
      </c>
      <c r="C231">
        <v>598.70000000000005</v>
      </c>
      <c r="D231">
        <v>667.7</v>
      </c>
      <c r="E231">
        <v>95.1</v>
      </c>
      <c r="F231">
        <v>158.69999999999999</v>
      </c>
      <c r="G231" s="2">
        <f t="shared" si="84"/>
        <v>693.80000000000007</v>
      </c>
      <c r="H231" s="2">
        <f t="shared" si="85"/>
        <v>826.40000000000009</v>
      </c>
      <c r="I231" s="30">
        <f t="shared" si="86"/>
        <v>-16.04549854791868</v>
      </c>
    </row>
    <row r="232" spans="1:10" x14ac:dyDescent="0.25">
      <c r="A232" s="33">
        <f t="shared" si="80"/>
        <v>40451</v>
      </c>
      <c r="B232" s="59" t="s">
        <v>10</v>
      </c>
      <c r="C232">
        <v>588.5</v>
      </c>
      <c r="D232">
        <v>700.3</v>
      </c>
      <c r="E232">
        <v>117.2</v>
      </c>
      <c r="F232">
        <v>195.9</v>
      </c>
      <c r="G232" s="2">
        <f t="shared" si="84"/>
        <v>705.7</v>
      </c>
      <c r="H232" s="2">
        <f t="shared" si="85"/>
        <v>896.19999999999993</v>
      </c>
      <c r="I232" s="30">
        <f t="shared" si="86"/>
        <v>-21.256415978576204</v>
      </c>
    </row>
    <row r="233" spans="1:10" x14ac:dyDescent="0.25">
      <c r="A233" s="33">
        <f t="shared" si="80"/>
        <v>40458</v>
      </c>
      <c r="B233" s="59" t="s">
        <v>10</v>
      </c>
      <c r="C233">
        <v>620.70000000000005</v>
      </c>
      <c r="D233">
        <v>691.1</v>
      </c>
      <c r="E233">
        <v>129.1</v>
      </c>
      <c r="F233">
        <v>232.5</v>
      </c>
      <c r="G233" s="2">
        <f t="shared" si="84"/>
        <v>749.80000000000007</v>
      </c>
      <c r="H233" s="2">
        <f t="shared" si="85"/>
        <v>923.6</v>
      </c>
      <c r="I233" s="30">
        <f t="shared" si="86"/>
        <v>-18.817669987007356</v>
      </c>
    </row>
    <row r="234" spans="1:10" x14ac:dyDescent="0.25">
      <c r="A234" s="33">
        <f t="shared" si="80"/>
        <v>40465</v>
      </c>
      <c r="B234" s="59" t="s">
        <v>10</v>
      </c>
      <c r="C234">
        <v>586.29999999999995</v>
      </c>
      <c r="D234">
        <v>663.9</v>
      </c>
      <c r="E234">
        <v>181.9</v>
      </c>
      <c r="F234">
        <v>270.60000000000002</v>
      </c>
      <c r="G234" s="2">
        <f t="shared" si="84"/>
        <v>768.19999999999993</v>
      </c>
      <c r="H234" s="2">
        <f t="shared" si="85"/>
        <v>934.5</v>
      </c>
      <c r="I234" s="30">
        <f t="shared" si="86"/>
        <v>-17.795612627073311</v>
      </c>
    </row>
    <row r="235" spans="1:10" x14ac:dyDescent="0.25">
      <c r="A235" s="33">
        <f t="shared" si="80"/>
        <v>40472</v>
      </c>
      <c r="B235" s="59" t="s">
        <v>10</v>
      </c>
      <c r="C235">
        <v>568.70000000000005</v>
      </c>
      <c r="D235">
        <v>618.1</v>
      </c>
      <c r="E235">
        <v>201.9</v>
      </c>
      <c r="F235">
        <v>352.2</v>
      </c>
      <c r="G235" s="2">
        <f t="shared" si="84"/>
        <v>770.6</v>
      </c>
      <c r="H235" s="2">
        <f t="shared" si="85"/>
        <v>970.3</v>
      </c>
      <c r="I235" s="30">
        <f t="shared" si="86"/>
        <v>-20.581263526744298</v>
      </c>
    </row>
    <row r="236" spans="1:10" x14ac:dyDescent="0.25">
      <c r="A236" s="33">
        <f t="shared" si="80"/>
        <v>40479</v>
      </c>
      <c r="B236" s="59" t="s">
        <v>10</v>
      </c>
      <c r="C236">
        <v>579.9</v>
      </c>
      <c r="D236">
        <v>681.6</v>
      </c>
      <c r="E236">
        <v>217.9</v>
      </c>
      <c r="F236">
        <v>371.9</v>
      </c>
      <c r="G236" s="2">
        <f t="shared" si="84"/>
        <v>797.8</v>
      </c>
      <c r="H236" s="2">
        <f t="shared" si="85"/>
        <v>1053.5</v>
      </c>
      <c r="I236" s="30">
        <f t="shared" si="86"/>
        <v>-24.271476032273377</v>
      </c>
    </row>
    <row r="237" spans="1:10" x14ac:dyDescent="0.25">
      <c r="A237" s="33">
        <f t="shared" si="80"/>
        <v>40486</v>
      </c>
      <c r="B237" s="59" t="s">
        <v>10</v>
      </c>
      <c r="C237">
        <v>565.5</v>
      </c>
      <c r="D237">
        <v>667.1</v>
      </c>
      <c r="E237">
        <v>305.60000000000002</v>
      </c>
      <c r="F237">
        <v>387.2</v>
      </c>
      <c r="G237" s="2">
        <f t="shared" si="84"/>
        <v>871.1</v>
      </c>
      <c r="H237" s="2">
        <f t="shared" si="85"/>
        <v>1054.3</v>
      </c>
      <c r="I237" s="30">
        <f t="shared" si="86"/>
        <v>-17.376458313572986</v>
      </c>
    </row>
    <row r="238" spans="1:10" x14ac:dyDescent="0.25">
      <c r="A238" s="33">
        <f t="shared" si="80"/>
        <v>40493</v>
      </c>
      <c r="B238" s="59" t="s">
        <v>10</v>
      </c>
      <c r="C238">
        <v>589</v>
      </c>
      <c r="D238">
        <v>675.6</v>
      </c>
      <c r="E238">
        <v>324.60000000000002</v>
      </c>
      <c r="F238">
        <v>398.5</v>
      </c>
      <c r="G238" s="2">
        <f t="shared" si="84"/>
        <v>913.6</v>
      </c>
      <c r="H238" s="2">
        <f t="shared" si="85"/>
        <v>1074.0999999999999</v>
      </c>
      <c r="I238" s="30">
        <f t="shared" si="86"/>
        <v>-14.942742761381611</v>
      </c>
    </row>
    <row r="239" spans="1:10" x14ac:dyDescent="0.25">
      <c r="A239" s="33">
        <f t="shared" si="80"/>
        <v>40500</v>
      </c>
      <c r="B239" s="59" t="s">
        <v>10</v>
      </c>
      <c r="C239">
        <v>534.20000000000005</v>
      </c>
      <c r="D239">
        <v>621.29999999999995</v>
      </c>
      <c r="E239">
        <v>406.2</v>
      </c>
      <c r="F239">
        <v>470.1</v>
      </c>
      <c r="G239" s="2">
        <f t="shared" si="84"/>
        <v>940.40000000000009</v>
      </c>
      <c r="H239" s="2">
        <f t="shared" si="85"/>
        <v>1091.4000000000001</v>
      </c>
      <c r="I239" s="30">
        <f t="shared" si="86"/>
        <v>-13.835440718343406</v>
      </c>
    </row>
    <row r="240" spans="1:10" x14ac:dyDescent="0.25">
      <c r="A240" s="33">
        <f t="shared" si="80"/>
        <v>40507</v>
      </c>
      <c r="B240" s="59" t="s">
        <v>10</v>
      </c>
      <c r="C240">
        <v>542</v>
      </c>
      <c r="D240">
        <v>578.1</v>
      </c>
      <c r="E240">
        <v>423.5</v>
      </c>
      <c r="F240">
        <v>625.6</v>
      </c>
      <c r="G240" s="2">
        <f t="shared" si="84"/>
        <v>965.5</v>
      </c>
      <c r="H240" s="2">
        <f t="shared" si="85"/>
        <v>1203.7</v>
      </c>
      <c r="I240" s="30">
        <f t="shared" si="86"/>
        <v>-19.78898396610451</v>
      </c>
    </row>
    <row r="241" spans="1:9" x14ac:dyDescent="0.25">
      <c r="A241" s="33">
        <f t="shared" si="80"/>
        <v>40514</v>
      </c>
      <c r="B241" s="59" t="s">
        <v>10</v>
      </c>
      <c r="C241">
        <v>652.1</v>
      </c>
      <c r="D241">
        <v>592.5</v>
      </c>
      <c r="E241">
        <v>524.9</v>
      </c>
      <c r="F241">
        <v>636.79999999999995</v>
      </c>
      <c r="G241" s="2">
        <f t="shared" si="84"/>
        <v>1177</v>
      </c>
      <c r="H241" s="2">
        <f t="shared" si="85"/>
        <v>1229.3</v>
      </c>
      <c r="I241" s="30">
        <f t="shared" si="86"/>
        <v>-4.2544537541690408</v>
      </c>
    </row>
    <row r="242" spans="1:9" x14ac:dyDescent="0.25">
      <c r="A242" s="33">
        <f t="shared" si="80"/>
        <v>40521</v>
      </c>
      <c r="B242" s="59" t="s">
        <v>10</v>
      </c>
      <c r="C242">
        <v>650.29999999999995</v>
      </c>
      <c r="D242">
        <v>616.70000000000005</v>
      </c>
      <c r="E242">
        <v>546.29999999999995</v>
      </c>
      <c r="F242">
        <v>663.9</v>
      </c>
      <c r="G242" s="2">
        <f t="shared" si="84"/>
        <v>1196.5999999999999</v>
      </c>
      <c r="H242" s="2">
        <f t="shared" si="85"/>
        <v>1280.5999999999999</v>
      </c>
      <c r="I242" s="30">
        <f t="shared" si="86"/>
        <v>-6.5594252694049615</v>
      </c>
    </row>
    <row r="243" spans="1:9" x14ac:dyDescent="0.25">
      <c r="A243" s="33">
        <f t="shared" si="80"/>
        <v>40528</v>
      </c>
      <c r="B243" s="59" t="s">
        <v>10</v>
      </c>
      <c r="C243">
        <v>565.5</v>
      </c>
      <c r="D243">
        <v>765.6</v>
      </c>
      <c r="E243">
        <v>639</v>
      </c>
      <c r="F243">
        <v>713</v>
      </c>
      <c r="G243" s="2">
        <f t="shared" si="84"/>
        <v>1204.5</v>
      </c>
      <c r="H243" s="2">
        <f t="shared" si="85"/>
        <v>1478.6</v>
      </c>
      <c r="I243" s="30">
        <f t="shared" si="86"/>
        <v>-18.537806032733663</v>
      </c>
    </row>
    <row r="244" spans="1:9" x14ac:dyDescent="0.25">
      <c r="A244" s="33">
        <f t="shared" si="80"/>
        <v>40535</v>
      </c>
      <c r="B244" s="59" t="s">
        <v>10</v>
      </c>
      <c r="C244">
        <v>533.29999999999995</v>
      </c>
      <c r="D244">
        <v>687.7</v>
      </c>
      <c r="E244">
        <v>682.7</v>
      </c>
      <c r="F244">
        <v>855</v>
      </c>
      <c r="G244" s="2">
        <f t="shared" si="84"/>
        <v>1216</v>
      </c>
      <c r="H244" s="2">
        <f t="shared" si="85"/>
        <v>1542.7</v>
      </c>
      <c r="I244" s="30">
        <f t="shared" si="86"/>
        <v>-21.177156932650554</v>
      </c>
    </row>
    <row r="245" spans="1:9" x14ac:dyDescent="0.25">
      <c r="A245" s="33">
        <f t="shared" si="80"/>
        <v>40542</v>
      </c>
      <c r="B245" s="59" t="s">
        <v>10</v>
      </c>
      <c r="C245">
        <v>523.9</v>
      </c>
      <c r="D245">
        <v>667.2</v>
      </c>
      <c r="E245">
        <v>703</v>
      </c>
      <c r="F245">
        <v>877.5</v>
      </c>
      <c r="G245" s="2">
        <f t="shared" si="84"/>
        <v>1226.9000000000001</v>
      </c>
      <c r="H245" s="2">
        <f t="shared" si="85"/>
        <v>1544.7</v>
      </c>
      <c r="I245" s="30">
        <f t="shared" si="86"/>
        <v>-20.573574156794194</v>
      </c>
    </row>
    <row r="246" spans="1:9" x14ac:dyDescent="0.25">
      <c r="A246" s="33">
        <f t="shared" si="80"/>
        <v>40549</v>
      </c>
      <c r="B246" s="59" t="s">
        <v>10</v>
      </c>
      <c r="C246">
        <v>532.29999999999995</v>
      </c>
      <c r="D246">
        <v>635.9</v>
      </c>
      <c r="E246">
        <v>723.5</v>
      </c>
      <c r="F246">
        <v>989.3</v>
      </c>
      <c r="G246" s="2">
        <f t="shared" si="84"/>
        <v>1255.8</v>
      </c>
      <c r="H246" s="2">
        <f t="shared" si="85"/>
        <v>1625.1999999999998</v>
      </c>
      <c r="I246" s="30">
        <f t="shared" si="86"/>
        <v>-22.72951021412749</v>
      </c>
    </row>
    <row r="247" spans="1:9" x14ac:dyDescent="0.25">
      <c r="A247" s="33">
        <f t="shared" si="80"/>
        <v>40556</v>
      </c>
      <c r="B247" s="59" t="s">
        <v>10</v>
      </c>
      <c r="C247">
        <v>602.79999999999995</v>
      </c>
      <c r="D247">
        <v>787</v>
      </c>
      <c r="E247">
        <v>737.5</v>
      </c>
      <c r="F247">
        <v>1011.6</v>
      </c>
      <c r="G247" s="2">
        <f t="shared" si="84"/>
        <v>1340.3</v>
      </c>
      <c r="H247" s="2">
        <f t="shared" si="85"/>
        <v>1798.6</v>
      </c>
      <c r="I247" s="30">
        <f t="shared" si="86"/>
        <v>-25.480929611920377</v>
      </c>
    </row>
    <row r="248" spans="1:9" x14ac:dyDescent="0.25">
      <c r="A248" s="33">
        <f t="shared" si="80"/>
        <v>40563</v>
      </c>
      <c r="B248" s="59" t="s">
        <v>10</v>
      </c>
      <c r="C248">
        <v>648.6</v>
      </c>
      <c r="D248">
        <v>757.7</v>
      </c>
      <c r="E248">
        <v>758.3</v>
      </c>
      <c r="F248">
        <v>1051.5</v>
      </c>
      <c r="G248" s="2">
        <f t="shared" ref="G248:G266" si="87">+C248+E248</f>
        <v>1406.9</v>
      </c>
      <c r="H248" s="2">
        <f t="shared" ref="H248:H266" si="88">+D248+F248</f>
        <v>1809.2</v>
      </c>
      <c r="I248" s="30">
        <f t="shared" si="86"/>
        <v>-22.236347556931236</v>
      </c>
    </row>
    <row r="249" spans="1:9" x14ac:dyDescent="0.25">
      <c r="A249" s="33">
        <f t="shared" si="80"/>
        <v>40570</v>
      </c>
      <c r="B249" s="59" t="s">
        <v>10</v>
      </c>
      <c r="C249">
        <v>715.4</v>
      </c>
      <c r="D249">
        <v>806.9</v>
      </c>
      <c r="E249">
        <v>883.5</v>
      </c>
      <c r="F249">
        <v>1071.7</v>
      </c>
      <c r="G249" s="2">
        <f t="shared" si="87"/>
        <v>1598.9</v>
      </c>
      <c r="H249" s="2">
        <f t="shared" si="88"/>
        <v>1878.6</v>
      </c>
      <c r="I249" s="30">
        <f t="shared" si="86"/>
        <v>-14.888746939210041</v>
      </c>
    </row>
    <row r="250" spans="1:9" x14ac:dyDescent="0.25">
      <c r="A250" s="33">
        <f t="shared" si="80"/>
        <v>40577</v>
      </c>
      <c r="B250" s="59" t="s">
        <v>10</v>
      </c>
      <c r="C250">
        <v>710.5</v>
      </c>
      <c r="D250">
        <v>788</v>
      </c>
      <c r="E250">
        <v>899.3</v>
      </c>
      <c r="F250">
        <v>1090.4000000000001</v>
      </c>
      <c r="G250" s="2">
        <f t="shared" si="87"/>
        <v>1609.8</v>
      </c>
      <c r="H250" s="2">
        <f t="shared" si="88"/>
        <v>1878.4</v>
      </c>
      <c r="I250" s="30">
        <f t="shared" si="86"/>
        <v>-14.299403747870532</v>
      </c>
    </row>
    <row r="251" spans="1:9" x14ac:dyDescent="0.25">
      <c r="A251" s="33">
        <f t="shared" si="80"/>
        <v>40584</v>
      </c>
      <c r="B251" s="59" t="s">
        <v>10</v>
      </c>
      <c r="C251">
        <v>726.7</v>
      </c>
      <c r="D251">
        <v>782.5</v>
      </c>
      <c r="E251">
        <v>908.6</v>
      </c>
      <c r="F251">
        <v>1110.5</v>
      </c>
      <c r="G251" s="2">
        <f t="shared" si="87"/>
        <v>1635.3000000000002</v>
      </c>
      <c r="H251" s="2">
        <f t="shared" si="88"/>
        <v>1893</v>
      </c>
      <c r="I251" s="30">
        <f t="shared" ref="I251:I266" si="89">+(G251/H251-1)*100</f>
        <v>-13.613312202852601</v>
      </c>
    </row>
    <row r="252" spans="1:9" x14ac:dyDescent="0.25">
      <c r="A252" s="33">
        <f t="shared" si="80"/>
        <v>40591</v>
      </c>
      <c r="B252" s="59" t="s">
        <v>10</v>
      </c>
      <c r="C252">
        <v>700.5</v>
      </c>
      <c r="D252">
        <v>651.70000000000005</v>
      </c>
      <c r="E252">
        <v>975.4</v>
      </c>
      <c r="F252">
        <v>1239.5999999999999</v>
      </c>
      <c r="G252" s="2">
        <f t="shared" si="87"/>
        <v>1675.9</v>
      </c>
      <c r="H252" s="2">
        <f t="shared" si="88"/>
        <v>1891.3</v>
      </c>
      <c r="I252" s="30">
        <f t="shared" si="89"/>
        <v>-11.388991698831486</v>
      </c>
    </row>
    <row r="253" spans="1:9" x14ac:dyDescent="0.25">
      <c r="A253" s="33">
        <f t="shared" si="80"/>
        <v>40598</v>
      </c>
      <c r="B253" s="59" t="s">
        <v>10</v>
      </c>
      <c r="C253">
        <v>692.8</v>
      </c>
      <c r="D253">
        <v>555</v>
      </c>
      <c r="E253">
        <v>1002.1</v>
      </c>
      <c r="F253">
        <v>1399.9</v>
      </c>
      <c r="G253" s="2">
        <f t="shared" si="87"/>
        <v>1694.9</v>
      </c>
      <c r="H253" s="2">
        <f t="shared" si="88"/>
        <v>1954.9</v>
      </c>
      <c r="I253" s="30">
        <f t="shared" si="89"/>
        <v>-13.29991303903013</v>
      </c>
    </row>
    <row r="254" spans="1:9" x14ac:dyDescent="0.25">
      <c r="A254" s="33">
        <f t="shared" ref="A254:A317" si="90">+A253+7</f>
        <v>40605</v>
      </c>
      <c r="B254" s="59" t="s">
        <v>10</v>
      </c>
      <c r="C254">
        <v>681.8</v>
      </c>
      <c r="D254">
        <v>587.6</v>
      </c>
      <c r="E254">
        <v>1075.4000000000001</v>
      </c>
      <c r="F254">
        <v>1471.5</v>
      </c>
      <c r="G254" s="2">
        <f t="shared" si="87"/>
        <v>1757.2</v>
      </c>
      <c r="H254" s="2">
        <f t="shared" si="88"/>
        <v>2059.1</v>
      </c>
      <c r="I254" s="30">
        <f t="shared" si="89"/>
        <v>-14.661745422757511</v>
      </c>
    </row>
    <row r="255" spans="1:9" x14ac:dyDescent="0.25">
      <c r="A255" s="33">
        <f t="shared" si="90"/>
        <v>40612</v>
      </c>
      <c r="B255" s="59" t="s">
        <v>10</v>
      </c>
      <c r="C255">
        <v>872.2</v>
      </c>
      <c r="D255">
        <v>762.6</v>
      </c>
      <c r="E255">
        <v>1080.0999999999999</v>
      </c>
      <c r="F255">
        <v>1489.8</v>
      </c>
      <c r="G255" s="2">
        <f t="shared" si="87"/>
        <v>1952.3</v>
      </c>
      <c r="H255" s="2">
        <f t="shared" si="88"/>
        <v>2252.4</v>
      </c>
      <c r="I255" s="30">
        <f t="shared" si="89"/>
        <v>-13.323565974072105</v>
      </c>
    </row>
    <row r="256" spans="1:9" x14ac:dyDescent="0.25">
      <c r="A256" s="33">
        <f t="shared" si="90"/>
        <v>40619</v>
      </c>
      <c r="B256" s="59" t="s">
        <v>10</v>
      </c>
      <c r="C256">
        <v>801.2</v>
      </c>
      <c r="D256">
        <v>745.9</v>
      </c>
      <c r="E256">
        <v>1153.5</v>
      </c>
      <c r="F256">
        <v>1617.7</v>
      </c>
      <c r="G256" s="2">
        <f t="shared" si="87"/>
        <v>1954.7</v>
      </c>
      <c r="H256" s="2">
        <f t="shared" si="88"/>
        <v>2363.6</v>
      </c>
      <c r="I256" s="30">
        <f t="shared" si="89"/>
        <v>-17.299881536639017</v>
      </c>
    </row>
    <row r="257" spans="1:10" x14ac:dyDescent="0.25">
      <c r="A257" s="33">
        <f t="shared" si="90"/>
        <v>40626</v>
      </c>
      <c r="B257" s="59" t="s">
        <v>10</v>
      </c>
      <c r="C257">
        <v>778.9</v>
      </c>
      <c r="D257">
        <v>738.1</v>
      </c>
      <c r="E257">
        <v>1236</v>
      </c>
      <c r="F257">
        <v>1684.8</v>
      </c>
      <c r="G257" s="2">
        <f t="shared" si="87"/>
        <v>2014.9</v>
      </c>
      <c r="H257" s="2">
        <f t="shared" si="88"/>
        <v>2422.9</v>
      </c>
      <c r="I257" s="30">
        <f t="shared" si="89"/>
        <v>-16.839324776094767</v>
      </c>
    </row>
    <row r="258" spans="1:10" x14ac:dyDescent="0.25">
      <c r="A258" s="33">
        <f t="shared" si="90"/>
        <v>40633</v>
      </c>
      <c r="B258" s="59" t="s">
        <v>10</v>
      </c>
      <c r="C258">
        <v>951.6</v>
      </c>
      <c r="D258">
        <v>730.6</v>
      </c>
      <c r="E258">
        <v>1261.8</v>
      </c>
      <c r="F258">
        <v>1692.3</v>
      </c>
      <c r="G258" s="2">
        <f t="shared" si="87"/>
        <v>2213.4</v>
      </c>
      <c r="H258" s="2">
        <f t="shared" si="88"/>
        <v>2422.9</v>
      </c>
      <c r="I258" s="30">
        <f t="shared" si="89"/>
        <v>-8.6466630896859122</v>
      </c>
    </row>
    <row r="259" spans="1:10" x14ac:dyDescent="0.25">
      <c r="A259" s="33">
        <f t="shared" si="90"/>
        <v>40640</v>
      </c>
      <c r="B259" s="59" t="s">
        <v>10</v>
      </c>
      <c r="C259">
        <v>953.3</v>
      </c>
      <c r="D259">
        <v>667.3</v>
      </c>
      <c r="E259">
        <v>1358.1</v>
      </c>
      <c r="F259">
        <v>1788.4</v>
      </c>
      <c r="G259" s="2">
        <f t="shared" si="87"/>
        <v>2311.3999999999996</v>
      </c>
      <c r="H259" s="2">
        <f t="shared" si="88"/>
        <v>2455.6999999999998</v>
      </c>
      <c r="I259" s="30">
        <f t="shared" si="89"/>
        <v>-5.8761249338274313</v>
      </c>
    </row>
    <row r="260" spans="1:10" x14ac:dyDescent="0.25">
      <c r="A260" s="33">
        <f t="shared" si="90"/>
        <v>40647</v>
      </c>
      <c r="B260" s="59" t="s">
        <v>10</v>
      </c>
      <c r="C260">
        <v>830.3</v>
      </c>
      <c r="D260">
        <v>584.6</v>
      </c>
      <c r="E260">
        <v>1503.8</v>
      </c>
      <c r="F260">
        <v>1885.5</v>
      </c>
      <c r="G260" s="2">
        <f t="shared" si="87"/>
        <v>2334.1</v>
      </c>
      <c r="H260" s="2">
        <f t="shared" si="88"/>
        <v>2470.1</v>
      </c>
      <c r="I260" s="30">
        <f t="shared" si="89"/>
        <v>-5.505849965588439</v>
      </c>
    </row>
    <row r="261" spans="1:10" x14ac:dyDescent="0.25">
      <c r="A261" s="33">
        <f t="shared" si="90"/>
        <v>40654</v>
      </c>
      <c r="B261" s="59" t="s">
        <v>10</v>
      </c>
      <c r="C261">
        <v>794.4</v>
      </c>
      <c r="D261">
        <v>688.4</v>
      </c>
      <c r="E261">
        <v>1548.2</v>
      </c>
      <c r="F261">
        <v>1910.8</v>
      </c>
      <c r="G261" s="2">
        <f t="shared" si="87"/>
        <v>2342.6</v>
      </c>
      <c r="H261" s="2">
        <f t="shared" si="88"/>
        <v>2599.1999999999998</v>
      </c>
      <c r="I261" s="30">
        <f t="shared" si="89"/>
        <v>-9.8722683902739305</v>
      </c>
    </row>
    <row r="262" spans="1:10" x14ac:dyDescent="0.25">
      <c r="A262" s="33">
        <f t="shared" si="90"/>
        <v>40661</v>
      </c>
      <c r="B262" s="59" t="s">
        <v>10</v>
      </c>
      <c r="C262">
        <v>797.9</v>
      </c>
      <c r="D262">
        <v>671.5</v>
      </c>
      <c r="E262">
        <v>1566.8</v>
      </c>
      <c r="F262">
        <v>2038</v>
      </c>
      <c r="G262" s="2">
        <f t="shared" si="87"/>
        <v>2364.6999999999998</v>
      </c>
      <c r="H262" s="2">
        <f t="shared" si="88"/>
        <v>2709.5</v>
      </c>
      <c r="I262" s="30">
        <f t="shared" si="89"/>
        <v>-12.725595128252454</v>
      </c>
    </row>
    <row r="263" spans="1:10" x14ac:dyDescent="0.25">
      <c r="A263" s="33">
        <f t="shared" si="90"/>
        <v>40668</v>
      </c>
      <c r="B263" s="59" t="s">
        <v>10</v>
      </c>
      <c r="C263">
        <v>702.6</v>
      </c>
      <c r="D263">
        <v>558.20000000000005</v>
      </c>
      <c r="E263">
        <v>1646.4</v>
      </c>
      <c r="F263">
        <v>2162</v>
      </c>
      <c r="G263" s="2">
        <f t="shared" si="87"/>
        <v>2349</v>
      </c>
      <c r="H263" s="2">
        <f t="shared" si="88"/>
        <v>2720.2</v>
      </c>
      <c r="I263" s="30">
        <f t="shared" si="89"/>
        <v>-13.646055437100213</v>
      </c>
    </row>
    <row r="264" spans="1:10" x14ac:dyDescent="0.25">
      <c r="A264" s="33">
        <f t="shared" si="90"/>
        <v>40675</v>
      </c>
      <c r="B264" s="59" t="s">
        <v>10</v>
      </c>
      <c r="C264">
        <v>600.20000000000005</v>
      </c>
      <c r="D264">
        <v>601.79999999999995</v>
      </c>
      <c r="E264">
        <v>1763.1</v>
      </c>
      <c r="F264">
        <v>2174.1999999999998</v>
      </c>
      <c r="G264" s="2">
        <f t="shared" si="87"/>
        <v>2363.3000000000002</v>
      </c>
      <c r="H264" s="2">
        <f t="shared" si="88"/>
        <v>2776</v>
      </c>
      <c r="I264" s="30">
        <f t="shared" si="89"/>
        <v>-14.866714697406335</v>
      </c>
    </row>
    <row r="265" spans="1:10" x14ac:dyDescent="0.25">
      <c r="A265" s="33">
        <f t="shared" si="90"/>
        <v>40682</v>
      </c>
      <c r="B265" s="59" t="s">
        <v>10</v>
      </c>
      <c r="C265">
        <v>600.6</v>
      </c>
      <c r="D265">
        <v>594.4</v>
      </c>
      <c r="E265">
        <v>1790.7</v>
      </c>
      <c r="F265">
        <v>2206.5</v>
      </c>
      <c r="G265" s="2">
        <f t="shared" si="87"/>
        <v>2391.3000000000002</v>
      </c>
      <c r="H265" s="2">
        <f t="shared" si="88"/>
        <v>2800.9</v>
      </c>
      <c r="I265" s="30">
        <f t="shared" si="89"/>
        <v>-14.623870898639723</v>
      </c>
    </row>
    <row r="266" spans="1:10" x14ac:dyDescent="0.25">
      <c r="A266" s="33">
        <f t="shared" si="90"/>
        <v>40689</v>
      </c>
      <c r="B266" s="59" t="s">
        <v>10</v>
      </c>
      <c r="C266">
        <v>529.1</v>
      </c>
      <c r="D266">
        <v>421.8</v>
      </c>
      <c r="E266">
        <v>1865.3</v>
      </c>
      <c r="F266">
        <v>2375.1999999999998</v>
      </c>
      <c r="G266" s="2">
        <f t="shared" si="87"/>
        <v>2394.4</v>
      </c>
      <c r="H266" s="2">
        <f t="shared" si="88"/>
        <v>2797</v>
      </c>
      <c r="I266" s="30">
        <f t="shared" si="89"/>
        <v>-14.393993564533424</v>
      </c>
    </row>
    <row r="267" spans="1:10" x14ac:dyDescent="0.25">
      <c r="A267" s="33">
        <f t="shared" si="90"/>
        <v>40696</v>
      </c>
      <c r="B267" s="59" t="s">
        <v>10</v>
      </c>
      <c r="C267">
        <v>542.9</v>
      </c>
      <c r="D267">
        <v>479.9</v>
      </c>
      <c r="E267">
        <v>1879.6</v>
      </c>
      <c r="F267">
        <v>2382.1</v>
      </c>
      <c r="G267" s="2">
        <f t="shared" ref="G267:G275" si="91">+C267+E267</f>
        <v>2422.5</v>
      </c>
      <c r="H267" s="2">
        <f t="shared" ref="H267:H275" si="92">+D267+F267</f>
        <v>2862</v>
      </c>
      <c r="I267" s="30">
        <f t="shared" ref="I267:I275" si="93">+(G267/H267-1)*100</f>
        <v>-15.356394129979034</v>
      </c>
    </row>
    <row r="268" spans="1:10" x14ac:dyDescent="0.25">
      <c r="A268" s="33">
        <f t="shared" si="90"/>
        <v>40703</v>
      </c>
      <c r="B268" s="59" t="s">
        <v>10</v>
      </c>
      <c r="C268">
        <v>434.5</v>
      </c>
      <c r="D268">
        <v>532.29999999999995</v>
      </c>
      <c r="E268">
        <v>2020.4</v>
      </c>
      <c r="F268">
        <v>2392.3000000000002</v>
      </c>
      <c r="G268" s="2">
        <f t="shared" si="91"/>
        <v>2454.9</v>
      </c>
      <c r="H268" s="2">
        <f t="shared" si="92"/>
        <v>2924.6000000000004</v>
      </c>
      <c r="I268" s="30">
        <f t="shared" si="93"/>
        <v>-16.060315940641466</v>
      </c>
    </row>
    <row r="269" spans="1:10" x14ac:dyDescent="0.25">
      <c r="A269" s="33">
        <f t="shared" si="90"/>
        <v>40710</v>
      </c>
      <c r="B269" s="59" t="s">
        <v>10</v>
      </c>
      <c r="C269">
        <v>433.8</v>
      </c>
      <c r="D269">
        <v>521.5</v>
      </c>
      <c r="E269">
        <v>2041.1</v>
      </c>
      <c r="F269">
        <v>2435.1</v>
      </c>
      <c r="G269" s="2">
        <f t="shared" si="91"/>
        <v>2474.9</v>
      </c>
      <c r="H269" s="2">
        <f t="shared" si="92"/>
        <v>2956.6</v>
      </c>
      <c r="I269" s="30">
        <f t="shared" si="93"/>
        <v>-16.292362849218691</v>
      </c>
    </row>
    <row r="270" spans="1:10" x14ac:dyDescent="0.25">
      <c r="A270" s="33">
        <f t="shared" si="90"/>
        <v>40717</v>
      </c>
      <c r="B270" s="59" t="s">
        <v>10</v>
      </c>
      <c r="C270">
        <v>451</v>
      </c>
      <c r="D270">
        <v>516.20000000000005</v>
      </c>
      <c r="E270">
        <v>2056.1</v>
      </c>
      <c r="F270">
        <v>2443</v>
      </c>
      <c r="G270" s="2">
        <f t="shared" si="91"/>
        <v>2507.1</v>
      </c>
      <c r="H270" s="2">
        <f t="shared" si="92"/>
        <v>2959.2</v>
      </c>
      <c r="I270" s="30">
        <f t="shared" si="93"/>
        <v>-15.277777777777779</v>
      </c>
    </row>
    <row r="271" spans="1:10" ht="15" x14ac:dyDescent="0.35">
      <c r="A271" s="33">
        <f t="shared" si="90"/>
        <v>40724</v>
      </c>
      <c r="B271" s="59" t="s">
        <v>10</v>
      </c>
      <c r="C271" s="84">
        <v>470.4</v>
      </c>
      <c r="D271">
        <v>529.79999999999995</v>
      </c>
      <c r="E271">
        <v>2100</v>
      </c>
      <c r="F271">
        <v>2457.8000000000002</v>
      </c>
      <c r="G271" s="2">
        <f t="shared" si="91"/>
        <v>2570.4</v>
      </c>
      <c r="H271" s="2">
        <f t="shared" si="92"/>
        <v>2987.6000000000004</v>
      </c>
      <c r="I271" s="30">
        <f t="shared" si="93"/>
        <v>-13.964386129334594</v>
      </c>
    </row>
    <row r="272" spans="1:10" x14ac:dyDescent="0.25">
      <c r="A272" s="33">
        <f t="shared" si="90"/>
        <v>40731</v>
      </c>
      <c r="B272" s="59" t="s">
        <v>10</v>
      </c>
      <c r="C272">
        <v>466.2</v>
      </c>
      <c r="D272">
        <v>527.6</v>
      </c>
      <c r="E272">
        <v>2187.1999999999998</v>
      </c>
      <c r="F272">
        <v>2517.3000000000002</v>
      </c>
      <c r="G272" s="2">
        <f t="shared" si="91"/>
        <v>2653.3999999999996</v>
      </c>
      <c r="H272" s="2">
        <f t="shared" si="92"/>
        <v>3044.9</v>
      </c>
      <c r="I272" s="30">
        <f t="shared" si="93"/>
        <v>-12.857565108870583</v>
      </c>
      <c r="J272">
        <v>2.5</v>
      </c>
    </row>
    <row r="273" spans="1:11" x14ac:dyDescent="0.25">
      <c r="A273" s="33">
        <f t="shared" si="90"/>
        <v>40738</v>
      </c>
      <c r="B273" s="59" t="s">
        <v>10</v>
      </c>
      <c r="C273">
        <v>461.8</v>
      </c>
      <c r="D273">
        <v>475.7</v>
      </c>
      <c r="E273">
        <v>2205.8000000000002</v>
      </c>
      <c r="F273">
        <v>2571.6</v>
      </c>
      <c r="G273" s="2">
        <f t="shared" si="91"/>
        <v>2667.6000000000004</v>
      </c>
      <c r="H273" s="2">
        <f t="shared" si="92"/>
        <v>3047.2999999999997</v>
      </c>
      <c r="I273" s="30">
        <f t="shared" si="93"/>
        <v>-12.460210678305362</v>
      </c>
      <c r="J273">
        <v>6.5</v>
      </c>
    </row>
    <row r="274" spans="1:11" x14ac:dyDescent="0.25">
      <c r="A274" s="33">
        <f t="shared" si="90"/>
        <v>40745</v>
      </c>
      <c r="B274" s="59" t="s">
        <v>10</v>
      </c>
      <c r="C274">
        <v>452.6</v>
      </c>
      <c r="D274">
        <v>504.1</v>
      </c>
      <c r="E274">
        <v>2229.1</v>
      </c>
      <c r="F274">
        <v>2583.3000000000002</v>
      </c>
      <c r="G274" s="2">
        <f t="shared" si="91"/>
        <v>2681.7</v>
      </c>
      <c r="H274" s="2">
        <f t="shared" si="92"/>
        <v>3087.4</v>
      </c>
      <c r="I274" s="30">
        <f t="shared" si="93"/>
        <v>-13.140506575111754</v>
      </c>
      <c r="J274">
        <v>10.5</v>
      </c>
    </row>
    <row r="275" spans="1:11" x14ac:dyDescent="0.25">
      <c r="A275" s="33">
        <f t="shared" si="90"/>
        <v>40752</v>
      </c>
      <c r="B275" s="59" t="s">
        <v>10</v>
      </c>
      <c r="C275">
        <v>439.3</v>
      </c>
      <c r="D275">
        <v>515.4</v>
      </c>
      <c r="E275">
        <v>2255</v>
      </c>
      <c r="F275">
        <v>2592.8000000000002</v>
      </c>
      <c r="G275" s="2">
        <f t="shared" si="91"/>
        <v>2694.3</v>
      </c>
      <c r="H275" s="2">
        <f t="shared" si="92"/>
        <v>3108.2000000000003</v>
      </c>
      <c r="I275" s="30">
        <f t="shared" si="93"/>
        <v>-13.316388906762755</v>
      </c>
      <c r="J275">
        <v>11.5</v>
      </c>
    </row>
    <row r="276" spans="1:11" x14ac:dyDescent="0.25">
      <c r="A276" s="33">
        <f t="shared" si="90"/>
        <v>40759</v>
      </c>
      <c r="B276" s="59" t="s">
        <v>10</v>
      </c>
      <c r="C276">
        <v>476.8</v>
      </c>
      <c r="D276">
        <v>461.7</v>
      </c>
      <c r="E276">
        <v>2285.9</v>
      </c>
      <c r="F276">
        <v>2717.5</v>
      </c>
      <c r="G276" s="2">
        <f t="shared" ref="G276:G339" si="94">+C276+E276</f>
        <v>2762.7000000000003</v>
      </c>
      <c r="H276" s="2">
        <f t="shared" ref="H276:H339" si="95">+D276+F276</f>
        <v>3179.2</v>
      </c>
      <c r="I276" s="30">
        <f t="shared" ref="I276:I339" si="96">+(G276/H276-1)*100</f>
        <v>-13.100780070457962</v>
      </c>
      <c r="J276">
        <v>59</v>
      </c>
    </row>
    <row r="277" spans="1:11" x14ac:dyDescent="0.25">
      <c r="A277" s="33">
        <f t="shared" si="90"/>
        <v>40766</v>
      </c>
      <c r="B277" s="59" t="s">
        <v>10</v>
      </c>
      <c r="C277">
        <v>457.2</v>
      </c>
      <c r="D277">
        <v>434.2</v>
      </c>
      <c r="E277">
        <v>2317.6999999999998</v>
      </c>
      <c r="F277">
        <v>2788.6</v>
      </c>
      <c r="G277" s="2">
        <f t="shared" si="94"/>
        <v>2774.8999999999996</v>
      </c>
      <c r="H277" s="2">
        <f t="shared" si="95"/>
        <v>3222.7999999999997</v>
      </c>
      <c r="I277" s="30">
        <f t="shared" si="96"/>
        <v>-13.897852798808497</v>
      </c>
      <c r="J277">
        <v>66</v>
      </c>
    </row>
    <row r="278" spans="1:11" x14ac:dyDescent="0.25">
      <c r="A278" s="33">
        <f t="shared" si="90"/>
        <v>40773</v>
      </c>
      <c r="B278" s="59" t="s">
        <v>10</v>
      </c>
      <c r="C278">
        <v>481.6</v>
      </c>
      <c r="D278">
        <v>451</v>
      </c>
      <c r="E278">
        <v>2334.1999999999998</v>
      </c>
      <c r="F278">
        <v>2843.5</v>
      </c>
      <c r="G278" s="2">
        <f t="shared" si="94"/>
        <v>2815.7999999999997</v>
      </c>
      <c r="H278" s="2">
        <f t="shared" si="95"/>
        <v>3294.5</v>
      </c>
      <c r="I278" s="30">
        <f t="shared" si="96"/>
        <v>-14.530277735619979</v>
      </c>
      <c r="J278">
        <v>69</v>
      </c>
    </row>
    <row r="279" spans="1:11" x14ac:dyDescent="0.25">
      <c r="A279" s="33">
        <f t="shared" si="90"/>
        <v>40780</v>
      </c>
      <c r="B279" s="59" t="s">
        <v>10</v>
      </c>
      <c r="C279" s="117">
        <v>460.7</v>
      </c>
      <c r="D279">
        <v>424.9</v>
      </c>
      <c r="E279">
        <v>2354.6</v>
      </c>
      <c r="F279">
        <v>2878.2</v>
      </c>
      <c r="G279" s="2">
        <f t="shared" si="94"/>
        <v>2815.2999999999997</v>
      </c>
      <c r="H279" s="2">
        <f t="shared" si="95"/>
        <v>3303.1</v>
      </c>
      <c r="I279" s="30">
        <f t="shared" si="96"/>
        <v>-14.767945263540316</v>
      </c>
      <c r="J279">
        <v>89</v>
      </c>
    </row>
    <row r="280" spans="1:11" x14ac:dyDescent="0.25">
      <c r="A280" s="33">
        <f t="shared" si="90"/>
        <v>40787</v>
      </c>
      <c r="B280" s="59" t="s">
        <v>10</v>
      </c>
      <c r="C280" s="59">
        <v>549.1</v>
      </c>
      <c r="D280" s="59">
        <v>651.4</v>
      </c>
      <c r="E280" s="59">
        <v>0.7</v>
      </c>
      <c r="F280" s="59">
        <v>0</v>
      </c>
      <c r="G280" s="139">
        <f t="shared" ref="G280:H282" si="97">+C280+E280</f>
        <v>549.80000000000007</v>
      </c>
      <c r="H280" s="139">
        <f t="shared" si="97"/>
        <v>651.4</v>
      </c>
      <c r="I280" s="30">
        <f t="shared" si="96"/>
        <v>-15.597175314706767</v>
      </c>
    </row>
    <row r="281" spans="1:11" x14ac:dyDescent="0.25">
      <c r="A281" s="33">
        <f t="shared" si="90"/>
        <v>40794</v>
      </c>
      <c r="B281" s="59" t="s">
        <v>10</v>
      </c>
      <c r="C281" s="59">
        <v>522.20000000000005</v>
      </c>
      <c r="D281" s="59">
        <v>633.70000000000005</v>
      </c>
      <c r="E281" s="59">
        <v>41.9</v>
      </c>
      <c r="F281" s="59">
        <v>18.7</v>
      </c>
      <c r="G281" s="140">
        <f t="shared" si="97"/>
        <v>564.1</v>
      </c>
      <c r="H281" s="140">
        <f t="shared" si="97"/>
        <v>652.40000000000009</v>
      </c>
      <c r="I281" s="30">
        <f t="shared" si="96"/>
        <v>-13.534641324340901</v>
      </c>
    </row>
    <row r="282" spans="1:11" x14ac:dyDescent="0.25">
      <c r="A282" s="33">
        <f t="shared" si="90"/>
        <v>40801</v>
      </c>
      <c r="B282" s="59" t="s">
        <v>10</v>
      </c>
      <c r="C282" s="59">
        <v>513</v>
      </c>
      <c r="D282" s="59">
        <v>655</v>
      </c>
      <c r="E282" s="59">
        <v>62</v>
      </c>
      <c r="F282" s="59">
        <v>30</v>
      </c>
      <c r="G282" s="140">
        <f t="shared" si="97"/>
        <v>575</v>
      </c>
      <c r="H282" s="140">
        <f t="shared" si="97"/>
        <v>685</v>
      </c>
      <c r="I282" s="30">
        <f t="shared" si="96"/>
        <v>-16.058394160583944</v>
      </c>
      <c r="J282" s="125"/>
    </row>
    <row r="283" spans="1:11" x14ac:dyDescent="0.25">
      <c r="A283" s="33">
        <f t="shared" si="90"/>
        <v>40808</v>
      </c>
      <c r="B283" s="59" t="s">
        <v>10</v>
      </c>
      <c r="C283" s="59">
        <v>520.1</v>
      </c>
      <c r="D283" s="59">
        <v>598.70000000000005</v>
      </c>
      <c r="E283" s="59">
        <v>84.8</v>
      </c>
      <c r="F283" s="59">
        <v>95.1</v>
      </c>
      <c r="G283" s="2">
        <f t="shared" si="94"/>
        <v>604.9</v>
      </c>
      <c r="H283" s="2">
        <f t="shared" si="95"/>
        <v>693.80000000000007</v>
      </c>
      <c r="I283" s="30">
        <f t="shared" si="96"/>
        <v>-12.813490919573379</v>
      </c>
    </row>
    <row r="284" spans="1:11" x14ac:dyDescent="0.25">
      <c r="A284" s="33">
        <f t="shared" si="90"/>
        <v>40815</v>
      </c>
      <c r="B284" s="59" t="s">
        <v>10</v>
      </c>
      <c r="C284" s="59">
        <v>539.5</v>
      </c>
      <c r="D284" s="59">
        <v>588.5</v>
      </c>
      <c r="E284" s="59">
        <v>97.1</v>
      </c>
      <c r="F284" s="59">
        <v>117.2</v>
      </c>
      <c r="G284" s="2">
        <f t="shared" si="94"/>
        <v>636.6</v>
      </c>
      <c r="H284" s="2">
        <f t="shared" si="95"/>
        <v>705.7</v>
      </c>
      <c r="I284" s="30">
        <f t="shared" si="96"/>
        <v>-9.7916961881819535</v>
      </c>
    </row>
    <row r="285" spans="1:11" ht="15" x14ac:dyDescent="0.35">
      <c r="A285" s="33">
        <f t="shared" si="90"/>
        <v>40822</v>
      </c>
      <c r="B285" s="59" t="s">
        <v>10</v>
      </c>
      <c r="C285" s="84">
        <v>573.4</v>
      </c>
      <c r="D285" s="59">
        <v>620.70000000000005</v>
      </c>
      <c r="E285" s="59">
        <v>107.3</v>
      </c>
      <c r="F285" s="59">
        <v>129.1</v>
      </c>
      <c r="G285" s="2">
        <f t="shared" si="94"/>
        <v>680.69999999999993</v>
      </c>
      <c r="H285" s="2">
        <f t="shared" si="95"/>
        <v>749.80000000000007</v>
      </c>
      <c r="I285" s="30">
        <f t="shared" si="96"/>
        <v>-9.2157908775673647</v>
      </c>
      <c r="K285" s="125"/>
    </row>
    <row r="286" spans="1:11" x14ac:dyDescent="0.25">
      <c r="A286" s="33">
        <f t="shared" si="90"/>
        <v>40829</v>
      </c>
      <c r="B286" s="59" t="s">
        <v>10</v>
      </c>
      <c r="C286" s="149">
        <v>577</v>
      </c>
      <c r="D286" s="149">
        <v>586.29999999999995</v>
      </c>
      <c r="E286" s="143">
        <v>125.1</v>
      </c>
      <c r="F286" s="143">
        <v>181.9</v>
      </c>
      <c r="G286" s="150">
        <f t="shared" si="94"/>
        <v>702.1</v>
      </c>
      <c r="H286" s="2">
        <f t="shared" si="95"/>
        <v>768.19999999999993</v>
      </c>
      <c r="I286" s="30">
        <f t="shared" si="96"/>
        <v>-8.6045300702941816</v>
      </c>
    </row>
    <row r="287" spans="1:11" x14ac:dyDescent="0.25">
      <c r="A287" s="33">
        <f t="shared" si="90"/>
        <v>40836</v>
      </c>
      <c r="B287" s="59" t="s">
        <v>10</v>
      </c>
      <c r="C287" s="59">
        <v>551.6</v>
      </c>
      <c r="D287" s="59">
        <v>568.70000000000005</v>
      </c>
      <c r="E287" s="59">
        <v>162.80000000000001</v>
      </c>
      <c r="F287" s="59">
        <v>201.9</v>
      </c>
      <c r="G287" s="2">
        <f t="shared" si="94"/>
        <v>714.40000000000009</v>
      </c>
      <c r="H287" s="2">
        <f t="shared" si="95"/>
        <v>770.6</v>
      </c>
      <c r="I287" s="30">
        <f t="shared" si="96"/>
        <v>-7.2930184271995717</v>
      </c>
    </row>
    <row r="288" spans="1:11" x14ac:dyDescent="0.25">
      <c r="A288" s="33">
        <f t="shared" si="90"/>
        <v>40843</v>
      </c>
      <c r="B288" s="59" t="s">
        <v>10</v>
      </c>
      <c r="C288" s="59">
        <v>566.9</v>
      </c>
      <c r="D288" s="59">
        <v>579.9</v>
      </c>
      <c r="E288" s="59">
        <v>174</v>
      </c>
      <c r="F288" s="59">
        <v>217.9</v>
      </c>
      <c r="G288" s="2">
        <f t="shared" si="94"/>
        <v>740.9</v>
      </c>
      <c r="H288" s="2">
        <f t="shared" si="95"/>
        <v>797.8</v>
      </c>
      <c r="I288" s="30">
        <f t="shared" si="96"/>
        <v>-7.1321133116069131</v>
      </c>
    </row>
    <row r="289" spans="1:11" x14ac:dyDescent="0.25">
      <c r="A289" s="33">
        <f t="shared" si="90"/>
        <v>40850</v>
      </c>
      <c r="B289" s="59" t="s">
        <v>10</v>
      </c>
      <c r="C289" s="59">
        <v>580.5</v>
      </c>
      <c r="D289" s="59">
        <v>565.5</v>
      </c>
      <c r="E289" s="59">
        <v>197.6</v>
      </c>
      <c r="F289" s="59">
        <v>305.60000000000002</v>
      </c>
      <c r="G289" s="2">
        <f t="shared" si="94"/>
        <v>778.1</v>
      </c>
      <c r="H289" s="2">
        <f t="shared" si="95"/>
        <v>871.1</v>
      </c>
      <c r="I289" s="30">
        <f t="shared" si="96"/>
        <v>-10.676156583629892</v>
      </c>
      <c r="K289" s="125"/>
    </row>
    <row r="290" spans="1:11" x14ac:dyDescent="0.25">
      <c r="A290" s="33">
        <f t="shared" si="90"/>
        <v>40857</v>
      </c>
      <c r="B290" s="59" t="s">
        <v>10</v>
      </c>
      <c r="C290" s="59">
        <v>560.70000000000005</v>
      </c>
      <c r="D290" s="59">
        <v>589</v>
      </c>
      <c r="E290" s="59">
        <v>224.3</v>
      </c>
      <c r="F290" s="59">
        <v>324.60000000000002</v>
      </c>
      <c r="G290" s="2">
        <f t="shared" si="94"/>
        <v>785</v>
      </c>
      <c r="H290" s="2">
        <f t="shared" si="95"/>
        <v>913.6</v>
      </c>
      <c r="I290" s="30">
        <f t="shared" si="96"/>
        <v>-14.076182136602455</v>
      </c>
    </row>
    <row r="291" spans="1:11" x14ac:dyDescent="0.25">
      <c r="A291" s="33">
        <f t="shared" si="90"/>
        <v>40864</v>
      </c>
      <c r="B291" s="59" t="s">
        <v>10</v>
      </c>
      <c r="C291" s="59">
        <v>562.70000000000005</v>
      </c>
      <c r="D291" s="59">
        <v>534.20000000000005</v>
      </c>
      <c r="E291" s="59">
        <v>322.8</v>
      </c>
      <c r="F291" s="59">
        <v>406.2</v>
      </c>
      <c r="G291" s="2">
        <f t="shared" si="94"/>
        <v>885.5</v>
      </c>
      <c r="H291" s="2">
        <f t="shared" si="95"/>
        <v>940.40000000000009</v>
      </c>
      <c r="I291" s="30">
        <f t="shared" si="96"/>
        <v>-5.837941301573812</v>
      </c>
    </row>
    <row r="292" spans="1:11" x14ac:dyDescent="0.25">
      <c r="A292" s="33">
        <f t="shared" si="90"/>
        <v>40871</v>
      </c>
      <c r="B292" s="59" t="s">
        <v>10</v>
      </c>
      <c r="C292" s="59">
        <v>555.70000000000005</v>
      </c>
      <c r="D292" s="59">
        <v>542</v>
      </c>
      <c r="E292" s="59">
        <v>351.7</v>
      </c>
      <c r="F292" s="59">
        <v>423.5</v>
      </c>
      <c r="G292" s="2">
        <f t="shared" si="94"/>
        <v>907.40000000000009</v>
      </c>
      <c r="H292" s="2">
        <f t="shared" si="95"/>
        <v>965.5</v>
      </c>
      <c r="I292" s="30">
        <f t="shared" si="96"/>
        <v>-6.017607457276009</v>
      </c>
    </row>
    <row r="293" spans="1:11" x14ac:dyDescent="0.25">
      <c r="A293" s="33">
        <f t="shared" si="90"/>
        <v>40878</v>
      </c>
      <c r="B293" s="59" t="s">
        <v>10</v>
      </c>
      <c r="C293" s="149">
        <v>542</v>
      </c>
      <c r="D293" s="149">
        <v>652.1</v>
      </c>
      <c r="E293" s="59">
        <v>376.8</v>
      </c>
      <c r="F293" s="59">
        <v>524.9</v>
      </c>
      <c r="G293" s="2">
        <f t="shared" si="94"/>
        <v>918.8</v>
      </c>
      <c r="H293" s="2">
        <f t="shared" si="95"/>
        <v>1177</v>
      </c>
      <c r="I293" s="30">
        <f t="shared" si="96"/>
        <v>-21.937128292268483</v>
      </c>
    </row>
    <row r="294" spans="1:11" x14ac:dyDescent="0.25">
      <c r="A294" s="33">
        <f t="shared" si="90"/>
        <v>40885</v>
      </c>
      <c r="B294" s="59" t="s">
        <v>10</v>
      </c>
      <c r="C294" s="59">
        <v>533.5</v>
      </c>
      <c r="D294" s="59">
        <v>650.29999999999995</v>
      </c>
      <c r="E294" s="59">
        <v>403.4</v>
      </c>
      <c r="F294" s="59">
        <v>546.29999999999995</v>
      </c>
      <c r="G294" s="2">
        <f t="shared" si="94"/>
        <v>936.9</v>
      </c>
      <c r="H294" s="2">
        <f t="shared" si="95"/>
        <v>1196.5999999999999</v>
      </c>
      <c r="I294" s="30">
        <f t="shared" si="96"/>
        <v>-21.703158950359345</v>
      </c>
    </row>
    <row r="295" spans="1:11" x14ac:dyDescent="0.25">
      <c r="A295" s="33">
        <f t="shared" si="90"/>
        <v>40892</v>
      </c>
      <c r="B295" s="59" t="s">
        <v>10</v>
      </c>
      <c r="C295">
        <v>519.5</v>
      </c>
      <c r="D295">
        <v>565.6</v>
      </c>
      <c r="E295">
        <v>452.3</v>
      </c>
      <c r="F295">
        <v>639</v>
      </c>
      <c r="G295" s="2">
        <f t="shared" si="94"/>
        <v>971.8</v>
      </c>
      <c r="H295" s="2">
        <f t="shared" si="95"/>
        <v>1204.5999999999999</v>
      </c>
      <c r="I295" s="30">
        <f t="shared" si="96"/>
        <v>-19.325917316951681</v>
      </c>
    </row>
    <row r="296" spans="1:11" x14ac:dyDescent="0.25">
      <c r="A296" s="33">
        <f t="shared" si="90"/>
        <v>40899</v>
      </c>
      <c r="B296" s="59" t="s">
        <v>10</v>
      </c>
      <c r="C296">
        <v>501.4</v>
      </c>
      <c r="D296">
        <v>533.29999999999995</v>
      </c>
      <c r="E296">
        <v>484.3</v>
      </c>
      <c r="F296">
        <v>682.7</v>
      </c>
      <c r="G296" s="2">
        <f t="shared" si="94"/>
        <v>985.7</v>
      </c>
      <c r="H296" s="2">
        <f t="shared" si="95"/>
        <v>1216</v>
      </c>
      <c r="I296" s="30">
        <f t="shared" si="96"/>
        <v>-18.939144736842106</v>
      </c>
    </row>
    <row r="297" spans="1:11" x14ac:dyDescent="0.25">
      <c r="A297" s="33">
        <f t="shared" si="90"/>
        <v>40906</v>
      </c>
      <c r="B297" s="59" t="s">
        <v>10</v>
      </c>
      <c r="C297">
        <v>475.1</v>
      </c>
      <c r="D297">
        <v>523.9</v>
      </c>
      <c r="E297">
        <v>509.2</v>
      </c>
      <c r="F297">
        <v>703.1</v>
      </c>
      <c r="G297" s="2">
        <f t="shared" si="94"/>
        <v>984.3</v>
      </c>
      <c r="H297" s="2">
        <f t="shared" si="95"/>
        <v>1227</v>
      </c>
      <c r="I297" s="30">
        <f t="shared" si="96"/>
        <v>-19.779951100244496</v>
      </c>
    </row>
    <row r="298" spans="1:11" x14ac:dyDescent="0.25">
      <c r="A298" s="33">
        <f t="shared" si="90"/>
        <v>40913</v>
      </c>
      <c r="B298" s="59" t="s">
        <v>10</v>
      </c>
      <c r="C298">
        <v>435.2</v>
      </c>
      <c r="D298">
        <v>532.29999999999995</v>
      </c>
      <c r="E298">
        <v>543.9</v>
      </c>
      <c r="F298">
        <v>723.5</v>
      </c>
      <c r="G298" s="2">
        <f t="shared" si="94"/>
        <v>979.09999999999991</v>
      </c>
      <c r="H298" s="2">
        <f t="shared" si="95"/>
        <v>1255.8</v>
      </c>
      <c r="I298" s="30">
        <f t="shared" si="96"/>
        <v>-22.033763338111168</v>
      </c>
    </row>
    <row r="299" spans="1:11" x14ac:dyDescent="0.25">
      <c r="A299" s="33">
        <f t="shared" si="90"/>
        <v>40920</v>
      </c>
      <c r="B299" s="59" t="s">
        <v>10</v>
      </c>
      <c r="C299">
        <v>402.4</v>
      </c>
      <c r="D299">
        <v>602.79999999999995</v>
      </c>
      <c r="E299">
        <v>595.9</v>
      </c>
      <c r="F299">
        <v>737.5</v>
      </c>
      <c r="G299" s="2">
        <f t="shared" si="94"/>
        <v>998.3</v>
      </c>
      <c r="H299" s="2">
        <f t="shared" si="95"/>
        <v>1340.3</v>
      </c>
      <c r="I299" s="30">
        <f t="shared" si="96"/>
        <v>-25.51667537118556</v>
      </c>
    </row>
    <row r="300" spans="1:11" x14ac:dyDescent="0.25">
      <c r="A300" s="33">
        <f t="shared" si="90"/>
        <v>40927</v>
      </c>
      <c r="B300" s="59" t="s">
        <v>10</v>
      </c>
      <c r="C300">
        <v>388.5</v>
      </c>
      <c r="D300">
        <v>648.6</v>
      </c>
      <c r="E300">
        <v>644.6</v>
      </c>
      <c r="F300">
        <v>758.3</v>
      </c>
      <c r="G300" s="2">
        <f t="shared" si="94"/>
        <v>1033.0999999999999</v>
      </c>
      <c r="H300" s="2">
        <f t="shared" si="95"/>
        <v>1406.9</v>
      </c>
      <c r="I300" s="30">
        <f t="shared" si="96"/>
        <v>-26.569052526832049</v>
      </c>
    </row>
    <row r="301" spans="1:11" x14ac:dyDescent="0.25">
      <c r="A301" s="33">
        <f t="shared" si="90"/>
        <v>40934</v>
      </c>
      <c r="B301" s="59" t="s">
        <v>10</v>
      </c>
      <c r="C301">
        <v>374.8</v>
      </c>
      <c r="D301">
        <v>715.4</v>
      </c>
      <c r="E301">
        <v>662.8</v>
      </c>
      <c r="F301">
        <v>883.5</v>
      </c>
      <c r="G301" s="2">
        <f t="shared" si="94"/>
        <v>1037.5999999999999</v>
      </c>
      <c r="H301" s="2">
        <f t="shared" si="95"/>
        <v>1598.9</v>
      </c>
      <c r="I301" s="30">
        <f t="shared" si="96"/>
        <v>-35.105384952154616</v>
      </c>
    </row>
    <row r="302" spans="1:11" x14ac:dyDescent="0.25">
      <c r="A302" s="33">
        <f t="shared" si="90"/>
        <v>40941</v>
      </c>
      <c r="B302" s="59" t="s">
        <v>10</v>
      </c>
      <c r="C302">
        <v>373.9</v>
      </c>
      <c r="D302">
        <v>710.5</v>
      </c>
      <c r="E302">
        <v>682.1</v>
      </c>
      <c r="F302">
        <v>899.3</v>
      </c>
      <c r="G302" s="2">
        <f t="shared" si="94"/>
        <v>1056</v>
      </c>
      <c r="H302" s="2">
        <f t="shared" si="95"/>
        <v>1609.8</v>
      </c>
      <c r="I302" s="30">
        <f t="shared" si="96"/>
        <v>-34.401789042117024</v>
      </c>
    </row>
    <row r="303" spans="1:11" x14ac:dyDescent="0.25">
      <c r="A303" s="33">
        <f t="shared" si="90"/>
        <v>40948</v>
      </c>
      <c r="B303" s="59" t="s">
        <v>10</v>
      </c>
      <c r="C303">
        <v>449.9</v>
      </c>
      <c r="D303">
        <v>726.7</v>
      </c>
      <c r="E303">
        <v>706.2</v>
      </c>
      <c r="F303">
        <v>908.6</v>
      </c>
      <c r="G303" s="2">
        <f t="shared" si="94"/>
        <v>1156.0999999999999</v>
      </c>
      <c r="H303" s="2">
        <f t="shared" si="95"/>
        <v>1635.3000000000002</v>
      </c>
      <c r="I303" s="30">
        <f t="shared" si="96"/>
        <v>-29.303491714058595</v>
      </c>
    </row>
    <row r="304" spans="1:11" x14ac:dyDescent="0.25">
      <c r="A304" s="33">
        <f t="shared" si="90"/>
        <v>40955</v>
      </c>
      <c r="B304" s="59" t="s">
        <v>10</v>
      </c>
      <c r="C304">
        <v>464.3</v>
      </c>
      <c r="D304">
        <v>700.5</v>
      </c>
      <c r="E304">
        <v>720.4</v>
      </c>
      <c r="F304">
        <v>975.4</v>
      </c>
      <c r="G304" s="2">
        <f t="shared" si="94"/>
        <v>1184.7</v>
      </c>
      <c r="H304" s="2">
        <f t="shared" si="95"/>
        <v>1675.9</v>
      </c>
      <c r="I304" s="30">
        <f t="shared" si="96"/>
        <v>-29.309624679276801</v>
      </c>
    </row>
    <row r="305" spans="1:10" x14ac:dyDescent="0.25">
      <c r="A305" s="33">
        <f t="shared" si="90"/>
        <v>40962</v>
      </c>
      <c r="B305" s="59" t="s">
        <v>10</v>
      </c>
      <c r="C305">
        <v>531.79999999999995</v>
      </c>
      <c r="D305">
        <v>692.8</v>
      </c>
      <c r="E305">
        <v>738.6</v>
      </c>
      <c r="F305">
        <v>1002.1</v>
      </c>
      <c r="G305" s="2">
        <f t="shared" si="94"/>
        <v>1270.4000000000001</v>
      </c>
      <c r="H305" s="2">
        <f t="shared" si="95"/>
        <v>1694.9</v>
      </c>
      <c r="I305" s="30">
        <f t="shared" si="96"/>
        <v>-25.045725411528707</v>
      </c>
    </row>
    <row r="306" spans="1:10" x14ac:dyDescent="0.25">
      <c r="A306" s="33">
        <f t="shared" si="90"/>
        <v>40969</v>
      </c>
      <c r="B306" s="59" t="s">
        <v>10</v>
      </c>
      <c r="C306">
        <v>526.20000000000005</v>
      </c>
      <c r="D306">
        <v>681.8</v>
      </c>
      <c r="E306">
        <v>756.3</v>
      </c>
      <c r="F306">
        <v>1075.4000000000001</v>
      </c>
      <c r="G306" s="2">
        <f t="shared" si="94"/>
        <v>1282.5</v>
      </c>
      <c r="H306" s="2">
        <f t="shared" si="95"/>
        <v>1757.2</v>
      </c>
      <c r="I306" s="30">
        <f t="shared" si="96"/>
        <v>-27.014568631914415</v>
      </c>
    </row>
    <row r="307" spans="1:10" x14ac:dyDescent="0.25">
      <c r="A307" s="33">
        <f t="shared" si="90"/>
        <v>40976</v>
      </c>
      <c r="B307" s="59" t="s">
        <v>10</v>
      </c>
      <c r="C307">
        <v>530</v>
      </c>
      <c r="D307">
        <v>872.2</v>
      </c>
      <c r="E307">
        <v>771.5</v>
      </c>
      <c r="F307">
        <v>1080.0999999999999</v>
      </c>
      <c r="G307" s="2">
        <f t="shared" si="94"/>
        <v>1301.5</v>
      </c>
      <c r="H307" s="2">
        <f t="shared" si="95"/>
        <v>1952.3</v>
      </c>
      <c r="I307" s="30">
        <f t="shared" si="96"/>
        <v>-33.335040721200635</v>
      </c>
    </row>
    <row r="308" spans="1:10" x14ac:dyDescent="0.25">
      <c r="A308" s="33">
        <f t="shared" si="90"/>
        <v>40983</v>
      </c>
      <c r="B308" s="59" t="s">
        <v>10</v>
      </c>
      <c r="C308">
        <v>533.20000000000005</v>
      </c>
      <c r="D308">
        <v>801.2</v>
      </c>
      <c r="E308">
        <v>786.5</v>
      </c>
      <c r="F308">
        <v>1153.5</v>
      </c>
      <c r="G308" s="2">
        <f t="shared" si="94"/>
        <v>1319.7</v>
      </c>
      <c r="H308" s="2">
        <f t="shared" si="95"/>
        <v>1954.7</v>
      </c>
      <c r="I308" s="30">
        <f t="shared" si="96"/>
        <v>-32.485803448099446</v>
      </c>
    </row>
    <row r="309" spans="1:10" x14ac:dyDescent="0.25">
      <c r="A309" s="33">
        <f t="shared" si="90"/>
        <v>40990</v>
      </c>
      <c r="B309" s="59" t="s">
        <v>10</v>
      </c>
      <c r="C309">
        <v>546.20000000000005</v>
      </c>
      <c r="D309">
        <v>778.9</v>
      </c>
      <c r="E309">
        <v>801.4</v>
      </c>
      <c r="F309">
        <v>1236</v>
      </c>
      <c r="G309" s="2">
        <f t="shared" si="94"/>
        <v>1347.6</v>
      </c>
      <c r="H309" s="2">
        <f t="shared" si="95"/>
        <v>2014.9</v>
      </c>
      <c r="I309" s="30">
        <f t="shared" si="96"/>
        <v>-33.118268896719449</v>
      </c>
    </row>
    <row r="310" spans="1:10" x14ac:dyDescent="0.25">
      <c r="A310" s="33">
        <f t="shared" si="90"/>
        <v>40997</v>
      </c>
      <c r="B310" s="59" t="s">
        <v>10</v>
      </c>
      <c r="C310">
        <v>479.2</v>
      </c>
      <c r="D310">
        <v>951.6</v>
      </c>
      <c r="E310">
        <v>893.9</v>
      </c>
      <c r="F310">
        <v>1261.8</v>
      </c>
      <c r="G310" s="2">
        <f t="shared" si="94"/>
        <v>1373.1</v>
      </c>
      <c r="H310" s="2">
        <f t="shared" si="95"/>
        <v>2213.4</v>
      </c>
      <c r="I310" s="30">
        <f t="shared" si="96"/>
        <v>-37.964217945242616</v>
      </c>
    </row>
    <row r="311" spans="1:10" x14ac:dyDescent="0.25">
      <c r="A311" s="33">
        <f t="shared" si="90"/>
        <v>41004</v>
      </c>
      <c r="B311" s="59" t="s">
        <v>10</v>
      </c>
      <c r="C311">
        <v>451.5</v>
      </c>
      <c r="D311">
        <v>953.3</v>
      </c>
      <c r="E311">
        <v>923.5</v>
      </c>
      <c r="F311">
        <v>1358.1</v>
      </c>
      <c r="G311" s="2">
        <f t="shared" si="94"/>
        <v>1375</v>
      </c>
      <c r="H311" s="2">
        <f t="shared" si="95"/>
        <v>2311.3999999999996</v>
      </c>
      <c r="I311" s="30">
        <f t="shared" si="96"/>
        <v>-40.512243661849958</v>
      </c>
    </row>
    <row r="312" spans="1:10" x14ac:dyDescent="0.25">
      <c r="A312" s="33">
        <f t="shared" si="90"/>
        <v>41011</v>
      </c>
      <c r="B312" s="59" t="s">
        <v>10</v>
      </c>
      <c r="C312">
        <v>520.1</v>
      </c>
      <c r="D312">
        <v>830.3</v>
      </c>
      <c r="E312">
        <v>932.3</v>
      </c>
      <c r="F312">
        <v>1503.8</v>
      </c>
      <c r="G312" s="2">
        <f t="shared" si="94"/>
        <v>1452.4</v>
      </c>
      <c r="H312" s="2">
        <f t="shared" si="95"/>
        <v>2334.1</v>
      </c>
      <c r="I312" s="30">
        <f t="shared" si="96"/>
        <v>-37.774731159761785</v>
      </c>
    </row>
    <row r="313" spans="1:10" x14ac:dyDescent="0.25">
      <c r="A313" s="33">
        <f t="shared" si="90"/>
        <v>41018</v>
      </c>
      <c r="B313" s="59" t="s">
        <v>10</v>
      </c>
      <c r="C313">
        <v>521.6</v>
      </c>
      <c r="D313">
        <v>794.4</v>
      </c>
      <c r="E313">
        <v>943.6</v>
      </c>
      <c r="F313">
        <v>1548.2</v>
      </c>
      <c r="G313" s="2">
        <f t="shared" si="94"/>
        <v>1465.2</v>
      </c>
      <c r="H313" s="2">
        <f t="shared" si="95"/>
        <v>2342.6</v>
      </c>
      <c r="I313" s="30">
        <f t="shared" si="96"/>
        <v>-37.454110817040885</v>
      </c>
    </row>
    <row r="314" spans="1:10" x14ac:dyDescent="0.25">
      <c r="A314" s="33">
        <f t="shared" si="90"/>
        <v>41025</v>
      </c>
      <c r="B314" s="59" t="s">
        <v>10</v>
      </c>
      <c r="C314">
        <v>523.79999999999995</v>
      </c>
      <c r="D314">
        <v>797.9</v>
      </c>
      <c r="E314">
        <v>952.9</v>
      </c>
      <c r="F314">
        <v>1566.8</v>
      </c>
      <c r="G314" s="2">
        <f t="shared" si="94"/>
        <v>1476.6999999999998</v>
      </c>
      <c r="H314" s="2">
        <f t="shared" si="95"/>
        <v>2364.6999999999998</v>
      </c>
      <c r="I314" s="30">
        <f t="shared" si="96"/>
        <v>-37.552332219731888</v>
      </c>
    </row>
    <row r="315" spans="1:10" x14ac:dyDescent="0.25">
      <c r="A315" s="33">
        <f t="shared" si="90"/>
        <v>41032</v>
      </c>
      <c r="B315" s="59" t="s">
        <v>10</v>
      </c>
      <c r="C315">
        <v>527.20000000000005</v>
      </c>
      <c r="D315">
        <v>702.6</v>
      </c>
      <c r="E315">
        <v>966</v>
      </c>
      <c r="F315">
        <v>1646.4</v>
      </c>
      <c r="G315" s="2">
        <f t="shared" si="94"/>
        <v>1493.2</v>
      </c>
      <c r="H315" s="2">
        <f t="shared" si="95"/>
        <v>2349</v>
      </c>
      <c r="I315" s="30">
        <f t="shared" si="96"/>
        <v>-36.432524478501492</v>
      </c>
    </row>
    <row r="316" spans="1:10" x14ac:dyDescent="0.25">
      <c r="A316" s="33">
        <f t="shared" si="90"/>
        <v>41039</v>
      </c>
      <c r="B316" s="59" t="s">
        <v>10</v>
      </c>
      <c r="C316">
        <v>522.70000000000005</v>
      </c>
      <c r="D316">
        <v>600.20000000000005</v>
      </c>
      <c r="E316">
        <v>976.8</v>
      </c>
      <c r="F316">
        <v>1763.1</v>
      </c>
      <c r="G316" s="2">
        <f t="shared" si="94"/>
        <v>1499.5</v>
      </c>
      <c r="H316" s="2">
        <f t="shared" si="95"/>
        <v>2363.3000000000002</v>
      </c>
      <c r="I316" s="30">
        <f t="shared" si="96"/>
        <v>-36.55058604493717</v>
      </c>
    </row>
    <row r="317" spans="1:10" x14ac:dyDescent="0.25">
      <c r="A317" s="33">
        <f t="shared" si="90"/>
        <v>41046</v>
      </c>
      <c r="B317" s="59" t="s">
        <v>10</v>
      </c>
      <c r="C317">
        <v>504.8</v>
      </c>
      <c r="D317">
        <v>600.6</v>
      </c>
      <c r="E317">
        <v>999.6</v>
      </c>
      <c r="F317">
        <v>1790.7</v>
      </c>
      <c r="G317" s="2">
        <f t="shared" si="94"/>
        <v>1504.4</v>
      </c>
      <c r="H317" s="2">
        <f t="shared" si="95"/>
        <v>2391.3000000000002</v>
      </c>
      <c r="I317" s="30">
        <f t="shared" si="96"/>
        <v>-37.088612888387075</v>
      </c>
    </row>
    <row r="318" spans="1:10" x14ac:dyDescent="0.25">
      <c r="A318" s="33">
        <f t="shared" ref="A318:A381" si="98">+A317+7</f>
        <v>41053</v>
      </c>
      <c r="B318" s="59" t="s">
        <v>10</v>
      </c>
      <c r="C318">
        <v>470.8</v>
      </c>
      <c r="D318">
        <v>529.1</v>
      </c>
      <c r="E318">
        <v>1037.4000000000001</v>
      </c>
      <c r="F318">
        <v>1865.3</v>
      </c>
      <c r="G318" s="2">
        <f t="shared" si="94"/>
        <v>1508.2</v>
      </c>
      <c r="H318" s="2">
        <f t="shared" si="95"/>
        <v>2394.4</v>
      </c>
      <c r="I318" s="30">
        <f t="shared" si="96"/>
        <v>-37.01135983962579</v>
      </c>
      <c r="J318">
        <v>0</v>
      </c>
    </row>
    <row r="319" spans="1:10" x14ac:dyDescent="0.25">
      <c r="A319" s="33">
        <f t="shared" si="98"/>
        <v>41060</v>
      </c>
      <c r="B319" s="59" t="s">
        <v>10</v>
      </c>
      <c r="C319">
        <v>461.5</v>
      </c>
      <c r="D319">
        <v>542.9</v>
      </c>
      <c r="E319">
        <v>1048.5</v>
      </c>
      <c r="F319">
        <v>1879.6</v>
      </c>
      <c r="G319" s="2">
        <f t="shared" si="94"/>
        <v>1510</v>
      </c>
      <c r="H319" s="2">
        <f t="shared" si="95"/>
        <v>2422.5</v>
      </c>
      <c r="I319" s="30">
        <f t="shared" si="96"/>
        <v>-37.667698658410728</v>
      </c>
      <c r="J319">
        <v>0</v>
      </c>
    </row>
    <row r="320" spans="1:10" x14ac:dyDescent="0.25">
      <c r="A320" s="33">
        <f t="shared" si="98"/>
        <v>41067</v>
      </c>
      <c r="B320" s="59" t="s">
        <v>10</v>
      </c>
      <c r="C320">
        <v>486.2</v>
      </c>
      <c r="D320">
        <v>434.5</v>
      </c>
      <c r="E320">
        <v>1056.0999999999999</v>
      </c>
      <c r="F320">
        <v>2020.4</v>
      </c>
      <c r="G320" s="2">
        <f t="shared" si="94"/>
        <v>1542.3</v>
      </c>
      <c r="H320" s="2">
        <f t="shared" si="95"/>
        <v>2454.9</v>
      </c>
      <c r="I320" s="30">
        <f t="shared" si="96"/>
        <v>-37.174630331174384</v>
      </c>
      <c r="J320">
        <v>0</v>
      </c>
    </row>
    <row r="321" spans="1:10" x14ac:dyDescent="0.25">
      <c r="A321" s="33">
        <f t="shared" si="98"/>
        <v>41074</v>
      </c>
      <c r="B321" s="59" t="s">
        <v>10</v>
      </c>
      <c r="C321">
        <v>484.7</v>
      </c>
      <c r="D321">
        <v>433.8</v>
      </c>
      <c r="E321">
        <v>1060.8</v>
      </c>
      <c r="F321">
        <v>2041.1</v>
      </c>
      <c r="G321" s="2">
        <f t="shared" si="94"/>
        <v>1545.5</v>
      </c>
      <c r="H321" s="2">
        <f t="shared" si="95"/>
        <v>2474.9</v>
      </c>
      <c r="I321" s="30">
        <f t="shared" si="96"/>
        <v>-37.553032445755385</v>
      </c>
      <c r="J321">
        <v>0</v>
      </c>
    </row>
    <row r="322" spans="1:10" x14ac:dyDescent="0.25">
      <c r="A322" s="33">
        <f t="shared" si="98"/>
        <v>41081</v>
      </c>
      <c r="B322" s="59" t="s">
        <v>10</v>
      </c>
      <c r="C322">
        <v>414.2</v>
      </c>
      <c r="D322">
        <v>451</v>
      </c>
      <c r="E322">
        <v>1134.0999999999999</v>
      </c>
      <c r="F322">
        <v>2056.1</v>
      </c>
      <c r="G322" s="2">
        <f t="shared" si="94"/>
        <v>1548.3</v>
      </c>
      <c r="H322" s="2">
        <f t="shared" si="95"/>
        <v>2507.1</v>
      </c>
      <c r="I322" s="30">
        <f t="shared" si="96"/>
        <v>-38.243388775876511</v>
      </c>
      <c r="J322">
        <v>0</v>
      </c>
    </row>
    <row r="323" spans="1:10" x14ac:dyDescent="0.25">
      <c r="A323" s="33">
        <f t="shared" si="98"/>
        <v>41088</v>
      </c>
      <c r="B323" s="59" t="s">
        <v>10</v>
      </c>
      <c r="C323">
        <v>308</v>
      </c>
      <c r="D323">
        <v>470.4</v>
      </c>
      <c r="E323">
        <v>1143.7</v>
      </c>
      <c r="F323">
        <v>2100</v>
      </c>
      <c r="G323" s="2">
        <f t="shared" si="94"/>
        <v>1451.7</v>
      </c>
      <c r="H323" s="2">
        <f t="shared" si="95"/>
        <v>2570.4</v>
      </c>
      <c r="I323" s="30">
        <f t="shared" si="96"/>
        <v>-43.522408963585434</v>
      </c>
      <c r="J323">
        <v>0</v>
      </c>
    </row>
    <row r="324" spans="1:10" x14ac:dyDescent="0.25">
      <c r="A324" s="33">
        <f t="shared" si="98"/>
        <v>41095</v>
      </c>
      <c r="B324" s="59" t="s">
        <v>10</v>
      </c>
      <c r="C324">
        <v>213.9</v>
      </c>
      <c r="D324">
        <v>466.2</v>
      </c>
      <c r="E324">
        <v>1150.8</v>
      </c>
      <c r="F324">
        <v>2187.1999999999998</v>
      </c>
      <c r="G324" s="2">
        <f t="shared" si="94"/>
        <v>1364.7</v>
      </c>
      <c r="H324" s="2">
        <f t="shared" si="95"/>
        <v>2653.3999999999996</v>
      </c>
      <c r="I324" s="30">
        <f t="shared" si="96"/>
        <v>-48.567875179015594</v>
      </c>
      <c r="J324">
        <v>0</v>
      </c>
    </row>
    <row r="325" spans="1:10" x14ac:dyDescent="0.25">
      <c r="A325" s="33">
        <f t="shared" si="98"/>
        <v>41102</v>
      </c>
      <c r="B325" s="59" t="s">
        <v>10</v>
      </c>
      <c r="C325">
        <v>117.9</v>
      </c>
      <c r="D325">
        <v>461.8</v>
      </c>
      <c r="E325">
        <v>1162.7</v>
      </c>
      <c r="F325">
        <v>2205.8000000000002</v>
      </c>
      <c r="G325" s="2">
        <f t="shared" si="94"/>
        <v>1280.6000000000001</v>
      </c>
      <c r="H325" s="2">
        <f t="shared" si="95"/>
        <v>2667.6000000000004</v>
      </c>
      <c r="I325" s="30">
        <f t="shared" si="96"/>
        <v>-51.994301994301992</v>
      </c>
    </row>
    <row r="326" spans="1:10" x14ac:dyDescent="0.25">
      <c r="A326" s="33">
        <f t="shared" si="98"/>
        <v>41109</v>
      </c>
      <c r="B326" s="59" t="s">
        <v>10</v>
      </c>
      <c r="C326">
        <v>75.599999999999994</v>
      </c>
      <c r="D326">
        <v>452.6</v>
      </c>
      <c r="E326">
        <v>1196.0999999999999</v>
      </c>
      <c r="F326">
        <v>2229.1</v>
      </c>
      <c r="G326" s="2">
        <f t="shared" si="94"/>
        <v>1271.6999999999998</v>
      </c>
      <c r="H326" s="2">
        <f t="shared" si="95"/>
        <v>2681.7</v>
      </c>
      <c r="I326" s="30">
        <f t="shared" si="96"/>
        <v>-52.578588208971922</v>
      </c>
    </row>
    <row r="327" spans="1:10" x14ac:dyDescent="0.25">
      <c r="A327" s="33">
        <f t="shared" si="98"/>
        <v>41116</v>
      </c>
      <c r="B327" s="59" t="s">
        <v>10</v>
      </c>
      <c r="C327">
        <v>61.6</v>
      </c>
      <c r="D327">
        <v>439.3</v>
      </c>
      <c r="E327">
        <v>1214.2</v>
      </c>
      <c r="F327">
        <v>2255</v>
      </c>
      <c r="G327" s="2">
        <f t="shared" si="94"/>
        <v>1275.8</v>
      </c>
      <c r="H327" s="2">
        <f t="shared" si="95"/>
        <v>2694.3</v>
      </c>
      <c r="I327" s="30">
        <f t="shared" si="96"/>
        <v>-52.648183201573694</v>
      </c>
      <c r="J327">
        <v>0</v>
      </c>
    </row>
    <row r="328" spans="1:10" x14ac:dyDescent="0.25">
      <c r="A328" s="33">
        <f t="shared" si="98"/>
        <v>41123</v>
      </c>
      <c r="B328" s="59" t="s">
        <v>10</v>
      </c>
      <c r="C328">
        <v>53.5</v>
      </c>
      <c r="D328">
        <v>476.8</v>
      </c>
      <c r="E328">
        <v>1227.0999999999999</v>
      </c>
      <c r="F328">
        <v>2285.9</v>
      </c>
      <c r="G328" s="2">
        <f t="shared" si="94"/>
        <v>1280.5999999999999</v>
      </c>
      <c r="H328" s="2">
        <f t="shared" si="95"/>
        <v>2762.7000000000003</v>
      </c>
      <c r="I328" s="30">
        <f t="shared" si="96"/>
        <v>-53.646794802186278</v>
      </c>
      <c r="J328">
        <v>0</v>
      </c>
    </row>
    <row r="329" spans="1:10" x14ac:dyDescent="0.25">
      <c r="A329" s="33">
        <f t="shared" si="98"/>
        <v>41130</v>
      </c>
      <c r="B329" s="59" t="s">
        <v>10</v>
      </c>
      <c r="C329">
        <v>53.1</v>
      </c>
      <c r="D329">
        <v>457.2</v>
      </c>
      <c r="E329">
        <v>1230</v>
      </c>
      <c r="F329">
        <v>2317.6999999999998</v>
      </c>
      <c r="G329" s="2">
        <f t="shared" si="94"/>
        <v>1283.0999999999999</v>
      </c>
      <c r="H329" s="2">
        <f t="shared" si="95"/>
        <v>2774.8999999999996</v>
      </c>
      <c r="I329" s="30">
        <f t="shared" si="96"/>
        <v>-53.760495873725176</v>
      </c>
      <c r="J329">
        <v>23.5</v>
      </c>
    </row>
    <row r="330" spans="1:10" x14ac:dyDescent="0.25">
      <c r="A330" s="33">
        <f t="shared" si="98"/>
        <v>41137</v>
      </c>
      <c r="B330" s="59" t="s">
        <v>10</v>
      </c>
      <c r="C330">
        <v>78.099999999999994</v>
      </c>
      <c r="D330">
        <v>481.6</v>
      </c>
      <c r="E330">
        <v>1237.5</v>
      </c>
      <c r="F330">
        <v>2334.1999999999998</v>
      </c>
      <c r="G330" s="2">
        <f t="shared" si="94"/>
        <v>1315.6</v>
      </c>
      <c r="H330" s="2">
        <f t="shared" si="95"/>
        <v>2815.7999999999997</v>
      </c>
      <c r="I330" s="30">
        <f t="shared" si="96"/>
        <v>-53.277931671283476</v>
      </c>
      <c r="J330">
        <v>23.5</v>
      </c>
    </row>
    <row r="331" spans="1:10" x14ac:dyDescent="0.25">
      <c r="A331" s="33">
        <f t="shared" si="98"/>
        <v>41144</v>
      </c>
      <c r="B331" s="59" t="s">
        <v>10</v>
      </c>
      <c r="C331">
        <v>66.099999999999994</v>
      </c>
      <c r="D331">
        <v>460.7</v>
      </c>
      <c r="E331">
        <v>1247.2</v>
      </c>
      <c r="F331">
        <v>2354.6</v>
      </c>
      <c r="G331" s="2">
        <f t="shared" si="94"/>
        <v>1313.3</v>
      </c>
      <c r="H331" s="2">
        <f t="shared" si="95"/>
        <v>2815.2999999999997</v>
      </c>
      <c r="I331" s="30">
        <f t="shared" si="96"/>
        <v>-53.35133023123646</v>
      </c>
      <c r="J331">
        <v>42.1</v>
      </c>
    </row>
    <row r="332" spans="1:10" x14ac:dyDescent="0.25">
      <c r="A332" s="33">
        <f t="shared" si="98"/>
        <v>41151</v>
      </c>
      <c r="B332" s="59" t="s">
        <v>10</v>
      </c>
      <c r="C332">
        <v>52.1</v>
      </c>
      <c r="D332">
        <v>549.1</v>
      </c>
      <c r="E332">
        <v>1262.3</v>
      </c>
      <c r="F332">
        <v>0.7</v>
      </c>
      <c r="G332" s="2">
        <f t="shared" si="94"/>
        <v>1314.3999999999999</v>
      </c>
      <c r="H332" s="2">
        <f t="shared" si="95"/>
        <v>549.80000000000007</v>
      </c>
      <c r="I332" s="30">
        <f t="shared" si="96"/>
        <v>139.06875227355394</v>
      </c>
      <c r="J332">
        <v>48.6</v>
      </c>
    </row>
    <row r="333" spans="1:10" x14ac:dyDescent="0.25">
      <c r="A333" s="33">
        <f t="shared" si="98"/>
        <v>41158</v>
      </c>
      <c r="B333" s="59" t="s">
        <v>10</v>
      </c>
      <c r="C333">
        <v>99</v>
      </c>
      <c r="D333">
        <v>549.1</v>
      </c>
      <c r="E333">
        <v>27.7</v>
      </c>
      <c r="F333">
        <v>0.7</v>
      </c>
      <c r="G333" s="2">
        <f t="shared" si="94"/>
        <v>126.7</v>
      </c>
      <c r="H333" s="2">
        <f t="shared" si="95"/>
        <v>549.80000000000007</v>
      </c>
      <c r="I333" s="30">
        <f t="shared" si="96"/>
        <v>-76.955256456893423</v>
      </c>
    </row>
    <row r="334" spans="1:10" x14ac:dyDescent="0.25">
      <c r="A334" s="33">
        <f t="shared" si="98"/>
        <v>41165</v>
      </c>
      <c r="B334" s="59" t="s">
        <v>10</v>
      </c>
      <c r="C334">
        <v>107.9</v>
      </c>
      <c r="D334">
        <v>513</v>
      </c>
      <c r="E334">
        <v>32.700000000000003</v>
      </c>
      <c r="F334">
        <v>61.9</v>
      </c>
      <c r="G334" s="2">
        <f t="shared" si="94"/>
        <v>140.60000000000002</v>
      </c>
      <c r="H334" s="2">
        <f t="shared" si="95"/>
        <v>574.9</v>
      </c>
      <c r="I334" s="30">
        <f t="shared" si="96"/>
        <v>-75.54357279526873</v>
      </c>
    </row>
    <row r="335" spans="1:10" x14ac:dyDescent="0.25">
      <c r="A335" s="33">
        <f t="shared" si="98"/>
        <v>41172</v>
      </c>
      <c r="B335" s="59" t="s">
        <v>10</v>
      </c>
      <c r="C335">
        <v>94.1</v>
      </c>
      <c r="D335">
        <v>520.1</v>
      </c>
      <c r="E335">
        <v>49.5</v>
      </c>
      <c r="F335">
        <v>84.8</v>
      </c>
      <c r="G335" s="2">
        <f t="shared" si="94"/>
        <v>143.6</v>
      </c>
      <c r="H335" s="2">
        <f t="shared" si="95"/>
        <v>604.9</v>
      </c>
      <c r="I335" s="30">
        <f t="shared" si="96"/>
        <v>-76.260538932054885</v>
      </c>
    </row>
    <row r="336" spans="1:10" x14ac:dyDescent="0.25">
      <c r="A336" s="33">
        <f t="shared" si="98"/>
        <v>41179</v>
      </c>
      <c r="B336" s="59" t="s">
        <v>10</v>
      </c>
      <c r="C336">
        <v>81.7</v>
      </c>
      <c r="D336">
        <v>539.5</v>
      </c>
      <c r="E336">
        <v>61.9</v>
      </c>
      <c r="F336">
        <v>97.1</v>
      </c>
      <c r="G336" s="2">
        <f t="shared" si="94"/>
        <v>143.6</v>
      </c>
      <c r="H336" s="2">
        <f t="shared" si="95"/>
        <v>636.6</v>
      </c>
      <c r="I336" s="30">
        <f t="shared" si="96"/>
        <v>-77.442664153314496</v>
      </c>
    </row>
    <row r="337" spans="1:9" x14ac:dyDescent="0.25">
      <c r="A337" s="33">
        <f t="shared" si="98"/>
        <v>41186</v>
      </c>
      <c r="B337" s="59" t="s">
        <v>10</v>
      </c>
      <c r="C337">
        <v>80.599999999999994</v>
      </c>
      <c r="D337">
        <v>573.4</v>
      </c>
      <c r="E337">
        <v>65.7</v>
      </c>
      <c r="F337">
        <v>107.3</v>
      </c>
      <c r="G337" s="2">
        <f t="shared" si="94"/>
        <v>146.30000000000001</v>
      </c>
      <c r="H337" s="2">
        <f t="shared" si="95"/>
        <v>680.69999999999993</v>
      </c>
      <c r="I337" s="30">
        <f t="shared" si="96"/>
        <v>-78.507418833553686</v>
      </c>
    </row>
    <row r="338" spans="1:9" x14ac:dyDescent="0.25">
      <c r="A338" s="33">
        <f t="shared" si="98"/>
        <v>41193</v>
      </c>
      <c r="B338" s="59" t="s">
        <v>10</v>
      </c>
      <c r="C338">
        <v>47.3</v>
      </c>
      <c r="D338">
        <v>577</v>
      </c>
      <c r="E338">
        <v>103</v>
      </c>
      <c r="F338">
        <v>125.1</v>
      </c>
      <c r="G338" s="2">
        <f t="shared" si="94"/>
        <v>150.30000000000001</v>
      </c>
      <c r="H338" s="2">
        <f t="shared" si="95"/>
        <v>702.1</v>
      </c>
      <c r="I338" s="30">
        <f t="shared" si="96"/>
        <v>-78.592793049423165</v>
      </c>
    </row>
    <row r="339" spans="1:9" x14ac:dyDescent="0.25">
      <c r="A339" s="33">
        <f t="shared" si="98"/>
        <v>41200</v>
      </c>
      <c r="B339" s="59" t="s">
        <v>10</v>
      </c>
      <c r="C339">
        <v>43.9</v>
      </c>
      <c r="D339">
        <v>551.6</v>
      </c>
      <c r="E339">
        <v>109.6</v>
      </c>
      <c r="F339">
        <v>162.80000000000001</v>
      </c>
      <c r="G339" s="2">
        <f t="shared" si="94"/>
        <v>153.5</v>
      </c>
      <c r="H339" s="2">
        <f t="shared" si="95"/>
        <v>714.40000000000009</v>
      </c>
      <c r="I339" s="30">
        <f t="shared" si="96"/>
        <v>-78.513437849944012</v>
      </c>
    </row>
    <row r="340" spans="1:9" x14ac:dyDescent="0.25">
      <c r="A340" s="33">
        <f t="shared" si="98"/>
        <v>41207</v>
      </c>
      <c r="B340" s="59" t="s">
        <v>10</v>
      </c>
      <c r="C340">
        <v>61.7</v>
      </c>
      <c r="D340">
        <v>566.9</v>
      </c>
      <c r="E340">
        <v>118.9</v>
      </c>
      <c r="F340">
        <v>174</v>
      </c>
      <c r="G340" s="2">
        <f t="shared" ref="G340:G403" si="99">+C340+E340</f>
        <v>180.60000000000002</v>
      </c>
      <c r="H340" s="2">
        <f t="shared" ref="H340:H403" si="100">+D340+F340</f>
        <v>740.9</v>
      </c>
      <c r="I340" s="30">
        <f t="shared" ref="I340:I403" si="101">+(G340/H340-1)*100</f>
        <v>-75.624240788230523</v>
      </c>
    </row>
    <row r="341" spans="1:9" x14ac:dyDescent="0.25">
      <c r="A341" s="33">
        <f t="shared" si="98"/>
        <v>41214</v>
      </c>
      <c r="B341" s="59" t="s">
        <v>10</v>
      </c>
      <c r="C341">
        <v>55.6</v>
      </c>
      <c r="D341">
        <v>580.5</v>
      </c>
      <c r="E341">
        <v>129.5</v>
      </c>
      <c r="F341">
        <v>197.6</v>
      </c>
      <c r="G341" s="2">
        <f t="shared" si="99"/>
        <v>185.1</v>
      </c>
      <c r="H341" s="2">
        <f t="shared" si="100"/>
        <v>778.1</v>
      </c>
      <c r="I341" s="30">
        <f t="shared" si="101"/>
        <v>-76.211283896671375</v>
      </c>
    </row>
    <row r="342" spans="1:9" x14ac:dyDescent="0.25">
      <c r="A342" s="33">
        <f t="shared" si="98"/>
        <v>41221</v>
      </c>
      <c r="B342" s="59" t="s">
        <v>10</v>
      </c>
      <c r="C342">
        <v>72.7</v>
      </c>
      <c r="D342">
        <v>560.70000000000005</v>
      </c>
      <c r="E342">
        <v>132.6</v>
      </c>
      <c r="F342">
        <v>224.3</v>
      </c>
      <c r="G342" s="2">
        <f t="shared" si="99"/>
        <v>205.3</v>
      </c>
      <c r="H342" s="2">
        <f t="shared" si="100"/>
        <v>785</v>
      </c>
      <c r="I342" s="30">
        <f t="shared" si="101"/>
        <v>-73.847133757961785</v>
      </c>
    </row>
    <row r="343" spans="1:9" x14ac:dyDescent="0.25">
      <c r="A343" s="33">
        <f t="shared" si="98"/>
        <v>41228</v>
      </c>
      <c r="B343" s="59" t="s">
        <v>10</v>
      </c>
      <c r="C343">
        <v>74.7</v>
      </c>
      <c r="D343">
        <v>562.70000000000005</v>
      </c>
      <c r="E343">
        <v>137.80000000000001</v>
      </c>
      <c r="F343">
        <v>322.8</v>
      </c>
      <c r="G343" s="2">
        <f t="shared" si="99"/>
        <v>212.5</v>
      </c>
      <c r="H343" s="2">
        <f t="shared" si="100"/>
        <v>885.5</v>
      </c>
      <c r="I343" s="30">
        <f t="shared" si="101"/>
        <v>-76.002258610954271</v>
      </c>
    </row>
    <row r="344" spans="1:9" x14ac:dyDescent="0.25">
      <c r="A344" s="33">
        <f t="shared" si="98"/>
        <v>41235</v>
      </c>
      <c r="B344" s="59" t="s">
        <v>10</v>
      </c>
      <c r="C344">
        <v>80.5</v>
      </c>
      <c r="D344">
        <v>555.70000000000005</v>
      </c>
      <c r="E344">
        <v>141.30000000000001</v>
      </c>
      <c r="F344">
        <v>351.7</v>
      </c>
      <c r="G344" s="2">
        <f t="shared" si="99"/>
        <v>221.8</v>
      </c>
      <c r="H344" s="2">
        <f t="shared" si="100"/>
        <v>907.40000000000009</v>
      </c>
      <c r="I344" s="30">
        <f t="shared" si="101"/>
        <v>-75.556535155389028</v>
      </c>
    </row>
    <row r="345" spans="1:9" x14ac:dyDescent="0.25">
      <c r="A345" s="33">
        <f t="shared" si="98"/>
        <v>41242</v>
      </c>
      <c r="B345" s="59" t="s">
        <v>10</v>
      </c>
      <c r="C345">
        <v>82.6</v>
      </c>
      <c r="D345">
        <v>542</v>
      </c>
      <c r="E345">
        <v>145.4</v>
      </c>
      <c r="F345">
        <v>376.8</v>
      </c>
      <c r="G345" s="2">
        <f t="shared" si="99"/>
        <v>228</v>
      </c>
      <c r="H345" s="2">
        <f t="shared" si="100"/>
        <v>918.8</v>
      </c>
      <c r="I345" s="30">
        <f t="shared" si="101"/>
        <v>-75.185023944275144</v>
      </c>
    </row>
    <row r="346" spans="1:9" x14ac:dyDescent="0.25">
      <c r="A346" s="33">
        <f t="shared" si="98"/>
        <v>41249</v>
      </c>
      <c r="B346" s="59" t="s">
        <v>10</v>
      </c>
      <c r="C346">
        <v>112</v>
      </c>
      <c r="D346">
        <v>533.5</v>
      </c>
      <c r="E346">
        <v>148.19999999999999</v>
      </c>
      <c r="F346">
        <v>403.4</v>
      </c>
      <c r="G346" s="2">
        <f t="shared" si="99"/>
        <v>260.2</v>
      </c>
      <c r="H346" s="2">
        <f t="shared" si="100"/>
        <v>936.9</v>
      </c>
      <c r="I346" s="30">
        <f t="shared" si="101"/>
        <v>-72.227558971074828</v>
      </c>
    </row>
    <row r="347" spans="1:9" x14ac:dyDescent="0.25">
      <c r="A347" s="33">
        <f t="shared" si="98"/>
        <v>41256</v>
      </c>
      <c r="B347" s="59" t="s">
        <v>10</v>
      </c>
      <c r="C347">
        <v>100.2</v>
      </c>
      <c r="D347">
        <v>519.5</v>
      </c>
      <c r="E347">
        <v>153.9</v>
      </c>
      <c r="F347">
        <v>452.3</v>
      </c>
      <c r="G347" s="2">
        <f t="shared" si="99"/>
        <v>254.10000000000002</v>
      </c>
      <c r="H347" s="2">
        <f t="shared" si="100"/>
        <v>971.8</v>
      </c>
      <c r="I347" s="30">
        <f t="shared" si="101"/>
        <v>-73.852644577073463</v>
      </c>
    </row>
    <row r="348" spans="1:9" x14ac:dyDescent="0.25">
      <c r="A348" s="33">
        <f t="shared" si="98"/>
        <v>41263</v>
      </c>
      <c r="B348" s="59" t="s">
        <v>10</v>
      </c>
      <c r="C348">
        <v>73.599999999999994</v>
      </c>
      <c r="D348">
        <v>501.4</v>
      </c>
      <c r="E348">
        <v>185.8</v>
      </c>
      <c r="F348">
        <v>484.3</v>
      </c>
      <c r="G348" s="2">
        <f t="shared" si="99"/>
        <v>259.39999999999998</v>
      </c>
      <c r="H348" s="2">
        <f t="shared" si="100"/>
        <v>985.7</v>
      </c>
      <c r="I348" s="30">
        <f t="shared" si="101"/>
        <v>-73.68367657502283</v>
      </c>
    </row>
    <row r="349" spans="1:9" x14ac:dyDescent="0.25">
      <c r="A349" s="33">
        <f t="shared" si="98"/>
        <v>41270</v>
      </c>
      <c r="B349" s="59" t="s">
        <v>10</v>
      </c>
      <c r="C349">
        <v>78.599999999999994</v>
      </c>
      <c r="D349">
        <v>475.1</v>
      </c>
      <c r="E349">
        <v>192.8</v>
      </c>
      <c r="F349">
        <v>509.2</v>
      </c>
      <c r="G349" s="2">
        <f t="shared" si="99"/>
        <v>271.39999999999998</v>
      </c>
      <c r="H349" s="2">
        <f t="shared" si="100"/>
        <v>984.3</v>
      </c>
      <c r="I349" s="30">
        <f t="shared" si="101"/>
        <v>-72.427105557248808</v>
      </c>
    </row>
    <row r="350" spans="1:9" x14ac:dyDescent="0.25">
      <c r="A350" s="33">
        <f t="shared" si="98"/>
        <v>41277</v>
      </c>
      <c r="B350" s="59" t="s">
        <v>10</v>
      </c>
      <c r="C350">
        <v>83.7</v>
      </c>
      <c r="D350">
        <v>435.2</v>
      </c>
      <c r="E350">
        <v>202</v>
      </c>
      <c r="F350">
        <v>543.9</v>
      </c>
      <c r="G350" s="2">
        <f t="shared" si="99"/>
        <v>285.7</v>
      </c>
      <c r="H350" s="2">
        <f t="shared" si="100"/>
        <v>979.09999999999991</v>
      </c>
      <c r="I350" s="30">
        <f t="shared" si="101"/>
        <v>-70.820140945766525</v>
      </c>
    </row>
    <row r="351" spans="1:9" x14ac:dyDescent="0.25">
      <c r="A351" s="33">
        <f t="shared" si="98"/>
        <v>41284</v>
      </c>
      <c r="B351" s="59" t="s">
        <v>10</v>
      </c>
      <c r="C351">
        <v>122.6</v>
      </c>
      <c r="D351">
        <v>402.4</v>
      </c>
      <c r="E351">
        <v>212.2</v>
      </c>
      <c r="F351">
        <v>595.9</v>
      </c>
      <c r="G351" s="2">
        <f t="shared" si="99"/>
        <v>334.79999999999995</v>
      </c>
      <c r="H351" s="2">
        <f t="shared" si="100"/>
        <v>998.3</v>
      </c>
      <c r="I351" s="30">
        <f t="shared" si="101"/>
        <v>-66.462987078032668</v>
      </c>
    </row>
    <row r="352" spans="1:9" x14ac:dyDescent="0.25">
      <c r="A352" s="33">
        <f t="shared" si="98"/>
        <v>41291</v>
      </c>
      <c r="B352" s="59" t="s">
        <v>10</v>
      </c>
      <c r="C352">
        <v>125.8</v>
      </c>
      <c r="D352">
        <v>388.5</v>
      </c>
      <c r="E352">
        <v>219.3</v>
      </c>
      <c r="F352">
        <v>644.6</v>
      </c>
      <c r="G352" s="2">
        <f t="shared" si="99"/>
        <v>345.1</v>
      </c>
      <c r="H352" s="2">
        <f t="shared" si="100"/>
        <v>1033.0999999999999</v>
      </c>
      <c r="I352" s="30">
        <f t="shared" si="101"/>
        <v>-66.595682896137831</v>
      </c>
    </row>
    <row r="353" spans="1:9" x14ac:dyDescent="0.25">
      <c r="A353" s="33">
        <f t="shared" si="98"/>
        <v>41298</v>
      </c>
      <c r="B353" s="59" t="s">
        <v>10</v>
      </c>
      <c r="C353">
        <v>111</v>
      </c>
      <c r="D353">
        <v>374.8</v>
      </c>
      <c r="E353">
        <v>228.9</v>
      </c>
      <c r="F353">
        <v>662.8</v>
      </c>
      <c r="G353" s="2">
        <f t="shared" si="99"/>
        <v>339.9</v>
      </c>
      <c r="H353" s="2">
        <f t="shared" si="100"/>
        <v>1037.5999999999999</v>
      </c>
      <c r="I353" s="30">
        <f t="shared" si="101"/>
        <v>-67.241711642251346</v>
      </c>
    </row>
    <row r="354" spans="1:9" x14ac:dyDescent="0.25">
      <c r="A354" s="33">
        <f t="shared" si="98"/>
        <v>41305</v>
      </c>
      <c r="B354" s="59" t="s">
        <v>10</v>
      </c>
      <c r="C354">
        <v>107.3</v>
      </c>
      <c r="D354">
        <v>373.9</v>
      </c>
      <c r="E354">
        <v>237.9</v>
      </c>
      <c r="F354">
        <v>682.1</v>
      </c>
      <c r="G354" s="2">
        <f t="shared" si="99"/>
        <v>345.2</v>
      </c>
      <c r="H354" s="2">
        <f t="shared" si="100"/>
        <v>1056</v>
      </c>
      <c r="I354" s="30">
        <f t="shared" si="101"/>
        <v>-67.310606060606062</v>
      </c>
    </row>
    <row r="355" spans="1:9" x14ac:dyDescent="0.25">
      <c r="A355" s="33">
        <f t="shared" si="98"/>
        <v>41312</v>
      </c>
      <c r="B355" s="59" t="s">
        <v>10</v>
      </c>
      <c r="C355">
        <v>100.5</v>
      </c>
      <c r="D355">
        <v>449.9</v>
      </c>
      <c r="E355">
        <v>245.5</v>
      </c>
      <c r="F355">
        <v>706.2</v>
      </c>
      <c r="G355" s="2">
        <f t="shared" si="99"/>
        <v>346</v>
      </c>
      <c r="H355" s="2">
        <f t="shared" si="100"/>
        <v>1156.0999999999999</v>
      </c>
      <c r="I355" s="30">
        <f t="shared" si="101"/>
        <v>-70.07179309748291</v>
      </c>
    </row>
    <row r="356" spans="1:9" x14ac:dyDescent="0.25">
      <c r="A356" s="33">
        <f t="shared" si="98"/>
        <v>41319</v>
      </c>
      <c r="B356" s="59" t="s">
        <v>10</v>
      </c>
      <c r="C356">
        <v>91.6</v>
      </c>
      <c r="D356">
        <v>464.3</v>
      </c>
      <c r="E356">
        <v>256.60000000000002</v>
      </c>
      <c r="F356">
        <v>720.4</v>
      </c>
      <c r="G356" s="2">
        <f t="shared" si="99"/>
        <v>348.20000000000005</v>
      </c>
      <c r="H356" s="2">
        <f t="shared" si="100"/>
        <v>1184.7</v>
      </c>
      <c r="I356" s="30">
        <f t="shared" si="101"/>
        <v>-70.608592892715464</v>
      </c>
    </row>
    <row r="357" spans="1:9" x14ac:dyDescent="0.25">
      <c r="A357" s="33">
        <f t="shared" si="98"/>
        <v>41326</v>
      </c>
      <c r="B357" s="59" t="s">
        <v>10</v>
      </c>
      <c r="C357">
        <v>99.4</v>
      </c>
      <c r="D357">
        <v>531.79999999999995</v>
      </c>
      <c r="E357">
        <v>265.2</v>
      </c>
      <c r="F357">
        <v>738.6</v>
      </c>
      <c r="G357" s="2">
        <f t="shared" si="99"/>
        <v>364.6</v>
      </c>
      <c r="H357" s="2">
        <f t="shared" si="100"/>
        <v>1270.4000000000001</v>
      </c>
      <c r="I357" s="30">
        <f t="shared" si="101"/>
        <v>-71.300377833753146</v>
      </c>
    </row>
    <row r="358" spans="1:9" x14ac:dyDescent="0.25">
      <c r="A358" s="33">
        <f t="shared" si="98"/>
        <v>41333</v>
      </c>
      <c r="B358" s="59" t="s">
        <v>10</v>
      </c>
      <c r="C358">
        <v>60.2</v>
      </c>
      <c r="D358">
        <v>526.20000000000005</v>
      </c>
      <c r="E358">
        <v>299.39999999999998</v>
      </c>
      <c r="F358">
        <v>756.3</v>
      </c>
      <c r="G358" s="2">
        <f t="shared" si="99"/>
        <v>359.59999999999997</v>
      </c>
      <c r="H358" s="2">
        <f t="shared" si="100"/>
        <v>1282.5</v>
      </c>
      <c r="I358" s="30">
        <f t="shared" si="101"/>
        <v>-71.961013645224185</v>
      </c>
    </row>
    <row r="359" spans="1:9" x14ac:dyDescent="0.25">
      <c r="A359" s="33">
        <f t="shared" si="98"/>
        <v>41340</v>
      </c>
      <c r="B359" s="59" t="s">
        <v>10</v>
      </c>
      <c r="C359">
        <v>71.8</v>
      </c>
      <c r="D359">
        <v>530</v>
      </c>
      <c r="E359">
        <v>303.39999999999998</v>
      </c>
      <c r="F359">
        <v>771.5</v>
      </c>
      <c r="G359" s="2">
        <f t="shared" si="99"/>
        <v>375.2</v>
      </c>
      <c r="H359" s="2">
        <f t="shared" si="100"/>
        <v>1301.5</v>
      </c>
      <c r="I359" s="30">
        <f t="shared" si="101"/>
        <v>-71.171724932769891</v>
      </c>
    </row>
    <row r="360" spans="1:9" x14ac:dyDescent="0.25">
      <c r="A360" s="33">
        <f t="shared" si="98"/>
        <v>41347</v>
      </c>
      <c r="B360" s="59" t="s">
        <v>10</v>
      </c>
      <c r="C360">
        <v>67.5</v>
      </c>
      <c r="D360">
        <v>533.20000000000005</v>
      </c>
      <c r="E360">
        <v>315.89999999999998</v>
      </c>
      <c r="F360">
        <v>786.5</v>
      </c>
      <c r="G360" s="2">
        <f t="shared" si="99"/>
        <v>383.4</v>
      </c>
      <c r="H360" s="2">
        <f t="shared" si="100"/>
        <v>1319.7</v>
      </c>
      <c r="I360" s="30">
        <f t="shared" si="101"/>
        <v>-70.947942714253244</v>
      </c>
    </row>
    <row r="361" spans="1:9" x14ac:dyDescent="0.25">
      <c r="A361" s="33">
        <f t="shared" si="98"/>
        <v>41354</v>
      </c>
      <c r="B361" s="59" t="s">
        <v>10</v>
      </c>
      <c r="C361">
        <v>62.9</v>
      </c>
      <c r="D361">
        <v>546.20000000000005</v>
      </c>
      <c r="E361">
        <v>337</v>
      </c>
      <c r="F361">
        <v>801.4</v>
      </c>
      <c r="G361" s="2">
        <f t="shared" si="99"/>
        <v>399.9</v>
      </c>
      <c r="H361" s="2">
        <f t="shared" si="100"/>
        <v>1347.6</v>
      </c>
      <c r="I361" s="30">
        <f t="shared" si="101"/>
        <v>-70.32502226179875</v>
      </c>
    </row>
    <row r="362" spans="1:9" x14ac:dyDescent="0.25">
      <c r="A362" s="33">
        <f t="shared" si="98"/>
        <v>41361</v>
      </c>
      <c r="B362" s="59" t="s">
        <v>10</v>
      </c>
      <c r="C362">
        <v>58.2</v>
      </c>
      <c r="D362">
        <v>479.2</v>
      </c>
      <c r="E362">
        <v>357.3</v>
      </c>
      <c r="F362">
        <v>893.9</v>
      </c>
      <c r="G362" s="2">
        <f t="shared" si="99"/>
        <v>415.5</v>
      </c>
      <c r="H362" s="2">
        <f t="shared" si="100"/>
        <v>1373.1</v>
      </c>
      <c r="I362" s="30">
        <f t="shared" si="101"/>
        <v>-69.740004369674452</v>
      </c>
    </row>
    <row r="363" spans="1:9" x14ac:dyDescent="0.25">
      <c r="A363" s="33">
        <f t="shared" si="98"/>
        <v>41368</v>
      </c>
      <c r="B363" s="59" t="s">
        <v>10</v>
      </c>
      <c r="C363">
        <v>85.1</v>
      </c>
      <c r="D363">
        <v>451.5</v>
      </c>
      <c r="E363">
        <v>364</v>
      </c>
      <c r="F363">
        <v>923.5</v>
      </c>
      <c r="G363" s="2">
        <f t="shared" si="99"/>
        <v>449.1</v>
      </c>
      <c r="H363" s="2">
        <f t="shared" si="100"/>
        <v>1375</v>
      </c>
      <c r="I363" s="30">
        <f t="shared" si="101"/>
        <v>-67.338181818181823</v>
      </c>
    </row>
    <row r="364" spans="1:9" x14ac:dyDescent="0.25">
      <c r="A364" s="33">
        <f t="shared" si="98"/>
        <v>41375</v>
      </c>
      <c r="B364" s="59" t="s">
        <v>10</v>
      </c>
      <c r="C364">
        <v>76.400000000000006</v>
      </c>
      <c r="D364">
        <v>520.1</v>
      </c>
      <c r="E364">
        <v>370.2</v>
      </c>
      <c r="F364">
        <v>932.3</v>
      </c>
      <c r="G364" s="2">
        <f t="shared" si="99"/>
        <v>446.6</v>
      </c>
      <c r="H364" s="2">
        <f t="shared" si="100"/>
        <v>1452.4</v>
      </c>
      <c r="I364" s="30">
        <f t="shared" si="101"/>
        <v>-69.250895070228594</v>
      </c>
    </row>
    <row r="365" spans="1:9" x14ac:dyDescent="0.25">
      <c r="A365" s="33">
        <f t="shared" si="98"/>
        <v>41382</v>
      </c>
      <c r="B365" s="59" t="s">
        <v>10</v>
      </c>
      <c r="C365">
        <v>77.099999999999994</v>
      </c>
      <c r="D365">
        <v>521.6</v>
      </c>
      <c r="E365">
        <v>371.8</v>
      </c>
      <c r="F365">
        <v>943.6</v>
      </c>
      <c r="G365" s="2">
        <f t="shared" si="99"/>
        <v>448.9</v>
      </c>
      <c r="H365" s="2">
        <f t="shared" si="100"/>
        <v>1465.2</v>
      </c>
      <c r="I365" s="30">
        <f t="shared" si="101"/>
        <v>-69.362544362544369</v>
      </c>
    </row>
    <row r="366" spans="1:9" x14ac:dyDescent="0.25">
      <c r="A366" s="33">
        <f t="shared" si="98"/>
        <v>41389</v>
      </c>
      <c r="B366" s="59" t="s">
        <v>10</v>
      </c>
      <c r="C366">
        <v>66.7</v>
      </c>
      <c r="D366">
        <v>523.79999999999995</v>
      </c>
      <c r="E366">
        <v>382.7</v>
      </c>
      <c r="F366">
        <v>952.9</v>
      </c>
      <c r="G366" s="2">
        <f t="shared" si="99"/>
        <v>449.4</v>
      </c>
      <c r="H366" s="2">
        <f t="shared" si="100"/>
        <v>1476.6999999999998</v>
      </c>
      <c r="I366" s="30">
        <f t="shared" si="101"/>
        <v>-69.567278391006965</v>
      </c>
    </row>
    <row r="367" spans="1:9" x14ac:dyDescent="0.25">
      <c r="A367" s="33">
        <f t="shared" si="98"/>
        <v>41396</v>
      </c>
      <c r="B367" s="59" t="s">
        <v>10</v>
      </c>
      <c r="C367">
        <v>60</v>
      </c>
      <c r="D367">
        <v>527.20000000000005</v>
      </c>
      <c r="E367">
        <v>390.4</v>
      </c>
      <c r="F367">
        <v>966</v>
      </c>
      <c r="G367" s="2">
        <f t="shared" si="99"/>
        <v>450.4</v>
      </c>
      <c r="H367" s="2">
        <f t="shared" si="100"/>
        <v>1493.2</v>
      </c>
      <c r="I367" s="30">
        <f t="shared" si="101"/>
        <v>-69.836592552906509</v>
      </c>
    </row>
    <row r="368" spans="1:9" x14ac:dyDescent="0.25">
      <c r="A368" s="33">
        <f t="shared" si="98"/>
        <v>41403</v>
      </c>
      <c r="B368" s="59" t="s">
        <v>10</v>
      </c>
      <c r="C368" s="153">
        <v>56.6</v>
      </c>
      <c r="D368">
        <v>522.70000000000005</v>
      </c>
      <c r="E368">
        <v>395.9</v>
      </c>
      <c r="F368">
        <v>976.8</v>
      </c>
      <c r="G368" s="2">
        <f t="shared" si="99"/>
        <v>452.5</v>
      </c>
      <c r="H368" s="2">
        <f t="shared" si="100"/>
        <v>1499.5</v>
      </c>
      <c r="I368" s="30">
        <f t="shared" si="101"/>
        <v>-69.823274424808261</v>
      </c>
    </row>
    <row r="369" spans="1:10" x14ac:dyDescent="0.25">
      <c r="A369" s="33">
        <f t="shared" si="98"/>
        <v>41410</v>
      </c>
      <c r="B369" s="59" t="s">
        <v>10</v>
      </c>
      <c r="C369" s="153">
        <v>23.6</v>
      </c>
      <c r="D369">
        <v>504.8</v>
      </c>
      <c r="E369">
        <v>429.2</v>
      </c>
      <c r="F369">
        <v>999.6</v>
      </c>
      <c r="G369" s="2">
        <f t="shared" si="99"/>
        <v>452.8</v>
      </c>
      <c r="H369" s="2">
        <f t="shared" si="100"/>
        <v>1504.4</v>
      </c>
      <c r="I369" s="30">
        <f t="shared" si="101"/>
        <v>-69.901621909066748</v>
      </c>
    </row>
    <row r="370" spans="1:10" x14ac:dyDescent="0.25">
      <c r="A370" s="33">
        <f t="shared" si="98"/>
        <v>41417</v>
      </c>
      <c r="B370" s="59" t="s">
        <v>10</v>
      </c>
      <c r="C370">
        <v>25.5</v>
      </c>
      <c r="D370">
        <v>470.8</v>
      </c>
      <c r="E370">
        <v>432.4</v>
      </c>
      <c r="F370">
        <v>1037.4000000000001</v>
      </c>
      <c r="G370" s="2">
        <f t="shared" si="99"/>
        <v>457.9</v>
      </c>
      <c r="H370" s="2">
        <f t="shared" si="100"/>
        <v>1508.2</v>
      </c>
      <c r="I370" s="30">
        <f t="shared" si="101"/>
        <v>-69.639305131945363</v>
      </c>
    </row>
    <row r="371" spans="1:10" x14ac:dyDescent="0.25">
      <c r="A371" s="33">
        <f t="shared" si="98"/>
        <v>41424</v>
      </c>
      <c r="B371" s="59" t="s">
        <v>10</v>
      </c>
      <c r="C371" s="153">
        <v>22.2</v>
      </c>
      <c r="D371">
        <v>461.5</v>
      </c>
      <c r="E371">
        <v>435.8</v>
      </c>
      <c r="F371">
        <v>1048.5</v>
      </c>
      <c r="G371" s="2">
        <f t="shared" si="99"/>
        <v>458</v>
      </c>
      <c r="H371" s="2">
        <f t="shared" si="100"/>
        <v>1510</v>
      </c>
      <c r="I371" s="30">
        <f t="shared" si="101"/>
        <v>-69.66887417218544</v>
      </c>
    </row>
    <row r="372" spans="1:10" x14ac:dyDescent="0.25">
      <c r="A372" s="33">
        <f t="shared" si="98"/>
        <v>41431</v>
      </c>
      <c r="B372" s="59" t="s">
        <v>10</v>
      </c>
      <c r="C372" s="153">
        <v>24.6</v>
      </c>
      <c r="D372">
        <v>486.2</v>
      </c>
      <c r="E372">
        <v>438.3</v>
      </c>
      <c r="F372">
        <v>1056.0999999999999</v>
      </c>
      <c r="G372" s="2">
        <f t="shared" si="99"/>
        <v>462.90000000000003</v>
      </c>
      <c r="H372" s="2">
        <f t="shared" si="100"/>
        <v>1542.3</v>
      </c>
      <c r="I372" s="30">
        <f t="shared" si="101"/>
        <v>-69.986383971989881</v>
      </c>
      <c r="J372">
        <v>4</v>
      </c>
    </row>
    <row r="373" spans="1:10" x14ac:dyDescent="0.25">
      <c r="A373" s="33">
        <f t="shared" si="98"/>
        <v>41438</v>
      </c>
      <c r="B373" s="59" t="s">
        <v>10</v>
      </c>
      <c r="C373" s="153">
        <v>28.5</v>
      </c>
      <c r="D373">
        <v>484.7</v>
      </c>
      <c r="E373">
        <v>439.3</v>
      </c>
      <c r="F373">
        <v>1060.8</v>
      </c>
      <c r="G373" s="2">
        <f t="shared" si="99"/>
        <v>467.8</v>
      </c>
      <c r="H373" s="2">
        <f t="shared" si="100"/>
        <v>1545.5</v>
      </c>
      <c r="I373" s="30">
        <f t="shared" si="101"/>
        <v>-69.731478485926885</v>
      </c>
      <c r="J373">
        <v>8.5</v>
      </c>
    </row>
    <row r="374" spans="1:10" x14ac:dyDescent="0.25">
      <c r="A374" s="33">
        <f t="shared" si="98"/>
        <v>41445</v>
      </c>
      <c r="B374" s="59" t="s">
        <v>10</v>
      </c>
      <c r="C374" s="153">
        <v>29</v>
      </c>
      <c r="D374">
        <v>414.2</v>
      </c>
      <c r="E374">
        <v>439.3</v>
      </c>
      <c r="F374">
        <v>1134.0999999999999</v>
      </c>
      <c r="G374" s="2">
        <f t="shared" si="99"/>
        <v>468.3</v>
      </c>
      <c r="H374" s="2">
        <f t="shared" si="100"/>
        <v>1548.3</v>
      </c>
      <c r="I374" s="30">
        <f t="shared" si="101"/>
        <v>-69.753923658205778</v>
      </c>
      <c r="J374">
        <v>9.5</v>
      </c>
    </row>
    <row r="375" spans="1:10" x14ac:dyDescent="0.25">
      <c r="A375" s="33">
        <f t="shared" si="98"/>
        <v>41452</v>
      </c>
      <c r="B375" s="59" t="s">
        <v>10</v>
      </c>
      <c r="C375">
        <v>30.6</v>
      </c>
      <c r="D375">
        <v>308</v>
      </c>
      <c r="E375">
        <v>441.1</v>
      </c>
      <c r="F375">
        <v>1143.7</v>
      </c>
      <c r="G375" s="2">
        <f t="shared" si="99"/>
        <v>471.70000000000005</v>
      </c>
      <c r="H375" s="2">
        <f t="shared" si="100"/>
        <v>1451.7</v>
      </c>
      <c r="I375" s="30">
        <f t="shared" si="101"/>
        <v>-67.50706068746986</v>
      </c>
      <c r="J375">
        <v>15.5</v>
      </c>
    </row>
    <row r="376" spans="1:10" x14ac:dyDescent="0.25">
      <c r="A376" s="33">
        <f t="shared" si="98"/>
        <v>41459</v>
      </c>
      <c r="B376" s="59" t="s">
        <v>10</v>
      </c>
      <c r="C376">
        <v>60.1</v>
      </c>
      <c r="D376">
        <v>213.9</v>
      </c>
      <c r="E376">
        <v>443.8</v>
      </c>
      <c r="F376">
        <v>1150.8</v>
      </c>
      <c r="G376" s="2">
        <f t="shared" si="99"/>
        <v>503.90000000000003</v>
      </c>
      <c r="H376" s="2">
        <f t="shared" si="100"/>
        <v>1364.7</v>
      </c>
      <c r="I376" s="30">
        <f t="shared" si="101"/>
        <v>-63.076133948853233</v>
      </c>
      <c r="J376">
        <v>20.5</v>
      </c>
    </row>
    <row r="377" spans="1:10" x14ac:dyDescent="0.25">
      <c r="A377" s="33">
        <f t="shared" si="98"/>
        <v>41466</v>
      </c>
      <c r="B377" s="59" t="s">
        <v>10</v>
      </c>
      <c r="C377">
        <v>56.5</v>
      </c>
      <c r="D377">
        <v>117.9</v>
      </c>
      <c r="E377">
        <v>451.5</v>
      </c>
      <c r="F377">
        <v>1162.7</v>
      </c>
      <c r="G377" s="2">
        <f t="shared" si="99"/>
        <v>508</v>
      </c>
      <c r="H377" s="2">
        <f t="shared" si="100"/>
        <v>1280.6000000000001</v>
      </c>
      <c r="I377" s="30">
        <f t="shared" si="101"/>
        <v>-60.331094799312822</v>
      </c>
      <c r="J377">
        <v>22.5</v>
      </c>
    </row>
    <row r="378" spans="1:10" x14ac:dyDescent="0.25">
      <c r="A378" s="33">
        <f t="shared" si="98"/>
        <v>41473</v>
      </c>
      <c r="B378" s="59" t="s">
        <v>10</v>
      </c>
      <c r="C378">
        <v>64.900000000000006</v>
      </c>
      <c r="D378">
        <v>75.599999999999994</v>
      </c>
      <c r="E378">
        <v>453.2</v>
      </c>
      <c r="F378">
        <v>1196.0999999999999</v>
      </c>
      <c r="G378" s="2">
        <f t="shared" si="99"/>
        <v>518.1</v>
      </c>
      <c r="H378" s="2">
        <f t="shared" si="100"/>
        <v>1271.6999999999998</v>
      </c>
      <c r="I378" s="30">
        <f t="shared" si="101"/>
        <v>-59.259259259259252</v>
      </c>
      <c r="J378">
        <v>22.5</v>
      </c>
    </row>
    <row r="379" spans="1:10" x14ac:dyDescent="0.25">
      <c r="A379" s="33">
        <f t="shared" si="98"/>
        <v>41480</v>
      </c>
      <c r="B379" s="59" t="s">
        <v>10</v>
      </c>
      <c r="C379">
        <v>100.5</v>
      </c>
      <c r="D379">
        <v>61.6</v>
      </c>
      <c r="E379">
        <v>457.1</v>
      </c>
      <c r="F379">
        <v>1214.2</v>
      </c>
      <c r="G379" s="2">
        <f t="shared" si="99"/>
        <v>557.6</v>
      </c>
      <c r="H379" s="2">
        <f t="shared" si="100"/>
        <v>1275.8</v>
      </c>
      <c r="I379" s="30">
        <f t="shared" si="101"/>
        <v>-56.294089982755914</v>
      </c>
      <c r="J379">
        <v>22.5</v>
      </c>
    </row>
    <row r="380" spans="1:10" x14ac:dyDescent="0.25">
      <c r="A380" s="33">
        <f t="shared" si="98"/>
        <v>41487</v>
      </c>
      <c r="B380" s="59" t="s">
        <v>10</v>
      </c>
      <c r="C380">
        <v>114.5</v>
      </c>
      <c r="D380">
        <v>53.5</v>
      </c>
      <c r="E380">
        <v>459.1</v>
      </c>
      <c r="F380">
        <v>1227.0999999999999</v>
      </c>
      <c r="G380" s="2">
        <f t="shared" si="99"/>
        <v>573.6</v>
      </c>
      <c r="H380" s="2">
        <f t="shared" si="100"/>
        <v>1280.5999999999999</v>
      </c>
      <c r="I380" s="30">
        <f t="shared" si="101"/>
        <v>-55.208496017491804</v>
      </c>
      <c r="J380">
        <v>24</v>
      </c>
    </row>
    <row r="381" spans="1:10" x14ac:dyDescent="0.25">
      <c r="A381" s="33">
        <f t="shared" si="98"/>
        <v>41494</v>
      </c>
      <c r="B381" s="59" t="s">
        <v>10</v>
      </c>
      <c r="C381">
        <v>120</v>
      </c>
      <c r="D381">
        <v>53.1</v>
      </c>
      <c r="E381">
        <v>463.1</v>
      </c>
      <c r="F381">
        <v>1230</v>
      </c>
      <c r="G381" s="2">
        <f t="shared" si="99"/>
        <v>583.1</v>
      </c>
      <c r="H381" s="2">
        <f t="shared" si="100"/>
        <v>1283.0999999999999</v>
      </c>
      <c r="I381" s="30">
        <f t="shared" si="101"/>
        <v>-54.555373704309872</v>
      </c>
      <c r="J381">
        <v>24.5</v>
      </c>
    </row>
    <row r="382" spans="1:10" x14ac:dyDescent="0.25">
      <c r="A382" s="33">
        <f t="shared" ref="A382:A445" si="102">+A381+7</f>
        <v>41501</v>
      </c>
      <c r="B382" s="59" t="s">
        <v>10</v>
      </c>
      <c r="C382">
        <v>121.7</v>
      </c>
      <c r="D382">
        <v>78.099999999999994</v>
      </c>
      <c r="E382">
        <v>466.5</v>
      </c>
      <c r="F382">
        <v>1237.5</v>
      </c>
      <c r="G382" s="2">
        <f t="shared" si="99"/>
        <v>588.20000000000005</v>
      </c>
      <c r="H382" s="2">
        <f t="shared" si="100"/>
        <v>1315.6</v>
      </c>
      <c r="I382" s="30">
        <f t="shared" si="101"/>
        <v>-55.29036181210094</v>
      </c>
      <c r="J382">
        <v>53.5</v>
      </c>
    </row>
    <row r="383" spans="1:10" x14ac:dyDescent="0.25">
      <c r="A383" s="33">
        <f t="shared" si="102"/>
        <v>41508</v>
      </c>
      <c r="B383" s="59" t="s">
        <v>10</v>
      </c>
      <c r="C383">
        <v>114.9</v>
      </c>
      <c r="D383">
        <v>66.099999999999994</v>
      </c>
      <c r="E383">
        <v>476.3</v>
      </c>
      <c r="F383">
        <v>1247.2</v>
      </c>
      <c r="G383" s="2">
        <f t="shared" si="99"/>
        <v>591.20000000000005</v>
      </c>
      <c r="H383" s="2">
        <f t="shared" si="100"/>
        <v>1313.3</v>
      </c>
      <c r="I383" s="30">
        <f t="shared" si="101"/>
        <v>-54.983629026117406</v>
      </c>
      <c r="J383">
        <v>56</v>
      </c>
    </row>
    <row r="384" spans="1:10" x14ac:dyDescent="0.25">
      <c r="A384" s="33">
        <f t="shared" si="102"/>
        <v>41515</v>
      </c>
      <c r="B384" s="59" t="s">
        <v>10</v>
      </c>
      <c r="C384">
        <v>85.6</v>
      </c>
      <c r="D384">
        <v>52.1</v>
      </c>
      <c r="E384">
        <v>509.6</v>
      </c>
      <c r="F384">
        <v>1262.3</v>
      </c>
      <c r="G384" s="2">
        <f t="shared" si="99"/>
        <v>595.20000000000005</v>
      </c>
      <c r="H384" s="2">
        <f t="shared" si="100"/>
        <v>1314.3999999999999</v>
      </c>
      <c r="I384" s="30">
        <f t="shared" si="101"/>
        <v>-54.71698113207546</v>
      </c>
      <c r="J384">
        <v>58.5</v>
      </c>
    </row>
    <row r="385" spans="1:14" x14ac:dyDescent="0.25">
      <c r="A385" s="33">
        <f t="shared" si="102"/>
        <v>41522</v>
      </c>
      <c r="B385" s="59" t="s">
        <v>10</v>
      </c>
      <c r="C385">
        <v>129.6</v>
      </c>
      <c r="D385">
        <v>99</v>
      </c>
      <c r="E385">
        <v>0.6</v>
      </c>
      <c r="F385">
        <v>27.7</v>
      </c>
      <c r="G385" s="2">
        <f t="shared" si="99"/>
        <v>130.19999999999999</v>
      </c>
      <c r="H385" s="2">
        <f t="shared" si="100"/>
        <v>126.7</v>
      </c>
      <c r="I385" s="30">
        <f t="shared" si="101"/>
        <v>2.7624309392265012</v>
      </c>
    </row>
    <row r="386" spans="1:14" x14ac:dyDescent="0.25">
      <c r="A386" s="33">
        <f t="shared" si="102"/>
        <v>41529</v>
      </c>
      <c r="B386" s="59" t="s">
        <v>10</v>
      </c>
      <c r="C386">
        <v>162.9</v>
      </c>
      <c r="D386">
        <v>107.9</v>
      </c>
      <c r="E386">
        <v>3.2</v>
      </c>
      <c r="F386">
        <v>32.700000000000003</v>
      </c>
      <c r="G386" s="2">
        <f t="shared" si="99"/>
        <v>166.1</v>
      </c>
      <c r="H386" s="2">
        <f t="shared" si="100"/>
        <v>140.60000000000002</v>
      </c>
      <c r="I386" s="30">
        <f t="shared" si="101"/>
        <v>18.136557610241798</v>
      </c>
    </row>
    <row r="387" spans="1:14" x14ac:dyDescent="0.25">
      <c r="A387" s="33">
        <f t="shared" si="102"/>
        <v>41536</v>
      </c>
      <c r="B387" s="59" t="s">
        <v>10</v>
      </c>
      <c r="C387">
        <v>166.7</v>
      </c>
      <c r="D387">
        <v>94.1</v>
      </c>
      <c r="E387">
        <v>10.210000000000001</v>
      </c>
      <c r="F387">
        <v>49.5</v>
      </c>
      <c r="G387" s="2">
        <f t="shared" si="99"/>
        <v>176.91</v>
      </c>
      <c r="H387" s="2">
        <f t="shared" si="100"/>
        <v>143.6</v>
      </c>
      <c r="I387" s="30">
        <f t="shared" si="101"/>
        <v>23.196378830083564</v>
      </c>
    </row>
    <row r="388" spans="1:14" x14ac:dyDescent="0.25">
      <c r="A388" s="33">
        <f t="shared" si="102"/>
        <v>41543</v>
      </c>
      <c r="B388" s="59" t="s">
        <v>10</v>
      </c>
      <c r="C388">
        <v>179.7</v>
      </c>
      <c r="D388">
        <v>81.7</v>
      </c>
      <c r="E388">
        <v>16.100000000000001</v>
      </c>
      <c r="F388">
        <v>61.9</v>
      </c>
      <c r="G388" s="2">
        <f t="shared" si="99"/>
        <v>195.79999999999998</v>
      </c>
      <c r="H388" s="2">
        <f t="shared" si="100"/>
        <v>143.6</v>
      </c>
      <c r="I388" s="30">
        <f t="shared" si="101"/>
        <v>36.350974930362099</v>
      </c>
    </row>
    <row r="389" spans="1:14" x14ac:dyDescent="0.25">
      <c r="A389" s="33">
        <f t="shared" si="102"/>
        <v>41550</v>
      </c>
      <c r="B389" s="59" t="s">
        <v>10</v>
      </c>
      <c r="C389">
        <v>183.6</v>
      </c>
      <c r="D389">
        <v>80.599999999999994</v>
      </c>
      <c r="E389">
        <v>52.8</v>
      </c>
      <c r="F389">
        <v>65.7</v>
      </c>
      <c r="G389" s="2">
        <f t="shared" si="99"/>
        <v>236.39999999999998</v>
      </c>
      <c r="H389" s="2">
        <f t="shared" si="100"/>
        <v>146.30000000000001</v>
      </c>
      <c r="I389" s="30">
        <f t="shared" si="101"/>
        <v>61.585782638414187</v>
      </c>
    </row>
    <row r="390" spans="1:14" x14ac:dyDescent="0.25">
      <c r="A390" s="33">
        <f t="shared" si="102"/>
        <v>41557</v>
      </c>
      <c r="B390" s="59" t="s">
        <v>10</v>
      </c>
      <c r="G390" s="2">
        <f t="shared" si="99"/>
        <v>0</v>
      </c>
      <c r="H390" s="2">
        <f t="shared" si="100"/>
        <v>0</v>
      </c>
      <c r="I390" s="30" t="e">
        <f t="shared" si="101"/>
        <v>#DIV/0!</v>
      </c>
    </row>
    <row r="391" spans="1:14" ht="15" x14ac:dyDescent="0.25">
      <c r="A391" s="33">
        <f t="shared" si="102"/>
        <v>41564</v>
      </c>
      <c r="B391" s="59" t="s">
        <v>10</v>
      </c>
      <c r="G391" s="2">
        <f t="shared" si="99"/>
        <v>0</v>
      </c>
      <c r="H391" s="2">
        <f t="shared" si="100"/>
        <v>0</v>
      </c>
      <c r="I391" s="30" t="e">
        <f t="shared" si="101"/>
        <v>#DIV/0!</v>
      </c>
      <c r="N391" s="123"/>
    </row>
    <row r="392" spans="1:14" x14ac:dyDescent="0.25">
      <c r="A392" s="33">
        <f t="shared" si="102"/>
        <v>41571</v>
      </c>
      <c r="B392" s="59" t="s">
        <v>10</v>
      </c>
      <c r="C392">
        <v>204.2</v>
      </c>
      <c r="D392">
        <v>61.7</v>
      </c>
      <c r="E392">
        <v>79.599999999999994</v>
      </c>
      <c r="F392">
        <v>118.9</v>
      </c>
      <c r="G392" s="2">
        <f t="shared" si="99"/>
        <v>283.79999999999995</v>
      </c>
      <c r="H392" s="2">
        <f t="shared" si="100"/>
        <v>180.60000000000002</v>
      </c>
      <c r="I392" s="30">
        <f t="shared" si="101"/>
        <v>57.142857142857096</v>
      </c>
    </row>
    <row r="393" spans="1:14" ht="15" x14ac:dyDescent="0.25">
      <c r="A393" s="33">
        <f t="shared" si="102"/>
        <v>41578</v>
      </c>
      <c r="B393" s="59" t="s">
        <v>10</v>
      </c>
      <c r="C393">
        <v>209.4</v>
      </c>
      <c r="D393">
        <v>55.6</v>
      </c>
      <c r="E393">
        <v>88.1</v>
      </c>
      <c r="F393">
        <v>129.5</v>
      </c>
      <c r="G393" s="2">
        <f t="shared" si="99"/>
        <v>297.5</v>
      </c>
      <c r="H393" s="2">
        <f t="shared" si="100"/>
        <v>185.1</v>
      </c>
      <c r="I393" s="30">
        <f t="shared" si="101"/>
        <v>60.723933009184236</v>
      </c>
      <c r="L393" s="123"/>
    </row>
    <row r="394" spans="1:14" x14ac:dyDescent="0.25">
      <c r="A394" s="33">
        <f t="shared" si="102"/>
        <v>41585</v>
      </c>
      <c r="B394" s="59" t="s">
        <v>10</v>
      </c>
      <c r="C394">
        <v>259.2</v>
      </c>
      <c r="D394">
        <v>72.7</v>
      </c>
      <c r="E394">
        <v>103.6</v>
      </c>
      <c r="F394">
        <v>132.6</v>
      </c>
      <c r="G394" s="2">
        <f t="shared" si="99"/>
        <v>362.79999999999995</v>
      </c>
      <c r="H394" s="2">
        <f t="shared" si="100"/>
        <v>205.3</v>
      </c>
      <c r="I394" s="30">
        <f t="shared" si="101"/>
        <v>76.716999512907918</v>
      </c>
    </row>
    <row r="395" spans="1:14" x14ac:dyDescent="0.25">
      <c r="A395" s="33">
        <f t="shared" si="102"/>
        <v>41592</v>
      </c>
      <c r="B395" s="59" t="s">
        <v>10</v>
      </c>
      <c r="C395">
        <v>258.5</v>
      </c>
      <c r="D395">
        <v>74.7</v>
      </c>
      <c r="E395">
        <v>112.6</v>
      </c>
      <c r="F395">
        <v>137.80000000000001</v>
      </c>
      <c r="G395" s="2">
        <f t="shared" si="99"/>
        <v>371.1</v>
      </c>
      <c r="H395" s="2">
        <f t="shared" si="100"/>
        <v>212.5</v>
      </c>
      <c r="I395" s="30">
        <f t="shared" si="101"/>
        <v>74.635294117647064</v>
      </c>
    </row>
    <row r="396" spans="1:14" x14ac:dyDescent="0.25">
      <c r="A396" s="33">
        <f t="shared" si="102"/>
        <v>41599</v>
      </c>
      <c r="B396" s="59" t="s">
        <v>10</v>
      </c>
      <c r="C396">
        <v>252.9</v>
      </c>
      <c r="D396">
        <v>80.5</v>
      </c>
      <c r="E396">
        <v>136.69999999999999</v>
      </c>
      <c r="F396">
        <v>141.30000000000001</v>
      </c>
      <c r="G396" s="2">
        <f t="shared" si="99"/>
        <v>389.6</v>
      </c>
      <c r="H396" s="2">
        <f t="shared" si="100"/>
        <v>221.8</v>
      </c>
      <c r="I396" s="30">
        <f t="shared" si="101"/>
        <v>75.65374211000902</v>
      </c>
    </row>
    <row r="397" spans="1:14" x14ac:dyDescent="0.25">
      <c r="A397" s="33">
        <f t="shared" si="102"/>
        <v>41606</v>
      </c>
      <c r="B397" s="59" t="s">
        <v>10</v>
      </c>
      <c r="C397">
        <v>243.4</v>
      </c>
      <c r="D397">
        <v>82.6</v>
      </c>
      <c r="E397">
        <v>150.1</v>
      </c>
      <c r="F397">
        <v>145.4</v>
      </c>
      <c r="G397" s="2">
        <f t="shared" si="99"/>
        <v>393.5</v>
      </c>
      <c r="H397" s="2">
        <f t="shared" si="100"/>
        <v>228</v>
      </c>
      <c r="I397" s="30">
        <f t="shared" si="101"/>
        <v>72.587719298245617</v>
      </c>
    </row>
    <row r="398" spans="1:14" x14ac:dyDescent="0.25">
      <c r="A398" s="33">
        <f t="shared" si="102"/>
        <v>41613</v>
      </c>
      <c r="B398" s="59" t="s">
        <v>10</v>
      </c>
      <c r="C398">
        <v>212.7</v>
      </c>
      <c r="D398">
        <v>112</v>
      </c>
      <c r="E398">
        <v>188.2</v>
      </c>
      <c r="F398">
        <v>148.19999999999999</v>
      </c>
      <c r="G398" s="2">
        <f t="shared" si="99"/>
        <v>400.9</v>
      </c>
      <c r="H398" s="2">
        <f t="shared" si="100"/>
        <v>260.2</v>
      </c>
      <c r="I398" s="30">
        <f t="shared" si="101"/>
        <v>54.073789392774785</v>
      </c>
    </row>
    <row r="399" spans="1:14" x14ac:dyDescent="0.25">
      <c r="A399" s="33">
        <f t="shared" si="102"/>
        <v>41620</v>
      </c>
      <c r="B399" s="59" t="s">
        <v>10</v>
      </c>
      <c r="C399">
        <v>299.5</v>
      </c>
      <c r="D399">
        <v>100.2</v>
      </c>
      <c r="E399">
        <v>200.7</v>
      </c>
      <c r="F399">
        <v>153.9</v>
      </c>
      <c r="G399" s="2">
        <f t="shared" si="99"/>
        <v>500.2</v>
      </c>
      <c r="H399" s="2">
        <f t="shared" si="100"/>
        <v>254.10000000000002</v>
      </c>
      <c r="I399" s="30">
        <f t="shared" si="101"/>
        <v>96.851633215269544</v>
      </c>
    </row>
    <row r="400" spans="1:14" x14ac:dyDescent="0.25">
      <c r="A400" s="33">
        <f t="shared" si="102"/>
        <v>41627</v>
      </c>
      <c r="B400" s="59" t="s">
        <v>10</v>
      </c>
      <c r="C400">
        <v>296.89999999999998</v>
      </c>
      <c r="D400">
        <v>73.599999999999994</v>
      </c>
      <c r="E400">
        <v>265.60000000000002</v>
      </c>
      <c r="F400">
        <v>185.8</v>
      </c>
      <c r="G400" s="2">
        <f t="shared" si="99"/>
        <v>562.5</v>
      </c>
      <c r="H400" s="2">
        <f t="shared" si="100"/>
        <v>259.39999999999998</v>
      </c>
      <c r="I400" s="30">
        <f t="shared" si="101"/>
        <v>116.84656900539707</v>
      </c>
    </row>
    <row r="401" spans="1:18" x14ac:dyDescent="0.25">
      <c r="A401" s="33">
        <f t="shared" si="102"/>
        <v>41634</v>
      </c>
      <c r="B401" s="59" t="s">
        <v>10</v>
      </c>
      <c r="C401">
        <v>289.10000000000002</v>
      </c>
      <c r="D401">
        <v>78.599999999999994</v>
      </c>
      <c r="E401">
        <v>274.8</v>
      </c>
      <c r="F401">
        <v>192.8</v>
      </c>
      <c r="G401" s="2">
        <f t="shared" si="99"/>
        <v>563.90000000000009</v>
      </c>
      <c r="H401" s="2">
        <f t="shared" si="100"/>
        <v>271.39999999999998</v>
      </c>
      <c r="I401" s="30">
        <f t="shared" si="101"/>
        <v>107.7745025792189</v>
      </c>
    </row>
    <row r="402" spans="1:18" x14ac:dyDescent="0.25">
      <c r="A402" s="33">
        <f t="shared" si="102"/>
        <v>41641</v>
      </c>
      <c r="B402" s="59" t="s">
        <v>10</v>
      </c>
      <c r="C402">
        <v>284.3</v>
      </c>
      <c r="D402">
        <v>83.7</v>
      </c>
      <c r="E402">
        <v>281.5</v>
      </c>
      <c r="F402">
        <v>202</v>
      </c>
      <c r="G402" s="2">
        <f t="shared" si="99"/>
        <v>565.79999999999995</v>
      </c>
      <c r="H402" s="2">
        <f t="shared" si="100"/>
        <v>285.7</v>
      </c>
      <c r="I402" s="30">
        <f t="shared" si="101"/>
        <v>98.039901995099754</v>
      </c>
    </row>
    <row r="403" spans="1:18" x14ac:dyDescent="0.25">
      <c r="A403" s="33">
        <f t="shared" si="102"/>
        <v>41648</v>
      </c>
      <c r="B403" s="59" t="s">
        <v>10</v>
      </c>
      <c r="C403">
        <v>338.1</v>
      </c>
      <c r="D403" s="202">
        <f>C351</f>
        <v>122.6</v>
      </c>
      <c r="E403">
        <v>291.8</v>
      </c>
      <c r="F403" s="203">
        <f>E351</f>
        <v>212.2</v>
      </c>
      <c r="G403" s="2">
        <f t="shared" si="99"/>
        <v>629.90000000000009</v>
      </c>
      <c r="H403" s="2">
        <f t="shared" si="100"/>
        <v>334.79999999999995</v>
      </c>
      <c r="I403" s="30">
        <f t="shared" si="101"/>
        <v>88.142174432497058</v>
      </c>
    </row>
    <row r="404" spans="1:18" x14ac:dyDescent="0.25">
      <c r="A404" s="33">
        <f t="shared" si="102"/>
        <v>41655</v>
      </c>
      <c r="B404" s="59" t="s">
        <v>10</v>
      </c>
      <c r="C404">
        <v>451.4</v>
      </c>
      <c r="D404" s="202">
        <f t="shared" ref="D404:D414" si="103">C352</f>
        <v>125.8</v>
      </c>
      <c r="E404">
        <v>307.10000000000002</v>
      </c>
      <c r="F404" s="203">
        <f t="shared" ref="F404:F414" si="104">E352</f>
        <v>219.3</v>
      </c>
      <c r="G404" s="2">
        <f t="shared" ref="G404:G467" si="105">+C404+E404</f>
        <v>758.5</v>
      </c>
      <c r="H404" s="2">
        <f t="shared" ref="H404:H467" si="106">+D404+F404</f>
        <v>345.1</v>
      </c>
      <c r="I404" s="30">
        <f t="shared" ref="I404:I467" si="107">+(G404/H404-1)*100</f>
        <v>119.79136482179075</v>
      </c>
      <c r="J404" s="59"/>
      <c r="K404" s="59"/>
      <c r="L404" s="59"/>
      <c r="M404" s="59"/>
      <c r="N404" s="59"/>
      <c r="O404" s="59"/>
      <c r="P404" s="59"/>
      <c r="Q404" s="59"/>
      <c r="R404" s="59"/>
    </row>
    <row r="405" spans="1:18" x14ac:dyDescent="0.25">
      <c r="A405" s="33">
        <f t="shared" si="102"/>
        <v>41662</v>
      </c>
      <c r="B405" s="59" t="s">
        <v>10</v>
      </c>
      <c r="C405">
        <v>516.79999999999995</v>
      </c>
      <c r="D405" s="209">
        <f t="shared" si="103"/>
        <v>111</v>
      </c>
      <c r="E405">
        <v>315.89999999999998</v>
      </c>
      <c r="F405" s="203">
        <f t="shared" si="104"/>
        <v>228.9</v>
      </c>
      <c r="G405" s="2">
        <f t="shared" si="105"/>
        <v>832.69999999999993</v>
      </c>
      <c r="H405" s="2">
        <f t="shared" si="106"/>
        <v>339.9</v>
      </c>
      <c r="I405" s="30">
        <f t="shared" si="107"/>
        <v>144.98381877022655</v>
      </c>
      <c r="J405" s="59"/>
      <c r="K405" s="59"/>
      <c r="L405" s="59"/>
      <c r="M405" s="59"/>
      <c r="N405" s="59"/>
      <c r="O405" s="59"/>
      <c r="P405" s="59"/>
      <c r="Q405" s="59"/>
      <c r="R405" s="59"/>
    </row>
    <row r="406" spans="1:18" ht="15" x14ac:dyDescent="0.25">
      <c r="A406" s="33">
        <f t="shared" si="102"/>
        <v>41669</v>
      </c>
      <c r="B406" s="59" t="s">
        <v>10</v>
      </c>
      <c r="C406">
        <v>446.3</v>
      </c>
      <c r="D406" s="202">
        <f t="shared" si="103"/>
        <v>107.3</v>
      </c>
      <c r="E406">
        <v>107.3</v>
      </c>
      <c r="F406" s="203">
        <f t="shared" si="104"/>
        <v>237.9</v>
      </c>
      <c r="G406" s="2">
        <f t="shared" si="105"/>
        <v>553.6</v>
      </c>
      <c r="H406" s="2">
        <f t="shared" si="106"/>
        <v>345.2</v>
      </c>
      <c r="I406" s="30">
        <f t="shared" si="107"/>
        <v>60.370799536500598</v>
      </c>
      <c r="J406" s="59"/>
      <c r="K406" s="194"/>
      <c r="L406" s="59"/>
      <c r="M406" s="59"/>
      <c r="N406" s="194"/>
      <c r="O406" s="59"/>
      <c r="P406" s="59"/>
      <c r="Q406" s="59"/>
      <c r="R406" s="59"/>
    </row>
    <row r="407" spans="1:18" ht="15" x14ac:dyDescent="0.25">
      <c r="A407" s="33">
        <f t="shared" si="102"/>
        <v>41676</v>
      </c>
      <c r="B407" s="59" t="s">
        <v>10</v>
      </c>
      <c r="C407">
        <v>495.4</v>
      </c>
      <c r="D407" s="202">
        <f t="shared" si="103"/>
        <v>100.5</v>
      </c>
      <c r="E407">
        <v>461.2</v>
      </c>
      <c r="F407" s="203">
        <f t="shared" si="104"/>
        <v>245.5</v>
      </c>
      <c r="G407" s="2">
        <f t="shared" si="105"/>
        <v>956.59999999999991</v>
      </c>
      <c r="H407" s="2">
        <f t="shared" si="106"/>
        <v>346</v>
      </c>
      <c r="I407" s="30">
        <f t="shared" si="107"/>
        <v>176.47398843930634</v>
      </c>
      <c r="J407" s="59"/>
      <c r="K407" s="59"/>
      <c r="L407" s="123"/>
      <c r="M407" s="59"/>
      <c r="N407" s="194"/>
      <c r="O407" s="59"/>
      <c r="P407" s="59"/>
      <c r="Q407" s="59"/>
      <c r="R407" s="59"/>
    </row>
    <row r="408" spans="1:18" x14ac:dyDescent="0.25">
      <c r="A408" s="33">
        <f t="shared" si="102"/>
        <v>41683</v>
      </c>
      <c r="B408" s="59" t="s">
        <v>10</v>
      </c>
      <c r="C408">
        <v>488.5</v>
      </c>
      <c r="D408" s="202">
        <f t="shared" si="103"/>
        <v>91.6</v>
      </c>
      <c r="E408">
        <v>474.8</v>
      </c>
      <c r="F408" s="203">
        <f t="shared" si="104"/>
        <v>256.60000000000002</v>
      </c>
      <c r="G408" s="2">
        <f t="shared" si="105"/>
        <v>963.3</v>
      </c>
      <c r="H408" s="2">
        <f t="shared" si="106"/>
        <v>348.20000000000005</v>
      </c>
      <c r="I408" s="30">
        <f t="shared" si="107"/>
        <v>176.65134979896609</v>
      </c>
      <c r="J408" s="59"/>
      <c r="K408" s="59"/>
      <c r="L408" s="59"/>
      <c r="M408" s="59"/>
      <c r="N408" s="59"/>
      <c r="O408" s="59"/>
      <c r="P408" s="59"/>
      <c r="Q408" s="59"/>
      <c r="R408" s="59"/>
    </row>
    <row r="409" spans="1:18" x14ac:dyDescent="0.25">
      <c r="A409" s="33">
        <f t="shared" si="102"/>
        <v>41690</v>
      </c>
      <c r="B409" s="59" t="s">
        <v>10</v>
      </c>
      <c r="C409">
        <v>483.6</v>
      </c>
      <c r="D409" s="202">
        <f t="shared" si="103"/>
        <v>99.4</v>
      </c>
      <c r="E409">
        <v>481.9</v>
      </c>
      <c r="F409" s="203">
        <f t="shared" si="104"/>
        <v>265.2</v>
      </c>
      <c r="G409" s="2">
        <f t="shared" si="105"/>
        <v>965.5</v>
      </c>
      <c r="H409" s="2">
        <f t="shared" si="106"/>
        <v>364.6</v>
      </c>
      <c r="I409" s="30">
        <f t="shared" si="107"/>
        <v>164.81075150850245</v>
      </c>
    </row>
    <row r="410" spans="1:18" x14ac:dyDescent="0.25">
      <c r="A410" s="33">
        <f t="shared" si="102"/>
        <v>41697</v>
      </c>
      <c r="B410" s="59" t="s">
        <v>10</v>
      </c>
      <c r="D410" s="202">
        <f t="shared" si="103"/>
        <v>60.2</v>
      </c>
      <c r="F410" s="203">
        <f t="shared" si="104"/>
        <v>299.39999999999998</v>
      </c>
      <c r="G410" s="2">
        <f t="shared" si="105"/>
        <v>0</v>
      </c>
      <c r="H410" s="2">
        <f t="shared" si="106"/>
        <v>359.59999999999997</v>
      </c>
      <c r="I410" s="30">
        <f t="shared" si="107"/>
        <v>-100</v>
      </c>
    </row>
    <row r="411" spans="1:18" x14ac:dyDescent="0.25">
      <c r="A411" s="33">
        <f t="shared" si="102"/>
        <v>41704</v>
      </c>
      <c r="B411" s="59" t="s">
        <v>10</v>
      </c>
      <c r="D411" s="202">
        <f t="shared" si="103"/>
        <v>71.8</v>
      </c>
      <c r="F411" s="203">
        <f t="shared" si="104"/>
        <v>303.39999999999998</v>
      </c>
      <c r="G411" s="2">
        <f t="shared" si="105"/>
        <v>0</v>
      </c>
      <c r="H411" s="2">
        <f t="shared" si="106"/>
        <v>375.2</v>
      </c>
      <c r="I411" s="30">
        <f t="shared" si="107"/>
        <v>-100</v>
      </c>
    </row>
    <row r="412" spans="1:18" x14ac:dyDescent="0.25">
      <c r="A412" s="33">
        <f t="shared" si="102"/>
        <v>41711</v>
      </c>
      <c r="B412" s="59" t="s">
        <v>10</v>
      </c>
      <c r="D412" s="202">
        <f t="shared" si="103"/>
        <v>67.5</v>
      </c>
      <c r="F412" s="203">
        <f t="shared" si="104"/>
        <v>315.89999999999998</v>
      </c>
      <c r="G412" s="2">
        <f t="shared" si="105"/>
        <v>0</v>
      </c>
      <c r="H412" s="2">
        <f t="shared" si="106"/>
        <v>383.4</v>
      </c>
      <c r="I412" s="30">
        <f t="shared" si="107"/>
        <v>-100</v>
      </c>
    </row>
    <row r="413" spans="1:18" x14ac:dyDescent="0.25">
      <c r="A413" s="33">
        <f t="shared" si="102"/>
        <v>41718</v>
      </c>
      <c r="B413" s="59" t="s">
        <v>10</v>
      </c>
      <c r="D413" s="202">
        <f t="shared" si="103"/>
        <v>62.9</v>
      </c>
      <c r="F413" s="199">
        <f t="shared" si="104"/>
        <v>337</v>
      </c>
      <c r="G413" s="2">
        <f t="shared" si="105"/>
        <v>0</v>
      </c>
      <c r="H413" s="2">
        <f t="shared" si="106"/>
        <v>399.9</v>
      </c>
      <c r="I413" s="30">
        <f t="shared" si="107"/>
        <v>-100</v>
      </c>
    </row>
    <row r="414" spans="1:18" ht="15" x14ac:dyDescent="0.25">
      <c r="A414" s="33">
        <f t="shared" si="102"/>
        <v>41725</v>
      </c>
      <c r="B414" s="59" t="s">
        <v>10</v>
      </c>
      <c r="D414" s="202">
        <f t="shared" si="103"/>
        <v>58.2</v>
      </c>
      <c r="F414" s="203">
        <f t="shared" si="104"/>
        <v>357.3</v>
      </c>
      <c r="G414" s="2">
        <f t="shared" si="105"/>
        <v>0</v>
      </c>
      <c r="H414" s="2">
        <f t="shared" si="106"/>
        <v>415.5</v>
      </c>
      <c r="I414" s="30">
        <f t="shared" si="107"/>
        <v>-100</v>
      </c>
      <c r="K414" s="123"/>
      <c r="M414" s="59"/>
      <c r="N414" s="194"/>
      <c r="O414" s="59"/>
      <c r="P414" s="59"/>
      <c r="Q414" s="59"/>
    </row>
    <row r="415" spans="1:18" x14ac:dyDescent="0.25">
      <c r="A415" s="33">
        <f t="shared" si="102"/>
        <v>41732</v>
      </c>
      <c r="B415" s="59" t="s">
        <v>10</v>
      </c>
      <c r="G415" s="2">
        <f t="shared" si="105"/>
        <v>0</v>
      </c>
      <c r="H415" s="2">
        <f t="shared" si="106"/>
        <v>0</v>
      </c>
      <c r="I415" s="30" t="e">
        <f t="shared" si="107"/>
        <v>#DIV/0!</v>
      </c>
    </row>
    <row r="416" spans="1:18" x14ac:dyDescent="0.25">
      <c r="A416" s="33">
        <f t="shared" si="102"/>
        <v>41739</v>
      </c>
      <c r="B416" s="59" t="s">
        <v>10</v>
      </c>
      <c r="G416" s="2">
        <f t="shared" si="105"/>
        <v>0</v>
      </c>
      <c r="H416" s="2">
        <f t="shared" si="106"/>
        <v>0</v>
      </c>
      <c r="I416" s="30" t="e">
        <f t="shared" si="107"/>
        <v>#DIV/0!</v>
      </c>
    </row>
    <row r="417" spans="1:9" x14ac:dyDescent="0.25">
      <c r="A417" s="33">
        <f t="shared" si="102"/>
        <v>41746</v>
      </c>
      <c r="B417" s="59" t="s">
        <v>10</v>
      </c>
      <c r="G417" s="2">
        <f t="shared" si="105"/>
        <v>0</v>
      </c>
      <c r="H417" s="2">
        <f t="shared" si="106"/>
        <v>0</v>
      </c>
      <c r="I417" s="30" t="e">
        <f t="shared" si="107"/>
        <v>#DIV/0!</v>
      </c>
    </row>
    <row r="418" spans="1:9" x14ac:dyDescent="0.25">
      <c r="A418" s="33">
        <f t="shared" si="102"/>
        <v>41753</v>
      </c>
      <c r="B418" s="59" t="s">
        <v>10</v>
      </c>
      <c r="G418" s="2">
        <f t="shared" si="105"/>
        <v>0</v>
      </c>
      <c r="H418" s="2">
        <f t="shared" si="106"/>
        <v>0</v>
      </c>
      <c r="I418" s="30" t="e">
        <f t="shared" si="107"/>
        <v>#DIV/0!</v>
      </c>
    </row>
    <row r="419" spans="1:9" x14ac:dyDescent="0.25">
      <c r="A419" s="33">
        <f t="shared" si="102"/>
        <v>41760</v>
      </c>
      <c r="B419" s="59" t="s">
        <v>10</v>
      </c>
      <c r="G419" s="2">
        <f t="shared" si="105"/>
        <v>0</v>
      </c>
      <c r="H419" s="2">
        <f t="shared" si="106"/>
        <v>0</v>
      </c>
      <c r="I419" s="30" t="e">
        <f t="shared" si="107"/>
        <v>#DIV/0!</v>
      </c>
    </row>
    <row r="420" spans="1:9" x14ac:dyDescent="0.25">
      <c r="A420" s="33">
        <f t="shared" si="102"/>
        <v>41767</v>
      </c>
      <c r="B420" s="59" t="s">
        <v>10</v>
      </c>
      <c r="G420" s="2">
        <f t="shared" si="105"/>
        <v>0</v>
      </c>
      <c r="H420" s="2">
        <f t="shared" si="106"/>
        <v>0</v>
      </c>
      <c r="I420" s="30" t="e">
        <f t="shared" si="107"/>
        <v>#DIV/0!</v>
      </c>
    </row>
    <row r="421" spans="1:9" x14ac:dyDescent="0.25">
      <c r="A421" s="33">
        <f t="shared" si="102"/>
        <v>41774</v>
      </c>
      <c r="B421" s="59" t="s">
        <v>10</v>
      </c>
      <c r="G421" s="2">
        <f t="shared" si="105"/>
        <v>0</v>
      </c>
      <c r="H421" s="2">
        <f t="shared" si="106"/>
        <v>0</v>
      </c>
      <c r="I421" s="30" t="e">
        <f t="shared" si="107"/>
        <v>#DIV/0!</v>
      </c>
    </row>
    <row r="422" spans="1:9" x14ac:dyDescent="0.25">
      <c r="A422" s="33">
        <f t="shared" si="102"/>
        <v>41781</v>
      </c>
      <c r="B422" s="59" t="s">
        <v>10</v>
      </c>
      <c r="G422" s="2">
        <f t="shared" si="105"/>
        <v>0</v>
      </c>
      <c r="H422" s="2">
        <f t="shared" si="106"/>
        <v>0</v>
      </c>
      <c r="I422" s="30" t="e">
        <f t="shared" si="107"/>
        <v>#DIV/0!</v>
      </c>
    </row>
    <row r="423" spans="1:9" x14ac:dyDescent="0.25">
      <c r="A423" s="33">
        <f t="shared" si="102"/>
        <v>41788</v>
      </c>
      <c r="B423" s="59" t="s">
        <v>10</v>
      </c>
      <c r="G423" s="2">
        <f t="shared" si="105"/>
        <v>0</v>
      </c>
      <c r="H423" s="2">
        <f t="shared" si="106"/>
        <v>0</v>
      </c>
      <c r="I423" s="30" t="e">
        <f t="shared" si="107"/>
        <v>#DIV/0!</v>
      </c>
    </row>
    <row r="424" spans="1:9" x14ac:dyDescent="0.25">
      <c r="A424" s="33">
        <f t="shared" si="102"/>
        <v>41795</v>
      </c>
      <c r="B424" s="59" t="s">
        <v>10</v>
      </c>
      <c r="G424" s="2">
        <f t="shared" si="105"/>
        <v>0</v>
      </c>
      <c r="H424" s="2">
        <f t="shared" si="106"/>
        <v>0</v>
      </c>
      <c r="I424" s="30" t="e">
        <f t="shared" si="107"/>
        <v>#DIV/0!</v>
      </c>
    </row>
    <row r="425" spans="1:9" x14ac:dyDescent="0.25">
      <c r="A425" s="33">
        <f t="shared" si="102"/>
        <v>41802</v>
      </c>
      <c r="B425" s="59" t="s">
        <v>10</v>
      </c>
      <c r="G425" s="2">
        <f t="shared" si="105"/>
        <v>0</v>
      </c>
      <c r="H425" s="2">
        <f t="shared" si="106"/>
        <v>0</v>
      </c>
      <c r="I425" s="30" t="e">
        <f t="shared" si="107"/>
        <v>#DIV/0!</v>
      </c>
    </row>
    <row r="426" spans="1:9" x14ac:dyDescent="0.25">
      <c r="A426" s="33">
        <f t="shared" si="102"/>
        <v>41809</v>
      </c>
      <c r="B426" s="59" t="s">
        <v>10</v>
      </c>
      <c r="G426" s="2">
        <f t="shared" si="105"/>
        <v>0</v>
      </c>
      <c r="H426" s="2">
        <f t="shared" si="106"/>
        <v>0</v>
      </c>
      <c r="I426" s="30" t="e">
        <f t="shared" si="107"/>
        <v>#DIV/0!</v>
      </c>
    </row>
    <row r="427" spans="1:9" x14ac:dyDescent="0.25">
      <c r="A427" s="33">
        <f t="shared" si="102"/>
        <v>41816</v>
      </c>
      <c r="B427" s="59" t="s">
        <v>10</v>
      </c>
      <c r="G427" s="2">
        <f t="shared" si="105"/>
        <v>0</v>
      </c>
      <c r="H427" s="2">
        <f t="shared" si="106"/>
        <v>0</v>
      </c>
      <c r="I427" s="30" t="e">
        <f t="shared" si="107"/>
        <v>#DIV/0!</v>
      </c>
    </row>
    <row r="428" spans="1:9" x14ac:dyDescent="0.25">
      <c r="A428" s="33">
        <f t="shared" si="102"/>
        <v>41823</v>
      </c>
      <c r="B428" s="59" t="s">
        <v>10</v>
      </c>
      <c r="G428" s="2">
        <f t="shared" si="105"/>
        <v>0</v>
      </c>
      <c r="H428" s="2">
        <f t="shared" si="106"/>
        <v>0</v>
      </c>
      <c r="I428" s="30" t="e">
        <f t="shared" si="107"/>
        <v>#DIV/0!</v>
      </c>
    </row>
    <row r="429" spans="1:9" x14ac:dyDescent="0.25">
      <c r="A429" s="33">
        <f t="shared" si="102"/>
        <v>41830</v>
      </c>
      <c r="B429" s="59" t="s">
        <v>10</v>
      </c>
      <c r="G429" s="2">
        <f t="shared" si="105"/>
        <v>0</v>
      </c>
      <c r="H429" s="2">
        <f t="shared" si="106"/>
        <v>0</v>
      </c>
      <c r="I429" s="30" t="e">
        <f t="shared" si="107"/>
        <v>#DIV/0!</v>
      </c>
    </row>
    <row r="430" spans="1:9" x14ac:dyDescent="0.25">
      <c r="A430" s="33">
        <f t="shared" si="102"/>
        <v>41837</v>
      </c>
      <c r="B430" s="59" t="s">
        <v>10</v>
      </c>
      <c r="G430" s="2">
        <f t="shared" si="105"/>
        <v>0</v>
      </c>
      <c r="H430" s="2">
        <f t="shared" si="106"/>
        <v>0</v>
      </c>
      <c r="I430" s="30" t="e">
        <f t="shared" si="107"/>
        <v>#DIV/0!</v>
      </c>
    </row>
    <row r="431" spans="1:9" x14ac:dyDescent="0.25">
      <c r="A431" s="33">
        <f t="shared" si="102"/>
        <v>41844</v>
      </c>
      <c r="B431" s="59" t="s">
        <v>10</v>
      </c>
      <c r="G431" s="2">
        <f t="shared" si="105"/>
        <v>0</v>
      </c>
      <c r="H431" s="2">
        <f t="shared" si="106"/>
        <v>0</v>
      </c>
      <c r="I431" s="30" t="e">
        <f t="shared" si="107"/>
        <v>#DIV/0!</v>
      </c>
    </row>
    <row r="432" spans="1:9" x14ac:dyDescent="0.25">
      <c r="A432" s="33">
        <f t="shared" si="102"/>
        <v>41851</v>
      </c>
      <c r="B432" s="59" t="s">
        <v>10</v>
      </c>
      <c r="G432" s="2">
        <f t="shared" si="105"/>
        <v>0</v>
      </c>
      <c r="H432" s="2">
        <f t="shared" si="106"/>
        <v>0</v>
      </c>
      <c r="I432" s="30" t="e">
        <f t="shared" si="107"/>
        <v>#DIV/0!</v>
      </c>
    </row>
    <row r="433" spans="1:9" x14ac:dyDescent="0.25">
      <c r="A433" s="33">
        <f t="shared" si="102"/>
        <v>41858</v>
      </c>
      <c r="B433" s="59" t="s">
        <v>10</v>
      </c>
      <c r="G433" s="2">
        <f t="shared" si="105"/>
        <v>0</v>
      </c>
      <c r="H433" s="2">
        <f t="shared" si="106"/>
        <v>0</v>
      </c>
      <c r="I433" s="30" t="e">
        <f t="shared" si="107"/>
        <v>#DIV/0!</v>
      </c>
    </row>
    <row r="434" spans="1:9" x14ac:dyDescent="0.25">
      <c r="A434" s="33">
        <f t="shared" si="102"/>
        <v>41865</v>
      </c>
      <c r="B434" s="59" t="s">
        <v>10</v>
      </c>
      <c r="G434" s="2">
        <f t="shared" si="105"/>
        <v>0</v>
      </c>
      <c r="H434" s="2">
        <f t="shared" si="106"/>
        <v>0</v>
      </c>
      <c r="I434" s="30" t="e">
        <f t="shared" si="107"/>
        <v>#DIV/0!</v>
      </c>
    </row>
    <row r="435" spans="1:9" x14ac:dyDescent="0.25">
      <c r="A435" s="33">
        <f t="shared" si="102"/>
        <v>41872</v>
      </c>
      <c r="B435" s="59" t="s">
        <v>10</v>
      </c>
      <c r="G435" s="2">
        <f t="shared" si="105"/>
        <v>0</v>
      </c>
      <c r="H435" s="2">
        <f t="shared" si="106"/>
        <v>0</v>
      </c>
      <c r="I435" s="30" t="e">
        <f t="shared" si="107"/>
        <v>#DIV/0!</v>
      </c>
    </row>
    <row r="436" spans="1:9" x14ac:dyDescent="0.25">
      <c r="A436" s="33">
        <f t="shared" si="102"/>
        <v>41879</v>
      </c>
      <c r="B436" s="59" t="s">
        <v>10</v>
      </c>
      <c r="G436" s="2">
        <f t="shared" si="105"/>
        <v>0</v>
      </c>
      <c r="H436" s="2">
        <f t="shared" si="106"/>
        <v>0</v>
      </c>
      <c r="I436" s="30" t="e">
        <f t="shared" si="107"/>
        <v>#DIV/0!</v>
      </c>
    </row>
    <row r="437" spans="1:9" x14ac:dyDescent="0.25">
      <c r="A437" s="33">
        <f t="shared" si="102"/>
        <v>41886</v>
      </c>
      <c r="B437" s="59" t="s">
        <v>10</v>
      </c>
      <c r="G437" s="2">
        <f t="shared" si="105"/>
        <v>0</v>
      </c>
      <c r="H437" s="2">
        <f t="shared" si="106"/>
        <v>0</v>
      </c>
      <c r="I437" s="30" t="e">
        <f t="shared" si="107"/>
        <v>#DIV/0!</v>
      </c>
    </row>
    <row r="438" spans="1:9" x14ac:dyDescent="0.25">
      <c r="A438" s="33">
        <f t="shared" si="102"/>
        <v>41893</v>
      </c>
      <c r="B438" s="59" t="s">
        <v>10</v>
      </c>
      <c r="G438" s="2">
        <f t="shared" si="105"/>
        <v>0</v>
      </c>
      <c r="H438" s="2">
        <f t="shared" si="106"/>
        <v>0</v>
      </c>
      <c r="I438" s="30" t="e">
        <f t="shared" si="107"/>
        <v>#DIV/0!</v>
      </c>
    </row>
    <row r="439" spans="1:9" x14ac:dyDescent="0.25">
      <c r="A439" s="33">
        <f t="shared" si="102"/>
        <v>41900</v>
      </c>
      <c r="B439" s="59" t="s">
        <v>10</v>
      </c>
      <c r="G439" s="2">
        <f t="shared" si="105"/>
        <v>0</v>
      </c>
      <c r="H439" s="2">
        <f t="shared" si="106"/>
        <v>0</v>
      </c>
      <c r="I439" s="30" t="e">
        <f t="shared" si="107"/>
        <v>#DIV/0!</v>
      </c>
    </row>
    <row r="440" spans="1:9" x14ac:dyDescent="0.25">
      <c r="A440" s="33">
        <f t="shared" si="102"/>
        <v>41907</v>
      </c>
      <c r="B440" s="59" t="s">
        <v>10</v>
      </c>
      <c r="G440" s="2">
        <f t="shared" si="105"/>
        <v>0</v>
      </c>
      <c r="H440" s="2">
        <f t="shared" si="106"/>
        <v>0</v>
      </c>
      <c r="I440" s="30" t="e">
        <f t="shared" si="107"/>
        <v>#DIV/0!</v>
      </c>
    </row>
    <row r="441" spans="1:9" x14ac:dyDescent="0.25">
      <c r="A441" s="33">
        <f t="shared" si="102"/>
        <v>41914</v>
      </c>
      <c r="B441" s="59" t="s">
        <v>10</v>
      </c>
      <c r="G441" s="2">
        <f t="shared" si="105"/>
        <v>0</v>
      </c>
      <c r="H441" s="2">
        <f t="shared" si="106"/>
        <v>0</v>
      </c>
      <c r="I441" s="30" t="e">
        <f t="shared" si="107"/>
        <v>#DIV/0!</v>
      </c>
    </row>
    <row r="442" spans="1:9" x14ac:dyDescent="0.25">
      <c r="A442" s="33">
        <f t="shared" si="102"/>
        <v>41921</v>
      </c>
      <c r="B442" s="59" t="s">
        <v>10</v>
      </c>
      <c r="G442" s="2">
        <f t="shared" si="105"/>
        <v>0</v>
      </c>
      <c r="H442" s="2">
        <f t="shared" si="106"/>
        <v>0</v>
      </c>
      <c r="I442" s="30" t="e">
        <f t="shared" si="107"/>
        <v>#DIV/0!</v>
      </c>
    </row>
    <row r="443" spans="1:9" x14ac:dyDescent="0.25">
      <c r="A443" s="33">
        <f t="shared" si="102"/>
        <v>41928</v>
      </c>
      <c r="B443" s="59" t="s">
        <v>10</v>
      </c>
      <c r="G443" s="2">
        <f t="shared" si="105"/>
        <v>0</v>
      </c>
      <c r="H443" s="2">
        <f t="shared" si="106"/>
        <v>0</v>
      </c>
      <c r="I443" s="30" t="e">
        <f t="shared" si="107"/>
        <v>#DIV/0!</v>
      </c>
    </row>
    <row r="444" spans="1:9" x14ac:dyDescent="0.25">
      <c r="A444" s="33">
        <f t="shared" si="102"/>
        <v>41935</v>
      </c>
      <c r="B444" s="59" t="s">
        <v>10</v>
      </c>
      <c r="G444" s="2">
        <f t="shared" si="105"/>
        <v>0</v>
      </c>
      <c r="H444" s="2">
        <f t="shared" si="106"/>
        <v>0</v>
      </c>
      <c r="I444" s="30" t="e">
        <f t="shared" si="107"/>
        <v>#DIV/0!</v>
      </c>
    </row>
    <row r="445" spans="1:9" x14ac:dyDescent="0.25">
      <c r="A445" s="33">
        <f t="shared" si="102"/>
        <v>41942</v>
      </c>
      <c r="B445" s="59" t="s">
        <v>10</v>
      </c>
      <c r="G445" s="2">
        <f t="shared" si="105"/>
        <v>0</v>
      </c>
      <c r="H445" s="2">
        <f t="shared" si="106"/>
        <v>0</v>
      </c>
      <c r="I445" s="30" t="e">
        <f t="shared" si="107"/>
        <v>#DIV/0!</v>
      </c>
    </row>
    <row r="446" spans="1:9" x14ac:dyDescent="0.25">
      <c r="A446" s="33">
        <f t="shared" ref="A446:A509" si="108">+A445+7</f>
        <v>41949</v>
      </c>
      <c r="B446" s="59" t="s">
        <v>10</v>
      </c>
      <c r="G446" s="2">
        <f t="shared" si="105"/>
        <v>0</v>
      </c>
      <c r="H446" s="2">
        <f t="shared" si="106"/>
        <v>0</v>
      </c>
      <c r="I446" s="30" t="e">
        <f t="shared" si="107"/>
        <v>#DIV/0!</v>
      </c>
    </row>
    <row r="447" spans="1:9" x14ac:dyDescent="0.25">
      <c r="A447" s="33">
        <f t="shared" si="108"/>
        <v>41956</v>
      </c>
      <c r="B447" s="59" t="s">
        <v>10</v>
      </c>
      <c r="G447" s="2">
        <f t="shared" si="105"/>
        <v>0</v>
      </c>
      <c r="H447" s="2">
        <f t="shared" si="106"/>
        <v>0</v>
      </c>
      <c r="I447" s="30" t="e">
        <f t="shared" si="107"/>
        <v>#DIV/0!</v>
      </c>
    </row>
    <row r="448" spans="1:9" x14ac:dyDescent="0.25">
      <c r="A448" s="33">
        <f t="shared" si="108"/>
        <v>41963</v>
      </c>
      <c r="B448" s="59" t="s">
        <v>10</v>
      </c>
      <c r="G448" s="2">
        <f t="shared" si="105"/>
        <v>0</v>
      </c>
      <c r="H448" s="2">
        <f t="shared" si="106"/>
        <v>0</v>
      </c>
      <c r="I448" s="30" t="e">
        <f t="shared" si="107"/>
        <v>#DIV/0!</v>
      </c>
    </row>
    <row r="449" spans="1:9" x14ac:dyDescent="0.25">
      <c r="A449" s="33">
        <f t="shared" si="108"/>
        <v>41970</v>
      </c>
      <c r="B449" s="59" t="s">
        <v>10</v>
      </c>
      <c r="G449" s="2">
        <f t="shared" si="105"/>
        <v>0</v>
      </c>
      <c r="H449" s="2">
        <f t="shared" si="106"/>
        <v>0</v>
      </c>
      <c r="I449" s="30" t="e">
        <f t="shared" si="107"/>
        <v>#DIV/0!</v>
      </c>
    </row>
    <row r="450" spans="1:9" x14ac:dyDescent="0.25">
      <c r="A450" s="33">
        <f t="shared" si="108"/>
        <v>41977</v>
      </c>
      <c r="B450" s="59" t="s">
        <v>10</v>
      </c>
      <c r="G450" s="2">
        <f t="shared" si="105"/>
        <v>0</v>
      </c>
      <c r="H450" s="2">
        <f t="shared" si="106"/>
        <v>0</v>
      </c>
      <c r="I450" s="30" t="e">
        <f t="shared" si="107"/>
        <v>#DIV/0!</v>
      </c>
    </row>
    <row r="451" spans="1:9" x14ac:dyDescent="0.25">
      <c r="A451" s="33">
        <f t="shared" si="108"/>
        <v>41984</v>
      </c>
      <c r="B451" s="59" t="s">
        <v>10</v>
      </c>
      <c r="G451" s="2">
        <f t="shared" si="105"/>
        <v>0</v>
      </c>
      <c r="H451" s="2">
        <f t="shared" si="106"/>
        <v>0</v>
      </c>
      <c r="I451" s="30" t="e">
        <f t="shared" si="107"/>
        <v>#DIV/0!</v>
      </c>
    </row>
    <row r="452" spans="1:9" x14ac:dyDescent="0.25">
      <c r="A452" s="33">
        <f t="shared" si="108"/>
        <v>41991</v>
      </c>
      <c r="B452" s="59" t="s">
        <v>10</v>
      </c>
      <c r="G452" s="2">
        <f t="shared" si="105"/>
        <v>0</v>
      </c>
      <c r="H452" s="2">
        <f t="shared" si="106"/>
        <v>0</v>
      </c>
      <c r="I452" s="30" t="e">
        <f t="shared" si="107"/>
        <v>#DIV/0!</v>
      </c>
    </row>
    <row r="453" spans="1:9" x14ac:dyDescent="0.25">
      <c r="A453" s="33">
        <f t="shared" si="108"/>
        <v>41998</v>
      </c>
      <c r="B453" s="59" t="s">
        <v>10</v>
      </c>
      <c r="G453" s="2">
        <f t="shared" si="105"/>
        <v>0</v>
      </c>
      <c r="H453" s="2">
        <f t="shared" si="106"/>
        <v>0</v>
      </c>
      <c r="I453" s="30" t="e">
        <f t="shared" si="107"/>
        <v>#DIV/0!</v>
      </c>
    </row>
    <row r="454" spans="1:9" x14ac:dyDescent="0.25">
      <c r="A454" s="33">
        <f t="shared" si="108"/>
        <v>42005</v>
      </c>
      <c r="B454" s="59" t="s">
        <v>10</v>
      </c>
      <c r="G454" s="2">
        <f t="shared" si="105"/>
        <v>0</v>
      </c>
      <c r="H454" s="2">
        <f t="shared" si="106"/>
        <v>0</v>
      </c>
      <c r="I454" s="30" t="e">
        <f t="shared" si="107"/>
        <v>#DIV/0!</v>
      </c>
    </row>
    <row r="455" spans="1:9" x14ac:dyDescent="0.25">
      <c r="A455" s="33">
        <f t="shared" si="108"/>
        <v>42012</v>
      </c>
      <c r="B455" s="59" t="s">
        <v>10</v>
      </c>
      <c r="G455" s="2">
        <f t="shared" si="105"/>
        <v>0</v>
      </c>
      <c r="H455" s="2">
        <f t="shared" si="106"/>
        <v>0</v>
      </c>
      <c r="I455" s="30" t="e">
        <f t="shared" si="107"/>
        <v>#DIV/0!</v>
      </c>
    </row>
    <row r="456" spans="1:9" x14ac:dyDescent="0.25">
      <c r="A456" s="33">
        <f t="shared" si="108"/>
        <v>42019</v>
      </c>
      <c r="B456" s="59" t="s">
        <v>10</v>
      </c>
      <c r="G456" s="2">
        <f t="shared" si="105"/>
        <v>0</v>
      </c>
      <c r="H456" s="2">
        <f t="shared" si="106"/>
        <v>0</v>
      </c>
      <c r="I456" s="30" t="e">
        <f t="shared" si="107"/>
        <v>#DIV/0!</v>
      </c>
    </row>
    <row r="457" spans="1:9" x14ac:dyDescent="0.25">
      <c r="A457" s="33">
        <f t="shared" si="108"/>
        <v>42026</v>
      </c>
      <c r="B457" s="59" t="s">
        <v>10</v>
      </c>
      <c r="G457" s="2">
        <f t="shared" si="105"/>
        <v>0</v>
      </c>
      <c r="H457" s="2">
        <f t="shared" si="106"/>
        <v>0</v>
      </c>
      <c r="I457" s="30" t="e">
        <f t="shared" si="107"/>
        <v>#DIV/0!</v>
      </c>
    </row>
    <row r="458" spans="1:9" x14ac:dyDescent="0.25">
      <c r="A458" s="33">
        <f t="shared" si="108"/>
        <v>42033</v>
      </c>
      <c r="B458" s="59" t="s">
        <v>10</v>
      </c>
      <c r="G458" s="2">
        <f t="shared" si="105"/>
        <v>0</v>
      </c>
      <c r="H458" s="2">
        <f t="shared" si="106"/>
        <v>0</v>
      </c>
      <c r="I458" s="30" t="e">
        <f t="shared" si="107"/>
        <v>#DIV/0!</v>
      </c>
    </row>
    <row r="459" spans="1:9" x14ac:dyDescent="0.25">
      <c r="A459" s="33">
        <f t="shared" si="108"/>
        <v>42040</v>
      </c>
      <c r="B459" s="59" t="s">
        <v>10</v>
      </c>
      <c r="G459" s="2">
        <f t="shared" si="105"/>
        <v>0</v>
      </c>
      <c r="H459" s="2">
        <f t="shared" si="106"/>
        <v>0</v>
      </c>
      <c r="I459" s="30" t="e">
        <f t="shared" si="107"/>
        <v>#DIV/0!</v>
      </c>
    </row>
    <row r="460" spans="1:9" x14ac:dyDescent="0.25">
      <c r="A460" s="33">
        <f t="shared" si="108"/>
        <v>42047</v>
      </c>
      <c r="B460" s="59" t="s">
        <v>10</v>
      </c>
      <c r="G460" s="2">
        <f t="shared" si="105"/>
        <v>0</v>
      </c>
      <c r="H460" s="2">
        <f t="shared" si="106"/>
        <v>0</v>
      </c>
      <c r="I460" s="30" t="e">
        <f t="shared" si="107"/>
        <v>#DIV/0!</v>
      </c>
    </row>
    <row r="461" spans="1:9" x14ac:dyDescent="0.25">
      <c r="A461" s="33">
        <f t="shared" si="108"/>
        <v>42054</v>
      </c>
      <c r="B461" s="59" t="s">
        <v>10</v>
      </c>
      <c r="G461" s="2">
        <f t="shared" si="105"/>
        <v>0</v>
      </c>
      <c r="H461" s="2">
        <f t="shared" si="106"/>
        <v>0</v>
      </c>
      <c r="I461" s="30" t="e">
        <f t="shared" si="107"/>
        <v>#DIV/0!</v>
      </c>
    </row>
    <row r="462" spans="1:9" x14ac:dyDescent="0.25">
      <c r="A462" s="33">
        <f t="shared" si="108"/>
        <v>42061</v>
      </c>
      <c r="B462" s="59" t="s">
        <v>10</v>
      </c>
      <c r="G462" s="2">
        <f t="shared" si="105"/>
        <v>0</v>
      </c>
      <c r="H462" s="2">
        <f t="shared" si="106"/>
        <v>0</v>
      </c>
      <c r="I462" s="30" t="e">
        <f t="shared" si="107"/>
        <v>#DIV/0!</v>
      </c>
    </row>
    <row r="463" spans="1:9" x14ac:dyDescent="0.25">
      <c r="A463" s="33">
        <f t="shared" si="108"/>
        <v>42068</v>
      </c>
      <c r="B463" s="59" t="s">
        <v>10</v>
      </c>
      <c r="G463" s="2">
        <f t="shared" si="105"/>
        <v>0</v>
      </c>
      <c r="H463" s="2">
        <f t="shared" si="106"/>
        <v>0</v>
      </c>
      <c r="I463" s="30" t="e">
        <f t="shared" si="107"/>
        <v>#DIV/0!</v>
      </c>
    </row>
    <row r="464" spans="1:9" x14ac:dyDescent="0.25">
      <c r="A464" s="33">
        <f t="shared" si="108"/>
        <v>42075</v>
      </c>
      <c r="B464" s="59" t="s">
        <v>10</v>
      </c>
      <c r="G464" s="2">
        <f t="shared" si="105"/>
        <v>0</v>
      </c>
      <c r="H464" s="2">
        <f t="shared" si="106"/>
        <v>0</v>
      </c>
      <c r="I464" s="30" t="e">
        <f t="shared" si="107"/>
        <v>#DIV/0!</v>
      </c>
    </row>
    <row r="465" spans="1:9" x14ac:dyDescent="0.25">
      <c r="A465" s="33">
        <f t="shared" si="108"/>
        <v>42082</v>
      </c>
      <c r="B465" s="59" t="s">
        <v>10</v>
      </c>
      <c r="G465" s="2">
        <f t="shared" si="105"/>
        <v>0</v>
      </c>
      <c r="H465" s="2">
        <f t="shared" si="106"/>
        <v>0</v>
      </c>
      <c r="I465" s="30" t="e">
        <f t="shared" si="107"/>
        <v>#DIV/0!</v>
      </c>
    </row>
    <row r="466" spans="1:9" x14ac:dyDescent="0.25">
      <c r="A466" s="33">
        <f t="shared" si="108"/>
        <v>42089</v>
      </c>
      <c r="B466" s="59" t="s">
        <v>10</v>
      </c>
      <c r="G466" s="2">
        <f t="shared" si="105"/>
        <v>0</v>
      </c>
      <c r="H466" s="2">
        <f t="shared" si="106"/>
        <v>0</v>
      </c>
      <c r="I466" s="30" t="e">
        <f t="shared" si="107"/>
        <v>#DIV/0!</v>
      </c>
    </row>
    <row r="467" spans="1:9" x14ac:dyDescent="0.25">
      <c r="A467" s="33">
        <f t="shared" si="108"/>
        <v>42096</v>
      </c>
      <c r="B467" s="59" t="s">
        <v>10</v>
      </c>
      <c r="G467" s="2">
        <f t="shared" si="105"/>
        <v>0</v>
      </c>
      <c r="H467" s="2">
        <f t="shared" si="106"/>
        <v>0</v>
      </c>
      <c r="I467" s="30" t="e">
        <f t="shared" si="107"/>
        <v>#DIV/0!</v>
      </c>
    </row>
    <row r="468" spans="1:9" x14ac:dyDescent="0.25">
      <c r="A468" s="33">
        <f t="shared" si="108"/>
        <v>42103</v>
      </c>
      <c r="B468" s="59" t="s">
        <v>10</v>
      </c>
      <c r="G468" s="2">
        <f t="shared" ref="G468:G531" si="109">+C468+E468</f>
        <v>0</v>
      </c>
      <c r="H468" s="2">
        <f t="shared" ref="H468:H531" si="110">+D468+F468</f>
        <v>0</v>
      </c>
      <c r="I468" s="30" t="e">
        <f t="shared" ref="I468:I531" si="111">+(G468/H468-1)*100</f>
        <v>#DIV/0!</v>
      </c>
    </row>
    <row r="469" spans="1:9" x14ac:dyDescent="0.25">
      <c r="A469" s="33">
        <f t="shared" si="108"/>
        <v>42110</v>
      </c>
      <c r="B469" s="59" t="s">
        <v>10</v>
      </c>
      <c r="G469" s="2">
        <f t="shared" si="109"/>
        <v>0</v>
      </c>
      <c r="H469" s="2">
        <f t="shared" si="110"/>
        <v>0</v>
      </c>
      <c r="I469" s="30" t="e">
        <f t="shared" si="111"/>
        <v>#DIV/0!</v>
      </c>
    </row>
    <row r="470" spans="1:9" x14ac:dyDescent="0.25">
      <c r="A470" s="33">
        <f t="shared" si="108"/>
        <v>42117</v>
      </c>
      <c r="B470" s="59" t="s">
        <v>10</v>
      </c>
      <c r="G470" s="2">
        <f t="shared" si="109"/>
        <v>0</v>
      </c>
      <c r="H470" s="2">
        <f t="shared" si="110"/>
        <v>0</v>
      </c>
      <c r="I470" s="30" t="e">
        <f t="shared" si="111"/>
        <v>#DIV/0!</v>
      </c>
    </row>
    <row r="471" spans="1:9" x14ac:dyDescent="0.25">
      <c r="A471" s="33">
        <f t="shared" si="108"/>
        <v>42124</v>
      </c>
      <c r="B471" s="59" t="s">
        <v>10</v>
      </c>
      <c r="G471" s="2">
        <f t="shared" si="109"/>
        <v>0</v>
      </c>
      <c r="H471" s="2">
        <f t="shared" si="110"/>
        <v>0</v>
      </c>
      <c r="I471" s="30" t="e">
        <f t="shared" si="111"/>
        <v>#DIV/0!</v>
      </c>
    </row>
    <row r="472" spans="1:9" x14ac:dyDescent="0.25">
      <c r="A472" s="33">
        <f t="shared" si="108"/>
        <v>42131</v>
      </c>
      <c r="B472" s="59" t="s">
        <v>10</v>
      </c>
      <c r="G472" s="2">
        <f t="shared" si="109"/>
        <v>0</v>
      </c>
      <c r="H472" s="2">
        <f t="shared" si="110"/>
        <v>0</v>
      </c>
      <c r="I472" s="30" t="e">
        <f t="shared" si="111"/>
        <v>#DIV/0!</v>
      </c>
    </row>
    <row r="473" spans="1:9" x14ac:dyDescent="0.25">
      <c r="A473" s="33">
        <f t="shared" si="108"/>
        <v>42138</v>
      </c>
      <c r="B473" s="59" t="s">
        <v>10</v>
      </c>
      <c r="G473" s="2">
        <f t="shared" si="109"/>
        <v>0</v>
      </c>
      <c r="H473" s="2">
        <f t="shared" si="110"/>
        <v>0</v>
      </c>
      <c r="I473" s="30" t="e">
        <f t="shared" si="111"/>
        <v>#DIV/0!</v>
      </c>
    </row>
    <row r="474" spans="1:9" x14ac:dyDescent="0.25">
      <c r="A474" s="33">
        <f t="shared" si="108"/>
        <v>42145</v>
      </c>
      <c r="B474" s="59" t="s">
        <v>10</v>
      </c>
      <c r="G474" s="2">
        <f t="shared" si="109"/>
        <v>0</v>
      </c>
      <c r="H474" s="2">
        <f t="shared" si="110"/>
        <v>0</v>
      </c>
      <c r="I474" s="30" t="e">
        <f t="shared" si="111"/>
        <v>#DIV/0!</v>
      </c>
    </row>
    <row r="475" spans="1:9" x14ac:dyDescent="0.25">
      <c r="A475" s="33">
        <f t="shared" si="108"/>
        <v>42152</v>
      </c>
      <c r="B475" s="59" t="s">
        <v>10</v>
      </c>
      <c r="G475" s="2">
        <f t="shared" si="109"/>
        <v>0</v>
      </c>
      <c r="H475" s="2">
        <f t="shared" si="110"/>
        <v>0</v>
      </c>
      <c r="I475" s="30" t="e">
        <f t="shared" si="111"/>
        <v>#DIV/0!</v>
      </c>
    </row>
    <row r="476" spans="1:9" x14ac:dyDescent="0.25">
      <c r="A476" s="33">
        <f t="shared" si="108"/>
        <v>42159</v>
      </c>
      <c r="B476" s="59" t="s">
        <v>10</v>
      </c>
      <c r="G476" s="2">
        <f t="shared" si="109"/>
        <v>0</v>
      </c>
      <c r="H476" s="2">
        <f t="shared" si="110"/>
        <v>0</v>
      </c>
      <c r="I476" s="30" t="e">
        <f t="shared" si="111"/>
        <v>#DIV/0!</v>
      </c>
    </row>
    <row r="477" spans="1:9" x14ac:dyDescent="0.25">
      <c r="A477" s="33">
        <f t="shared" si="108"/>
        <v>42166</v>
      </c>
      <c r="B477" s="59" t="s">
        <v>10</v>
      </c>
      <c r="G477" s="2">
        <f t="shared" si="109"/>
        <v>0</v>
      </c>
      <c r="H477" s="2">
        <f t="shared" si="110"/>
        <v>0</v>
      </c>
      <c r="I477" s="30" t="e">
        <f t="shared" si="111"/>
        <v>#DIV/0!</v>
      </c>
    </row>
    <row r="478" spans="1:9" x14ac:dyDescent="0.25">
      <c r="A478" s="33">
        <f t="shared" si="108"/>
        <v>42173</v>
      </c>
      <c r="B478" s="59" t="s">
        <v>10</v>
      </c>
      <c r="G478" s="2">
        <f t="shared" si="109"/>
        <v>0</v>
      </c>
      <c r="H478" s="2">
        <f t="shared" si="110"/>
        <v>0</v>
      </c>
      <c r="I478" s="30" t="e">
        <f t="shared" si="111"/>
        <v>#DIV/0!</v>
      </c>
    </row>
    <row r="479" spans="1:9" x14ac:dyDescent="0.25">
      <c r="A479" s="33">
        <f t="shared" si="108"/>
        <v>42180</v>
      </c>
      <c r="B479" s="59" t="s">
        <v>10</v>
      </c>
      <c r="G479" s="2">
        <f t="shared" si="109"/>
        <v>0</v>
      </c>
      <c r="H479" s="2">
        <f t="shared" si="110"/>
        <v>0</v>
      </c>
      <c r="I479" s="30" t="e">
        <f t="shared" si="111"/>
        <v>#DIV/0!</v>
      </c>
    </row>
    <row r="480" spans="1:9" x14ac:dyDescent="0.25">
      <c r="A480" s="33">
        <f t="shared" si="108"/>
        <v>42187</v>
      </c>
      <c r="B480" s="59" t="s">
        <v>10</v>
      </c>
      <c r="G480" s="2">
        <f t="shared" si="109"/>
        <v>0</v>
      </c>
      <c r="H480" s="2">
        <f t="shared" si="110"/>
        <v>0</v>
      </c>
      <c r="I480" s="30" t="e">
        <f t="shared" si="111"/>
        <v>#DIV/0!</v>
      </c>
    </row>
    <row r="481" spans="1:9" x14ac:dyDescent="0.25">
      <c r="A481" s="33">
        <f t="shared" si="108"/>
        <v>42194</v>
      </c>
      <c r="B481" s="59" t="s">
        <v>10</v>
      </c>
      <c r="G481" s="2">
        <f t="shared" si="109"/>
        <v>0</v>
      </c>
      <c r="H481" s="2">
        <f t="shared" si="110"/>
        <v>0</v>
      </c>
      <c r="I481" s="30" t="e">
        <f t="shared" si="111"/>
        <v>#DIV/0!</v>
      </c>
    </row>
    <row r="482" spans="1:9" x14ac:dyDescent="0.25">
      <c r="A482" s="33">
        <f t="shared" si="108"/>
        <v>42201</v>
      </c>
      <c r="B482" s="59" t="s">
        <v>10</v>
      </c>
      <c r="G482" s="2">
        <f t="shared" si="109"/>
        <v>0</v>
      </c>
      <c r="H482" s="2">
        <f t="shared" si="110"/>
        <v>0</v>
      </c>
      <c r="I482" s="30" t="e">
        <f t="shared" si="111"/>
        <v>#DIV/0!</v>
      </c>
    </row>
    <row r="483" spans="1:9" x14ac:dyDescent="0.25">
      <c r="A483" s="33">
        <f t="shared" si="108"/>
        <v>42208</v>
      </c>
      <c r="B483" s="59" t="s">
        <v>10</v>
      </c>
      <c r="G483" s="2">
        <f t="shared" si="109"/>
        <v>0</v>
      </c>
      <c r="H483" s="2">
        <f t="shared" si="110"/>
        <v>0</v>
      </c>
      <c r="I483" s="30" t="e">
        <f t="shared" si="111"/>
        <v>#DIV/0!</v>
      </c>
    </row>
    <row r="484" spans="1:9" x14ac:dyDescent="0.25">
      <c r="A484" s="33">
        <f t="shared" si="108"/>
        <v>42215</v>
      </c>
      <c r="B484" s="59" t="s">
        <v>10</v>
      </c>
      <c r="G484" s="2">
        <f t="shared" si="109"/>
        <v>0</v>
      </c>
      <c r="H484" s="2">
        <f t="shared" si="110"/>
        <v>0</v>
      </c>
      <c r="I484" s="30" t="e">
        <f t="shared" si="111"/>
        <v>#DIV/0!</v>
      </c>
    </row>
    <row r="485" spans="1:9" x14ac:dyDescent="0.25">
      <c r="A485" s="33">
        <f t="shared" si="108"/>
        <v>42222</v>
      </c>
      <c r="B485" s="59" t="s">
        <v>10</v>
      </c>
      <c r="G485" s="2">
        <f t="shared" si="109"/>
        <v>0</v>
      </c>
      <c r="H485" s="2">
        <f t="shared" si="110"/>
        <v>0</v>
      </c>
      <c r="I485" s="30" t="e">
        <f t="shared" si="111"/>
        <v>#DIV/0!</v>
      </c>
    </row>
    <row r="486" spans="1:9" x14ac:dyDescent="0.25">
      <c r="A486" s="33">
        <f t="shared" si="108"/>
        <v>42229</v>
      </c>
      <c r="B486" s="59" t="s">
        <v>10</v>
      </c>
      <c r="G486" s="2">
        <f t="shared" si="109"/>
        <v>0</v>
      </c>
      <c r="H486" s="2">
        <f t="shared" si="110"/>
        <v>0</v>
      </c>
      <c r="I486" s="30" t="e">
        <f t="shared" si="111"/>
        <v>#DIV/0!</v>
      </c>
    </row>
    <row r="487" spans="1:9" x14ac:dyDescent="0.25">
      <c r="A487" s="33">
        <f t="shared" si="108"/>
        <v>42236</v>
      </c>
      <c r="B487" s="59" t="s">
        <v>10</v>
      </c>
      <c r="G487" s="2">
        <f t="shared" si="109"/>
        <v>0</v>
      </c>
      <c r="H487" s="2">
        <f t="shared" si="110"/>
        <v>0</v>
      </c>
      <c r="I487" s="30" t="e">
        <f t="shared" si="111"/>
        <v>#DIV/0!</v>
      </c>
    </row>
    <row r="488" spans="1:9" x14ac:dyDescent="0.25">
      <c r="A488" s="33">
        <f t="shared" si="108"/>
        <v>42243</v>
      </c>
      <c r="B488" s="59" t="s">
        <v>10</v>
      </c>
      <c r="G488" s="2">
        <f t="shared" si="109"/>
        <v>0</v>
      </c>
      <c r="H488" s="2">
        <f t="shared" si="110"/>
        <v>0</v>
      </c>
      <c r="I488" s="30" t="e">
        <f t="shared" si="111"/>
        <v>#DIV/0!</v>
      </c>
    </row>
    <row r="489" spans="1:9" x14ac:dyDescent="0.25">
      <c r="A489" s="33">
        <f t="shared" si="108"/>
        <v>42250</v>
      </c>
      <c r="B489" s="59" t="s">
        <v>10</v>
      </c>
      <c r="G489" s="2">
        <f t="shared" si="109"/>
        <v>0</v>
      </c>
      <c r="H489" s="2">
        <f t="shared" si="110"/>
        <v>0</v>
      </c>
      <c r="I489" s="30" t="e">
        <f t="shared" si="111"/>
        <v>#DIV/0!</v>
      </c>
    </row>
    <row r="490" spans="1:9" x14ac:dyDescent="0.25">
      <c r="A490" s="33">
        <f t="shared" si="108"/>
        <v>42257</v>
      </c>
      <c r="B490" s="59" t="s">
        <v>10</v>
      </c>
      <c r="G490" s="2">
        <f t="shared" si="109"/>
        <v>0</v>
      </c>
      <c r="H490" s="2">
        <f t="shared" si="110"/>
        <v>0</v>
      </c>
      <c r="I490" s="30" t="e">
        <f t="shared" si="111"/>
        <v>#DIV/0!</v>
      </c>
    </row>
    <row r="491" spans="1:9" x14ac:dyDescent="0.25">
      <c r="A491" s="33">
        <f t="shared" si="108"/>
        <v>42264</v>
      </c>
      <c r="B491" s="59" t="s">
        <v>10</v>
      </c>
      <c r="G491" s="2">
        <f t="shared" si="109"/>
        <v>0</v>
      </c>
      <c r="H491" s="2">
        <f t="shared" si="110"/>
        <v>0</v>
      </c>
      <c r="I491" s="30" t="e">
        <f t="shared" si="111"/>
        <v>#DIV/0!</v>
      </c>
    </row>
    <row r="492" spans="1:9" x14ac:dyDescent="0.25">
      <c r="A492" s="33">
        <f t="shared" si="108"/>
        <v>42271</v>
      </c>
      <c r="B492" s="59" t="s">
        <v>10</v>
      </c>
      <c r="G492" s="2">
        <f t="shared" si="109"/>
        <v>0</v>
      </c>
      <c r="H492" s="2">
        <f t="shared" si="110"/>
        <v>0</v>
      </c>
      <c r="I492" s="30" t="e">
        <f t="shared" si="111"/>
        <v>#DIV/0!</v>
      </c>
    </row>
    <row r="493" spans="1:9" x14ac:dyDescent="0.25">
      <c r="A493" s="33">
        <f t="shared" si="108"/>
        <v>42278</v>
      </c>
      <c r="B493" s="59" t="s">
        <v>10</v>
      </c>
      <c r="G493" s="2">
        <f t="shared" si="109"/>
        <v>0</v>
      </c>
      <c r="H493" s="2">
        <f t="shared" si="110"/>
        <v>0</v>
      </c>
      <c r="I493" s="30" t="e">
        <f t="shared" si="111"/>
        <v>#DIV/0!</v>
      </c>
    </row>
    <row r="494" spans="1:9" x14ac:dyDescent="0.25">
      <c r="A494" s="33">
        <f t="shared" si="108"/>
        <v>42285</v>
      </c>
      <c r="B494" s="59" t="s">
        <v>10</v>
      </c>
      <c r="G494" s="2">
        <f t="shared" si="109"/>
        <v>0</v>
      </c>
      <c r="H494" s="2">
        <f t="shared" si="110"/>
        <v>0</v>
      </c>
      <c r="I494" s="30" t="e">
        <f t="shared" si="111"/>
        <v>#DIV/0!</v>
      </c>
    </row>
    <row r="495" spans="1:9" x14ac:dyDescent="0.25">
      <c r="A495" s="33">
        <f t="shared" si="108"/>
        <v>42292</v>
      </c>
      <c r="B495" s="59" t="s">
        <v>10</v>
      </c>
      <c r="G495" s="2">
        <f t="shared" si="109"/>
        <v>0</v>
      </c>
      <c r="H495" s="2">
        <f t="shared" si="110"/>
        <v>0</v>
      </c>
      <c r="I495" s="30" t="e">
        <f t="shared" si="111"/>
        <v>#DIV/0!</v>
      </c>
    </row>
    <row r="496" spans="1:9" x14ac:dyDescent="0.25">
      <c r="A496" s="33">
        <f t="shared" si="108"/>
        <v>42299</v>
      </c>
      <c r="B496" s="59" t="s">
        <v>10</v>
      </c>
      <c r="G496" s="2">
        <f t="shared" si="109"/>
        <v>0</v>
      </c>
      <c r="H496" s="2">
        <f t="shared" si="110"/>
        <v>0</v>
      </c>
      <c r="I496" s="30" t="e">
        <f t="shared" si="111"/>
        <v>#DIV/0!</v>
      </c>
    </row>
    <row r="497" spans="1:9" x14ac:dyDescent="0.25">
      <c r="A497" s="33">
        <f t="shared" si="108"/>
        <v>42306</v>
      </c>
      <c r="B497" s="59" t="s">
        <v>10</v>
      </c>
      <c r="G497" s="2">
        <f t="shared" si="109"/>
        <v>0</v>
      </c>
      <c r="H497" s="2">
        <f t="shared" si="110"/>
        <v>0</v>
      </c>
      <c r="I497" s="30" t="e">
        <f t="shared" si="111"/>
        <v>#DIV/0!</v>
      </c>
    </row>
    <row r="498" spans="1:9" x14ac:dyDescent="0.25">
      <c r="A498" s="33">
        <f t="shared" si="108"/>
        <v>42313</v>
      </c>
      <c r="B498" s="59" t="s">
        <v>10</v>
      </c>
      <c r="G498" s="2">
        <f t="shared" si="109"/>
        <v>0</v>
      </c>
      <c r="H498" s="2">
        <f t="shared" si="110"/>
        <v>0</v>
      </c>
      <c r="I498" s="30" t="e">
        <f t="shared" si="111"/>
        <v>#DIV/0!</v>
      </c>
    </row>
    <row r="499" spans="1:9" x14ac:dyDescent="0.25">
      <c r="A499" s="33">
        <f t="shared" si="108"/>
        <v>42320</v>
      </c>
      <c r="B499" s="59" t="s">
        <v>10</v>
      </c>
      <c r="G499" s="2">
        <f t="shared" si="109"/>
        <v>0</v>
      </c>
      <c r="H499" s="2">
        <f t="shared" si="110"/>
        <v>0</v>
      </c>
      <c r="I499" s="30" t="e">
        <f t="shared" si="111"/>
        <v>#DIV/0!</v>
      </c>
    </row>
    <row r="500" spans="1:9" x14ac:dyDescent="0.25">
      <c r="A500" s="33">
        <f t="shared" si="108"/>
        <v>42327</v>
      </c>
      <c r="B500" s="59" t="s">
        <v>10</v>
      </c>
      <c r="G500" s="2">
        <f t="shared" si="109"/>
        <v>0</v>
      </c>
      <c r="H500" s="2">
        <f t="shared" si="110"/>
        <v>0</v>
      </c>
      <c r="I500" s="30" t="e">
        <f t="shared" si="111"/>
        <v>#DIV/0!</v>
      </c>
    </row>
    <row r="501" spans="1:9" x14ac:dyDescent="0.25">
      <c r="A501" s="33">
        <f t="shared" si="108"/>
        <v>42334</v>
      </c>
      <c r="B501" s="59" t="s">
        <v>10</v>
      </c>
      <c r="G501" s="2">
        <f t="shared" si="109"/>
        <v>0</v>
      </c>
      <c r="H501" s="2">
        <f t="shared" si="110"/>
        <v>0</v>
      </c>
      <c r="I501" s="30" t="e">
        <f t="shared" si="111"/>
        <v>#DIV/0!</v>
      </c>
    </row>
    <row r="502" spans="1:9" x14ac:dyDescent="0.25">
      <c r="A502" s="33">
        <f t="shared" si="108"/>
        <v>42341</v>
      </c>
      <c r="B502" s="59" t="s">
        <v>10</v>
      </c>
      <c r="G502" s="2">
        <f t="shared" si="109"/>
        <v>0</v>
      </c>
      <c r="H502" s="2">
        <f t="shared" si="110"/>
        <v>0</v>
      </c>
      <c r="I502" s="30" t="e">
        <f t="shared" si="111"/>
        <v>#DIV/0!</v>
      </c>
    </row>
    <row r="503" spans="1:9" x14ac:dyDescent="0.25">
      <c r="A503" s="33">
        <f t="shared" si="108"/>
        <v>42348</v>
      </c>
      <c r="B503" s="59" t="s">
        <v>10</v>
      </c>
      <c r="G503" s="2">
        <f t="shared" si="109"/>
        <v>0</v>
      </c>
      <c r="H503" s="2">
        <f t="shared" si="110"/>
        <v>0</v>
      </c>
      <c r="I503" s="30" t="e">
        <f t="shared" si="111"/>
        <v>#DIV/0!</v>
      </c>
    </row>
    <row r="504" spans="1:9" x14ac:dyDescent="0.25">
      <c r="A504" s="33">
        <f t="shared" si="108"/>
        <v>42355</v>
      </c>
      <c r="B504" s="59" t="s">
        <v>10</v>
      </c>
      <c r="G504" s="2">
        <f t="shared" si="109"/>
        <v>0</v>
      </c>
      <c r="H504" s="2">
        <f t="shared" si="110"/>
        <v>0</v>
      </c>
      <c r="I504" s="30" t="e">
        <f t="shared" si="111"/>
        <v>#DIV/0!</v>
      </c>
    </row>
    <row r="505" spans="1:9" x14ac:dyDescent="0.25">
      <c r="A505" s="33">
        <f t="shared" si="108"/>
        <v>42362</v>
      </c>
      <c r="B505" s="59" t="s">
        <v>10</v>
      </c>
      <c r="G505" s="2">
        <f t="shared" si="109"/>
        <v>0</v>
      </c>
      <c r="H505" s="2">
        <f t="shared" si="110"/>
        <v>0</v>
      </c>
      <c r="I505" s="30" t="e">
        <f t="shared" si="111"/>
        <v>#DIV/0!</v>
      </c>
    </row>
    <row r="506" spans="1:9" x14ac:dyDescent="0.25">
      <c r="A506" s="33">
        <f t="shared" si="108"/>
        <v>42369</v>
      </c>
      <c r="B506" s="59" t="s">
        <v>10</v>
      </c>
      <c r="G506" s="2">
        <f t="shared" si="109"/>
        <v>0</v>
      </c>
      <c r="H506" s="2">
        <f t="shared" si="110"/>
        <v>0</v>
      </c>
      <c r="I506" s="30" t="e">
        <f t="shared" si="111"/>
        <v>#DIV/0!</v>
      </c>
    </row>
    <row r="507" spans="1:9" x14ac:dyDescent="0.25">
      <c r="A507" s="33">
        <f t="shared" si="108"/>
        <v>42376</v>
      </c>
      <c r="B507" s="59" t="s">
        <v>10</v>
      </c>
      <c r="G507" s="2">
        <f t="shared" si="109"/>
        <v>0</v>
      </c>
      <c r="H507" s="2">
        <f t="shared" si="110"/>
        <v>0</v>
      </c>
      <c r="I507" s="30" t="e">
        <f t="shared" si="111"/>
        <v>#DIV/0!</v>
      </c>
    </row>
    <row r="508" spans="1:9" x14ac:dyDescent="0.25">
      <c r="A508" s="33">
        <f t="shared" si="108"/>
        <v>42383</v>
      </c>
      <c r="B508" s="59" t="s">
        <v>10</v>
      </c>
      <c r="G508" s="2">
        <f t="shared" si="109"/>
        <v>0</v>
      </c>
      <c r="H508" s="2">
        <f t="shared" si="110"/>
        <v>0</v>
      </c>
      <c r="I508" s="30" t="e">
        <f t="shared" si="111"/>
        <v>#DIV/0!</v>
      </c>
    </row>
    <row r="509" spans="1:9" x14ac:dyDescent="0.25">
      <c r="A509" s="33">
        <f t="shared" si="108"/>
        <v>42390</v>
      </c>
      <c r="B509" s="59" t="s">
        <v>10</v>
      </c>
      <c r="G509" s="2">
        <f t="shared" si="109"/>
        <v>0</v>
      </c>
      <c r="H509" s="2">
        <f t="shared" si="110"/>
        <v>0</v>
      </c>
      <c r="I509" s="30" t="e">
        <f t="shared" si="111"/>
        <v>#DIV/0!</v>
      </c>
    </row>
    <row r="510" spans="1:9" x14ac:dyDescent="0.25">
      <c r="A510" s="33">
        <f t="shared" ref="A510:A573" si="112">+A509+7</f>
        <v>42397</v>
      </c>
      <c r="B510" s="59" t="s">
        <v>10</v>
      </c>
      <c r="G510" s="2">
        <f t="shared" si="109"/>
        <v>0</v>
      </c>
      <c r="H510" s="2">
        <f t="shared" si="110"/>
        <v>0</v>
      </c>
      <c r="I510" s="30" t="e">
        <f t="shared" si="111"/>
        <v>#DIV/0!</v>
      </c>
    </row>
    <row r="511" spans="1:9" x14ac:dyDescent="0.25">
      <c r="A511" s="33">
        <f t="shared" si="112"/>
        <v>42404</v>
      </c>
      <c r="B511" s="59" t="s">
        <v>10</v>
      </c>
      <c r="G511" s="2">
        <f t="shared" si="109"/>
        <v>0</v>
      </c>
      <c r="H511" s="2">
        <f t="shared" si="110"/>
        <v>0</v>
      </c>
      <c r="I511" s="30" t="e">
        <f t="shared" si="111"/>
        <v>#DIV/0!</v>
      </c>
    </row>
    <row r="512" spans="1:9" x14ac:dyDescent="0.25">
      <c r="A512" s="33">
        <f t="shared" si="112"/>
        <v>42411</v>
      </c>
      <c r="B512" s="59" t="s">
        <v>10</v>
      </c>
      <c r="G512" s="2">
        <f t="shared" si="109"/>
        <v>0</v>
      </c>
      <c r="H512" s="2">
        <f t="shared" si="110"/>
        <v>0</v>
      </c>
      <c r="I512" s="30" t="e">
        <f t="shared" si="111"/>
        <v>#DIV/0!</v>
      </c>
    </row>
    <row r="513" spans="1:9" x14ac:dyDescent="0.25">
      <c r="A513" s="33">
        <f t="shared" si="112"/>
        <v>42418</v>
      </c>
      <c r="B513" s="59" t="s">
        <v>10</v>
      </c>
      <c r="G513" s="2">
        <f t="shared" si="109"/>
        <v>0</v>
      </c>
      <c r="H513" s="2">
        <f t="shared" si="110"/>
        <v>0</v>
      </c>
      <c r="I513" s="30" t="e">
        <f t="shared" si="111"/>
        <v>#DIV/0!</v>
      </c>
    </row>
    <row r="514" spans="1:9" x14ac:dyDescent="0.25">
      <c r="A514" s="33">
        <f t="shared" si="112"/>
        <v>42425</v>
      </c>
      <c r="B514" s="59" t="s">
        <v>10</v>
      </c>
      <c r="G514" s="2">
        <f t="shared" si="109"/>
        <v>0</v>
      </c>
      <c r="H514" s="2">
        <f t="shared" si="110"/>
        <v>0</v>
      </c>
      <c r="I514" s="30" t="e">
        <f t="shared" si="111"/>
        <v>#DIV/0!</v>
      </c>
    </row>
    <row r="515" spans="1:9" x14ac:dyDescent="0.25">
      <c r="A515" s="33">
        <f t="shared" si="112"/>
        <v>42432</v>
      </c>
      <c r="B515" s="59" t="s">
        <v>10</v>
      </c>
      <c r="G515" s="2">
        <f t="shared" si="109"/>
        <v>0</v>
      </c>
      <c r="H515" s="2">
        <f t="shared" si="110"/>
        <v>0</v>
      </c>
      <c r="I515" s="30" t="e">
        <f t="shared" si="111"/>
        <v>#DIV/0!</v>
      </c>
    </row>
    <row r="516" spans="1:9" x14ac:dyDescent="0.25">
      <c r="A516" s="33">
        <f t="shared" si="112"/>
        <v>42439</v>
      </c>
      <c r="B516" s="59" t="s">
        <v>10</v>
      </c>
      <c r="G516" s="2">
        <f t="shared" si="109"/>
        <v>0</v>
      </c>
      <c r="H516" s="2">
        <f t="shared" si="110"/>
        <v>0</v>
      </c>
      <c r="I516" s="30" t="e">
        <f t="shared" si="111"/>
        <v>#DIV/0!</v>
      </c>
    </row>
    <row r="517" spans="1:9" x14ac:dyDescent="0.25">
      <c r="A517" s="33">
        <f t="shared" si="112"/>
        <v>42446</v>
      </c>
      <c r="B517" s="59" t="s">
        <v>10</v>
      </c>
      <c r="G517" s="2">
        <f t="shared" si="109"/>
        <v>0</v>
      </c>
      <c r="H517" s="2">
        <f t="shared" si="110"/>
        <v>0</v>
      </c>
      <c r="I517" s="30" t="e">
        <f t="shared" si="111"/>
        <v>#DIV/0!</v>
      </c>
    </row>
    <row r="518" spans="1:9" x14ac:dyDescent="0.25">
      <c r="A518" s="33">
        <f t="shared" si="112"/>
        <v>42453</v>
      </c>
      <c r="B518" s="59" t="s">
        <v>10</v>
      </c>
      <c r="G518" s="2">
        <f t="shared" si="109"/>
        <v>0</v>
      </c>
      <c r="H518" s="2">
        <f t="shared" si="110"/>
        <v>0</v>
      </c>
      <c r="I518" s="30" t="e">
        <f t="shared" si="111"/>
        <v>#DIV/0!</v>
      </c>
    </row>
    <row r="519" spans="1:9" x14ac:dyDescent="0.25">
      <c r="A519" s="33">
        <f t="shared" si="112"/>
        <v>42460</v>
      </c>
      <c r="B519" s="59" t="s">
        <v>10</v>
      </c>
      <c r="G519" s="2">
        <f t="shared" si="109"/>
        <v>0</v>
      </c>
      <c r="H519" s="2">
        <f t="shared" si="110"/>
        <v>0</v>
      </c>
      <c r="I519" s="30" t="e">
        <f t="shared" si="111"/>
        <v>#DIV/0!</v>
      </c>
    </row>
    <row r="520" spans="1:9" x14ac:dyDescent="0.25">
      <c r="A520" s="33">
        <f t="shared" si="112"/>
        <v>42467</v>
      </c>
      <c r="B520" s="59" t="s">
        <v>10</v>
      </c>
      <c r="G520" s="2">
        <f t="shared" si="109"/>
        <v>0</v>
      </c>
      <c r="H520" s="2">
        <f t="shared" si="110"/>
        <v>0</v>
      </c>
      <c r="I520" s="30" t="e">
        <f t="shared" si="111"/>
        <v>#DIV/0!</v>
      </c>
    </row>
    <row r="521" spans="1:9" x14ac:dyDescent="0.25">
      <c r="A521" s="33">
        <f t="shared" si="112"/>
        <v>42474</v>
      </c>
      <c r="B521" s="59" t="s">
        <v>10</v>
      </c>
      <c r="G521" s="2">
        <f t="shared" si="109"/>
        <v>0</v>
      </c>
      <c r="H521" s="2">
        <f t="shared" si="110"/>
        <v>0</v>
      </c>
      <c r="I521" s="30" t="e">
        <f t="shared" si="111"/>
        <v>#DIV/0!</v>
      </c>
    </row>
    <row r="522" spans="1:9" x14ac:dyDescent="0.25">
      <c r="A522" s="33">
        <f t="shared" si="112"/>
        <v>42481</v>
      </c>
      <c r="B522" s="59" t="s">
        <v>10</v>
      </c>
      <c r="G522" s="2">
        <f t="shared" si="109"/>
        <v>0</v>
      </c>
      <c r="H522" s="2">
        <f t="shared" si="110"/>
        <v>0</v>
      </c>
      <c r="I522" s="30" t="e">
        <f t="shared" si="111"/>
        <v>#DIV/0!</v>
      </c>
    </row>
    <row r="523" spans="1:9" x14ac:dyDescent="0.25">
      <c r="A523" s="33">
        <f t="shared" si="112"/>
        <v>42488</v>
      </c>
      <c r="B523" s="59" t="s">
        <v>10</v>
      </c>
      <c r="G523" s="2">
        <f t="shared" si="109"/>
        <v>0</v>
      </c>
      <c r="H523" s="2">
        <f t="shared" si="110"/>
        <v>0</v>
      </c>
      <c r="I523" s="30" t="e">
        <f t="shared" si="111"/>
        <v>#DIV/0!</v>
      </c>
    </row>
    <row r="524" spans="1:9" x14ac:dyDescent="0.25">
      <c r="A524" s="33">
        <f t="shared" si="112"/>
        <v>42495</v>
      </c>
      <c r="B524" s="59" t="s">
        <v>10</v>
      </c>
      <c r="G524" s="2">
        <f t="shared" si="109"/>
        <v>0</v>
      </c>
      <c r="H524" s="2">
        <f t="shared" si="110"/>
        <v>0</v>
      </c>
      <c r="I524" s="30" t="e">
        <f t="shared" si="111"/>
        <v>#DIV/0!</v>
      </c>
    </row>
    <row r="525" spans="1:9" x14ac:dyDescent="0.25">
      <c r="A525" s="33">
        <f t="shared" si="112"/>
        <v>42502</v>
      </c>
      <c r="B525" s="59" t="s">
        <v>10</v>
      </c>
      <c r="G525" s="2">
        <f t="shared" si="109"/>
        <v>0</v>
      </c>
      <c r="H525" s="2">
        <f t="shared" si="110"/>
        <v>0</v>
      </c>
      <c r="I525" s="30" t="e">
        <f t="shared" si="111"/>
        <v>#DIV/0!</v>
      </c>
    </row>
    <row r="526" spans="1:9" x14ac:dyDescent="0.25">
      <c r="A526" s="33">
        <f t="shared" si="112"/>
        <v>42509</v>
      </c>
      <c r="B526" s="59" t="s">
        <v>10</v>
      </c>
      <c r="G526" s="2">
        <f t="shared" si="109"/>
        <v>0</v>
      </c>
      <c r="H526" s="2">
        <f t="shared" si="110"/>
        <v>0</v>
      </c>
      <c r="I526" s="30" t="e">
        <f t="shared" si="111"/>
        <v>#DIV/0!</v>
      </c>
    </row>
    <row r="527" spans="1:9" x14ac:dyDescent="0.25">
      <c r="A527" s="33">
        <f t="shared" si="112"/>
        <v>42516</v>
      </c>
      <c r="B527" s="59" t="s">
        <v>10</v>
      </c>
      <c r="G527" s="2">
        <f t="shared" si="109"/>
        <v>0</v>
      </c>
      <c r="H527" s="2">
        <f t="shared" si="110"/>
        <v>0</v>
      </c>
      <c r="I527" s="30" t="e">
        <f t="shared" si="111"/>
        <v>#DIV/0!</v>
      </c>
    </row>
    <row r="528" spans="1:9" x14ac:dyDescent="0.25">
      <c r="A528" s="33">
        <f t="shared" si="112"/>
        <v>42523</v>
      </c>
      <c r="B528" s="59" t="s">
        <v>10</v>
      </c>
      <c r="G528" s="2">
        <f t="shared" si="109"/>
        <v>0</v>
      </c>
      <c r="H528" s="2">
        <f t="shared" si="110"/>
        <v>0</v>
      </c>
      <c r="I528" s="30" t="e">
        <f t="shared" si="111"/>
        <v>#DIV/0!</v>
      </c>
    </row>
    <row r="529" spans="1:9" x14ac:dyDescent="0.25">
      <c r="A529" s="33">
        <f t="shared" si="112"/>
        <v>42530</v>
      </c>
      <c r="B529" s="59" t="s">
        <v>10</v>
      </c>
      <c r="G529" s="2">
        <f t="shared" si="109"/>
        <v>0</v>
      </c>
      <c r="H529" s="2">
        <f t="shared" si="110"/>
        <v>0</v>
      </c>
      <c r="I529" s="30" t="e">
        <f t="shared" si="111"/>
        <v>#DIV/0!</v>
      </c>
    </row>
    <row r="530" spans="1:9" x14ac:dyDescent="0.25">
      <c r="A530" s="33">
        <f t="shared" si="112"/>
        <v>42537</v>
      </c>
      <c r="B530" s="59" t="s">
        <v>10</v>
      </c>
      <c r="G530" s="2">
        <f t="shared" si="109"/>
        <v>0</v>
      </c>
      <c r="H530" s="2">
        <f t="shared" si="110"/>
        <v>0</v>
      </c>
      <c r="I530" s="30" t="e">
        <f t="shared" si="111"/>
        <v>#DIV/0!</v>
      </c>
    </row>
    <row r="531" spans="1:9" x14ac:dyDescent="0.25">
      <c r="A531" s="33">
        <f t="shared" si="112"/>
        <v>42544</v>
      </c>
      <c r="B531" s="59" t="s">
        <v>10</v>
      </c>
      <c r="G531" s="2">
        <f t="shared" si="109"/>
        <v>0</v>
      </c>
      <c r="H531" s="2">
        <f t="shared" si="110"/>
        <v>0</v>
      </c>
      <c r="I531" s="30" t="e">
        <f t="shared" si="111"/>
        <v>#DIV/0!</v>
      </c>
    </row>
    <row r="532" spans="1:9" x14ac:dyDescent="0.25">
      <c r="A532" s="33">
        <f t="shared" si="112"/>
        <v>42551</v>
      </c>
      <c r="B532" s="59" t="s">
        <v>10</v>
      </c>
      <c r="G532" s="2">
        <f t="shared" ref="G532:G595" si="113">+C532+E532</f>
        <v>0</v>
      </c>
      <c r="H532" s="2">
        <f t="shared" ref="H532:H595" si="114">+D532+F532</f>
        <v>0</v>
      </c>
      <c r="I532" s="30" t="e">
        <f t="shared" ref="I532:I595" si="115">+(G532/H532-1)*100</f>
        <v>#DIV/0!</v>
      </c>
    </row>
    <row r="533" spans="1:9" x14ac:dyDescent="0.25">
      <c r="A533" s="33">
        <f t="shared" si="112"/>
        <v>42558</v>
      </c>
      <c r="B533" s="59" t="s">
        <v>10</v>
      </c>
      <c r="G533" s="2">
        <f t="shared" si="113"/>
        <v>0</v>
      </c>
      <c r="H533" s="2">
        <f t="shared" si="114"/>
        <v>0</v>
      </c>
      <c r="I533" s="30" t="e">
        <f t="shared" si="115"/>
        <v>#DIV/0!</v>
      </c>
    </row>
    <row r="534" spans="1:9" x14ac:dyDescent="0.25">
      <c r="A534" s="33">
        <f t="shared" si="112"/>
        <v>42565</v>
      </c>
      <c r="B534" s="59" t="s">
        <v>10</v>
      </c>
      <c r="G534" s="2">
        <f t="shared" si="113"/>
        <v>0</v>
      </c>
      <c r="H534" s="2">
        <f t="shared" si="114"/>
        <v>0</v>
      </c>
      <c r="I534" s="30" t="e">
        <f t="shared" si="115"/>
        <v>#DIV/0!</v>
      </c>
    </row>
    <row r="535" spans="1:9" x14ac:dyDescent="0.25">
      <c r="A535" s="33">
        <f t="shared" si="112"/>
        <v>42572</v>
      </c>
      <c r="B535" s="59" t="s">
        <v>10</v>
      </c>
      <c r="G535" s="2">
        <f t="shared" si="113"/>
        <v>0</v>
      </c>
      <c r="H535" s="2">
        <f t="shared" si="114"/>
        <v>0</v>
      </c>
      <c r="I535" s="30" t="e">
        <f t="shared" si="115"/>
        <v>#DIV/0!</v>
      </c>
    </row>
    <row r="536" spans="1:9" x14ac:dyDescent="0.25">
      <c r="A536" s="33">
        <f t="shared" si="112"/>
        <v>42579</v>
      </c>
      <c r="B536" s="59" t="s">
        <v>10</v>
      </c>
      <c r="G536" s="2">
        <f t="shared" si="113"/>
        <v>0</v>
      </c>
      <c r="H536" s="2">
        <f t="shared" si="114"/>
        <v>0</v>
      </c>
      <c r="I536" s="30" t="e">
        <f t="shared" si="115"/>
        <v>#DIV/0!</v>
      </c>
    </row>
    <row r="537" spans="1:9" x14ac:dyDescent="0.25">
      <c r="A537" s="33">
        <f t="shared" si="112"/>
        <v>42586</v>
      </c>
      <c r="B537" s="59" t="s">
        <v>10</v>
      </c>
      <c r="G537" s="2">
        <f t="shared" si="113"/>
        <v>0</v>
      </c>
      <c r="H537" s="2">
        <f t="shared" si="114"/>
        <v>0</v>
      </c>
      <c r="I537" s="30" t="e">
        <f t="shared" si="115"/>
        <v>#DIV/0!</v>
      </c>
    </row>
    <row r="538" spans="1:9" x14ac:dyDescent="0.25">
      <c r="A538" s="33">
        <f t="shared" si="112"/>
        <v>42593</v>
      </c>
      <c r="B538" s="59" t="s">
        <v>10</v>
      </c>
      <c r="G538" s="2">
        <f t="shared" si="113"/>
        <v>0</v>
      </c>
      <c r="H538" s="2">
        <f t="shared" si="114"/>
        <v>0</v>
      </c>
      <c r="I538" s="30" t="e">
        <f t="shared" si="115"/>
        <v>#DIV/0!</v>
      </c>
    </row>
    <row r="539" spans="1:9" x14ac:dyDescent="0.25">
      <c r="A539" s="33">
        <f t="shared" si="112"/>
        <v>42600</v>
      </c>
      <c r="B539" s="59" t="s">
        <v>10</v>
      </c>
      <c r="G539" s="2">
        <f t="shared" si="113"/>
        <v>0</v>
      </c>
      <c r="H539" s="2">
        <f t="shared" si="114"/>
        <v>0</v>
      </c>
      <c r="I539" s="30" t="e">
        <f t="shared" si="115"/>
        <v>#DIV/0!</v>
      </c>
    </row>
    <row r="540" spans="1:9" x14ac:dyDescent="0.25">
      <c r="A540" s="33">
        <f t="shared" si="112"/>
        <v>42607</v>
      </c>
      <c r="B540" s="59" t="s">
        <v>10</v>
      </c>
      <c r="G540" s="2">
        <f t="shared" si="113"/>
        <v>0</v>
      </c>
      <c r="H540" s="2">
        <f t="shared" si="114"/>
        <v>0</v>
      </c>
      <c r="I540" s="30" t="e">
        <f t="shared" si="115"/>
        <v>#DIV/0!</v>
      </c>
    </row>
    <row r="541" spans="1:9" x14ac:dyDescent="0.25">
      <c r="A541" s="33">
        <f t="shared" si="112"/>
        <v>42614</v>
      </c>
      <c r="B541" s="59" t="s">
        <v>10</v>
      </c>
      <c r="G541" s="2">
        <f t="shared" si="113"/>
        <v>0</v>
      </c>
      <c r="H541" s="2">
        <f t="shared" si="114"/>
        <v>0</v>
      </c>
      <c r="I541" s="30" t="e">
        <f t="shared" si="115"/>
        <v>#DIV/0!</v>
      </c>
    </row>
    <row r="542" spans="1:9" x14ac:dyDescent="0.25">
      <c r="A542" s="33">
        <f t="shared" si="112"/>
        <v>42621</v>
      </c>
      <c r="B542" s="59" t="s">
        <v>10</v>
      </c>
      <c r="G542" s="2">
        <f t="shared" si="113"/>
        <v>0</v>
      </c>
      <c r="H542" s="2">
        <f t="shared" si="114"/>
        <v>0</v>
      </c>
      <c r="I542" s="30" t="e">
        <f t="shared" si="115"/>
        <v>#DIV/0!</v>
      </c>
    </row>
    <row r="543" spans="1:9" x14ac:dyDescent="0.25">
      <c r="A543" s="33">
        <f t="shared" si="112"/>
        <v>42628</v>
      </c>
      <c r="B543" s="59" t="s">
        <v>10</v>
      </c>
      <c r="G543" s="2">
        <f t="shared" si="113"/>
        <v>0</v>
      </c>
      <c r="H543" s="2">
        <f t="shared" si="114"/>
        <v>0</v>
      </c>
      <c r="I543" s="30" t="e">
        <f t="shared" si="115"/>
        <v>#DIV/0!</v>
      </c>
    </row>
    <row r="544" spans="1:9" x14ac:dyDescent="0.25">
      <c r="A544" s="33">
        <f t="shared" si="112"/>
        <v>42635</v>
      </c>
      <c r="B544" s="59" t="s">
        <v>10</v>
      </c>
      <c r="G544" s="2">
        <f t="shared" si="113"/>
        <v>0</v>
      </c>
      <c r="H544" s="2">
        <f t="shared" si="114"/>
        <v>0</v>
      </c>
      <c r="I544" s="30" t="e">
        <f t="shared" si="115"/>
        <v>#DIV/0!</v>
      </c>
    </row>
    <row r="545" spans="1:9" x14ac:dyDescent="0.25">
      <c r="A545" s="33">
        <f t="shared" si="112"/>
        <v>42642</v>
      </c>
      <c r="B545" s="59" t="s">
        <v>10</v>
      </c>
      <c r="G545" s="2">
        <f t="shared" si="113"/>
        <v>0</v>
      </c>
      <c r="H545" s="2">
        <f t="shared" si="114"/>
        <v>0</v>
      </c>
      <c r="I545" s="30" t="e">
        <f t="shared" si="115"/>
        <v>#DIV/0!</v>
      </c>
    </row>
    <row r="546" spans="1:9" x14ac:dyDescent="0.25">
      <c r="A546" s="33">
        <f t="shared" si="112"/>
        <v>42649</v>
      </c>
      <c r="B546" s="59" t="s">
        <v>10</v>
      </c>
      <c r="G546" s="2">
        <f t="shared" si="113"/>
        <v>0</v>
      </c>
      <c r="H546" s="2">
        <f t="shared" si="114"/>
        <v>0</v>
      </c>
      <c r="I546" s="30" t="e">
        <f t="shared" si="115"/>
        <v>#DIV/0!</v>
      </c>
    </row>
    <row r="547" spans="1:9" x14ac:dyDescent="0.25">
      <c r="A547" s="33">
        <f t="shared" si="112"/>
        <v>42656</v>
      </c>
      <c r="B547" s="59" t="s">
        <v>10</v>
      </c>
      <c r="G547" s="2">
        <f t="shared" si="113"/>
        <v>0</v>
      </c>
      <c r="H547" s="2">
        <f t="shared" si="114"/>
        <v>0</v>
      </c>
      <c r="I547" s="30" t="e">
        <f t="shared" si="115"/>
        <v>#DIV/0!</v>
      </c>
    </row>
    <row r="548" spans="1:9" x14ac:dyDescent="0.25">
      <c r="A548" s="33">
        <f t="shared" si="112"/>
        <v>42663</v>
      </c>
      <c r="B548" s="59" t="s">
        <v>10</v>
      </c>
      <c r="G548" s="2">
        <f t="shared" si="113"/>
        <v>0</v>
      </c>
      <c r="H548" s="2">
        <f t="shared" si="114"/>
        <v>0</v>
      </c>
      <c r="I548" s="30" t="e">
        <f t="shared" si="115"/>
        <v>#DIV/0!</v>
      </c>
    </row>
    <row r="549" spans="1:9" x14ac:dyDescent="0.25">
      <c r="A549" s="33">
        <f t="shared" si="112"/>
        <v>42670</v>
      </c>
      <c r="B549" s="59" t="s">
        <v>10</v>
      </c>
      <c r="G549" s="2">
        <f t="shared" si="113"/>
        <v>0</v>
      </c>
      <c r="H549" s="2">
        <f t="shared" si="114"/>
        <v>0</v>
      </c>
      <c r="I549" s="30" t="e">
        <f t="shared" si="115"/>
        <v>#DIV/0!</v>
      </c>
    </row>
    <row r="550" spans="1:9" x14ac:dyDescent="0.25">
      <c r="A550" s="33">
        <f t="shared" si="112"/>
        <v>42677</v>
      </c>
      <c r="B550" s="59" t="s">
        <v>10</v>
      </c>
      <c r="G550" s="2">
        <f t="shared" si="113"/>
        <v>0</v>
      </c>
      <c r="H550" s="2">
        <f t="shared" si="114"/>
        <v>0</v>
      </c>
      <c r="I550" s="30" t="e">
        <f t="shared" si="115"/>
        <v>#DIV/0!</v>
      </c>
    </row>
    <row r="551" spans="1:9" x14ac:dyDescent="0.25">
      <c r="A551" s="33">
        <f t="shared" si="112"/>
        <v>42684</v>
      </c>
      <c r="B551" s="59" t="s">
        <v>10</v>
      </c>
      <c r="G551" s="2">
        <f t="shared" si="113"/>
        <v>0</v>
      </c>
      <c r="H551" s="2">
        <f t="shared" si="114"/>
        <v>0</v>
      </c>
      <c r="I551" s="30" t="e">
        <f t="shared" si="115"/>
        <v>#DIV/0!</v>
      </c>
    </row>
    <row r="552" spans="1:9" x14ac:dyDescent="0.25">
      <c r="A552" s="33">
        <f t="shared" si="112"/>
        <v>42691</v>
      </c>
      <c r="B552" s="59" t="s">
        <v>10</v>
      </c>
      <c r="G552" s="2">
        <f t="shared" si="113"/>
        <v>0</v>
      </c>
      <c r="H552" s="2">
        <f t="shared" si="114"/>
        <v>0</v>
      </c>
      <c r="I552" s="30" t="e">
        <f t="shared" si="115"/>
        <v>#DIV/0!</v>
      </c>
    </row>
    <row r="553" spans="1:9" x14ac:dyDescent="0.25">
      <c r="A553" s="33">
        <f t="shared" si="112"/>
        <v>42698</v>
      </c>
      <c r="B553" s="59" t="s">
        <v>10</v>
      </c>
      <c r="G553" s="2">
        <f t="shared" si="113"/>
        <v>0</v>
      </c>
      <c r="H553" s="2">
        <f t="shared" si="114"/>
        <v>0</v>
      </c>
      <c r="I553" s="30" t="e">
        <f t="shared" si="115"/>
        <v>#DIV/0!</v>
      </c>
    </row>
    <row r="554" spans="1:9" x14ac:dyDescent="0.25">
      <c r="A554" s="33">
        <f t="shared" si="112"/>
        <v>42705</v>
      </c>
      <c r="B554" s="59" t="s">
        <v>10</v>
      </c>
      <c r="G554" s="2">
        <f t="shared" si="113"/>
        <v>0</v>
      </c>
      <c r="H554" s="2">
        <f t="shared" si="114"/>
        <v>0</v>
      </c>
      <c r="I554" s="30" t="e">
        <f t="shared" si="115"/>
        <v>#DIV/0!</v>
      </c>
    </row>
    <row r="555" spans="1:9" x14ac:dyDescent="0.25">
      <c r="A555" s="33">
        <f t="shared" si="112"/>
        <v>42712</v>
      </c>
      <c r="B555" s="59" t="s">
        <v>10</v>
      </c>
      <c r="G555" s="2">
        <f t="shared" si="113"/>
        <v>0</v>
      </c>
      <c r="H555" s="2">
        <f t="shared" si="114"/>
        <v>0</v>
      </c>
      <c r="I555" s="30" t="e">
        <f t="shared" si="115"/>
        <v>#DIV/0!</v>
      </c>
    </row>
    <row r="556" spans="1:9" x14ac:dyDescent="0.25">
      <c r="A556" s="33">
        <f t="shared" si="112"/>
        <v>42719</v>
      </c>
      <c r="B556" s="59" t="s">
        <v>10</v>
      </c>
      <c r="G556" s="2">
        <f t="shared" si="113"/>
        <v>0</v>
      </c>
      <c r="H556" s="2">
        <f t="shared" si="114"/>
        <v>0</v>
      </c>
      <c r="I556" s="30" t="e">
        <f t="shared" si="115"/>
        <v>#DIV/0!</v>
      </c>
    </row>
    <row r="557" spans="1:9" x14ac:dyDescent="0.25">
      <c r="A557" s="33">
        <f t="shared" si="112"/>
        <v>42726</v>
      </c>
      <c r="B557" s="59" t="s">
        <v>10</v>
      </c>
      <c r="G557" s="2">
        <f t="shared" si="113"/>
        <v>0</v>
      </c>
      <c r="H557" s="2">
        <f t="shared" si="114"/>
        <v>0</v>
      </c>
      <c r="I557" s="30" t="e">
        <f t="shared" si="115"/>
        <v>#DIV/0!</v>
      </c>
    </row>
    <row r="558" spans="1:9" x14ac:dyDescent="0.25">
      <c r="A558" s="33">
        <f t="shared" si="112"/>
        <v>42733</v>
      </c>
      <c r="B558" s="59" t="s">
        <v>10</v>
      </c>
      <c r="G558" s="2">
        <f t="shared" si="113"/>
        <v>0</v>
      </c>
      <c r="H558" s="2">
        <f t="shared" si="114"/>
        <v>0</v>
      </c>
      <c r="I558" s="30" t="e">
        <f t="shared" si="115"/>
        <v>#DIV/0!</v>
      </c>
    </row>
    <row r="559" spans="1:9" x14ac:dyDescent="0.25">
      <c r="A559" s="33">
        <f t="shared" si="112"/>
        <v>42740</v>
      </c>
      <c r="B559" s="59" t="s">
        <v>10</v>
      </c>
      <c r="G559" s="2">
        <f t="shared" si="113"/>
        <v>0</v>
      </c>
      <c r="H559" s="2">
        <f t="shared" si="114"/>
        <v>0</v>
      </c>
      <c r="I559" s="30" t="e">
        <f t="shared" si="115"/>
        <v>#DIV/0!</v>
      </c>
    </row>
    <row r="560" spans="1:9" x14ac:dyDescent="0.25">
      <c r="A560" s="33">
        <f t="shared" si="112"/>
        <v>42747</v>
      </c>
      <c r="B560" s="59" t="s">
        <v>10</v>
      </c>
      <c r="G560" s="2">
        <f t="shared" si="113"/>
        <v>0</v>
      </c>
      <c r="H560" s="2">
        <f t="shared" si="114"/>
        <v>0</v>
      </c>
      <c r="I560" s="30" t="e">
        <f t="shared" si="115"/>
        <v>#DIV/0!</v>
      </c>
    </row>
    <row r="561" spans="1:9" x14ac:dyDescent="0.25">
      <c r="A561" s="33">
        <f t="shared" si="112"/>
        <v>42754</v>
      </c>
      <c r="B561" s="59" t="s">
        <v>10</v>
      </c>
      <c r="G561" s="2">
        <f t="shared" si="113"/>
        <v>0</v>
      </c>
      <c r="H561" s="2">
        <f t="shared" si="114"/>
        <v>0</v>
      </c>
      <c r="I561" s="30" t="e">
        <f t="shared" si="115"/>
        <v>#DIV/0!</v>
      </c>
    </row>
    <row r="562" spans="1:9" x14ac:dyDescent="0.25">
      <c r="A562" s="33">
        <f t="shared" si="112"/>
        <v>42761</v>
      </c>
      <c r="B562" s="59" t="s">
        <v>10</v>
      </c>
      <c r="G562" s="2">
        <f t="shared" si="113"/>
        <v>0</v>
      </c>
      <c r="H562" s="2">
        <f t="shared" si="114"/>
        <v>0</v>
      </c>
      <c r="I562" s="30" t="e">
        <f t="shared" si="115"/>
        <v>#DIV/0!</v>
      </c>
    </row>
    <row r="563" spans="1:9" x14ac:dyDescent="0.25">
      <c r="A563" s="33">
        <f t="shared" si="112"/>
        <v>42768</v>
      </c>
      <c r="B563" s="59" t="s">
        <v>10</v>
      </c>
      <c r="G563" s="2">
        <f t="shared" si="113"/>
        <v>0</v>
      </c>
      <c r="H563" s="2">
        <f t="shared" si="114"/>
        <v>0</v>
      </c>
      <c r="I563" s="30" t="e">
        <f t="shared" si="115"/>
        <v>#DIV/0!</v>
      </c>
    </row>
    <row r="564" spans="1:9" x14ac:dyDescent="0.25">
      <c r="A564" s="33">
        <f t="shared" si="112"/>
        <v>42775</v>
      </c>
      <c r="B564" s="59" t="s">
        <v>10</v>
      </c>
      <c r="G564" s="2">
        <f t="shared" si="113"/>
        <v>0</v>
      </c>
      <c r="H564" s="2">
        <f t="shared" si="114"/>
        <v>0</v>
      </c>
      <c r="I564" s="30" t="e">
        <f t="shared" si="115"/>
        <v>#DIV/0!</v>
      </c>
    </row>
    <row r="565" spans="1:9" x14ac:dyDescent="0.25">
      <c r="A565" s="33">
        <f t="shared" si="112"/>
        <v>42782</v>
      </c>
      <c r="B565" s="59" t="s">
        <v>10</v>
      </c>
      <c r="G565" s="2">
        <f t="shared" si="113"/>
        <v>0</v>
      </c>
      <c r="H565" s="2">
        <f t="shared" si="114"/>
        <v>0</v>
      </c>
      <c r="I565" s="30" t="e">
        <f t="shared" si="115"/>
        <v>#DIV/0!</v>
      </c>
    </row>
    <row r="566" spans="1:9" x14ac:dyDescent="0.25">
      <c r="A566" s="33">
        <f t="shared" si="112"/>
        <v>42789</v>
      </c>
      <c r="B566" s="59" t="s">
        <v>10</v>
      </c>
      <c r="G566" s="2">
        <f t="shared" si="113"/>
        <v>0</v>
      </c>
      <c r="H566" s="2">
        <f t="shared" si="114"/>
        <v>0</v>
      </c>
      <c r="I566" s="30" t="e">
        <f t="shared" si="115"/>
        <v>#DIV/0!</v>
      </c>
    </row>
    <row r="567" spans="1:9" x14ac:dyDescent="0.25">
      <c r="A567" s="33">
        <f t="shared" si="112"/>
        <v>42796</v>
      </c>
      <c r="B567" s="59" t="s">
        <v>10</v>
      </c>
      <c r="G567" s="2">
        <f t="shared" si="113"/>
        <v>0</v>
      </c>
      <c r="H567" s="2">
        <f t="shared" si="114"/>
        <v>0</v>
      </c>
      <c r="I567" s="30" t="e">
        <f t="shared" si="115"/>
        <v>#DIV/0!</v>
      </c>
    </row>
    <row r="568" spans="1:9" x14ac:dyDescent="0.25">
      <c r="A568" s="33">
        <f t="shared" si="112"/>
        <v>42803</v>
      </c>
      <c r="B568" s="59" t="s">
        <v>10</v>
      </c>
      <c r="G568" s="2">
        <f t="shared" si="113"/>
        <v>0</v>
      </c>
      <c r="H568" s="2">
        <f t="shared" si="114"/>
        <v>0</v>
      </c>
      <c r="I568" s="30" t="e">
        <f t="shared" si="115"/>
        <v>#DIV/0!</v>
      </c>
    </row>
    <row r="569" spans="1:9" x14ac:dyDescent="0.25">
      <c r="A569" s="33">
        <f t="shared" si="112"/>
        <v>42810</v>
      </c>
      <c r="B569" s="59" t="s">
        <v>10</v>
      </c>
      <c r="G569" s="2">
        <f t="shared" si="113"/>
        <v>0</v>
      </c>
      <c r="H569" s="2">
        <f t="shared" si="114"/>
        <v>0</v>
      </c>
      <c r="I569" s="30" t="e">
        <f t="shared" si="115"/>
        <v>#DIV/0!</v>
      </c>
    </row>
    <row r="570" spans="1:9" x14ac:dyDescent="0.25">
      <c r="A570" s="33">
        <f t="shared" si="112"/>
        <v>42817</v>
      </c>
      <c r="B570" s="59" t="s">
        <v>10</v>
      </c>
      <c r="G570" s="2">
        <f t="shared" si="113"/>
        <v>0</v>
      </c>
      <c r="H570" s="2">
        <f t="shared" si="114"/>
        <v>0</v>
      </c>
      <c r="I570" s="30" t="e">
        <f t="shared" si="115"/>
        <v>#DIV/0!</v>
      </c>
    </row>
    <row r="571" spans="1:9" x14ac:dyDescent="0.25">
      <c r="A571" s="33">
        <f t="shared" si="112"/>
        <v>42824</v>
      </c>
      <c r="B571" s="59" t="s">
        <v>10</v>
      </c>
      <c r="G571" s="2">
        <f t="shared" si="113"/>
        <v>0</v>
      </c>
      <c r="H571" s="2">
        <f t="shared" si="114"/>
        <v>0</v>
      </c>
      <c r="I571" s="30" t="e">
        <f t="shared" si="115"/>
        <v>#DIV/0!</v>
      </c>
    </row>
    <row r="572" spans="1:9" x14ac:dyDescent="0.25">
      <c r="A572" s="33">
        <f t="shared" si="112"/>
        <v>42831</v>
      </c>
      <c r="B572" s="59" t="s">
        <v>10</v>
      </c>
      <c r="G572" s="2">
        <f t="shared" si="113"/>
        <v>0</v>
      </c>
      <c r="H572" s="2">
        <f t="shared" si="114"/>
        <v>0</v>
      </c>
      <c r="I572" s="30" t="e">
        <f t="shared" si="115"/>
        <v>#DIV/0!</v>
      </c>
    </row>
    <row r="573" spans="1:9" x14ac:dyDescent="0.25">
      <c r="A573" s="33">
        <f t="shared" si="112"/>
        <v>42838</v>
      </c>
      <c r="B573" s="59" t="s">
        <v>10</v>
      </c>
      <c r="G573" s="2">
        <f t="shared" si="113"/>
        <v>0</v>
      </c>
      <c r="H573" s="2">
        <f t="shared" si="114"/>
        <v>0</v>
      </c>
      <c r="I573" s="30" t="e">
        <f t="shared" si="115"/>
        <v>#DIV/0!</v>
      </c>
    </row>
    <row r="574" spans="1:9" x14ac:dyDescent="0.25">
      <c r="A574" s="33">
        <f t="shared" ref="A574:A637" si="116">+A573+7</f>
        <v>42845</v>
      </c>
      <c r="B574" s="59" t="s">
        <v>10</v>
      </c>
      <c r="G574" s="2">
        <f t="shared" si="113"/>
        <v>0</v>
      </c>
      <c r="H574" s="2">
        <f t="shared" si="114"/>
        <v>0</v>
      </c>
      <c r="I574" s="30" t="e">
        <f t="shared" si="115"/>
        <v>#DIV/0!</v>
      </c>
    </row>
    <row r="575" spans="1:9" x14ac:dyDescent="0.25">
      <c r="A575" s="33">
        <f t="shared" si="116"/>
        <v>42852</v>
      </c>
      <c r="B575" s="59" t="s">
        <v>10</v>
      </c>
      <c r="G575" s="2">
        <f t="shared" si="113"/>
        <v>0</v>
      </c>
      <c r="H575" s="2">
        <f t="shared" si="114"/>
        <v>0</v>
      </c>
      <c r="I575" s="30" t="e">
        <f t="shared" si="115"/>
        <v>#DIV/0!</v>
      </c>
    </row>
    <row r="576" spans="1:9" x14ac:dyDescent="0.25">
      <c r="A576" s="33">
        <f t="shared" si="116"/>
        <v>42859</v>
      </c>
      <c r="B576" s="59" t="s">
        <v>10</v>
      </c>
      <c r="G576" s="2">
        <f t="shared" si="113"/>
        <v>0</v>
      </c>
      <c r="H576" s="2">
        <f t="shared" si="114"/>
        <v>0</v>
      </c>
      <c r="I576" s="30" t="e">
        <f t="shared" si="115"/>
        <v>#DIV/0!</v>
      </c>
    </row>
    <row r="577" spans="1:9" x14ac:dyDescent="0.25">
      <c r="A577" s="33">
        <f t="shared" si="116"/>
        <v>42866</v>
      </c>
      <c r="B577" s="59" t="s">
        <v>10</v>
      </c>
      <c r="G577" s="2">
        <f t="shared" si="113"/>
        <v>0</v>
      </c>
      <c r="H577" s="2">
        <f t="shared" si="114"/>
        <v>0</v>
      </c>
      <c r="I577" s="30" t="e">
        <f t="shared" si="115"/>
        <v>#DIV/0!</v>
      </c>
    </row>
    <row r="578" spans="1:9" x14ac:dyDescent="0.25">
      <c r="A578" s="33">
        <f t="shared" si="116"/>
        <v>42873</v>
      </c>
      <c r="B578" s="59" t="s">
        <v>10</v>
      </c>
      <c r="G578" s="2">
        <f t="shared" si="113"/>
        <v>0</v>
      </c>
      <c r="H578" s="2">
        <f t="shared" si="114"/>
        <v>0</v>
      </c>
      <c r="I578" s="30" t="e">
        <f t="shared" si="115"/>
        <v>#DIV/0!</v>
      </c>
    </row>
    <row r="579" spans="1:9" x14ac:dyDescent="0.25">
      <c r="A579" s="33">
        <f t="shared" si="116"/>
        <v>42880</v>
      </c>
      <c r="B579" s="59" t="s">
        <v>10</v>
      </c>
      <c r="G579" s="2">
        <f t="shared" si="113"/>
        <v>0</v>
      </c>
      <c r="H579" s="2">
        <f t="shared" si="114"/>
        <v>0</v>
      </c>
      <c r="I579" s="30" t="e">
        <f t="shared" si="115"/>
        <v>#DIV/0!</v>
      </c>
    </row>
    <row r="580" spans="1:9" x14ac:dyDescent="0.25">
      <c r="A580" s="33">
        <f t="shared" si="116"/>
        <v>42887</v>
      </c>
      <c r="B580" s="59" t="s">
        <v>10</v>
      </c>
      <c r="G580" s="2">
        <f t="shared" si="113"/>
        <v>0</v>
      </c>
      <c r="H580" s="2">
        <f t="shared" si="114"/>
        <v>0</v>
      </c>
      <c r="I580" s="30" t="e">
        <f t="shared" si="115"/>
        <v>#DIV/0!</v>
      </c>
    </row>
    <row r="581" spans="1:9" x14ac:dyDescent="0.25">
      <c r="A581" s="33">
        <f t="shared" si="116"/>
        <v>42894</v>
      </c>
      <c r="B581" s="59" t="s">
        <v>10</v>
      </c>
      <c r="G581" s="2">
        <f t="shared" si="113"/>
        <v>0</v>
      </c>
      <c r="H581" s="2">
        <f t="shared" si="114"/>
        <v>0</v>
      </c>
      <c r="I581" s="30" t="e">
        <f t="shared" si="115"/>
        <v>#DIV/0!</v>
      </c>
    </row>
    <row r="582" spans="1:9" x14ac:dyDescent="0.25">
      <c r="A582" s="33">
        <f t="shared" si="116"/>
        <v>42901</v>
      </c>
      <c r="B582" s="59" t="s">
        <v>10</v>
      </c>
      <c r="G582" s="2">
        <f t="shared" si="113"/>
        <v>0</v>
      </c>
      <c r="H582" s="2">
        <f t="shared" si="114"/>
        <v>0</v>
      </c>
      <c r="I582" s="30" t="e">
        <f t="shared" si="115"/>
        <v>#DIV/0!</v>
      </c>
    </row>
    <row r="583" spans="1:9" x14ac:dyDescent="0.25">
      <c r="A583" s="33">
        <f t="shared" si="116"/>
        <v>42908</v>
      </c>
      <c r="B583" s="59" t="s">
        <v>10</v>
      </c>
      <c r="G583" s="2">
        <f t="shared" si="113"/>
        <v>0</v>
      </c>
      <c r="H583" s="2">
        <f t="shared" si="114"/>
        <v>0</v>
      </c>
      <c r="I583" s="30" t="e">
        <f t="shared" si="115"/>
        <v>#DIV/0!</v>
      </c>
    </row>
    <row r="584" spans="1:9" x14ac:dyDescent="0.25">
      <c r="A584" s="33">
        <f t="shared" si="116"/>
        <v>42915</v>
      </c>
      <c r="B584" s="59" t="s">
        <v>10</v>
      </c>
      <c r="G584" s="2">
        <f t="shared" si="113"/>
        <v>0</v>
      </c>
      <c r="H584" s="2">
        <f t="shared" si="114"/>
        <v>0</v>
      </c>
      <c r="I584" s="30" t="e">
        <f t="shared" si="115"/>
        <v>#DIV/0!</v>
      </c>
    </row>
    <row r="585" spans="1:9" x14ac:dyDescent="0.25">
      <c r="A585" s="33">
        <f t="shared" si="116"/>
        <v>42922</v>
      </c>
      <c r="B585" s="59" t="s">
        <v>10</v>
      </c>
      <c r="G585" s="2">
        <f t="shared" si="113"/>
        <v>0</v>
      </c>
      <c r="H585" s="2">
        <f t="shared" si="114"/>
        <v>0</v>
      </c>
      <c r="I585" s="30" t="e">
        <f t="shared" si="115"/>
        <v>#DIV/0!</v>
      </c>
    </row>
    <row r="586" spans="1:9" x14ac:dyDescent="0.25">
      <c r="A586" s="33">
        <f t="shared" si="116"/>
        <v>42929</v>
      </c>
      <c r="B586" s="59" t="s">
        <v>10</v>
      </c>
      <c r="G586" s="2">
        <f t="shared" si="113"/>
        <v>0</v>
      </c>
      <c r="H586" s="2">
        <f t="shared" si="114"/>
        <v>0</v>
      </c>
      <c r="I586" s="30" t="e">
        <f t="shared" si="115"/>
        <v>#DIV/0!</v>
      </c>
    </row>
    <row r="587" spans="1:9" x14ac:dyDescent="0.25">
      <c r="A587" s="33">
        <f t="shared" si="116"/>
        <v>42936</v>
      </c>
      <c r="B587" s="59" t="s">
        <v>10</v>
      </c>
      <c r="G587" s="2">
        <f t="shared" si="113"/>
        <v>0</v>
      </c>
      <c r="H587" s="2">
        <f t="shared" si="114"/>
        <v>0</v>
      </c>
      <c r="I587" s="30" t="e">
        <f t="shared" si="115"/>
        <v>#DIV/0!</v>
      </c>
    </row>
    <row r="588" spans="1:9" x14ac:dyDescent="0.25">
      <c r="A588" s="33">
        <f t="shared" si="116"/>
        <v>42943</v>
      </c>
      <c r="B588" s="59" t="s">
        <v>10</v>
      </c>
      <c r="G588" s="2">
        <f t="shared" si="113"/>
        <v>0</v>
      </c>
      <c r="H588" s="2">
        <f t="shared" si="114"/>
        <v>0</v>
      </c>
      <c r="I588" s="30" t="e">
        <f t="shared" si="115"/>
        <v>#DIV/0!</v>
      </c>
    </row>
    <row r="589" spans="1:9" x14ac:dyDescent="0.25">
      <c r="A589" s="33">
        <f t="shared" si="116"/>
        <v>42950</v>
      </c>
      <c r="B589" s="59" t="s">
        <v>10</v>
      </c>
      <c r="G589" s="2">
        <f t="shared" si="113"/>
        <v>0</v>
      </c>
      <c r="H589" s="2">
        <f t="shared" si="114"/>
        <v>0</v>
      </c>
      <c r="I589" s="30" t="e">
        <f t="shared" si="115"/>
        <v>#DIV/0!</v>
      </c>
    </row>
    <row r="590" spans="1:9" x14ac:dyDescent="0.25">
      <c r="A590" s="33">
        <f t="shared" si="116"/>
        <v>42957</v>
      </c>
      <c r="B590" s="59" t="s">
        <v>10</v>
      </c>
      <c r="G590" s="2">
        <f t="shared" si="113"/>
        <v>0</v>
      </c>
      <c r="H590" s="2">
        <f t="shared" si="114"/>
        <v>0</v>
      </c>
      <c r="I590" s="30" t="e">
        <f t="shared" si="115"/>
        <v>#DIV/0!</v>
      </c>
    </row>
    <row r="591" spans="1:9" x14ac:dyDescent="0.25">
      <c r="A591" s="33">
        <f t="shared" si="116"/>
        <v>42964</v>
      </c>
      <c r="B591" s="59" t="s">
        <v>10</v>
      </c>
      <c r="G591" s="2">
        <f t="shared" si="113"/>
        <v>0</v>
      </c>
      <c r="H591" s="2">
        <f t="shared" si="114"/>
        <v>0</v>
      </c>
      <c r="I591" s="30" t="e">
        <f t="shared" si="115"/>
        <v>#DIV/0!</v>
      </c>
    </row>
    <row r="592" spans="1:9" x14ac:dyDescent="0.25">
      <c r="A592" s="33">
        <f t="shared" si="116"/>
        <v>42971</v>
      </c>
      <c r="B592" s="59" t="s">
        <v>10</v>
      </c>
      <c r="G592" s="2">
        <f t="shared" si="113"/>
        <v>0</v>
      </c>
      <c r="H592" s="2">
        <f t="shared" si="114"/>
        <v>0</v>
      </c>
      <c r="I592" s="30" t="e">
        <f t="shared" si="115"/>
        <v>#DIV/0!</v>
      </c>
    </row>
    <row r="593" spans="1:9" x14ac:dyDescent="0.25">
      <c r="A593" s="33">
        <f t="shared" si="116"/>
        <v>42978</v>
      </c>
      <c r="B593" s="59" t="s">
        <v>10</v>
      </c>
      <c r="G593" s="2">
        <f t="shared" si="113"/>
        <v>0</v>
      </c>
      <c r="H593" s="2">
        <f t="shared" si="114"/>
        <v>0</v>
      </c>
      <c r="I593" s="30" t="e">
        <f t="shared" si="115"/>
        <v>#DIV/0!</v>
      </c>
    </row>
    <row r="594" spans="1:9" x14ac:dyDescent="0.25">
      <c r="A594" s="33">
        <f t="shared" si="116"/>
        <v>42985</v>
      </c>
      <c r="B594" s="59" t="s">
        <v>10</v>
      </c>
      <c r="G594" s="2">
        <f t="shared" si="113"/>
        <v>0</v>
      </c>
      <c r="H594" s="2">
        <f t="shared" si="114"/>
        <v>0</v>
      </c>
      <c r="I594" s="30" t="e">
        <f t="shared" si="115"/>
        <v>#DIV/0!</v>
      </c>
    </row>
    <row r="595" spans="1:9" x14ac:dyDescent="0.25">
      <c r="A595" s="33">
        <f t="shared" si="116"/>
        <v>42992</v>
      </c>
      <c r="B595" s="59" t="s">
        <v>10</v>
      </c>
      <c r="G595" s="2">
        <f t="shared" si="113"/>
        <v>0</v>
      </c>
      <c r="H595" s="2">
        <f t="shared" si="114"/>
        <v>0</v>
      </c>
      <c r="I595" s="30" t="e">
        <f t="shared" si="115"/>
        <v>#DIV/0!</v>
      </c>
    </row>
    <row r="596" spans="1:9" x14ac:dyDescent="0.25">
      <c r="A596" s="33">
        <f t="shared" si="116"/>
        <v>42999</v>
      </c>
      <c r="B596" s="59" t="s">
        <v>10</v>
      </c>
      <c r="G596" s="2">
        <f t="shared" ref="G596:G659" si="117">+C596+E596</f>
        <v>0</v>
      </c>
      <c r="H596" s="2">
        <f t="shared" ref="H596:H659" si="118">+D596+F596</f>
        <v>0</v>
      </c>
      <c r="I596" s="30" t="e">
        <f t="shared" ref="I596:I659" si="119">+(G596/H596-1)*100</f>
        <v>#DIV/0!</v>
      </c>
    </row>
    <row r="597" spans="1:9" x14ac:dyDescent="0.25">
      <c r="A597" s="33">
        <f t="shared" si="116"/>
        <v>43006</v>
      </c>
      <c r="B597" s="59" t="s">
        <v>10</v>
      </c>
      <c r="G597" s="2">
        <f t="shared" si="117"/>
        <v>0</v>
      </c>
      <c r="H597" s="2">
        <f t="shared" si="118"/>
        <v>0</v>
      </c>
      <c r="I597" s="30" t="e">
        <f t="shared" si="119"/>
        <v>#DIV/0!</v>
      </c>
    </row>
    <row r="598" spans="1:9" x14ac:dyDescent="0.25">
      <c r="A598" s="33">
        <f t="shared" si="116"/>
        <v>43013</v>
      </c>
      <c r="B598" s="59" t="s">
        <v>10</v>
      </c>
      <c r="G598" s="2">
        <f t="shared" si="117"/>
        <v>0</v>
      </c>
      <c r="H598" s="2">
        <f t="shared" si="118"/>
        <v>0</v>
      </c>
      <c r="I598" s="30" t="e">
        <f t="shared" si="119"/>
        <v>#DIV/0!</v>
      </c>
    </row>
    <row r="599" spans="1:9" x14ac:dyDescent="0.25">
      <c r="A599" s="33">
        <f t="shared" si="116"/>
        <v>43020</v>
      </c>
      <c r="B599" s="59" t="s">
        <v>10</v>
      </c>
      <c r="G599" s="2">
        <f t="shared" si="117"/>
        <v>0</v>
      </c>
      <c r="H599" s="2">
        <f t="shared" si="118"/>
        <v>0</v>
      </c>
      <c r="I599" s="30" t="e">
        <f t="shared" si="119"/>
        <v>#DIV/0!</v>
      </c>
    </row>
    <row r="600" spans="1:9" x14ac:dyDescent="0.25">
      <c r="A600" s="33">
        <f t="shared" si="116"/>
        <v>43027</v>
      </c>
      <c r="B600" s="59" t="s">
        <v>10</v>
      </c>
      <c r="G600" s="2">
        <f t="shared" si="117"/>
        <v>0</v>
      </c>
      <c r="H600" s="2">
        <f t="shared" si="118"/>
        <v>0</v>
      </c>
      <c r="I600" s="30" t="e">
        <f t="shared" si="119"/>
        <v>#DIV/0!</v>
      </c>
    </row>
    <row r="601" spans="1:9" x14ac:dyDescent="0.25">
      <c r="A601" s="33">
        <f t="shared" si="116"/>
        <v>43034</v>
      </c>
      <c r="B601" s="59" t="s">
        <v>10</v>
      </c>
      <c r="G601" s="2">
        <f t="shared" si="117"/>
        <v>0</v>
      </c>
      <c r="H601" s="2">
        <f t="shared" si="118"/>
        <v>0</v>
      </c>
      <c r="I601" s="30" t="e">
        <f t="shared" si="119"/>
        <v>#DIV/0!</v>
      </c>
    </row>
    <row r="602" spans="1:9" x14ac:dyDescent="0.25">
      <c r="A602" s="33">
        <f t="shared" si="116"/>
        <v>43041</v>
      </c>
      <c r="B602" s="59" t="s">
        <v>10</v>
      </c>
      <c r="G602" s="2">
        <f t="shared" si="117"/>
        <v>0</v>
      </c>
      <c r="H602" s="2">
        <f t="shared" si="118"/>
        <v>0</v>
      </c>
      <c r="I602" s="30" t="e">
        <f t="shared" si="119"/>
        <v>#DIV/0!</v>
      </c>
    </row>
    <row r="603" spans="1:9" x14ac:dyDescent="0.25">
      <c r="A603" s="33">
        <f t="shared" si="116"/>
        <v>43048</v>
      </c>
      <c r="B603" s="59" t="s">
        <v>10</v>
      </c>
      <c r="G603" s="2">
        <f t="shared" si="117"/>
        <v>0</v>
      </c>
      <c r="H603" s="2">
        <f t="shared" si="118"/>
        <v>0</v>
      </c>
      <c r="I603" s="30" t="e">
        <f t="shared" si="119"/>
        <v>#DIV/0!</v>
      </c>
    </row>
    <row r="604" spans="1:9" x14ac:dyDescent="0.25">
      <c r="A604" s="33">
        <f t="shared" si="116"/>
        <v>43055</v>
      </c>
      <c r="B604" s="59" t="s">
        <v>10</v>
      </c>
      <c r="G604" s="2">
        <f t="shared" si="117"/>
        <v>0</v>
      </c>
      <c r="H604" s="2">
        <f t="shared" si="118"/>
        <v>0</v>
      </c>
      <c r="I604" s="30" t="e">
        <f t="shared" si="119"/>
        <v>#DIV/0!</v>
      </c>
    </row>
    <row r="605" spans="1:9" x14ac:dyDescent="0.25">
      <c r="A605" s="33">
        <f t="shared" si="116"/>
        <v>43062</v>
      </c>
      <c r="B605" s="59" t="s">
        <v>10</v>
      </c>
      <c r="G605" s="2">
        <f t="shared" si="117"/>
        <v>0</v>
      </c>
      <c r="H605" s="2">
        <f t="shared" si="118"/>
        <v>0</v>
      </c>
      <c r="I605" s="30" t="e">
        <f t="shared" si="119"/>
        <v>#DIV/0!</v>
      </c>
    </row>
    <row r="606" spans="1:9" x14ac:dyDescent="0.25">
      <c r="A606" s="33">
        <f t="shared" si="116"/>
        <v>43069</v>
      </c>
      <c r="B606" s="59" t="s">
        <v>10</v>
      </c>
      <c r="G606" s="2">
        <f t="shared" si="117"/>
        <v>0</v>
      </c>
      <c r="H606" s="2">
        <f t="shared" si="118"/>
        <v>0</v>
      </c>
      <c r="I606" s="30" t="e">
        <f t="shared" si="119"/>
        <v>#DIV/0!</v>
      </c>
    </row>
    <row r="607" spans="1:9" x14ac:dyDescent="0.25">
      <c r="A607" s="33">
        <f t="shared" si="116"/>
        <v>43076</v>
      </c>
      <c r="B607" s="59" t="s">
        <v>10</v>
      </c>
      <c r="G607" s="2">
        <f t="shared" si="117"/>
        <v>0</v>
      </c>
      <c r="H607" s="2">
        <f t="shared" si="118"/>
        <v>0</v>
      </c>
      <c r="I607" s="30" t="e">
        <f t="shared" si="119"/>
        <v>#DIV/0!</v>
      </c>
    </row>
    <row r="608" spans="1:9" x14ac:dyDescent="0.25">
      <c r="A608" s="33">
        <f t="shared" si="116"/>
        <v>43083</v>
      </c>
      <c r="B608" s="59" t="s">
        <v>10</v>
      </c>
      <c r="G608" s="2">
        <f t="shared" si="117"/>
        <v>0</v>
      </c>
      <c r="H608" s="2">
        <f t="shared" si="118"/>
        <v>0</v>
      </c>
      <c r="I608" s="30" t="e">
        <f t="shared" si="119"/>
        <v>#DIV/0!</v>
      </c>
    </row>
    <row r="609" spans="1:9" x14ac:dyDescent="0.25">
      <c r="A609" s="33">
        <f t="shared" si="116"/>
        <v>43090</v>
      </c>
      <c r="B609" s="59" t="s">
        <v>10</v>
      </c>
      <c r="G609" s="2">
        <f t="shared" si="117"/>
        <v>0</v>
      </c>
      <c r="H609" s="2">
        <f t="shared" si="118"/>
        <v>0</v>
      </c>
      <c r="I609" s="30" t="e">
        <f t="shared" si="119"/>
        <v>#DIV/0!</v>
      </c>
    </row>
    <row r="610" spans="1:9" x14ac:dyDescent="0.25">
      <c r="A610" s="33">
        <f t="shared" si="116"/>
        <v>43097</v>
      </c>
      <c r="B610" s="59" t="s">
        <v>10</v>
      </c>
      <c r="G610" s="2">
        <f t="shared" si="117"/>
        <v>0</v>
      </c>
      <c r="H610" s="2">
        <f t="shared" si="118"/>
        <v>0</v>
      </c>
      <c r="I610" s="30" t="e">
        <f t="shared" si="119"/>
        <v>#DIV/0!</v>
      </c>
    </row>
    <row r="611" spans="1:9" x14ac:dyDescent="0.25">
      <c r="A611" s="33">
        <f t="shared" si="116"/>
        <v>43104</v>
      </c>
      <c r="B611" s="59" t="s">
        <v>10</v>
      </c>
      <c r="G611" s="2">
        <f t="shared" si="117"/>
        <v>0</v>
      </c>
      <c r="H611" s="2">
        <f t="shared" si="118"/>
        <v>0</v>
      </c>
      <c r="I611" s="30" t="e">
        <f t="shared" si="119"/>
        <v>#DIV/0!</v>
      </c>
    </row>
    <row r="612" spans="1:9" x14ac:dyDescent="0.25">
      <c r="A612" s="33">
        <f t="shared" si="116"/>
        <v>43111</v>
      </c>
      <c r="B612" s="59" t="s">
        <v>10</v>
      </c>
      <c r="G612" s="2">
        <f t="shared" si="117"/>
        <v>0</v>
      </c>
      <c r="H612" s="2">
        <f t="shared" si="118"/>
        <v>0</v>
      </c>
      <c r="I612" s="30" t="e">
        <f t="shared" si="119"/>
        <v>#DIV/0!</v>
      </c>
    </row>
    <row r="613" spans="1:9" x14ac:dyDescent="0.25">
      <c r="A613" s="33">
        <f t="shared" si="116"/>
        <v>43118</v>
      </c>
      <c r="B613" s="59" t="s">
        <v>10</v>
      </c>
      <c r="G613" s="2">
        <f t="shared" si="117"/>
        <v>0</v>
      </c>
      <c r="H613" s="2">
        <f t="shared" si="118"/>
        <v>0</v>
      </c>
      <c r="I613" s="30" t="e">
        <f t="shared" si="119"/>
        <v>#DIV/0!</v>
      </c>
    </row>
    <row r="614" spans="1:9" x14ac:dyDescent="0.25">
      <c r="A614" s="33">
        <f t="shared" si="116"/>
        <v>43125</v>
      </c>
      <c r="B614" s="59" t="s">
        <v>10</v>
      </c>
      <c r="G614" s="2">
        <f t="shared" si="117"/>
        <v>0</v>
      </c>
      <c r="H614" s="2">
        <f t="shared" si="118"/>
        <v>0</v>
      </c>
      <c r="I614" s="30" t="e">
        <f t="shared" si="119"/>
        <v>#DIV/0!</v>
      </c>
    </row>
    <row r="615" spans="1:9" x14ac:dyDescent="0.25">
      <c r="A615" s="33">
        <f t="shared" si="116"/>
        <v>43132</v>
      </c>
      <c r="B615" s="59" t="s">
        <v>10</v>
      </c>
      <c r="G615" s="2">
        <f t="shared" si="117"/>
        <v>0</v>
      </c>
      <c r="H615" s="2">
        <f t="shared" si="118"/>
        <v>0</v>
      </c>
      <c r="I615" s="30" t="e">
        <f t="shared" si="119"/>
        <v>#DIV/0!</v>
      </c>
    </row>
    <row r="616" spans="1:9" x14ac:dyDescent="0.25">
      <c r="A616" s="33">
        <f t="shared" si="116"/>
        <v>43139</v>
      </c>
      <c r="B616" s="59" t="s">
        <v>10</v>
      </c>
      <c r="G616" s="2">
        <f t="shared" si="117"/>
        <v>0</v>
      </c>
      <c r="H616" s="2">
        <f t="shared" si="118"/>
        <v>0</v>
      </c>
      <c r="I616" s="30" t="e">
        <f t="shared" si="119"/>
        <v>#DIV/0!</v>
      </c>
    </row>
    <row r="617" spans="1:9" x14ac:dyDescent="0.25">
      <c r="A617" s="33">
        <f t="shared" si="116"/>
        <v>43146</v>
      </c>
      <c r="B617" s="59" t="s">
        <v>10</v>
      </c>
      <c r="G617" s="2">
        <f t="shared" si="117"/>
        <v>0</v>
      </c>
      <c r="H617" s="2">
        <f t="shared" si="118"/>
        <v>0</v>
      </c>
      <c r="I617" s="30" t="e">
        <f t="shared" si="119"/>
        <v>#DIV/0!</v>
      </c>
    </row>
    <row r="618" spans="1:9" x14ac:dyDescent="0.25">
      <c r="A618" s="33">
        <f t="shared" si="116"/>
        <v>43153</v>
      </c>
      <c r="B618" s="59" t="s">
        <v>10</v>
      </c>
      <c r="G618" s="2">
        <f t="shared" si="117"/>
        <v>0</v>
      </c>
      <c r="H618" s="2">
        <f t="shared" si="118"/>
        <v>0</v>
      </c>
      <c r="I618" s="30" t="e">
        <f t="shared" si="119"/>
        <v>#DIV/0!</v>
      </c>
    </row>
    <row r="619" spans="1:9" x14ac:dyDescent="0.25">
      <c r="A619" s="33">
        <f t="shared" si="116"/>
        <v>43160</v>
      </c>
      <c r="B619" s="59" t="s">
        <v>10</v>
      </c>
      <c r="G619" s="2">
        <f t="shared" si="117"/>
        <v>0</v>
      </c>
      <c r="H619" s="2">
        <f t="shared" si="118"/>
        <v>0</v>
      </c>
      <c r="I619" s="30" t="e">
        <f t="shared" si="119"/>
        <v>#DIV/0!</v>
      </c>
    </row>
    <row r="620" spans="1:9" x14ac:dyDescent="0.25">
      <c r="A620" s="33">
        <f t="shared" si="116"/>
        <v>43167</v>
      </c>
      <c r="B620" s="59" t="s">
        <v>10</v>
      </c>
      <c r="G620" s="2">
        <f t="shared" si="117"/>
        <v>0</v>
      </c>
      <c r="H620" s="2">
        <f t="shared" si="118"/>
        <v>0</v>
      </c>
      <c r="I620" s="30" t="e">
        <f t="shared" si="119"/>
        <v>#DIV/0!</v>
      </c>
    </row>
    <row r="621" spans="1:9" x14ac:dyDescent="0.25">
      <c r="A621" s="33">
        <f t="shared" si="116"/>
        <v>43174</v>
      </c>
      <c r="B621" s="59" t="s">
        <v>10</v>
      </c>
      <c r="G621" s="2">
        <f t="shared" si="117"/>
        <v>0</v>
      </c>
      <c r="H621" s="2">
        <f t="shared" si="118"/>
        <v>0</v>
      </c>
      <c r="I621" s="30" t="e">
        <f t="shared" si="119"/>
        <v>#DIV/0!</v>
      </c>
    </row>
    <row r="622" spans="1:9" x14ac:dyDescent="0.25">
      <c r="A622" s="33">
        <f t="shared" si="116"/>
        <v>43181</v>
      </c>
      <c r="B622" s="59" t="s">
        <v>10</v>
      </c>
      <c r="G622" s="2">
        <f t="shared" si="117"/>
        <v>0</v>
      </c>
      <c r="H622" s="2">
        <f t="shared" si="118"/>
        <v>0</v>
      </c>
      <c r="I622" s="30" t="e">
        <f t="shared" si="119"/>
        <v>#DIV/0!</v>
      </c>
    </row>
    <row r="623" spans="1:9" x14ac:dyDescent="0.25">
      <c r="A623" s="33">
        <f t="shared" si="116"/>
        <v>43188</v>
      </c>
      <c r="B623" s="59" t="s">
        <v>10</v>
      </c>
      <c r="G623" s="2">
        <f t="shared" si="117"/>
        <v>0</v>
      </c>
      <c r="H623" s="2">
        <f t="shared" si="118"/>
        <v>0</v>
      </c>
      <c r="I623" s="30" t="e">
        <f t="shared" si="119"/>
        <v>#DIV/0!</v>
      </c>
    </row>
    <row r="624" spans="1:9" x14ac:dyDescent="0.25">
      <c r="A624" s="33">
        <f t="shared" si="116"/>
        <v>43195</v>
      </c>
      <c r="B624" s="59" t="s">
        <v>10</v>
      </c>
      <c r="G624" s="2">
        <f t="shared" si="117"/>
        <v>0</v>
      </c>
      <c r="H624" s="2">
        <f t="shared" si="118"/>
        <v>0</v>
      </c>
      <c r="I624" s="30" t="e">
        <f t="shared" si="119"/>
        <v>#DIV/0!</v>
      </c>
    </row>
    <row r="625" spans="1:9" x14ac:dyDescent="0.25">
      <c r="A625" s="33">
        <f t="shared" si="116"/>
        <v>43202</v>
      </c>
      <c r="B625" s="59" t="s">
        <v>10</v>
      </c>
      <c r="G625" s="2">
        <f t="shared" si="117"/>
        <v>0</v>
      </c>
      <c r="H625" s="2">
        <f t="shared" si="118"/>
        <v>0</v>
      </c>
      <c r="I625" s="30" t="e">
        <f t="shared" si="119"/>
        <v>#DIV/0!</v>
      </c>
    </row>
    <row r="626" spans="1:9" x14ac:dyDescent="0.25">
      <c r="A626" s="33">
        <f t="shared" si="116"/>
        <v>43209</v>
      </c>
      <c r="B626" s="59" t="s">
        <v>10</v>
      </c>
      <c r="G626" s="2">
        <f t="shared" si="117"/>
        <v>0</v>
      </c>
      <c r="H626" s="2">
        <f t="shared" si="118"/>
        <v>0</v>
      </c>
      <c r="I626" s="30" t="e">
        <f t="shared" si="119"/>
        <v>#DIV/0!</v>
      </c>
    </row>
    <row r="627" spans="1:9" x14ac:dyDescent="0.25">
      <c r="A627" s="33">
        <f t="shared" si="116"/>
        <v>43216</v>
      </c>
      <c r="B627" s="59" t="s">
        <v>10</v>
      </c>
      <c r="G627" s="2">
        <f t="shared" si="117"/>
        <v>0</v>
      </c>
      <c r="H627" s="2">
        <f t="shared" si="118"/>
        <v>0</v>
      </c>
      <c r="I627" s="30" t="e">
        <f t="shared" si="119"/>
        <v>#DIV/0!</v>
      </c>
    </row>
    <row r="628" spans="1:9" x14ac:dyDescent="0.25">
      <c r="A628" s="33">
        <f t="shared" si="116"/>
        <v>43223</v>
      </c>
      <c r="B628" s="59" t="s">
        <v>10</v>
      </c>
      <c r="G628" s="2">
        <f t="shared" si="117"/>
        <v>0</v>
      </c>
      <c r="H628" s="2">
        <f t="shared" si="118"/>
        <v>0</v>
      </c>
      <c r="I628" s="30" t="e">
        <f t="shared" si="119"/>
        <v>#DIV/0!</v>
      </c>
    </row>
    <row r="629" spans="1:9" x14ac:dyDescent="0.25">
      <c r="A629" s="33">
        <f t="shared" si="116"/>
        <v>43230</v>
      </c>
      <c r="B629" s="59" t="s">
        <v>10</v>
      </c>
      <c r="G629" s="2">
        <f t="shared" si="117"/>
        <v>0</v>
      </c>
      <c r="H629" s="2">
        <f t="shared" si="118"/>
        <v>0</v>
      </c>
      <c r="I629" s="30" t="e">
        <f t="shared" si="119"/>
        <v>#DIV/0!</v>
      </c>
    </row>
    <row r="630" spans="1:9" x14ac:dyDescent="0.25">
      <c r="A630" s="33">
        <f t="shared" si="116"/>
        <v>43237</v>
      </c>
      <c r="B630" s="59" t="s">
        <v>10</v>
      </c>
      <c r="G630" s="2">
        <f t="shared" si="117"/>
        <v>0</v>
      </c>
      <c r="H630" s="2">
        <f t="shared" si="118"/>
        <v>0</v>
      </c>
      <c r="I630" s="30" t="e">
        <f t="shared" si="119"/>
        <v>#DIV/0!</v>
      </c>
    </row>
    <row r="631" spans="1:9" x14ac:dyDescent="0.25">
      <c r="A631" s="33">
        <f t="shared" si="116"/>
        <v>43244</v>
      </c>
      <c r="B631" s="59" t="s">
        <v>10</v>
      </c>
      <c r="G631" s="2">
        <f t="shared" si="117"/>
        <v>0</v>
      </c>
      <c r="H631" s="2">
        <f t="shared" si="118"/>
        <v>0</v>
      </c>
      <c r="I631" s="30" t="e">
        <f t="shared" si="119"/>
        <v>#DIV/0!</v>
      </c>
    </row>
    <row r="632" spans="1:9" x14ac:dyDescent="0.25">
      <c r="A632" s="33">
        <f t="shared" si="116"/>
        <v>43251</v>
      </c>
      <c r="B632" s="59" t="s">
        <v>10</v>
      </c>
      <c r="G632" s="2">
        <f t="shared" si="117"/>
        <v>0</v>
      </c>
      <c r="H632" s="2">
        <f t="shared" si="118"/>
        <v>0</v>
      </c>
      <c r="I632" s="30" t="e">
        <f t="shared" si="119"/>
        <v>#DIV/0!</v>
      </c>
    </row>
    <row r="633" spans="1:9" x14ac:dyDescent="0.25">
      <c r="A633" s="33">
        <f t="shared" si="116"/>
        <v>43258</v>
      </c>
      <c r="B633" s="59" t="s">
        <v>10</v>
      </c>
      <c r="G633" s="2">
        <f t="shared" si="117"/>
        <v>0</v>
      </c>
      <c r="H633" s="2">
        <f t="shared" si="118"/>
        <v>0</v>
      </c>
      <c r="I633" s="30" t="e">
        <f t="shared" si="119"/>
        <v>#DIV/0!</v>
      </c>
    </row>
    <row r="634" spans="1:9" x14ac:dyDescent="0.25">
      <c r="A634" s="33">
        <f t="shared" si="116"/>
        <v>43265</v>
      </c>
      <c r="B634" s="59" t="s">
        <v>10</v>
      </c>
      <c r="G634" s="2">
        <f t="shared" si="117"/>
        <v>0</v>
      </c>
      <c r="H634" s="2">
        <f t="shared" si="118"/>
        <v>0</v>
      </c>
      <c r="I634" s="30" t="e">
        <f t="shared" si="119"/>
        <v>#DIV/0!</v>
      </c>
    </row>
    <row r="635" spans="1:9" x14ac:dyDescent="0.25">
      <c r="A635" s="33">
        <f t="shared" si="116"/>
        <v>43272</v>
      </c>
      <c r="B635" s="59" t="s">
        <v>10</v>
      </c>
      <c r="G635" s="2">
        <f t="shared" si="117"/>
        <v>0</v>
      </c>
      <c r="H635" s="2">
        <f t="shared" si="118"/>
        <v>0</v>
      </c>
      <c r="I635" s="30" t="e">
        <f t="shared" si="119"/>
        <v>#DIV/0!</v>
      </c>
    </row>
    <row r="636" spans="1:9" x14ac:dyDescent="0.25">
      <c r="A636" s="33">
        <f t="shared" si="116"/>
        <v>43279</v>
      </c>
      <c r="B636" s="59" t="s">
        <v>10</v>
      </c>
      <c r="G636" s="2">
        <f t="shared" si="117"/>
        <v>0</v>
      </c>
      <c r="H636" s="2">
        <f t="shared" si="118"/>
        <v>0</v>
      </c>
      <c r="I636" s="30" t="e">
        <f t="shared" si="119"/>
        <v>#DIV/0!</v>
      </c>
    </row>
    <row r="637" spans="1:9" x14ac:dyDescent="0.25">
      <c r="A637" s="33">
        <f t="shared" si="116"/>
        <v>43286</v>
      </c>
      <c r="B637" s="59" t="s">
        <v>10</v>
      </c>
      <c r="G637" s="2">
        <f t="shared" si="117"/>
        <v>0</v>
      </c>
      <c r="H637" s="2">
        <f t="shared" si="118"/>
        <v>0</v>
      </c>
      <c r="I637" s="30" t="e">
        <f t="shared" si="119"/>
        <v>#DIV/0!</v>
      </c>
    </row>
    <row r="638" spans="1:9" x14ac:dyDescent="0.25">
      <c r="A638" s="33">
        <f t="shared" ref="A638:A698" si="120">+A637+7</f>
        <v>43293</v>
      </c>
      <c r="B638" s="59" t="s">
        <v>10</v>
      </c>
      <c r="G638" s="2">
        <f t="shared" si="117"/>
        <v>0</v>
      </c>
      <c r="H638" s="2">
        <f t="shared" si="118"/>
        <v>0</v>
      </c>
      <c r="I638" s="30" t="e">
        <f t="shared" si="119"/>
        <v>#DIV/0!</v>
      </c>
    </row>
    <row r="639" spans="1:9" x14ac:dyDescent="0.25">
      <c r="A639" s="33">
        <f t="shared" si="120"/>
        <v>43300</v>
      </c>
      <c r="B639" s="59" t="s">
        <v>10</v>
      </c>
      <c r="G639" s="2">
        <f t="shared" si="117"/>
        <v>0</v>
      </c>
      <c r="H639" s="2">
        <f t="shared" si="118"/>
        <v>0</v>
      </c>
      <c r="I639" s="30" t="e">
        <f t="shared" si="119"/>
        <v>#DIV/0!</v>
      </c>
    </row>
    <row r="640" spans="1:9" x14ac:dyDescent="0.25">
      <c r="A640" s="33">
        <f t="shared" si="120"/>
        <v>43307</v>
      </c>
      <c r="B640" s="59" t="s">
        <v>10</v>
      </c>
      <c r="G640" s="2">
        <f t="shared" si="117"/>
        <v>0</v>
      </c>
      <c r="H640" s="2">
        <f t="shared" si="118"/>
        <v>0</v>
      </c>
      <c r="I640" s="30" t="e">
        <f t="shared" si="119"/>
        <v>#DIV/0!</v>
      </c>
    </row>
    <row r="641" spans="1:9" x14ac:dyDescent="0.25">
      <c r="A641" s="33">
        <f t="shared" si="120"/>
        <v>43314</v>
      </c>
      <c r="B641" s="59" t="s">
        <v>10</v>
      </c>
      <c r="G641" s="2">
        <f t="shared" si="117"/>
        <v>0</v>
      </c>
      <c r="H641" s="2">
        <f t="shared" si="118"/>
        <v>0</v>
      </c>
      <c r="I641" s="30" t="e">
        <f t="shared" si="119"/>
        <v>#DIV/0!</v>
      </c>
    </row>
    <row r="642" spans="1:9" x14ac:dyDescent="0.25">
      <c r="A642" s="33">
        <f t="shared" si="120"/>
        <v>43321</v>
      </c>
      <c r="B642" s="59" t="s">
        <v>10</v>
      </c>
      <c r="G642" s="2">
        <f t="shared" si="117"/>
        <v>0</v>
      </c>
      <c r="H642" s="2">
        <f t="shared" si="118"/>
        <v>0</v>
      </c>
      <c r="I642" s="30" t="e">
        <f t="shared" si="119"/>
        <v>#DIV/0!</v>
      </c>
    </row>
    <row r="643" spans="1:9" x14ac:dyDescent="0.25">
      <c r="A643" s="33">
        <f t="shared" si="120"/>
        <v>43328</v>
      </c>
      <c r="B643" s="59" t="s">
        <v>10</v>
      </c>
      <c r="G643" s="2">
        <f t="shared" si="117"/>
        <v>0</v>
      </c>
      <c r="H643" s="2">
        <f t="shared" si="118"/>
        <v>0</v>
      </c>
      <c r="I643" s="30" t="e">
        <f t="shared" si="119"/>
        <v>#DIV/0!</v>
      </c>
    </row>
    <row r="644" spans="1:9" x14ac:dyDescent="0.25">
      <c r="A644" s="33">
        <f t="shared" si="120"/>
        <v>43335</v>
      </c>
      <c r="B644" s="59" t="s">
        <v>10</v>
      </c>
      <c r="G644" s="2">
        <f t="shared" si="117"/>
        <v>0</v>
      </c>
      <c r="H644" s="2">
        <f t="shared" si="118"/>
        <v>0</v>
      </c>
      <c r="I644" s="30" t="e">
        <f t="shared" si="119"/>
        <v>#DIV/0!</v>
      </c>
    </row>
    <row r="645" spans="1:9" x14ac:dyDescent="0.25">
      <c r="A645" s="33">
        <f t="shared" si="120"/>
        <v>43342</v>
      </c>
      <c r="B645" s="59" t="s">
        <v>10</v>
      </c>
      <c r="G645" s="2">
        <f t="shared" si="117"/>
        <v>0</v>
      </c>
      <c r="H645" s="2">
        <f t="shared" si="118"/>
        <v>0</v>
      </c>
      <c r="I645" s="30" t="e">
        <f t="shared" si="119"/>
        <v>#DIV/0!</v>
      </c>
    </row>
    <row r="646" spans="1:9" x14ac:dyDescent="0.25">
      <c r="A646" s="33">
        <f t="shared" si="120"/>
        <v>43349</v>
      </c>
      <c r="B646" s="59" t="s">
        <v>10</v>
      </c>
      <c r="G646" s="2">
        <f t="shared" si="117"/>
        <v>0</v>
      </c>
      <c r="H646" s="2">
        <f t="shared" si="118"/>
        <v>0</v>
      </c>
      <c r="I646" s="30" t="e">
        <f t="shared" si="119"/>
        <v>#DIV/0!</v>
      </c>
    </row>
    <row r="647" spans="1:9" x14ac:dyDescent="0.25">
      <c r="A647" s="33">
        <f t="shared" si="120"/>
        <v>43356</v>
      </c>
      <c r="B647" s="59" t="s">
        <v>10</v>
      </c>
      <c r="G647" s="2">
        <f t="shared" si="117"/>
        <v>0</v>
      </c>
      <c r="H647" s="2">
        <f t="shared" si="118"/>
        <v>0</v>
      </c>
      <c r="I647" s="30" t="e">
        <f t="shared" si="119"/>
        <v>#DIV/0!</v>
      </c>
    </row>
    <row r="648" spans="1:9" x14ac:dyDescent="0.25">
      <c r="A648" s="33">
        <f t="shared" si="120"/>
        <v>43363</v>
      </c>
      <c r="B648" s="59" t="s">
        <v>10</v>
      </c>
      <c r="G648" s="2">
        <f t="shared" si="117"/>
        <v>0</v>
      </c>
      <c r="H648" s="2">
        <f t="shared" si="118"/>
        <v>0</v>
      </c>
      <c r="I648" s="30" t="e">
        <f t="shared" si="119"/>
        <v>#DIV/0!</v>
      </c>
    </row>
    <row r="649" spans="1:9" x14ac:dyDescent="0.25">
      <c r="A649" s="33">
        <f t="shared" si="120"/>
        <v>43370</v>
      </c>
      <c r="B649" s="59" t="s">
        <v>10</v>
      </c>
      <c r="G649" s="2">
        <f t="shared" si="117"/>
        <v>0</v>
      </c>
      <c r="H649" s="2">
        <f t="shared" si="118"/>
        <v>0</v>
      </c>
      <c r="I649" s="30" t="e">
        <f t="shared" si="119"/>
        <v>#DIV/0!</v>
      </c>
    </row>
    <row r="650" spans="1:9" x14ac:dyDescent="0.25">
      <c r="A650" s="33">
        <f t="shared" si="120"/>
        <v>43377</v>
      </c>
      <c r="B650" s="59" t="s">
        <v>10</v>
      </c>
      <c r="G650" s="2">
        <f t="shared" si="117"/>
        <v>0</v>
      </c>
      <c r="H650" s="2">
        <f t="shared" si="118"/>
        <v>0</v>
      </c>
      <c r="I650" s="30" t="e">
        <f t="shared" si="119"/>
        <v>#DIV/0!</v>
      </c>
    </row>
    <row r="651" spans="1:9" x14ac:dyDescent="0.25">
      <c r="A651" s="33">
        <f t="shared" si="120"/>
        <v>43384</v>
      </c>
      <c r="B651" s="59" t="s">
        <v>10</v>
      </c>
      <c r="G651" s="2">
        <f t="shared" si="117"/>
        <v>0</v>
      </c>
      <c r="H651" s="2">
        <f t="shared" si="118"/>
        <v>0</v>
      </c>
      <c r="I651" s="30" t="e">
        <f t="shared" si="119"/>
        <v>#DIV/0!</v>
      </c>
    </row>
    <row r="652" spans="1:9" x14ac:dyDescent="0.25">
      <c r="A652" s="33">
        <f t="shared" si="120"/>
        <v>43391</v>
      </c>
      <c r="B652" s="59" t="s">
        <v>10</v>
      </c>
      <c r="G652" s="2">
        <f t="shared" si="117"/>
        <v>0</v>
      </c>
      <c r="H652" s="2">
        <f t="shared" si="118"/>
        <v>0</v>
      </c>
      <c r="I652" s="30" t="e">
        <f t="shared" si="119"/>
        <v>#DIV/0!</v>
      </c>
    </row>
    <row r="653" spans="1:9" x14ac:dyDescent="0.25">
      <c r="A653" s="33">
        <f t="shared" si="120"/>
        <v>43398</v>
      </c>
      <c r="B653" s="59" t="s">
        <v>10</v>
      </c>
      <c r="G653" s="2">
        <f t="shared" si="117"/>
        <v>0</v>
      </c>
      <c r="H653" s="2">
        <f t="shared" si="118"/>
        <v>0</v>
      </c>
      <c r="I653" s="30" t="e">
        <f t="shared" si="119"/>
        <v>#DIV/0!</v>
      </c>
    </row>
    <row r="654" spans="1:9" x14ac:dyDescent="0.25">
      <c r="A654" s="33">
        <f t="shared" si="120"/>
        <v>43405</v>
      </c>
      <c r="B654" s="59" t="s">
        <v>10</v>
      </c>
      <c r="G654" s="2">
        <f t="shared" si="117"/>
        <v>0</v>
      </c>
      <c r="H654" s="2">
        <f t="shared" si="118"/>
        <v>0</v>
      </c>
      <c r="I654" s="30" t="e">
        <f t="shared" si="119"/>
        <v>#DIV/0!</v>
      </c>
    </row>
    <row r="655" spans="1:9" x14ac:dyDescent="0.25">
      <c r="A655" s="33">
        <f t="shared" si="120"/>
        <v>43412</v>
      </c>
      <c r="B655" s="59" t="s">
        <v>10</v>
      </c>
      <c r="G655" s="2">
        <f t="shared" si="117"/>
        <v>0</v>
      </c>
      <c r="H655" s="2">
        <f t="shared" si="118"/>
        <v>0</v>
      </c>
      <c r="I655" s="30" t="e">
        <f t="shared" si="119"/>
        <v>#DIV/0!</v>
      </c>
    </row>
    <row r="656" spans="1:9" x14ac:dyDescent="0.25">
      <c r="A656" s="33">
        <f t="shared" si="120"/>
        <v>43419</v>
      </c>
      <c r="B656" s="59" t="s">
        <v>10</v>
      </c>
      <c r="G656" s="2">
        <f t="shared" si="117"/>
        <v>0</v>
      </c>
      <c r="H656" s="2">
        <f t="shared" si="118"/>
        <v>0</v>
      </c>
      <c r="I656" s="30" t="e">
        <f t="shared" si="119"/>
        <v>#DIV/0!</v>
      </c>
    </row>
    <row r="657" spans="1:9" x14ac:dyDescent="0.25">
      <c r="A657" s="33">
        <f t="shared" si="120"/>
        <v>43426</v>
      </c>
      <c r="B657" s="59" t="s">
        <v>10</v>
      </c>
      <c r="G657" s="2">
        <f t="shared" si="117"/>
        <v>0</v>
      </c>
      <c r="H657" s="2">
        <f t="shared" si="118"/>
        <v>0</v>
      </c>
      <c r="I657" s="30" t="e">
        <f t="shared" si="119"/>
        <v>#DIV/0!</v>
      </c>
    </row>
    <row r="658" spans="1:9" x14ac:dyDescent="0.25">
      <c r="A658" s="33">
        <f t="shared" si="120"/>
        <v>43433</v>
      </c>
      <c r="B658" s="59" t="s">
        <v>10</v>
      </c>
      <c r="G658" s="2">
        <f t="shared" si="117"/>
        <v>0</v>
      </c>
      <c r="H658" s="2">
        <f t="shared" si="118"/>
        <v>0</v>
      </c>
      <c r="I658" s="30" t="e">
        <f t="shared" si="119"/>
        <v>#DIV/0!</v>
      </c>
    </row>
    <row r="659" spans="1:9" x14ac:dyDescent="0.25">
      <c r="A659" s="33">
        <f t="shared" si="120"/>
        <v>43440</v>
      </c>
      <c r="B659" s="59" t="s">
        <v>10</v>
      </c>
      <c r="G659" s="2">
        <f t="shared" si="117"/>
        <v>0</v>
      </c>
      <c r="H659" s="2">
        <f t="shared" si="118"/>
        <v>0</v>
      </c>
      <c r="I659" s="30" t="e">
        <f t="shared" si="119"/>
        <v>#DIV/0!</v>
      </c>
    </row>
    <row r="660" spans="1:9" x14ac:dyDescent="0.25">
      <c r="A660" s="33">
        <f t="shared" si="120"/>
        <v>43447</v>
      </c>
      <c r="B660" s="59" t="s">
        <v>10</v>
      </c>
      <c r="G660" s="2">
        <f t="shared" ref="G660:G698" si="121">+C660+E660</f>
        <v>0</v>
      </c>
      <c r="H660" s="2">
        <f t="shared" ref="H660:H698" si="122">+D660+F660</f>
        <v>0</v>
      </c>
      <c r="I660" s="30" t="e">
        <f t="shared" ref="I660:I698" si="123">+(G660/H660-1)*100</f>
        <v>#DIV/0!</v>
      </c>
    </row>
    <row r="661" spans="1:9" x14ac:dyDescent="0.25">
      <c r="A661" s="33">
        <f t="shared" si="120"/>
        <v>43454</v>
      </c>
      <c r="B661" s="59" t="s">
        <v>10</v>
      </c>
      <c r="G661" s="2">
        <f t="shared" si="121"/>
        <v>0</v>
      </c>
      <c r="H661" s="2">
        <f t="shared" si="122"/>
        <v>0</v>
      </c>
      <c r="I661" s="30" t="e">
        <f t="shared" si="123"/>
        <v>#DIV/0!</v>
      </c>
    </row>
    <row r="662" spans="1:9" x14ac:dyDescent="0.25">
      <c r="A662" s="33">
        <f t="shared" si="120"/>
        <v>43461</v>
      </c>
      <c r="B662" s="59" t="s">
        <v>10</v>
      </c>
      <c r="G662" s="2">
        <f t="shared" si="121"/>
        <v>0</v>
      </c>
      <c r="H662" s="2">
        <f t="shared" si="122"/>
        <v>0</v>
      </c>
      <c r="I662" s="30" t="e">
        <f t="shared" si="123"/>
        <v>#DIV/0!</v>
      </c>
    </row>
    <row r="663" spans="1:9" x14ac:dyDescent="0.25">
      <c r="A663" s="33">
        <f t="shared" si="120"/>
        <v>43468</v>
      </c>
      <c r="B663" s="59" t="s">
        <v>10</v>
      </c>
      <c r="G663" s="2">
        <f t="shared" si="121"/>
        <v>0</v>
      </c>
      <c r="H663" s="2">
        <f t="shared" si="122"/>
        <v>0</v>
      </c>
      <c r="I663" s="30" t="e">
        <f t="shared" si="123"/>
        <v>#DIV/0!</v>
      </c>
    </row>
    <row r="664" spans="1:9" x14ac:dyDescent="0.25">
      <c r="A664" s="33">
        <f t="shared" si="120"/>
        <v>43475</v>
      </c>
      <c r="B664" s="59" t="s">
        <v>10</v>
      </c>
      <c r="G664" s="2">
        <f t="shared" si="121"/>
        <v>0</v>
      </c>
      <c r="H664" s="2">
        <f t="shared" si="122"/>
        <v>0</v>
      </c>
      <c r="I664" s="30" t="e">
        <f t="shared" si="123"/>
        <v>#DIV/0!</v>
      </c>
    </row>
    <row r="665" spans="1:9" x14ac:dyDescent="0.25">
      <c r="A665" s="33">
        <f t="shared" si="120"/>
        <v>43482</v>
      </c>
      <c r="B665" s="59" t="s">
        <v>10</v>
      </c>
      <c r="G665" s="2">
        <f t="shared" si="121"/>
        <v>0</v>
      </c>
      <c r="H665" s="2">
        <f t="shared" si="122"/>
        <v>0</v>
      </c>
      <c r="I665" s="30" t="e">
        <f t="shared" si="123"/>
        <v>#DIV/0!</v>
      </c>
    </row>
    <row r="666" spans="1:9" x14ac:dyDescent="0.25">
      <c r="A666" s="33">
        <f t="shared" si="120"/>
        <v>43489</v>
      </c>
      <c r="B666" s="59" t="s">
        <v>10</v>
      </c>
      <c r="G666" s="2">
        <f t="shared" si="121"/>
        <v>0</v>
      </c>
      <c r="H666" s="2">
        <f t="shared" si="122"/>
        <v>0</v>
      </c>
      <c r="I666" s="30" t="e">
        <f t="shared" si="123"/>
        <v>#DIV/0!</v>
      </c>
    </row>
    <row r="667" spans="1:9" x14ac:dyDescent="0.25">
      <c r="A667" s="33">
        <f t="shared" si="120"/>
        <v>43496</v>
      </c>
      <c r="B667" s="59" t="s">
        <v>10</v>
      </c>
      <c r="G667" s="2">
        <f t="shared" si="121"/>
        <v>0</v>
      </c>
      <c r="H667" s="2">
        <f t="shared" si="122"/>
        <v>0</v>
      </c>
      <c r="I667" s="30" t="e">
        <f t="shared" si="123"/>
        <v>#DIV/0!</v>
      </c>
    </row>
    <row r="668" spans="1:9" x14ac:dyDescent="0.25">
      <c r="A668" s="33">
        <f t="shared" si="120"/>
        <v>43503</v>
      </c>
      <c r="B668" s="59" t="s">
        <v>10</v>
      </c>
      <c r="G668" s="2">
        <f t="shared" si="121"/>
        <v>0</v>
      </c>
      <c r="H668" s="2">
        <f t="shared" si="122"/>
        <v>0</v>
      </c>
      <c r="I668" s="30" t="e">
        <f t="shared" si="123"/>
        <v>#DIV/0!</v>
      </c>
    </row>
    <row r="669" spans="1:9" x14ac:dyDescent="0.25">
      <c r="A669" s="33">
        <f t="shared" si="120"/>
        <v>43510</v>
      </c>
      <c r="B669" s="59" t="s">
        <v>10</v>
      </c>
      <c r="G669" s="2">
        <f t="shared" si="121"/>
        <v>0</v>
      </c>
      <c r="H669" s="2">
        <f t="shared" si="122"/>
        <v>0</v>
      </c>
      <c r="I669" s="30" t="e">
        <f t="shared" si="123"/>
        <v>#DIV/0!</v>
      </c>
    </row>
    <row r="670" spans="1:9" x14ac:dyDescent="0.25">
      <c r="A670" s="33">
        <f t="shared" si="120"/>
        <v>43517</v>
      </c>
      <c r="B670" s="59" t="s">
        <v>10</v>
      </c>
      <c r="G670" s="2">
        <f t="shared" si="121"/>
        <v>0</v>
      </c>
      <c r="H670" s="2">
        <f t="shared" si="122"/>
        <v>0</v>
      </c>
      <c r="I670" s="30" t="e">
        <f t="shared" si="123"/>
        <v>#DIV/0!</v>
      </c>
    </row>
    <row r="671" spans="1:9" x14ac:dyDescent="0.25">
      <c r="A671" s="33">
        <f t="shared" si="120"/>
        <v>43524</v>
      </c>
      <c r="B671" s="59" t="s">
        <v>10</v>
      </c>
      <c r="G671" s="2">
        <f t="shared" si="121"/>
        <v>0</v>
      </c>
      <c r="H671" s="2">
        <f t="shared" si="122"/>
        <v>0</v>
      </c>
      <c r="I671" s="30" t="e">
        <f t="shared" si="123"/>
        <v>#DIV/0!</v>
      </c>
    </row>
    <row r="672" spans="1:9" x14ac:dyDescent="0.25">
      <c r="A672" s="33">
        <f t="shared" si="120"/>
        <v>43531</v>
      </c>
      <c r="B672" s="59" t="s">
        <v>10</v>
      </c>
      <c r="G672" s="2">
        <f t="shared" si="121"/>
        <v>0</v>
      </c>
      <c r="H672" s="2">
        <f t="shared" si="122"/>
        <v>0</v>
      </c>
      <c r="I672" s="30" t="e">
        <f t="shared" si="123"/>
        <v>#DIV/0!</v>
      </c>
    </row>
    <row r="673" spans="1:9" x14ac:dyDescent="0.25">
      <c r="A673" s="33">
        <f t="shared" si="120"/>
        <v>43538</v>
      </c>
      <c r="B673" s="59" t="s">
        <v>10</v>
      </c>
      <c r="G673" s="2">
        <f t="shared" si="121"/>
        <v>0</v>
      </c>
      <c r="H673" s="2">
        <f t="shared" si="122"/>
        <v>0</v>
      </c>
      <c r="I673" s="30" t="e">
        <f t="shared" si="123"/>
        <v>#DIV/0!</v>
      </c>
    </row>
    <row r="674" spans="1:9" x14ac:dyDescent="0.25">
      <c r="A674" s="33">
        <f t="shared" si="120"/>
        <v>43545</v>
      </c>
      <c r="B674" s="59" t="s">
        <v>10</v>
      </c>
      <c r="G674" s="2">
        <f t="shared" si="121"/>
        <v>0</v>
      </c>
      <c r="H674" s="2">
        <f t="shared" si="122"/>
        <v>0</v>
      </c>
      <c r="I674" s="30" t="e">
        <f t="shared" si="123"/>
        <v>#DIV/0!</v>
      </c>
    </row>
    <row r="675" spans="1:9" x14ac:dyDescent="0.25">
      <c r="A675" s="33">
        <f t="shared" si="120"/>
        <v>43552</v>
      </c>
      <c r="B675" s="59" t="s">
        <v>10</v>
      </c>
      <c r="G675" s="2">
        <f t="shared" si="121"/>
        <v>0</v>
      </c>
      <c r="H675" s="2">
        <f t="shared" si="122"/>
        <v>0</v>
      </c>
      <c r="I675" s="30" t="e">
        <f t="shared" si="123"/>
        <v>#DIV/0!</v>
      </c>
    </row>
    <row r="676" spans="1:9" x14ac:dyDescent="0.25">
      <c r="A676" s="33">
        <f t="shared" si="120"/>
        <v>43559</v>
      </c>
      <c r="B676" s="59" t="s">
        <v>10</v>
      </c>
      <c r="G676" s="2">
        <f t="shared" si="121"/>
        <v>0</v>
      </c>
      <c r="H676" s="2">
        <f t="shared" si="122"/>
        <v>0</v>
      </c>
      <c r="I676" s="30" t="e">
        <f t="shared" si="123"/>
        <v>#DIV/0!</v>
      </c>
    </row>
    <row r="677" spans="1:9" x14ac:dyDescent="0.25">
      <c r="A677" s="33">
        <f t="shared" si="120"/>
        <v>43566</v>
      </c>
      <c r="B677" s="59" t="s">
        <v>10</v>
      </c>
      <c r="G677" s="2">
        <f t="shared" si="121"/>
        <v>0</v>
      </c>
      <c r="H677" s="2">
        <f t="shared" si="122"/>
        <v>0</v>
      </c>
      <c r="I677" s="30" t="e">
        <f t="shared" si="123"/>
        <v>#DIV/0!</v>
      </c>
    </row>
    <row r="678" spans="1:9" x14ac:dyDescent="0.25">
      <c r="A678" s="33">
        <f t="shared" si="120"/>
        <v>43573</v>
      </c>
      <c r="B678" s="59" t="s">
        <v>10</v>
      </c>
      <c r="G678" s="2">
        <f t="shared" si="121"/>
        <v>0</v>
      </c>
      <c r="H678" s="2">
        <f t="shared" si="122"/>
        <v>0</v>
      </c>
      <c r="I678" s="30" t="e">
        <f t="shared" si="123"/>
        <v>#DIV/0!</v>
      </c>
    </row>
    <row r="679" spans="1:9" x14ac:dyDescent="0.25">
      <c r="A679" s="33">
        <f t="shared" si="120"/>
        <v>43580</v>
      </c>
      <c r="B679" s="59" t="s">
        <v>10</v>
      </c>
      <c r="G679" s="2">
        <f t="shared" si="121"/>
        <v>0</v>
      </c>
      <c r="H679" s="2">
        <f t="shared" si="122"/>
        <v>0</v>
      </c>
      <c r="I679" s="30" t="e">
        <f t="shared" si="123"/>
        <v>#DIV/0!</v>
      </c>
    </row>
    <row r="680" spans="1:9" x14ac:dyDescent="0.25">
      <c r="A680" s="33">
        <f t="shared" si="120"/>
        <v>43587</v>
      </c>
      <c r="B680" s="59" t="s">
        <v>10</v>
      </c>
      <c r="G680" s="2">
        <f t="shared" si="121"/>
        <v>0</v>
      </c>
      <c r="H680" s="2">
        <f t="shared" si="122"/>
        <v>0</v>
      </c>
      <c r="I680" s="30" t="e">
        <f t="shared" si="123"/>
        <v>#DIV/0!</v>
      </c>
    </row>
    <row r="681" spans="1:9" x14ac:dyDescent="0.25">
      <c r="A681" s="33">
        <f t="shared" si="120"/>
        <v>43594</v>
      </c>
      <c r="B681" s="59" t="s">
        <v>10</v>
      </c>
      <c r="G681" s="2">
        <f t="shared" si="121"/>
        <v>0</v>
      </c>
      <c r="H681" s="2">
        <f t="shared" si="122"/>
        <v>0</v>
      </c>
      <c r="I681" s="30" t="e">
        <f t="shared" si="123"/>
        <v>#DIV/0!</v>
      </c>
    </row>
    <row r="682" spans="1:9" x14ac:dyDescent="0.25">
      <c r="A682" s="33">
        <f t="shared" si="120"/>
        <v>43601</v>
      </c>
      <c r="B682" s="59" t="s">
        <v>10</v>
      </c>
      <c r="G682" s="2">
        <f t="shared" si="121"/>
        <v>0</v>
      </c>
      <c r="H682" s="2">
        <f t="shared" si="122"/>
        <v>0</v>
      </c>
      <c r="I682" s="30" t="e">
        <f t="shared" si="123"/>
        <v>#DIV/0!</v>
      </c>
    </row>
    <row r="683" spans="1:9" x14ac:dyDescent="0.25">
      <c r="A683" s="33">
        <f t="shared" si="120"/>
        <v>43608</v>
      </c>
      <c r="B683" s="59" t="s">
        <v>10</v>
      </c>
      <c r="G683" s="2">
        <f t="shared" si="121"/>
        <v>0</v>
      </c>
      <c r="H683" s="2">
        <f t="shared" si="122"/>
        <v>0</v>
      </c>
      <c r="I683" s="30" t="e">
        <f t="shared" si="123"/>
        <v>#DIV/0!</v>
      </c>
    </row>
    <row r="684" spans="1:9" x14ac:dyDescent="0.25">
      <c r="A684" s="33">
        <f t="shared" si="120"/>
        <v>43615</v>
      </c>
      <c r="B684" s="59" t="s">
        <v>10</v>
      </c>
      <c r="G684" s="2">
        <f t="shared" si="121"/>
        <v>0</v>
      </c>
      <c r="H684" s="2">
        <f t="shared" si="122"/>
        <v>0</v>
      </c>
      <c r="I684" s="30" t="e">
        <f t="shared" si="123"/>
        <v>#DIV/0!</v>
      </c>
    </row>
    <row r="685" spans="1:9" x14ac:dyDescent="0.25">
      <c r="A685" s="33">
        <f t="shared" si="120"/>
        <v>43622</v>
      </c>
      <c r="B685" s="59" t="s">
        <v>10</v>
      </c>
      <c r="G685" s="2">
        <f t="shared" si="121"/>
        <v>0</v>
      </c>
      <c r="H685" s="2">
        <f t="shared" si="122"/>
        <v>0</v>
      </c>
      <c r="I685" s="30" t="e">
        <f t="shared" si="123"/>
        <v>#DIV/0!</v>
      </c>
    </row>
    <row r="686" spans="1:9" x14ac:dyDescent="0.25">
      <c r="A686" s="33">
        <f t="shared" si="120"/>
        <v>43629</v>
      </c>
      <c r="B686" s="59" t="s">
        <v>10</v>
      </c>
      <c r="G686" s="2">
        <f t="shared" si="121"/>
        <v>0</v>
      </c>
      <c r="H686" s="2">
        <f t="shared" si="122"/>
        <v>0</v>
      </c>
      <c r="I686" s="30" t="e">
        <f t="shared" si="123"/>
        <v>#DIV/0!</v>
      </c>
    </row>
    <row r="687" spans="1:9" x14ac:dyDescent="0.25">
      <c r="A687" s="33">
        <f t="shared" si="120"/>
        <v>43636</v>
      </c>
      <c r="B687" s="59" t="s">
        <v>10</v>
      </c>
      <c r="G687" s="2">
        <f t="shared" si="121"/>
        <v>0</v>
      </c>
      <c r="H687" s="2">
        <f t="shared" si="122"/>
        <v>0</v>
      </c>
      <c r="I687" s="30" t="e">
        <f t="shared" si="123"/>
        <v>#DIV/0!</v>
      </c>
    </row>
    <row r="688" spans="1:9" x14ac:dyDescent="0.25">
      <c r="A688" s="33">
        <f t="shared" si="120"/>
        <v>43643</v>
      </c>
      <c r="B688" s="59" t="s">
        <v>10</v>
      </c>
      <c r="G688" s="2">
        <f t="shared" si="121"/>
        <v>0</v>
      </c>
      <c r="H688" s="2">
        <f t="shared" si="122"/>
        <v>0</v>
      </c>
      <c r="I688" s="30" t="e">
        <f t="shared" si="123"/>
        <v>#DIV/0!</v>
      </c>
    </row>
    <row r="689" spans="1:9" x14ac:dyDescent="0.25">
      <c r="A689" s="33">
        <f t="shared" si="120"/>
        <v>43650</v>
      </c>
      <c r="B689" s="59" t="s">
        <v>10</v>
      </c>
      <c r="G689" s="2">
        <f t="shared" si="121"/>
        <v>0</v>
      </c>
      <c r="H689" s="2">
        <f t="shared" si="122"/>
        <v>0</v>
      </c>
      <c r="I689" s="30" t="e">
        <f t="shared" si="123"/>
        <v>#DIV/0!</v>
      </c>
    </row>
    <row r="690" spans="1:9" x14ac:dyDescent="0.25">
      <c r="A690" s="33">
        <f t="shared" si="120"/>
        <v>43657</v>
      </c>
      <c r="B690" s="59" t="s">
        <v>10</v>
      </c>
      <c r="G690" s="2">
        <f t="shared" si="121"/>
        <v>0</v>
      </c>
      <c r="H690" s="2">
        <f t="shared" si="122"/>
        <v>0</v>
      </c>
      <c r="I690" s="30" t="e">
        <f t="shared" si="123"/>
        <v>#DIV/0!</v>
      </c>
    </row>
    <row r="691" spans="1:9" x14ac:dyDescent="0.25">
      <c r="A691" s="33">
        <f t="shared" si="120"/>
        <v>43664</v>
      </c>
      <c r="B691" s="59" t="s">
        <v>10</v>
      </c>
      <c r="G691" s="2">
        <f t="shared" si="121"/>
        <v>0</v>
      </c>
      <c r="H691" s="2">
        <f t="shared" si="122"/>
        <v>0</v>
      </c>
      <c r="I691" s="30" t="e">
        <f t="shared" si="123"/>
        <v>#DIV/0!</v>
      </c>
    </row>
    <row r="692" spans="1:9" x14ac:dyDescent="0.25">
      <c r="A692" s="33">
        <f t="shared" si="120"/>
        <v>43671</v>
      </c>
      <c r="B692" s="59" t="s">
        <v>10</v>
      </c>
      <c r="G692" s="2">
        <f t="shared" si="121"/>
        <v>0</v>
      </c>
      <c r="H692" s="2">
        <f t="shared" si="122"/>
        <v>0</v>
      </c>
      <c r="I692" s="30" t="e">
        <f t="shared" si="123"/>
        <v>#DIV/0!</v>
      </c>
    </row>
    <row r="693" spans="1:9" x14ac:dyDescent="0.25">
      <c r="A693" s="33">
        <f t="shared" si="120"/>
        <v>43678</v>
      </c>
      <c r="B693" s="59" t="s">
        <v>10</v>
      </c>
      <c r="G693" s="2">
        <f t="shared" si="121"/>
        <v>0</v>
      </c>
      <c r="H693" s="2">
        <f t="shared" si="122"/>
        <v>0</v>
      </c>
      <c r="I693" s="30" t="e">
        <f t="shared" si="123"/>
        <v>#DIV/0!</v>
      </c>
    </row>
    <row r="694" spans="1:9" x14ac:dyDescent="0.25">
      <c r="A694" s="33">
        <f t="shared" si="120"/>
        <v>43685</v>
      </c>
      <c r="B694" s="59" t="s">
        <v>10</v>
      </c>
      <c r="G694" s="2">
        <f t="shared" si="121"/>
        <v>0</v>
      </c>
      <c r="H694" s="2">
        <f t="shared" si="122"/>
        <v>0</v>
      </c>
      <c r="I694" s="30" t="e">
        <f t="shared" si="123"/>
        <v>#DIV/0!</v>
      </c>
    </row>
    <row r="695" spans="1:9" x14ac:dyDescent="0.25">
      <c r="A695" s="33">
        <f t="shared" si="120"/>
        <v>43692</v>
      </c>
      <c r="B695" s="59" t="s">
        <v>10</v>
      </c>
      <c r="G695" s="2">
        <f t="shared" si="121"/>
        <v>0</v>
      </c>
      <c r="H695" s="2">
        <f t="shared" si="122"/>
        <v>0</v>
      </c>
      <c r="I695" s="30" t="e">
        <f t="shared" si="123"/>
        <v>#DIV/0!</v>
      </c>
    </row>
    <row r="696" spans="1:9" x14ac:dyDescent="0.25">
      <c r="A696" s="33">
        <f t="shared" si="120"/>
        <v>43699</v>
      </c>
      <c r="B696" s="59" t="s">
        <v>10</v>
      </c>
      <c r="G696" s="2">
        <f t="shared" si="121"/>
        <v>0</v>
      </c>
      <c r="H696" s="2">
        <f t="shared" si="122"/>
        <v>0</v>
      </c>
      <c r="I696" s="30" t="e">
        <f t="shared" si="123"/>
        <v>#DIV/0!</v>
      </c>
    </row>
    <row r="697" spans="1:9" x14ac:dyDescent="0.25">
      <c r="A697" s="33">
        <f t="shared" si="120"/>
        <v>43706</v>
      </c>
      <c r="B697" s="59" t="s">
        <v>10</v>
      </c>
      <c r="G697" s="2">
        <f t="shared" si="121"/>
        <v>0</v>
      </c>
      <c r="H697" s="2">
        <f t="shared" si="122"/>
        <v>0</v>
      </c>
      <c r="I697" s="30" t="e">
        <f t="shared" si="123"/>
        <v>#DIV/0!</v>
      </c>
    </row>
    <row r="698" spans="1:9" x14ac:dyDescent="0.25">
      <c r="A698" s="33">
        <f t="shared" si="120"/>
        <v>43713</v>
      </c>
      <c r="B698" s="59" t="s">
        <v>10</v>
      </c>
      <c r="G698" s="2">
        <f t="shared" si="121"/>
        <v>0</v>
      </c>
      <c r="H698" s="2">
        <f t="shared" si="122"/>
        <v>0</v>
      </c>
      <c r="I698" s="30" t="e">
        <f t="shared" si="123"/>
        <v>#DIV/0!</v>
      </c>
    </row>
  </sheetData>
  <mergeCells count="2">
    <mergeCell ref="E2:F2"/>
    <mergeCell ref="G2:H2"/>
  </mergeCells>
  <phoneticPr fontId="2" type="noConversion"/>
  <pageMargins left="0.75" right="0.75" top="1" bottom="1" header="0.5" footer="0.5"/>
  <pageSetup orientation="portrait" r:id="rId1"/>
  <headerFooter alignWithMargins="0"/>
  <ignoredErrors>
    <ignoredError sqref="I415:I430" evalError="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6"/>
  <sheetViews>
    <sheetView topLeftCell="A63" workbookViewId="0">
      <selection activeCell="H79" sqref="H79:I80"/>
    </sheetView>
  </sheetViews>
  <sheetFormatPr defaultRowHeight="13.2" x14ac:dyDescent="0.25"/>
  <cols>
    <col min="1" max="1" width="9.5546875" bestFit="1" customWidth="1"/>
  </cols>
  <sheetData>
    <row r="1" spans="1:10" ht="13.8" thickBot="1" x14ac:dyDescent="0.3">
      <c r="B1" s="13" t="s">
        <v>8</v>
      </c>
      <c r="C1" s="6"/>
      <c r="D1" s="6"/>
      <c r="F1" s="14"/>
      <c r="G1" s="6"/>
      <c r="H1" s="6"/>
      <c r="I1" s="6"/>
      <c r="J1" s="6"/>
    </row>
    <row r="2" spans="1:10" x14ac:dyDescent="0.25">
      <c r="C2" t="s">
        <v>9</v>
      </c>
      <c r="E2" s="218" t="s">
        <v>2</v>
      </c>
      <c r="F2" s="219"/>
      <c r="G2" s="218" t="s">
        <v>3</v>
      </c>
      <c r="H2" s="219"/>
      <c r="I2" s="10" t="s">
        <v>18</v>
      </c>
      <c r="J2" s="17" t="s">
        <v>16</v>
      </c>
    </row>
    <row r="3" spans="1:10" x14ac:dyDescent="0.25">
      <c r="B3" s="7"/>
      <c r="C3" s="156" t="s">
        <v>132</v>
      </c>
      <c r="D3" s="156" t="s">
        <v>142</v>
      </c>
      <c r="E3" s="156" t="s">
        <v>132</v>
      </c>
      <c r="F3" s="156" t="s">
        <v>142</v>
      </c>
      <c r="G3" s="156" t="s">
        <v>280</v>
      </c>
      <c r="H3" s="156" t="s">
        <v>23</v>
      </c>
      <c r="I3" s="11" t="s">
        <v>6</v>
      </c>
      <c r="J3" s="9" t="s">
        <v>17</v>
      </c>
    </row>
    <row r="4" spans="1:10" x14ac:dyDescent="0.25">
      <c r="A4" s="20">
        <v>41158</v>
      </c>
      <c r="B4" s="117" t="s">
        <v>279</v>
      </c>
      <c r="C4">
        <v>104.1</v>
      </c>
      <c r="D4">
        <v>42.5</v>
      </c>
      <c r="E4">
        <v>0</v>
      </c>
      <c r="F4">
        <v>0</v>
      </c>
      <c r="G4" s="18">
        <f t="shared" ref="G4:G37" si="0">+C4+E4</f>
        <v>104.1</v>
      </c>
      <c r="H4" s="18">
        <f t="shared" ref="H4:H37" si="1">+D4+F4</f>
        <v>42.5</v>
      </c>
      <c r="I4" s="30">
        <f t="shared" ref="I4:I37" si="2">+(G4/H4-1)*100</f>
        <v>144.94117647058823</v>
      </c>
    </row>
    <row r="5" spans="1:10" x14ac:dyDescent="0.25">
      <c r="A5" s="20">
        <f>+A4+7</f>
        <v>41165</v>
      </c>
      <c r="B5" s="117" t="s">
        <v>279</v>
      </c>
      <c r="C5">
        <v>59.6</v>
      </c>
      <c r="D5">
        <v>23.5</v>
      </c>
      <c r="E5">
        <v>57.5</v>
      </c>
      <c r="F5">
        <v>48</v>
      </c>
      <c r="G5" s="18">
        <f t="shared" si="0"/>
        <v>117.1</v>
      </c>
      <c r="H5" s="18">
        <f t="shared" si="1"/>
        <v>71.5</v>
      </c>
      <c r="I5" s="30">
        <f t="shared" si="2"/>
        <v>63.776223776223759</v>
      </c>
    </row>
    <row r="6" spans="1:10" x14ac:dyDescent="0.25">
      <c r="A6" s="20">
        <f>+A5+7</f>
        <v>41172</v>
      </c>
      <c r="B6" s="117" t="s">
        <v>279</v>
      </c>
      <c r="C6">
        <v>47.6</v>
      </c>
      <c r="D6">
        <v>6</v>
      </c>
      <c r="E6">
        <v>69.5</v>
      </c>
      <c r="F6">
        <v>65.5</v>
      </c>
      <c r="G6" s="18">
        <f t="shared" si="0"/>
        <v>117.1</v>
      </c>
      <c r="H6" s="18">
        <f t="shared" si="1"/>
        <v>71.5</v>
      </c>
      <c r="I6" s="30">
        <f t="shared" si="2"/>
        <v>63.776223776223759</v>
      </c>
    </row>
    <row r="7" spans="1:10" x14ac:dyDescent="0.25">
      <c r="A7" s="20">
        <f t="shared" ref="A7:A70" si="3">+A6+7</f>
        <v>41179</v>
      </c>
      <c r="B7" s="117" t="s">
        <v>279</v>
      </c>
      <c r="C7">
        <v>34.6</v>
      </c>
      <c r="D7">
        <v>6</v>
      </c>
      <c r="E7">
        <v>127.5</v>
      </c>
      <c r="F7">
        <v>65.5</v>
      </c>
      <c r="G7" s="18">
        <f t="shared" si="0"/>
        <v>162.1</v>
      </c>
      <c r="H7" s="18">
        <f t="shared" si="1"/>
        <v>71.5</v>
      </c>
      <c r="I7" s="30">
        <f t="shared" si="2"/>
        <v>126.71328671328669</v>
      </c>
    </row>
    <row r="8" spans="1:10" x14ac:dyDescent="0.25">
      <c r="A8" s="20">
        <f t="shared" si="3"/>
        <v>41186</v>
      </c>
      <c r="B8" s="117" t="s">
        <v>279</v>
      </c>
      <c r="C8">
        <v>34.6</v>
      </c>
      <c r="D8">
        <v>44</v>
      </c>
      <c r="E8">
        <v>137.5</v>
      </c>
      <c r="F8">
        <v>71.5</v>
      </c>
      <c r="G8" s="18">
        <f t="shared" si="0"/>
        <v>172.1</v>
      </c>
      <c r="H8" s="18">
        <f t="shared" si="1"/>
        <v>115.5</v>
      </c>
      <c r="I8" s="30">
        <f t="shared" si="2"/>
        <v>49.004329004329009</v>
      </c>
    </row>
    <row r="9" spans="1:10" x14ac:dyDescent="0.25">
      <c r="A9" s="20">
        <f t="shared" si="3"/>
        <v>41193</v>
      </c>
      <c r="B9" s="117" t="s">
        <v>279</v>
      </c>
      <c r="C9">
        <v>25</v>
      </c>
      <c r="D9">
        <v>24.5</v>
      </c>
      <c r="E9">
        <v>146.69999999999999</v>
      </c>
      <c r="F9">
        <v>96.5</v>
      </c>
      <c r="G9" s="18">
        <f t="shared" si="0"/>
        <v>171.7</v>
      </c>
      <c r="H9" s="18">
        <f t="shared" si="1"/>
        <v>121</v>
      </c>
      <c r="I9" s="30">
        <f t="shared" si="2"/>
        <v>41.900826446280995</v>
      </c>
    </row>
    <row r="10" spans="1:10" x14ac:dyDescent="0.25">
      <c r="A10" s="20">
        <f t="shared" si="3"/>
        <v>41200</v>
      </c>
      <c r="B10" s="117" t="s">
        <v>279</v>
      </c>
      <c r="C10">
        <v>0</v>
      </c>
      <c r="D10">
        <v>19.5</v>
      </c>
      <c r="E10">
        <v>171.7</v>
      </c>
      <c r="F10">
        <v>135.5</v>
      </c>
      <c r="G10" s="18">
        <f t="shared" si="0"/>
        <v>171.7</v>
      </c>
      <c r="H10" s="18">
        <f t="shared" si="1"/>
        <v>155</v>
      </c>
      <c r="I10" s="30">
        <f t="shared" si="2"/>
        <v>10.774193548387089</v>
      </c>
    </row>
    <row r="11" spans="1:10" x14ac:dyDescent="0.25">
      <c r="A11" s="20">
        <f t="shared" si="3"/>
        <v>41207</v>
      </c>
      <c r="B11" s="117" t="s">
        <v>279</v>
      </c>
      <c r="C11">
        <v>22.5</v>
      </c>
      <c r="D11">
        <v>14</v>
      </c>
      <c r="E11">
        <v>171.7</v>
      </c>
      <c r="F11">
        <v>141</v>
      </c>
      <c r="G11" s="18">
        <f t="shared" si="0"/>
        <v>194.2</v>
      </c>
      <c r="H11" s="18">
        <f t="shared" si="1"/>
        <v>155</v>
      </c>
      <c r="I11" s="30">
        <f t="shared" si="2"/>
        <v>25.290322580645164</v>
      </c>
    </row>
    <row r="12" spans="1:10" x14ac:dyDescent="0.25">
      <c r="A12" s="20">
        <f t="shared" si="3"/>
        <v>41214</v>
      </c>
      <c r="B12" s="117" t="s">
        <v>279</v>
      </c>
      <c r="C12">
        <v>22.5</v>
      </c>
      <c r="D12">
        <v>0</v>
      </c>
      <c r="E12">
        <v>171.7</v>
      </c>
      <c r="F12">
        <v>155</v>
      </c>
      <c r="G12" s="18">
        <f t="shared" si="0"/>
        <v>194.2</v>
      </c>
      <c r="H12" s="18">
        <f t="shared" si="1"/>
        <v>155</v>
      </c>
      <c r="I12" s="30">
        <f t="shared" si="2"/>
        <v>25.290322580645164</v>
      </c>
    </row>
    <row r="13" spans="1:10" x14ac:dyDescent="0.25">
      <c r="A13" s="20">
        <f t="shared" si="3"/>
        <v>41221</v>
      </c>
      <c r="B13" s="117" t="s">
        <v>279</v>
      </c>
      <c r="C13">
        <v>22.5</v>
      </c>
      <c r="D13">
        <v>0</v>
      </c>
      <c r="E13">
        <v>171.7</v>
      </c>
      <c r="F13">
        <v>181</v>
      </c>
      <c r="G13" s="18">
        <f t="shared" si="0"/>
        <v>194.2</v>
      </c>
      <c r="H13" s="18">
        <f t="shared" si="1"/>
        <v>181</v>
      </c>
      <c r="I13" s="30">
        <f t="shared" si="2"/>
        <v>7.2928176795580058</v>
      </c>
    </row>
    <row r="14" spans="1:10" x14ac:dyDescent="0.25">
      <c r="A14" s="20">
        <f t="shared" si="3"/>
        <v>41228</v>
      </c>
      <c r="B14" s="117" t="s">
        <v>279</v>
      </c>
      <c r="C14">
        <v>43</v>
      </c>
      <c r="D14">
        <v>0</v>
      </c>
      <c r="E14">
        <v>184.2</v>
      </c>
      <c r="F14">
        <v>186</v>
      </c>
      <c r="G14" s="18">
        <f t="shared" si="0"/>
        <v>227.2</v>
      </c>
      <c r="H14" s="18">
        <f t="shared" si="1"/>
        <v>186</v>
      </c>
      <c r="I14" s="30">
        <f t="shared" si="2"/>
        <v>22.150537634408597</v>
      </c>
    </row>
    <row r="15" spans="1:10" x14ac:dyDescent="0.25">
      <c r="A15" s="20">
        <f t="shared" si="3"/>
        <v>41235</v>
      </c>
      <c r="B15" s="117" t="s">
        <v>279</v>
      </c>
      <c r="C15">
        <v>33</v>
      </c>
      <c r="D15">
        <v>48.5</v>
      </c>
      <c r="E15">
        <v>194.2</v>
      </c>
      <c r="F15">
        <v>186</v>
      </c>
      <c r="G15" s="18">
        <f t="shared" si="0"/>
        <v>227.2</v>
      </c>
      <c r="H15" s="18">
        <f t="shared" si="1"/>
        <v>234.5</v>
      </c>
      <c r="I15" s="30">
        <f t="shared" si="2"/>
        <v>-3.1130063965884913</v>
      </c>
    </row>
    <row r="16" spans="1:10" x14ac:dyDescent="0.25">
      <c r="A16" s="20">
        <f t="shared" si="3"/>
        <v>41242</v>
      </c>
      <c r="B16" s="117" t="s">
        <v>279</v>
      </c>
      <c r="C16">
        <v>10</v>
      </c>
      <c r="D16">
        <v>30</v>
      </c>
      <c r="E16">
        <v>227.2</v>
      </c>
      <c r="F16">
        <v>204.5</v>
      </c>
      <c r="G16" s="18">
        <f t="shared" si="0"/>
        <v>237.2</v>
      </c>
      <c r="H16" s="18">
        <f t="shared" si="1"/>
        <v>234.5</v>
      </c>
      <c r="I16" s="30">
        <f t="shared" si="2"/>
        <v>1.1513859275053218</v>
      </c>
    </row>
    <row r="17" spans="1:9" x14ac:dyDescent="0.25">
      <c r="A17" s="20">
        <f t="shared" si="3"/>
        <v>41249</v>
      </c>
      <c r="B17" s="117" t="s">
        <v>279</v>
      </c>
      <c r="C17">
        <v>10</v>
      </c>
      <c r="D17">
        <v>42</v>
      </c>
      <c r="E17">
        <v>237.2</v>
      </c>
      <c r="F17">
        <v>204.5</v>
      </c>
      <c r="G17" s="18">
        <f t="shared" si="0"/>
        <v>247.2</v>
      </c>
      <c r="H17" s="18">
        <f t="shared" si="1"/>
        <v>246.5</v>
      </c>
      <c r="I17" s="30">
        <f t="shared" si="2"/>
        <v>0.28397565922919643</v>
      </c>
    </row>
    <row r="18" spans="1:9" x14ac:dyDescent="0.25">
      <c r="A18" s="20">
        <f t="shared" si="3"/>
        <v>41256</v>
      </c>
      <c r="B18" s="117" t="s">
        <v>279</v>
      </c>
      <c r="C18">
        <v>40</v>
      </c>
      <c r="D18">
        <v>56</v>
      </c>
      <c r="E18">
        <v>237.2</v>
      </c>
      <c r="F18">
        <v>204.5</v>
      </c>
      <c r="G18" s="18">
        <f t="shared" si="0"/>
        <v>277.2</v>
      </c>
      <c r="H18" s="18">
        <f t="shared" si="1"/>
        <v>260.5</v>
      </c>
      <c r="I18" s="30">
        <f t="shared" si="2"/>
        <v>6.410748560460644</v>
      </c>
    </row>
    <row r="19" spans="1:9" x14ac:dyDescent="0.25">
      <c r="A19" s="20">
        <f t="shared" si="3"/>
        <v>41263</v>
      </c>
      <c r="B19" s="117" t="s">
        <v>279</v>
      </c>
      <c r="C19">
        <v>30</v>
      </c>
      <c r="D19">
        <v>56</v>
      </c>
      <c r="E19">
        <v>247.2</v>
      </c>
      <c r="F19">
        <v>204.5</v>
      </c>
      <c r="G19" s="18">
        <f t="shared" si="0"/>
        <v>277.2</v>
      </c>
      <c r="H19" s="18">
        <f t="shared" si="1"/>
        <v>260.5</v>
      </c>
      <c r="I19" s="30">
        <f t="shared" si="2"/>
        <v>6.410748560460644</v>
      </c>
    </row>
    <row r="20" spans="1:9" x14ac:dyDescent="0.25">
      <c r="A20" s="20">
        <f t="shared" si="3"/>
        <v>41270</v>
      </c>
      <c r="B20" s="117" t="s">
        <v>279</v>
      </c>
      <c r="C20">
        <v>30</v>
      </c>
      <c r="D20">
        <v>56</v>
      </c>
      <c r="E20">
        <v>253.2</v>
      </c>
      <c r="F20">
        <v>204.5</v>
      </c>
      <c r="G20" s="18">
        <f t="shared" si="0"/>
        <v>283.2</v>
      </c>
      <c r="H20" s="18">
        <f t="shared" si="1"/>
        <v>260.5</v>
      </c>
      <c r="I20" s="30">
        <f t="shared" si="2"/>
        <v>8.714011516314768</v>
      </c>
    </row>
    <row r="21" spans="1:9" x14ac:dyDescent="0.25">
      <c r="A21" s="20">
        <f t="shared" si="3"/>
        <v>41277</v>
      </c>
      <c r="B21" s="117" t="s">
        <v>279</v>
      </c>
      <c r="C21">
        <v>30</v>
      </c>
      <c r="D21">
        <v>59.5</v>
      </c>
      <c r="E21">
        <v>253.2</v>
      </c>
      <c r="F21">
        <v>204.5</v>
      </c>
      <c r="G21" s="18">
        <f t="shared" si="0"/>
        <v>283.2</v>
      </c>
      <c r="H21" s="18">
        <f t="shared" si="1"/>
        <v>264</v>
      </c>
      <c r="I21" s="30">
        <f t="shared" si="2"/>
        <v>7.2727272727272751</v>
      </c>
    </row>
    <row r="22" spans="1:9" x14ac:dyDescent="0.25">
      <c r="A22" s="20">
        <f t="shared" si="3"/>
        <v>41284</v>
      </c>
      <c r="B22" s="117" t="s">
        <v>279</v>
      </c>
      <c r="C22">
        <v>30</v>
      </c>
      <c r="D22">
        <v>138.4</v>
      </c>
      <c r="E22">
        <v>253.2</v>
      </c>
      <c r="F22">
        <v>204.5</v>
      </c>
      <c r="G22" s="18">
        <f t="shared" si="0"/>
        <v>283.2</v>
      </c>
      <c r="H22" s="18">
        <f t="shared" si="1"/>
        <v>342.9</v>
      </c>
      <c r="I22" s="30">
        <f t="shared" si="2"/>
        <v>-17.4103237095363</v>
      </c>
    </row>
    <row r="23" spans="1:9" x14ac:dyDescent="0.25">
      <c r="A23" s="20">
        <f t="shared" si="3"/>
        <v>41291</v>
      </c>
      <c r="B23" s="117" t="s">
        <v>279</v>
      </c>
      <c r="C23">
        <v>30</v>
      </c>
      <c r="D23">
        <v>108.5</v>
      </c>
      <c r="E23">
        <v>253.2</v>
      </c>
      <c r="F23">
        <v>234.4</v>
      </c>
      <c r="G23" s="18">
        <f t="shared" si="0"/>
        <v>283.2</v>
      </c>
      <c r="H23" s="18">
        <f t="shared" si="1"/>
        <v>342.9</v>
      </c>
      <c r="I23" s="30">
        <f t="shared" si="2"/>
        <v>-17.4103237095363</v>
      </c>
    </row>
    <row r="24" spans="1:9" x14ac:dyDescent="0.25">
      <c r="A24" s="20">
        <f t="shared" si="3"/>
        <v>41298</v>
      </c>
      <c r="B24" s="117" t="s">
        <v>279</v>
      </c>
      <c r="C24">
        <v>0</v>
      </c>
      <c r="D24">
        <v>136</v>
      </c>
      <c r="E24">
        <v>283.2</v>
      </c>
      <c r="F24">
        <v>290.89999999999998</v>
      </c>
      <c r="G24" s="18">
        <f t="shared" si="0"/>
        <v>283.2</v>
      </c>
      <c r="H24" s="18">
        <f t="shared" si="1"/>
        <v>426.9</v>
      </c>
      <c r="I24" s="30">
        <f t="shared" si="2"/>
        <v>-33.661278988053411</v>
      </c>
    </row>
    <row r="25" spans="1:9" x14ac:dyDescent="0.25">
      <c r="A25" s="20">
        <f t="shared" si="3"/>
        <v>41305</v>
      </c>
      <c r="B25" s="117" t="s">
        <v>279</v>
      </c>
      <c r="C25">
        <v>77</v>
      </c>
      <c r="D25">
        <v>162.1</v>
      </c>
      <c r="E25">
        <v>298.2</v>
      </c>
      <c r="F25">
        <v>354.1</v>
      </c>
      <c r="G25" s="18">
        <f t="shared" si="0"/>
        <v>375.2</v>
      </c>
      <c r="H25" s="18">
        <f t="shared" si="1"/>
        <v>516.20000000000005</v>
      </c>
      <c r="I25" s="30">
        <f t="shared" si="2"/>
        <v>-27.314994188299114</v>
      </c>
    </row>
    <row r="26" spans="1:9" x14ac:dyDescent="0.25">
      <c r="A26" s="20">
        <f t="shared" si="3"/>
        <v>41312</v>
      </c>
      <c r="B26" s="117" t="s">
        <v>279</v>
      </c>
      <c r="C26">
        <v>77</v>
      </c>
      <c r="D26">
        <v>93.1</v>
      </c>
      <c r="E26">
        <v>298.2</v>
      </c>
      <c r="F26">
        <v>433.1</v>
      </c>
      <c r="G26" s="18">
        <f t="shared" si="0"/>
        <v>375.2</v>
      </c>
      <c r="H26" s="18">
        <f t="shared" si="1"/>
        <v>526.20000000000005</v>
      </c>
      <c r="I26" s="30">
        <f t="shared" si="2"/>
        <v>-28.696313188901566</v>
      </c>
    </row>
    <row r="27" spans="1:9" x14ac:dyDescent="0.25">
      <c r="A27" s="20">
        <f t="shared" si="3"/>
        <v>41319</v>
      </c>
      <c r="B27" s="117" t="s">
        <v>279</v>
      </c>
      <c r="C27">
        <v>77</v>
      </c>
      <c r="D27">
        <v>77</v>
      </c>
      <c r="E27">
        <v>298.2</v>
      </c>
      <c r="F27">
        <v>489.2</v>
      </c>
      <c r="G27" s="18">
        <f t="shared" si="0"/>
        <v>375.2</v>
      </c>
      <c r="H27" s="18">
        <f t="shared" si="1"/>
        <v>566.20000000000005</v>
      </c>
      <c r="I27" s="30">
        <f t="shared" si="2"/>
        <v>-33.733663016601909</v>
      </c>
    </row>
    <row r="28" spans="1:9" x14ac:dyDescent="0.25">
      <c r="A28" s="20">
        <f t="shared" si="3"/>
        <v>41326</v>
      </c>
      <c r="B28" s="117" t="s">
        <v>279</v>
      </c>
      <c r="C28">
        <v>30.5</v>
      </c>
      <c r="D28">
        <v>55</v>
      </c>
      <c r="E28">
        <v>365.2</v>
      </c>
      <c r="F28">
        <v>511.2</v>
      </c>
      <c r="G28" s="18">
        <f t="shared" si="0"/>
        <v>395.7</v>
      </c>
      <c r="H28" s="18">
        <f t="shared" si="1"/>
        <v>566.20000000000005</v>
      </c>
      <c r="I28" s="30">
        <f t="shared" si="2"/>
        <v>-30.113034263511128</v>
      </c>
    </row>
    <row r="29" spans="1:9" x14ac:dyDescent="0.25">
      <c r="A29" s="20">
        <f t="shared" si="3"/>
        <v>41333</v>
      </c>
      <c r="B29" s="117" t="s">
        <v>279</v>
      </c>
      <c r="C29">
        <v>10</v>
      </c>
      <c r="D29">
        <v>80</v>
      </c>
      <c r="E29">
        <v>385.7</v>
      </c>
      <c r="F29">
        <v>528.20000000000005</v>
      </c>
      <c r="G29" s="18">
        <f t="shared" si="0"/>
        <v>395.7</v>
      </c>
      <c r="H29" s="18">
        <f t="shared" si="1"/>
        <v>608.20000000000005</v>
      </c>
      <c r="I29" s="30">
        <f t="shared" si="2"/>
        <v>-34.939164748438024</v>
      </c>
    </row>
    <row r="30" spans="1:9" x14ac:dyDescent="0.25">
      <c r="A30" s="20">
        <f t="shared" si="3"/>
        <v>41340</v>
      </c>
      <c r="B30" s="117" t="s">
        <v>279</v>
      </c>
      <c r="C30">
        <v>10</v>
      </c>
      <c r="D30">
        <v>102</v>
      </c>
      <c r="E30">
        <v>385.7</v>
      </c>
      <c r="F30">
        <v>563.20000000000005</v>
      </c>
      <c r="G30" s="18">
        <f t="shared" si="0"/>
        <v>395.7</v>
      </c>
      <c r="H30" s="18">
        <f t="shared" si="1"/>
        <v>665.2</v>
      </c>
      <c r="I30" s="30">
        <f t="shared" si="2"/>
        <v>-40.514131088394478</v>
      </c>
    </row>
    <row r="31" spans="1:9" x14ac:dyDescent="0.25">
      <c r="A31" s="20">
        <f t="shared" si="3"/>
        <v>41347</v>
      </c>
      <c r="B31" s="117" t="s">
        <v>279</v>
      </c>
      <c r="C31">
        <v>10</v>
      </c>
      <c r="D31">
        <v>109.5</v>
      </c>
      <c r="E31">
        <v>385.7</v>
      </c>
      <c r="F31">
        <v>578.20000000000005</v>
      </c>
      <c r="G31" s="18">
        <f t="shared" si="0"/>
        <v>395.7</v>
      </c>
      <c r="H31" s="18">
        <f t="shared" si="1"/>
        <v>687.7</v>
      </c>
      <c r="I31" s="30">
        <f t="shared" si="2"/>
        <v>-42.460375163588779</v>
      </c>
    </row>
    <row r="32" spans="1:9" x14ac:dyDescent="0.25">
      <c r="A32" s="20">
        <f t="shared" si="3"/>
        <v>41354</v>
      </c>
      <c r="B32" s="117" t="s">
        <v>279</v>
      </c>
      <c r="C32">
        <v>90</v>
      </c>
      <c r="D32">
        <v>72</v>
      </c>
      <c r="E32">
        <v>395.7</v>
      </c>
      <c r="F32">
        <v>635.70000000000005</v>
      </c>
      <c r="G32" s="18">
        <f t="shared" si="0"/>
        <v>485.7</v>
      </c>
      <c r="H32" s="18">
        <f t="shared" si="1"/>
        <v>707.7</v>
      </c>
      <c r="I32" s="30">
        <f t="shared" si="2"/>
        <v>-31.369224247562531</v>
      </c>
    </row>
    <row r="33" spans="1:9" x14ac:dyDescent="0.25">
      <c r="A33" s="20">
        <f t="shared" si="3"/>
        <v>41361</v>
      </c>
      <c r="B33" s="117" t="s">
        <v>279</v>
      </c>
      <c r="C33">
        <v>87</v>
      </c>
      <c r="D33">
        <v>49</v>
      </c>
      <c r="E33">
        <v>450.7</v>
      </c>
      <c r="F33">
        <v>688.2</v>
      </c>
      <c r="G33" s="18">
        <f t="shared" si="0"/>
        <v>537.70000000000005</v>
      </c>
      <c r="H33" s="18">
        <f t="shared" si="1"/>
        <v>737.2</v>
      </c>
      <c r="I33" s="30">
        <f t="shared" si="2"/>
        <v>-27.061855670103096</v>
      </c>
    </row>
    <row r="34" spans="1:9" x14ac:dyDescent="0.25">
      <c r="A34" s="20">
        <f t="shared" si="3"/>
        <v>41368</v>
      </c>
      <c r="B34" s="117" t="s">
        <v>279</v>
      </c>
      <c r="C34">
        <v>87</v>
      </c>
      <c r="D34">
        <v>119.5</v>
      </c>
      <c r="E34">
        <v>450.7</v>
      </c>
      <c r="F34">
        <v>688.2</v>
      </c>
      <c r="G34" s="18">
        <f t="shared" si="0"/>
        <v>537.70000000000005</v>
      </c>
      <c r="H34" s="18">
        <f t="shared" si="1"/>
        <v>807.7</v>
      </c>
      <c r="I34" s="30">
        <f t="shared" si="2"/>
        <v>-33.428253064256531</v>
      </c>
    </row>
    <row r="35" spans="1:9" x14ac:dyDescent="0.25">
      <c r="A35" s="20">
        <f t="shared" si="3"/>
        <v>41375</v>
      </c>
      <c r="B35" s="117" t="s">
        <v>279</v>
      </c>
      <c r="C35">
        <v>39.5</v>
      </c>
      <c r="D35">
        <v>78</v>
      </c>
      <c r="E35">
        <v>543.29999999999995</v>
      </c>
      <c r="F35">
        <v>754.7</v>
      </c>
      <c r="G35" s="18">
        <f t="shared" si="0"/>
        <v>582.79999999999995</v>
      </c>
      <c r="H35" s="18">
        <f t="shared" si="1"/>
        <v>832.7</v>
      </c>
      <c r="I35" s="30">
        <f t="shared" si="2"/>
        <v>-30.010808214242836</v>
      </c>
    </row>
    <row r="36" spans="1:9" x14ac:dyDescent="0.25">
      <c r="A36" s="20">
        <f t="shared" si="3"/>
        <v>41382</v>
      </c>
      <c r="B36" s="117" t="s">
        <v>279</v>
      </c>
      <c r="C36">
        <v>50</v>
      </c>
      <c r="D36">
        <v>44</v>
      </c>
      <c r="E36">
        <v>555.29999999999995</v>
      </c>
      <c r="F36">
        <v>788.7</v>
      </c>
      <c r="G36" s="18">
        <f t="shared" si="0"/>
        <v>605.29999999999995</v>
      </c>
      <c r="H36" s="18">
        <f t="shared" si="1"/>
        <v>832.7</v>
      </c>
      <c r="I36" s="30">
        <f t="shared" si="2"/>
        <v>-27.308754653536692</v>
      </c>
    </row>
    <row r="37" spans="1:9" x14ac:dyDescent="0.25">
      <c r="A37" s="20">
        <f t="shared" si="3"/>
        <v>41389</v>
      </c>
      <c r="B37" s="117" t="s">
        <v>279</v>
      </c>
      <c r="C37">
        <v>70</v>
      </c>
      <c r="D37">
        <v>101</v>
      </c>
      <c r="E37">
        <v>555.29999999999995</v>
      </c>
      <c r="F37">
        <v>793.7</v>
      </c>
      <c r="G37" s="18">
        <f t="shared" si="0"/>
        <v>625.29999999999995</v>
      </c>
      <c r="H37" s="18">
        <f t="shared" si="1"/>
        <v>894.7</v>
      </c>
      <c r="I37" s="30">
        <f t="shared" si="2"/>
        <v>-30.110651615066509</v>
      </c>
    </row>
    <row r="38" spans="1:9" x14ac:dyDescent="0.25">
      <c r="A38" s="20">
        <f t="shared" si="3"/>
        <v>41396</v>
      </c>
      <c r="B38" s="117" t="s">
        <v>279</v>
      </c>
      <c r="C38">
        <v>113</v>
      </c>
      <c r="D38">
        <v>44</v>
      </c>
      <c r="E38">
        <v>585.29999999999995</v>
      </c>
      <c r="F38">
        <v>869.7</v>
      </c>
      <c r="G38" s="18">
        <f t="shared" ref="G38:G60" si="4">+C38+E38</f>
        <v>698.3</v>
      </c>
      <c r="H38" s="18">
        <f t="shared" ref="H38:H60" si="5">+D38+F38</f>
        <v>913.7</v>
      </c>
      <c r="I38" s="30">
        <f t="shared" ref="I38:I60" si="6">+(G38/H38-1)*100</f>
        <v>-23.574477399584115</v>
      </c>
    </row>
    <row r="39" spans="1:9" x14ac:dyDescent="0.25">
      <c r="A39" s="20">
        <f t="shared" si="3"/>
        <v>41403</v>
      </c>
      <c r="B39" s="117" t="s">
        <v>279</v>
      </c>
      <c r="C39">
        <v>110.3</v>
      </c>
      <c r="D39">
        <v>72</v>
      </c>
      <c r="E39">
        <v>607.79999999999995</v>
      </c>
      <c r="F39">
        <v>878.7</v>
      </c>
      <c r="G39" s="18">
        <f t="shared" si="4"/>
        <v>718.09999999999991</v>
      </c>
      <c r="H39" s="18">
        <f t="shared" si="5"/>
        <v>950.7</v>
      </c>
      <c r="I39" s="30">
        <f t="shared" si="6"/>
        <v>-24.466182812664361</v>
      </c>
    </row>
    <row r="40" spans="1:9" x14ac:dyDescent="0.25">
      <c r="A40" s="20">
        <f t="shared" si="3"/>
        <v>41410</v>
      </c>
      <c r="B40" s="117" t="s">
        <v>279</v>
      </c>
      <c r="C40">
        <v>119</v>
      </c>
      <c r="D40">
        <v>82</v>
      </c>
      <c r="E40">
        <v>607.79999999999995</v>
      </c>
      <c r="F40">
        <v>898.7</v>
      </c>
      <c r="G40" s="18">
        <f t="shared" si="4"/>
        <v>726.8</v>
      </c>
      <c r="H40" s="18">
        <f t="shared" si="5"/>
        <v>980.7</v>
      </c>
      <c r="I40" s="30">
        <f t="shared" si="6"/>
        <v>-25.889670643417972</v>
      </c>
    </row>
    <row r="41" spans="1:9" x14ac:dyDescent="0.25">
      <c r="A41" s="20">
        <f t="shared" si="3"/>
        <v>41417</v>
      </c>
      <c r="B41" s="117" t="s">
        <v>279</v>
      </c>
      <c r="C41">
        <v>134</v>
      </c>
      <c r="D41">
        <v>75.5</v>
      </c>
      <c r="E41">
        <v>622.79999999999995</v>
      </c>
      <c r="F41">
        <v>948.7</v>
      </c>
      <c r="G41" s="18">
        <f t="shared" si="4"/>
        <v>756.8</v>
      </c>
      <c r="H41" s="18">
        <f t="shared" si="5"/>
        <v>1024.2</v>
      </c>
      <c r="I41" s="30">
        <f t="shared" si="6"/>
        <v>-26.108181995703973</v>
      </c>
    </row>
    <row r="42" spans="1:9" x14ac:dyDescent="0.25">
      <c r="A42" s="20">
        <f t="shared" si="3"/>
        <v>41424</v>
      </c>
      <c r="B42" s="117" t="s">
        <v>279</v>
      </c>
      <c r="C42">
        <v>119</v>
      </c>
      <c r="D42">
        <v>115.5</v>
      </c>
      <c r="E42">
        <v>642.79999999999995</v>
      </c>
      <c r="F42">
        <v>963.1</v>
      </c>
      <c r="G42" s="18">
        <f t="shared" si="4"/>
        <v>761.8</v>
      </c>
      <c r="H42" s="18">
        <f t="shared" si="5"/>
        <v>1078.5999999999999</v>
      </c>
      <c r="I42" s="30">
        <f t="shared" si="6"/>
        <v>-29.371407379936954</v>
      </c>
    </row>
    <row r="43" spans="1:9" x14ac:dyDescent="0.25">
      <c r="A43" s="20">
        <f t="shared" si="3"/>
        <v>41431</v>
      </c>
      <c r="B43" s="117" t="s">
        <v>279</v>
      </c>
      <c r="C43">
        <v>85</v>
      </c>
      <c r="D43">
        <v>118.5</v>
      </c>
      <c r="E43">
        <v>694.3</v>
      </c>
      <c r="F43">
        <v>963.1</v>
      </c>
      <c r="G43" s="18">
        <f t="shared" si="4"/>
        <v>779.3</v>
      </c>
      <c r="H43" s="18">
        <f t="shared" si="5"/>
        <v>1081.5999999999999</v>
      </c>
      <c r="I43" s="30">
        <f t="shared" si="6"/>
        <v>-27.949334319526631</v>
      </c>
    </row>
    <row r="44" spans="1:9" x14ac:dyDescent="0.25">
      <c r="A44" s="20">
        <f t="shared" si="3"/>
        <v>41438</v>
      </c>
      <c r="B44" s="117" t="s">
        <v>279</v>
      </c>
      <c r="C44">
        <v>67</v>
      </c>
      <c r="D44">
        <v>83</v>
      </c>
      <c r="E44">
        <v>742.3</v>
      </c>
      <c r="F44">
        <v>1006.6</v>
      </c>
      <c r="G44" s="18">
        <f t="shared" si="4"/>
        <v>809.3</v>
      </c>
      <c r="H44" s="18">
        <f t="shared" si="5"/>
        <v>1089.5999999999999</v>
      </c>
      <c r="I44" s="30">
        <f t="shared" si="6"/>
        <v>-25.725036710719529</v>
      </c>
    </row>
    <row r="45" spans="1:9" x14ac:dyDescent="0.25">
      <c r="A45" s="20">
        <f t="shared" si="3"/>
        <v>41445</v>
      </c>
      <c r="B45" s="117" t="s">
        <v>279</v>
      </c>
      <c r="C45">
        <v>67</v>
      </c>
      <c r="D45">
        <v>48</v>
      </c>
      <c r="E45">
        <v>800.3</v>
      </c>
      <c r="F45">
        <v>1041.5999999999999</v>
      </c>
      <c r="G45" s="18">
        <f t="shared" si="4"/>
        <v>867.3</v>
      </c>
      <c r="H45" s="18">
        <f t="shared" si="5"/>
        <v>1089.5999999999999</v>
      </c>
      <c r="I45" s="30">
        <f t="shared" si="6"/>
        <v>-20.401982378854623</v>
      </c>
    </row>
    <row r="46" spans="1:9" x14ac:dyDescent="0.25">
      <c r="A46" s="20">
        <f t="shared" si="3"/>
        <v>41452</v>
      </c>
      <c r="B46" s="117" t="s">
        <v>279</v>
      </c>
      <c r="C46">
        <v>106</v>
      </c>
      <c r="D46">
        <v>30.5</v>
      </c>
      <c r="E46">
        <v>832.2</v>
      </c>
      <c r="F46">
        <v>1081.5999999999999</v>
      </c>
      <c r="G46" s="18">
        <f t="shared" si="4"/>
        <v>938.2</v>
      </c>
      <c r="H46" s="18">
        <f t="shared" si="5"/>
        <v>1112.0999999999999</v>
      </c>
      <c r="I46" s="30">
        <f t="shared" si="6"/>
        <v>-15.637082996133433</v>
      </c>
    </row>
    <row r="47" spans="1:9" x14ac:dyDescent="0.25">
      <c r="A47" s="20">
        <f t="shared" si="3"/>
        <v>41459</v>
      </c>
      <c r="B47" s="117" t="s">
        <v>279</v>
      </c>
      <c r="C47">
        <v>138</v>
      </c>
      <c r="D47">
        <v>67.5</v>
      </c>
      <c r="E47">
        <v>858.2</v>
      </c>
      <c r="F47">
        <v>1081.5999999999999</v>
      </c>
      <c r="G47" s="18">
        <f t="shared" si="4"/>
        <v>996.2</v>
      </c>
      <c r="H47" s="18">
        <f t="shared" si="5"/>
        <v>1149.0999999999999</v>
      </c>
      <c r="I47" s="30">
        <f t="shared" si="6"/>
        <v>-13.306065616569473</v>
      </c>
    </row>
    <row r="48" spans="1:9" x14ac:dyDescent="0.25">
      <c r="A48" s="20">
        <f t="shared" si="3"/>
        <v>41466</v>
      </c>
      <c r="B48" s="117" t="s">
        <v>279</v>
      </c>
      <c r="C48">
        <v>106</v>
      </c>
      <c r="D48">
        <v>104.1</v>
      </c>
      <c r="E48">
        <v>960.8</v>
      </c>
      <c r="F48">
        <v>1081.5999999999999</v>
      </c>
      <c r="G48" s="18">
        <f t="shared" si="4"/>
        <v>1066.8</v>
      </c>
      <c r="H48" s="18">
        <f t="shared" si="5"/>
        <v>1185.6999999999998</v>
      </c>
      <c r="I48" s="30">
        <f t="shared" si="6"/>
        <v>-10.027831660622411</v>
      </c>
    </row>
    <row r="49" spans="1:12" x14ac:dyDescent="0.25">
      <c r="A49" s="20">
        <f t="shared" si="3"/>
        <v>41473</v>
      </c>
      <c r="B49" s="117" t="s">
        <v>279</v>
      </c>
      <c r="C49">
        <v>71</v>
      </c>
      <c r="D49">
        <v>87.1</v>
      </c>
      <c r="E49">
        <v>1008.8</v>
      </c>
      <c r="F49">
        <v>1099.0999999999999</v>
      </c>
      <c r="G49" s="18">
        <f t="shared" si="4"/>
        <v>1079.8</v>
      </c>
      <c r="H49" s="18">
        <f t="shared" si="5"/>
        <v>1186.1999999999998</v>
      </c>
      <c r="I49" s="30">
        <f t="shared" si="6"/>
        <v>-8.9698195919743604</v>
      </c>
    </row>
    <row r="50" spans="1:12" x14ac:dyDescent="0.25">
      <c r="A50" s="20">
        <f t="shared" si="3"/>
        <v>41480</v>
      </c>
      <c r="B50" s="117" t="s">
        <v>279</v>
      </c>
      <c r="C50">
        <v>26</v>
      </c>
      <c r="D50">
        <v>89.6</v>
      </c>
      <c r="E50">
        <v>1071.5999999999999</v>
      </c>
      <c r="F50">
        <v>1126.5999999999999</v>
      </c>
      <c r="G50" s="18">
        <f t="shared" si="4"/>
        <v>1097.5999999999999</v>
      </c>
      <c r="H50" s="18">
        <f t="shared" si="5"/>
        <v>1216.1999999999998</v>
      </c>
      <c r="I50" s="30">
        <f t="shared" si="6"/>
        <v>-9.7516855780299228</v>
      </c>
      <c r="J50">
        <v>16</v>
      </c>
    </row>
    <row r="51" spans="1:12" x14ac:dyDescent="0.25">
      <c r="A51" s="20">
        <f t="shared" si="3"/>
        <v>41487</v>
      </c>
      <c r="B51" s="117" t="s">
        <v>279</v>
      </c>
      <c r="C51">
        <v>46</v>
      </c>
      <c r="D51">
        <v>95.1</v>
      </c>
      <c r="E51">
        <v>1118.0999999999999</v>
      </c>
      <c r="F51">
        <v>1146.5999999999999</v>
      </c>
      <c r="G51" s="18">
        <f t="shared" si="4"/>
        <v>1164.0999999999999</v>
      </c>
      <c r="H51" s="18">
        <f t="shared" si="5"/>
        <v>1241.6999999999998</v>
      </c>
      <c r="I51" s="30">
        <f t="shared" si="6"/>
        <v>-6.2494966578078408</v>
      </c>
      <c r="J51">
        <v>16</v>
      </c>
    </row>
    <row r="52" spans="1:12" x14ac:dyDescent="0.25">
      <c r="A52" s="20">
        <f t="shared" si="3"/>
        <v>41494</v>
      </c>
      <c r="B52" s="117" t="s">
        <v>279</v>
      </c>
      <c r="C52">
        <v>26</v>
      </c>
      <c r="D52">
        <v>86.6</v>
      </c>
      <c r="E52">
        <v>1138.0999999999999</v>
      </c>
      <c r="F52">
        <v>1209.5999999999999</v>
      </c>
      <c r="G52" s="18">
        <f t="shared" si="4"/>
        <v>1164.0999999999999</v>
      </c>
      <c r="H52" s="18">
        <f t="shared" si="5"/>
        <v>1296.1999999999998</v>
      </c>
      <c r="I52" s="30">
        <f t="shared" si="6"/>
        <v>-10.191328498688467</v>
      </c>
      <c r="J52">
        <v>16</v>
      </c>
    </row>
    <row r="53" spans="1:12" x14ac:dyDescent="0.25">
      <c r="A53" s="20">
        <f t="shared" si="3"/>
        <v>41501</v>
      </c>
      <c r="B53" s="117" t="s">
        <v>279</v>
      </c>
      <c r="C53">
        <v>36</v>
      </c>
      <c r="D53">
        <v>96.6</v>
      </c>
      <c r="E53">
        <v>1138.0999999999999</v>
      </c>
      <c r="F53">
        <v>1235.0999999999999</v>
      </c>
      <c r="G53" s="18">
        <f t="shared" si="4"/>
        <v>1174.0999999999999</v>
      </c>
      <c r="H53" s="18">
        <f t="shared" si="5"/>
        <v>1331.6999999999998</v>
      </c>
      <c r="I53" s="30">
        <f t="shared" si="6"/>
        <v>-11.83449725914244</v>
      </c>
      <c r="J53">
        <v>16</v>
      </c>
    </row>
    <row r="54" spans="1:12" x14ac:dyDescent="0.25">
      <c r="A54" s="20">
        <f t="shared" si="3"/>
        <v>41508</v>
      </c>
      <c r="B54" s="117" t="s">
        <v>279</v>
      </c>
      <c r="C54">
        <v>16</v>
      </c>
      <c r="D54">
        <v>51.6</v>
      </c>
      <c r="E54">
        <v>1158.0999999999999</v>
      </c>
      <c r="F54">
        <v>1280.0999999999999</v>
      </c>
      <c r="G54" s="18">
        <f t="shared" si="4"/>
        <v>1174.0999999999999</v>
      </c>
      <c r="H54" s="18">
        <f t="shared" si="5"/>
        <v>1331.6999999999998</v>
      </c>
      <c r="I54" s="30">
        <f t="shared" si="6"/>
        <v>-11.83449725914244</v>
      </c>
      <c r="J54">
        <v>31</v>
      </c>
    </row>
    <row r="55" spans="1:12" x14ac:dyDescent="0.25">
      <c r="A55" s="20">
        <f t="shared" si="3"/>
        <v>41515</v>
      </c>
      <c r="B55" s="117" t="s">
        <v>279</v>
      </c>
      <c r="C55">
        <v>16</v>
      </c>
      <c r="D55">
        <v>51.6</v>
      </c>
      <c r="E55">
        <v>1158.0999999999999</v>
      </c>
      <c r="F55">
        <v>1280.0999999999999</v>
      </c>
      <c r="G55" s="18">
        <f t="shared" si="4"/>
        <v>1174.0999999999999</v>
      </c>
      <c r="H55" s="18">
        <f t="shared" si="5"/>
        <v>1331.6999999999998</v>
      </c>
      <c r="I55" s="30">
        <f t="shared" si="6"/>
        <v>-11.83449725914244</v>
      </c>
      <c r="J55">
        <v>58</v>
      </c>
    </row>
    <row r="56" spans="1:12" x14ac:dyDescent="0.25">
      <c r="A56" s="20">
        <f t="shared" si="3"/>
        <v>41522</v>
      </c>
      <c r="B56" s="117" t="s">
        <v>279</v>
      </c>
      <c r="C56">
        <v>84</v>
      </c>
      <c r="D56">
        <v>104.1</v>
      </c>
      <c r="E56">
        <v>10</v>
      </c>
      <c r="F56">
        <v>0</v>
      </c>
      <c r="G56" s="18">
        <f t="shared" si="4"/>
        <v>94</v>
      </c>
      <c r="H56" s="18">
        <f t="shared" si="5"/>
        <v>104.1</v>
      </c>
      <c r="I56" s="30">
        <f t="shared" si="6"/>
        <v>-9.7022094140249759</v>
      </c>
    </row>
    <row r="57" spans="1:12" x14ac:dyDescent="0.25">
      <c r="A57" s="20">
        <f t="shared" si="3"/>
        <v>41529</v>
      </c>
      <c r="B57" s="117" t="s">
        <v>279</v>
      </c>
      <c r="C57">
        <v>32</v>
      </c>
      <c r="D57">
        <v>59.6</v>
      </c>
      <c r="E57">
        <v>77</v>
      </c>
      <c r="F57">
        <v>57.5</v>
      </c>
      <c r="G57" s="18">
        <f t="shared" si="4"/>
        <v>109</v>
      </c>
      <c r="H57" s="18">
        <f t="shared" si="5"/>
        <v>117.1</v>
      </c>
      <c r="I57" s="30">
        <f t="shared" si="6"/>
        <v>-6.9171648163962374</v>
      </c>
    </row>
    <row r="58" spans="1:12" x14ac:dyDescent="0.25">
      <c r="A58" s="20">
        <f t="shared" si="3"/>
        <v>41536</v>
      </c>
      <c r="B58" s="117" t="s">
        <v>279</v>
      </c>
      <c r="C58">
        <v>8</v>
      </c>
      <c r="D58">
        <v>47.6</v>
      </c>
      <c r="E58">
        <v>113.5</v>
      </c>
      <c r="F58">
        <v>69.5</v>
      </c>
      <c r="G58" s="35">
        <f t="shared" si="4"/>
        <v>121.5</v>
      </c>
      <c r="H58" s="35">
        <f t="shared" si="5"/>
        <v>117.1</v>
      </c>
      <c r="I58" s="30">
        <f t="shared" si="6"/>
        <v>3.7574722459436494</v>
      </c>
    </row>
    <row r="59" spans="1:12" x14ac:dyDescent="0.25">
      <c r="A59" s="20">
        <f t="shared" si="3"/>
        <v>41543</v>
      </c>
      <c r="B59" s="117" t="s">
        <v>279</v>
      </c>
      <c r="C59">
        <v>34.6</v>
      </c>
      <c r="D59">
        <v>34.6</v>
      </c>
      <c r="E59">
        <v>113.5</v>
      </c>
      <c r="F59">
        <v>127.5</v>
      </c>
      <c r="G59" s="35">
        <f t="shared" si="4"/>
        <v>148.1</v>
      </c>
      <c r="H59" s="35">
        <f t="shared" si="5"/>
        <v>162.1</v>
      </c>
      <c r="I59" s="30">
        <f t="shared" si="6"/>
        <v>-8.6366440468846335</v>
      </c>
    </row>
    <row r="60" spans="1:12" x14ac:dyDescent="0.25">
      <c r="A60" s="20">
        <f t="shared" si="3"/>
        <v>41550</v>
      </c>
      <c r="B60" s="117" t="s">
        <v>279</v>
      </c>
      <c r="C60">
        <v>34.6</v>
      </c>
      <c r="D60">
        <v>34.6</v>
      </c>
      <c r="E60">
        <v>142</v>
      </c>
      <c r="F60">
        <v>137.5</v>
      </c>
      <c r="G60" s="35">
        <f t="shared" si="4"/>
        <v>176.6</v>
      </c>
      <c r="H60" s="35">
        <f t="shared" si="5"/>
        <v>172.1</v>
      </c>
      <c r="I60" s="30">
        <f t="shared" si="6"/>
        <v>2.6147588611272532</v>
      </c>
    </row>
    <row r="61" spans="1:12" x14ac:dyDescent="0.25">
      <c r="A61" s="20">
        <f t="shared" si="3"/>
        <v>41557</v>
      </c>
      <c r="B61" s="117" t="s">
        <v>279</v>
      </c>
    </row>
    <row r="62" spans="1:12" x14ac:dyDescent="0.25">
      <c r="A62" s="20">
        <f t="shared" si="3"/>
        <v>41564</v>
      </c>
      <c r="B62" s="117" t="s">
        <v>279</v>
      </c>
    </row>
    <row r="63" spans="1:12" ht="15" x14ac:dyDescent="0.25">
      <c r="A63" s="20">
        <f t="shared" si="3"/>
        <v>41571</v>
      </c>
      <c r="B63" s="117" t="s">
        <v>279</v>
      </c>
      <c r="C63">
        <v>71</v>
      </c>
      <c r="D63">
        <v>22.5</v>
      </c>
      <c r="E63">
        <v>160.6</v>
      </c>
      <c r="F63">
        <v>171.7</v>
      </c>
      <c r="G63" s="35">
        <f t="shared" ref="G63:H65" si="7">+C63+E63</f>
        <v>231.6</v>
      </c>
      <c r="H63" s="35">
        <f t="shared" si="7"/>
        <v>194.2</v>
      </c>
      <c r="I63" s="30">
        <f t="shared" ref="I63:I71" si="8">+(G63/H63-1)*100</f>
        <v>19.258496395468594</v>
      </c>
      <c r="K63" s="123"/>
    </row>
    <row r="64" spans="1:12" ht="15" x14ac:dyDescent="0.25">
      <c r="A64" s="20">
        <f t="shared" si="3"/>
        <v>41578</v>
      </c>
      <c r="B64" s="117" t="s">
        <v>279</v>
      </c>
      <c r="C64">
        <v>71</v>
      </c>
      <c r="D64">
        <v>22.5</v>
      </c>
      <c r="E64">
        <v>160.6</v>
      </c>
      <c r="F64">
        <v>171.7</v>
      </c>
      <c r="G64" s="35">
        <f t="shared" si="7"/>
        <v>231.6</v>
      </c>
      <c r="H64" s="35">
        <f t="shared" si="7"/>
        <v>194.2</v>
      </c>
      <c r="I64" s="30">
        <f t="shared" si="8"/>
        <v>19.258496395468594</v>
      </c>
      <c r="L64" s="123"/>
    </row>
    <row r="65" spans="1:17" ht="15" x14ac:dyDescent="0.25">
      <c r="A65" s="20">
        <f t="shared" si="3"/>
        <v>41585</v>
      </c>
      <c r="B65" s="117" t="s">
        <v>279</v>
      </c>
      <c r="C65">
        <v>61</v>
      </c>
      <c r="D65">
        <v>22.5</v>
      </c>
      <c r="E65">
        <v>165.6</v>
      </c>
      <c r="F65">
        <v>171.7</v>
      </c>
      <c r="G65" s="35">
        <f t="shared" si="7"/>
        <v>226.6</v>
      </c>
      <c r="H65" s="35">
        <f t="shared" si="7"/>
        <v>194.2</v>
      </c>
      <c r="I65" s="30">
        <f t="shared" si="8"/>
        <v>16.683831101956748</v>
      </c>
      <c r="L65" s="123"/>
    </row>
    <row r="66" spans="1:17" x14ac:dyDescent="0.25">
      <c r="A66" s="20">
        <f t="shared" si="3"/>
        <v>41592</v>
      </c>
      <c r="B66" s="117" t="s">
        <v>279</v>
      </c>
      <c r="C66">
        <v>61</v>
      </c>
      <c r="D66">
        <v>43</v>
      </c>
      <c r="E66">
        <v>165.6</v>
      </c>
      <c r="F66">
        <v>184.2</v>
      </c>
      <c r="G66" s="35">
        <f t="shared" ref="G66:H71" si="9">+C66+E66</f>
        <v>226.6</v>
      </c>
      <c r="H66" s="35">
        <f t="shared" si="9"/>
        <v>227.2</v>
      </c>
      <c r="I66" s="30">
        <f t="shared" si="8"/>
        <v>-0.26408450704225039</v>
      </c>
    </row>
    <row r="67" spans="1:17" x14ac:dyDescent="0.25">
      <c r="A67" s="20">
        <f t="shared" si="3"/>
        <v>41599</v>
      </c>
      <c r="B67" s="117" t="s">
        <v>279</v>
      </c>
      <c r="C67">
        <v>61</v>
      </c>
      <c r="D67">
        <v>33</v>
      </c>
      <c r="E67">
        <v>165.6</v>
      </c>
      <c r="F67">
        <v>194.2</v>
      </c>
      <c r="G67" s="35">
        <f t="shared" si="9"/>
        <v>226.6</v>
      </c>
      <c r="H67" s="35">
        <f t="shared" si="9"/>
        <v>227.2</v>
      </c>
      <c r="I67" s="30">
        <f t="shared" si="8"/>
        <v>-0.26408450704225039</v>
      </c>
    </row>
    <row r="68" spans="1:17" x14ac:dyDescent="0.25">
      <c r="A68" s="20">
        <f t="shared" si="3"/>
        <v>41606</v>
      </c>
      <c r="B68" s="117" t="s">
        <v>279</v>
      </c>
      <c r="C68">
        <v>73</v>
      </c>
      <c r="D68">
        <v>10</v>
      </c>
      <c r="E68">
        <v>181.6</v>
      </c>
      <c r="F68">
        <v>227.2</v>
      </c>
      <c r="G68" s="35">
        <f t="shared" si="9"/>
        <v>254.6</v>
      </c>
      <c r="H68" s="35">
        <f t="shared" si="9"/>
        <v>237.2</v>
      </c>
      <c r="I68" s="30">
        <f t="shared" si="8"/>
        <v>7.3355817875210727</v>
      </c>
    </row>
    <row r="69" spans="1:17" x14ac:dyDescent="0.25">
      <c r="A69" s="20">
        <f t="shared" si="3"/>
        <v>41613</v>
      </c>
      <c r="B69" s="117" t="s">
        <v>279</v>
      </c>
      <c r="C69">
        <v>74</v>
      </c>
      <c r="D69">
        <v>10</v>
      </c>
      <c r="E69">
        <v>230.7</v>
      </c>
      <c r="F69">
        <v>237.2</v>
      </c>
      <c r="G69" s="35">
        <f t="shared" si="9"/>
        <v>304.7</v>
      </c>
      <c r="H69" s="35">
        <f t="shared" si="9"/>
        <v>247.2</v>
      </c>
      <c r="I69" s="30">
        <f t="shared" si="8"/>
        <v>23.260517799352741</v>
      </c>
    </row>
    <row r="70" spans="1:17" x14ac:dyDescent="0.25">
      <c r="A70" s="20">
        <f t="shared" si="3"/>
        <v>41620</v>
      </c>
      <c r="B70" s="117" t="s">
        <v>279</v>
      </c>
      <c r="C70">
        <v>64</v>
      </c>
      <c r="D70">
        <v>40</v>
      </c>
      <c r="E70">
        <v>240.7</v>
      </c>
      <c r="F70">
        <v>237.2</v>
      </c>
      <c r="G70" s="35">
        <f t="shared" si="9"/>
        <v>304.7</v>
      </c>
      <c r="H70" s="35">
        <f t="shared" si="9"/>
        <v>277.2</v>
      </c>
      <c r="I70" s="30">
        <f t="shared" si="8"/>
        <v>9.9206349206349298</v>
      </c>
    </row>
    <row r="71" spans="1:17" x14ac:dyDescent="0.25">
      <c r="A71" s="20">
        <f t="shared" ref="A71:A134" si="10">+A70+7</f>
        <v>41627</v>
      </c>
      <c r="B71" s="117" t="s">
        <v>279</v>
      </c>
      <c r="C71">
        <v>151</v>
      </c>
      <c r="D71">
        <v>30</v>
      </c>
      <c r="E71">
        <v>240.7</v>
      </c>
      <c r="F71">
        <v>247.2</v>
      </c>
      <c r="G71" s="35">
        <f t="shared" si="9"/>
        <v>391.7</v>
      </c>
      <c r="H71" s="35">
        <f t="shared" si="9"/>
        <v>277.2</v>
      </c>
      <c r="I71" s="30">
        <f t="shared" si="8"/>
        <v>41.305916305916313</v>
      </c>
    </row>
    <row r="72" spans="1:17" x14ac:dyDescent="0.25">
      <c r="A72" s="20">
        <f t="shared" si="10"/>
        <v>41634</v>
      </c>
      <c r="B72" s="117" t="s">
        <v>279</v>
      </c>
      <c r="C72">
        <v>151</v>
      </c>
      <c r="D72">
        <v>30</v>
      </c>
      <c r="E72">
        <v>257.7</v>
      </c>
      <c r="F72">
        <v>247.2</v>
      </c>
      <c r="G72" s="35">
        <f t="shared" ref="G72:H74" si="11">+C72+E72</f>
        <v>408.7</v>
      </c>
      <c r="H72" s="35">
        <f t="shared" si="11"/>
        <v>277.2</v>
      </c>
      <c r="I72" s="30">
        <f t="shared" ref="I72:I77" si="12">+(G72/H72-1)*100</f>
        <v>47.438672438672434</v>
      </c>
    </row>
    <row r="73" spans="1:17" x14ac:dyDescent="0.25">
      <c r="A73" s="20">
        <f t="shared" si="10"/>
        <v>41641</v>
      </c>
      <c r="B73" s="117" t="s">
        <v>279</v>
      </c>
      <c r="C73">
        <v>151</v>
      </c>
      <c r="D73">
        <v>30</v>
      </c>
      <c r="E73">
        <v>257.7</v>
      </c>
      <c r="F73">
        <v>253.2</v>
      </c>
      <c r="G73" s="35">
        <f t="shared" si="11"/>
        <v>408.7</v>
      </c>
      <c r="H73" s="35">
        <f t="shared" si="11"/>
        <v>283.2</v>
      </c>
      <c r="I73" s="30">
        <f t="shared" si="12"/>
        <v>44.314971751412436</v>
      </c>
    </row>
    <row r="74" spans="1:17" x14ac:dyDescent="0.25">
      <c r="A74" s="20">
        <f t="shared" si="10"/>
        <v>41648</v>
      </c>
      <c r="B74" s="117" t="s">
        <v>279</v>
      </c>
      <c r="C74">
        <v>160</v>
      </c>
      <c r="D74" s="205">
        <f>C22</f>
        <v>30</v>
      </c>
      <c r="E74">
        <v>273.10000000000002</v>
      </c>
      <c r="F74" s="203">
        <f>E22</f>
        <v>253.2</v>
      </c>
      <c r="G74" s="35">
        <f t="shared" si="11"/>
        <v>433.1</v>
      </c>
      <c r="H74" s="35">
        <f t="shared" si="11"/>
        <v>283.2</v>
      </c>
      <c r="I74" s="30">
        <f t="shared" si="12"/>
        <v>52.930790960451986</v>
      </c>
    </row>
    <row r="75" spans="1:17" ht="15" x14ac:dyDescent="0.25">
      <c r="A75" s="20">
        <f t="shared" si="10"/>
        <v>41655</v>
      </c>
      <c r="B75" s="117" t="s">
        <v>279</v>
      </c>
      <c r="C75">
        <v>160</v>
      </c>
      <c r="D75" s="205">
        <f t="shared" ref="D75:D85" si="13">C23</f>
        <v>30</v>
      </c>
      <c r="E75">
        <v>273.10000000000002</v>
      </c>
      <c r="F75" s="203">
        <f t="shared" ref="F75:F85" si="14">E23</f>
        <v>253.2</v>
      </c>
      <c r="G75" s="35">
        <f t="shared" ref="G75:H80" si="15">+C75+E75</f>
        <v>433.1</v>
      </c>
      <c r="H75" s="35">
        <f t="shared" si="15"/>
        <v>283.2</v>
      </c>
      <c r="I75" s="30">
        <f t="shared" si="12"/>
        <v>52.930790960451986</v>
      </c>
      <c r="L75" s="123"/>
    </row>
    <row r="76" spans="1:17" x14ac:dyDescent="0.25">
      <c r="A76" s="20">
        <f t="shared" si="10"/>
        <v>41662</v>
      </c>
      <c r="B76" s="117" t="s">
        <v>279</v>
      </c>
      <c r="C76">
        <v>185</v>
      </c>
      <c r="D76" s="205">
        <f t="shared" si="13"/>
        <v>0</v>
      </c>
      <c r="E76">
        <v>273.10000000000002</v>
      </c>
      <c r="F76" s="203">
        <f t="shared" si="14"/>
        <v>283.2</v>
      </c>
      <c r="G76" s="35">
        <f t="shared" si="15"/>
        <v>458.1</v>
      </c>
      <c r="H76" s="35">
        <f t="shared" si="15"/>
        <v>283.2</v>
      </c>
      <c r="I76" s="30">
        <f t="shared" si="12"/>
        <v>61.758474576271198</v>
      </c>
    </row>
    <row r="77" spans="1:17" ht="15" x14ac:dyDescent="0.25">
      <c r="A77" s="20">
        <f t="shared" si="10"/>
        <v>41669</v>
      </c>
      <c r="B77" s="117" t="s">
        <v>279</v>
      </c>
      <c r="C77">
        <v>160</v>
      </c>
      <c r="D77" s="205">
        <f t="shared" si="13"/>
        <v>77</v>
      </c>
      <c r="E77">
        <v>305.10000000000002</v>
      </c>
      <c r="F77" s="203">
        <f t="shared" si="14"/>
        <v>298.2</v>
      </c>
      <c r="G77" s="35">
        <f t="shared" si="15"/>
        <v>465.1</v>
      </c>
      <c r="H77" s="35">
        <f t="shared" si="15"/>
        <v>375.2</v>
      </c>
      <c r="I77" s="30">
        <f t="shared" si="12"/>
        <v>23.960554371002154</v>
      </c>
      <c r="L77" s="123"/>
    </row>
    <row r="78" spans="1:17" ht="15" x14ac:dyDescent="0.25">
      <c r="A78" s="20">
        <f t="shared" si="10"/>
        <v>41676</v>
      </c>
      <c r="B78" s="117" t="s">
        <v>279</v>
      </c>
      <c r="C78">
        <v>197</v>
      </c>
      <c r="D78" s="205">
        <f t="shared" si="13"/>
        <v>77</v>
      </c>
      <c r="E78">
        <v>322.10000000000002</v>
      </c>
      <c r="F78" s="203">
        <f t="shared" si="14"/>
        <v>298.2</v>
      </c>
      <c r="G78" s="35">
        <f t="shared" si="15"/>
        <v>519.1</v>
      </c>
      <c r="H78" s="35">
        <f>+D78+F78</f>
        <v>375.2</v>
      </c>
      <c r="I78" s="30">
        <f>+(G78/H78-1)*100</f>
        <v>38.352878464818765</v>
      </c>
      <c r="K78" s="123"/>
      <c r="L78" s="59"/>
      <c r="M78" s="59"/>
      <c r="N78" s="59"/>
      <c r="O78" s="59"/>
      <c r="P78" s="59"/>
      <c r="Q78" s="59"/>
    </row>
    <row r="79" spans="1:17" x14ac:dyDescent="0.25">
      <c r="A79" s="20">
        <f t="shared" si="10"/>
        <v>41683</v>
      </c>
      <c r="B79" s="117" t="s">
        <v>279</v>
      </c>
      <c r="C79">
        <v>218</v>
      </c>
      <c r="D79" s="205">
        <f t="shared" si="13"/>
        <v>77</v>
      </c>
      <c r="E79">
        <v>347.1</v>
      </c>
      <c r="F79" s="203">
        <f t="shared" si="14"/>
        <v>298.2</v>
      </c>
      <c r="G79" s="35">
        <f t="shared" si="15"/>
        <v>565.1</v>
      </c>
      <c r="H79" s="35">
        <f>+D79+F79</f>
        <v>375.2</v>
      </c>
      <c r="I79" s="30">
        <f>+(G79/H79-1)*100</f>
        <v>50.613006396588503</v>
      </c>
    </row>
    <row r="80" spans="1:17" x14ac:dyDescent="0.25">
      <c r="A80" s="20">
        <f t="shared" si="10"/>
        <v>41690</v>
      </c>
      <c r="B80" s="117" t="s">
        <v>279</v>
      </c>
      <c r="C80">
        <v>218</v>
      </c>
      <c r="D80" s="205">
        <f t="shared" si="13"/>
        <v>30.5</v>
      </c>
      <c r="E80">
        <v>347.1</v>
      </c>
      <c r="F80" s="203">
        <f t="shared" si="14"/>
        <v>365.2</v>
      </c>
      <c r="G80" s="35">
        <f t="shared" si="15"/>
        <v>565.1</v>
      </c>
      <c r="H80" s="35">
        <f>+D80+F80</f>
        <v>395.7</v>
      </c>
      <c r="I80" s="30">
        <f>+(G80/H80-1)*100</f>
        <v>42.8102097548648</v>
      </c>
    </row>
    <row r="81" spans="1:6" x14ac:dyDescent="0.25">
      <c r="A81" s="20">
        <f t="shared" si="10"/>
        <v>41697</v>
      </c>
      <c r="B81" s="117" t="s">
        <v>279</v>
      </c>
      <c r="D81" s="205">
        <f t="shared" si="13"/>
        <v>10</v>
      </c>
      <c r="F81" s="203">
        <f t="shared" si="14"/>
        <v>385.7</v>
      </c>
    </row>
    <row r="82" spans="1:6" x14ac:dyDescent="0.25">
      <c r="A82" s="20">
        <f t="shared" si="10"/>
        <v>41704</v>
      </c>
      <c r="B82" s="117" t="s">
        <v>279</v>
      </c>
      <c r="D82" s="205">
        <f t="shared" si="13"/>
        <v>10</v>
      </c>
      <c r="F82" s="203">
        <f t="shared" si="14"/>
        <v>385.7</v>
      </c>
    </row>
    <row r="83" spans="1:6" x14ac:dyDescent="0.25">
      <c r="A83" s="20">
        <f t="shared" si="10"/>
        <v>41711</v>
      </c>
      <c r="B83" s="117" t="s">
        <v>279</v>
      </c>
      <c r="D83" s="205">
        <f t="shared" si="13"/>
        <v>10</v>
      </c>
      <c r="F83" s="203">
        <f t="shared" si="14"/>
        <v>385.7</v>
      </c>
    </row>
    <row r="84" spans="1:6" x14ac:dyDescent="0.25">
      <c r="A84" s="20">
        <f t="shared" si="10"/>
        <v>41718</v>
      </c>
      <c r="B84" s="117" t="s">
        <v>279</v>
      </c>
      <c r="D84" s="205">
        <f t="shared" si="13"/>
        <v>90</v>
      </c>
      <c r="F84" s="203">
        <f t="shared" si="14"/>
        <v>395.7</v>
      </c>
    </row>
    <row r="85" spans="1:6" x14ac:dyDescent="0.25">
      <c r="A85" s="20">
        <f t="shared" si="10"/>
        <v>41725</v>
      </c>
      <c r="B85" s="117" t="s">
        <v>279</v>
      </c>
      <c r="D85" s="205">
        <f t="shared" si="13"/>
        <v>87</v>
      </c>
      <c r="F85" s="203">
        <f t="shared" si="14"/>
        <v>450.7</v>
      </c>
    </row>
    <row r="86" spans="1:6" x14ac:dyDescent="0.25">
      <c r="A86" s="20">
        <f t="shared" si="10"/>
        <v>41732</v>
      </c>
      <c r="B86" s="117" t="s">
        <v>279</v>
      </c>
    </row>
    <row r="87" spans="1:6" x14ac:dyDescent="0.25">
      <c r="A87" s="20">
        <f t="shared" si="10"/>
        <v>41739</v>
      </c>
      <c r="B87" s="117" t="s">
        <v>279</v>
      </c>
    </row>
    <row r="88" spans="1:6" x14ac:dyDescent="0.25">
      <c r="A88" s="20">
        <f t="shared" si="10"/>
        <v>41746</v>
      </c>
      <c r="B88" s="117" t="s">
        <v>279</v>
      </c>
    </row>
    <row r="89" spans="1:6" x14ac:dyDescent="0.25">
      <c r="A89" s="20">
        <f t="shared" si="10"/>
        <v>41753</v>
      </c>
      <c r="B89" s="117" t="s">
        <v>279</v>
      </c>
    </row>
    <row r="90" spans="1:6" x14ac:dyDescent="0.25">
      <c r="A90" s="20">
        <f t="shared" si="10"/>
        <v>41760</v>
      </c>
      <c r="B90" s="117" t="s">
        <v>279</v>
      </c>
    </row>
    <row r="91" spans="1:6" x14ac:dyDescent="0.25">
      <c r="A91" s="20">
        <f t="shared" si="10"/>
        <v>41767</v>
      </c>
      <c r="B91" s="117" t="s">
        <v>279</v>
      </c>
    </row>
    <row r="92" spans="1:6" x14ac:dyDescent="0.25">
      <c r="A92" s="20">
        <f t="shared" si="10"/>
        <v>41774</v>
      </c>
      <c r="B92" s="117" t="s">
        <v>279</v>
      </c>
    </row>
    <row r="93" spans="1:6" x14ac:dyDescent="0.25">
      <c r="A93" s="20">
        <f t="shared" si="10"/>
        <v>41781</v>
      </c>
      <c r="B93" s="117" t="s">
        <v>279</v>
      </c>
    </row>
    <row r="94" spans="1:6" x14ac:dyDescent="0.25">
      <c r="A94" s="20">
        <f t="shared" si="10"/>
        <v>41788</v>
      </c>
      <c r="B94" s="117" t="s">
        <v>279</v>
      </c>
    </row>
    <row r="95" spans="1:6" x14ac:dyDescent="0.25">
      <c r="A95" s="20">
        <f t="shared" si="10"/>
        <v>41795</v>
      </c>
      <c r="B95" s="117" t="s">
        <v>279</v>
      </c>
    </row>
    <row r="96" spans="1:6" x14ac:dyDescent="0.25">
      <c r="A96" s="20">
        <f t="shared" si="10"/>
        <v>41802</v>
      </c>
      <c r="B96" s="117" t="s">
        <v>279</v>
      </c>
    </row>
    <row r="97" spans="1:2" x14ac:dyDescent="0.25">
      <c r="A97" s="20">
        <f t="shared" si="10"/>
        <v>41809</v>
      </c>
      <c r="B97" s="117" t="s">
        <v>279</v>
      </c>
    </row>
    <row r="98" spans="1:2" x14ac:dyDescent="0.25">
      <c r="A98" s="20">
        <f t="shared" si="10"/>
        <v>41816</v>
      </c>
      <c r="B98" s="117" t="s">
        <v>279</v>
      </c>
    </row>
    <row r="99" spans="1:2" x14ac:dyDescent="0.25">
      <c r="A99" s="20">
        <f t="shared" si="10"/>
        <v>41823</v>
      </c>
      <c r="B99" s="117" t="s">
        <v>279</v>
      </c>
    </row>
    <row r="100" spans="1:2" x14ac:dyDescent="0.25">
      <c r="A100" s="20">
        <f t="shared" si="10"/>
        <v>41830</v>
      </c>
      <c r="B100" s="117" t="s">
        <v>279</v>
      </c>
    </row>
    <row r="101" spans="1:2" x14ac:dyDescent="0.25">
      <c r="A101" s="20">
        <f t="shared" si="10"/>
        <v>41837</v>
      </c>
      <c r="B101" s="117" t="s">
        <v>279</v>
      </c>
    </row>
    <row r="102" spans="1:2" x14ac:dyDescent="0.25">
      <c r="A102" s="20">
        <f t="shared" si="10"/>
        <v>41844</v>
      </c>
      <c r="B102" s="117" t="s">
        <v>279</v>
      </c>
    </row>
    <row r="103" spans="1:2" x14ac:dyDescent="0.25">
      <c r="A103" s="20">
        <f t="shared" si="10"/>
        <v>41851</v>
      </c>
      <c r="B103" s="117" t="s">
        <v>279</v>
      </c>
    </row>
    <row r="104" spans="1:2" x14ac:dyDescent="0.25">
      <c r="A104" s="20">
        <f t="shared" si="10"/>
        <v>41858</v>
      </c>
      <c r="B104" s="117" t="s">
        <v>279</v>
      </c>
    </row>
    <row r="105" spans="1:2" x14ac:dyDescent="0.25">
      <c r="A105" s="20">
        <f t="shared" si="10"/>
        <v>41865</v>
      </c>
      <c r="B105" s="117" t="s">
        <v>279</v>
      </c>
    </row>
    <row r="106" spans="1:2" x14ac:dyDescent="0.25">
      <c r="A106" s="20">
        <f t="shared" si="10"/>
        <v>41872</v>
      </c>
      <c r="B106" s="117" t="s">
        <v>279</v>
      </c>
    </row>
    <row r="107" spans="1:2" x14ac:dyDescent="0.25">
      <c r="A107" s="20">
        <f t="shared" si="10"/>
        <v>41879</v>
      </c>
      <c r="B107" s="117" t="s">
        <v>279</v>
      </c>
    </row>
    <row r="108" spans="1:2" x14ac:dyDescent="0.25">
      <c r="A108" s="20">
        <f t="shared" si="10"/>
        <v>41886</v>
      </c>
      <c r="B108" s="117" t="s">
        <v>279</v>
      </c>
    </row>
    <row r="109" spans="1:2" x14ac:dyDescent="0.25">
      <c r="A109" s="20">
        <f t="shared" si="10"/>
        <v>41893</v>
      </c>
      <c r="B109" s="117" t="s">
        <v>279</v>
      </c>
    </row>
    <row r="110" spans="1:2" x14ac:dyDescent="0.25">
      <c r="A110" s="20">
        <f t="shared" si="10"/>
        <v>41900</v>
      </c>
      <c r="B110" s="117" t="s">
        <v>279</v>
      </c>
    </row>
    <row r="111" spans="1:2" x14ac:dyDescent="0.25">
      <c r="A111" s="20">
        <f t="shared" si="10"/>
        <v>41907</v>
      </c>
      <c r="B111" s="117" t="s">
        <v>279</v>
      </c>
    </row>
    <row r="112" spans="1:2" x14ac:dyDescent="0.25">
      <c r="A112" s="20">
        <f t="shared" si="10"/>
        <v>41914</v>
      </c>
      <c r="B112" s="117" t="s">
        <v>279</v>
      </c>
    </row>
    <row r="113" spans="1:2" x14ac:dyDescent="0.25">
      <c r="A113" s="20">
        <f t="shared" si="10"/>
        <v>41921</v>
      </c>
      <c r="B113" s="117" t="s">
        <v>279</v>
      </c>
    </row>
    <row r="114" spans="1:2" x14ac:dyDescent="0.25">
      <c r="A114" s="20">
        <f t="shared" si="10"/>
        <v>41928</v>
      </c>
      <c r="B114" s="117" t="s">
        <v>279</v>
      </c>
    </row>
    <row r="115" spans="1:2" x14ac:dyDescent="0.25">
      <c r="A115" s="20">
        <f t="shared" si="10"/>
        <v>41935</v>
      </c>
      <c r="B115" s="117" t="s">
        <v>279</v>
      </c>
    </row>
    <row r="116" spans="1:2" x14ac:dyDescent="0.25">
      <c r="A116" s="20">
        <f t="shared" si="10"/>
        <v>41942</v>
      </c>
      <c r="B116" s="117" t="s">
        <v>279</v>
      </c>
    </row>
    <row r="117" spans="1:2" x14ac:dyDescent="0.25">
      <c r="A117" s="20">
        <f t="shared" si="10"/>
        <v>41949</v>
      </c>
      <c r="B117" s="117" t="s">
        <v>279</v>
      </c>
    </row>
    <row r="118" spans="1:2" x14ac:dyDescent="0.25">
      <c r="A118" s="20">
        <f t="shared" si="10"/>
        <v>41956</v>
      </c>
      <c r="B118" s="117" t="s">
        <v>279</v>
      </c>
    </row>
    <row r="119" spans="1:2" x14ac:dyDescent="0.25">
      <c r="A119" s="20">
        <f t="shared" si="10"/>
        <v>41963</v>
      </c>
      <c r="B119" s="117" t="s">
        <v>279</v>
      </c>
    </row>
    <row r="120" spans="1:2" x14ac:dyDescent="0.25">
      <c r="A120" s="20">
        <f t="shared" si="10"/>
        <v>41970</v>
      </c>
      <c r="B120" s="117" t="s">
        <v>279</v>
      </c>
    </row>
    <row r="121" spans="1:2" x14ac:dyDescent="0.25">
      <c r="A121" s="20">
        <f t="shared" si="10"/>
        <v>41977</v>
      </c>
      <c r="B121" s="117" t="s">
        <v>279</v>
      </c>
    </row>
    <row r="122" spans="1:2" x14ac:dyDescent="0.25">
      <c r="A122" s="20">
        <f t="shared" si="10"/>
        <v>41984</v>
      </c>
      <c r="B122" s="117" t="s">
        <v>279</v>
      </c>
    </row>
    <row r="123" spans="1:2" x14ac:dyDescent="0.25">
      <c r="A123" s="20">
        <f t="shared" si="10"/>
        <v>41991</v>
      </c>
      <c r="B123" s="117" t="s">
        <v>279</v>
      </c>
    </row>
    <row r="124" spans="1:2" x14ac:dyDescent="0.25">
      <c r="A124" s="20">
        <f t="shared" si="10"/>
        <v>41998</v>
      </c>
      <c r="B124" s="117" t="s">
        <v>279</v>
      </c>
    </row>
    <row r="125" spans="1:2" x14ac:dyDescent="0.25">
      <c r="A125" s="20">
        <f t="shared" si="10"/>
        <v>42005</v>
      </c>
      <c r="B125" s="117" t="s">
        <v>279</v>
      </c>
    </row>
    <row r="126" spans="1:2" x14ac:dyDescent="0.25">
      <c r="A126" s="20">
        <f t="shared" si="10"/>
        <v>42012</v>
      </c>
      <c r="B126" s="117" t="s">
        <v>279</v>
      </c>
    </row>
    <row r="127" spans="1:2" x14ac:dyDescent="0.25">
      <c r="A127" s="20">
        <f t="shared" si="10"/>
        <v>42019</v>
      </c>
      <c r="B127" s="117" t="s">
        <v>279</v>
      </c>
    </row>
    <row r="128" spans="1:2" x14ac:dyDescent="0.25">
      <c r="A128" s="20">
        <f t="shared" si="10"/>
        <v>42026</v>
      </c>
      <c r="B128" s="117" t="s">
        <v>279</v>
      </c>
    </row>
    <row r="129" spans="1:2" x14ac:dyDescent="0.25">
      <c r="A129" s="20">
        <f t="shared" si="10"/>
        <v>42033</v>
      </c>
      <c r="B129" s="117" t="s">
        <v>279</v>
      </c>
    </row>
    <row r="130" spans="1:2" x14ac:dyDescent="0.25">
      <c r="A130" s="20">
        <f t="shared" si="10"/>
        <v>42040</v>
      </c>
      <c r="B130" s="117" t="s">
        <v>279</v>
      </c>
    </row>
    <row r="131" spans="1:2" x14ac:dyDescent="0.25">
      <c r="A131" s="20">
        <f t="shared" si="10"/>
        <v>42047</v>
      </c>
      <c r="B131" s="117" t="s">
        <v>279</v>
      </c>
    </row>
    <row r="132" spans="1:2" x14ac:dyDescent="0.25">
      <c r="A132" s="20">
        <f t="shared" si="10"/>
        <v>42054</v>
      </c>
      <c r="B132" s="117" t="s">
        <v>279</v>
      </c>
    </row>
    <row r="133" spans="1:2" x14ac:dyDescent="0.25">
      <c r="A133" s="20">
        <f t="shared" si="10"/>
        <v>42061</v>
      </c>
      <c r="B133" s="117" t="s">
        <v>279</v>
      </c>
    </row>
    <row r="134" spans="1:2" x14ac:dyDescent="0.25">
      <c r="A134" s="20">
        <f t="shared" si="10"/>
        <v>42068</v>
      </c>
      <c r="B134" s="117" t="s">
        <v>279</v>
      </c>
    </row>
    <row r="135" spans="1:2" x14ac:dyDescent="0.25">
      <c r="A135" s="20">
        <f t="shared" ref="A135:A198" si="16">+A134+7</f>
        <v>42075</v>
      </c>
      <c r="B135" s="117" t="s">
        <v>279</v>
      </c>
    </row>
    <row r="136" spans="1:2" x14ac:dyDescent="0.25">
      <c r="A136" s="20">
        <f t="shared" si="16"/>
        <v>42082</v>
      </c>
      <c r="B136" s="117" t="s">
        <v>279</v>
      </c>
    </row>
    <row r="137" spans="1:2" x14ac:dyDescent="0.25">
      <c r="A137" s="20">
        <f t="shared" si="16"/>
        <v>42089</v>
      </c>
      <c r="B137" s="117" t="s">
        <v>279</v>
      </c>
    </row>
    <row r="138" spans="1:2" x14ac:dyDescent="0.25">
      <c r="A138" s="20">
        <f t="shared" si="16"/>
        <v>42096</v>
      </c>
      <c r="B138" s="117" t="s">
        <v>279</v>
      </c>
    </row>
    <row r="139" spans="1:2" x14ac:dyDescent="0.25">
      <c r="A139" s="20">
        <f t="shared" si="16"/>
        <v>42103</v>
      </c>
      <c r="B139" s="117" t="s">
        <v>279</v>
      </c>
    </row>
    <row r="140" spans="1:2" x14ac:dyDescent="0.25">
      <c r="A140" s="20">
        <f t="shared" si="16"/>
        <v>42110</v>
      </c>
      <c r="B140" s="117" t="s">
        <v>279</v>
      </c>
    </row>
    <row r="141" spans="1:2" x14ac:dyDescent="0.25">
      <c r="A141" s="20">
        <f t="shared" si="16"/>
        <v>42117</v>
      </c>
      <c r="B141" s="117" t="s">
        <v>279</v>
      </c>
    </row>
    <row r="142" spans="1:2" x14ac:dyDescent="0.25">
      <c r="A142" s="20">
        <f t="shared" si="16"/>
        <v>42124</v>
      </c>
      <c r="B142" s="117" t="s">
        <v>279</v>
      </c>
    </row>
    <row r="143" spans="1:2" x14ac:dyDescent="0.25">
      <c r="A143" s="20">
        <f t="shared" si="16"/>
        <v>42131</v>
      </c>
      <c r="B143" s="117" t="s">
        <v>279</v>
      </c>
    </row>
    <row r="144" spans="1:2" x14ac:dyDescent="0.25">
      <c r="A144" s="20">
        <f t="shared" si="16"/>
        <v>42138</v>
      </c>
      <c r="B144" s="117" t="s">
        <v>279</v>
      </c>
    </row>
    <row r="145" spans="1:2" x14ac:dyDescent="0.25">
      <c r="A145" s="20">
        <f t="shared" si="16"/>
        <v>42145</v>
      </c>
      <c r="B145" s="117" t="s">
        <v>279</v>
      </c>
    </row>
    <row r="146" spans="1:2" x14ac:dyDescent="0.25">
      <c r="A146" s="20">
        <f t="shared" si="16"/>
        <v>42152</v>
      </c>
      <c r="B146" s="117" t="s">
        <v>279</v>
      </c>
    </row>
    <row r="147" spans="1:2" x14ac:dyDescent="0.25">
      <c r="A147" s="20">
        <f t="shared" si="16"/>
        <v>42159</v>
      </c>
      <c r="B147" s="117" t="s">
        <v>279</v>
      </c>
    </row>
    <row r="148" spans="1:2" x14ac:dyDescent="0.25">
      <c r="A148" s="20">
        <f t="shared" si="16"/>
        <v>42166</v>
      </c>
      <c r="B148" s="117" t="s">
        <v>279</v>
      </c>
    </row>
    <row r="149" spans="1:2" x14ac:dyDescent="0.25">
      <c r="A149" s="20">
        <f t="shared" si="16"/>
        <v>42173</v>
      </c>
      <c r="B149" s="117" t="s">
        <v>279</v>
      </c>
    </row>
    <row r="150" spans="1:2" x14ac:dyDescent="0.25">
      <c r="A150" s="20">
        <f t="shared" si="16"/>
        <v>42180</v>
      </c>
      <c r="B150" s="117" t="s">
        <v>279</v>
      </c>
    </row>
    <row r="151" spans="1:2" x14ac:dyDescent="0.25">
      <c r="A151" s="20">
        <f t="shared" si="16"/>
        <v>42187</v>
      </c>
      <c r="B151" s="117" t="s">
        <v>279</v>
      </c>
    </row>
    <row r="152" spans="1:2" x14ac:dyDescent="0.25">
      <c r="A152" s="20">
        <f t="shared" si="16"/>
        <v>42194</v>
      </c>
      <c r="B152" s="117" t="s">
        <v>279</v>
      </c>
    </row>
    <row r="153" spans="1:2" x14ac:dyDescent="0.25">
      <c r="A153" s="20">
        <f t="shared" si="16"/>
        <v>42201</v>
      </c>
      <c r="B153" s="117" t="s">
        <v>279</v>
      </c>
    </row>
    <row r="154" spans="1:2" x14ac:dyDescent="0.25">
      <c r="A154" s="20">
        <f t="shared" si="16"/>
        <v>42208</v>
      </c>
      <c r="B154" s="117" t="s">
        <v>279</v>
      </c>
    </row>
    <row r="155" spans="1:2" x14ac:dyDescent="0.25">
      <c r="A155" s="20">
        <f t="shared" si="16"/>
        <v>42215</v>
      </c>
      <c r="B155" s="117" t="s">
        <v>279</v>
      </c>
    </row>
    <row r="156" spans="1:2" x14ac:dyDescent="0.25">
      <c r="A156" s="20">
        <f t="shared" si="16"/>
        <v>42222</v>
      </c>
      <c r="B156" s="117" t="s">
        <v>279</v>
      </c>
    </row>
    <row r="157" spans="1:2" x14ac:dyDescent="0.25">
      <c r="A157" s="20">
        <f t="shared" si="16"/>
        <v>42229</v>
      </c>
      <c r="B157" s="117" t="s">
        <v>279</v>
      </c>
    </row>
    <row r="158" spans="1:2" x14ac:dyDescent="0.25">
      <c r="A158" s="20">
        <f t="shared" si="16"/>
        <v>42236</v>
      </c>
      <c r="B158" s="117" t="s">
        <v>279</v>
      </c>
    </row>
    <row r="159" spans="1:2" x14ac:dyDescent="0.25">
      <c r="A159" s="20">
        <f t="shared" si="16"/>
        <v>42243</v>
      </c>
      <c r="B159" s="117" t="s">
        <v>279</v>
      </c>
    </row>
    <row r="160" spans="1:2" x14ac:dyDescent="0.25">
      <c r="A160" s="20">
        <f t="shared" si="16"/>
        <v>42250</v>
      </c>
      <c r="B160" s="117" t="s">
        <v>279</v>
      </c>
    </row>
    <row r="161" spans="1:2" x14ac:dyDescent="0.25">
      <c r="A161" s="20">
        <f t="shared" si="16"/>
        <v>42257</v>
      </c>
      <c r="B161" s="117" t="s">
        <v>279</v>
      </c>
    </row>
    <row r="162" spans="1:2" x14ac:dyDescent="0.25">
      <c r="A162" s="20">
        <f t="shared" si="16"/>
        <v>42264</v>
      </c>
      <c r="B162" s="117" t="s">
        <v>279</v>
      </c>
    </row>
    <row r="163" spans="1:2" x14ac:dyDescent="0.25">
      <c r="A163" s="20">
        <f t="shared" si="16"/>
        <v>42271</v>
      </c>
      <c r="B163" s="117" t="s">
        <v>279</v>
      </c>
    </row>
    <row r="164" spans="1:2" x14ac:dyDescent="0.25">
      <c r="A164" s="20">
        <f t="shared" si="16"/>
        <v>42278</v>
      </c>
      <c r="B164" s="117" t="s">
        <v>279</v>
      </c>
    </row>
    <row r="165" spans="1:2" x14ac:dyDescent="0.25">
      <c r="A165" s="20">
        <f t="shared" si="16"/>
        <v>42285</v>
      </c>
      <c r="B165" s="117" t="s">
        <v>279</v>
      </c>
    </row>
    <row r="166" spans="1:2" x14ac:dyDescent="0.25">
      <c r="A166" s="20">
        <f t="shared" si="16"/>
        <v>42292</v>
      </c>
      <c r="B166" s="117" t="s">
        <v>279</v>
      </c>
    </row>
    <row r="167" spans="1:2" x14ac:dyDescent="0.25">
      <c r="A167" s="20">
        <f t="shared" si="16"/>
        <v>42299</v>
      </c>
      <c r="B167" s="117" t="s">
        <v>279</v>
      </c>
    </row>
    <row r="168" spans="1:2" x14ac:dyDescent="0.25">
      <c r="A168" s="20">
        <f t="shared" si="16"/>
        <v>42306</v>
      </c>
      <c r="B168" s="117" t="s">
        <v>279</v>
      </c>
    </row>
    <row r="169" spans="1:2" x14ac:dyDescent="0.25">
      <c r="A169" s="20">
        <f t="shared" si="16"/>
        <v>42313</v>
      </c>
      <c r="B169" s="117" t="s">
        <v>279</v>
      </c>
    </row>
    <row r="170" spans="1:2" x14ac:dyDescent="0.25">
      <c r="A170" s="20">
        <f t="shared" si="16"/>
        <v>42320</v>
      </c>
      <c r="B170" s="117" t="s">
        <v>279</v>
      </c>
    </row>
    <row r="171" spans="1:2" x14ac:dyDescent="0.25">
      <c r="A171" s="20">
        <f t="shared" si="16"/>
        <v>42327</v>
      </c>
      <c r="B171" s="117" t="s">
        <v>279</v>
      </c>
    </row>
    <row r="172" spans="1:2" x14ac:dyDescent="0.25">
      <c r="A172" s="20">
        <f t="shared" si="16"/>
        <v>42334</v>
      </c>
      <c r="B172" s="117" t="s">
        <v>279</v>
      </c>
    </row>
    <row r="173" spans="1:2" x14ac:dyDescent="0.25">
      <c r="A173" s="20">
        <f t="shared" si="16"/>
        <v>42341</v>
      </c>
      <c r="B173" s="117" t="s">
        <v>279</v>
      </c>
    </row>
    <row r="174" spans="1:2" x14ac:dyDescent="0.25">
      <c r="A174" s="20">
        <f t="shared" si="16"/>
        <v>42348</v>
      </c>
      <c r="B174" s="117" t="s">
        <v>279</v>
      </c>
    </row>
    <row r="175" spans="1:2" x14ac:dyDescent="0.25">
      <c r="A175" s="20">
        <f t="shared" si="16"/>
        <v>42355</v>
      </c>
      <c r="B175" s="117" t="s">
        <v>279</v>
      </c>
    </row>
    <row r="176" spans="1:2" x14ac:dyDescent="0.25">
      <c r="A176" s="20">
        <f t="shared" si="16"/>
        <v>42362</v>
      </c>
      <c r="B176" s="117" t="s">
        <v>279</v>
      </c>
    </row>
    <row r="177" spans="1:2" x14ac:dyDescent="0.25">
      <c r="A177" s="20">
        <f t="shared" si="16"/>
        <v>42369</v>
      </c>
      <c r="B177" s="117" t="s">
        <v>279</v>
      </c>
    </row>
    <row r="178" spans="1:2" x14ac:dyDescent="0.25">
      <c r="A178" s="20">
        <f t="shared" si="16"/>
        <v>42376</v>
      </c>
      <c r="B178" s="117" t="s">
        <v>279</v>
      </c>
    </row>
    <row r="179" spans="1:2" x14ac:dyDescent="0.25">
      <c r="A179" s="20">
        <f t="shared" si="16"/>
        <v>42383</v>
      </c>
      <c r="B179" s="117" t="s">
        <v>279</v>
      </c>
    </row>
    <row r="180" spans="1:2" x14ac:dyDescent="0.25">
      <c r="A180" s="20">
        <f t="shared" si="16"/>
        <v>42390</v>
      </c>
      <c r="B180" s="117" t="s">
        <v>279</v>
      </c>
    </row>
    <row r="181" spans="1:2" x14ac:dyDescent="0.25">
      <c r="A181" s="20">
        <f t="shared" si="16"/>
        <v>42397</v>
      </c>
      <c r="B181" s="117" t="s">
        <v>279</v>
      </c>
    </row>
    <row r="182" spans="1:2" x14ac:dyDescent="0.25">
      <c r="A182" s="20">
        <f t="shared" si="16"/>
        <v>42404</v>
      </c>
      <c r="B182" s="117" t="s">
        <v>279</v>
      </c>
    </row>
    <row r="183" spans="1:2" x14ac:dyDescent="0.25">
      <c r="A183" s="20">
        <f t="shared" si="16"/>
        <v>42411</v>
      </c>
      <c r="B183" s="117" t="s">
        <v>279</v>
      </c>
    </row>
    <row r="184" spans="1:2" x14ac:dyDescent="0.25">
      <c r="A184" s="20">
        <f t="shared" si="16"/>
        <v>42418</v>
      </c>
      <c r="B184" s="117" t="s">
        <v>279</v>
      </c>
    </row>
    <row r="185" spans="1:2" x14ac:dyDescent="0.25">
      <c r="A185" s="20">
        <f t="shared" si="16"/>
        <v>42425</v>
      </c>
      <c r="B185" s="117" t="s">
        <v>279</v>
      </c>
    </row>
    <row r="186" spans="1:2" x14ac:dyDescent="0.25">
      <c r="A186" s="20">
        <f t="shared" si="16"/>
        <v>42432</v>
      </c>
      <c r="B186" s="117" t="s">
        <v>279</v>
      </c>
    </row>
    <row r="187" spans="1:2" x14ac:dyDescent="0.25">
      <c r="A187" s="20">
        <f t="shared" si="16"/>
        <v>42439</v>
      </c>
      <c r="B187" s="117" t="s">
        <v>279</v>
      </c>
    </row>
    <row r="188" spans="1:2" x14ac:dyDescent="0.25">
      <c r="A188" s="20">
        <f t="shared" si="16"/>
        <v>42446</v>
      </c>
      <c r="B188" s="117" t="s">
        <v>279</v>
      </c>
    </row>
    <row r="189" spans="1:2" x14ac:dyDescent="0.25">
      <c r="A189" s="20">
        <f t="shared" si="16"/>
        <v>42453</v>
      </c>
      <c r="B189" s="117" t="s">
        <v>279</v>
      </c>
    </row>
    <row r="190" spans="1:2" x14ac:dyDescent="0.25">
      <c r="A190" s="20">
        <f t="shared" si="16"/>
        <v>42460</v>
      </c>
      <c r="B190" s="117" t="s">
        <v>279</v>
      </c>
    </row>
    <row r="191" spans="1:2" x14ac:dyDescent="0.25">
      <c r="A191" s="20">
        <f t="shared" si="16"/>
        <v>42467</v>
      </c>
      <c r="B191" s="117" t="s">
        <v>279</v>
      </c>
    </row>
    <row r="192" spans="1:2" x14ac:dyDescent="0.25">
      <c r="A192" s="20">
        <f t="shared" si="16"/>
        <v>42474</v>
      </c>
      <c r="B192" s="117" t="s">
        <v>279</v>
      </c>
    </row>
    <row r="193" spans="1:2" x14ac:dyDescent="0.25">
      <c r="A193" s="20">
        <f t="shared" si="16"/>
        <v>42481</v>
      </c>
      <c r="B193" s="117" t="s">
        <v>279</v>
      </c>
    </row>
    <row r="194" spans="1:2" x14ac:dyDescent="0.25">
      <c r="A194" s="20">
        <f t="shared" si="16"/>
        <v>42488</v>
      </c>
      <c r="B194" s="117" t="s">
        <v>279</v>
      </c>
    </row>
    <row r="195" spans="1:2" x14ac:dyDescent="0.25">
      <c r="A195" s="20">
        <f t="shared" si="16"/>
        <v>42495</v>
      </c>
      <c r="B195" s="117" t="s">
        <v>279</v>
      </c>
    </row>
    <row r="196" spans="1:2" x14ac:dyDescent="0.25">
      <c r="A196" s="20">
        <f t="shared" si="16"/>
        <v>42502</v>
      </c>
      <c r="B196" s="117" t="s">
        <v>279</v>
      </c>
    </row>
    <row r="197" spans="1:2" x14ac:dyDescent="0.25">
      <c r="A197" s="20">
        <f t="shared" si="16"/>
        <v>42509</v>
      </c>
      <c r="B197" s="117" t="s">
        <v>279</v>
      </c>
    </row>
    <row r="198" spans="1:2" x14ac:dyDescent="0.25">
      <c r="A198" s="20">
        <f t="shared" si="16"/>
        <v>42516</v>
      </c>
      <c r="B198" s="117" t="s">
        <v>279</v>
      </c>
    </row>
    <row r="199" spans="1:2" x14ac:dyDescent="0.25">
      <c r="A199" s="20">
        <f t="shared" ref="A199:A262" si="17">+A198+7</f>
        <v>42523</v>
      </c>
      <c r="B199" s="117" t="s">
        <v>279</v>
      </c>
    </row>
    <row r="200" spans="1:2" x14ac:dyDescent="0.25">
      <c r="A200" s="20">
        <f t="shared" si="17"/>
        <v>42530</v>
      </c>
      <c r="B200" s="117" t="s">
        <v>279</v>
      </c>
    </row>
    <row r="201" spans="1:2" x14ac:dyDescent="0.25">
      <c r="A201" s="20">
        <f t="shared" si="17"/>
        <v>42537</v>
      </c>
      <c r="B201" s="117" t="s">
        <v>279</v>
      </c>
    </row>
    <row r="202" spans="1:2" x14ac:dyDescent="0.25">
      <c r="A202" s="20">
        <f t="shared" si="17"/>
        <v>42544</v>
      </c>
      <c r="B202" s="117" t="s">
        <v>279</v>
      </c>
    </row>
    <row r="203" spans="1:2" x14ac:dyDescent="0.25">
      <c r="A203" s="20">
        <f t="shared" si="17"/>
        <v>42551</v>
      </c>
      <c r="B203" s="117" t="s">
        <v>279</v>
      </c>
    </row>
    <row r="204" spans="1:2" x14ac:dyDescent="0.25">
      <c r="A204" s="20">
        <f t="shared" si="17"/>
        <v>42558</v>
      </c>
      <c r="B204" s="117" t="s">
        <v>279</v>
      </c>
    </row>
    <row r="205" spans="1:2" x14ac:dyDescent="0.25">
      <c r="A205" s="20">
        <f t="shared" si="17"/>
        <v>42565</v>
      </c>
      <c r="B205" s="117" t="s">
        <v>279</v>
      </c>
    </row>
    <row r="206" spans="1:2" x14ac:dyDescent="0.25">
      <c r="A206" s="20">
        <f t="shared" si="17"/>
        <v>42572</v>
      </c>
      <c r="B206" s="117" t="s">
        <v>279</v>
      </c>
    </row>
    <row r="207" spans="1:2" x14ac:dyDescent="0.25">
      <c r="A207" s="20">
        <f t="shared" si="17"/>
        <v>42579</v>
      </c>
      <c r="B207" s="117" t="s">
        <v>279</v>
      </c>
    </row>
    <row r="208" spans="1:2" x14ac:dyDescent="0.25">
      <c r="A208" s="20">
        <f t="shared" si="17"/>
        <v>42586</v>
      </c>
      <c r="B208" s="117" t="s">
        <v>279</v>
      </c>
    </row>
    <row r="209" spans="1:2" x14ac:dyDescent="0.25">
      <c r="A209" s="20">
        <f t="shared" si="17"/>
        <v>42593</v>
      </c>
      <c r="B209" s="117" t="s">
        <v>279</v>
      </c>
    </row>
    <row r="210" spans="1:2" x14ac:dyDescent="0.25">
      <c r="A210" s="20">
        <f t="shared" si="17"/>
        <v>42600</v>
      </c>
      <c r="B210" s="117" t="s">
        <v>279</v>
      </c>
    </row>
    <row r="211" spans="1:2" x14ac:dyDescent="0.25">
      <c r="A211" s="20">
        <f t="shared" si="17"/>
        <v>42607</v>
      </c>
      <c r="B211" s="117" t="s">
        <v>279</v>
      </c>
    </row>
    <row r="212" spans="1:2" x14ac:dyDescent="0.25">
      <c r="A212" s="20">
        <f t="shared" si="17"/>
        <v>42614</v>
      </c>
      <c r="B212" s="117" t="s">
        <v>279</v>
      </c>
    </row>
    <row r="213" spans="1:2" x14ac:dyDescent="0.25">
      <c r="A213" s="20">
        <f t="shared" si="17"/>
        <v>42621</v>
      </c>
      <c r="B213" s="117" t="s">
        <v>279</v>
      </c>
    </row>
    <row r="214" spans="1:2" x14ac:dyDescent="0.25">
      <c r="A214" s="20">
        <f t="shared" si="17"/>
        <v>42628</v>
      </c>
      <c r="B214" s="117" t="s">
        <v>279</v>
      </c>
    </row>
    <row r="215" spans="1:2" x14ac:dyDescent="0.25">
      <c r="A215" s="20">
        <f t="shared" si="17"/>
        <v>42635</v>
      </c>
      <c r="B215" s="117" t="s">
        <v>279</v>
      </c>
    </row>
    <row r="216" spans="1:2" x14ac:dyDescent="0.25">
      <c r="A216" s="20">
        <f t="shared" si="17"/>
        <v>42642</v>
      </c>
      <c r="B216" s="117" t="s">
        <v>279</v>
      </c>
    </row>
    <row r="217" spans="1:2" x14ac:dyDescent="0.25">
      <c r="A217" s="20">
        <f t="shared" si="17"/>
        <v>42649</v>
      </c>
      <c r="B217" s="117" t="s">
        <v>279</v>
      </c>
    </row>
    <row r="218" spans="1:2" x14ac:dyDescent="0.25">
      <c r="A218" s="20">
        <f t="shared" si="17"/>
        <v>42656</v>
      </c>
      <c r="B218" s="117" t="s">
        <v>279</v>
      </c>
    </row>
    <row r="219" spans="1:2" x14ac:dyDescent="0.25">
      <c r="A219" s="20">
        <f t="shared" si="17"/>
        <v>42663</v>
      </c>
      <c r="B219" s="117" t="s">
        <v>279</v>
      </c>
    </row>
    <row r="220" spans="1:2" x14ac:dyDescent="0.25">
      <c r="A220" s="20">
        <f t="shared" si="17"/>
        <v>42670</v>
      </c>
      <c r="B220" s="117" t="s">
        <v>279</v>
      </c>
    </row>
    <row r="221" spans="1:2" x14ac:dyDescent="0.25">
      <c r="A221" s="20">
        <f t="shared" si="17"/>
        <v>42677</v>
      </c>
      <c r="B221" s="117" t="s">
        <v>279</v>
      </c>
    </row>
    <row r="222" spans="1:2" x14ac:dyDescent="0.25">
      <c r="A222" s="20">
        <f t="shared" si="17"/>
        <v>42684</v>
      </c>
      <c r="B222" s="117" t="s">
        <v>279</v>
      </c>
    </row>
    <row r="223" spans="1:2" x14ac:dyDescent="0.25">
      <c r="A223" s="20">
        <f t="shared" si="17"/>
        <v>42691</v>
      </c>
      <c r="B223" s="117" t="s">
        <v>279</v>
      </c>
    </row>
    <row r="224" spans="1:2" x14ac:dyDescent="0.25">
      <c r="A224" s="20">
        <f t="shared" si="17"/>
        <v>42698</v>
      </c>
      <c r="B224" s="117" t="s">
        <v>279</v>
      </c>
    </row>
    <row r="225" spans="1:2" x14ac:dyDescent="0.25">
      <c r="A225" s="20">
        <f t="shared" si="17"/>
        <v>42705</v>
      </c>
      <c r="B225" s="117" t="s">
        <v>279</v>
      </c>
    </row>
    <row r="226" spans="1:2" x14ac:dyDescent="0.25">
      <c r="A226" s="20">
        <f t="shared" si="17"/>
        <v>42712</v>
      </c>
      <c r="B226" s="117" t="s">
        <v>279</v>
      </c>
    </row>
    <row r="227" spans="1:2" x14ac:dyDescent="0.25">
      <c r="A227" s="20">
        <f t="shared" si="17"/>
        <v>42719</v>
      </c>
      <c r="B227" s="117" t="s">
        <v>279</v>
      </c>
    </row>
    <row r="228" spans="1:2" x14ac:dyDescent="0.25">
      <c r="A228" s="20">
        <f t="shared" si="17"/>
        <v>42726</v>
      </c>
      <c r="B228" s="117" t="s">
        <v>279</v>
      </c>
    </row>
    <row r="229" spans="1:2" x14ac:dyDescent="0.25">
      <c r="A229" s="20">
        <f t="shared" si="17"/>
        <v>42733</v>
      </c>
      <c r="B229" s="117" t="s">
        <v>279</v>
      </c>
    </row>
    <row r="230" spans="1:2" x14ac:dyDescent="0.25">
      <c r="A230" s="20">
        <f t="shared" si="17"/>
        <v>42740</v>
      </c>
      <c r="B230" s="117" t="s">
        <v>279</v>
      </c>
    </row>
    <row r="231" spans="1:2" x14ac:dyDescent="0.25">
      <c r="A231" s="20">
        <f t="shared" si="17"/>
        <v>42747</v>
      </c>
      <c r="B231" s="117" t="s">
        <v>279</v>
      </c>
    </row>
    <row r="232" spans="1:2" x14ac:dyDescent="0.25">
      <c r="A232" s="20">
        <f t="shared" si="17"/>
        <v>42754</v>
      </c>
      <c r="B232" s="117" t="s">
        <v>279</v>
      </c>
    </row>
    <row r="233" spans="1:2" x14ac:dyDescent="0.25">
      <c r="A233" s="20">
        <f t="shared" si="17"/>
        <v>42761</v>
      </c>
      <c r="B233" s="117" t="s">
        <v>279</v>
      </c>
    </row>
    <row r="234" spans="1:2" x14ac:dyDescent="0.25">
      <c r="A234" s="20">
        <f t="shared" si="17"/>
        <v>42768</v>
      </c>
      <c r="B234" s="117" t="s">
        <v>279</v>
      </c>
    </row>
    <row r="235" spans="1:2" x14ac:dyDescent="0.25">
      <c r="A235" s="20">
        <f t="shared" si="17"/>
        <v>42775</v>
      </c>
      <c r="B235" s="117" t="s">
        <v>279</v>
      </c>
    </row>
    <row r="236" spans="1:2" x14ac:dyDescent="0.25">
      <c r="A236" s="20">
        <f t="shared" si="17"/>
        <v>42782</v>
      </c>
      <c r="B236" s="117" t="s">
        <v>279</v>
      </c>
    </row>
    <row r="237" spans="1:2" x14ac:dyDescent="0.25">
      <c r="A237" s="20">
        <f t="shared" si="17"/>
        <v>42789</v>
      </c>
      <c r="B237" s="117" t="s">
        <v>279</v>
      </c>
    </row>
    <row r="238" spans="1:2" x14ac:dyDescent="0.25">
      <c r="A238" s="20">
        <f t="shared" si="17"/>
        <v>42796</v>
      </c>
      <c r="B238" s="117" t="s">
        <v>279</v>
      </c>
    </row>
    <row r="239" spans="1:2" x14ac:dyDescent="0.25">
      <c r="A239" s="20">
        <f t="shared" si="17"/>
        <v>42803</v>
      </c>
      <c r="B239" s="117" t="s">
        <v>279</v>
      </c>
    </row>
    <row r="240" spans="1:2" x14ac:dyDescent="0.25">
      <c r="A240" s="20">
        <f t="shared" si="17"/>
        <v>42810</v>
      </c>
      <c r="B240" s="117" t="s">
        <v>279</v>
      </c>
    </row>
    <row r="241" spans="1:2" x14ac:dyDescent="0.25">
      <c r="A241" s="20">
        <f t="shared" si="17"/>
        <v>42817</v>
      </c>
      <c r="B241" s="117" t="s">
        <v>279</v>
      </c>
    </row>
    <row r="242" spans="1:2" x14ac:dyDescent="0.25">
      <c r="A242" s="20">
        <f t="shared" si="17"/>
        <v>42824</v>
      </c>
      <c r="B242" s="117" t="s">
        <v>279</v>
      </c>
    </row>
    <row r="243" spans="1:2" x14ac:dyDescent="0.25">
      <c r="A243" s="20">
        <f t="shared" si="17"/>
        <v>42831</v>
      </c>
      <c r="B243" s="117" t="s">
        <v>279</v>
      </c>
    </row>
    <row r="244" spans="1:2" x14ac:dyDescent="0.25">
      <c r="A244" s="20">
        <f t="shared" si="17"/>
        <v>42838</v>
      </c>
      <c r="B244" s="117" t="s">
        <v>279</v>
      </c>
    </row>
    <row r="245" spans="1:2" x14ac:dyDescent="0.25">
      <c r="A245" s="20">
        <f t="shared" si="17"/>
        <v>42845</v>
      </c>
      <c r="B245" s="117" t="s">
        <v>279</v>
      </c>
    </row>
    <row r="246" spans="1:2" x14ac:dyDescent="0.25">
      <c r="A246" s="20">
        <f t="shared" si="17"/>
        <v>42852</v>
      </c>
      <c r="B246" s="117" t="s">
        <v>279</v>
      </c>
    </row>
    <row r="247" spans="1:2" x14ac:dyDescent="0.25">
      <c r="A247" s="20">
        <f t="shared" si="17"/>
        <v>42859</v>
      </c>
      <c r="B247" s="117" t="s">
        <v>279</v>
      </c>
    </row>
    <row r="248" spans="1:2" x14ac:dyDescent="0.25">
      <c r="A248" s="20">
        <f t="shared" si="17"/>
        <v>42866</v>
      </c>
      <c r="B248" s="117" t="s">
        <v>279</v>
      </c>
    </row>
    <row r="249" spans="1:2" x14ac:dyDescent="0.25">
      <c r="A249" s="20">
        <f t="shared" si="17"/>
        <v>42873</v>
      </c>
      <c r="B249" s="117" t="s">
        <v>279</v>
      </c>
    </row>
    <row r="250" spans="1:2" x14ac:dyDescent="0.25">
      <c r="A250" s="20">
        <f t="shared" si="17"/>
        <v>42880</v>
      </c>
      <c r="B250" s="117" t="s">
        <v>279</v>
      </c>
    </row>
    <row r="251" spans="1:2" x14ac:dyDescent="0.25">
      <c r="A251" s="20">
        <f t="shared" si="17"/>
        <v>42887</v>
      </c>
      <c r="B251" s="117" t="s">
        <v>279</v>
      </c>
    </row>
    <row r="252" spans="1:2" x14ac:dyDescent="0.25">
      <c r="A252" s="20">
        <f t="shared" si="17"/>
        <v>42894</v>
      </c>
      <c r="B252" s="117" t="s">
        <v>279</v>
      </c>
    </row>
    <row r="253" spans="1:2" x14ac:dyDescent="0.25">
      <c r="A253" s="20">
        <f t="shared" si="17"/>
        <v>42901</v>
      </c>
      <c r="B253" s="117" t="s">
        <v>279</v>
      </c>
    </row>
    <row r="254" spans="1:2" x14ac:dyDescent="0.25">
      <c r="A254" s="20">
        <f t="shared" si="17"/>
        <v>42908</v>
      </c>
      <c r="B254" s="117" t="s">
        <v>279</v>
      </c>
    </row>
    <row r="255" spans="1:2" x14ac:dyDescent="0.25">
      <c r="A255" s="20">
        <f t="shared" si="17"/>
        <v>42915</v>
      </c>
      <c r="B255" s="117" t="s">
        <v>279</v>
      </c>
    </row>
    <row r="256" spans="1:2" x14ac:dyDescent="0.25">
      <c r="A256" s="20">
        <f t="shared" si="17"/>
        <v>42922</v>
      </c>
      <c r="B256" s="117" t="s">
        <v>279</v>
      </c>
    </row>
    <row r="257" spans="1:2" x14ac:dyDescent="0.25">
      <c r="A257" s="20">
        <f t="shared" si="17"/>
        <v>42929</v>
      </c>
      <c r="B257" s="117" t="s">
        <v>279</v>
      </c>
    </row>
    <row r="258" spans="1:2" x14ac:dyDescent="0.25">
      <c r="A258" s="20">
        <f t="shared" si="17"/>
        <v>42936</v>
      </c>
      <c r="B258" s="117" t="s">
        <v>279</v>
      </c>
    </row>
    <row r="259" spans="1:2" x14ac:dyDescent="0.25">
      <c r="A259" s="20">
        <f t="shared" si="17"/>
        <v>42943</v>
      </c>
      <c r="B259" s="117" t="s">
        <v>279</v>
      </c>
    </row>
    <row r="260" spans="1:2" x14ac:dyDescent="0.25">
      <c r="A260" s="20">
        <f t="shared" si="17"/>
        <v>42950</v>
      </c>
      <c r="B260" s="117" t="s">
        <v>279</v>
      </c>
    </row>
    <row r="261" spans="1:2" x14ac:dyDescent="0.25">
      <c r="A261" s="20">
        <f t="shared" si="17"/>
        <v>42957</v>
      </c>
      <c r="B261" s="117" t="s">
        <v>279</v>
      </c>
    </row>
    <row r="262" spans="1:2" x14ac:dyDescent="0.25">
      <c r="A262" s="20">
        <f t="shared" si="17"/>
        <v>42964</v>
      </c>
      <c r="B262" s="117" t="s">
        <v>279</v>
      </c>
    </row>
    <row r="263" spans="1:2" x14ac:dyDescent="0.25">
      <c r="A263" s="20">
        <f t="shared" ref="A263:A286" si="18">+A262+7</f>
        <v>42971</v>
      </c>
      <c r="B263" s="117" t="s">
        <v>279</v>
      </c>
    </row>
    <row r="264" spans="1:2" x14ac:dyDescent="0.25">
      <c r="A264" s="20">
        <f t="shared" si="18"/>
        <v>42978</v>
      </c>
      <c r="B264" s="117" t="s">
        <v>279</v>
      </c>
    </row>
    <row r="265" spans="1:2" x14ac:dyDescent="0.25">
      <c r="A265" s="20">
        <f t="shared" si="18"/>
        <v>42985</v>
      </c>
      <c r="B265" s="117" t="s">
        <v>279</v>
      </c>
    </row>
    <row r="266" spans="1:2" x14ac:dyDescent="0.25">
      <c r="A266" s="20">
        <f t="shared" si="18"/>
        <v>42992</v>
      </c>
      <c r="B266" s="117" t="s">
        <v>279</v>
      </c>
    </row>
    <row r="267" spans="1:2" x14ac:dyDescent="0.25">
      <c r="A267" s="20">
        <f t="shared" si="18"/>
        <v>42999</v>
      </c>
      <c r="B267" s="117" t="s">
        <v>279</v>
      </c>
    </row>
    <row r="268" spans="1:2" x14ac:dyDescent="0.25">
      <c r="A268" s="20">
        <f t="shared" si="18"/>
        <v>43006</v>
      </c>
      <c r="B268" s="117" t="s">
        <v>279</v>
      </c>
    </row>
    <row r="269" spans="1:2" x14ac:dyDescent="0.25">
      <c r="A269" s="20">
        <f t="shared" si="18"/>
        <v>43013</v>
      </c>
      <c r="B269" s="117" t="s">
        <v>279</v>
      </c>
    </row>
    <row r="270" spans="1:2" x14ac:dyDescent="0.25">
      <c r="A270" s="20">
        <f t="shared" si="18"/>
        <v>43020</v>
      </c>
      <c r="B270" s="117" t="s">
        <v>279</v>
      </c>
    </row>
    <row r="271" spans="1:2" x14ac:dyDescent="0.25">
      <c r="A271" s="20">
        <f t="shared" si="18"/>
        <v>43027</v>
      </c>
      <c r="B271" s="117" t="s">
        <v>279</v>
      </c>
    </row>
    <row r="272" spans="1:2" x14ac:dyDescent="0.25">
      <c r="A272" s="20">
        <f t="shared" si="18"/>
        <v>43034</v>
      </c>
      <c r="B272" s="117" t="s">
        <v>279</v>
      </c>
    </row>
    <row r="273" spans="1:2" x14ac:dyDescent="0.25">
      <c r="A273" s="20">
        <f t="shared" si="18"/>
        <v>43041</v>
      </c>
      <c r="B273" s="117" t="s">
        <v>279</v>
      </c>
    </row>
    <row r="274" spans="1:2" x14ac:dyDescent="0.25">
      <c r="A274" s="20">
        <f t="shared" si="18"/>
        <v>43048</v>
      </c>
      <c r="B274" s="117" t="s">
        <v>279</v>
      </c>
    </row>
    <row r="275" spans="1:2" x14ac:dyDescent="0.25">
      <c r="A275" s="20">
        <f t="shared" si="18"/>
        <v>43055</v>
      </c>
      <c r="B275" s="117" t="s">
        <v>279</v>
      </c>
    </row>
    <row r="276" spans="1:2" x14ac:dyDescent="0.25">
      <c r="A276" s="20">
        <f t="shared" si="18"/>
        <v>43062</v>
      </c>
      <c r="B276" s="117" t="s">
        <v>279</v>
      </c>
    </row>
    <row r="277" spans="1:2" x14ac:dyDescent="0.25">
      <c r="A277" s="20">
        <f t="shared" si="18"/>
        <v>43069</v>
      </c>
      <c r="B277" s="117" t="s">
        <v>279</v>
      </c>
    </row>
    <row r="278" spans="1:2" x14ac:dyDescent="0.25">
      <c r="A278" s="20">
        <f t="shared" si="18"/>
        <v>43076</v>
      </c>
      <c r="B278" s="117" t="s">
        <v>279</v>
      </c>
    </row>
    <row r="279" spans="1:2" x14ac:dyDescent="0.25">
      <c r="A279" s="20">
        <f t="shared" si="18"/>
        <v>43083</v>
      </c>
      <c r="B279" s="117" t="s">
        <v>279</v>
      </c>
    </row>
    <row r="280" spans="1:2" x14ac:dyDescent="0.25">
      <c r="A280" s="20">
        <f t="shared" si="18"/>
        <v>43090</v>
      </c>
      <c r="B280" s="117" t="s">
        <v>279</v>
      </c>
    </row>
    <row r="281" spans="1:2" x14ac:dyDescent="0.25">
      <c r="A281" s="20">
        <f t="shared" si="18"/>
        <v>43097</v>
      </c>
      <c r="B281" s="117" t="s">
        <v>279</v>
      </c>
    </row>
    <row r="282" spans="1:2" x14ac:dyDescent="0.25">
      <c r="A282" s="20">
        <f t="shared" si="18"/>
        <v>43104</v>
      </c>
      <c r="B282" s="117" t="s">
        <v>279</v>
      </c>
    </row>
    <row r="283" spans="1:2" x14ac:dyDescent="0.25">
      <c r="A283" s="20">
        <f t="shared" si="18"/>
        <v>43111</v>
      </c>
      <c r="B283" s="117" t="s">
        <v>279</v>
      </c>
    </row>
    <row r="284" spans="1:2" x14ac:dyDescent="0.25">
      <c r="A284" s="20">
        <f t="shared" si="18"/>
        <v>43118</v>
      </c>
      <c r="B284" s="117" t="s">
        <v>279</v>
      </c>
    </row>
    <row r="285" spans="1:2" x14ac:dyDescent="0.25">
      <c r="A285" s="20">
        <f t="shared" si="18"/>
        <v>43125</v>
      </c>
      <c r="B285" s="117" t="s">
        <v>279</v>
      </c>
    </row>
    <row r="286" spans="1:2" x14ac:dyDescent="0.25">
      <c r="A286" s="20">
        <f t="shared" si="18"/>
        <v>43132</v>
      </c>
      <c r="B286" s="117" t="s">
        <v>279</v>
      </c>
    </row>
  </sheetData>
  <mergeCells count="2">
    <mergeCell ref="E2:F2"/>
    <mergeCell ref="G2:H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indexed="41"/>
  </sheetPr>
  <dimension ref="A1:S722"/>
  <sheetViews>
    <sheetView topLeftCell="A397" workbookViewId="0">
      <selection activeCell="G409" sqref="G409"/>
    </sheetView>
  </sheetViews>
  <sheetFormatPr defaultRowHeight="13.2" x14ac:dyDescent="0.25"/>
  <cols>
    <col min="1" max="1" width="13.33203125" customWidth="1"/>
  </cols>
  <sheetData>
    <row r="1" spans="1:10" ht="13.8" thickBot="1" x14ac:dyDescent="0.3">
      <c r="B1" s="13" t="s">
        <v>8</v>
      </c>
      <c r="C1" s="6"/>
      <c r="D1" s="6"/>
      <c r="F1" s="14"/>
      <c r="G1" s="6"/>
      <c r="H1" s="6"/>
      <c r="I1" s="6"/>
      <c r="J1" s="6"/>
    </row>
    <row r="2" spans="1:10" x14ac:dyDescent="0.25">
      <c r="C2" t="s">
        <v>9</v>
      </c>
      <c r="E2" s="218" t="s">
        <v>2</v>
      </c>
      <c r="F2" s="219"/>
      <c r="G2" s="218" t="s">
        <v>3</v>
      </c>
      <c r="H2" s="219"/>
      <c r="I2" s="10" t="s">
        <v>18</v>
      </c>
      <c r="J2" s="17" t="s">
        <v>27</v>
      </c>
    </row>
    <row r="3" spans="1:10" x14ac:dyDescent="0.25">
      <c r="B3" s="7"/>
      <c r="C3" s="7" t="s">
        <v>36</v>
      </c>
      <c r="D3" s="7" t="s">
        <v>37</v>
      </c>
      <c r="E3" s="7" t="s">
        <v>36</v>
      </c>
      <c r="F3" s="7" t="s">
        <v>37</v>
      </c>
      <c r="G3" s="7" t="s">
        <v>36</v>
      </c>
      <c r="H3" s="7" t="s">
        <v>37</v>
      </c>
      <c r="I3" s="11" t="s">
        <v>6</v>
      </c>
      <c r="J3" s="9" t="s">
        <v>28</v>
      </c>
    </row>
    <row r="4" spans="1:10" x14ac:dyDescent="0.25">
      <c r="A4" s="20">
        <f>Japan!A4</f>
        <v>38855</v>
      </c>
      <c r="B4" s="117" t="s">
        <v>5</v>
      </c>
      <c r="C4">
        <v>535.79999999999995</v>
      </c>
      <c r="D4">
        <v>500</v>
      </c>
      <c r="E4">
        <v>2666.9</v>
      </c>
      <c r="F4">
        <v>2779.9</v>
      </c>
      <c r="G4" s="18">
        <f t="shared" ref="G4:G67" si="0">+C4+E4</f>
        <v>3202.7</v>
      </c>
      <c r="H4" s="18">
        <f t="shared" ref="H4:H40" si="1">+D4+F4</f>
        <v>3279.9</v>
      </c>
      <c r="I4" s="30">
        <f t="shared" ref="I4:I40" si="2">+(G4/H4-1)*100</f>
        <v>-2.3537302966553986</v>
      </c>
    </row>
    <row r="5" spans="1:10" x14ac:dyDescent="0.25">
      <c r="A5" s="20">
        <f>Japan!A5</f>
        <v>38862</v>
      </c>
      <c r="B5" s="117" t="s">
        <v>5</v>
      </c>
      <c r="C5">
        <v>540</v>
      </c>
      <c r="D5">
        <v>500</v>
      </c>
      <c r="E5">
        <v>2725.3</v>
      </c>
      <c r="F5">
        <v>2844.8</v>
      </c>
      <c r="G5" s="35">
        <f t="shared" si="0"/>
        <v>3265.3</v>
      </c>
      <c r="H5" s="35">
        <f t="shared" si="1"/>
        <v>3344.8</v>
      </c>
      <c r="I5" s="30">
        <f t="shared" si="2"/>
        <v>-2.3768237263812497</v>
      </c>
    </row>
    <row r="6" spans="1:10" x14ac:dyDescent="0.25">
      <c r="A6" s="20">
        <f>Japan!A6</f>
        <v>38869</v>
      </c>
      <c r="B6" s="117" t="s">
        <v>5</v>
      </c>
      <c r="C6">
        <v>570</v>
      </c>
      <c r="D6">
        <v>552.79999999999995</v>
      </c>
      <c r="E6">
        <v>2755.3</v>
      </c>
      <c r="F6">
        <v>2901.9</v>
      </c>
      <c r="G6" s="35">
        <f t="shared" si="0"/>
        <v>3325.3</v>
      </c>
      <c r="H6" s="35">
        <f t="shared" si="1"/>
        <v>3454.7</v>
      </c>
      <c r="I6" s="30">
        <f t="shared" si="2"/>
        <v>-3.7456219063883855</v>
      </c>
      <c r="J6">
        <v>0</v>
      </c>
    </row>
    <row r="7" spans="1:10" x14ac:dyDescent="0.25">
      <c r="A7" s="20">
        <f>Japan!A7</f>
        <v>38876</v>
      </c>
      <c r="B7" s="117" t="s">
        <v>5</v>
      </c>
      <c r="C7">
        <v>435</v>
      </c>
      <c r="D7">
        <v>552.79999999999995</v>
      </c>
      <c r="E7">
        <v>2946.5</v>
      </c>
      <c r="F7">
        <v>2957.3</v>
      </c>
      <c r="G7" s="35">
        <f t="shared" si="0"/>
        <v>3381.5</v>
      </c>
      <c r="H7" s="35">
        <f t="shared" si="1"/>
        <v>3510.1000000000004</v>
      </c>
      <c r="I7" s="30">
        <f t="shared" si="2"/>
        <v>-3.663713284521819</v>
      </c>
      <c r="J7">
        <v>0</v>
      </c>
    </row>
    <row r="8" spans="1:10" x14ac:dyDescent="0.25">
      <c r="A8" s="20">
        <f>Japan!A8</f>
        <v>38883</v>
      </c>
      <c r="B8" s="117" t="s">
        <v>5</v>
      </c>
      <c r="C8">
        <v>315</v>
      </c>
      <c r="D8">
        <v>620</v>
      </c>
      <c r="E8">
        <v>3010.8</v>
      </c>
      <c r="F8">
        <v>2982.3</v>
      </c>
      <c r="G8" s="35">
        <f t="shared" si="0"/>
        <v>3325.8</v>
      </c>
      <c r="H8" s="35">
        <f t="shared" si="1"/>
        <v>3602.3</v>
      </c>
      <c r="I8" s="30">
        <f t="shared" si="2"/>
        <v>-7.675651666990535</v>
      </c>
      <c r="J8">
        <v>0</v>
      </c>
    </row>
    <row r="9" spans="1:10" x14ac:dyDescent="0.25">
      <c r="A9" s="20">
        <f>Japan!A9</f>
        <v>38890</v>
      </c>
      <c r="B9" s="117" t="s">
        <v>5</v>
      </c>
      <c r="C9">
        <v>435</v>
      </c>
      <c r="D9">
        <v>500</v>
      </c>
      <c r="E9">
        <v>3125.4</v>
      </c>
      <c r="F9">
        <v>3095.9</v>
      </c>
      <c r="G9" s="35">
        <f t="shared" si="0"/>
        <v>3560.4</v>
      </c>
      <c r="H9" s="35">
        <f t="shared" si="1"/>
        <v>3595.9</v>
      </c>
      <c r="I9" s="30">
        <f t="shared" si="2"/>
        <v>-0.98723546261019202</v>
      </c>
      <c r="J9">
        <v>0</v>
      </c>
    </row>
    <row r="10" spans="1:10" x14ac:dyDescent="0.25">
      <c r="A10" s="20">
        <f>Japan!A10</f>
        <v>38897</v>
      </c>
      <c r="B10" s="117" t="s">
        <v>5</v>
      </c>
      <c r="C10">
        <v>465</v>
      </c>
      <c r="D10">
        <v>580</v>
      </c>
      <c r="E10">
        <v>3196.4</v>
      </c>
      <c r="F10">
        <v>3095.9</v>
      </c>
      <c r="G10" s="35">
        <f t="shared" si="0"/>
        <v>3661.4</v>
      </c>
      <c r="H10" s="35">
        <f t="shared" si="1"/>
        <v>3675.9</v>
      </c>
      <c r="I10" s="30">
        <f t="shared" si="2"/>
        <v>-0.39446122038140352</v>
      </c>
      <c r="J10">
        <v>0</v>
      </c>
    </row>
    <row r="11" spans="1:10" x14ac:dyDescent="0.25">
      <c r="A11" s="20">
        <f>Japan!A11</f>
        <v>38904</v>
      </c>
      <c r="B11" s="117" t="s">
        <v>5</v>
      </c>
      <c r="C11">
        <v>445</v>
      </c>
      <c r="D11">
        <v>520</v>
      </c>
      <c r="E11">
        <v>3249</v>
      </c>
      <c r="F11">
        <v>3205.5</v>
      </c>
      <c r="G11" s="35">
        <f t="shared" si="0"/>
        <v>3694</v>
      </c>
      <c r="H11" s="35">
        <f t="shared" si="1"/>
        <v>3725.5</v>
      </c>
      <c r="I11" s="30">
        <f t="shared" si="2"/>
        <v>-0.8455240907260797</v>
      </c>
      <c r="J11">
        <v>0</v>
      </c>
    </row>
    <row r="12" spans="1:10" x14ac:dyDescent="0.25">
      <c r="A12" s="20">
        <f>Japan!A12</f>
        <v>38911</v>
      </c>
      <c r="B12" s="117" t="s">
        <v>5</v>
      </c>
      <c r="C12">
        <v>525</v>
      </c>
      <c r="D12">
        <v>440</v>
      </c>
      <c r="E12">
        <v>3318.5</v>
      </c>
      <c r="F12">
        <v>3347.7</v>
      </c>
      <c r="G12" s="35">
        <f t="shared" si="0"/>
        <v>3843.5</v>
      </c>
      <c r="H12" s="35">
        <f t="shared" si="1"/>
        <v>3787.7</v>
      </c>
      <c r="I12" s="30">
        <f t="shared" si="2"/>
        <v>1.4731895345460266</v>
      </c>
    </row>
    <row r="13" spans="1:10" x14ac:dyDescent="0.25">
      <c r="A13" s="20">
        <f>Japan!A13</f>
        <v>38918</v>
      </c>
      <c r="B13" s="117" t="s">
        <v>5</v>
      </c>
      <c r="C13">
        <v>625</v>
      </c>
      <c r="D13">
        <v>500</v>
      </c>
      <c r="E13">
        <v>3409.7</v>
      </c>
      <c r="F13">
        <v>3531.7</v>
      </c>
      <c r="G13" s="35">
        <f t="shared" si="0"/>
        <v>4034.7</v>
      </c>
      <c r="H13" s="35">
        <f t="shared" si="1"/>
        <v>4031.7</v>
      </c>
      <c r="I13" s="30">
        <f t="shared" si="2"/>
        <v>7.4410298385285678E-2</v>
      </c>
    </row>
    <row r="14" spans="1:10" x14ac:dyDescent="0.25">
      <c r="A14" s="20">
        <f>Japan!A14</f>
        <v>38925</v>
      </c>
      <c r="B14" s="117" t="s">
        <v>5</v>
      </c>
      <c r="C14">
        <v>515</v>
      </c>
      <c r="D14">
        <v>440</v>
      </c>
      <c r="E14">
        <v>3540.9</v>
      </c>
      <c r="F14">
        <v>3708.1</v>
      </c>
      <c r="G14" s="35">
        <f t="shared" si="0"/>
        <v>4055.9</v>
      </c>
      <c r="H14" s="35">
        <f t="shared" si="1"/>
        <v>4148.1000000000004</v>
      </c>
      <c r="I14" s="30">
        <f t="shared" si="2"/>
        <v>-2.2227043706757321</v>
      </c>
      <c r="J14">
        <v>0</v>
      </c>
    </row>
    <row r="15" spans="1:10" x14ac:dyDescent="0.25">
      <c r="A15" s="20">
        <f>Japan!A15</f>
        <v>38932</v>
      </c>
      <c r="B15" s="117" t="s">
        <v>5</v>
      </c>
      <c r="C15">
        <v>465</v>
      </c>
      <c r="D15">
        <v>680</v>
      </c>
      <c r="E15">
        <v>3720.6</v>
      </c>
      <c r="F15">
        <v>3771.7</v>
      </c>
      <c r="G15" s="35">
        <f t="shared" si="0"/>
        <v>4185.6000000000004</v>
      </c>
      <c r="H15" s="35">
        <f t="shared" si="1"/>
        <v>4451.7</v>
      </c>
      <c r="I15" s="30">
        <f t="shared" si="2"/>
        <v>-5.9774917447267262</v>
      </c>
      <c r="J15">
        <v>60</v>
      </c>
    </row>
    <row r="16" spans="1:10" x14ac:dyDescent="0.25">
      <c r="A16" s="20">
        <f>Japan!A16</f>
        <v>38939</v>
      </c>
      <c r="B16" s="117" t="s">
        <v>5</v>
      </c>
      <c r="C16">
        <v>400</v>
      </c>
      <c r="D16">
        <v>620</v>
      </c>
      <c r="E16">
        <v>3771.3</v>
      </c>
      <c r="F16">
        <v>3837.5</v>
      </c>
      <c r="G16" s="35">
        <f t="shared" si="0"/>
        <v>4171.3</v>
      </c>
      <c r="H16" s="35">
        <f t="shared" si="1"/>
        <v>4457.5</v>
      </c>
      <c r="I16" s="30">
        <f t="shared" si="2"/>
        <v>-6.4206393718452048</v>
      </c>
      <c r="J16">
        <v>120</v>
      </c>
    </row>
    <row r="17" spans="1:10" x14ac:dyDescent="0.25">
      <c r="A17" s="20">
        <f>Japan!A17</f>
        <v>38946</v>
      </c>
      <c r="B17" s="117" t="s">
        <v>5</v>
      </c>
      <c r="C17">
        <v>280</v>
      </c>
      <c r="D17">
        <v>545</v>
      </c>
      <c r="E17">
        <v>3955.5</v>
      </c>
      <c r="F17">
        <v>3960.2</v>
      </c>
      <c r="G17" s="35">
        <f t="shared" si="0"/>
        <v>4235.5</v>
      </c>
      <c r="H17" s="35">
        <f t="shared" si="1"/>
        <v>4505.2</v>
      </c>
      <c r="I17" s="30">
        <f t="shared" si="2"/>
        <v>-5.9864156974163141</v>
      </c>
      <c r="J17">
        <v>240</v>
      </c>
    </row>
    <row r="18" spans="1:10" x14ac:dyDescent="0.25">
      <c r="A18" s="20">
        <f>Japan!A18</f>
        <v>38953</v>
      </c>
      <c r="B18" s="117" t="s">
        <v>5</v>
      </c>
      <c r="C18">
        <v>235</v>
      </c>
      <c r="D18">
        <v>440</v>
      </c>
      <c r="E18">
        <v>4083.2</v>
      </c>
      <c r="F18">
        <v>4123.3</v>
      </c>
      <c r="G18" s="35">
        <f t="shared" si="0"/>
        <v>4318.2</v>
      </c>
      <c r="H18" s="35">
        <f t="shared" si="1"/>
        <v>4563.3</v>
      </c>
      <c r="I18" s="30">
        <f t="shared" si="2"/>
        <v>-5.3711130103214817</v>
      </c>
      <c r="J18">
        <v>473</v>
      </c>
    </row>
    <row r="19" spans="1:10" x14ac:dyDescent="0.25">
      <c r="A19" s="20">
        <f>Japan!A19</f>
        <v>38960</v>
      </c>
      <c r="B19" s="117" t="s">
        <v>5</v>
      </c>
      <c r="C19">
        <v>143.19999999999999</v>
      </c>
      <c r="D19">
        <v>440</v>
      </c>
      <c r="E19">
        <v>4298.1000000000004</v>
      </c>
      <c r="F19">
        <v>4123.3</v>
      </c>
      <c r="G19" s="35">
        <f t="shared" si="0"/>
        <v>4441.3</v>
      </c>
      <c r="H19" s="35">
        <f t="shared" si="1"/>
        <v>4563.3</v>
      </c>
      <c r="I19" s="30">
        <f t="shared" si="2"/>
        <v>-2.6735038239870224</v>
      </c>
      <c r="J19">
        <v>676.2</v>
      </c>
    </row>
    <row r="20" spans="1:10" x14ac:dyDescent="0.25">
      <c r="A20" s="53">
        <f>Japan!A20</f>
        <v>38967</v>
      </c>
      <c r="B20" s="117" t="s">
        <v>5</v>
      </c>
      <c r="C20" s="54">
        <v>673.2</v>
      </c>
      <c r="D20" s="54">
        <v>740</v>
      </c>
      <c r="E20" s="54">
        <v>50.6</v>
      </c>
      <c r="F20" s="54">
        <v>51.2</v>
      </c>
      <c r="G20" s="55">
        <f t="shared" si="0"/>
        <v>723.80000000000007</v>
      </c>
      <c r="H20" s="55">
        <f t="shared" si="1"/>
        <v>791.2</v>
      </c>
      <c r="I20" s="56">
        <f t="shared" si="2"/>
        <v>-8.5187057633973708</v>
      </c>
    </row>
    <row r="21" spans="1:10" x14ac:dyDescent="0.25">
      <c r="A21" s="20">
        <f t="shared" ref="A21:A253" si="3">+A20+7</f>
        <v>38974</v>
      </c>
      <c r="B21" s="117" t="s">
        <v>5</v>
      </c>
      <c r="C21">
        <v>681.5</v>
      </c>
      <c r="D21">
        <v>740</v>
      </c>
      <c r="E21">
        <v>211.4</v>
      </c>
      <c r="F21">
        <v>51.2</v>
      </c>
      <c r="G21" s="35">
        <f t="shared" si="0"/>
        <v>892.9</v>
      </c>
      <c r="H21" s="35">
        <f t="shared" si="1"/>
        <v>791.2</v>
      </c>
      <c r="I21" s="30">
        <f t="shared" si="2"/>
        <v>12.853892821031332</v>
      </c>
    </row>
    <row r="22" spans="1:10" x14ac:dyDescent="0.25">
      <c r="A22" s="20">
        <f t="shared" si="3"/>
        <v>38981</v>
      </c>
      <c r="B22" s="117" t="s">
        <v>5</v>
      </c>
      <c r="C22">
        <v>635</v>
      </c>
      <c r="D22">
        <v>704.3</v>
      </c>
      <c r="E22">
        <v>349.7</v>
      </c>
      <c r="F22">
        <v>152.9</v>
      </c>
      <c r="G22" s="35">
        <f t="shared" si="0"/>
        <v>984.7</v>
      </c>
      <c r="H22" s="35">
        <f t="shared" si="1"/>
        <v>857.19999999999993</v>
      </c>
      <c r="I22" s="30">
        <f t="shared" si="2"/>
        <v>14.874008399440042</v>
      </c>
    </row>
    <row r="23" spans="1:10" x14ac:dyDescent="0.25">
      <c r="A23" s="20">
        <f t="shared" si="3"/>
        <v>38988</v>
      </c>
      <c r="B23" s="117" t="s">
        <v>5</v>
      </c>
      <c r="C23">
        <v>635</v>
      </c>
      <c r="D23">
        <v>704.3</v>
      </c>
      <c r="E23">
        <v>407.3</v>
      </c>
      <c r="F23">
        <v>152.9</v>
      </c>
      <c r="G23" s="35">
        <f t="shared" si="0"/>
        <v>1042.3</v>
      </c>
      <c r="H23" s="35">
        <f t="shared" si="1"/>
        <v>857.19999999999993</v>
      </c>
      <c r="I23" s="30">
        <f t="shared" si="2"/>
        <v>21.593560429304716</v>
      </c>
    </row>
    <row r="24" spans="1:10" x14ac:dyDescent="0.25">
      <c r="A24" s="20">
        <f t="shared" si="3"/>
        <v>38995</v>
      </c>
      <c r="B24" s="117" t="s">
        <v>5</v>
      </c>
      <c r="C24">
        <v>615</v>
      </c>
      <c r="D24">
        <v>720.7</v>
      </c>
      <c r="E24">
        <v>407.3</v>
      </c>
      <c r="F24">
        <v>310.60000000000002</v>
      </c>
      <c r="G24" s="35">
        <f t="shared" si="0"/>
        <v>1022.3</v>
      </c>
      <c r="H24" s="35">
        <f t="shared" si="1"/>
        <v>1031.3000000000002</v>
      </c>
      <c r="I24" s="30">
        <f t="shared" si="2"/>
        <v>-0.87268496072919755</v>
      </c>
    </row>
    <row r="25" spans="1:10" x14ac:dyDescent="0.25">
      <c r="A25" s="20">
        <f t="shared" si="3"/>
        <v>39002</v>
      </c>
      <c r="B25" s="117" t="s">
        <v>5</v>
      </c>
      <c r="C25">
        <v>452.5</v>
      </c>
      <c r="D25">
        <v>608.29999999999995</v>
      </c>
      <c r="E25">
        <v>602.5</v>
      </c>
      <c r="F25">
        <v>471.7</v>
      </c>
      <c r="G25" s="35">
        <f t="shared" si="0"/>
        <v>1055</v>
      </c>
      <c r="H25" s="35">
        <f t="shared" si="1"/>
        <v>1080</v>
      </c>
      <c r="I25" s="30">
        <f t="shared" si="2"/>
        <v>-2.314814814814814</v>
      </c>
    </row>
    <row r="26" spans="1:10" x14ac:dyDescent="0.25">
      <c r="A26" s="20">
        <f t="shared" si="3"/>
        <v>39009</v>
      </c>
      <c r="B26" s="117" t="s">
        <v>5</v>
      </c>
      <c r="C26">
        <v>293.89999999999998</v>
      </c>
      <c r="D26">
        <v>608.29999999999995</v>
      </c>
      <c r="E26">
        <v>743.4</v>
      </c>
      <c r="F26">
        <v>529.20000000000005</v>
      </c>
      <c r="G26" s="35">
        <f t="shared" si="0"/>
        <v>1037.3</v>
      </c>
      <c r="H26" s="35">
        <f t="shared" si="1"/>
        <v>1137.5</v>
      </c>
      <c r="I26" s="30">
        <f t="shared" si="2"/>
        <v>-8.8087912087912112</v>
      </c>
    </row>
    <row r="27" spans="1:10" x14ac:dyDescent="0.25">
      <c r="A27" s="20">
        <f t="shared" si="3"/>
        <v>39016</v>
      </c>
      <c r="B27" s="117" t="s">
        <v>5</v>
      </c>
      <c r="C27">
        <v>293.89999999999998</v>
      </c>
      <c r="D27">
        <v>558.20000000000005</v>
      </c>
      <c r="E27">
        <v>743.4</v>
      </c>
      <c r="F27">
        <v>644.5</v>
      </c>
      <c r="G27" s="35">
        <f t="shared" si="0"/>
        <v>1037.3</v>
      </c>
      <c r="H27" s="35">
        <f t="shared" si="1"/>
        <v>1202.7</v>
      </c>
      <c r="I27" s="30">
        <f t="shared" si="2"/>
        <v>-13.752390454810016</v>
      </c>
    </row>
    <row r="28" spans="1:10" x14ac:dyDescent="0.25">
      <c r="A28" s="20">
        <f t="shared" si="3"/>
        <v>39023</v>
      </c>
      <c r="B28" s="117" t="s">
        <v>5</v>
      </c>
      <c r="C28">
        <v>170.5</v>
      </c>
      <c r="D28">
        <v>531.20000000000005</v>
      </c>
      <c r="E28">
        <v>797.9</v>
      </c>
      <c r="F28">
        <v>708.9</v>
      </c>
      <c r="G28" s="35">
        <f t="shared" si="0"/>
        <v>968.4</v>
      </c>
      <c r="H28" s="35">
        <f t="shared" si="1"/>
        <v>1240.0999999999999</v>
      </c>
      <c r="I28" s="30">
        <f t="shared" si="2"/>
        <v>-21.909523425530196</v>
      </c>
    </row>
    <row r="29" spans="1:10" x14ac:dyDescent="0.25">
      <c r="A29" s="20">
        <f t="shared" si="3"/>
        <v>39030</v>
      </c>
      <c r="B29" s="117" t="s">
        <v>5</v>
      </c>
      <c r="C29">
        <v>131.69999999999999</v>
      </c>
      <c r="D29">
        <v>651.20000000000005</v>
      </c>
      <c r="E29">
        <v>836.7</v>
      </c>
      <c r="F29">
        <v>765.2</v>
      </c>
      <c r="G29" s="35">
        <f t="shared" si="0"/>
        <v>968.40000000000009</v>
      </c>
      <c r="H29" s="35">
        <f t="shared" si="1"/>
        <v>1416.4</v>
      </c>
      <c r="I29" s="30">
        <f t="shared" si="2"/>
        <v>-31.62948319683705</v>
      </c>
    </row>
    <row r="30" spans="1:10" x14ac:dyDescent="0.25">
      <c r="A30" s="20">
        <f t="shared" si="3"/>
        <v>39037</v>
      </c>
      <c r="B30" s="117" t="s">
        <v>5</v>
      </c>
      <c r="C30">
        <v>170.5</v>
      </c>
      <c r="D30">
        <v>531.20000000000005</v>
      </c>
      <c r="E30">
        <v>903.2</v>
      </c>
      <c r="F30">
        <v>876.2</v>
      </c>
      <c r="G30" s="35">
        <f t="shared" si="0"/>
        <v>1073.7</v>
      </c>
      <c r="H30" s="35">
        <f t="shared" si="1"/>
        <v>1407.4</v>
      </c>
      <c r="I30" s="30">
        <f t="shared" si="2"/>
        <v>-23.710387949410261</v>
      </c>
    </row>
    <row r="31" spans="1:10" x14ac:dyDescent="0.25">
      <c r="A31" s="20">
        <f t="shared" si="3"/>
        <v>39044</v>
      </c>
      <c r="B31" s="117" t="s">
        <v>5</v>
      </c>
      <c r="C31">
        <v>290.5</v>
      </c>
      <c r="D31">
        <v>591.20000000000005</v>
      </c>
      <c r="E31">
        <v>903.2</v>
      </c>
      <c r="F31">
        <v>918.3</v>
      </c>
      <c r="G31" s="35">
        <f t="shared" si="0"/>
        <v>1193.7</v>
      </c>
      <c r="H31" s="35">
        <f t="shared" si="1"/>
        <v>1509.5</v>
      </c>
      <c r="I31" s="30">
        <f t="shared" si="2"/>
        <v>-20.920834713481284</v>
      </c>
    </row>
    <row r="32" spans="1:10" x14ac:dyDescent="0.25">
      <c r="A32" s="20">
        <f t="shared" si="3"/>
        <v>39051</v>
      </c>
      <c r="B32" s="117" t="s">
        <v>5</v>
      </c>
      <c r="C32">
        <v>240.2</v>
      </c>
      <c r="D32">
        <v>441.2</v>
      </c>
      <c r="E32">
        <v>947.8</v>
      </c>
      <c r="F32">
        <v>982.5</v>
      </c>
      <c r="G32" s="35">
        <f t="shared" si="0"/>
        <v>1188</v>
      </c>
      <c r="H32" s="35">
        <f t="shared" si="1"/>
        <v>1423.7</v>
      </c>
      <c r="I32" s="30">
        <f t="shared" si="2"/>
        <v>-16.555454098475806</v>
      </c>
    </row>
    <row r="33" spans="1:10" x14ac:dyDescent="0.25">
      <c r="A33" s="20">
        <f t="shared" si="3"/>
        <v>39058</v>
      </c>
      <c r="B33" s="117" t="s">
        <v>5</v>
      </c>
      <c r="C33">
        <v>222.2</v>
      </c>
      <c r="D33">
        <v>420</v>
      </c>
      <c r="E33">
        <v>947.8</v>
      </c>
      <c r="F33">
        <v>982.5</v>
      </c>
      <c r="G33" s="35">
        <f t="shared" si="0"/>
        <v>1170</v>
      </c>
      <c r="H33" s="35">
        <f t="shared" si="1"/>
        <v>1402.5</v>
      </c>
      <c r="I33" s="30">
        <f t="shared" si="2"/>
        <v>-16.577540106951872</v>
      </c>
    </row>
    <row r="34" spans="1:10" x14ac:dyDescent="0.25">
      <c r="A34" s="20">
        <f t="shared" si="3"/>
        <v>39065</v>
      </c>
      <c r="B34" s="117" t="s">
        <v>5</v>
      </c>
      <c r="C34">
        <v>282.2</v>
      </c>
      <c r="D34">
        <v>300</v>
      </c>
      <c r="E34">
        <v>947.8</v>
      </c>
      <c r="F34">
        <v>1111.5999999999999</v>
      </c>
      <c r="G34" s="35">
        <f t="shared" si="0"/>
        <v>1230</v>
      </c>
      <c r="H34" s="35">
        <f t="shared" si="1"/>
        <v>1411.6</v>
      </c>
      <c r="I34" s="30">
        <f t="shared" si="2"/>
        <v>-12.864834230660238</v>
      </c>
    </row>
    <row r="35" spans="1:10" x14ac:dyDescent="0.25">
      <c r="A35" s="20">
        <f t="shared" si="3"/>
        <v>39072</v>
      </c>
      <c r="B35" s="117" t="s">
        <v>5</v>
      </c>
      <c r="C35">
        <v>282.2</v>
      </c>
      <c r="D35">
        <v>229.8</v>
      </c>
      <c r="E35">
        <v>1004.5</v>
      </c>
      <c r="F35">
        <v>1173.9000000000001</v>
      </c>
      <c r="G35" s="35">
        <f t="shared" si="0"/>
        <v>1286.7</v>
      </c>
      <c r="H35" s="35">
        <f t="shared" si="1"/>
        <v>1403.7</v>
      </c>
      <c r="I35" s="30">
        <f t="shared" si="2"/>
        <v>-8.3351143406710797</v>
      </c>
      <c r="J35">
        <v>60</v>
      </c>
    </row>
    <row r="36" spans="1:10" x14ac:dyDescent="0.25">
      <c r="A36" s="20">
        <f t="shared" si="3"/>
        <v>39079</v>
      </c>
      <c r="B36" s="117" t="s">
        <v>5</v>
      </c>
      <c r="C36">
        <v>402.7</v>
      </c>
      <c r="D36">
        <v>324.5</v>
      </c>
      <c r="E36">
        <v>1070</v>
      </c>
      <c r="F36">
        <v>1199.2</v>
      </c>
      <c r="G36" s="35">
        <f t="shared" si="0"/>
        <v>1472.7</v>
      </c>
      <c r="H36" s="35">
        <f t="shared" si="1"/>
        <v>1523.7</v>
      </c>
      <c r="I36" s="30">
        <f t="shared" si="2"/>
        <v>-3.3471155739318803</v>
      </c>
      <c r="J36">
        <v>60</v>
      </c>
    </row>
    <row r="37" spans="1:10" x14ac:dyDescent="0.25">
      <c r="A37" s="20">
        <f t="shared" si="3"/>
        <v>39086</v>
      </c>
      <c r="B37" s="117" t="s">
        <v>5</v>
      </c>
      <c r="C37">
        <v>480.2</v>
      </c>
      <c r="D37">
        <v>254.5</v>
      </c>
      <c r="E37">
        <v>1134.8</v>
      </c>
      <c r="F37">
        <v>1275.0999999999999</v>
      </c>
      <c r="G37" s="35">
        <f t="shared" si="0"/>
        <v>1615</v>
      </c>
      <c r="H37" s="35">
        <f t="shared" si="1"/>
        <v>1529.6</v>
      </c>
      <c r="I37" s="30">
        <f t="shared" si="2"/>
        <v>5.5831589958158956</v>
      </c>
    </row>
    <row r="38" spans="1:10" x14ac:dyDescent="0.25">
      <c r="A38" s="20">
        <f t="shared" si="3"/>
        <v>39093</v>
      </c>
      <c r="B38" s="117" t="s">
        <v>5</v>
      </c>
      <c r="C38">
        <v>480.2</v>
      </c>
      <c r="D38">
        <v>350</v>
      </c>
      <c r="E38">
        <v>1134.8</v>
      </c>
      <c r="F38">
        <v>1305.4000000000001</v>
      </c>
      <c r="G38" s="35">
        <f t="shared" si="0"/>
        <v>1615</v>
      </c>
      <c r="H38" s="35">
        <f t="shared" si="1"/>
        <v>1655.4</v>
      </c>
      <c r="I38" s="30">
        <f t="shared" si="2"/>
        <v>-2.4404977648906701</v>
      </c>
      <c r="J38">
        <v>60</v>
      </c>
    </row>
    <row r="39" spans="1:10" x14ac:dyDescent="0.25">
      <c r="A39" s="20">
        <f t="shared" si="3"/>
        <v>39100</v>
      </c>
      <c r="B39" s="117" t="s">
        <v>5</v>
      </c>
      <c r="C39">
        <v>489.7</v>
      </c>
      <c r="D39">
        <v>300</v>
      </c>
      <c r="E39">
        <v>1312</v>
      </c>
      <c r="F39">
        <v>1465.2</v>
      </c>
      <c r="G39" s="35">
        <f t="shared" si="0"/>
        <v>1801.7</v>
      </c>
      <c r="H39" s="35">
        <f t="shared" si="1"/>
        <v>1765.2</v>
      </c>
      <c r="I39" s="30">
        <f t="shared" si="2"/>
        <v>2.067754362111951</v>
      </c>
      <c r="J39">
        <v>60</v>
      </c>
    </row>
    <row r="40" spans="1:10" x14ac:dyDescent="0.25">
      <c r="A40" s="20">
        <f t="shared" si="3"/>
        <v>39107</v>
      </c>
      <c r="B40" s="117" t="s">
        <v>5</v>
      </c>
      <c r="C40">
        <v>369.7</v>
      </c>
      <c r="D40">
        <v>240</v>
      </c>
      <c r="E40">
        <v>1371.2</v>
      </c>
      <c r="F40">
        <v>1591.3</v>
      </c>
      <c r="G40" s="4">
        <f t="shared" si="0"/>
        <v>1740.9</v>
      </c>
      <c r="H40" s="35">
        <f t="shared" si="1"/>
        <v>1831.3</v>
      </c>
      <c r="I40" s="30">
        <f t="shared" si="2"/>
        <v>-4.9363839895156358</v>
      </c>
    </row>
    <row r="41" spans="1:10" x14ac:dyDescent="0.25">
      <c r="A41" s="20">
        <f t="shared" si="3"/>
        <v>39114</v>
      </c>
      <c r="B41" s="117" t="s">
        <v>5</v>
      </c>
      <c r="C41">
        <v>369.7</v>
      </c>
      <c r="D41">
        <v>240</v>
      </c>
      <c r="E41">
        <v>1468.7</v>
      </c>
      <c r="F41">
        <v>1713</v>
      </c>
      <c r="G41" s="4">
        <f t="shared" si="0"/>
        <v>1838.4</v>
      </c>
      <c r="H41" s="35">
        <f t="shared" ref="H41:H72" si="4">+D41+F41</f>
        <v>1953</v>
      </c>
      <c r="I41" s="30">
        <f t="shared" ref="I41:I46" si="5">+(G41/H41-1)*100</f>
        <v>-5.8678955453148944</v>
      </c>
    </row>
    <row r="42" spans="1:10" x14ac:dyDescent="0.25">
      <c r="A42" s="20">
        <f t="shared" si="3"/>
        <v>39121</v>
      </c>
      <c r="B42" s="117" t="s">
        <v>5</v>
      </c>
      <c r="C42">
        <v>369.7</v>
      </c>
      <c r="D42">
        <v>300</v>
      </c>
      <c r="E42">
        <v>1506.3</v>
      </c>
      <c r="F42">
        <v>1762.2</v>
      </c>
      <c r="G42" s="4">
        <f t="shared" si="0"/>
        <v>1876</v>
      </c>
      <c r="H42" s="35">
        <f t="shared" si="4"/>
        <v>2062.1999999999998</v>
      </c>
      <c r="I42" s="30">
        <f t="shared" si="5"/>
        <v>-9.0291921249151308</v>
      </c>
    </row>
    <row r="43" spans="1:10" x14ac:dyDescent="0.25">
      <c r="A43" s="20">
        <f t="shared" si="3"/>
        <v>39128</v>
      </c>
      <c r="B43" s="117" t="s">
        <v>5</v>
      </c>
      <c r="C43">
        <v>324.60000000000002</v>
      </c>
      <c r="D43">
        <v>300</v>
      </c>
      <c r="E43">
        <v>1678.8</v>
      </c>
      <c r="F43">
        <v>1868</v>
      </c>
      <c r="G43" s="4">
        <f t="shared" si="0"/>
        <v>2003.4</v>
      </c>
      <c r="H43" s="35">
        <f t="shared" si="4"/>
        <v>2168</v>
      </c>
      <c r="I43" s="30">
        <f t="shared" si="5"/>
        <v>-7.5922509225092245</v>
      </c>
    </row>
    <row r="44" spans="1:10" x14ac:dyDescent="0.25">
      <c r="A44" s="20">
        <f t="shared" si="3"/>
        <v>39135</v>
      </c>
      <c r="B44" s="117" t="s">
        <v>5</v>
      </c>
      <c r="C44">
        <v>432.6</v>
      </c>
      <c r="D44">
        <v>240</v>
      </c>
      <c r="E44">
        <v>1749.6</v>
      </c>
      <c r="F44">
        <v>1926.5</v>
      </c>
      <c r="G44" s="4">
        <f t="shared" si="0"/>
        <v>2182.1999999999998</v>
      </c>
      <c r="H44" s="35">
        <f t="shared" si="4"/>
        <v>2166.5</v>
      </c>
      <c r="I44" s="30">
        <f t="shared" si="5"/>
        <v>0.7246711285483487</v>
      </c>
    </row>
    <row r="45" spans="1:10" x14ac:dyDescent="0.25">
      <c r="A45" s="20">
        <f t="shared" si="3"/>
        <v>39142</v>
      </c>
      <c r="B45" s="117" t="s">
        <v>5</v>
      </c>
      <c r="C45">
        <v>464.7</v>
      </c>
      <c r="D45">
        <v>120</v>
      </c>
      <c r="E45">
        <v>1906.2</v>
      </c>
      <c r="F45">
        <v>2095.1</v>
      </c>
      <c r="G45" s="4">
        <f t="shared" si="0"/>
        <v>2370.9</v>
      </c>
      <c r="H45" s="35">
        <f t="shared" si="4"/>
        <v>2215.1</v>
      </c>
      <c r="I45" s="30">
        <f t="shared" si="5"/>
        <v>7.0335425037244548</v>
      </c>
    </row>
    <row r="46" spans="1:10" x14ac:dyDescent="0.25">
      <c r="A46" s="20">
        <f t="shared" si="3"/>
        <v>39149</v>
      </c>
      <c r="B46" s="117" t="s">
        <v>5</v>
      </c>
      <c r="C46">
        <v>464.7</v>
      </c>
      <c r="D46">
        <v>165</v>
      </c>
      <c r="E46">
        <v>1906.2</v>
      </c>
      <c r="F46">
        <v>2095.1</v>
      </c>
      <c r="G46" s="4">
        <f t="shared" si="0"/>
        <v>2370.9</v>
      </c>
      <c r="H46" s="35">
        <f t="shared" si="4"/>
        <v>2260.1</v>
      </c>
      <c r="I46" s="30">
        <f t="shared" si="5"/>
        <v>4.9024379452236699</v>
      </c>
    </row>
    <row r="47" spans="1:10" x14ac:dyDescent="0.25">
      <c r="A47" s="20">
        <f t="shared" si="3"/>
        <v>39156</v>
      </c>
      <c r="B47" s="117" t="s">
        <v>5</v>
      </c>
      <c r="C47">
        <v>399</v>
      </c>
      <c r="D47">
        <v>187.1</v>
      </c>
      <c r="E47">
        <v>2025.5</v>
      </c>
      <c r="F47">
        <v>2139</v>
      </c>
      <c r="G47" s="4">
        <f t="shared" si="0"/>
        <v>2424.5</v>
      </c>
      <c r="H47" s="35">
        <f t="shared" si="4"/>
        <v>2326.1</v>
      </c>
      <c r="I47" s="30">
        <f t="shared" ref="I47:I52" si="6">+(G47/H47-1)*100</f>
        <v>4.2302566527664398</v>
      </c>
    </row>
    <row r="48" spans="1:10" x14ac:dyDescent="0.25">
      <c r="A48" s="20">
        <f t="shared" si="3"/>
        <v>39163</v>
      </c>
      <c r="B48" s="117" t="s">
        <v>5</v>
      </c>
      <c r="C48">
        <v>280.60000000000002</v>
      </c>
      <c r="D48">
        <v>221.2</v>
      </c>
      <c r="E48">
        <v>2227.6999999999998</v>
      </c>
      <c r="F48">
        <v>2189.6</v>
      </c>
      <c r="G48" s="4">
        <f t="shared" si="0"/>
        <v>2508.2999999999997</v>
      </c>
      <c r="H48" s="35">
        <f t="shared" si="4"/>
        <v>2410.7999999999997</v>
      </c>
      <c r="I48" s="30">
        <f t="shared" si="6"/>
        <v>4.0443006470880949</v>
      </c>
    </row>
    <row r="49" spans="1:10" x14ac:dyDescent="0.25">
      <c r="A49" s="20">
        <f t="shared" si="3"/>
        <v>39170</v>
      </c>
      <c r="B49" s="117" t="s">
        <v>5</v>
      </c>
      <c r="C49">
        <v>313.39999999999998</v>
      </c>
      <c r="D49">
        <v>164.9</v>
      </c>
      <c r="E49">
        <v>2227.6999999999998</v>
      </c>
      <c r="F49">
        <v>2212.8000000000002</v>
      </c>
      <c r="G49" s="4">
        <f t="shared" si="0"/>
        <v>2541.1</v>
      </c>
      <c r="H49" s="35">
        <f t="shared" si="4"/>
        <v>2377.7000000000003</v>
      </c>
      <c r="I49" s="30">
        <f t="shared" si="6"/>
        <v>6.8721874079993084</v>
      </c>
    </row>
    <row r="50" spans="1:10" x14ac:dyDescent="0.25">
      <c r="A50" s="20">
        <f t="shared" si="3"/>
        <v>39177</v>
      </c>
      <c r="B50" s="117" t="s">
        <v>5</v>
      </c>
      <c r="C50">
        <v>306</v>
      </c>
      <c r="D50">
        <v>209.9</v>
      </c>
      <c r="E50">
        <v>2300</v>
      </c>
      <c r="F50">
        <v>2212.8000000000002</v>
      </c>
      <c r="G50" s="4">
        <f t="shared" si="0"/>
        <v>2606</v>
      </c>
      <c r="H50" s="35">
        <f t="shared" si="4"/>
        <v>2422.7000000000003</v>
      </c>
      <c r="I50" s="30">
        <f t="shared" si="6"/>
        <v>7.5659388285796769</v>
      </c>
      <c r="J50" s="4">
        <f>+G50-G49</f>
        <v>64.900000000000091</v>
      </c>
    </row>
    <row r="51" spans="1:10" x14ac:dyDescent="0.25">
      <c r="A51" s="20">
        <f t="shared" si="3"/>
        <v>39184</v>
      </c>
      <c r="B51" s="117" t="s">
        <v>5</v>
      </c>
      <c r="C51">
        <v>316</v>
      </c>
      <c r="D51">
        <v>324.89999999999998</v>
      </c>
      <c r="E51">
        <v>2345</v>
      </c>
      <c r="F51">
        <v>2212.8000000000002</v>
      </c>
      <c r="G51" s="4">
        <f t="shared" si="0"/>
        <v>2661</v>
      </c>
      <c r="H51" s="35">
        <f t="shared" si="4"/>
        <v>2537.7000000000003</v>
      </c>
      <c r="I51" s="30">
        <f t="shared" si="6"/>
        <v>4.8587303463766274</v>
      </c>
    </row>
    <row r="52" spans="1:10" x14ac:dyDescent="0.25">
      <c r="A52" s="20">
        <f t="shared" si="3"/>
        <v>39191</v>
      </c>
      <c r="B52" s="117" t="s">
        <v>5</v>
      </c>
      <c r="C52">
        <v>436</v>
      </c>
      <c r="D52">
        <v>339.6</v>
      </c>
      <c r="E52">
        <v>2319.1999999999998</v>
      </c>
      <c r="F52">
        <v>2326.5</v>
      </c>
      <c r="G52" s="4">
        <f t="shared" si="0"/>
        <v>2755.2</v>
      </c>
      <c r="H52" s="35">
        <f t="shared" si="4"/>
        <v>2666.1</v>
      </c>
      <c r="I52" s="30">
        <f t="shared" si="6"/>
        <v>3.3419601665353849</v>
      </c>
    </row>
    <row r="53" spans="1:10" x14ac:dyDescent="0.25">
      <c r="A53" s="20">
        <f t="shared" si="3"/>
        <v>39198</v>
      </c>
      <c r="B53" s="117" t="s">
        <v>5</v>
      </c>
      <c r="C53">
        <v>316</v>
      </c>
      <c r="D53">
        <v>459.6</v>
      </c>
      <c r="E53">
        <v>2362.1</v>
      </c>
      <c r="F53">
        <v>2326.5</v>
      </c>
      <c r="G53" s="4">
        <f t="shared" si="0"/>
        <v>2678.1</v>
      </c>
      <c r="H53" s="35">
        <f t="shared" si="4"/>
        <v>2786.1</v>
      </c>
      <c r="I53" s="30">
        <f t="shared" ref="I53:I58" si="7">+(G53/H53-1)*100</f>
        <v>-3.8763863465058668</v>
      </c>
    </row>
    <row r="54" spans="1:10" x14ac:dyDescent="0.25">
      <c r="A54" s="20">
        <f t="shared" si="3"/>
        <v>39205</v>
      </c>
      <c r="B54" s="117" t="s">
        <v>5</v>
      </c>
      <c r="C54">
        <v>255.9</v>
      </c>
      <c r="D54">
        <v>414.6</v>
      </c>
      <c r="E54">
        <v>2426.6</v>
      </c>
      <c r="F54">
        <v>2426.4</v>
      </c>
      <c r="G54" s="4">
        <f t="shared" si="0"/>
        <v>2682.5</v>
      </c>
      <c r="H54" s="35">
        <f t="shared" si="4"/>
        <v>2841</v>
      </c>
      <c r="I54" s="30">
        <f t="shared" si="7"/>
        <v>-5.5790214713129167</v>
      </c>
    </row>
    <row r="55" spans="1:10" x14ac:dyDescent="0.25">
      <c r="A55" s="20">
        <f t="shared" si="3"/>
        <v>39212</v>
      </c>
      <c r="B55" s="117" t="s">
        <v>5</v>
      </c>
      <c r="C55">
        <v>436</v>
      </c>
      <c r="D55">
        <v>475.8</v>
      </c>
      <c r="E55">
        <v>2426.6</v>
      </c>
      <c r="F55">
        <v>2600.9</v>
      </c>
      <c r="G55" s="4">
        <f t="shared" si="0"/>
        <v>2862.6</v>
      </c>
      <c r="H55" s="35">
        <f t="shared" si="4"/>
        <v>3076.7000000000003</v>
      </c>
      <c r="I55" s="30">
        <f t="shared" si="7"/>
        <v>-6.9587545097019703</v>
      </c>
    </row>
    <row r="56" spans="1:10" x14ac:dyDescent="0.25">
      <c r="A56" s="20">
        <f t="shared" si="3"/>
        <v>39219</v>
      </c>
      <c r="B56" s="117" t="s">
        <v>5</v>
      </c>
      <c r="C56">
        <v>483.8</v>
      </c>
      <c r="D56">
        <v>535.79999999999995</v>
      </c>
      <c r="E56">
        <v>2449.6</v>
      </c>
      <c r="F56">
        <v>2666.9</v>
      </c>
      <c r="G56" s="4">
        <f t="shared" si="0"/>
        <v>2933.4</v>
      </c>
      <c r="H56" s="35">
        <f t="shared" si="4"/>
        <v>3202.7</v>
      </c>
      <c r="I56" s="30">
        <f t="shared" si="7"/>
        <v>-8.4085303025572049</v>
      </c>
    </row>
    <row r="57" spans="1:10" x14ac:dyDescent="0.25">
      <c r="A57" s="20">
        <f t="shared" si="3"/>
        <v>39226</v>
      </c>
      <c r="B57" s="117" t="s">
        <v>5</v>
      </c>
      <c r="C57">
        <v>543.79999999999995</v>
      </c>
      <c r="D57">
        <v>540</v>
      </c>
      <c r="E57">
        <v>2449.6</v>
      </c>
      <c r="F57">
        <v>2725.3</v>
      </c>
      <c r="G57" s="4">
        <f t="shared" si="0"/>
        <v>2993.3999999999996</v>
      </c>
      <c r="H57" s="35">
        <f t="shared" si="4"/>
        <v>3265.3</v>
      </c>
      <c r="I57" s="30">
        <f t="shared" si="7"/>
        <v>-8.3269531130371064</v>
      </c>
    </row>
    <row r="58" spans="1:10" x14ac:dyDescent="0.25">
      <c r="A58" s="20">
        <f t="shared" si="3"/>
        <v>39233</v>
      </c>
      <c r="B58" s="117" t="s">
        <v>5</v>
      </c>
      <c r="C58">
        <v>444.4</v>
      </c>
      <c r="D58">
        <v>570</v>
      </c>
      <c r="E58">
        <v>2494.1</v>
      </c>
      <c r="F58">
        <v>2755.3</v>
      </c>
      <c r="G58" s="4">
        <f t="shared" si="0"/>
        <v>2938.5</v>
      </c>
      <c r="H58" s="35">
        <f t="shared" si="4"/>
        <v>3325.3</v>
      </c>
      <c r="I58" s="30">
        <f t="shared" si="7"/>
        <v>-11.632033200012037</v>
      </c>
    </row>
    <row r="59" spans="1:10" x14ac:dyDescent="0.25">
      <c r="A59" s="20">
        <f t="shared" si="3"/>
        <v>39240</v>
      </c>
      <c r="B59" s="117" t="s">
        <v>5</v>
      </c>
      <c r="C59">
        <v>365.6</v>
      </c>
      <c r="D59">
        <v>435</v>
      </c>
      <c r="E59">
        <v>2578.9</v>
      </c>
      <c r="F59">
        <v>2946.5</v>
      </c>
      <c r="G59" s="4">
        <f t="shared" si="0"/>
        <v>2944.5</v>
      </c>
      <c r="H59" s="35">
        <f t="shared" si="4"/>
        <v>3381.5</v>
      </c>
      <c r="I59" s="30">
        <f t="shared" ref="I59:I64" si="8">+(G59/H59-1)*100</f>
        <v>-12.923258908768299</v>
      </c>
    </row>
    <row r="60" spans="1:10" x14ac:dyDescent="0.25">
      <c r="A60" s="20">
        <f t="shared" si="3"/>
        <v>39247</v>
      </c>
      <c r="B60" s="117" t="s">
        <v>5</v>
      </c>
      <c r="C60">
        <v>377.8</v>
      </c>
      <c r="D60">
        <v>315</v>
      </c>
      <c r="E60">
        <v>2659.2</v>
      </c>
      <c r="F60">
        <v>3010.8</v>
      </c>
      <c r="G60" s="4">
        <f t="shared" si="0"/>
        <v>3037</v>
      </c>
      <c r="H60" s="35">
        <f t="shared" si="4"/>
        <v>3325.8</v>
      </c>
      <c r="I60" s="30">
        <f t="shared" si="8"/>
        <v>-8.6836249924830184</v>
      </c>
    </row>
    <row r="61" spans="1:10" x14ac:dyDescent="0.25">
      <c r="A61" s="20">
        <f t="shared" si="3"/>
        <v>39254</v>
      </c>
      <c r="B61" s="117" t="s">
        <v>5</v>
      </c>
      <c r="C61">
        <v>473.4</v>
      </c>
      <c r="D61">
        <v>435</v>
      </c>
      <c r="E61">
        <v>2724.8</v>
      </c>
      <c r="F61">
        <v>3125.4</v>
      </c>
      <c r="G61" s="4">
        <f t="shared" si="0"/>
        <v>3198.2000000000003</v>
      </c>
      <c r="H61" s="35">
        <f t="shared" si="4"/>
        <v>3560.4</v>
      </c>
      <c r="I61" s="30">
        <f t="shared" si="8"/>
        <v>-10.173014268059767</v>
      </c>
    </row>
    <row r="62" spans="1:10" x14ac:dyDescent="0.25">
      <c r="A62" s="20">
        <f t="shared" si="3"/>
        <v>39261</v>
      </c>
      <c r="B62" s="117" t="s">
        <v>5</v>
      </c>
      <c r="C62">
        <v>713.4</v>
      </c>
      <c r="D62">
        <v>465</v>
      </c>
      <c r="E62">
        <v>2724.8</v>
      </c>
      <c r="F62">
        <v>3196.4</v>
      </c>
      <c r="G62" s="4">
        <f t="shared" si="0"/>
        <v>3438.2000000000003</v>
      </c>
      <c r="H62" s="35">
        <f t="shared" si="4"/>
        <v>3661.4</v>
      </c>
      <c r="I62" s="30">
        <f t="shared" si="8"/>
        <v>-6.0960288414267705</v>
      </c>
    </row>
    <row r="63" spans="1:10" x14ac:dyDescent="0.25">
      <c r="A63" s="20">
        <f t="shared" si="3"/>
        <v>39268</v>
      </c>
      <c r="B63" s="117" t="s">
        <v>5</v>
      </c>
      <c r="C63">
        <v>773.4</v>
      </c>
      <c r="D63">
        <v>445</v>
      </c>
      <c r="E63">
        <v>2790.2</v>
      </c>
      <c r="F63">
        <v>3249</v>
      </c>
      <c r="G63" s="4">
        <f t="shared" si="0"/>
        <v>3563.6</v>
      </c>
      <c r="H63" s="35">
        <f t="shared" si="4"/>
        <v>3694</v>
      </c>
      <c r="I63" s="30">
        <f t="shared" si="8"/>
        <v>-3.5300487276664905</v>
      </c>
    </row>
    <row r="64" spans="1:10" x14ac:dyDescent="0.25">
      <c r="A64" s="20">
        <f t="shared" si="3"/>
        <v>39275</v>
      </c>
      <c r="B64" s="117" t="s">
        <v>5</v>
      </c>
      <c r="C64">
        <v>695.8</v>
      </c>
      <c r="D64">
        <v>525</v>
      </c>
      <c r="E64">
        <v>2879.5</v>
      </c>
      <c r="F64">
        <v>3318.5</v>
      </c>
      <c r="G64" s="4">
        <f t="shared" si="0"/>
        <v>3575.3</v>
      </c>
      <c r="H64" s="35">
        <f t="shared" si="4"/>
        <v>3843.5</v>
      </c>
      <c r="I64" s="30">
        <f t="shared" si="8"/>
        <v>-6.9780148302328593</v>
      </c>
    </row>
    <row r="65" spans="1:10" x14ac:dyDescent="0.25">
      <c r="A65" s="20">
        <f t="shared" si="3"/>
        <v>39282</v>
      </c>
      <c r="B65" s="117" t="s">
        <v>5</v>
      </c>
      <c r="C65">
        <v>695.8</v>
      </c>
      <c r="D65">
        <v>625</v>
      </c>
      <c r="E65">
        <v>2938.6</v>
      </c>
      <c r="F65">
        <v>3409.7</v>
      </c>
      <c r="G65" s="4">
        <f t="shared" si="0"/>
        <v>3634.3999999999996</v>
      </c>
      <c r="H65" s="35">
        <f t="shared" si="4"/>
        <v>4034.7</v>
      </c>
      <c r="I65" s="30">
        <f t="shared" ref="I65:I70" si="9">+(G65/H65-1)*100</f>
        <v>-9.9214315810345344</v>
      </c>
      <c r="J65">
        <v>60</v>
      </c>
    </row>
    <row r="66" spans="1:10" x14ac:dyDescent="0.25">
      <c r="A66" s="20">
        <f t="shared" si="3"/>
        <v>39289</v>
      </c>
      <c r="B66" s="117" t="s">
        <v>5</v>
      </c>
      <c r="C66">
        <v>653.5</v>
      </c>
      <c r="D66">
        <v>515</v>
      </c>
      <c r="E66">
        <v>3018.1</v>
      </c>
      <c r="F66">
        <v>3540.9</v>
      </c>
      <c r="G66" s="4">
        <f t="shared" si="0"/>
        <v>3671.6</v>
      </c>
      <c r="H66" s="35">
        <f t="shared" si="4"/>
        <v>4055.9</v>
      </c>
      <c r="I66" s="30">
        <f t="shared" si="9"/>
        <v>-9.475085677654782</v>
      </c>
      <c r="J66">
        <v>60</v>
      </c>
    </row>
    <row r="67" spans="1:10" x14ac:dyDescent="0.25">
      <c r="A67" s="20">
        <f t="shared" si="3"/>
        <v>39296</v>
      </c>
      <c r="B67" s="117" t="s">
        <v>5</v>
      </c>
      <c r="C67">
        <v>611.29999999999995</v>
      </c>
      <c r="D67">
        <v>465</v>
      </c>
      <c r="E67">
        <v>3060.3</v>
      </c>
      <c r="F67">
        <v>3720.6</v>
      </c>
      <c r="G67" s="4">
        <f t="shared" si="0"/>
        <v>3671.6000000000004</v>
      </c>
      <c r="H67" s="35">
        <f t="shared" si="4"/>
        <v>4185.6000000000004</v>
      </c>
      <c r="I67" s="30">
        <f t="shared" si="9"/>
        <v>-12.280198776758411</v>
      </c>
      <c r="J67">
        <v>120</v>
      </c>
    </row>
    <row r="68" spans="1:10" x14ac:dyDescent="0.25">
      <c r="A68" s="20">
        <f t="shared" si="3"/>
        <v>39303</v>
      </c>
      <c r="B68" s="117" t="s">
        <v>5</v>
      </c>
      <c r="C68">
        <v>396.3</v>
      </c>
      <c r="D68">
        <v>400</v>
      </c>
      <c r="E68">
        <v>3166</v>
      </c>
      <c r="F68">
        <v>3771.3</v>
      </c>
      <c r="G68" s="4">
        <f t="shared" ref="G68:G131" si="10">+C68+E68</f>
        <v>3562.3</v>
      </c>
      <c r="H68" s="35">
        <f t="shared" si="4"/>
        <v>4171.3</v>
      </c>
      <c r="I68" s="30">
        <f t="shared" si="9"/>
        <v>-14.59976506125189</v>
      </c>
      <c r="J68">
        <v>120</v>
      </c>
    </row>
    <row r="69" spans="1:10" x14ac:dyDescent="0.25">
      <c r="A69" s="20">
        <f t="shared" si="3"/>
        <v>39310</v>
      </c>
      <c r="B69" s="117" t="s">
        <v>5</v>
      </c>
      <c r="C69">
        <v>325.89999999999998</v>
      </c>
      <c r="D69">
        <v>280</v>
      </c>
      <c r="E69">
        <v>3240.3</v>
      </c>
      <c r="F69">
        <v>3955.5</v>
      </c>
      <c r="G69" s="4">
        <f t="shared" si="10"/>
        <v>3566.2000000000003</v>
      </c>
      <c r="H69" s="35">
        <f t="shared" si="4"/>
        <v>4235.5</v>
      </c>
      <c r="I69" s="30">
        <f t="shared" si="9"/>
        <v>-15.802148506669811</v>
      </c>
      <c r="J69">
        <v>360</v>
      </c>
    </row>
    <row r="70" spans="1:10" x14ac:dyDescent="0.25">
      <c r="A70" s="20">
        <f t="shared" si="3"/>
        <v>39317</v>
      </c>
      <c r="B70" s="117" t="s">
        <v>5</v>
      </c>
      <c r="C70">
        <v>233.9</v>
      </c>
      <c r="D70">
        <v>235</v>
      </c>
      <c r="E70">
        <v>3336.5</v>
      </c>
      <c r="F70">
        <v>4083.2</v>
      </c>
      <c r="G70" s="4">
        <f t="shared" si="10"/>
        <v>3570.4</v>
      </c>
      <c r="H70" s="35">
        <f t="shared" si="4"/>
        <v>4318.2</v>
      </c>
      <c r="I70" s="30">
        <f t="shared" si="9"/>
        <v>-17.317400768838866</v>
      </c>
      <c r="J70">
        <v>480</v>
      </c>
    </row>
    <row r="71" spans="1:10" x14ac:dyDescent="0.25">
      <c r="A71" s="20">
        <f t="shared" si="3"/>
        <v>39324</v>
      </c>
      <c r="B71" s="117" t="s">
        <v>5</v>
      </c>
      <c r="C71">
        <v>176.9</v>
      </c>
      <c r="D71">
        <v>143.19999999999999</v>
      </c>
      <c r="E71">
        <v>3508.1</v>
      </c>
      <c r="F71">
        <v>4298.1000000000004</v>
      </c>
      <c r="G71" s="4">
        <f t="shared" si="10"/>
        <v>3685</v>
      </c>
      <c r="H71" s="35">
        <f t="shared" si="4"/>
        <v>4441.3</v>
      </c>
      <c r="I71" s="30">
        <f t="shared" ref="I71:I76" si="11">+(G71/H71-1)*100</f>
        <v>-17.028797874496206</v>
      </c>
      <c r="J71">
        <v>480</v>
      </c>
    </row>
    <row r="72" spans="1:10" x14ac:dyDescent="0.25">
      <c r="A72" s="73">
        <f t="shared" si="3"/>
        <v>39331</v>
      </c>
      <c r="B72" s="117" t="s">
        <v>5</v>
      </c>
      <c r="C72">
        <v>584.4</v>
      </c>
      <c r="D72">
        <v>673.2</v>
      </c>
      <c r="E72">
        <v>123.5</v>
      </c>
      <c r="F72">
        <v>50.6</v>
      </c>
      <c r="G72" s="4">
        <f t="shared" si="10"/>
        <v>707.9</v>
      </c>
      <c r="H72" s="35">
        <f t="shared" si="4"/>
        <v>723.80000000000007</v>
      </c>
      <c r="I72" s="30">
        <f t="shared" si="11"/>
        <v>-2.196739430781991</v>
      </c>
    </row>
    <row r="73" spans="1:10" x14ac:dyDescent="0.25">
      <c r="A73" s="20">
        <f t="shared" si="3"/>
        <v>39338</v>
      </c>
      <c r="B73" s="117" t="s">
        <v>5</v>
      </c>
      <c r="C73">
        <v>480</v>
      </c>
      <c r="D73">
        <v>681.5</v>
      </c>
      <c r="E73">
        <v>169.4</v>
      </c>
      <c r="F73">
        <v>211.4</v>
      </c>
      <c r="G73" s="4">
        <f t="shared" si="10"/>
        <v>649.4</v>
      </c>
      <c r="H73" s="35">
        <f t="shared" ref="H73:H104" si="12">+D73+F73</f>
        <v>892.9</v>
      </c>
      <c r="I73" s="30">
        <f t="shared" si="11"/>
        <v>-27.270691006831672</v>
      </c>
    </row>
    <row r="74" spans="1:10" x14ac:dyDescent="0.25">
      <c r="A74" s="20">
        <f t="shared" si="3"/>
        <v>39345</v>
      </c>
      <c r="B74" s="117" t="s">
        <v>5</v>
      </c>
      <c r="C74">
        <v>300</v>
      </c>
      <c r="D74">
        <v>635</v>
      </c>
      <c r="E74">
        <v>399.7</v>
      </c>
      <c r="F74">
        <v>349.7</v>
      </c>
      <c r="G74" s="4">
        <f t="shared" si="10"/>
        <v>699.7</v>
      </c>
      <c r="H74" s="35">
        <f t="shared" si="12"/>
        <v>984.7</v>
      </c>
      <c r="I74" s="30">
        <f t="shared" si="11"/>
        <v>-28.942825225957147</v>
      </c>
    </row>
    <row r="75" spans="1:10" x14ac:dyDescent="0.25">
      <c r="A75" s="20">
        <f t="shared" si="3"/>
        <v>39352</v>
      </c>
      <c r="B75" s="117" t="s">
        <v>5</v>
      </c>
      <c r="C75">
        <v>120</v>
      </c>
      <c r="D75">
        <v>635</v>
      </c>
      <c r="E75">
        <v>543.29999999999995</v>
      </c>
      <c r="F75">
        <v>407.3</v>
      </c>
      <c r="G75" s="4">
        <f t="shared" si="10"/>
        <v>663.3</v>
      </c>
      <c r="H75" s="35">
        <f t="shared" si="12"/>
        <v>1042.3</v>
      </c>
      <c r="I75" s="30">
        <f t="shared" si="11"/>
        <v>-36.361891969682439</v>
      </c>
    </row>
    <row r="76" spans="1:10" x14ac:dyDescent="0.25">
      <c r="A76" s="20">
        <f t="shared" si="3"/>
        <v>39359</v>
      </c>
      <c r="B76" s="117" t="s">
        <v>5</v>
      </c>
      <c r="C76">
        <v>300</v>
      </c>
      <c r="D76">
        <v>615</v>
      </c>
      <c r="E76">
        <v>598.6</v>
      </c>
      <c r="F76">
        <v>407.3</v>
      </c>
      <c r="G76" s="4">
        <f t="shared" si="10"/>
        <v>898.6</v>
      </c>
      <c r="H76" s="35">
        <f t="shared" si="12"/>
        <v>1022.3</v>
      </c>
      <c r="I76" s="30">
        <f t="shared" si="11"/>
        <v>-12.100166291695192</v>
      </c>
    </row>
    <row r="77" spans="1:10" x14ac:dyDescent="0.25">
      <c r="A77" s="20">
        <f t="shared" si="3"/>
        <v>39366</v>
      </c>
      <c r="B77" s="117" t="s">
        <v>5</v>
      </c>
      <c r="C77">
        <v>300</v>
      </c>
      <c r="D77">
        <v>452.5</v>
      </c>
      <c r="E77">
        <v>663.3</v>
      </c>
      <c r="F77">
        <v>602.5</v>
      </c>
      <c r="G77" s="4">
        <f t="shared" si="10"/>
        <v>963.3</v>
      </c>
      <c r="H77" s="35">
        <f t="shared" si="12"/>
        <v>1055</v>
      </c>
      <c r="I77" s="30">
        <f t="shared" ref="I77:I82" si="13">+(G77/H77-1)*100</f>
        <v>-8.6919431279620873</v>
      </c>
    </row>
    <row r="78" spans="1:10" x14ac:dyDescent="0.25">
      <c r="A78" s="20">
        <f t="shared" si="3"/>
        <v>39373</v>
      </c>
      <c r="B78" s="117" t="s">
        <v>5</v>
      </c>
      <c r="C78">
        <v>395</v>
      </c>
      <c r="D78">
        <v>293.89999999999998</v>
      </c>
      <c r="E78">
        <v>769.4</v>
      </c>
      <c r="F78">
        <v>743.4</v>
      </c>
      <c r="G78" s="4">
        <f t="shared" si="10"/>
        <v>1164.4000000000001</v>
      </c>
      <c r="H78" s="35">
        <f t="shared" si="12"/>
        <v>1037.3</v>
      </c>
      <c r="I78" s="30">
        <f t="shared" si="13"/>
        <v>12.252964426877488</v>
      </c>
    </row>
    <row r="79" spans="1:10" x14ac:dyDescent="0.25">
      <c r="A79" s="20">
        <f t="shared" si="3"/>
        <v>39380</v>
      </c>
      <c r="B79" s="117" t="s">
        <v>5</v>
      </c>
      <c r="C79">
        <v>455</v>
      </c>
      <c r="D79">
        <v>293.89999999999998</v>
      </c>
      <c r="E79">
        <v>769.4</v>
      </c>
      <c r="F79">
        <v>743.4</v>
      </c>
      <c r="G79" s="4">
        <f t="shared" si="10"/>
        <v>1224.4000000000001</v>
      </c>
      <c r="H79" s="35">
        <f t="shared" si="12"/>
        <v>1037.3</v>
      </c>
      <c r="I79" s="30">
        <f t="shared" si="13"/>
        <v>18.037211992673296</v>
      </c>
    </row>
    <row r="80" spans="1:10" x14ac:dyDescent="0.25">
      <c r="A80" s="20">
        <f t="shared" si="3"/>
        <v>39387</v>
      </c>
      <c r="B80" s="117" t="s">
        <v>5</v>
      </c>
      <c r="C80">
        <v>480</v>
      </c>
      <c r="D80">
        <v>170.5</v>
      </c>
      <c r="E80">
        <v>892.2</v>
      </c>
      <c r="F80">
        <v>797.9</v>
      </c>
      <c r="G80" s="4">
        <f t="shared" si="10"/>
        <v>1372.2</v>
      </c>
      <c r="H80" s="35">
        <f t="shared" si="12"/>
        <v>968.4</v>
      </c>
      <c r="I80" s="30">
        <f t="shared" si="13"/>
        <v>41.697645600991336</v>
      </c>
    </row>
    <row r="81" spans="1:9" x14ac:dyDescent="0.25">
      <c r="A81" s="20">
        <f t="shared" si="3"/>
        <v>39394</v>
      </c>
      <c r="B81" s="117" t="s">
        <v>5</v>
      </c>
      <c r="C81">
        <v>695</v>
      </c>
      <c r="D81">
        <v>131.69999999999999</v>
      </c>
      <c r="E81">
        <v>983.2</v>
      </c>
      <c r="F81">
        <v>836.7</v>
      </c>
      <c r="G81" s="4">
        <f t="shared" si="10"/>
        <v>1678.2</v>
      </c>
      <c r="H81" s="35">
        <f t="shared" si="12"/>
        <v>968.40000000000009</v>
      </c>
      <c r="I81" s="30">
        <f t="shared" si="13"/>
        <v>73.296158612143742</v>
      </c>
    </row>
    <row r="82" spans="1:9" x14ac:dyDescent="0.25">
      <c r="A82" s="20">
        <f t="shared" si="3"/>
        <v>39401</v>
      </c>
      <c r="B82" s="117" t="s">
        <v>5</v>
      </c>
      <c r="C82">
        <v>1055</v>
      </c>
      <c r="D82">
        <v>170.5</v>
      </c>
      <c r="E82">
        <v>1039.3</v>
      </c>
      <c r="F82">
        <v>903.2</v>
      </c>
      <c r="G82" s="4">
        <f t="shared" si="10"/>
        <v>2094.3000000000002</v>
      </c>
      <c r="H82" s="35">
        <f t="shared" si="12"/>
        <v>1073.7</v>
      </c>
      <c r="I82" s="30">
        <f t="shared" si="13"/>
        <v>95.054484492875119</v>
      </c>
    </row>
    <row r="83" spans="1:9" x14ac:dyDescent="0.25">
      <c r="A83" s="20">
        <f t="shared" si="3"/>
        <v>39408</v>
      </c>
      <c r="B83" s="117" t="s">
        <v>5</v>
      </c>
      <c r="C83">
        <v>1011</v>
      </c>
      <c r="D83">
        <v>290.5</v>
      </c>
      <c r="E83">
        <v>1232.2</v>
      </c>
      <c r="F83">
        <v>903.2</v>
      </c>
      <c r="G83" s="4">
        <f t="shared" si="10"/>
        <v>2243.1999999999998</v>
      </c>
      <c r="H83" s="35">
        <f t="shared" si="12"/>
        <v>1193.7</v>
      </c>
      <c r="I83" s="30">
        <f t="shared" ref="I83:I88" si="14">+(G83/H83-1)*100</f>
        <v>87.919912875931942</v>
      </c>
    </row>
    <row r="84" spans="1:9" x14ac:dyDescent="0.25">
      <c r="A84" s="20">
        <f t="shared" si="3"/>
        <v>39415</v>
      </c>
      <c r="B84" s="117" t="s">
        <v>5</v>
      </c>
      <c r="C84">
        <v>1071</v>
      </c>
      <c r="D84">
        <v>240.2</v>
      </c>
      <c r="E84">
        <v>1232.2</v>
      </c>
      <c r="F84">
        <v>947.8</v>
      </c>
      <c r="G84" s="4">
        <f t="shared" si="10"/>
        <v>2303.1999999999998</v>
      </c>
      <c r="H84" s="35">
        <f t="shared" si="12"/>
        <v>1188</v>
      </c>
      <c r="I84" s="30">
        <f t="shared" si="14"/>
        <v>93.872053872053868</v>
      </c>
    </row>
    <row r="85" spans="1:9" x14ac:dyDescent="0.25">
      <c r="A85" s="20">
        <f t="shared" si="3"/>
        <v>39422</v>
      </c>
      <c r="B85" s="117" t="s">
        <v>5</v>
      </c>
      <c r="C85">
        <v>1026</v>
      </c>
      <c r="D85">
        <v>222.2</v>
      </c>
      <c r="E85">
        <v>1289.0999999999999</v>
      </c>
      <c r="F85">
        <v>947.8</v>
      </c>
      <c r="G85" s="4">
        <f t="shared" si="10"/>
        <v>2315.1</v>
      </c>
      <c r="H85" s="35">
        <f t="shared" si="12"/>
        <v>1170</v>
      </c>
      <c r="I85" s="30">
        <f t="shared" si="14"/>
        <v>97.871794871794876</v>
      </c>
    </row>
    <row r="86" spans="1:9" x14ac:dyDescent="0.25">
      <c r="A86" s="20">
        <f t="shared" si="3"/>
        <v>39429</v>
      </c>
      <c r="B86" s="117" t="s">
        <v>5</v>
      </c>
      <c r="C86">
        <v>1030</v>
      </c>
      <c r="D86">
        <v>282.2</v>
      </c>
      <c r="E86">
        <v>1350.4</v>
      </c>
      <c r="F86">
        <v>947.8</v>
      </c>
      <c r="G86" s="4">
        <f t="shared" si="10"/>
        <v>2380.4</v>
      </c>
      <c r="H86" s="35">
        <f t="shared" si="12"/>
        <v>1230</v>
      </c>
      <c r="I86" s="30">
        <f t="shared" si="14"/>
        <v>93.528455284552848</v>
      </c>
    </row>
    <row r="87" spans="1:9" x14ac:dyDescent="0.25">
      <c r="A87" s="20">
        <f t="shared" si="3"/>
        <v>39436</v>
      </c>
      <c r="B87" s="117" t="s">
        <v>5</v>
      </c>
      <c r="C87">
        <v>912.5</v>
      </c>
      <c r="D87">
        <v>282.2</v>
      </c>
      <c r="E87">
        <v>1460.6</v>
      </c>
      <c r="F87">
        <v>1004.5</v>
      </c>
      <c r="G87" s="4">
        <f t="shared" si="10"/>
        <v>2373.1</v>
      </c>
      <c r="H87" s="35">
        <f t="shared" si="12"/>
        <v>1286.7</v>
      </c>
      <c r="I87" s="30">
        <f t="shared" si="14"/>
        <v>84.433045776016158</v>
      </c>
    </row>
    <row r="88" spans="1:9" x14ac:dyDescent="0.25">
      <c r="A88" s="20">
        <f t="shared" si="3"/>
        <v>39443</v>
      </c>
      <c r="B88" s="117" t="s">
        <v>5</v>
      </c>
      <c r="C88">
        <v>995.4</v>
      </c>
      <c r="D88">
        <v>402.7</v>
      </c>
      <c r="E88">
        <v>1505.9</v>
      </c>
      <c r="F88">
        <v>1070</v>
      </c>
      <c r="G88" s="4">
        <f t="shared" si="10"/>
        <v>2501.3000000000002</v>
      </c>
      <c r="H88" s="35">
        <f t="shared" si="12"/>
        <v>1472.7</v>
      </c>
      <c r="I88" s="30">
        <f t="shared" si="14"/>
        <v>69.844503293270876</v>
      </c>
    </row>
    <row r="89" spans="1:9" x14ac:dyDescent="0.25">
      <c r="A89" s="20">
        <f t="shared" si="3"/>
        <v>39450</v>
      </c>
      <c r="B89" s="117" t="s">
        <v>5</v>
      </c>
      <c r="C89">
        <v>995.4</v>
      </c>
      <c r="D89">
        <v>480.2</v>
      </c>
      <c r="E89">
        <v>1505.9</v>
      </c>
      <c r="F89">
        <v>1134.8</v>
      </c>
      <c r="G89" s="4">
        <f t="shared" si="10"/>
        <v>2501.3000000000002</v>
      </c>
      <c r="H89" s="35">
        <f t="shared" si="12"/>
        <v>1615</v>
      </c>
      <c r="I89" s="30">
        <f t="shared" ref="I89:I94" si="15">+(G89/H89-1)*100</f>
        <v>54.879256965944293</v>
      </c>
    </row>
    <row r="90" spans="1:9" x14ac:dyDescent="0.25">
      <c r="A90" s="20">
        <f t="shared" si="3"/>
        <v>39457</v>
      </c>
      <c r="B90" s="117" t="s">
        <v>5</v>
      </c>
      <c r="C90">
        <v>1083</v>
      </c>
      <c r="D90">
        <v>480.2</v>
      </c>
      <c r="E90">
        <v>1542.7</v>
      </c>
      <c r="F90">
        <v>1134.8</v>
      </c>
      <c r="G90" s="4">
        <f t="shared" si="10"/>
        <v>2625.7</v>
      </c>
      <c r="H90" s="35">
        <f t="shared" si="12"/>
        <v>1615</v>
      </c>
      <c r="I90" s="30">
        <f t="shared" si="15"/>
        <v>62.582043343653247</v>
      </c>
    </row>
    <row r="91" spans="1:9" x14ac:dyDescent="0.25">
      <c r="A91" s="20">
        <f t="shared" si="3"/>
        <v>39464</v>
      </c>
      <c r="B91" s="117" t="s">
        <v>5</v>
      </c>
      <c r="C91">
        <v>963</v>
      </c>
      <c r="D91">
        <v>489.7</v>
      </c>
      <c r="E91">
        <v>1726.3</v>
      </c>
      <c r="F91">
        <v>1312</v>
      </c>
      <c r="G91" s="4">
        <f t="shared" si="10"/>
        <v>2689.3</v>
      </c>
      <c r="H91" s="35">
        <f t="shared" si="12"/>
        <v>1801.7</v>
      </c>
      <c r="I91" s="30">
        <f t="shared" si="15"/>
        <v>49.264583448964871</v>
      </c>
    </row>
    <row r="92" spans="1:9" x14ac:dyDescent="0.25">
      <c r="A92" s="20">
        <f t="shared" si="3"/>
        <v>39471</v>
      </c>
      <c r="B92" s="117" t="s">
        <v>5</v>
      </c>
      <c r="C92">
        <v>983</v>
      </c>
      <c r="D92">
        <v>369.7</v>
      </c>
      <c r="E92">
        <v>1769.3</v>
      </c>
      <c r="F92">
        <v>1371.2</v>
      </c>
      <c r="G92" s="4">
        <f t="shared" si="10"/>
        <v>2752.3</v>
      </c>
      <c r="H92" s="35">
        <f t="shared" si="12"/>
        <v>1740.9</v>
      </c>
      <c r="I92" s="30">
        <f t="shared" si="15"/>
        <v>58.096386926302479</v>
      </c>
    </row>
    <row r="93" spans="1:9" x14ac:dyDescent="0.25">
      <c r="A93" s="20">
        <f t="shared" si="3"/>
        <v>39478</v>
      </c>
      <c r="B93" s="117" t="s">
        <v>5</v>
      </c>
      <c r="C93">
        <v>1001.3</v>
      </c>
      <c r="D93">
        <v>369.7</v>
      </c>
      <c r="E93">
        <v>1859.3</v>
      </c>
      <c r="F93">
        <v>1442.7</v>
      </c>
      <c r="G93" s="4">
        <f t="shared" si="10"/>
        <v>2860.6</v>
      </c>
      <c r="H93" s="35">
        <f t="shared" si="12"/>
        <v>1812.4</v>
      </c>
      <c r="I93" s="30">
        <f t="shared" si="15"/>
        <v>57.834915029794743</v>
      </c>
    </row>
    <row r="94" spans="1:9" x14ac:dyDescent="0.25">
      <c r="A94" s="20">
        <f t="shared" si="3"/>
        <v>39485</v>
      </c>
      <c r="B94" s="117" t="s">
        <v>5</v>
      </c>
      <c r="C94">
        <v>1061.3</v>
      </c>
      <c r="D94">
        <v>369.7</v>
      </c>
      <c r="E94">
        <v>1859.3</v>
      </c>
      <c r="F94">
        <v>1506.3</v>
      </c>
      <c r="G94" s="4">
        <f t="shared" si="10"/>
        <v>2920.6</v>
      </c>
      <c r="H94" s="35">
        <f t="shared" si="12"/>
        <v>1876</v>
      </c>
      <c r="I94" s="30">
        <f t="shared" si="15"/>
        <v>55.682302771854999</v>
      </c>
    </row>
    <row r="95" spans="1:9" x14ac:dyDescent="0.25">
      <c r="A95" s="20">
        <f t="shared" si="3"/>
        <v>39492</v>
      </c>
      <c r="B95" s="117" t="s">
        <v>5</v>
      </c>
      <c r="C95">
        <v>1001.3</v>
      </c>
      <c r="D95">
        <v>324.60000000000002</v>
      </c>
      <c r="E95">
        <v>1917.5</v>
      </c>
      <c r="F95">
        <v>1629.3</v>
      </c>
      <c r="G95" s="4">
        <f t="shared" si="10"/>
        <v>2918.8</v>
      </c>
      <c r="H95" s="35">
        <f t="shared" si="12"/>
        <v>1953.9</v>
      </c>
      <c r="I95" s="30">
        <f t="shared" ref="I95:I100" si="16">+(G95/H95-1)*100</f>
        <v>49.383284712626029</v>
      </c>
    </row>
    <row r="96" spans="1:9" x14ac:dyDescent="0.25">
      <c r="A96" s="20">
        <f t="shared" si="3"/>
        <v>39499</v>
      </c>
      <c r="B96" s="117" t="s">
        <v>5</v>
      </c>
      <c r="C96">
        <v>840</v>
      </c>
      <c r="D96">
        <v>432.6</v>
      </c>
      <c r="E96">
        <v>2065.8000000000002</v>
      </c>
      <c r="F96">
        <v>1749.6</v>
      </c>
      <c r="G96" s="4">
        <f t="shared" si="10"/>
        <v>2905.8</v>
      </c>
      <c r="H96" s="35">
        <f t="shared" si="12"/>
        <v>2182.1999999999998</v>
      </c>
      <c r="I96" s="30">
        <f t="shared" si="16"/>
        <v>33.159197140500439</v>
      </c>
    </row>
    <row r="97" spans="1:10" x14ac:dyDescent="0.25">
      <c r="A97" s="20">
        <f t="shared" si="3"/>
        <v>39506</v>
      </c>
      <c r="B97" s="117" t="s">
        <v>5</v>
      </c>
      <c r="C97">
        <v>840</v>
      </c>
      <c r="D97">
        <v>464.7</v>
      </c>
      <c r="E97">
        <v>2141.4</v>
      </c>
      <c r="F97">
        <v>1906.2</v>
      </c>
      <c r="G97" s="4">
        <f t="shared" si="10"/>
        <v>2981.4</v>
      </c>
      <c r="H97" s="35">
        <f t="shared" si="12"/>
        <v>2370.9</v>
      </c>
      <c r="I97" s="30">
        <f t="shared" si="16"/>
        <v>25.749715297988107</v>
      </c>
    </row>
    <row r="98" spans="1:10" x14ac:dyDescent="0.25">
      <c r="A98" s="20">
        <f t="shared" si="3"/>
        <v>39513</v>
      </c>
      <c r="B98" s="117" t="s">
        <v>5</v>
      </c>
      <c r="C98">
        <v>840</v>
      </c>
      <c r="D98">
        <v>464.7</v>
      </c>
      <c r="E98">
        <v>2141.4</v>
      </c>
      <c r="F98">
        <v>1906.2</v>
      </c>
      <c r="G98" s="4">
        <f t="shared" si="10"/>
        <v>2981.4</v>
      </c>
      <c r="H98" s="35">
        <f t="shared" si="12"/>
        <v>2370.9</v>
      </c>
      <c r="I98" s="30">
        <f t="shared" si="16"/>
        <v>25.749715297988107</v>
      </c>
    </row>
    <row r="99" spans="1:10" x14ac:dyDescent="0.25">
      <c r="A99" s="20">
        <f t="shared" si="3"/>
        <v>39520</v>
      </c>
      <c r="B99" s="117" t="s">
        <v>5</v>
      </c>
      <c r="C99">
        <v>649.9</v>
      </c>
      <c r="D99">
        <v>399</v>
      </c>
      <c r="E99">
        <v>2300.1</v>
      </c>
      <c r="F99">
        <v>2025.5</v>
      </c>
      <c r="G99" s="4">
        <f t="shared" si="10"/>
        <v>2950</v>
      </c>
      <c r="H99" s="35">
        <f t="shared" si="12"/>
        <v>2424.5</v>
      </c>
      <c r="I99" s="30">
        <f t="shared" si="16"/>
        <v>21.674572076716856</v>
      </c>
    </row>
    <row r="100" spans="1:10" x14ac:dyDescent="0.25">
      <c r="A100" s="20">
        <f t="shared" si="3"/>
        <v>39527</v>
      </c>
      <c r="B100" s="117" t="s">
        <v>5</v>
      </c>
      <c r="C100">
        <v>569.9</v>
      </c>
      <c r="D100">
        <v>280.60000000000002</v>
      </c>
      <c r="E100">
        <v>2380.6</v>
      </c>
      <c r="F100">
        <v>2227.6999999999998</v>
      </c>
      <c r="G100" s="4">
        <f t="shared" si="10"/>
        <v>2950.5</v>
      </c>
      <c r="H100" s="35">
        <f t="shared" si="12"/>
        <v>2508.2999999999997</v>
      </c>
      <c r="I100" s="30">
        <f t="shared" si="16"/>
        <v>17.629470159071904</v>
      </c>
    </row>
    <row r="101" spans="1:10" x14ac:dyDescent="0.25">
      <c r="A101" s="20">
        <f t="shared" si="3"/>
        <v>39534</v>
      </c>
      <c r="B101" s="117" t="s">
        <v>5</v>
      </c>
      <c r="C101">
        <v>479.9</v>
      </c>
      <c r="D101">
        <v>313.39999999999998</v>
      </c>
      <c r="E101">
        <v>2466.3000000000002</v>
      </c>
      <c r="F101">
        <v>2227.6999999999998</v>
      </c>
      <c r="G101" s="4">
        <f t="shared" si="10"/>
        <v>2946.2000000000003</v>
      </c>
      <c r="H101" s="35">
        <f t="shared" si="12"/>
        <v>2541.1</v>
      </c>
      <c r="I101" s="30">
        <f t="shared" ref="I101:I106" si="17">+(G101/H101-1)*100</f>
        <v>15.941914918736</v>
      </c>
    </row>
    <row r="102" spans="1:10" x14ac:dyDescent="0.25">
      <c r="A102" s="20">
        <f t="shared" si="3"/>
        <v>39541</v>
      </c>
      <c r="B102" s="117" t="s">
        <v>5</v>
      </c>
      <c r="C102">
        <v>479.9</v>
      </c>
      <c r="D102">
        <v>306</v>
      </c>
      <c r="E102">
        <v>2466.3000000000002</v>
      </c>
      <c r="F102">
        <v>2300</v>
      </c>
      <c r="G102" s="4">
        <f t="shared" si="10"/>
        <v>2946.2000000000003</v>
      </c>
      <c r="H102" s="35">
        <f t="shared" si="12"/>
        <v>2606</v>
      </c>
      <c r="I102" s="30">
        <f t="shared" si="17"/>
        <v>13.054489639293942</v>
      </c>
    </row>
    <row r="103" spans="1:10" x14ac:dyDescent="0.25">
      <c r="A103" s="20">
        <f t="shared" si="3"/>
        <v>39548</v>
      </c>
      <c r="B103" s="117" t="s">
        <v>5</v>
      </c>
      <c r="C103">
        <v>395.2</v>
      </c>
      <c r="D103">
        <v>316</v>
      </c>
      <c r="E103">
        <v>2616.4</v>
      </c>
      <c r="F103">
        <v>2319.1999999999998</v>
      </c>
      <c r="G103" s="4">
        <f t="shared" si="10"/>
        <v>3011.6</v>
      </c>
      <c r="H103" s="35">
        <f t="shared" si="12"/>
        <v>2635.2</v>
      </c>
      <c r="I103" s="30">
        <f t="shared" si="17"/>
        <v>14.283545840922883</v>
      </c>
    </row>
    <row r="104" spans="1:10" x14ac:dyDescent="0.25">
      <c r="A104" s="20">
        <f t="shared" si="3"/>
        <v>39555</v>
      </c>
      <c r="B104" s="117" t="s">
        <v>5</v>
      </c>
      <c r="C104">
        <v>362.8</v>
      </c>
      <c r="D104">
        <v>436</v>
      </c>
      <c r="E104">
        <v>2694.2</v>
      </c>
      <c r="F104">
        <v>2319.1999999999998</v>
      </c>
      <c r="G104" s="4">
        <f t="shared" si="10"/>
        <v>3057</v>
      </c>
      <c r="H104" s="35">
        <f t="shared" si="12"/>
        <v>2755.2</v>
      </c>
      <c r="I104" s="30">
        <f t="shared" si="17"/>
        <v>10.953832752613257</v>
      </c>
    </row>
    <row r="105" spans="1:10" x14ac:dyDescent="0.25">
      <c r="A105" s="20">
        <f t="shared" si="3"/>
        <v>39562</v>
      </c>
      <c r="B105" s="117" t="s">
        <v>5</v>
      </c>
      <c r="C105">
        <v>302.8</v>
      </c>
      <c r="D105">
        <v>316</v>
      </c>
      <c r="E105">
        <v>2751.9</v>
      </c>
      <c r="F105">
        <v>2362.1</v>
      </c>
      <c r="G105" s="4">
        <f t="shared" si="10"/>
        <v>3054.7000000000003</v>
      </c>
      <c r="H105" s="35">
        <f t="shared" ref="H105:H136" si="18">+D105+F105</f>
        <v>2678.1</v>
      </c>
      <c r="I105" s="30">
        <f t="shared" si="17"/>
        <v>14.062208281990983</v>
      </c>
    </row>
    <row r="106" spans="1:10" x14ac:dyDescent="0.25">
      <c r="A106" s="20">
        <f t="shared" si="3"/>
        <v>39569</v>
      </c>
      <c r="B106" s="117" t="s">
        <v>5</v>
      </c>
      <c r="C106">
        <v>286.3</v>
      </c>
      <c r="D106">
        <v>255.9</v>
      </c>
      <c r="E106">
        <v>2751.9</v>
      </c>
      <c r="F106">
        <v>2426.6</v>
      </c>
      <c r="G106" s="4">
        <f t="shared" si="10"/>
        <v>3038.2000000000003</v>
      </c>
      <c r="H106" s="35">
        <f t="shared" si="18"/>
        <v>2682.5</v>
      </c>
      <c r="I106" s="30">
        <f t="shared" si="17"/>
        <v>13.260018639328997</v>
      </c>
      <c r="J106">
        <v>0</v>
      </c>
    </row>
    <row r="107" spans="1:10" x14ac:dyDescent="0.25">
      <c r="A107" s="20">
        <f t="shared" si="3"/>
        <v>39576</v>
      </c>
      <c r="B107" s="117" t="s">
        <v>5</v>
      </c>
      <c r="C107">
        <v>286.3</v>
      </c>
      <c r="D107">
        <v>436</v>
      </c>
      <c r="E107">
        <v>2751.9</v>
      </c>
      <c r="F107">
        <v>2426.6</v>
      </c>
      <c r="G107" s="4">
        <f t="shared" si="10"/>
        <v>3038.2000000000003</v>
      </c>
      <c r="H107" s="35">
        <f t="shared" si="18"/>
        <v>2862.6</v>
      </c>
      <c r="I107" s="30">
        <f t="shared" ref="I107:I112" si="19">+(G107/H107-1)*100</f>
        <v>6.1342835184797107</v>
      </c>
      <c r="J107">
        <v>0</v>
      </c>
    </row>
    <row r="108" spans="1:10" x14ac:dyDescent="0.25">
      <c r="A108" s="20">
        <f t="shared" si="3"/>
        <v>39583</v>
      </c>
      <c r="B108" s="117" t="s">
        <v>5</v>
      </c>
      <c r="C108">
        <v>286.3</v>
      </c>
      <c r="D108">
        <v>483.8</v>
      </c>
      <c r="E108">
        <v>2751.9</v>
      </c>
      <c r="F108">
        <v>2449.6</v>
      </c>
      <c r="G108" s="4">
        <f t="shared" si="10"/>
        <v>3038.2000000000003</v>
      </c>
      <c r="H108" s="35">
        <f t="shared" si="18"/>
        <v>2933.4</v>
      </c>
      <c r="I108" s="30">
        <f t="shared" si="19"/>
        <v>3.5726460762255385</v>
      </c>
      <c r="J108">
        <v>0</v>
      </c>
    </row>
    <row r="109" spans="1:10" x14ac:dyDescent="0.25">
      <c r="A109" s="20">
        <f t="shared" si="3"/>
        <v>39590</v>
      </c>
      <c r="B109" s="117" t="s">
        <v>5</v>
      </c>
      <c r="C109">
        <v>226.4</v>
      </c>
      <c r="D109">
        <v>543.79999999999995</v>
      </c>
      <c r="E109">
        <v>2809.8</v>
      </c>
      <c r="F109">
        <v>2449.6</v>
      </c>
      <c r="G109" s="4">
        <f t="shared" si="10"/>
        <v>3036.2000000000003</v>
      </c>
      <c r="H109" s="35">
        <f t="shared" si="18"/>
        <v>2993.3999999999996</v>
      </c>
      <c r="I109" s="30">
        <f t="shared" si="19"/>
        <v>1.4298122536246627</v>
      </c>
      <c r="J109">
        <v>0</v>
      </c>
    </row>
    <row r="110" spans="1:10" x14ac:dyDescent="0.25">
      <c r="A110" s="20">
        <f t="shared" si="3"/>
        <v>39597</v>
      </c>
      <c r="B110" s="117" t="s">
        <v>5</v>
      </c>
      <c r="C110">
        <v>346.4</v>
      </c>
      <c r="D110">
        <v>444.4</v>
      </c>
      <c r="E110">
        <v>2809.8</v>
      </c>
      <c r="F110">
        <v>2494.1</v>
      </c>
      <c r="G110" s="4">
        <f t="shared" si="10"/>
        <v>3156.2000000000003</v>
      </c>
      <c r="H110" s="35">
        <f t="shared" si="18"/>
        <v>2938.5</v>
      </c>
      <c r="I110" s="30">
        <f t="shared" si="19"/>
        <v>7.408541773013444</v>
      </c>
      <c r="J110">
        <v>0</v>
      </c>
    </row>
    <row r="111" spans="1:10" x14ac:dyDescent="0.25">
      <c r="A111" s="20">
        <f t="shared" si="3"/>
        <v>39604</v>
      </c>
      <c r="B111" s="117" t="s">
        <v>5</v>
      </c>
      <c r="C111">
        <v>313.60000000000002</v>
      </c>
      <c r="D111">
        <v>365.6</v>
      </c>
      <c r="E111">
        <v>2825.7</v>
      </c>
      <c r="F111">
        <v>2578.9</v>
      </c>
      <c r="G111" s="4">
        <f t="shared" si="10"/>
        <v>3139.2999999999997</v>
      </c>
      <c r="H111" s="35">
        <f t="shared" si="18"/>
        <v>2944.5</v>
      </c>
      <c r="I111" s="30">
        <f t="shared" si="19"/>
        <v>6.6157242316182696</v>
      </c>
      <c r="J111">
        <v>0</v>
      </c>
    </row>
    <row r="112" spans="1:10" x14ac:dyDescent="0.25">
      <c r="A112" s="20">
        <f t="shared" si="3"/>
        <v>39611</v>
      </c>
      <c r="B112" s="117" t="s">
        <v>5</v>
      </c>
      <c r="C112">
        <v>261.8</v>
      </c>
      <c r="D112">
        <v>377.8</v>
      </c>
      <c r="E112">
        <v>2871.4</v>
      </c>
      <c r="F112">
        <v>2659.2</v>
      </c>
      <c r="G112" s="4">
        <f t="shared" si="10"/>
        <v>3133.2000000000003</v>
      </c>
      <c r="H112" s="35">
        <f t="shared" si="18"/>
        <v>3037</v>
      </c>
      <c r="I112" s="30">
        <f t="shared" si="19"/>
        <v>3.1675996048732502</v>
      </c>
      <c r="J112">
        <v>0</v>
      </c>
    </row>
    <row r="113" spans="1:11" x14ac:dyDescent="0.25">
      <c r="A113" s="20">
        <f t="shared" si="3"/>
        <v>39618</v>
      </c>
      <c r="B113" s="117" t="s">
        <v>5</v>
      </c>
      <c r="C113">
        <v>221.4</v>
      </c>
      <c r="D113">
        <v>473.4</v>
      </c>
      <c r="E113">
        <v>2911.8</v>
      </c>
      <c r="F113">
        <v>2724.8</v>
      </c>
      <c r="G113" s="4">
        <f t="shared" si="10"/>
        <v>3133.2000000000003</v>
      </c>
      <c r="H113" s="35">
        <f t="shared" si="18"/>
        <v>3198.2000000000003</v>
      </c>
      <c r="I113" s="30">
        <f t="shared" ref="I113:I118" si="20">+(G113/H113-1)*100</f>
        <v>-2.0323932211869122</v>
      </c>
      <c r="J113">
        <v>0</v>
      </c>
    </row>
    <row r="114" spans="1:11" x14ac:dyDescent="0.25">
      <c r="A114" s="20">
        <f t="shared" si="3"/>
        <v>39625</v>
      </c>
      <c r="B114" s="117" t="s">
        <v>5</v>
      </c>
      <c r="C114">
        <v>180</v>
      </c>
      <c r="D114">
        <v>713.4</v>
      </c>
      <c r="E114">
        <v>2964.5</v>
      </c>
      <c r="F114">
        <v>2724.8</v>
      </c>
      <c r="G114" s="4">
        <f t="shared" si="10"/>
        <v>3144.5</v>
      </c>
      <c r="H114" s="35">
        <f t="shared" si="18"/>
        <v>3438.2000000000003</v>
      </c>
      <c r="I114" s="30">
        <f t="shared" si="20"/>
        <v>-8.5422604851375752</v>
      </c>
      <c r="J114">
        <v>0</v>
      </c>
    </row>
    <row r="115" spans="1:11" x14ac:dyDescent="0.25">
      <c r="A115" s="20">
        <f t="shared" si="3"/>
        <v>39632</v>
      </c>
      <c r="B115" s="117" t="s">
        <v>5</v>
      </c>
      <c r="C115">
        <v>180</v>
      </c>
      <c r="D115">
        <v>773.4</v>
      </c>
      <c r="E115">
        <v>2964.5</v>
      </c>
      <c r="F115">
        <v>2790.2</v>
      </c>
      <c r="G115" s="4">
        <f t="shared" si="10"/>
        <v>3144.5</v>
      </c>
      <c r="H115" s="35">
        <f t="shared" si="18"/>
        <v>3563.6</v>
      </c>
      <c r="I115" s="30">
        <f t="shared" si="20"/>
        <v>-11.760579189583565</v>
      </c>
      <c r="J115">
        <v>0</v>
      </c>
    </row>
    <row r="116" spans="1:11" x14ac:dyDescent="0.25">
      <c r="A116" s="20">
        <f t="shared" si="3"/>
        <v>39639</v>
      </c>
      <c r="B116" s="117" t="s">
        <v>5</v>
      </c>
      <c r="C116">
        <v>155.5</v>
      </c>
      <c r="D116">
        <v>695.8</v>
      </c>
      <c r="E116">
        <v>3005.6</v>
      </c>
      <c r="F116">
        <v>2879.5</v>
      </c>
      <c r="G116" s="4">
        <f t="shared" si="10"/>
        <v>3161.1</v>
      </c>
      <c r="H116" s="35">
        <f t="shared" si="18"/>
        <v>3575.3</v>
      </c>
      <c r="I116" s="30">
        <f t="shared" si="20"/>
        <v>-11.585041814672902</v>
      </c>
      <c r="J116">
        <v>0</v>
      </c>
    </row>
    <row r="117" spans="1:11" x14ac:dyDescent="0.25">
      <c r="A117" s="20">
        <f t="shared" si="3"/>
        <v>39646</v>
      </c>
      <c r="B117" s="117" t="s">
        <v>5</v>
      </c>
      <c r="C117">
        <v>155.5</v>
      </c>
      <c r="D117">
        <v>695.8</v>
      </c>
      <c r="E117">
        <v>3005.6</v>
      </c>
      <c r="F117">
        <v>2938.6</v>
      </c>
      <c r="G117" s="4">
        <f t="shared" si="10"/>
        <v>3161.1</v>
      </c>
      <c r="H117" s="35">
        <f t="shared" si="18"/>
        <v>3634.3999999999996</v>
      </c>
      <c r="I117" s="30">
        <f t="shared" si="20"/>
        <v>-13.022782302443314</v>
      </c>
      <c r="J117">
        <v>0</v>
      </c>
    </row>
    <row r="118" spans="1:11" x14ac:dyDescent="0.25">
      <c r="A118" s="20">
        <f t="shared" si="3"/>
        <v>39653</v>
      </c>
      <c r="B118" s="117" t="s">
        <v>5</v>
      </c>
      <c r="C118">
        <v>104.5</v>
      </c>
      <c r="D118">
        <v>653.5</v>
      </c>
      <c r="E118">
        <v>3056.6</v>
      </c>
      <c r="F118">
        <v>3018.1</v>
      </c>
      <c r="G118" s="4">
        <f t="shared" si="10"/>
        <v>3161.1</v>
      </c>
      <c r="H118" s="35">
        <f t="shared" si="18"/>
        <v>3671.6</v>
      </c>
      <c r="I118" s="30">
        <f t="shared" si="20"/>
        <v>-13.904020045756615</v>
      </c>
      <c r="J118">
        <v>0</v>
      </c>
    </row>
    <row r="119" spans="1:11" x14ac:dyDescent="0.25">
      <c r="A119" s="20">
        <f t="shared" si="3"/>
        <v>39660</v>
      </c>
      <c r="B119" s="117" t="s">
        <v>5</v>
      </c>
      <c r="C119">
        <v>164.5</v>
      </c>
      <c r="D119">
        <v>611.29999999999995</v>
      </c>
      <c r="E119">
        <v>3056.6</v>
      </c>
      <c r="F119">
        <v>3060.3</v>
      </c>
      <c r="G119" s="4">
        <f t="shared" si="10"/>
        <v>3221.1</v>
      </c>
      <c r="H119" s="35">
        <f t="shared" si="18"/>
        <v>3671.6000000000004</v>
      </c>
      <c r="I119" s="30">
        <f t="shared" ref="I119:I124" si="21">+(G119/H119-1)*100</f>
        <v>-12.269855104041849</v>
      </c>
      <c r="J119">
        <v>0</v>
      </c>
    </row>
    <row r="120" spans="1:11" x14ac:dyDescent="0.25">
      <c r="A120" s="20">
        <f t="shared" si="3"/>
        <v>39667</v>
      </c>
      <c r="B120" s="117" t="s">
        <v>5</v>
      </c>
      <c r="C120">
        <v>344.5</v>
      </c>
      <c r="D120">
        <v>396.3</v>
      </c>
      <c r="E120">
        <v>3056.6</v>
      </c>
      <c r="F120">
        <v>3166</v>
      </c>
      <c r="G120" s="4">
        <f t="shared" si="10"/>
        <v>3401.1</v>
      </c>
      <c r="H120" s="35">
        <f t="shared" si="18"/>
        <v>3562.3</v>
      </c>
      <c r="I120" s="30">
        <f t="shared" si="21"/>
        <v>-4.525166325127028</v>
      </c>
    </row>
    <row r="121" spans="1:11" x14ac:dyDescent="0.25">
      <c r="A121" s="20">
        <f t="shared" si="3"/>
        <v>39674</v>
      </c>
      <c r="B121" s="117" t="s">
        <v>5</v>
      </c>
      <c r="C121">
        <v>229.4</v>
      </c>
      <c r="D121">
        <v>325.89999999999998</v>
      </c>
      <c r="E121">
        <v>3180.1</v>
      </c>
      <c r="F121">
        <v>3240.3</v>
      </c>
      <c r="G121" s="4">
        <f t="shared" si="10"/>
        <v>3409.5</v>
      </c>
      <c r="H121" s="35">
        <f t="shared" si="18"/>
        <v>3566.2000000000003</v>
      </c>
      <c r="I121" s="30">
        <f t="shared" si="21"/>
        <v>-4.3940328641130737</v>
      </c>
      <c r="J121">
        <v>60</v>
      </c>
    </row>
    <row r="122" spans="1:11" x14ac:dyDescent="0.25">
      <c r="A122" s="20">
        <f t="shared" si="3"/>
        <v>39681</v>
      </c>
      <c r="B122" s="117" t="s">
        <v>5</v>
      </c>
      <c r="C122">
        <v>229.4</v>
      </c>
      <c r="D122">
        <v>233.9</v>
      </c>
      <c r="E122">
        <v>3220.3</v>
      </c>
      <c r="F122">
        <v>3336.5</v>
      </c>
      <c r="G122" s="4">
        <f t="shared" si="10"/>
        <v>3449.7000000000003</v>
      </c>
      <c r="H122" s="35">
        <f t="shared" si="18"/>
        <v>3570.4</v>
      </c>
      <c r="I122" s="30">
        <f t="shared" si="21"/>
        <v>-3.3805736051982893</v>
      </c>
      <c r="J122">
        <v>174</v>
      </c>
    </row>
    <row r="123" spans="1:11" x14ac:dyDescent="0.25">
      <c r="A123" s="20">
        <f t="shared" si="3"/>
        <v>39688</v>
      </c>
      <c r="B123" s="117" t="s">
        <v>5</v>
      </c>
      <c r="C123">
        <v>49.7</v>
      </c>
      <c r="D123">
        <v>176.9</v>
      </c>
      <c r="E123">
        <v>3309.4</v>
      </c>
      <c r="F123">
        <v>3508.1</v>
      </c>
      <c r="G123" s="4">
        <f t="shared" si="10"/>
        <v>3359.1</v>
      </c>
      <c r="H123" s="35">
        <f t="shared" si="18"/>
        <v>3685</v>
      </c>
      <c r="I123" s="30">
        <f t="shared" si="21"/>
        <v>-8.8439620081411157</v>
      </c>
      <c r="J123">
        <v>234</v>
      </c>
      <c r="K123" s="4">
        <f>+G123-DATA!N92</f>
        <v>3272.2</v>
      </c>
    </row>
    <row r="124" spans="1:11" x14ac:dyDescent="0.25">
      <c r="A124" s="20">
        <f t="shared" si="3"/>
        <v>39695</v>
      </c>
      <c r="B124" s="117" t="s">
        <v>5</v>
      </c>
      <c r="C124">
        <v>283.7</v>
      </c>
      <c r="D124">
        <v>584.4</v>
      </c>
      <c r="E124">
        <v>0</v>
      </c>
      <c r="F124">
        <v>102.9</v>
      </c>
      <c r="G124" s="4">
        <f t="shared" si="10"/>
        <v>283.7</v>
      </c>
      <c r="H124" s="35">
        <f t="shared" si="18"/>
        <v>687.3</v>
      </c>
      <c r="I124" s="30">
        <f t="shared" si="21"/>
        <v>-58.722537465444489</v>
      </c>
    </row>
    <row r="125" spans="1:11" x14ac:dyDescent="0.25">
      <c r="A125" s="20">
        <f t="shared" si="3"/>
        <v>39702</v>
      </c>
      <c r="B125" s="117" t="s">
        <v>5</v>
      </c>
      <c r="C125">
        <v>182</v>
      </c>
      <c r="D125">
        <v>480</v>
      </c>
      <c r="E125">
        <v>100.3</v>
      </c>
      <c r="F125">
        <v>148.69999999999999</v>
      </c>
      <c r="G125" s="4">
        <f t="shared" si="10"/>
        <v>282.3</v>
      </c>
      <c r="H125" s="35">
        <f t="shared" si="18"/>
        <v>628.70000000000005</v>
      </c>
      <c r="I125" s="30">
        <f t="shared" ref="I125:I130" si="22">+(G125/H125-1)*100</f>
        <v>-55.097820900270399</v>
      </c>
    </row>
    <row r="126" spans="1:11" x14ac:dyDescent="0.25">
      <c r="A126" s="20">
        <f t="shared" si="3"/>
        <v>39709</v>
      </c>
      <c r="B126" s="117" t="s">
        <v>5</v>
      </c>
      <c r="C126">
        <v>122.3</v>
      </c>
      <c r="D126">
        <v>300</v>
      </c>
      <c r="E126">
        <v>213.5</v>
      </c>
      <c r="F126">
        <v>357.1</v>
      </c>
      <c r="G126" s="4">
        <f t="shared" si="10"/>
        <v>335.8</v>
      </c>
      <c r="H126" s="35">
        <f t="shared" si="18"/>
        <v>657.1</v>
      </c>
      <c r="I126" s="30">
        <f t="shared" si="22"/>
        <v>-48.896667173946128</v>
      </c>
    </row>
    <row r="127" spans="1:11" x14ac:dyDescent="0.25">
      <c r="A127" s="20">
        <f t="shared" si="3"/>
        <v>39716</v>
      </c>
      <c r="B127" s="117" t="s">
        <v>5</v>
      </c>
      <c r="C127">
        <v>122.3</v>
      </c>
      <c r="D127">
        <v>120</v>
      </c>
      <c r="E127">
        <v>265.5</v>
      </c>
      <c r="F127">
        <v>500.8</v>
      </c>
      <c r="G127" s="4">
        <f t="shared" si="10"/>
        <v>387.8</v>
      </c>
      <c r="H127" s="35">
        <f t="shared" si="18"/>
        <v>620.79999999999995</v>
      </c>
      <c r="I127" s="30">
        <f t="shared" si="22"/>
        <v>-37.53221649484535</v>
      </c>
    </row>
    <row r="128" spans="1:11" x14ac:dyDescent="0.25">
      <c r="A128" s="20">
        <f t="shared" si="3"/>
        <v>39723</v>
      </c>
      <c r="B128" s="117" t="s">
        <v>5</v>
      </c>
      <c r="C128">
        <v>71.2</v>
      </c>
      <c r="D128">
        <v>300</v>
      </c>
      <c r="E128">
        <v>328.9</v>
      </c>
      <c r="F128">
        <v>556</v>
      </c>
      <c r="G128" s="4">
        <f t="shared" si="10"/>
        <v>400.09999999999997</v>
      </c>
      <c r="H128" s="35">
        <f t="shared" si="18"/>
        <v>856</v>
      </c>
      <c r="I128" s="30">
        <f t="shared" si="22"/>
        <v>-53.25934579439253</v>
      </c>
    </row>
    <row r="129" spans="1:9" x14ac:dyDescent="0.25">
      <c r="A129" s="20">
        <f t="shared" si="3"/>
        <v>39730</v>
      </c>
      <c r="B129" s="117" t="s">
        <v>5</v>
      </c>
      <c r="C129">
        <v>131.19999999999999</v>
      </c>
      <c r="D129">
        <v>300</v>
      </c>
      <c r="E129">
        <v>390.3</v>
      </c>
      <c r="F129">
        <v>620.70000000000005</v>
      </c>
      <c r="G129" s="4">
        <f t="shared" si="10"/>
        <v>521.5</v>
      </c>
      <c r="H129" s="35">
        <f t="shared" si="18"/>
        <v>920.7</v>
      </c>
      <c r="I129" s="30">
        <f t="shared" si="22"/>
        <v>-43.358314326056266</v>
      </c>
    </row>
    <row r="130" spans="1:9" x14ac:dyDescent="0.25">
      <c r="A130" s="20">
        <f t="shared" si="3"/>
        <v>39737</v>
      </c>
      <c r="B130" s="117" t="s">
        <v>5</v>
      </c>
      <c r="C130">
        <v>131.19999999999999</v>
      </c>
      <c r="D130">
        <v>395</v>
      </c>
      <c r="E130">
        <v>390.3</v>
      </c>
      <c r="F130">
        <v>769.4</v>
      </c>
      <c r="G130" s="4">
        <f t="shared" si="10"/>
        <v>521.5</v>
      </c>
      <c r="H130" s="35">
        <f t="shared" si="18"/>
        <v>1164.4000000000001</v>
      </c>
      <c r="I130" s="30">
        <f t="shared" si="22"/>
        <v>-55.212985228443841</v>
      </c>
    </row>
    <row r="131" spans="1:9" x14ac:dyDescent="0.25">
      <c r="A131" s="20">
        <f t="shared" si="3"/>
        <v>39744</v>
      </c>
      <c r="B131" s="117" t="s">
        <v>5</v>
      </c>
      <c r="C131">
        <v>131.19999999999999</v>
      </c>
      <c r="D131">
        <v>455</v>
      </c>
      <c r="E131">
        <v>390.3</v>
      </c>
      <c r="F131">
        <v>769.4</v>
      </c>
      <c r="G131" s="4">
        <f t="shared" si="10"/>
        <v>521.5</v>
      </c>
      <c r="H131" s="35">
        <f t="shared" si="18"/>
        <v>1224.4000000000001</v>
      </c>
      <c r="I131" s="30">
        <f t="shared" ref="I131:I136" si="23">+(G131/H131-1)*100</f>
        <v>-57.407709898725912</v>
      </c>
    </row>
    <row r="132" spans="1:9" x14ac:dyDescent="0.25">
      <c r="A132" s="20">
        <f t="shared" si="3"/>
        <v>39751</v>
      </c>
      <c r="B132" s="117" t="s">
        <v>5</v>
      </c>
      <c r="C132">
        <v>131.19999999999999</v>
      </c>
      <c r="D132">
        <v>480</v>
      </c>
      <c r="E132">
        <v>390.3</v>
      </c>
      <c r="F132">
        <v>892.2</v>
      </c>
      <c r="G132" s="4">
        <f t="shared" ref="G132:G195" si="24">+C132+E132</f>
        <v>521.5</v>
      </c>
      <c r="H132" s="35">
        <f t="shared" si="18"/>
        <v>1372.2</v>
      </c>
      <c r="I132" s="30">
        <f t="shared" si="23"/>
        <v>-61.995335956857602</v>
      </c>
    </row>
    <row r="133" spans="1:9" x14ac:dyDescent="0.25">
      <c r="A133" s="20">
        <f t="shared" si="3"/>
        <v>39758</v>
      </c>
      <c r="B133" s="117" t="s">
        <v>5</v>
      </c>
      <c r="C133">
        <v>104.8</v>
      </c>
      <c r="D133">
        <v>695</v>
      </c>
      <c r="E133">
        <v>422.8</v>
      </c>
      <c r="F133">
        <v>983.2</v>
      </c>
      <c r="G133" s="4">
        <f t="shared" si="24"/>
        <v>527.6</v>
      </c>
      <c r="H133" s="35">
        <f t="shared" si="18"/>
        <v>1678.2</v>
      </c>
      <c r="I133" s="30">
        <f t="shared" si="23"/>
        <v>-68.56155404600166</v>
      </c>
    </row>
    <row r="134" spans="1:9" x14ac:dyDescent="0.25">
      <c r="A134" s="20">
        <f t="shared" si="3"/>
        <v>39765</v>
      </c>
      <c r="B134" s="117" t="s">
        <v>5</v>
      </c>
      <c r="C134">
        <v>104.8</v>
      </c>
      <c r="D134">
        <v>1055</v>
      </c>
      <c r="E134">
        <v>372.4</v>
      </c>
      <c r="F134">
        <v>1039.3</v>
      </c>
      <c r="G134" s="4">
        <f t="shared" si="24"/>
        <v>477.2</v>
      </c>
      <c r="H134" s="35">
        <f t="shared" si="18"/>
        <v>2094.3000000000002</v>
      </c>
      <c r="I134" s="30">
        <f t="shared" si="23"/>
        <v>-77.214343694790628</v>
      </c>
    </row>
    <row r="135" spans="1:9" x14ac:dyDescent="0.25">
      <c r="A135" s="20">
        <f t="shared" si="3"/>
        <v>39772</v>
      </c>
      <c r="B135" s="117" t="s">
        <v>5</v>
      </c>
      <c r="C135">
        <v>139.30000000000001</v>
      </c>
      <c r="D135">
        <v>1011</v>
      </c>
      <c r="E135">
        <v>372.4</v>
      </c>
      <c r="F135">
        <v>1232.2</v>
      </c>
      <c r="G135" s="4">
        <f t="shared" si="24"/>
        <v>511.7</v>
      </c>
      <c r="H135" s="35">
        <f t="shared" si="18"/>
        <v>2243.1999999999998</v>
      </c>
      <c r="I135" s="30">
        <f t="shared" si="23"/>
        <v>-77.188837375178323</v>
      </c>
    </row>
    <row r="136" spans="1:9" x14ac:dyDescent="0.25">
      <c r="A136" s="20">
        <f t="shared" si="3"/>
        <v>39779</v>
      </c>
      <c r="B136" s="117" t="s">
        <v>5</v>
      </c>
      <c r="C136">
        <v>259.3</v>
      </c>
      <c r="D136">
        <v>1071</v>
      </c>
      <c r="E136">
        <v>372.4</v>
      </c>
      <c r="F136">
        <v>1232.2</v>
      </c>
      <c r="G136" s="4">
        <f t="shared" si="24"/>
        <v>631.70000000000005</v>
      </c>
      <c r="H136" s="35">
        <f t="shared" si="18"/>
        <v>2303.1999999999998</v>
      </c>
      <c r="I136" s="30">
        <f t="shared" si="23"/>
        <v>-72.572941993747818</v>
      </c>
    </row>
    <row r="137" spans="1:9" x14ac:dyDescent="0.25">
      <c r="A137" s="20">
        <f t="shared" si="3"/>
        <v>39786</v>
      </c>
      <c r="B137" s="117" t="s">
        <v>5</v>
      </c>
      <c r="C137">
        <v>291.7</v>
      </c>
      <c r="D137">
        <v>1026</v>
      </c>
      <c r="E137">
        <v>400</v>
      </c>
      <c r="F137">
        <v>1289.0999999999999</v>
      </c>
      <c r="G137" s="4">
        <f t="shared" si="24"/>
        <v>691.7</v>
      </c>
      <c r="H137" s="35">
        <f t="shared" ref="H137:H151" si="25">+D137+F137</f>
        <v>2315.1</v>
      </c>
      <c r="I137" s="30">
        <f t="shared" ref="I137:I142" si="26">+(G137/H137-1)*100</f>
        <v>-70.122240939916196</v>
      </c>
    </row>
    <row r="138" spans="1:9" x14ac:dyDescent="0.25">
      <c r="A138" s="20">
        <f t="shared" si="3"/>
        <v>39793</v>
      </c>
      <c r="B138" s="117" t="s">
        <v>5</v>
      </c>
      <c r="C138">
        <v>238.4</v>
      </c>
      <c r="D138">
        <v>1030</v>
      </c>
      <c r="E138">
        <v>448.3</v>
      </c>
      <c r="F138">
        <v>1350.4</v>
      </c>
      <c r="G138" s="4">
        <f t="shared" si="24"/>
        <v>686.7</v>
      </c>
      <c r="H138" s="35">
        <f t="shared" si="25"/>
        <v>2380.4</v>
      </c>
      <c r="I138" s="30">
        <f t="shared" si="26"/>
        <v>-71.151907242480263</v>
      </c>
    </row>
    <row r="139" spans="1:9" x14ac:dyDescent="0.25">
      <c r="A139" s="20">
        <f t="shared" si="3"/>
        <v>39800</v>
      </c>
      <c r="B139" s="117" t="s">
        <v>5</v>
      </c>
      <c r="C139">
        <v>198</v>
      </c>
      <c r="D139">
        <v>912.5</v>
      </c>
      <c r="E139">
        <v>472.5</v>
      </c>
      <c r="F139">
        <v>1460.6</v>
      </c>
      <c r="G139" s="4">
        <f t="shared" si="24"/>
        <v>670.5</v>
      </c>
      <c r="H139" s="35">
        <f t="shared" si="25"/>
        <v>2373.1</v>
      </c>
      <c r="I139" s="30">
        <f t="shared" si="26"/>
        <v>-71.745817706797027</v>
      </c>
    </row>
    <row r="140" spans="1:9" x14ac:dyDescent="0.25">
      <c r="A140" s="20">
        <f t="shared" si="3"/>
        <v>39807</v>
      </c>
      <c r="B140" s="117" t="s">
        <v>5</v>
      </c>
      <c r="C140">
        <v>188.8</v>
      </c>
      <c r="D140">
        <v>995.4</v>
      </c>
      <c r="E140">
        <v>481.7</v>
      </c>
      <c r="F140">
        <v>1505.9</v>
      </c>
      <c r="G140" s="4">
        <f t="shared" si="24"/>
        <v>670.5</v>
      </c>
      <c r="H140" s="35">
        <f t="shared" si="25"/>
        <v>2501.3000000000002</v>
      </c>
      <c r="I140" s="30">
        <f t="shared" si="26"/>
        <v>-73.193939151641146</v>
      </c>
    </row>
    <row r="141" spans="1:9" x14ac:dyDescent="0.25">
      <c r="A141" s="20">
        <f t="shared" si="3"/>
        <v>39814</v>
      </c>
      <c r="B141" s="117" t="s">
        <v>5</v>
      </c>
      <c r="C141">
        <v>210.1</v>
      </c>
      <c r="D141">
        <v>995.4</v>
      </c>
      <c r="E141">
        <v>520.4</v>
      </c>
      <c r="F141">
        <v>1505.9</v>
      </c>
      <c r="G141" s="4">
        <f t="shared" si="24"/>
        <v>730.5</v>
      </c>
      <c r="H141" s="35">
        <f t="shared" si="25"/>
        <v>2501.3000000000002</v>
      </c>
      <c r="I141" s="30">
        <f t="shared" si="26"/>
        <v>-70.795186503018442</v>
      </c>
    </row>
    <row r="142" spans="1:9" x14ac:dyDescent="0.25">
      <c r="A142" s="20">
        <f t="shared" si="3"/>
        <v>39821</v>
      </c>
      <c r="B142" s="117" t="s">
        <v>5</v>
      </c>
      <c r="C142">
        <v>210.1</v>
      </c>
      <c r="D142">
        <v>1083</v>
      </c>
      <c r="E142">
        <v>520.4</v>
      </c>
      <c r="F142">
        <v>1542.7</v>
      </c>
      <c r="G142" s="4">
        <f t="shared" si="24"/>
        <v>730.5</v>
      </c>
      <c r="H142" s="35">
        <f t="shared" si="25"/>
        <v>2625.7</v>
      </c>
      <c r="I142" s="30">
        <f t="shared" si="26"/>
        <v>-72.17884754541646</v>
      </c>
    </row>
    <row r="143" spans="1:9" x14ac:dyDescent="0.25">
      <c r="A143" s="20">
        <f t="shared" si="3"/>
        <v>39828</v>
      </c>
      <c r="B143" s="117" t="s">
        <v>5</v>
      </c>
      <c r="C143">
        <v>210.1</v>
      </c>
      <c r="D143">
        <v>963</v>
      </c>
      <c r="E143">
        <v>520.4</v>
      </c>
      <c r="F143">
        <v>1726.3</v>
      </c>
      <c r="G143" s="4">
        <f t="shared" si="24"/>
        <v>730.5</v>
      </c>
      <c r="H143" s="35">
        <f t="shared" si="25"/>
        <v>2689.3</v>
      </c>
      <c r="I143" s="30">
        <f t="shared" ref="I143:I148" si="27">+(G143/H143-1)*100</f>
        <v>-72.836797679693603</v>
      </c>
    </row>
    <row r="144" spans="1:9" x14ac:dyDescent="0.25">
      <c r="A144" s="20">
        <f t="shared" si="3"/>
        <v>39835</v>
      </c>
      <c r="B144" s="117" t="s">
        <v>5</v>
      </c>
      <c r="C144">
        <v>234.2</v>
      </c>
      <c r="D144">
        <v>983</v>
      </c>
      <c r="E144">
        <v>600.6</v>
      </c>
      <c r="F144">
        <v>1769.3</v>
      </c>
      <c r="G144" s="4">
        <f t="shared" si="24"/>
        <v>834.8</v>
      </c>
      <c r="H144" s="35">
        <f t="shared" si="25"/>
        <v>2752.3</v>
      </c>
      <c r="I144" s="30">
        <f t="shared" si="27"/>
        <v>-69.669004105657081</v>
      </c>
    </row>
    <row r="145" spans="1:10" x14ac:dyDescent="0.25">
      <c r="A145" s="20">
        <f t="shared" si="3"/>
        <v>39842</v>
      </c>
      <c r="B145" s="117" t="s">
        <v>5</v>
      </c>
      <c r="C145">
        <v>266.89999999999998</v>
      </c>
      <c r="D145">
        <v>1001.3</v>
      </c>
      <c r="E145">
        <v>634.79999999999995</v>
      </c>
      <c r="F145">
        <v>1859.3</v>
      </c>
      <c r="G145" s="4">
        <f t="shared" si="24"/>
        <v>901.69999999999993</v>
      </c>
      <c r="H145" s="35">
        <f t="shared" si="25"/>
        <v>2860.6</v>
      </c>
      <c r="I145" s="30">
        <f t="shared" si="27"/>
        <v>-68.478640844578067</v>
      </c>
    </row>
    <row r="146" spans="1:10" x14ac:dyDescent="0.25">
      <c r="A146" s="20">
        <f t="shared" si="3"/>
        <v>39849</v>
      </c>
      <c r="B146" s="117" t="s">
        <v>5</v>
      </c>
      <c r="C146">
        <v>473.8</v>
      </c>
      <c r="D146">
        <v>1061.3</v>
      </c>
      <c r="E146">
        <v>643.29999999999995</v>
      </c>
      <c r="F146">
        <v>1859.3</v>
      </c>
      <c r="G146" s="4">
        <f t="shared" si="24"/>
        <v>1117.0999999999999</v>
      </c>
      <c r="H146" s="35">
        <f t="shared" si="25"/>
        <v>2920.6</v>
      </c>
      <c r="I146" s="30">
        <f t="shared" si="27"/>
        <v>-61.751010066424719</v>
      </c>
    </row>
    <row r="147" spans="1:10" x14ac:dyDescent="0.25">
      <c r="A147" s="20">
        <f t="shared" si="3"/>
        <v>39856</v>
      </c>
      <c r="B147" s="117" t="s">
        <v>5</v>
      </c>
      <c r="C147">
        <v>462.6</v>
      </c>
      <c r="D147">
        <v>1001.3</v>
      </c>
      <c r="E147">
        <v>692.5</v>
      </c>
      <c r="F147">
        <v>1917.5</v>
      </c>
      <c r="G147" s="4">
        <f t="shared" si="24"/>
        <v>1155.0999999999999</v>
      </c>
      <c r="H147" s="35">
        <f t="shared" si="25"/>
        <v>2918.8</v>
      </c>
      <c r="I147" s="30">
        <f t="shared" si="27"/>
        <v>-60.425517335891463</v>
      </c>
    </row>
    <row r="148" spans="1:10" x14ac:dyDescent="0.25">
      <c r="A148" s="20">
        <f t="shared" si="3"/>
        <v>39863</v>
      </c>
      <c r="B148" s="117" t="s">
        <v>5</v>
      </c>
      <c r="C148">
        <v>456.2</v>
      </c>
      <c r="D148">
        <v>840</v>
      </c>
      <c r="E148">
        <v>702.6</v>
      </c>
      <c r="F148">
        <v>2065.8000000000002</v>
      </c>
      <c r="G148" s="4">
        <f t="shared" si="24"/>
        <v>1158.8</v>
      </c>
      <c r="H148" s="35">
        <f t="shared" si="25"/>
        <v>2905.8</v>
      </c>
      <c r="I148" s="30">
        <f t="shared" si="27"/>
        <v>-60.121137036272287</v>
      </c>
    </row>
    <row r="149" spans="1:10" x14ac:dyDescent="0.25">
      <c r="A149" s="20">
        <f t="shared" si="3"/>
        <v>39870</v>
      </c>
      <c r="B149" s="117" t="s">
        <v>5</v>
      </c>
      <c r="C149">
        <v>402</v>
      </c>
      <c r="D149">
        <v>840</v>
      </c>
      <c r="E149">
        <v>711.3</v>
      </c>
      <c r="F149">
        <v>2141.4</v>
      </c>
      <c r="G149" s="4">
        <f t="shared" si="24"/>
        <v>1113.3</v>
      </c>
      <c r="H149" s="35">
        <f t="shared" si="25"/>
        <v>2981.4</v>
      </c>
      <c r="I149" s="30">
        <f t="shared" ref="I149:I154" si="28">+(G149/H149-1)*100</f>
        <v>-62.65848259207084</v>
      </c>
    </row>
    <row r="150" spans="1:10" x14ac:dyDescent="0.25">
      <c r="A150" s="20">
        <f t="shared" si="3"/>
        <v>39877</v>
      </c>
      <c r="B150" s="117" t="s">
        <v>5</v>
      </c>
      <c r="C150">
        <v>472.1</v>
      </c>
      <c r="D150">
        <v>710</v>
      </c>
      <c r="E150">
        <v>739.8</v>
      </c>
      <c r="F150">
        <v>2234.6</v>
      </c>
      <c r="G150" s="4">
        <f t="shared" si="24"/>
        <v>1211.9000000000001</v>
      </c>
      <c r="H150" s="35">
        <f t="shared" si="25"/>
        <v>2944.6</v>
      </c>
      <c r="I150" s="30">
        <f t="shared" si="28"/>
        <v>-58.84330639136045</v>
      </c>
    </row>
    <row r="151" spans="1:10" x14ac:dyDescent="0.25">
      <c r="A151" s="20">
        <f t="shared" si="3"/>
        <v>39884</v>
      </c>
      <c r="B151" s="117" t="s">
        <v>5</v>
      </c>
      <c r="C151">
        <v>460.7</v>
      </c>
      <c r="D151">
        <v>649.9</v>
      </c>
      <c r="E151">
        <v>775.9</v>
      </c>
      <c r="F151">
        <v>2300.1</v>
      </c>
      <c r="G151" s="4">
        <f t="shared" si="24"/>
        <v>1236.5999999999999</v>
      </c>
      <c r="H151" s="35">
        <f t="shared" si="25"/>
        <v>2950</v>
      </c>
      <c r="I151" s="30">
        <f t="shared" si="28"/>
        <v>-58.081355932203394</v>
      </c>
    </row>
    <row r="152" spans="1:10" x14ac:dyDescent="0.25">
      <c r="A152" s="20">
        <f t="shared" si="3"/>
        <v>39891</v>
      </c>
      <c r="B152" s="117" t="s">
        <v>5</v>
      </c>
      <c r="C152">
        <v>440.1</v>
      </c>
      <c r="D152">
        <v>569.9</v>
      </c>
      <c r="E152">
        <v>796.5</v>
      </c>
      <c r="F152">
        <v>2380.6</v>
      </c>
      <c r="G152" s="4">
        <f t="shared" si="24"/>
        <v>1236.5999999999999</v>
      </c>
      <c r="H152" s="35">
        <f t="shared" ref="H152:H183" si="29">+D152+F152</f>
        <v>2950.5</v>
      </c>
      <c r="I152" s="30">
        <f t="shared" si="28"/>
        <v>-58.088459583121512</v>
      </c>
    </row>
    <row r="153" spans="1:10" x14ac:dyDescent="0.25">
      <c r="A153" s="20">
        <f t="shared" si="3"/>
        <v>39898</v>
      </c>
      <c r="B153" s="117" t="s">
        <v>5</v>
      </c>
      <c r="C153">
        <v>372.6</v>
      </c>
      <c r="D153">
        <v>479.9</v>
      </c>
      <c r="E153">
        <v>857</v>
      </c>
      <c r="F153">
        <v>2466.3000000000002</v>
      </c>
      <c r="G153" s="4">
        <f t="shared" si="24"/>
        <v>1229.5999999999999</v>
      </c>
      <c r="H153" s="35">
        <f t="shared" si="29"/>
        <v>2946.2000000000003</v>
      </c>
      <c r="I153" s="30">
        <f t="shared" si="28"/>
        <v>-58.264883578847339</v>
      </c>
    </row>
    <row r="154" spans="1:10" x14ac:dyDescent="0.25">
      <c r="A154" s="20">
        <f t="shared" si="3"/>
        <v>39905</v>
      </c>
      <c r="B154" s="117" t="s">
        <v>5</v>
      </c>
      <c r="C154">
        <v>370.6</v>
      </c>
      <c r="D154">
        <v>479.9</v>
      </c>
      <c r="E154">
        <v>987.8</v>
      </c>
      <c r="F154">
        <v>2466.3000000000002</v>
      </c>
      <c r="G154" s="4">
        <f t="shared" si="24"/>
        <v>1358.4</v>
      </c>
      <c r="H154" s="35">
        <f t="shared" si="29"/>
        <v>2946.2000000000003</v>
      </c>
      <c r="I154" s="30">
        <f t="shared" si="28"/>
        <v>-53.893150498947804</v>
      </c>
    </row>
    <row r="155" spans="1:10" x14ac:dyDescent="0.25">
      <c r="A155" s="20">
        <f t="shared" si="3"/>
        <v>39912</v>
      </c>
      <c r="B155" s="117" t="s">
        <v>5</v>
      </c>
      <c r="C155">
        <v>307.60000000000002</v>
      </c>
      <c r="D155">
        <v>395.2</v>
      </c>
      <c r="E155">
        <v>1049.5999999999999</v>
      </c>
      <c r="F155">
        <v>2616.4</v>
      </c>
      <c r="G155" s="4">
        <f t="shared" si="24"/>
        <v>1357.1999999999998</v>
      </c>
      <c r="H155" s="35">
        <f t="shared" si="29"/>
        <v>3011.6</v>
      </c>
      <c r="I155" s="30">
        <f t="shared" ref="I155:I186" si="30">+(G155/H155-1)*100</f>
        <v>-54.934254217027501</v>
      </c>
    </row>
    <row r="156" spans="1:10" x14ac:dyDescent="0.25">
      <c r="A156" s="20">
        <f t="shared" si="3"/>
        <v>39919</v>
      </c>
      <c r="B156" s="117" t="s">
        <v>5</v>
      </c>
      <c r="C156">
        <v>176.5</v>
      </c>
      <c r="D156">
        <v>362.8</v>
      </c>
      <c r="E156">
        <v>1180.3</v>
      </c>
      <c r="F156">
        <v>2694.2</v>
      </c>
      <c r="G156" s="4">
        <f t="shared" si="24"/>
        <v>1356.8</v>
      </c>
      <c r="H156" s="35">
        <f t="shared" si="29"/>
        <v>3057</v>
      </c>
      <c r="I156" s="30">
        <f t="shared" si="30"/>
        <v>-55.616617598953219</v>
      </c>
    </row>
    <row r="157" spans="1:10" x14ac:dyDescent="0.25">
      <c r="A157" s="20">
        <f t="shared" si="3"/>
        <v>39926</v>
      </c>
      <c r="B157" s="117" t="s">
        <v>5</v>
      </c>
      <c r="C157">
        <v>241.3</v>
      </c>
      <c r="D157">
        <v>302.8</v>
      </c>
      <c r="E157">
        <v>1180.3</v>
      </c>
      <c r="F157">
        <v>2751.9</v>
      </c>
      <c r="G157" s="4">
        <f t="shared" si="24"/>
        <v>1421.6</v>
      </c>
      <c r="H157" s="35">
        <f t="shared" si="29"/>
        <v>3054.7000000000003</v>
      </c>
      <c r="I157" s="30">
        <f t="shared" si="30"/>
        <v>-53.461878416865829</v>
      </c>
    </row>
    <row r="158" spans="1:10" x14ac:dyDescent="0.25">
      <c r="A158" s="20">
        <f t="shared" si="3"/>
        <v>39933</v>
      </c>
      <c r="B158" s="117" t="s">
        <v>5</v>
      </c>
      <c r="C158">
        <v>183.3</v>
      </c>
      <c r="D158">
        <v>286.3</v>
      </c>
      <c r="E158">
        <v>1243.0999999999999</v>
      </c>
      <c r="F158">
        <v>2751.9</v>
      </c>
      <c r="G158" s="4">
        <f t="shared" si="24"/>
        <v>1426.3999999999999</v>
      </c>
      <c r="H158" s="35">
        <f t="shared" si="29"/>
        <v>3038.2000000000003</v>
      </c>
      <c r="I158" s="30">
        <f t="shared" si="30"/>
        <v>-53.05114870647094</v>
      </c>
      <c r="J158">
        <v>0</v>
      </c>
    </row>
    <row r="159" spans="1:10" x14ac:dyDescent="0.25">
      <c r="A159" s="20">
        <f t="shared" si="3"/>
        <v>39940</v>
      </c>
      <c r="B159" s="117" t="s">
        <v>5</v>
      </c>
      <c r="C159">
        <v>125.3</v>
      </c>
      <c r="D159">
        <v>286.3</v>
      </c>
      <c r="E159">
        <v>1309.0999999999999</v>
      </c>
      <c r="F159">
        <v>2751.9</v>
      </c>
      <c r="G159" s="4">
        <f t="shared" si="24"/>
        <v>1434.3999999999999</v>
      </c>
      <c r="H159" s="35">
        <f t="shared" si="29"/>
        <v>3038.2000000000003</v>
      </c>
      <c r="I159" s="30">
        <f t="shared" si="30"/>
        <v>-52.787834902244754</v>
      </c>
      <c r="J159">
        <v>0</v>
      </c>
    </row>
    <row r="160" spans="1:10" x14ac:dyDescent="0.25">
      <c r="A160" s="20">
        <f t="shared" si="3"/>
        <v>39947</v>
      </c>
      <c r="B160" s="117" t="s">
        <v>5</v>
      </c>
      <c r="C160">
        <v>125.3</v>
      </c>
      <c r="D160">
        <v>286.3</v>
      </c>
      <c r="E160">
        <v>1309.0999999999999</v>
      </c>
      <c r="F160">
        <v>2751.9</v>
      </c>
      <c r="G160" s="4">
        <f t="shared" si="24"/>
        <v>1434.3999999999999</v>
      </c>
      <c r="H160" s="35">
        <f t="shared" si="29"/>
        <v>3038.2000000000003</v>
      </c>
      <c r="I160" s="30">
        <f t="shared" si="30"/>
        <v>-52.787834902244754</v>
      </c>
      <c r="J160">
        <v>0</v>
      </c>
    </row>
    <row r="161" spans="1:10" x14ac:dyDescent="0.25">
      <c r="A161" s="20">
        <f t="shared" si="3"/>
        <v>39954</v>
      </c>
      <c r="B161" s="117" t="s">
        <v>5</v>
      </c>
      <c r="C161">
        <v>125.3</v>
      </c>
      <c r="D161">
        <v>226.4</v>
      </c>
      <c r="E161">
        <v>1375.1</v>
      </c>
      <c r="F161">
        <v>2809.8</v>
      </c>
      <c r="G161" s="4">
        <f t="shared" si="24"/>
        <v>1500.3999999999999</v>
      </c>
      <c r="H161" s="35">
        <f t="shared" si="29"/>
        <v>3036.2000000000003</v>
      </c>
      <c r="I161" s="30">
        <f t="shared" si="30"/>
        <v>-50.582965549041582</v>
      </c>
      <c r="J161">
        <v>0</v>
      </c>
    </row>
    <row r="162" spans="1:10" x14ac:dyDescent="0.25">
      <c r="A162" s="20">
        <f t="shared" si="3"/>
        <v>39961</v>
      </c>
      <c r="B162" s="117" t="s">
        <v>5</v>
      </c>
      <c r="C162">
        <v>125.3</v>
      </c>
      <c r="D162">
        <v>346.4</v>
      </c>
      <c r="E162">
        <v>1375.1</v>
      </c>
      <c r="F162">
        <v>2809.8</v>
      </c>
      <c r="G162" s="4">
        <f t="shared" si="24"/>
        <v>1500.3999999999999</v>
      </c>
      <c r="H162" s="35">
        <f t="shared" si="29"/>
        <v>3156.2000000000003</v>
      </c>
      <c r="I162" s="30">
        <f t="shared" si="30"/>
        <v>-52.461821177365195</v>
      </c>
      <c r="J162">
        <v>0</v>
      </c>
    </row>
    <row r="163" spans="1:10" x14ac:dyDescent="0.25">
      <c r="A163" s="20">
        <f t="shared" si="3"/>
        <v>39968</v>
      </c>
      <c r="B163" s="117" t="s">
        <v>5</v>
      </c>
      <c r="C163">
        <v>125.3</v>
      </c>
      <c r="D163">
        <v>313.60000000000002</v>
      </c>
      <c r="E163">
        <v>1375.1</v>
      </c>
      <c r="F163">
        <v>2825.7</v>
      </c>
      <c r="G163" s="4">
        <f t="shared" si="24"/>
        <v>1500.3999999999999</v>
      </c>
      <c r="H163" s="35">
        <f t="shared" si="29"/>
        <v>3139.2999999999997</v>
      </c>
      <c r="I163" s="30">
        <f t="shared" si="30"/>
        <v>-52.205905775172809</v>
      </c>
      <c r="J163">
        <v>0</v>
      </c>
    </row>
    <row r="164" spans="1:10" x14ac:dyDescent="0.25">
      <c r="A164" s="20">
        <f t="shared" si="3"/>
        <v>39975</v>
      </c>
      <c r="B164" s="117" t="s">
        <v>5</v>
      </c>
      <c r="C164">
        <v>198.3</v>
      </c>
      <c r="D164">
        <v>261.8</v>
      </c>
      <c r="E164">
        <v>1441.1</v>
      </c>
      <c r="F164">
        <v>2871.4</v>
      </c>
      <c r="G164" s="4">
        <f t="shared" si="24"/>
        <v>1639.3999999999999</v>
      </c>
      <c r="H164" s="35">
        <f t="shared" si="29"/>
        <v>3133.2000000000003</v>
      </c>
      <c r="I164" s="30">
        <f t="shared" si="30"/>
        <v>-47.676496872207338</v>
      </c>
      <c r="J164">
        <v>0</v>
      </c>
    </row>
    <row r="165" spans="1:10" x14ac:dyDescent="0.25">
      <c r="A165" s="20">
        <f t="shared" si="3"/>
        <v>39982</v>
      </c>
      <c r="B165" s="117" t="s">
        <v>5</v>
      </c>
      <c r="C165">
        <v>234.5</v>
      </c>
      <c r="D165">
        <v>221.4</v>
      </c>
      <c r="E165">
        <v>1441.1</v>
      </c>
      <c r="F165">
        <v>2911.8</v>
      </c>
      <c r="G165" s="4">
        <f t="shared" si="24"/>
        <v>1675.6</v>
      </c>
      <c r="H165" s="35">
        <f t="shared" si="29"/>
        <v>3133.2000000000003</v>
      </c>
      <c r="I165" s="30">
        <f t="shared" si="30"/>
        <v>-46.521128558662085</v>
      </c>
    </row>
    <row r="166" spans="1:10" x14ac:dyDescent="0.25">
      <c r="A166" s="20">
        <f t="shared" si="3"/>
        <v>39989</v>
      </c>
      <c r="B166" s="117" t="s">
        <v>5</v>
      </c>
      <c r="C166">
        <v>431.9</v>
      </c>
      <c r="D166">
        <v>180</v>
      </c>
      <c r="E166">
        <v>1483.7</v>
      </c>
      <c r="F166">
        <v>2964.5</v>
      </c>
      <c r="G166" s="4">
        <f t="shared" si="24"/>
        <v>1915.6</v>
      </c>
      <c r="H166" s="35">
        <f t="shared" si="29"/>
        <v>3144.5</v>
      </c>
      <c r="I166" s="30">
        <f t="shared" si="30"/>
        <v>-39.080934965813327</v>
      </c>
      <c r="J166">
        <v>0</v>
      </c>
    </row>
    <row r="167" spans="1:10" x14ac:dyDescent="0.25">
      <c r="A167" s="20">
        <f t="shared" si="3"/>
        <v>39996</v>
      </c>
      <c r="B167" s="117" t="s">
        <v>5</v>
      </c>
      <c r="C167">
        <v>490.7</v>
      </c>
      <c r="D167">
        <v>180</v>
      </c>
      <c r="E167">
        <v>1548.5</v>
      </c>
      <c r="F167">
        <v>2964.5</v>
      </c>
      <c r="G167" s="4">
        <f t="shared" si="24"/>
        <v>2039.2</v>
      </c>
      <c r="H167" s="35">
        <f t="shared" si="29"/>
        <v>3144.5</v>
      </c>
      <c r="I167" s="30">
        <f t="shared" si="30"/>
        <v>-35.150262362855777</v>
      </c>
    </row>
    <row r="168" spans="1:10" x14ac:dyDescent="0.25">
      <c r="A168" s="20">
        <f t="shared" si="3"/>
        <v>40003</v>
      </c>
      <c r="B168" s="117" t="s">
        <v>5</v>
      </c>
      <c r="C168">
        <v>362.7</v>
      </c>
      <c r="D168">
        <v>155.5</v>
      </c>
      <c r="E168">
        <v>1556.5</v>
      </c>
      <c r="F168">
        <v>3005.6</v>
      </c>
      <c r="G168" s="4">
        <f t="shared" si="24"/>
        <v>1919.2</v>
      </c>
      <c r="H168" s="35">
        <f t="shared" si="29"/>
        <v>3161.1</v>
      </c>
      <c r="I168" s="30">
        <f t="shared" si="30"/>
        <v>-39.286957071905348</v>
      </c>
      <c r="J168">
        <v>60</v>
      </c>
    </row>
    <row r="169" spans="1:10" x14ac:dyDescent="0.25">
      <c r="A169" s="20">
        <f t="shared" si="3"/>
        <v>40010</v>
      </c>
      <c r="B169" s="117" t="s">
        <v>5</v>
      </c>
      <c r="C169">
        <v>291.7</v>
      </c>
      <c r="D169">
        <v>155.5</v>
      </c>
      <c r="E169">
        <v>1632.8</v>
      </c>
      <c r="F169">
        <v>3005.6</v>
      </c>
      <c r="G169" s="4">
        <f t="shared" si="24"/>
        <v>1924.5</v>
      </c>
      <c r="H169" s="35">
        <f t="shared" si="29"/>
        <v>3161.1</v>
      </c>
      <c r="I169" s="30">
        <f t="shared" si="30"/>
        <v>-39.119293916674572</v>
      </c>
      <c r="J169">
        <v>60</v>
      </c>
    </row>
    <row r="170" spans="1:10" x14ac:dyDescent="0.25">
      <c r="A170" s="20">
        <f t="shared" si="3"/>
        <v>40017</v>
      </c>
      <c r="B170" s="117" t="s">
        <v>5</v>
      </c>
      <c r="C170">
        <v>329.8</v>
      </c>
      <c r="D170">
        <v>104.5</v>
      </c>
      <c r="E170">
        <v>1772.9</v>
      </c>
      <c r="F170">
        <v>3056.6</v>
      </c>
      <c r="G170" s="4">
        <f t="shared" si="24"/>
        <v>2102.7000000000003</v>
      </c>
      <c r="H170" s="35">
        <f t="shared" si="29"/>
        <v>3161.1</v>
      </c>
      <c r="I170" s="30">
        <f t="shared" si="30"/>
        <v>-33.482015754009666</v>
      </c>
      <c r="J170">
        <v>120</v>
      </c>
    </row>
    <row r="171" spans="1:10" x14ac:dyDescent="0.25">
      <c r="A171" s="20">
        <f t="shared" si="3"/>
        <v>40024</v>
      </c>
      <c r="B171" s="117" t="s">
        <v>5</v>
      </c>
      <c r="C171">
        <v>278.89999999999998</v>
      </c>
      <c r="D171">
        <v>164.5</v>
      </c>
      <c r="E171">
        <v>1845.8</v>
      </c>
      <c r="F171">
        <v>3056.6</v>
      </c>
      <c r="G171" s="4">
        <f t="shared" si="24"/>
        <v>2124.6999999999998</v>
      </c>
      <c r="H171" s="35">
        <f t="shared" si="29"/>
        <v>3221.1</v>
      </c>
      <c r="I171" s="30">
        <f t="shared" si="30"/>
        <v>-34.038061531774865</v>
      </c>
      <c r="J171">
        <v>120</v>
      </c>
    </row>
    <row r="172" spans="1:10" x14ac:dyDescent="0.25">
      <c r="A172" s="20">
        <f t="shared" si="3"/>
        <v>40031</v>
      </c>
      <c r="B172" s="117" t="s">
        <v>5</v>
      </c>
      <c r="C172">
        <v>188.4</v>
      </c>
      <c r="D172">
        <v>344.5</v>
      </c>
      <c r="E172">
        <v>1900.3</v>
      </c>
      <c r="F172">
        <v>3056.6</v>
      </c>
      <c r="G172" s="4">
        <f t="shared" si="24"/>
        <v>2088.6999999999998</v>
      </c>
      <c r="H172" s="35">
        <f t="shared" si="29"/>
        <v>3401.1</v>
      </c>
      <c r="I172" s="30">
        <f t="shared" si="30"/>
        <v>-38.587515803710573</v>
      </c>
      <c r="J172">
        <v>180</v>
      </c>
    </row>
    <row r="173" spans="1:10" x14ac:dyDescent="0.25">
      <c r="A173" s="20">
        <f t="shared" si="3"/>
        <v>40038</v>
      </c>
      <c r="B173" s="117" t="s">
        <v>5</v>
      </c>
      <c r="C173">
        <v>284.60000000000002</v>
      </c>
      <c r="D173">
        <v>229.4</v>
      </c>
      <c r="E173">
        <v>1989</v>
      </c>
      <c r="F173">
        <v>3180.1</v>
      </c>
      <c r="G173" s="4">
        <f t="shared" si="24"/>
        <v>2273.6</v>
      </c>
      <c r="H173" s="35">
        <f t="shared" si="29"/>
        <v>3409.5</v>
      </c>
      <c r="I173" s="30">
        <f t="shared" si="30"/>
        <v>-33.31573544507993</v>
      </c>
      <c r="J173">
        <v>300</v>
      </c>
    </row>
    <row r="174" spans="1:10" x14ac:dyDescent="0.25">
      <c r="A174" s="20">
        <f t="shared" si="3"/>
        <v>40045</v>
      </c>
      <c r="B174" s="117" t="s">
        <v>5</v>
      </c>
      <c r="C174">
        <v>146.4</v>
      </c>
      <c r="D174">
        <v>229.4</v>
      </c>
      <c r="E174">
        <v>2081.8000000000002</v>
      </c>
      <c r="F174">
        <v>3220.3</v>
      </c>
      <c r="G174" s="4">
        <f t="shared" si="24"/>
        <v>2228.2000000000003</v>
      </c>
      <c r="H174" s="35">
        <f t="shared" si="29"/>
        <v>3449.7000000000003</v>
      </c>
      <c r="I174" s="30">
        <f t="shared" si="30"/>
        <v>-35.408876134156586</v>
      </c>
      <c r="J174">
        <v>420</v>
      </c>
    </row>
    <row r="175" spans="1:10" x14ac:dyDescent="0.25">
      <c r="A175" s="20">
        <f t="shared" si="3"/>
        <v>40052</v>
      </c>
      <c r="B175" s="117" t="s">
        <v>5</v>
      </c>
      <c r="C175">
        <v>120</v>
      </c>
      <c r="D175">
        <v>49.7</v>
      </c>
      <c r="E175">
        <v>2127.3000000000002</v>
      </c>
      <c r="F175">
        <v>3309.4</v>
      </c>
      <c r="G175" s="4">
        <f t="shared" si="24"/>
        <v>2247.3000000000002</v>
      </c>
      <c r="H175" s="35">
        <f t="shared" si="29"/>
        <v>3359.1</v>
      </c>
      <c r="I175" s="30">
        <f t="shared" si="30"/>
        <v>-33.098151290524235</v>
      </c>
      <c r="J175">
        <v>401.9</v>
      </c>
    </row>
    <row r="176" spans="1:10" x14ac:dyDescent="0.25">
      <c r="A176" s="20">
        <f t="shared" si="3"/>
        <v>40059</v>
      </c>
      <c r="B176" s="117" t="s">
        <v>5</v>
      </c>
      <c r="C176">
        <v>487.8</v>
      </c>
      <c r="D176">
        <v>283.7</v>
      </c>
      <c r="E176">
        <v>130.1</v>
      </c>
      <c r="F176">
        <v>0</v>
      </c>
      <c r="G176" s="4">
        <f t="shared" si="24"/>
        <v>617.9</v>
      </c>
      <c r="H176" s="35">
        <f t="shared" si="29"/>
        <v>283.7</v>
      </c>
      <c r="I176" s="30">
        <f t="shared" si="30"/>
        <v>117.80049347902715</v>
      </c>
    </row>
    <row r="177" spans="1:9" x14ac:dyDescent="0.25">
      <c r="A177" s="20">
        <f t="shared" si="3"/>
        <v>40066</v>
      </c>
      <c r="B177" s="117" t="s">
        <v>5</v>
      </c>
      <c r="C177">
        <v>382.1</v>
      </c>
      <c r="D177">
        <v>182</v>
      </c>
      <c r="E177">
        <v>240.1</v>
      </c>
      <c r="F177">
        <v>100.3</v>
      </c>
      <c r="G177" s="4">
        <f t="shared" si="24"/>
        <v>622.20000000000005</v>
      </c>
      <c r="H177" s="35">
        <f t="shared" si="29"/>
        <v>282.3</v>
      </c>
      <c r="I177" s="30">
        <f t="shared" si="30"/>
        <v>120.40382571732202</v>
      </c>
    </row>
    <row r="178" spans="1:9" x14ac:dyDescent="0.25">
      <c r="A178" s="20">
        <f t="shared" si="3"/>
        <v>40073</v>
      </c>
      <c r="B178" s="117" t="s">
        <v>5</v>
      </c>
      <c r="C178">
        <v>322.10000000000002</v>
      </c>
      <c r="D178">
        <v>122.3</v>
      </c>
      <c r="E178">
        <v>305.8</v>
      </c>
      <c r="F178">
        <v>213.5</v>
      </c>
      <c r="G178" s="4">
        <f t="shared" si="24"/>
        <v>627.90000000000009</v>
      </c>
      <c r="H178" s="35">
        <f t="shared" si="29"/>
        <v>335.8</v>
      </c>
      <c r="I178" s="30">
        <f t="shared" si="30"/>
        <v>86.986301369863028</v>
      </c>
    </row>
    <row r="179" spans="1:9" x14ac:dyDescent="0.25">
      <c r="A179" s="20">
        <f t="shared" si="3"/>
        <v>40080</v>
      </c>
      <c r="B179" s="117" t="s">
        <v>5</v>
      </c>
      <c r="C179">
        <v>193.9</v>
      </c>
      <c r="D179">
        <v>122.3</v>
      </c>
      <c r="E179">
        <v>411.3</v>
      </c>
      <c r="F179">
        <v>265.5</v>
      </c>
      <c r="G179" s="4">
        <f t="shared" si="24"/>
        <v>605.20000000000005</v>
      </c>
      <c r="H179" s="35">
        <f t="shared" si="29"/>
        <v>387.8</v>
      </c>
      <c r="I179" s="30">
        <f t="shared" si="30"/>
        <v>56.059824651882415</v>
      </c>
    </row>
    <row r="180" spans="1:9" x14ac:dyDescent="0.25">
      <c r="A180" s="20">
        <f t="shared" si="3"/>
        <v>40087</v>
      </c>
      <c r="B180" s="117" t="s">
        <v>5</v>
      </c>
      <c r="C180">
        <v>133.9</v>
      </c>
      <c r="D180">
        <v>71.2</v>
      </c>
      <c r="E180">
        <v>475.1</v>
      </c>
      <c r="F180">
        <v>328.9</v>
      </c>
      <c r="G180" s="4">
        <f t="shared" si="24"/>
        <v>609</v>
      </c>
      <c r="H180" s="35">
        <f t="shared" si="29"/>
        <v>400.09999999999997</v>
      </c>
      <c r="I180" s="30">
        <f t="shared" si="30"/>
        <v>52.211947013246693</v>
      </c>
    </row>
    <row r="181" spans="1:9" x14ac:dyDescent="0.25">
      <c r="A181" s="20">
        <f t="shared" si="3"/>
        <v>40094</v>
      </c>
      <c r="B181" s="117" t="s">
        <v>5</v>
      </c>
      <c r="C181">
        <v>51.8</v>
      </c>
      <c r="D181">
        <v>131.19999999999999</v>
      </c>
      <c r="E181">
        <v>560.9</v>
      </c>
      <c r="F181">
        <v>339.9</v>
      </c>
      <c r="G181" s="4">
        <f t="shared" si="24"/>
        <v>612.69999999999993</v>
      </c>
      <c r="H181" s="35">
        <f t="shared" si="29"/>
        <v>471.09999999999997</v>
      </c>
      <c r="I181" s="30">
        <f t="shared" si="30"/>
        <v>30.057312672468694</v>
      </c>
    </row>
    <row r="182" spans="1:9" x14ac:dyDescent="0.25">
      <c r="A182" s="20">
        <f t="shared" si="3"/>
        <v>40101</v>
      </c>
      <c r="B182" s="117" t="s">
        <v>5</v>
      </c>
      <c r="C182">
        <v>51.8</v>
      </c>
      <c r="D182">
        <v>131.19999999999999</v>
      </c>
      <c r="E182">
        <v>560.9</v>
      </c>
      <c r="F182">
        <v>339.9</v>
      </c>
      <c r="G182" s="4">
        <f t="shared" si="24"/>
        <v>612.69999999999993</v>
      </c>
      <c r="H182" s="35">
        <f t="shared" si="29"/>
        <v>471.09999999999997</v>
      </c>
      <c r="I182" s="30">
        <f t="shared" si="30"/>
        <v>30.057312672468694</v>
      </c>
    </row>
    <row r="183" spans="1:9" x14ac:dyDescent="0.25">
      <c r="A183" s="20">
        <f t="shared" si="3"/>
        <v>40108</v>
      </c>
      <c r="B183" s="117" t="s">
        <v>5</v>
      </c>
      <c r="C183">
        <v>51.8</v>
      </c>
      <c r="D183">
        <v>131.19999999999999</v>
      </c>
      <c r="E183">
        <v>560.9</v>
      </c>
      <c r="F183">
        <v>339.9</v>
      </c>
      <c r="G183" s="4">
        <f t="shared" si="24"/>
        <v>612.69999999999993</v>
      </c>
      <c r="H183" s="35">
        <f t="shared" si="29"/>
        <v>471.09999999999997</v>
      </c>
      <c r="I183" s="30">
        <f t="shared" si="30"/>
        <v>30.057312672468694</v>
      </c>
    </row>
    <row r="184" spans="1:9" x14ac:dyDescent="0.25">
      <c r="A184" s="20">
        <f t="shared" si="3"/>
        <v>40115</v>
      </c>
      <c r="B184" s="117" t="s">
        <v>5</v>
      </c>
      <c r="C184">
        <v>51.8</v>
      </c>
      <c r="D184">
        <v>131.19999999999999</v>
      </c>
      <c r="E184">
        <v>560.9</v>
      </c>
      <c r="F184">
        <v>339.9</v>
      </c>
      <c r="G184" s="4">
        <f t="shared" si="24"/>
        <v>612.69999999999993</v>
      </c>
      <c r="H184" s="35">
        <f t="shared" ref="H184:H215" si="31">+D184+F184</f>
        <v>471.09999999999997</v>
      </c>
      <c r="I184" s="30">
        <f t="shared" si="30"/>
        <v>30.057312672468694</v>
      </c>
    </row>
    <row r="185" spans="1:9" x14ac:dyDescent="0.25">
      <c r="A185" s="20">
        <f t="shared" si="3"/>
        <v>40122</v>
      </c>
      <c r="B185" s="117" t="s">
        <v>5</v>
      </c>
      <c r="C185">
        <v>51.8</v>
      </c>
      <c r="D185">
        <v>104.8</v>
      </c>
      <c r="E185">
        <v>560.9</v>
      </c>
      <c r="F185">
        <v>372.4</v>
      </c>
      <c r="G185" s="4">
        <f t="shared" si="24"/>
        <v>612.69999999999993</v>
      </c>
      <c r="H185" s="35">
        <f t="shared" si="31"/>
        <v>477.2</v>
      </c>
      <c r="I185" s="30">
        <f t="shared" si="30"/>
        <v>28.394803017602666</v>
      </c>
    </row>
    <row r="186" spans="1:9" x14ac:dyDescent="0.25">
      <c r="A186" s="20">
        <f t="shared" si="3"/>
        <v>40129</v>
      </c>
      <c r="B186" s="117" t="s">
        <v>5</v>
      </c>
      <c r="C186">
        <v>51.8</v>
      </c>
      <c r="D186">
        <v>104.8</v>
      </c>
      <c r="E186">
        <v>560.9</v>
      </c>
      <c r="F186">
        <v>372.4</v>
      </c>
      <c r="G186" s="4">
        <f t="shared" si="24"/>
        <v>612.69999999999993</v>
      </c>
      <c r="H186" s="35">
        <f t="shared" si="31"/>
        <v>477.2</v>
      </c>
      <c r="I186" s="30">
        <f t="shared" si="30"/>
        <v>28.394803017602666</v>
      </c>
    </row>
    <row r="187" spans="1:9" x14ac:dyDescent="0.25">
      <c r="A187" s="20">
        <f t="shared" si="3"/>
        <v>40136</v>
      </c>
      <c r="B187" s="117" t="s">
        <v>5</v>
      </c>
      <c r="C187">
        <v>51.8</v>
      </c>
      <c r="D187">
        <v>139.30000000000001</v>
      </c>
      <c r="E187">
        <v>560.9</v>
      </c>
      <c r="F187">
        <v>372.4</v>
      </c>
      <c r="G187" s="4">
        <f t="shared" si="24"/>
        <v>612.69999999999993</v>
      </c>
      <c r="H187" s="35">
        <f t="shared" si="31"/>
        <v>511.7</v>
      </c>
      <c r="I187" s="30">
        <f t="shared" ref="I187:I218" si="32">+(G187/H187-1)*100</f>
        <v>19.738127809263229</v>
      </c>
    </row>
    <row r="188" spans="1:9" x14ac:dyDescent="0.25">
      <c r="A188" s="20">
        <f t="shared" si="3"/>
        <v>40143</v>
      </c>
      <c r="B188" s="117" t="s">
        <v>5</v>
      </c>
      <c r="C188">
        <v>51.8</v>
      </c>
      <c r="D188">
        <v>259.3</v>
      </c>
      <c r="E188">
        <v>560.9</v>
      </c>
      <c r="F188">
        <v>372.4</v>
      </c>
      <c r="G188" s="4">
        <f t="shared" si="24"/>
        <v>612.69999999999993</v>
      </c>
      <c r="H188" s="35">
        <f t="shared" si="31"/>
        <v>631.70000000000005</v>
      </c>
      <c r="I188" s="30">
        <f t="shared" si="32"/>
        <v>-3.0077568466044147</v>
      </c>
    </row>
    <row r="189" spans="1:9" x14ac:dyDescent="0.25">
      <c r="A189" s="20">
        <f t="shared" si="3"/>
        <v>40150</v>
      </c>
      <c r="B189" s="117" t="s">
        <v>5</v>
      </c>
      <c r="C189">
        <v>78.8</v>
      </c>
      <c r="D189">
        <v>291.7</v>
      </c>
      <c r="E189">
        <v>560.9</v>
      </c>
      <c r="F189">
        <v>400</v>
      </c>
      <c r="G189" s="4">
        <f t="shared" si="24"/>
        <v>639.69999999999993</v>
      </c>
      <c r="H189" s="35">
        <f t="shared" si="31"/>
        <v>691.7</v>
      </c>
      <c r="I189" s="30">
        <f t="shared" si="32"/>
        <v>-7.517709989880017</v>
      </c>
    </row>
    <row r="190" spans="1:9" x14ac:dyDescent="0.25">
      <c r="A190" s="20">
        <f t="shared" si="3"/>
        <v>40157</v>
      </c>
      <c r="B190" s="117" t="s">
        <v>5</v>
      </c>
      <c r="C190">
        <v>258.8</v>
      </c>
      <c r="D190">
        <v>238.4</v>
      </c>
      <c r="E190">
        <v>560.9</v>
      </c>
      <c r="F190">
        <v>448.3</v>
      </c>
      <c r="G190" s="4">
        <f t="shared" si="24"/>
        <v>819.7</v>
      </c>
      <c r="H190" s="35">
        <f t="shared" si="31"/>
        <v>686.7</v>
      </c>
      <c r="I190" s="30">
        <f t="shared" si="32"/>
        <v>19.367991845056064</v>
      </c>
    </row>
    <row r="191" spans="1:9" x14ac:dyDescent="0.25">
      <c r="A191" s="20">
        <f t="shared" si="3"/>
        <v>40164</v>
      </c>
      <c r="B191" s="117" t="s">
        <v>5</v>
      </c>
      <c r="C191">
        <v>318.8</v>
      </c>
      <c r="D191">
        <v>198</v>
      </c>
      <c r="E191">
        <v>560.9</v>
      </c>
      <c r="F191">
        <v>472.5</v>
      </c>
      <c r="G191" s="4">
        <f t="shared" si="24"/>
        <v>879.7</v>
      </c>
      <c r="H191" s="35">
        <f t="shared" si="31"/>
        <v>670.5</v>
      </c>
      <c r="I191" s="30">
        <f t="shared" si="32"/>
        <v>31.200596569724091</v>
      </c>
    </row>
    <row r="192" spans="1:9" x14ac:dyDescent="0.25">
      <c r="A192" s="20">
        <f t="shared" si="3"/>
        <v>40171</v>
      </c>
      <c r="B192" s="117" t="s">
        <v>5</v>
      </c>
      <c r="C192">
        <v>318.8</v>
      </c>
      <c r="D192">
        <v>188.8</v>
      </c>
      <c r="E192">
        <v>560.9</v>
      </c>
      <c r="F192">
        <v>481.7</v>
      </c>
      <c r="G192" s="4">
        <f t="shared" si="24"/>
        <v>879.7</v>
      </c>
      <c r="H192" s="35">
        <f t="shared" si="31"/>
        <v>670.5</v>
      </c>
      <c r="I192" s="30">
        <f t="shared" si="32"/>
        <v>31.200596569724091</v>
      </c>
    </row>
    <row r="193" spans="1:9" x14ac:dyDescent="0.25">
      <c r="A193" s="20">
        <f t="shared" si="3"/>
        <v>40178</v>
      </c>
      <c r="B193" s="117" t="s">
        <v>5</v>
      </c>
      <c r="C193">
        <v>311.60000000000002</v>
      </c>
      <c r="D193">
        <v>210.1</v>
      </c>
      <c r="E193">
        <v>570.79999999999995</v>
      </c>
      <c r="F193">
        <v>520.4</v>
      </c>
      <c r="G193" s="4">
        <f t="shared" si="24"/>
        <v>882.4</v>
      </c>
      <c r="H193" s="35">
        <f t="shared" si="31"/>
        <v>730.5</v>
      </c>
      <c r="I193" s="30">
        <f t="shared" si="32"/>
        <v>20.793976728268305</v>
      </c>
    </row>
    <row r="194" spans="1:9" x14ac:dyDescent="0.25">
      <c r="A194" s="20">
        <f t="shared" si="3"/>
        <v>40185</v>
      </c>
      <c r="B194" s="117" t="s">
        <v>5</v>
      </c>
      <c r="C194">
        <v>240</v>
      </c>
      <c r="D194">
        <v>210.1</v>
      </c>
      <c r="E194">
        <v>589.79999999999995</v>
      </c>
      <c r="F194">
        <v>520.4</v>
      </c>
      <c r="G194" s="4">
        <f t="shared" si="24"/>
        <v>829.8</v>
      </c>
      <c r="H194" s="35">
        <f t="shared" si="31"/>
        <v>730.5</v>
      </c>
      <c r="I194" s="30">
        <f t="shared" si="32"/>
        <v>13.593429158110881</v>
      </c>
    </row>
    <row r="195" spans="1:9" x14ac:dyDescent="0.25">
      <c r="A195" s="20">
        <f t="shared" si="3"/>
        <v>40192</v>
      </c>
      <c r="B195" s="117" t="s">
        <v>5</v>
      </c>
      <c r="C195">
        <v>360</v>
      </c>
      <c r="D195">
        <v>210.1</v>
      </c>
      <c r="E195">
        <v>619.6</v>
      </c>
      <c r="F195">
        <v>520.4</v>
      </c>
      <c r="G195" s="4">
        <f t="shared" si="24"/>
        <v>979.6</v>
      </c>
      <c r="H195" s="35">
        <f t="shared" si="31"/>
        <v>730.5</v>
      </c>
      <c r="I195" s="30">
        <f t="shared" si="32"/>
        <v>34.099931553730322</v>
      </c>
    </row>
    <row r="196" spans="1:9" x14ac:dyDescent="0.25">
      <c r="A196" s="20">
        <f t="shared" si="3"/>
        <v>40199</v>
      </c>
      <c r="B196" s="117" t="s">
        <v>5</v>
      </c>
      <c r="C196">
        <v>420</v>
      </c>
      <c r="D196">
        <v>234.2</v>
      </c>
      <c r="E196">
        <v>669.8</v>
      </c>
      <c r="F196">
        <v>600.6</v>
      </c>
      <c r="G196" s="4">
        <f t="shared" ref="G196:G259" si="33">+C196+E196</f>
        <v>1089.8</v>
      </c>
      <c r="H196" s="35">
        <f t="shared" si="31"/>
        <v>834.8</v>
      </c>
      <c r="I196" s="30">
        <f t="shared" si="32"/>
        <v>30.546238620028742</v>
      </c>
    </row>
    <row r="197" spans="1:9" x14ac:dyDescent="0.25">
      <c r="A197" s="20">
        <f t="shared" si="3"/>
        <v>40206</v>
      </c>
      <c r="B197" s="117" t="s">
        <v>5</v>
      </c>
      <c r="C197">
        <v>337.3</v>
      </c>
      <c r="D197">
        <v>266.89999999999998</v>
      </c>
      <c r="E197">
        <v>784.7</v>
      </c>
      <c r="F197">
        <v>634.79999999999995</v>
      </c>
      <c r="G197" s="4">
        <f t="shared" si="33"/>
        <v>1122</v>
      </c>
      <c r="H197" s="35">
        <f t="shared" si="31"/>
        <v>901.69999999999993</v>
      </c>
      <c r="I197" s="30">
        <f t="shared" si="32"/>
        <v>24.431629144948431</v>
      </c>
    </row>
    <row r="198" spans="1:9" x14ac:dyDescent="0.25">
      <c r="A198" s="20">
        <f t="shared" si="3"/>
        <v>40213</v>
      </c>
      <c r="B198" s="117" t="s">
        <v>5</v>
      </c>
      <c r="C198">
        <v>309.3</v>
      </c>
      <c r="D198">
        <v>473.8</v>
      </c>
      <c r="E198">
        <v>812.7</v>
      </c>
      <c r="F198">
        <v>643.29999999999995</v>
      </c>
      <c r="G198" s="4">
        <f t="shared" si="33"/>
        <v>1122</v>
      </c>
      <c r="H198" s="35">
        <f t="shared" si="31"/>
        <v>1117.0999999999999</v>
      </c>
      <c r="I198" s="30">
        <f t="shared" si="32"/>
        <v>0.43863575328977333</v>
      </c>
    </row>
    <row r="199" spans="1:9" x14ac:dyDescent="0.25">
      <c r="A199" s="20">
        <f t="shared" si="3"/>
        <v>40220</v>
      </c>
      <c r="B199" s="117" t="s">
        <v>5</v>
      </c>
      <c r="C199">
        <v>366.6</v>
      </c>
      <c r="D199">
        <v>462.6</v>
      </c>
      <c r="E199">
        <v>821.4</v>
      </c>
      <c r="F199">
        <v>692.5</v>
      </c>
      <c r="G199" s="4">
        <f t="shared" si="33"/>
        <v>1188</v>
      </c>
      <c r="H199" s="35">
        <f t="shared" si="31"/>
        <v>1155.0999999999999</v>
      </c>
      <c r="I199" s="30">
        <f t="shared" si="32"/>
        <v>2.8482382477707624</v>
      </c>
    </row>
    <row r="200" spans="1:9" x14ac:dyDescent="0.25">
      <c r="A200" s="20">
        <f t="shared" si="3"/>
        <v>40227</v>
      </c>
      <c r="B200" s="117" t="s">
        <v>5</v>
      </c>
      <c r="C200">
        <v>366.6</v>
      </c>
      <c r="D200">
        <v>456.2</v>
      </c>
      <c r="E200">
        <v>884.7</v>
      </c>
      <c r="F200">
        <v>702.6</v>
      </c>
      <c r="G200" s="4">
        <f t="shared" si="33"/>
        <v>1251.3000000000002</v>
      </c>
      <c r="H200" s="35">
        <f t="shared" si="31"/>
        <v>1158.8</v>
      </c>
      <c r="I200" s="30">
        <f t="shared" si="32"/>
        <v>7.9823955816362036</v>
      </c>
    </row>
    <row r="201" spans="1:9" x14ac:dyDescent="0.25">
      <c r="A201" s="20">
        <f t="shared" si="3"/>
        <v>40234</v>
      </c>
      <c r="B201" s="117" t="s">
        <v>5</v>
      </c>
      <c r="C201">
        <v>366.6</v>
      </c>
      <c r="D201">
        <v>402</v>
      </c>
      <c r="E201">
        <v>884.7</v>
      </c>
      <c r="F201">
        <v>711.3</v>
      </c>
      <c r="G201" s="4">
        <f t="shared" si="33"/>
        <v>1251.3000000000002</v>
      </c>
      <c r="H201" s="35">
        <f t="shared" si="31"/>
        <v>1113.3</v>
      </c>
      <c r="I201" s="30">
        <f t="shared" si="32"/>
        <v>12.395580706009191</v>
      </c>
    </row>
    <row r="202" spans="1:9" x14ac:dyDescent="0.25">
      <c r="A202" s="20">
        <f t="shared" si="3"/>
        <v>40241</v>
      </c>
      <c r="B202" s="117" t="s">
        <v>5</v>
      </c>
      <c r="C202">
        <v>384.6</v>
      </c>
      <c r="D202">
        <v>472.1</v>
      </c>
      <c r="E202">
        <v>976.4</v>
      </c>
      <c r="F202">
        <v>739.8</v>
      </c>
      <c r="G202" s="4">
        <f t="shared" si="33"/>
        <v>1361</v>
      </c>
      <c r="H202" s="35">
        <f t="shared" si="31"/>
        <v>1211.9000000000001</v>
      </c>
      <c r="I202" s="30">
        <f t="shared" si="32"/>
        <v>12.302995296641628</v>
      </c>
    </row>
    <row r="203" spans="1:9" x14ac:dyDescent="0.25">
      <c r="A203" s="20">
        <f t="shared" si="3"/>
        <v>40248</v>
      </c>
      <c r="B203" s="117" t="s">
        <v>5</v>
      </c>
      <c r="C203">
        <v>324.60000000000002</v>
      </c>
      <c r="D203">
        <v>460.7</v>
      </c>
      <c r="E203">
        <v>1001.5</v>
      </c>
      <c r="F203">
        <v>775.9</v>
      </c>
      <c r="G203" s="4">
        <f t="shared" si="33"/>
        <v>1326.1</v>
      </c>
      <c r="H203" s="35">
        <f t="shared" si="31"/>
        <v>1236.5999999999999</v>
      </c>
      <c r="I203" s="30">
        <f t="shared" si="32"/>
        <v>7.2375869319100783</v>
      </c>
    </row>
    <row r="204" spans="1:9" x14ac:dyDescent="0.25">
      <c r="A204" s="20">
        <f t="shared" si="3"/>
        <v>40255</v>
      </c>
      <c r="B204" s="117" t="s">
        <v>5</v>
      </c>
      <c r="C204">
        <v>223</v>
      </c>
      <c r="D204">
        <v>440.1</v>
      </c>
      <c r="E204">
        <v>1109.0999999999999</v>
      </c>
      <c r="F204">
        <v>796.5</v>
      </c>
      <c r="G204" s="4">
        <f t="shared" si="33"/>
        <v>1332.1</v>
      </c>
      <c r="H204" s="35">
        <f t="shared" si="31"/>
        <v>1236.5999999999999</v>
      </c>
      <c r="I204" s="30">
        <f t="shared" si="32"/>
        <v>7.7227882904738809</v>
      </c>
    </row>
    <row r="205" spans="1:9" x14ac:dyDescent="0.25">
      <c r="A205" s="20">
        <f t="shared" si="3"/>
        <v>40262</v>
      </c>
      <c r="B205" s="117" t="s">
        <v>5</v>
      </c>
      <c r="C205">
        <v>170.5</v>
      </c>
      <c r="D205">
        <v>372.6</v>
      </c>
      <c r="E205">
        <v>1212.2</v>
      </c>
      <c r="F205">
        <v>857</v>
      </c>
      <c r="G205" s="4">
        <f t="shared" si="33"/>
        <v>1382.7</v>
      </c>
      <c r="H205" s="35">
        <f t="shared" si="31"/>
        <v>1229.5999999999999</v>
      </c>
      <c r="I205" s="30">
        <f t="shared" si="32"/>
        <v>12.451203643461305</v>
      </c>
    </row>
    <row r="206" spans="1:9" x14ac:dyDescent="0.25">
      <c r="A206" s="20">
        <f t="shared" si="3"/>
        <v>40269</v>
      </c>
      <c r="B206" s="117" t="s">
        <v>5</v>
      </c>
      <c r="C206">
        <v>290.5</v>
      </c>
      <c r="D206">
        <v>370.6</v>
      </c>
      <c r="E206">
        <v>1212.2</v>
      </c>
      <c r="F206">
        <v>987.8</v>
      </c>
      <c r="G206" s="4">
        <f t="shared" si="33"/>
        <v>1502.7</v>
      </c>
      <c r="H206" s="35">
        <f t="shared" si="31"/>
        <v>1358.4</v>
      </c>
      <c r="I206" s="30">
        <f t="shared" si="32"/>
        <v>10.622791519434616</v>
      </c>
    </row>
    <row r="207" spans="1:9" x14ac:dyDescent="0.25">
      <c r="A207" s="20">
        <f t="shared" si="3"/>
        <v>40276</v>
      </c>
      <c r="B207" s="117" t="s">
        <v>5</v>
      </c>
      <c r="C207">
        <v>264.7</v>
      </c>
      <c r="D207">
        <v>307.60000000000002</v>
      </c>
      <c r="E207">
        <v>1309.5</v>
      </c>
      <c r="F207">
        <v>1049.5999999999999</v>
      </c>
      <c r="G207" s="4">
        <f t="shared" si="33"/>
        <v>1574.2</v>
      </c>
      <c r="H207" s="35">
        <f t="shared" si="31"/>
        <v>1357.1999999999998</v>
      </c>
      <c r="I207" s="30">
        <f t="shared" si="32"/>
        <v>15.988800471559106</v>
      </c>
    </row>
    <row r="208" spans="1:9" x14ac:dyDescent="0.25">
      <c r="A208" s="20">
        <f t="shared" si="3"/>
        <v>40283</v>
      </c>
      <c r="B208" s="117" t="s">
        <v>5</v>
      </c>
      <c r="C208">
        <v>280.39999999999998</v>
      </c>
      <c r="D208">
        <v>176.5</v>
      </c>
      <c r="E208">
        <v>1353.8</v>
      </c>
      <c r="F208">
        <v>1180.3</v>
      </c>
      <c r="G208" s="4">
        <f t="shared" si="33"/>
        <v>1634.1999999999998</v>
      </c>
      <c r="H208" s="35">
        <f t="shared" si="31"/>
        <v>1356.8</v>
      </c>
      <c r="I208" s="30">
        <f t="shared" si="32"/>
        <v>20.445165094339622</v>
      </c>
    </row>
    <row r="209" spans="1:10" x14ac:dyDescent="0.25">
      <c r="A209" s="20">
        <f t="shared" si="3"/>
        <v>40290</v>
      </c>
      <c r="B209" s="117" t="s">
        <v>5</v>
      </c>
      <c r="C209">
        <v>440.4</v>
      </c>
      <c r="D209">
        <v>241.3</v>
      </c>
      <c r="E209">
        <v>1353.8</v>
      </c>
      <c r="F209">
        <v>1180.3</v>
      </c>
      <c r="G209" s="4">
        <f t="shared" si="33"/>
        <v>1794.1999999999998</v>
      </c>
      <c r="H209" s="35">
        <f t="shared" si="31"/>
        <v>1421.6</v>
      </c>
      <c r="I209" s="30">
        <f t="shared" si="32"/>
        <v>26.20990433314574</v>
      </c>
    </row>
    <row r="210" spans="1:10" x14ac:dyDescent="0.25">
      <c r="A210" s="20">
        <f t="shared" si="3"/>
        <v>40297</v>
      </c>
      <c r="B210" s="117" t="s">
        <v>5</v>
      </c>
      <c r="C210">
        <v>520.29999999999995</v>
      </c>
      <c r="D210">
        <v>183.3</v>
      </c>
      <c r="E210">
        <v>1391.5</v>
      </c>
      <c r="F210">
        <v>1243.0999999999999</v>
      </c>
      <c r="G210" s="4">
        <f t="shared" si="33"/>
        <v>1911.8</v>
      </c>
      <c r="H210" s="35">
        <f t="shared" si="31"/>
        <v>1426.3999999999999</v>
      </c>
      <c r="I210" s="30">
        <f t="shared" si="32"/>
        <v>34.029725182277069</v>
      </c>
      <c r="J210">
        <v>55</v>
      </c>
    </row>
    <row r="211" spans="1:10" x14ac:dyDescent="0.25">
      <c r="A211" s="20">
        <f t="shared" si="3"/>
        <v>40304</v>
      </c>
      <c r="B211" s="117" t="s">
        <v>5</v>
      </c>
      <c r="C211">
        <v>509</v>
      </c>
      <c r="D211">
        <v>125.3</v>
      </c>
      <c r="E211">
        <v>1450.8</v>
      </c>
      <c r="F211">
        <v>1309.0999999999999</v>
      </c>
      <c r="G211" s="4">
        <f t="shared" si="33"/>
        <v>1959.8</v>
      </c>
      <c r="H211" s="35">
        <f t="shared" si="31"/>
        <v>1434.3999999999999</v>
      </c>
      <c r="I211" s="30">
        <f t="shared" si="32"/>
        <v>36.62855549358617</v>
      </c>
      <c r="J211">
        <v>55</v>
      </c>
    </row>
    <row r="212" spans="1:10" x14ac:dyDescent="0.25">
      <c r="A212" s="20">
        <f t="shared" si="3"/>
        <v>40311</v>
      </c>
      <c r="B212" s="117" t="s">
        <v>5</v>
      </c>
      <c r="C212">
        <v>524.79999999999995</v>
      </c>
      <c r="D212">
        <v>125.3</v>
      </c>
      <c r="E212">
        <v>1532.9</v>
      </c>
      <c r="F212">
        <v>1309.0999999999999</v>
      </c>
      <c r="G212" s="4">
        <f t="shared" si="33"/>
        <v>2057.6999999999998</v>
      </c>
      <c r="H212" s="35">
        <f t="shared" si="31"/>
        <v>1434.3999999999999</v>
      </c>
      <c r="I212" s="30">
        <f t="shared" si="32"/>
        <v>43.453708867819294</v>
      </c>
      <c r="J212">
        <v>55</v>
      </c>
    </row>
    <row r="213" spans="1:10" x14ac:dyDescent="0.25">
      <c r="A213" s="20">
        <f t="shared" si="3"/>
        <v>40318</v>
      </c>
      <c r="B213" s="117" t="s">
        <v>5</v>
      </c>
      <c r="C213">
        <v>425.3</v>
      </c>
      <c r="D213">
        <v>125.3</v>
      </c>
      <c r="E213">
        <v>1648.5</v>
      </c>
      <c r="F213">
        <v>1375.1</v>
      </c>
      <c r="G213" s="4">
        <f t="shared" si="33"/>
        <v>2073.8000000000002</v>
      </c>
      <c r="H213" s="35">
        <f t="shared" si="31"/>
        <v>1500.3999999999999</v>
      </c>
      <c r="I213" s="30">
        <f t="shared" si="32"/>
        <v>38.216475606504964</v>
      </c>
      <c r="J213">
        <v>55</v>
      </c>
    </row>
    <row r="214" spans="1:10" x14ac:dyDescent="0.25">
      <c r="A214" s="20">
        <f t="shared" si="3"/>
        <v>40325</v>
      </c>
      <c r="B214" s="117" t="s">
        <v>5</v>
      </c>
      <c r="C214">
        <v>425.3</v>
      </c>
      <c r="D214">
        <v>125.3</v>
      </c>
      <c r="E214">
        <v>1648.5</v>
      </c>
      <c r="F214">
        <v>1375.1</v>
      </c>
      <c r="G214" s="4">
        <f t="shared" si="33"/>
        <v>2073.8000000000002</v>
      </c>
      <c r="H214" s="35">
        <f t="shared" si="31"/>
        <v>1500.3999999999999</v>
      </c>
      <c r="I214" s="30">
        <f t="shared" si="32"/>
        <v>38.216475606504964</v>
      </c>
      <c r="J214">
        <v>55</v>
      </c>
    </row>
    <row r="215" spans="1:10" x14ac:dyDescent="0.25">
      <c r="A215" s="20">
        <f t="shared" si="3"/>
        <v>40332</v>
      </c>
      <c r="B215" s="117" t="s">
        <v>5</v>
      </c>
      <c r="C215">
        <v>549.70000000000005</v>
      </c>
      <c r="D215">
        <v>125.3</v>
      </c>
      <c r="E215">
        <v>1659.3</v>
      </c>
      <c r="F215">
        <v>1375.1</v>
      </c>
      <c r="G215" s="4">
        <f t="shared" si="33"/>
        <v>2209</v>
      </c>
      <c r="H215" s="35">
        <f t="shared" si="31"/>
        <v>1500.3999999999999</v>
      </c>
      <c r="I215" s="30">
        <f t="shared" si="32"/>
        <v>47.227406025059992</v>
      </c>
      <c r="J215">
        <v>55</v>
      </c>
    </row>
    <row r="216" spans="1:10" x14ac:dyDescent="0.25">
      <c r="A216" s="20">
        <f t="shared" si="3"/>
        <v>40339</v>
      </c>
      <c r="B216" s="117" t="s">
        <v>5</v>
      </c>
      <c r="C216">
        <v>579.20000000000005</v>
      </c>
      <c r="D216">
        <v>198.3</v>
      </c>
      <c r="E216">
        <v>1756.2</v>
      </c>
      <c r="F216">
        <v>1441.1</v>
      </c>
      <c r="G216" s="4">
        <f t="shared" si="33"/>
        <v>2335.4</v>
      </c>
      <c r="H216" s="35">
        <f t="shared" ref="H216:H247" si="34">+D216+F216</f>
        <v>1639.3999999999999</v>
      </c>
      <c r="I216" s="30">
        <f t="shared" si="32"/>
        <v>42.45455654507748</v>
      </c>
      <c r="J216">
        <v>0</v>
      </c>
    </row>
    <row r="217" spans="1:10" x14ac:dyDescent="0.25">
      <c r="A217" s="20">
        <f t="shared" si="3"/>
        <v>40346</v>
      </c>
      <c r="B217" s="117" t="s">
        <v>5</v>
      </c>
      <c r="C217">
        <v>713.1</v>
      </c>
      <c r="D217">
        <v>234.5</v>
      </c>
      <c r="E217">
        <v>1808.3</v>
      </c>
      <c r="F217">
        <v>1441.1</v>
      </c>
      <c r="G217" s="4">
        <f t="shared" si="33"/>
        <v>2521.4</v>
      </c>
      <c r="H217" s="35">
        <f t="shared" si="34"/>
        <v>1675.6</v>
      </c>
      <c r="I217" s="30">
        <f t="shared" si="32"/>
        <v>50.477440916686575</v>
      </c>
      <c r="J217">
        <v>0</v>
      </c>
    </row>
    <row r="218" spans="1:10" x14ac:dyDescent="0.25">
      <c r="A218" s="20">
        <f t="shared" si="3"/>
        <v>40353</v>
      </c>
      <c r="B218" s="117" t="s">
        <v>5</v>
      </c>
      <c r="C218">
        <v>532.20000000000005</v>
      </c>
      <c r="D218">
        <v>431.9</v>
      </c>
      <c r="E218">
        <v>2094.9</v>
      </c>
      <c r="F218">
        <v>1483.7</v>
      </c>
      <c r="G218" s="4">
        <f t="shared" si="33"/>
        <v>2627.1000000000004</v>
      </c>
      <c r="H218" s="35">
        <f t="shared" si="34"/>
        <v>1915.6</v>
      </c>
      <c r="I218" s="30">
        <f t="shared" si="32"/>
        <v>37.142409688870345</v>
      </c>
      <c r="J218">
        <v>0</v>
      </c>
    </row>
    <row r="219" spans="1:10" x14ac:dyDescent="0.25">
      <c r="A219" s="20">
        <f t="shared" si="3"/>
        <v>40360</v>
      </c>
      <c r="B219" s="117" t="s">
        <v>5</v>
      </c>
      <c r="C219">
        <v>488</v>
      </c>
      <c r="D219">
        <v>490.7</v>
      </c>
      <c r="E219">
        <v>2211.1</v>
      </c>
      <c r="F219">
        <v>1548.5</v>
      </c>
      <c r="G219" s="4">
        <f t="shared" si="33"/>
        <v>2699.1</v>
      </c>
      <c r="H219" s="35">
        <f t="shared" si="34"/>
        <v>2039.2</v>
      </c>
      <c r="I219" s="30">
        <f t="shared" ref="I219:I250" si="35">+(G219/H219-1)*100</f>
        <v>32.360729697920746</v>
      </c>
      <c r="J219">
        <v>0</v>
      </c>
    </row>
    <row r="220" spans="1:10" x14ac:dyDescent="0.25">
      <c r="A220" s="20">
        <f t="shared" si="3"/>
        <v>40367</v>
      </c>
      <c r="B220" s="117" t="s">
        <v>5</v>
      </c>
      <c r="C220">
        <v>479.6</v>
      </c>
      <c r="D220">
        <v>362.7</v>
      </c>
      <c r="E220">
        <v>2383.3000000000002</v>
      </c>
      <c r="F220">
        <v>1556.5</v>
      </c>
      <c r="G220" s="4">
        <f t="shared" si="33"/>
        <v>2862.9</v>
      </c>
      <c r="H220" s="35">
        <f t="shared" si="34"/>
        <v>1919.2</v>
      </c>
      <c r="I220" s="30">
        <f t="shared" si="35"/>
        <v>49.171529804085033</v>
      </c>
      <c r="J220">
        <v>60</v>
      </c>
    </row>
    <row r="221" spans="1:10" x14ac:dyDescent="0.25">
      <c r="A221" s="20">
        <f t="shared" si="3"/>
        <v>40374</v>
      </c>
      <c r="B221" s="117" t="s">
        <v>5</v>
      </c>
      <c r="C221">
        <v>523.9</v>
      </c>
      <c r="D221">
        <v>291.7</v>
      </c>
      <c r="E221">
        <v>2383.3000000000002</v>
      </c>
      <c r="F221">
        <v>1632.8</v>
      </c>
      <c r="G221" s="4">
        <f t="shared" si="33"/>
        <v>2907.2000000000003</v>
      </c>
      <c r="H221" s="35">
        <f t="shared" si="34"/>
        <v>1924.5</v>
      </c>
      <c r="I221" s="30">
        <f t="shared" si="35"/>
        <v>51.06261366588727</v>
      </c>
      <c r="J221">
        <v>60</v>
      </c>
    </row>
    <row r="222" spans="1:10" x14ac:dyDescent="0.25">
      <c r="A222" s="20">
        <f t="shared" si="3"/>
        <v>40381</v>
      </c>
      <c r="B222" s="117" t="s">
        <v>5</v>
      </c>
      <c r="C222">
        <v>444.6</v>
      </c>
      <c r="D222">
        <v>329.8</v>
      </c>
      <c r="E222">
        <v>2526.9</v>
      </c>
      <c r="F222">
        <v>1772.9</v>
      </c>
      <c r="G222" s="4">
        <f t="shared" si="33"/>
        <v>2971.5</v>
      </c>
      <c r="H222" s="35">
        <f t="shared" si="34"/>
        <v>2102.7000000000003</v>
      </c>
      <c r="I222" s="30">
        <f t="shared" si="35"/>
        <v>41.318305036381787</v>
      </c>
      <c r="J222">
        <v>60</v>
      </c>
    </row>
    <row r="223" spans="1:10" x14ac:dyDescent="0.25">
      <c r="A223" s="20">
        <f t="shared" si="3"/>
        <v>40388</v>
      </c>
      <c r="B223" s="117" t="s">
        <v>5</v>
      </c>
      <c r="C223">
        <v>504.6</v>
      </c>
      <c r="D223">
        <v>278.89999999999998</v>
      </c>
      <c r="E223">
        <v>2587.3000000000002</v>
      </c>
      <c r="F223">
        <v>1845.8</v>
      </c>
      <c r="G223" s="4">
        <f t="shared" si="33"/>
        <v>3091.9</v>
      </c>
      <c r="H223" s="35">
        <f t="shared" si="34"/>
        <v>2124.6999999999998</v>
      </c>
      <c r="I223" s="30">
        <f t="shared" si="35"/>
        <v>45.521720713512501</v>
      </c>
      <c r="J223">
        <v>60</v>
      </c>
    </row>
    <row r="224" spans="1:10" x14ac:dyDescent="0.25">
      <c r="A224" s="20">
        <f t="shared" si="3"/>
        <v>40395</v>
      </c>
      <c r="B224" s="117" t="s">
        <v>5</v>
      </c>
      <c r="C224">
        <v>448.5</v>
      </c>
      <c r="D224">
        <v>188.4</v>
      </c>
      <c r="E224">
        <v>2587.3000000000002</v>
      </c>
      <c r="F224">
        <v>1900.3</v>
      </c>
      <c r="G224" s="4">
        <f t="shared" si="33"/>
        <v>3035.8</v>
      </c>
      <c r="H224" s="35">
        <f t="shared" si="34"/>
        <v>2088.6999999999998</v>
      </c>
      <c r="I224" s="30">
        <f t="shared" si="35"/>
        <v>45.343993871786296</v>
      </c>
      <c r="J224">
        <v>85</v>
      </c>
    </row>
    <row r="225" spans="1:10" x14ac:dyDescent="0.25">
      <c r="A225" s="20">
        <f t="shared" si="3"/>
        <v>40402</v>
      </c>
      <c r="B225" s="117" t="s">
        <v>5</v>
      </c>
      <c r="C225">
        <v>465</v>
      </c>
      <c r="D225">
        <v>284.60000000000002</v>
      </c>
      <c r="E225">
        <v>2615.1999999999998</v>
      </c>
      <c r="F225">
        <v>1989</v>
      </c>
      <c r="G225" s="4">
        <f t="shared" si="33"/>
        <v>3080.2</v>
      </c>
      <c r="H225" s="35">
        <f t="shared" si="34"/>
        <v>2273.6</v>
      </c>
      <c r="I225" s="30">
        <f t="shared" si="35"/>
        <v>35.476776917663621</v>
      </c>
      <c r="J225">
        <v>325</v>
      </c>
    </row>
    <row r="226" spans="1:10" x14ac:dyDescent="0.25">
      <c r="A226" s="20">
        <f t="shared" si="3"/>
        <v>40409</v>
      </c>
      <c r="B226" s="117" t="s">
        <v>5</v>
      </c>
      <c r="C226">
        <v>345</v>
      </c>
      <c r="D226">
        <v>146.4</v>
      </c>
      <c r="E226">
        <v>2805.5</v>
      </c>
      <c r="F226">
        <v>2081.8000000000002</v>
      </c>
      <c r="G226" s="4">
        <f t="shared" si="33"/>
        <v>3150.5</v>
      </c>
      <c r="H226" s="35">
        <f t="shared" si="34"/>
        <v>2228.2000000000003</v>
      </c>
      <c r="I226" s="30">
        <f t="shared" si="35"/>
        <v>41.392155102773522</v>
      </c>
      <c r="J226">
        <v>745</v>
      </c>
    </row>
    <row r="227" spans="1:10" x14ac:dyDescent="0.25">
      <c r="A227" s="20">
        <f t="shared" si="3"/>
        <v>40416</v>
      </c>
      <c r="B227" s="117" t="s">
        <v>5</v>
      </c>
      <c r="C227">
        <v>285</v>
      </c>
      <c r="D227">
        <v>120</v>
      </c>
      <c r="E227">
        <v>2871.5</v>
      </c>
      <c r="F227">
        <v>2127.3000000000002</v>
      </c>
      <c r="G227" s="4">
        <f t="shared" si="33"/>
        <v>3156.5</v>
      </c>
      <c r="H227" s="35">
        <f t="shared" si="34"/>
        <v>2247.3000000000002</v>
      </c>
      <c r="I227" s="30">
        <f t="shared" si="35"/>
        <v>40.457437814266008</v>
      </c>
      <c r="J227">
        <v>745</v>
      </c>
    </row>
    <row r="228" spans="1:10" x14ac:dyDescent="0.25">
      <c r="A228" s="20">
        <f t="shared" si="3"/>
        <v>40423</v>
      </c>
      <c r="B228" s="117" t="s">
        <v>5</v>
      </c>
      <c r="C228">
        <v>1090</v>
      </c>
      <c r="D228">
        <v>487.8</v>
      </c>
      <c r="E228">
        <v>0</v>
      </c>
      <c r="F228">
        <v>130.1</v>
      </c>
      <c r="G228" s="4">
        <f t="shared" si="33"/>
        <v>1090</v>
      </c>
      <c r="H228" s="35">
        <f t="shared" si="34"/>
        <v>617.9</v>
      </c>
      <c r="I228" s="30">
        <f t="shared" si="35"/>
        <v>76.403948859038692</v>
      </c>
    </row>
    <row r="229" spans="1:10" x14ac:dyDescent="0.25">
      <c r="A229" s="20">
        <f t="shared" si="3"/>
        <v>40430</v>
      </c>
      <c r="B229" s="117" t="s">
        <v>5</v>
      </c>
      <c r="C229">
        <v>874.7</v>
      </c>
      <c r="D229">
        <v>382.1</v>
      </c>
      <c r="E229">
        <v>246.1</v>
      </c>
      <c r="F229">
        <v>240.1</v>
      </c>
      <c r="G229" s="4">
        <f t="shared" si="33"/>
        <v>1120.8</v>
      </c>
      <c r="H229" s="35">
        <f t="shared" si="34"/>
        <v>622.20000000000005</v>
      </c>
      <c r="I229" s="30">
        <f t="shared" si="35"/>
        <v>80.135004821600745</v>
      </c>
    </row>
    <row r="230" spans="1:10" x14ac:dyDescent="0.25">
      <c r="A230" s="20">
        <f t="shared" si="3"/>
        <v>40437</v>
      </c>
      <c r="B230" s="117" t="s">
        <v>5</v>
      </c>
      <c r="C230">
        <v>748.3</v>
      </c>
      <c r="D230">
        <v>322.10000000000002</v>
      </c>
      <c r="E230">
        <v>332.7</v>
      </c>
      <c r="F230">
        <v>305.8</v>
      </c>
      <c r="G230" s="4">
        <f t="shared" si="33"/>
        <v>1081</v>
      </c>
      <c r="H230" s="35">
        <f t="shared" si="34"/>
        <v>627.90000000000009</v>
      </c>
      <c r="I230" s="30">
        <f t="shared" si="35"/>
        <v>72.161172161172132</v>
      </c>
    </row>
    <row r="231" spans="1:10" x14ac:dyDescent="0.25">
      <c r="A231" s="20">
        <f t="shared" si="3"/>
        <v>40444</v>
      </c>
      <c r="B231" s="117" t="s">
        <v>5</v>
      </c>
      <c r="C231">
        <v>705.9</v>
      </c>
      <c r="D231">
        <v>193.9</v>
      </c>
      <c r="E231">
        <v>471.7</v>
      </c>
      <c r="F231">
        <v>411.3</v>
      </c>
      <c r="G231" s="4">
        <f t="shared" si="33"/>
        <v>1177.5999999999999</v>
      </c>
      <c r="H231" s="35">
        <f t="shared" si="34"/>
        <v>605.20000000000005</v>
      </c>
      <c r="I231" s="30">
        <f t="shared" si="35"/>
        <v>94.580304031725021</v>
      </c>
    </row>
    <row r="232" spans="1:10" x14ac:dyDescent="0.25">
      <c r="A232" s="20">
        <f t="shared" si="3"/>
        <v>40451</v>
      </c>
      <c r="B232" s="117" t="s">
        <v>5</v>
      </c>
      <c r="C232">
        <v>700.1</v>
      </c>
      <c r="D232">
        <v>133.9</v>
      </c>
      <c r="E232">
        <v>505.1</v>
      </c>
      <c r="F232">
        <v>475.1</v>
      </c>
      <c r="G232" s="4">
        <f t="shared" si="33"/>
        <v>1205.2</v>
      </c>
      <c r="H232" s="35">
        <f t="shared" si="34"/>
        <v>609</v>
      </c>
      <c r="I232" s="30">
        <f t="shared" si="35"/>
        <v>97.898193760262743</v>
      </c>
    </row>
    <row r="233" spans="1:10" x14ac:dyDescent="0.25">
      <c r="A233" s="20">
        <f t="shared" si="3"/>
        <v>40458</v>
      </c>
      <c r="B233" s="117" t="s">
        <v>5</v>
      </c>
      <c r="C233">
        <v>672.6</v>
      </c>
      <c r="D233">
        <v>51.8</v>
      </c>
      <c r="E233">
        <v>597.5</v>
      </c>
      <c r="F233">
        <v>560.9</v>
      </c>
      <c r="G233" s="4">
        <f t="shared" si="33"/>
        <v>1270.0999999999999</v>
      </c>
      <c r="H233" s="35">
        <f t="shared" si="34"/>
        <v>612.69999999999993</v>
      </c>
      <c r="I233" s="30">
        <f t="shared" si="35"/>
        <v>107.29557695446385</v>
      </c>
    </row>
    <row r="234" spans="1:10" x14ac:dyDescent="0.25">
      <c r="A234" s="20">
        <f t="shared" si="3"/>
        <v>40465</v>
      </c>
      <c r="B234" s="117" t="s">
        <v>5</v>
      </c>
      <c r="C234">
        <v>653.79999999999995</v>
      </c>
      <c r="D234">
        <v>51.8</v>
      </c>
      <c r="E234">
        <v>639.70000000000005</v>
      </c>
      <c r="F234">
        <v>560.9</v>
      </c>
      <c r="G234" s="4">
        <f t="shared" si="33"/>
        <v>1293.5</v>
      </c>
      <c r="H234" s="35">
        <f t="shared" si="34"/>
        <v>612.69999999999993</v>
      </c>
      <c r="I234" s="30">
        <f t="shared" si="35"/>
        <v>111.11473804472011</v>
      </c>
    </row>
    <row r="235" spans="1:10" x14ac:dyDescent="0.25">
      <c r="A235" s="20">
        <f t="shared" si="3"/>
        <v>40472</v>
      </c>
      <c r="B235" s="117" t="s">
        <v>5</v>
      </c>
      <c r="C235">
        <v>653.79999999999995</v>
      </c>
      <c r="D235">
        <v>51.8</v>
      </c>
      <c r="E235">
        <v>639.70000000000005</v>
      </c>
      <c r="F235">
        <v>560.9</v>
      </c>
      <c r="G235" s="4">
        <f t="shared" si="33"/>
        <v>1293.5</v>
      </c>
      <c r="H235" s="35">
        <f t="shared" si="34"/>
        <v>612.69999999999993</v>
      </c>
      <c r="I235" s="30">
        <f t="shared" si="35"/>
        <v>111.11473804472011</v>
      </c>
    </row>
    <row r="236" spans="1:10" x14ac:dyDescent="0.25">
      <c r="A236" s="20">
        <f t="shared" si="3"/>
        <v>40479</v>
      </c>
      <c r="B236" s="117" t="s">
        <v>5</v>
      </c>
      <c r="C236">
        <v>606.29999999999995</v>
      </c>
      <c r="D236">
        <v>51.8</v>
      </c>
      <c r="E236">
        <v>705.8</v>
      </c>
      <c r="F236">
        <v>560.9</v>
      </c>
      <c r="G236" s="4">
        <f t="shared" si="33"/>
        <v>1312.1</v>
      </c>
      <c r="H236" s="35">
        <f t="shared" si="34"/>
        <v>612.69999999999993</v>
      </c>
      <c r="I236" s="30">
        <f t="shared" si="35"/>
        <v>114.15048147543661</v>
      </c>
    </row>
    <row r="237" spans="1:10" x14ac:dyDescent="0.25">
      <c r="A237" s="20">
        <f t="shared" si="3"/>
        <v>40486</v>
      </c>
      <c r="B237" s="117" t="s">
        <v>5</v>
      </c>
      <c r="C237">
        <v>726.3</v>
      </c>
      <c r="D237">
        <v>51.8</v>
      </c>
      <c r="E237">
        <v>767.1</v>
      </c>
      <c r="F237">
        <v>560.9</v>
      </c>
      <c r="G237" s="4">
        <f t="shared" si="33"/>
        <v>1493.4</v>
      </c>
      <c r="H237" s="35">
        <f t="shared" si="34"/>
        <v>612.69999999999993</v>
      </c>
      <c r="I237" s="30">
        <f t="shared" si="35"/>
        <v>143.74081932430229</v>
      </c>
    </row>
    <row r="238" spans="1:10" x14ac:dyDescent="0.25">
      <c r="A238" s="20">
        <f t="shared" si="3"/>
        <v>40493</v>
      </c>
      <c r="B238" s="117" t="s">
        <v>5</v>
      </c>
      <c r="C238">
        <v>656.5</v>
      </c>
      <c r="D238">
        <v>51.8</v>
      </c>
      <c r="E238">
        <v>767.1</v>
      </c>
      <c r="F238">
        <v>560.9</v>
      </c>
      <c r="G238" s="4">
        <f t="shared" si="33"/>
        <v>1423.6</v>
      </c>
      <c r="H238" s="35">
        <f t="shared" si="34"/>
        <v>612.69999999999993</v>
      </c>
      <c r="I238" s="30">
        <f t="shared" si="35"/>
        <v>132.3486208584952</v>
      </c>
    </row>
    <row r="239" spans="1:10" x14ac:dyDescent="0.25">
      <c r="A239" s="20">
        <f t="shared" si="3"/>
        <v>40500</v>
      </c>
      <c r="B239" s="117" t="s">
        <v>5</v>
      </c>
      <c r="C239">
        <v>715.2</v>
      </c>
      <c r="D239">
        <v>51.8</v>
      </c>
      <c r="E239">
        <v>822.4</v>
      </c>
      <c r="F239">
        <v>560.9</v>
      </c>
      <c r="G239" s="4">
        <f t="shared" si="33"/>
        <v>1537.6</v>
      </c>
      <c r="H239" s="35">
        <f t="shared" si="34"/>
        <v>612.69999999999993</v>
      </c>
      <c r="I239" s="30">
        <f t="shared" si="35"/>
        <v>150.95479027256408</v>
      </c>
    </row>
    <row r="240" spans="1:10" x14ac:dyDescent="0.25">
      <c r="A240" s="20">
        <f t="shared" si="3"/>
        <v>40507</v>
      </c>
      <c r="B240" s="117" t="s">
        <v>5</v>
      </c>
      <c r="C240">
        <v>672.9</v>
      </c>
      <c r="D240">
        <v>51.8</v>
      </c>
      <c r="E240">
        <v>930.7</v>
      </c>
      <c r="F240">
        <v>560.9</v>
      </c>
      <c r="G240" s="4">
        <f t="shared" si="33"/>
        <v>1603.6</v>
      </c>
      <c r="H240" s="35">
        <f t="shared" si="34"/>
        <v>612.69999999999993</v>
      </c>
      <c r="I240" s="30">
        <f t="shared" si="35"/>
        <v>161.72678309123555</v>
      </c>
    </row>
    <row r="241" spans="1:9" x14ac:dyDescent="0.25">
      <c r="A241" s="20">
        <f t="shared" si="3"/>
        <v>40514</v>
      </c>
      <c r="B241" s="117" t="s">
        <v>5</v>
      </c>
      <c r="C241">
        <v>640.4</v>
      </c>
      <c r="D241">
        <v>78.8</v>
      </c>
      <c r="E241">
        <v>992.4</v>
      </c>
      <c r="F241">
        <v>560.9</v>
      </c>
      <c r="G241" s="4">
        <f t="shared" si="33"/>
        <v>1632.8</v>
      </c>
      <c r="H241" s="35">
        <f t="shared" si="34"/>
        <v>639.69999999999993</v>
      </c>
      <c r="I241" s="30">
        <f t="shared" si="35"/>
        <v>155.24464592777866</v>
      </c>
    </row>
    <row r="242" spans="1:9" x14ac:dyDescent="0.25">
      <c r="A242" s="20">
        <f t="shared" si="3"/>
        <v>40521</v>
      </c>
      <c r="B242" s="117" t="s">
        <v>5</v>
      </c>
      <c r="C242">
        <v>640.4</v>
      </c>
      <c r="D242">
        <v>258.8</v>
      </c>
      <c r="E242">
        <v>992.4</v>
      </c>
      <c r="F242">
        <v>560.9</v>
      </c>
      <c r="G242" s="4">
        <f t="shared" si="33"/>
        <v>1632.8</v>
      </c>
      <c r="H242" s="35">
        <f t="shared" si="34"/>
        <v>819.7</v>
      </c>
      <c r="I242" s="30">
        <f t="shared" si="35"/>
        <v>99.194827375869195</v>
      </c>
    </row>
    <row r="243" spans="1:9" x14ac:dyDescent="0.25">
      <c r="A243" s="20">
        <f t="shared" si="3"/>
        <v>40528</v>
      </c>
      <c r="B243" s="117" t="s">
        <v>5</v>
      </c>
      <c r="C243">
        <v>559.1</v>
      </c>
      <c r="D243">
        <v>318.8</v>
      </c>
      <c r="E243">
        <v>1073.7</v>
      </c>
      <c r="F243">
        <v>560.9</v>
      </c>
      <c r="G243" s="4">
        <f t="shared" si="33"/>
        <v>1632.8000000000002</v>
      </c>
      <c r="H243" s="35">
        <f t="shared" si="34"/>
        <v>879.7</v>
      </c>
      <c r="I243" s="30">
        <f t="shared" si="35"/>
        <v>85.608730248948504</v>
      </c>
    </row>
    <row r="244" spans="1:9" x14ac:dyDescent="0.25">
      <c r="A244" s="20">
        <f t="shared" si="3"/>
        <v>40535</v>
      </c>
      <c r="B244" s="117" t="s">
        <v>5</v>
      </c>
      <c r="C244">
        <v>619.1</v>
      </c>
      <c r="D244">
        <v>318.8</v>
      </c>
      <c r="E244">
        <v>1138.5</v>
      </c>
      <c r="F244">
        <v>560.9</v>
      </c>
      <c r="G244" s="4">
        <f t="shared" si="33"/>
        <v>1757.6</v>
      </c>
      <c r="H244" s="35">
        <f t="shared" si="34"/>
        <v>879.7</v>
      </c>
      <c r="I244" s="30">
        <f t="shared" si="35"/>
        <v>99.795384790269395</v>
      </c>
    </row>
    <row r="245" spans="1:9" x14ac:dyDescent="0.25">
      <c r="A245" s="20">
        <f t="shared" si="3"/>
        <v>40542</v>
      </c>
      <c r="B245" s="117" t="s">
        <v>5</v>
      </c>
      <c r="C245">
        <v>552.20000000000005</v>
      </c>
      <c r="D245">
        <v>311.60000000000002</v>
      </c>
      <c r="E245">
        <v>1236.7</v>
      </c>
      <c r="F245">
        <v>570.79999999999995</v>
      </c>
      <c r="G245" s="4">
        <f t="shared" si="33"/>
        <v>1788.9</v>
      </c>
      <c r="H245" s="35">
        <f t="shared" si="34"/>
        <v>882.4</v>
      </c>
      <c r="I245" s="30">
        <f t="shared" si="35"/>
        <v>102.73118766999096</v>
      </c>
    </row>
    <row r="246" spans="1:9" x14ac:dyDescent="0.25">
      <c r="A246" s="20">
        <f t="shared" si="3"/>
        <v>40549</v>
      </c>
      <c r="B246" s="117" t="s">
        <v>5</v>
      </c>
      <c r="C246">
        <v>552.20000000000005</v>
      </c>
      <c r="D246">
        <v>240</v>
      </c>
      <c r="E246">
        <v>1236.7</v>
      </c>
      <c r="F246">
        <v>589.79999999999995</v>
      </c>
      <c r="G246" s="4">
        <f t="shared" si="33"/>
        <v>1788.9</v>
      </c>
      <c r="H246" s="35">
        <f t="shared" si="34"/>
        <v>829.8</v>
      </c>
      <c r="I246" s="30">
        <f t="shared" si="35"/>
        <v>115.58206796818511</v>
      </c>
    </row>
    <row r="247" spans="1:9" x14ac:dyDescent="0.25">
      <c r="A247" s="20">
        <f t="shared" si="3"/>
        <v>40556</v>
      </c>
      <c r="B247" s="117" t="s">
        <v>5</v>
      </c>
      <c r="C247">
        <v>597.20000000000005</v>
      </c>
      <c r="D247">
        <v>360</v>
      </c>
      <c r="E247">
        <v>1236.7</v>
      </c>
      <c r="F247">
        <v>619.6</v>
      </c>
      <c r="G247" s="4">
        <f t="shared" si="33"/>
        <v>1833.9</v>
      </c>
      <c r="H247" s="35">
        <f t="shared" si="34"/>
        <v>979.6</v>
      </c>
      <c r="I247" s="30">
        <f t="shared" si="35"/>
        <v>87.209064924458971</v>
      </c>
    </row>
    <row r="248" spans="1:9" x14ac:dyDescent="0.25">
      <c r="A248" s="20">
        <f t="shared" si="3"/>
        <v>40563</v>
      </c>
      <c r="B248" s="117" t="s">
        <v>5</v>
      </c>
      <c r="C248">
        <v>616.4</v>
      </c>
      <c r="D248">
        <v>420</v>
      </c>
      <c r="E248">
        <v>1253.5</v>
      </c>
      <c r="F248">
        <v>669.8</v>
      </c>
      <c r="G248" s="4">
        <f t="shared" si="33"/>
        <v>1869.9</v>
      </c>
      <c r="H248" s="35">
        <f t="shared" ref="H248:H266" si="36">+D248+F248</f>
        <v>1089.8</v>
      </c>
      <c r="I248" s="30">
        <f t="shared" si="35"/>
        <v>71.58194164066802</v>
      </c>
    </row>
    <row r="249" spans="1:9" x14ac:dyDescent="0.25">
      <c r="A249" s="20">
        <f t="shared" si="3"/>
        <v>40570</v>
      </c>
      <c r="B249" s="117" t="s">
        <v>5</v>
      </c>
      <c r="C249">
        <v>569.20000000000005</v>
      </c>
      <c r="D249">
        <v>337.3</v>
      </c>
      <c r="E249">
        <v>1425.5</v>
      </c>
      <c r="F249">
        <v>784.7</v>
      </c>
      <c r="G249" s="4">
        <f t="shared" si="33"/>
        <v>1994.7</v>
      </c>
      <c r="H249" s="35">
        <f t="shared" si="36"/>
        <v>1122</v>
      </c>
      <c r="I249" s="30">
        <f t="shared" si="35"/>
        <v>77.780748663101605</v>
      </c>
    </row>
    <row r="250" spans="1:9" x14ac:dyDescent="0.25">
      <c r="A250" s="20">
        <f t="shared" si="3"/>
        <v>40577</v>
      </c>
      <c r="B250" s="117" t="s">
        <v>5</v>
      </c>
      <c r="C250">
        <v>532</v>
      </c>
      <c r="D250">
        <v>309.3</v>
      </c>
      <c r="E250">
        <v>1542.7</v>
      </c>
      <c r="F250">
        <v>812.7</v>
      </c>
      <c r="G250" s="4">
        <f t="shared" si="33"/>
        <v>2074.6999999999998</v>
      </c>
      <c r="H250" s="35">
        <f t="shared" si="36"/>
        <v>1122</v>
      </c>
      <c r="I250" s="30">
        <f t="shared" si="35"/>
        <v>84.910873440285187</v>
      </c>
    </row>
    <row r="251" spans="1:9" x14ac:dyDescent="0.25">
      <c r="A251" s="20">
        <f t="shared" si="3"/>
        <v>40584</v>
      </c>
      <c r="B251" s="117" t="s">
        <v>5</v>
      </c>
      <c r="C251">
        <v>532</v>
      </c>
      <c r="D251">
        <v>366.6</v>
      </c>
      <c r="E251">
        <v>1575.6</v>
      </c>
      <c r="F251">
        <v>821.4</v>
      </c>
      <c r="G251" s="4">
        <f t="shared" si="33"/>
        <v>2107.6</v>
      </c>
      <c r="H251" s="35">
        <f t="shared" si="36"/>
        <v>1188</v>
      </c>
      <c r="I251" s="30">
        <f t="shared" ref="I251:I266" si="37">+(G251/H251-1)*100</f>
        <v>77.407407407407391</v>
      </c>
    </row>
    <row r="252" spans="1:9" x14ac:dyDescent="0.25">
      <c r="A252" s="20">
        <f t="shared" si="3"/>
        <v>40591</v>
      </c>
      <c r="B252" s="117" t="s">
        <v>5</v>
      </c>
      <c r="C252">
        <v>652</v>
      </c>
      <c r="D252">
        <v>366.6</v>
      </c>
      <c r="E252">
        <v>1575.6</v>
      </c>
      <c r="F252">
        <v>884.7</v>
      </c>
      <c r="G252" s="4">
        <f t="shared" si="33"/>
        <v>2227.6</v>
      </c>
      <c r="H252" s="35">
        <f t="shared" si="36"/>
        <v>1251.3000000000002</v>
      </c>
      <c r="I252" s="30">
        <f t="shared" si="37"/>
        <v>78.022856229521281</v>
      </c>
    </row>
    <row r="253" spans="1:9" x14ac:dyDescent="0.25">
      <c r="A253" s="20">
        <f t="shared" si="3"/>
        <v>40598</v>
      </c>
      <c r="B253" s="117" t="s">
        <v>5</v>
      </c>
      <c r="C253">
        <v>609.4</v>
      </c>
      <c r="D253">
        <v>366.6</v>
      </c>
      <c r="E253">
        <v>1575.6</v>
      </c>
      <c r="F253">
        <v>884.7</v>
      </c>
      <c r="G253" s="4">
        <f t="shared" si="33"/>
        <v>2185</v>
      </c>
      <c r="H253" s="35">
        <f t="shared" si="36"/>
        <v>1251.3000000000002</v>
      </c>
      <c r="I253" s="30">
        <f t="shared" si="37"/>
        <v>74.618396867258014</v>
      </c>
    </row>
    <row r="254" spans="1:9" x14ac:dyDescent="0.25">
      <c r="A254" s="20">
        <f t="shared" ref="A254:A317" si="38">+A253+7</f>
        <v>40605</v>
      </c>
      <c r="B254" s="117" t="s">
        <v>5</v>
      </c>
      <c r="C254">
        <v>578.9</v>
      </c>
      <c r="D254">
        <v>384.6</v>
      </c>
      <c r="E254">
        <v>1727.6</v>
      </c>
      <c r="F254">
        <v>976.4</v>
      </c>
      <c r="G254" s="4">
        <f t="shared" si="33"/>
        <v>2306.5</v>
      </c>
      <c r="H254" s="35">
        <f t="shared" si="36"/>
        <v>1361</v>
      </c>
      <c r="I254" s="30">
        <f t="shared" si="37"/>
        <v>69.470977222630424</v>
      </c>
    </row>
    <row r="255" spans="1:9" x14ac:dyDescent="0.25">
      <c r="A255" s="20">
        <f t="shared" si="38"/>
        <v>40612</v>
      </c>
      <c r="B255" s="117" t="s">
        <v>5</v>
      </c>
      <c r="C255">
        <v>542</v>
      </c>
      <c r="D255">
        <v>324.60000000000002</v>
      </c>
      <c r="E255">
        <v>1863.5</v>
      </c>
      <c r="F255">
        <v>1001.5</v>
      </c>
      <c r="G255" s="4">
        <f t="shared" si="33"/>
        <v>2405.5</v>
      </c>
      <c r="H255" s="35">
        <f t="shared" si="36"/>
        <v>1326.1</v>
      </c>
      <c r="I255" s="30">
        <f t="shared" si="37"/>
        <v>81.396576427117125</v>
      </c>
    </row>
    <row r="256" spans="1:9" x14ac:dyDescent="0.25">
      <c r="A256" s="20">
        <f t="shared" si="38"/>
        <v>40619</v>
      </c>
      <c r="B256" s="117" t="s">
        <v>5</v>
      </c>
      <c r="C256">
        <v>542</v>
      </c>
      <c r="D256">
        <v>223</v>
      </c>
      <c r="E256">
        <v>1863.5</v>
      </c>
      <c r="F256">
        <v>1109.0999999999999</v>
      </c>
      <c r="G256" s="4">
        <f t="shared" si="33"/>
        <v>2405.5</v>
      </c>
      <c r="H256" s="35">
        <f t="shared" si="36"/>
        <v>1332.1</v>
      </c>
      <c r="I256" s="30">
        <f t="shared" si="37"/>
        <v>80.579536070865572</v>
      </c>
    </row>
    <row r="257" spans="1:10" x14ac:dyDescent="0.25">
      <c r="A257" s="20">
        <f t="shared" si="38"/>
        <v>40626</v>
      </c>
      <c r="B257" s="117" t="s">
        <v>5</v>
      </c>
      <c r="C257">
        <v>493.9</v>
      </c>
      <c r="D257">
        <v>170.5</v>
      </c>
      <c r="E257">
        <v>1971.6</v>
      </c>
      <c r="F257">
        <v>1212.2</v>
      </c>
      <c r="G257" s="4">
        <f t="shared" si="33"/>
        <v>2465.5</v>
      </c>
      <c r="H257" s="35">
        <f t="shared" si="36"/>
        <v>1382.7</v>
      </c>
      <c r="I257" s="30">
        <f t="shared" si="37"/>
        <v>78.310551818905026</v>
      </c>
    </row>
    <row r="258" spans="1:10" x14ac:dyDescent="0.25">
      <c r="A258" s="20">
        <f t="shared" si="38"/>
        <v>40633</v>
      </c>
      <c r="B258" s="117" t="s">
        <v>5</v>
      </c>
      <c r="C258">
        <v>374</v>
      </c>
      <c r="D258">
        <v>290.5</v>
      </c>
      <c r="E258">
        <v>2036.2</v>
      </c>
      <c r="F258">
        <v>1212.2</v>
      </c>
      <c r="G258" s="4">
        <f t="shared" si="33"/>
        <v>2410.1999999999998</v>
      </c>
      <c r="H258" s="35">
        <f t="shared" si="36"/>
        <v>1502.7</v>
      </c>
      <c r="I258" s="30">
        <f t="shared" si="37"/>
        <v>60.391295667797948</v>
      </c>
      <c r="J258">
        <v>40</v>
      </c>
    </row>
    <row r="259" spans="1:10" x14ac:dyDescent="0.25">
      <c r="A259" s="20">
        <f t="shared" si="38"/>
        <v>40640</v>
      </c>
      <c r="B259" s="117" t="s">
        <v>5</v>
      </c>
      <c r="C259">
        <v>317</v>
      </c>
      <c r="D259">
        <v>264.7</v>
      </c>
      <c r="E259">
        <v>2057.4</v>
      </c>
      <c r="F259">
        <v>1309.5</v>
      </c>
      <c r="G259" s="4">
        <f t="shared" si="33"/>
        <v>2374.4</v>
      </c>
      <c r="H259" s="35">
        <f t="shared" si="36"/>
        <v>1574.2</v>
      </c>
      <c r="I259" s="30">
        <f t="shared" si="37"/>
        <v>50.832168720619997</v>
      </c>
      <c r="J259">
        <v>40</v>
      </c>
    </row>
    <row r="260" spans="1:10" x14ac:dyDescent="0.25">
      <c r="A260" s="20">
        <f t="shared" si="38"/>
        <v>40647</v>
      </c>
      <c r="B260" s="117" t="s">
        <v>5</v>
      </c>
      <c r="C260">
        <v>305.60000000000002</v>
      </c>
      <c r="D260">
        <v>280.39999999999998</v>
      </c>
      <c r="E260">
        <v>2131.1999999999998</v>
      </c>
      <c r="F260">
        <v>1353.8</v>
      </c>
      <c r="G260" s="4">
        <f t="shared" ref="G260:G323" si="39">+C260+E260</f>
        <v>2436.7999999999997</v>
      </c>
      <c r="H260" s="35">
        <f t="shared" si="36"/>
        <v>1634.1999999999998</v>
      </c>
      <c r="I260" s="30">
        <f t="shared" si="37"/>
        <v>49.112715701872474</v>
      </c>
      <c r="J260">
        <v>40</v>
      </c>
    </row>
    <row r="261" spans="1:10" x14ac:dyDescent="0.25">
      <c r="A261" s="20">
        <f t="shared" si="38"/>
        <v>40654</v>
      </c>
      <c r="B261" s="117" t="s">
        <v>5</v>
      </c>
      <c r="C261">
        <v>296.89999999999998</v>
      </c>
      <c r="D261">
        <v>440.4</v>
      </c>
      <c r="E261">
        <v>2139.9</v>
      </c>
      <c r="F261">
        <v>1353.8</v>
      </c>
      <c r="G261" s="4">
        <f t="shared" si="39"/>
        <v>2436.8000000000002</v>
      </c>
      <c r="H261" s="35">
        <f t="shared" si="36"/>
        <v>1794.1999999999998</v>
      </c>
      <c r="I261" s="30">
        <f t="shared" si="37"/>
        <v>35.815405194515691</v>
      </c>
      <c r="J261">
        <v>40</v>
      </c>
    </row>
    <row r="262" spans="1:10" x14ac:dyDescent="0.25">
      <c r="A262" s="20">
        <f t="shared" si="38"/>
        <v>40661</v>
      </c>
      <c r="B262" s="117" t="s">
        <v>5</v>
      </c>
      <c r="C262">
        <v>277.8</v>
      </c>
      <c r="D262">
        <v>520.29999999999995</v>
      </c>
      <c r="E262">
        <v>2159</v>
      </c>
      <c r="F262">
        <v>1391.5</v>
      </c>
      <c r="G262" s="4">
        <f t="shared" si="39"/>
        <v>2436.8000000000002</v>
      </c>
      <c r="H262" s="35">
        <f t="shared" si="36"/>
        <v>1911.8</v>
      </c>
      <c r="I262" s="30">
        <f t="shared" si="37"/>
        <v>27.461031488649446</v>
      </c>
      <c r="J262">
        <v>40</v>
      </c>
    </row>
    <row r="263" spans="1:10" x14ac:dyDescent="0.25">
      <c r="A263" s="20">
        <f t="shared" si="38"/>
        <v>40668</v>
      </c>
      <c r="B263" s="117" t="s">
        <v>5</v>
      </c>
      <c r="C263">
        <v>256.8</v>
      </c>
      <c r="D263">
        <v>509</v>
      </c>
      <c r="E263">
        <v>2249.1</v>
      </c>
      <c r="F263">
        <v>1450.8</v>
      </c>
      <c r="G263" s="4">
        <f t="shared" si="39"/>
        <v>2505.9</v>
      </c>
      <c r="H263" s="35">
        <f t="shared" si="36"/>
        <v>1959.8</v>
      </c>
      <c r="I263" s="30">
        <f t="shared" si="37"/>
        <v>27.86508827431371</v>
      </c>
      <c r="J263">
        <v>40</v>
      </c>
    </row>
    <row r="264" spans="1:10" x14ac:dyDescent="0.25">
      <c r="A264" s="20">
        <f t="shared" si="38"/>
        <v>40675</v>
      </c>
      <c r="B264" s="117" t="s">
        <v>5</v>
      </c>
      <c r="C264">
        <v>316.8</v>
      </c>
      <c r="D264">
        <v>524.79999999999995</v>
      </c>
      <c r="E264">
        <v>2249.1</v>
      </c>
      <c r="F264">
        <v>1532.9</v>
      </c>
      <c r="G264" s="4">
        <f t="shared" si="39"/>
        <v>2565.9</v>
      </c>
      <c r="H264" s="35">
        <f t="shared" si="36"/>
        <v>2057.6999999999998</v>
      </c>
      <c r="I264" s="30">
        <f t="shared" si="37"/>
        <v>24.697477766438269</v>
      </c>
      <c r="J264">
        <v>40</v>
      </c>
    </row>
    <row r="265" spans="1:10" x14ac:dyDescent="0.25">
      <c r="A265" s="20">
        <f t="shared" si="38"/>
        <v>40682</v>
      </c>
      <c r="B265" s="117" t="s">
        <v>5</v>
      </c>
      <c r="C265">
        <v>336.6</v>
      </c>
      <c r="D265">
        <v>425.3</v>
      </c>
      <c r="E265">
        <v>2343.1999999999998</v>
      </c>
      <c r="F265">
        <v>1648.5</v>
      </c>
      <c r="G265" s="4">
        <f t="shared" si="39"/>
        <v>2679.7999999999997</v>
      </c>
      <c r="H265" s="35">
        <f t="shared" si="36"/>
        <v>2073.8000000000002</v>
      </c>
      <c r="I265" s="30">
        <f t="shared" si="37"/>
        <v>29.221718584241472</v>
      </c>
      <c r="J265">
        <v>40</v>
      </c>
    </row>
    <row r="266" spans="1:10" x14ac:dyDescent="0.25">
      <c r="A266" s="20">
        <f t="shared" si="38"/>
        <v>40689</v>
      </c>
      <c r="B266" s="117" t="s">
        <v>5</v>
      </c>
      <c r="C266">
        <v>336.6</v>
      </c>
      <c r="D266">
        <v>425.3</v>
      </c>
      <c r="E266">
        <v>2405.6999999999998</v>
      </c>
      <c r="F266">
        <v>1648.5</v>
      </c>
      <c r="G266" s="4">
        <f t="shared" si="39"/>
        <v>2742.2999999999997</v>
      </c>
      <c r="H266" s="35">
        <f t="shared" si="36"/>
        <v>2073.8000000000002</v>
      </c>
      <c r="I266" s="30">
        <f t="shared" si="37"/>
        <v>32.235509692352181</v>
      </c>
      <c r="J266">
        <v>40</v>
      </c>
    </row>
    <row r="267" spans="1:10" x14ac:dyDescent="0.25">
      <c r="A267" s="20">
        <f t="shared" si="38"/>
        <v>40696</v>
      </c>
      <c r="B267" s="117" t="s">
        <v>5</v>
      </c>
      <c r="C267">
        <v>336.6</v>
      </c>
      <c r="D267">
        <v>549.70000000000005</v>
      </c>
      <c r="E267">
        <v>2405.6999999999998</v>
      </c>
      <c r="F267">
        <v>1659.3</v>
      </c>
      <c r="G267" s="4">
        <f t="shared" si="39"/>
        <v>2742.2999999999997</v>
      </c>
      <c r="H267" s="35">
        <f t="shared" ref="H267:H275" si="40">+D267+F267</f>
        <v>2209</v>
      </c>
      <c r="I267" s="30">
        <f t="shared" ref="I267:I275" si="41">+(G267/H267-1)*100</f>
        <v>24.142145767315526</v>
      </c>
      <c r="J267">
        <v>40</v>
      </c>
    </row>
    <row r="268" spans="1:10" x14ac:dyDescent="0.25">
      <c r="A268" s="20">
        <f t="shared" si="38"/>
        <v>40703</v>
      </c>
      <c r="B268" s="117" t="s">
        <v>5</v>
      </c>
      <c r="C268">
        <v>336.6</v>
      </c>
      <c r="D268">
        <v>579.20000000000005</v>
      </c>
      <c r="E268">
        <v>2405.6999999999998</v>
      </c>
      <c r="F268">
        <v>1756.2</v>
      </c>
      <c r="G268" s="4">
        <f t="shared" si="39"/>
        <v>2742.2999999999997</v>
      </c>
      <c r="H268" s="35">
        <f t="shared" si="40"/>
        <v>2335.4</v>
      </c>
      <c r="I268" s="30">
        <f t="shared" si="41"/>
        <v>17.423139505009821</v>
      </c>
      <c r="J268">
        <v>40</v>
      </c>
    </row>
    <row r="269" spans="1:10" x14ac:dyDescent="0.25">
      <c r="A269" s="20">
        <f t="shared" si="38"/>
        <v>40710</v>
      </c>
      <c r="B269" s="117" t="s">
        <v>5</v>
      </c>
      <c r="C269">
        <v>312.2</v>
      </c>
      <c r="D269">
        <v>713.1</v>
      </c>
      <c r="E269">
        <v>2485.1999999999998</v>
      </c>
      <c r="F269">
        <v>1808.3</v>
      </c>
      <c r="G269" s="4">
        <f t="shared" si="39"/>
        <v>2797.3999999999996</v>
      </c>
      <c r="H269" s="35">
        <f t="shared" si="40"/>
        <v>2521.4</v>
      </c>
      <c r="I269" s="30">
        <f t="shared" si="41"/>
        <v>10.946299674783821</v>
      </c>
      <c r="J269">
        <v>40</v>
      </c>
    </row>
    <row r="270" spans="1:10" x14ac:dyDescent="0.25">
      <c r="A270" s="20">
        <f t="shared" si="38"/>
        <v>40717</v>
      </c>
      <c r="B270" s="117" t="s">
        <v>5</v>
      </c>
      <c r="C270">
        <v>234.4</v>
      </c>
      <c r="D270">
        <v>532.20000000000005</v>
      </c>
      <c r="E270">
        <v>2565.3000000000002</v>
      </c>
      <c r="F270">
        <v>2094.9</v>
      </c>
      <c r="G270" s="4">
        <f t="shared" si="39"/>
        <v>2799.7000000000003</v>
      </c>
      <c r="H270" s="35">
        <f t="shared" si="40"/>
        <v>2627.1000000000004</v>
      </c>
      <c r="I270" s="30">
        <f t="shared" si="41"/>
        <v>6.5699821095504429</v>
      </c>
      <c r="J270">
        <v>40</v>
      </c>
    </row>
    <row r="271" spans="1:10" x14ac:dyDescent="0.25">
      <c r="A271" s="20">
        <f t="shared" si="38"/>
        <v>40724</v>
      </c>
      <c r="B271" s="117" t="s">
        <v>5</v>
      </c>
      <c r="C271">
        <v>216.1</v>
      </c>
      <c r="D271">
        <v>488</v>
      </c>
      <c r="E271">
        <v>2565.3000000000002</v>
      </c>
      <c r="F271">
        <v>2211.1</v>
      </c>
      <c r="G271" s="4">
        <f t="shared" si="39"/>
        <v>2781.4</v>
      </c>
      <c r="H271" s="35">
        <f t="shared" si="40"/>
        <v>2699.1</v>
      </c>
      <c r="I271" s="30">
        <f t="shared" si="41"/>
        <v>3.0491645363269315</v>
      </c>
      <c r="J271">
        <v>40</v>
      </c>
    </row>
    <row r="272" spans="1:10" x14ac:dyDescent="0.25">
      <c r="A272" s="20">
        <f t="shared" si="38"/>
        <v>40731</v>
      </c>
      <c r="B272" s="117" t="s">
        <v>5</v>
      </c>
      <c r="C272">
        <v>336.1</v>
      </c>
      <c r="D272">
        <v>479.6</v>
      </c>
      <c r="E272">
        <v>2674.6</v>
      </c>
      <c r="F272">
        <v>2383.3000000000002</v>
      </c>
      <c r="G272" s="4">
        <f t="shared" si="39"/>
        <v>3010.7</v>
      </c>
      <c r="H272" s="35">
        <f t="shared" si="40"/>
        <v>2862.9</v>
      </c>
      <c r="I272" s="30">
        <f t="shared" si="41"/>
        <v>5.1625973663068869</v>
      </c>
      <c r="J272">
        <v>40</v>
      </c>
    </row>
    <row r="273" spans="1:11" x14ac:dyDescent="0.25">
      <c r="A273" s="20">
        <f t="shared" si="38"/>
        <v>40738</v>
      </c>
      <c r="B273" s="117" t="s">
        <v>5</v>
      </c>
      <c r="C273">
        <v>396.1</v>
      </c>
      <c r="D273">
        <v>523.9</v>
      </c>
      <c r="E273">
        <v>2674.6</v>
      </c>
      <c r="F273">
        <v>2383.3000000000002</v>
      </c>
      <c r="G273" s="4">
        <f t="shared" si="39"/>
        <v>3070.7</v>
      </c>
      <c r="H273" s="35">
        <f t="shared" si="40"/>
        <v>2907.2000000000003</v>
      </c>
      <c r="I273" s="30">
        <f t="shared" si="41"/>
        <v>5.6239680792514957</v>
      </c>
      <c r="J273">
        <v>40</v>
      </c>
    </row>
    <row r="274" spans="1:11" x14ac:dyDescent="0.25">
      <c r="A274" s="20">
        <f t="shared" si="38"/>
        <v>40745</v>
      </c>
      <c r="B274" s="117" t="s">
        <v>5</v>
      </c>
      <c r="C274">
        <v>336.1</v>
      </c>
      <c r="D274">
        <v>444.6</v>
      </c>
      <c r="E274">
        <v>2794</v>
      </c>
      <c r="F274">
        <v>2526.9</v>
      </c>
      <c r="G274" s="4">
        <f t="shared" si="39"/>
        <v>3130.1</v>
      </c>
      <c r="H274" s="35">
        <f t="shared" si="40"/>
        <v>2971.5</v>
      </c>
      <c r="I274" s="30">
        <f t="shared" si="41"/>
        <v>5.337371697795712</v>
      </c>
      <c r="J274">
        <v>40</v>
      </c>
    </row>
    <row r="275" spans="1:11" x14ac:dyDescent="0.25">
      <c r="A275" s="20">
        <f t="shared" si="38"/>
        <v>40752</v>
      </c>
      <c r="B275" s="117" t="s">
        <v>5</v>
      </c>
      <c r="C275">
        <v>307.8</v>
      </c>
      <c r="D275">
        <v>504.6</v>
      </c>
      <c r="E275">
        <v>2823</v>
      </c>
      <c r="F275">
        <v>2587.3000000000002</v>
      </c>
      <c r="G275" s="4">
        <f t="shared" si="39"/>
        <v>3130.8</v>
      </c>
      <c r="H275" s="35">
        <f t="shared" si="40"/>
        <v>3091.9</v>
      </c>
      <c r="I275" s="30">
        <f t="shared" si="41"/>
        <v>1.2581260713477205</v>
      </c>
      <c r="J275">
        <v>40</v>
      </c>
    </row>
    <row r="276" spans="1:11" x14ac:dyDescent="0.25">
      <c r="A276" s="20">
        <f t="shared" si="38"/>
        <v>40759</v>
      </c>
      <c r="B276" s="117" t="s">
        <v>5</v>
      </c>
      <c r="C276">
        <v>246.4</v>
      </c>
      <c r="D276">
        <v>448.5</v>
      </c>
      <c r="E276">
        <v>2884.4</v>
      </c>
      <c r="F276">
        <v>2587.3000000000002</v>
      </c>
      <c r="G276" s="4">
        <f t="shared" si="39"/>
        <v>3130.8</v>
      </c>
      <c r="H276" s="35">
        <f t="shared" ref="H276:H339" si="42">+D276+F276</f>
        <v>3035.8</v>
      </c>
      <c r="I276" s="30">
        <f t="shared" ref="I276:I339" si="43">+(G276/H276-1)*100</f>
        <v>3.1293234073390908</v>
      </c>
      <c r="J276">
        <v>40</v>
      </c>
    </row>
    <row r="277" spans="1:11" x14ac:dyDescent="0.25">
      <c r="A277" s="20">
        <f t="shared" si="38"/>
        <v>40766</v>
      </c>
      <c r="B277" s="117" t="s">
        <v>5</v>
      </c>
      <c r="C277">
        <v>272.3</v>
      </c>
      <c r="D277">
        <v>465</v>
      </c>
      <c r="E277">
        <v>2924.6</v>
      </c>
      <c r="F277">
        <v>2615.1999999999998</v>
      </c>
      <c r="G277" s="4">
        <f t="shared" si="39"/>
        <v>3196.9</v>
      </c>
      <c r="H277" s="35">
        <f t="shared" si="42"/>
        <v>3080.2</v>
      </c>
      <c r="I277" s="30">
        <f t="shared" si="43"/>
        <v>3.7887150185053065</v>
      </c>
      <c r="J277">
        <v>100</v>
      </c>
    </row>
    <row r="278" spans="1:11" x14ac:dyDescent="0.25">
      <c r="A278" s="20">
        <f t="shared" si="38"/>
        <v>40773</v>
      </c>
      <c r="B278" s="117" t="s">
        <v>5</v>
      </c>
      <c r="C278">
        <v>161.6</v>
      </c>
      <c r="D278">
        <v>345</v>
      </c>
      <c r="E278">
        <v>3096.8</v>
      </c>
      <c r="F278">
        <v>2805.5</v>
      </c>
      <c r="G278" s="4">
        <f t="shared" si="39"/>
        <v>3258.4</v>
      </c>
      <c r="H278" s="35">
        <f t="shared" si="42"/>
        <v>3150.5</v>
      </c>
      <c r="I278" s="30">
        <f t="shared" si="43"/>
        <v>3.4248531979050867</v>
      </c>
      <c r="J278">
        <v>100</v>
      </c>
    </row>
    <row r="279" spans="1:11" x14ac:dyDescent="0.25">
      <c r="A279" s="20">
        <f t="shared" si="38"/>
        <v>40780</v>
      </c>
      <c r="B279" s="117" t="s">
        <v>5</v>
      </c>
      <c r="C279">
        <v>148.19999999999999</v>
      </c>
      <c r="D279">
        <v>285</v>
      </c>
      <c r="E279">
        <v>3221.9</v>
      </c>
      <c r="F279">
        <v>2871.5</v>
      </c>
      <c r="G279" s="4">
        <f t="shared" si="39"/>
        <v>3370.1</v>
      </c>
      <c r="H279" s="35">
        <f t="shared" si="42"/>
        <v>3156.5</v>
      </c>
      <c r="I279" s="30">
        <f t="shared" si="43"/>
        <v>6.7669887533660766</v>
      </c>
      <c r="J279">
        <v>100</v>
      </c>
    </row>
    <row r="280" spans="1:11" x14ac:dyDescent="0.25">
      <c r="A280" s="20">
        <f t="shared" si="38"/>
        <v>40787</v>
      </c>
      <c r="B280" s="117" t="s">
        <v>5</v>
      </c>
      <c r="C280" s="59">
        <v>107.3</v>
      </c>
      <c r="D280" s="59">
        <v>1090</v>
      </c>
      <c r="E280" s="59">
        <v>0</v>
      </c>
      <c r="F280" s="59">
        <v>0</v>
      </c>
      <c r="G280" s="34">
        <f t="shared" si="39"/>
        <v>107.3</v>
      </c>
      <c r="H280" s="141">
        <f>+D280+F280</f>
        <v>1090</v>
      </c>
      <c r="I280" s="30">
        <f t="shared" si="43"/>
        <v>-90.155963302752298</v>
      </c>
    </row>
    <row r="281" spans="1:11" x14ac:dyDescent="0.25">
      <c r="A281" s="20">
        <f t="shared" si="38"/>
        <v>40794</v>
      </c>
      <c r="B281" s="117" t="s">
        <v>5</v>
      </c>
      <c r="C281" s="59">
        <v>167.3</v>
      </c>
      <c r="D281" s="59">
        <v>874.7</v>
      </c>
      <c r="E281" s="59">
        <v>64.5</v>
      </c>
      <c r="F281" s="59">
        <v>246.1</v>
      </c>
      <c r="G281" s="34">
        <f t="shared" si="39"/>
        <v>231.8</v>
      </c>
      <c r="H281" s="142">
        <f>+D281+F281</f>
        <v>1120.8</v>
      </c>
      <c r="I281" s="30">
        <f t="shared" si="43"/>
        <v>-79.31834403997145</v>
      </c>
    </row>
    <row r="282" spans="1:11" x14ac:dyDescent="0.25">
      <c r="A282" s="20">
        <f t="shared" si="38"/>
        <v>40801</v>
      </c>
      <c r="B282" s="117" t="s">
        <v>5</v>
      </c>
      <c r="C282" s="59">
        <v>227</v>
      </c>
      <c r="D282" s="59">
        <v>748</v>
      </c>
      <c r="E282" s="59">
        <v>130</v>
      </c>
      <c r="F282" s="59">
        <v>332</v>
      </c>
      <c r="G282" s="34">
        <f t="shared" si="39"/>
        <v>357</v>
      </c>
      <c r="H282" s="142">
        <f>+D282+F282</f>
        <v>1080</v>
      </c>
      <c r="I282" s="30">
        <f t="shared" si="43"/>
        <v>-66.944444444444457</v>
      </c>
    </row>
    <row r="283" spans="1:11" x14ac:dyDescent="0.25">
      <c r="A283" s="20">
        <f t="shared" si="38"/>
        <v>40808</v>
      </c>
      <c r="B283" s="117" t="s">
        <v>5</v>
      </c>
      <c r="C283" s="59">
        <v>160</v>
      </c>
      <c r="D283" s="59">
        <v>705.9</v>
      </c>
      <c r="E283" s="59">
        <v>196.2</v>
      </c>
      <c r="F283" s="59">
        <v>471.7</v>
      </c>
      <c r="G283" s="4">
        <f t="shared" si="39"/>
        <v>356.2</v>
      </c>
      <c r="H283" s="35">
        <f t="shared" si="42"/>
        <v>1177.5999999999999</v>
      </c>
      <c r="I283" s="30">
        <f t="shared" si="43"/>
        <v>-69.752038043478265</v>
      </c>
    </row>
    <row r="284" spans="1:11" x14ac:dyDescent="0.25">
      <c r="A284" s="20">
        <f t="shared" si="38"/>
        <v>40815</v>
      </c>
      <c r="B284" s="117" t="s">
        <v>5</v>
      </c>
      <c r="C284" s="59">
        <v>160</v>
      </c>
      <c r="D284" s="59">
        <v>700.1</v>
      </c>
      <c r="E284" s="59">
        <v>196.2</v>
      </c>
      <c r="F284" s="59">
        <v>505.1</v>
      </c>
      <c r="G284" s="4">
        <f t="shared" si="39"/>
        <v>356.2</v>
      </c>
      <c r="H284" s="35">
        <f t="shared" si="42"/>
        <v>1205.2</v>
      </c>
      <c r="I284" s="30">
        <f t="shared" si="43"/>
        <v>-70.444739462329906</v>
      </c>
    </row>
    <row r="285" spans="1:11" ht="15" x14ac:dyDescent="0.35">
      <c r="A285" s="20">
        <f t="shared" si="38"/>
        <v>40822</v>
      </c>
      <c r="B285" s="117" t="s">
        <v>5</v>
      </c>
      <c r="C285" s="84">
        <v>100</v>
      </c>
      <c r="D285" s="59">
        <v>672.6</v>
      </c>
      <c r="E285" s="59">
        <v>259.2</v>
      </c>
      <c r="F285" s="59">
        <v>597.5</v>
      </c>
      <c r="G285" s="4">
        <f t="shared" si="39"/>
        <v>359.2</v>
      </c>
      <c r="H285" s="35">
        <f t="shared" si="42"/>
        <v>1270.0999999999999</v>
      </c>
      <c r="I285" s="30">
        <f t="shared" si="43"/>
        <v>-71.71876230218092</v>
      </c>
      <c r="J285" s="125"/>
    </row>
    <row r="286" spans="1:11" x14ac:dyDescent="0.25">
      <c r="A286" s="20">
        <f t="shared" si="38"/>
        <v>40829</v>
      </c>
      <c r="B286" s="117" t="s">
        <v>5</v>
      </c>
      <c r="C286" s="59">
        <v>71.599999999999994</v>
      </c>
      <c r="D286" s="59">
        <v>653.9</v>
      </c>
      <c r="E286" s="59">
        <v>287.60000000000002</v>
      </c>
      <c r="F286" s="59">
        <v>639.70000000000005</v>
      </c>
      <c r="G286" s="4">
        <f t="shared" si="39"/>
        <v>359.20000000000005</v>
      </c>
      <c r="H286" s="35">
        <f t="shared" si="42"/>
        <v>1293.5999999999999</v>
      </c>
      <c r="I286" s="30">
        <f t="shared" si="43"/>
        <v>-72.232529375386505</v>
      </c>
    </row>
    <row r="287" spans="1:11" x14ac:dyDescent="0.25">
      <c r="A287" s="20">
        <f t="shared" si="38"/>
        <v>40836</v>
      </c>
      <c r="B287" s="117" t="s">
        <v>5</v>
      </c>
      <c r="C287" s="59">
        <v>40</v>
      </c>
      <c r="D287" s="59">
        <v>653.9</v>
      </c>
      <c r="E287" s="59">
        <v>287.60000000000002</v>
      </c>
      <c r="F287" s="59">
        <v>639.70000000000005</v>
      </c>
      <c r="G287" s="4">
        <f t="shared" si="39"/>
        <v>327.60000000000002</v>
      </c>
      <c r="H287" s="35">
        <f t="shared" si="42"/>
        <v>1293.5999999999999</v>
      </c>
      <c r="I287" s="30">
        <f t="shared" si="43"/>
        <v>-74.675324675324674</v>
      </c>
    </row>
    <row r="288" spans="1:11" x14ac:dyDescent="0.25">
      <c r="A288" s="20">
        <f t="shared" si="38"/>
        <v>40843</v>
      </c>
      <c r="B288" s="117" t="s">
        <v>5</v>
      </c>
      <c r="C288" s="59">
        <v>40</v>
      </c>
      <c r="D288" s="59">
        <v>606.29999999999995</v>
      </c>
      <c r="E288" s="59">
        <v>287.60000000000002</v>
      </c>
      <c r="F288" s="59">
        <v>705.8</v>
      </c>
      <c r="G288" s="4">
        <f t="shared" si="39"/>
        <v>327.60000000000002</v>
      </c>
      <c r="H288" s="35">
        <f t="shared" si="42"/>
        <v>1312.1</v>
      </c>
      <c r="I288" s="30">
        <f t="shared" si="43"/>
        <v>-75.032390823870131</v>
      </c>
      <c r="K288" s="125"/>
    </row>
    <row r="289" spans="1:9" x14ac:dyDescent="0.25">
      <c r="A289" s="20">
        <f t="shared" si="38"/>
        <v>40850</v>
      </c>
      <c r="B289" s="117" t="s">
        <v>5</v>
      </c>
      <c r="C289" s="59">
        <v>40</v>
      </c>
      <c r="D289" s="59">
        <v>726.3</v>
      </c>
      <c r="E289" s="59">
        <v>287.60000000000002</v>
      </c>
      <c r="F289" s="59">
        <v>767.1</v>
      </c>
      <c r="G289" s="4">
        <f t="shared" si="39"/>
        <v>327.60000000000002</v>
      </c>
      <c r="H289" s="35">
        <f t="shared" si="42"/>
        <v>1493.4</v>
      </c>
      <c r="I289" s="30">
        <f t="shared" si="43"/>
        <v>-78.06347930895943</v>
      </c>
    </row>
    <row r="290" spans="1:9" x14ac:dyDescent="0.25">
      <c r="A290" s="20">
        <f t="shared" si="38"/>
        <v>40857</v>
      </c>
      <c r="B290" s="117" t="s">
        <v>5</v>
      </c>
      <c r="C290" s="59">
        <v>40</v>
      </c>
      <c r="D290" s="59">
        <v>656.5</v>
      </c>
      <c r="E290" s="59">
        <v>287.60000000000002</v>
      </c>
      <c r="F290" s="59">
        <v>767.1</v>
      </c>
      <c r="G290" s="4">
        <f t="shared" si="39"/>
        <v>327.60000000000002</v>
      </c>
      <c r="H290" s="35">
        <f t="shared" si="42"/>
        <v>1423.6</v>
      </c>
      <c r="I290" s="30">
        <f t="shared" si="43"/>
        <v>-76.987917954481588</v>
      </c>
    </row>
    <row r="291" spans="1:9" x14ac:dyDescent="0.25">
      <c r="A291" s="20">
        <f t="shared" si="38"/>
        <v>40864</v>
      </c>
      <c r="B291" s="117" t="s">
        <v>5</v>
      </c>
      <c r="C291" s="59">
        <v>40</v>
      </c>
      <c r="D291" s="59">
        <v>715.2</v>
      </c>
      <c r="E291" s="59">
        <v>287.60000000000002</v>
      </c>
      <c r="F291" s="59">
        <v>822.4</v>
      </c>
      <c r="G291" s="4">
        <f t="shared" si="39"/>
        <v>327.60000000000002</v>
      </c>
      <c r="H291" s="35">
        <f t="shared" si="42"/>
        <v>1537.6</v>
      </c>
      <c r="I291" s="30">
        <f t="shared" si="43"/>
        <v>-78.694068678459942</v>
      </c>
    </row>
    <row r="292" spans="1:9" x14ac:dyDescent="0.25">
      <c r="A292" s="20">
        <f t="shared" si="38"/>
        <v>40871</v>
      </c>
      <c r="B292" s="117" t="s">
        <v>5</v>
      </c>
      <c r="C292" s="59">
        <v>40</v>
      </c>
      <c r="D292" s="59">
        <v>672.9</v>
      </c>
      <c r="E292" s="59">
        <v>287.60000000000002</v>
      </c>
      <c r="F292" s="59">
        <v>930.7</v>
      </c>
      <c r="G292" s="4">
        <f t="shared" si="39"/>
        <v>327.60000000000002</v>
      </c>
      <c r="H292" s="35">
        <f t="shared" si="42"/>
        <v>1603.6</v>
      </c>
      <c r="I292" s="30">
        <f t="shared" si="43"/>
        <v>-79.570965328011965</v>
      </c>
    </row>
    <row r="293" spans="1:9" x14ac:dyDescent="0.25">
      <c r="A293" s="20">
        <f t="shared" si="38"/>
        <v>40878</v>
      </c>
      <c r="B293" s="117" t="s">
        <v>5</v>
      </c>
      <c r="C293" s="59">
        <v>40</v>
      </c>
      <c r="D293" s="59">
        <v>640.4</v>
      </c>
      <c r="E293" s="59">
        <v>287.60000000000002</v>
      </c>
      <c r="F293" s="59">
        <v>992.4</v>
      </c>
      <c r="G293" s="4">
        <f t="shared" si="39"/>
        <v>327.60000000000002</v>
      </c>
      <c r="H293" s="35">
        <f t="shared" si="42"/>
        <v>1632.8</v>
      </c>
      <c r="I293" s="30">
        <f t="shared" si="43"/>
        <v>-79.936305732484072</v>
      </c>
    </row>
    <row r="294" spans="1:9" x14ac:dyDescent="0.25">
      <c r="A294" s="20">
        <f t="shared" si="38"/>
        <v>40885</v>
      </c>
      <c r="B294" s="117" t="s">
        <v>5</v>
      </c>
      <c r="C294" s="59">
        <v>40</v>
      </c>
      <c r="D294" s="59">
        <v>640.4</v>
      </c>
      <c r="E294" s="59">
        <v>287.60000000000002</v>
      </c>
      <c r="F294" s="59">
        <v>992.4</v>
      </c>
      <c r="G294" s="4">
        <f t="shared" si="39"/>
        <v>327.60000000000002</v>
      </c>
      <c r="H294" s="35">
        <f t="shared" si="42"/>
        <v>1632.8</v>
      </c>
      <c r="I294" s="30">
        <f t="shared" si="43"/>
        <v>-79.936305732484072</v>
      </c>
    </row>
    <row r="295" spans="1:9" x14ac:dyDescent="0.25">
      <c r="A295" s="20">
        <f t="shared" si="38"/>
        <v>40892</v>
      </c>
      <c r="B295" s="117" t="s">
        <v>5</v>
      </c>
      <c r="C295">
        <v>40</v>
      </c>
      <c r="D295">
        <v>559.1</v>
      </c>
      <c r="E295">
        <v>287.60000000000002</v>
      </c>
      <c r="F295">
        <v>1073.7</v>
      </c>
      <c r="G295" s="4">
        <f t="shared" si="39"/>
        <v>327.60000000000002</v>
      </c>
      <c r="H295" s="35">
        <f t="shared" si="42"/>
        <v>1632.8000000000002</v>
      </c>
      <c r="I295" s="30">
        <f t="shared" si="43"/>
        <v>-79.936305732484087</v>
      </c>
    </row>
    <row r="296" spans="1:9" x14ac:dyDescent="0.25">
      <c r="A296" s="20">
        <f t="shared" si="38"/>
        <v>40899</v>
      </c>
      <c r="B296" s="117" t="s">
        <v>5</v>
      </c>
      <c r="C296">
        <v>40</v>
      </c>
      <c r="D296">
        <v>619.1</v>
      </c>
      <c r="E296">
        <v>287.60000000000002</v>
      </c>
      <c r="F296">
        <v>1138.5</v>
      </c>
      <c r="G296" s="4">
        <f t="shared" si="39"/>
        <v>327.60000000000002</v>
      </c>
      <c r="H296" s="35">
        <f t="shared" si="42"/>
        <v>1757.6</v>
      </c>
      <c r="I296" s="30">
        <f t="shared" si="43"/>
        <v>-81.360946745562117</v>
      </c>
    </row>
    <row r="297" spans="1:9" x14ac:dyDescent="0.25">
      <c r="A297" s="20">
        <f t="shared" si="38"/>
        <v>40906</v>
      </c>
      <c r="B297" s="117" t="s">
        <v>5</v>
      </c>
      <c r="C297">
        <v>60</v>
      </c>
      <c r="D297">
        <v>552.20000000000005</v>
      </c>
      <c r="E297">
        <v>287.60000000000002</v>
      </c>
      <c r="F297">
        <v>1236.7</v>
      </c>
      <c r="G297" s="4">
        <f t="shared" si="39"/>
        <v>347.6</v>
      </c>
      <c r="H297" s="35">
        <f t="shared" si="42"/>
        <v>1788.9</v>
      </c>
      <c r="I297" s="30">
        <f t="shared" si="43"/>
        <v>-80.569064788417464</v>
      </c>
    </row>
    <row r="298" spans="1:9" x14ac:dyDescent="0.25">
      <c r="A298" s="20">
        <f t="shared" si="38"/>
        <v>40913</v>
      </c>
      <c r="B298" s="117" t="s">
        <v>5</v>
      </c>
      <c r="C298">
        <v>60</v>
      </c>
      <c r="D298">
        <v>552.20000000000005</v>
      </c>
      <c r="E298">
        <v>287.60000000000002</v>
      </c>
      <c r="F298">
        <v>1236.7</v>
      </c>
      <c r="G298" s="4">
        <f t="shared" si="39"/>
        <v>347.6</v>
      </c>
      <c r="H298" s="35">
        <f t="shared" si="42"/>
        <v>1788.9</v>
      </c>
      <c r="I298" s="30">
        <f t="shared" si="43"/>
        <v>-80.569064788417464</v>
      </c>
    </row>
    <row r="299" spans="1:9" x14ac:dyDescent="0.25">
      <c r="A299" s="20">
        <f t="shared" si="38"/>
        <v>40920</v>
      </c>
      <c r="B299" s="117" t="s">
        <v>5</v>
      </c>
      <c r="C299">
        <v>60</v>
      </c>
      <c r="D299">
        <v>597.20000000000005</v>
      </c>
      <c r="E299">
        <v>287.60000000000002</v>
      </c>
      <c r="F299">
        <v>1236.7</v>
      </c>
      <c r="G299" s="4">
        <f t="shared" si="39"/>
        <v>347.6</v>
      </c>
      <c r="H299" s="35">
        <f t="shared" si="42"/>
        <v>1833.9</v>
      </c>
      <c r="I299" s="30">
        <f t="shared" si="43"/>
        <v>-81.045858552810941</v>
      </c>
    </row>
    <row r="300" spans="1:9" x14ac:dyDescent="0.25">
      <c r="A300" s="20">
        <f t="shared" si="38"/>
        <v>40927</v>
      </c>
      <c r="B300" s="117" t="s">
        <v>5</v>
      </c>
      <c r="C300">
        <v>180</v>
      </c>
      <c r="D300">
        <v>616.4</v>
      </c>
      <c r="E300">
        <v>287.60000000000002</v>
      </c>
      <c r="F300">
        <v>1253.5</v>
      </c>
      <c r="G300" s="4">
        <f t="shared" si="39"/>
        <v>467.6</v>
      </c>
      <c r="H300" s="35">
        <f t="shared" si="42"/>
        <v>1869.9</v>
      </c>
      <c r="I300" s="30">
        <f t="shared" si="43"/>
        <v>-74.993315150542813</v>
      </c>
    </row>
    <row r="301" spans="1:9" x14ac:dyDescent="0.25">
      <c r="A301" s="20">
        <f t="shared" si="38"/>
        <v>40934</v>
      </c>
      <c r="B301" s="117" t="s">
        <v>5</v>
      </c>
      <c r="C301">
        <v>161.80000000000001</v>
      </c>
      <c r="D301">
        <v>569.20000000000005</v>
      </c>
      <c r="E301">
        <v>305.8</v>
      </c>
      <c r="F301">
        <v>1425.5</v>
      </c>
      <c r="G301" s="4">
        <f t="shared" si="39"/>
        <v>467.6</v>
      </c>
      <c r="H301" s="35">
        <f t="shared" si="42"/>
        <v>1994.7</v>
      </c>
      <c r="I301" s="30">
        <f t="shared" si="43"/>
        <v>-76.557878377700902</v>
      </c>
    </row>
    <row r="302" spans="1:9" x14ac:dyDescent="0.25">
      <c r="A302" s="20">
        <f t="shared" si="38"/>
        <v>40941</v>
      </c>
      <c r="B302" s="117" t="s">
        <v>5</v>
      </c>
      <c r="C302">
        <v>140.5</v>
      </c>
      <c r="D302">
        <v>532</v>
      </c>
      <c r="E302">
        <v>327.10000000000002</v>
      </c>
      <c r="F302">
        <v>1542.7</v>
      </c>
      <c r="G302" s="4">
        <f t="shared" si="39"/>
        <v>467.6</v>
      </c>
      <c r="H302" s="35">
        <f t="shared" si="42"/>
        <v>2074.6999999999998</v>
      </c>
      <c r="I302" s="30">
        <f t="shared" si="43"/>
        <v>-77.461801706270776</v>
      </c>
    </row>
    <row r="303" spans="1:9" x14ac:dyDescent="0.25">
      <c r="A303" s="20">
        <f t="shared" si="38"/>
        <v>40948</v>
      </c>
      <c r="B303" s="117" t="s">
        <v>5</v>
      </c>
      <c r="C303">
        <v>380.5</v>
      </c>
      <c r="D303">
        <v>532</v>
      </c>
      <c r="E303">
        <v>327.10000000000002</v>
      </c>
      <c r="F303">
        <v>1575.6</v>
      </c>
      <c r="G303" s="4">
        <f t="shared" si="39"/>
        <v>707.6</v>
      </c>
      <c r="H303" s="35">
        <f t="shared" si="42"/>
        <v>2107.6</v>
      </c>
      <c r="I303" s="30">
        <f t="shared" si="43"/>
        <v>-66.426266843803376</v>
      </c>
    </row>
    <row r="304" spans="1:9" x14ac:dyDescent="0.25">
      <c r="A304" s="20">
        <f t="shared" si="38"/>
        <v>40955</v>
      </c>
      <c r="B304" s="117" t="s">
        <v>5</v>
      </c>
      <c r="C304">
        <v>380.5</v>
      </c>
      <c r="D304">
        <v>652</v>
      </c>
      <c r="E304">
        <v>327.10000000000002</v>
      </c>
      <c r="F304">
        <v>1575.6</v>
      </c>
      <c r="G304" s="4">
        <f t="shared" si="39"/>
        <v>707.6</v>
      </c>
      <c r="H304" s="35">
        <f t="shared" si="42"/>
        <v>2227.6</v>
      </c>
      <c r="I304" s="30">
        <f t="shared" si="43"/>
        <v>-68.2348716107021</v>
      </c>
    </row>
    <row r="305" spans="1:9" x14ac:dyDescent="0.25">
      <c r="A305" s="20">
        <f t="shared" si="38"/>
        <v>40962</v>
      </c>
      <c r="B305" s="117" t="s">
        <v>5</v>
      </c>
      <c r="C305">
        <v>380.5</v>
      </c>
      <c r="D305">
        <v>609.4</v>
      </c>
      <c r="E305">
        <v>327.10000000000002</v>
      </c>
      <c r="F305">
        <v>1575.6</v>
      </c>
      <c r="G305" s="4">
        <f t="shared" si="39"/>
        <v>707.6</v>
      </c>
      <c r="H305" s="35">
        <f t="shared" si="42"/>
        <v>2185</v>
      </c>
      <c r="I305" s="30">
        <f t="shared" si="43"/>
        <v>-67.615560640732269</v>
      </c>
    </row>
    <row r="306" spans="1:9" x14ac:dyDescent="0.25">
      <c r="A306" s="20">
        <f t="shared" si="38"/>
        <v>40969</v>
      </c>
      <c r="B306" s="117" t="s">
        <v>5</v>
      </c>
      <c r="C306">
        <v>360</v>
      </c>
      <c r="D306">
        <v>578.9</v>
      </c>
      <c r="E306">
        <v>350.1</v>
      </c>
      <c r="F306">
        <v>1727.6</v>
      </c>
      <c r="G306" s="4">
        <f t="shared" si="39"/>
        <v>710.1</v>
      </c>
      <c r="H306" s="35">
        <f t="shared" si="42"/>
        <v>2306.5</v>
      </c>
      <c r="I306" s="30">
        <f t="shared" si="43"/>
        <v>-69.213093431606325</v>
      </c>
    </row>
    <row r="307" spans="1:9" x14ac:dyDescent="0.25">
      <c r="A307" s="20">
        <f t="shared" si="38"/>
        <v>40976</v>
      </c>
      <c r="B307" s="117" t="s">
        <v>5</v>
      </c>
      <c r="C307">
        <v>314.5</v>
      </c>
      <c r="D307">
        <v>542</v>
      </c>
      <c r="E307">
        <v>395.6</v>
      </c>
      <c r="F307">
        <v>1863.5</v>
      </c>
      <c r="G307" s="4">
        <f t="shared" si="39"/>
        <v>710.1</v>
      </c>
      <c r="H307" s="35">
        <f t="shared" si="42"/>
        <v>2405.5</v>
      </c>
      <c r="I307" s="30">
        <f t="shared" si="43"/>
        <v>-70.480149657035952</v>
      </c>
    </row>
    <row r="308" spans="1:9" x14ac:dyDescent="0.25">
      <c r="A308" s="20">
        <f t="shared" si="38"/>
        <v>40983</v>
      </c>
      <c r="B308" s="117" t="s">
        <v>5</v>
      </c>
      <c r="C308">
        <v>300</v>
      </c>
      <c r="D308">
        <v>542</v>
      </c>
      <c r="E308">
        <v>413.8</v>
      </c>
      <c r="F308">
        <v>1863.5</v>
      </c>
      <c r="G308" s="4">
        <f t="shared" si="39"/>
        <v>713.8</v>
      </c>
      <c r="H308" s="35">
        <f t="shared" si="42"/>
        <v>2405.5</v>
      </c>
      <c r="I308" s="30">
        <f t="shared" si="43"/>
        <v>-70.326335481188934</v>
      </c>
    </row>
    <row r="309" spans="1:9" x14ac:dyDescent="0.25">
      <c r="A309" s="20">
        <f t="shared" si="38"/>
        <v>40990</v>
      </c>
      <c r="B309" s="117" t="s">
        <v>5</v>
      </c>
      <c r="C309">
        <v>300</v>
      </c>
      <c r="D309">
        <v>493.9</v>
      </c>
      <c r="E309">
        <v>413.8</v>
      </c>
      <c r="F309">
        <v>1971.6</v>
      </c>
      <c r="G309" s="4">
        <f t="shared" si="39"/>
        <v>713.8</v>
      </c>
      <c r="H309" s="35">
        <f t="shared" si="42"/>
        <v>2465.5</v>
      </c>
      <c r="I309" s="30">
        <f t="shared" si="43"/>
        <v>-71.048468870411682</v>
      </c>
    </row>
    <row r="310" spans="1:9" x14ac:dyDescent="0.25">
      <c r="A310" s="20">
        <f t="shared" si="38"/>
        <v>40997</v>
      </c>
      <c r="B310" s="117" t="s">
        <v>5</v>
      </c>
      <c r="C310">
        <v>300</v>
      </c>
      <c r="D310">
        <v>374</v>
      </c>
      <c r="E310">
        <v>413.8</v>
      </c>
      <c r="F310">
        <v>2036.2</v>
      </c>
      <c r="G310" s="4">
        <f t="shared" si="39"/>
        <v>713.8</v>
      </c>
      <c r="H310" s="35">
        <f t="shared" si="42"/>
        <v>2410.1999999999998</v>
      </c>
      <c r="I310" s="30">
        <f t="shared" si="43"/>
        <v>-70.384200481287863</v>
      </c>
    </row>
    <row r="311" spans="1:9" x14ac:dyDescent="0.25">
      <c r="A311" s="20">
        <f t="shared" si="38"/>
        <v>41004</v>
      </c>
      <c r="B311" s="117" t="s">
        <v>5</v>
      </c>
      <c r="C311">
        <v>300</v>
      </c>
      <c r="D311">
        <v>317</v>
      </c>
      <c r="E311">
        <v>413.8</v>
      </c>
      <c r="F311">
        <v>2057.4</v>
      </c>
      <c r="G311" s="4">
        <f t="shared" si="39"/>
        <v>713.8</v>
      </c>
      <c r="H311" s="35">
        <f t="shared" si="42"/>
        <v>2374.4</v>
      </c>
      <c r="I311" s="30">
        <f t="shared" si="43"/>
        <v>-69.937668463611871</v>
      </c>
    </row>
    <row r="312" spans="1:9" x14ac:dyDescent="0.25">
      <c r="A312" s="20">
        <f t="shared" si="38"/>
        <v>41011</v>
      </c>
      <c r="B312" s="117" t="s">
        <v>5</v>
      </c>
      <c r="C312">
        <v>258.39999999999998</v>
      </c>
      <c r="D312">
        <v>305.60000000000002</v>
      </c>
      <c r="E312">
        <v>455.3</v>
      </c>
      <c r="F312">
        <v>2131.1999999999998</v>
      </c>
      <c r="G312" s="4">
        <f t="shared" si="39"/>
        <v>713.7</v>
      </c>
      <c r="H312" s="35">
        <f t="shared" si="42"/>
        <v>2436.7999999999997</v>
      </c>
      <c r="I312" s="30">
        <f t="shared" si="43"/>
        <v>-70.711588969139854</v>
      </c>
    </row>
    <row r="313" spans="1:9" x14ac:dyDescent="0.25">
      <c r="A313" s="20">
        <f t="shared" si="38"/>
        <v>41018</v>
      </c>
      <c r="B313" s="117" t="s">
        <v>5</v>
      </c>
      <c r="C313">
        <v>219.3</v>
      </c>
      <c r="D313">
        <v>296.89999999999998</v>
      </c>
      <c r="E313">
        <v>494.4</v>
      </c>
      <c r="F313">
        <v>2139.9</v>
      </c>
      <c r="G313" s="4">
        <f t="shared" si="39"/>
        <v>713.7</v>
      </c>
      <c r="H313" s="35">
        <f t="shared" si="42"/>
        <v>2436.8000000000002</v>
      </c>
      <c r="I313" s="30">
        <f t="shared" si="43"/>
        <v>-70.711588969139854</v>
      </c>
    </row>
    <row r="314" spans="1:9" x14ac:dyDescent="0.25">
      <c r="A314" s="20">
        <f t="shared" si="38"/>
        <v>41025</v>
      </c>
      <c r="B314" s="117" t="s">
        <v>5</v>
      </c>
      <c r="C314">
        <v>219.3</v>
      </c>
      <c r="D314">
        <v>277.8</v>
      </c>
      <c r="E314">
        <v>494.4</v>
      </c>
      <c r="F314">
        <v>2159</v>
      </c>
      <c r="G314" s="4">
        <f t="shared" si="39"/>
        <v>713.7</v>
      </c>
      <c r="H314" s="35">
        <f t="shared" si="42"/>
        <v>2436.8000000000002</v>
      </c>
      <c r="I314" s="30">
        <f t="shared" si="43"/>
        <v>-70.711588969139854</v>
      </c>
    </row>
    <row r="315" spans="1:9" x14ac:dyDescent="0.25">
      <c r="A315" s="20">
        <f t="shared" si="38"/>
        <v>41032</v>
      </c>
      <c r="B315" s="117" t="s">
        <v>5</v>
      </c>
      <c r="C315">
        <v>171.3</v>
      </c>
      <c r="D315">
        <v>256.8</v>
      </c>
      <c r="E315">
        <v>544.9</v>
      </c>
      <c r="F315">
        <v>2249.1</v>
      </c>
      <c r="G315" s="4">
        <f t="shared" si="39"/>
        <v>716.2</v>
      </c>
      <c r="H315" s="35">
        <f t="shared" si="42"/>
        <v>2505.9</v>
      </c>
      <c r="I315" s="30">
        <f t="shared" si="43"/>
        <v>-71.419450097769271</v>
      </c>
    </row>
    <row r="316" spans="1:9" x14ac:dyDescent="0.25">
      <c r="A316" s="20">
        <f t="shared" si="38"/>
        <v>41039</v>
      </c>
      <c r="B316" s="117" t="s">
        <v>5</v>
      </c>
      <c r="C316">
        <v>60</v>
      </c>
      <c r="D316">
        <v>316.8</v>
      </c>
      <c r="E316">
        <v>544.9</v>
      </c>
      <c r="F316">
        <v>2249.1</v>
      </c>
      <c r="G316" s="4">
        <f t="shared" si="39"/>
        <v>604.9</v>
      </c>
      <c r="H316" s="35">
        <f t="shared" si="42"/>
        <v>2565.9</v>
      </c>
      <c r="I316" s="30">
        <f t="shared" si="43"/>
        <v>-76.425425776530659</v>
      </c>
    </row>
    <row r="317" spans="1:9" x14ac:dyDescent="0.25">
      <c r="A317" s="20">
        <f t="shared" si="38"/>
        <v>41046</v>
      </c>
      <c r="B317" s="117" t="s">
        <v>5</v>
      </c>
      <c r="C317">
        <v>0</v>
      </c>
      <c r="D317" s="117">
        <v>336.6</v>
      </c>
      <c r="E317">
        <v>544.9</v>
      </c>
      <c r="F317">
        <v>2343.1999999999998</v>
      </c>
      <c r="G317" s="4">
        <f t="shared" si="39"/>
        <v>544.9</v>
      </c>
      <c r="H317" s="35">
        <f t="shared" si="42"/>
        <v>2679.7999999999997</v>
      </c>
      <c r="I317" s="30">
        <f t="shared" si="43"/>
        <v>-79.666393014404065</v>
      </c>
    </row>
    <row r="318" spans="1:9" x14ac:dyDescent="0.25">
      <c r="A318" s="20">
        <f t="shared" ref="A318:A381" si="44">+A317+7</f>
        <v>41053</v>
      </c>
      <c r="B318" s="117" t="s">
        <v>5</v>
      </c>
      <c r="C318">
        <v>0</v>
      </c>
      <c r="D318">
        <v>336.6</v>
      </c>
      <c r="E318">
        <v>544.9</v>
      </c>
      <c r="F318">
        <v>2405.6999999999998</v>
      </c>
      <c r="G318" s="4">
        <f t="shared" si="39"/>
        <v>544.9</v>
      </c>
      <c r="H318" s="35">
        <f t="shared" si="42"/>
        <v>2742.2999999999997</v>
      </c>
      <c r="I318" s="30">
        <f t="shared" si="43"/>
        <v>-80.129818035955225</v>
      </c>
    </row>
    <row r="319" spans="1:9" x14ac:dyDescent="0.25">
      <c r="A319" s="20">
        <f t="shared" si="44"/>
        <v>41060</v>
      </c>
      <c r="B319" s="117" t="s">
        <v>5</v>
      </c>
      <c r="C319">
        <v>0</v>
      </c>
      <c r="D319">
        <v>336.6</v>
      </c>
      <c r="E319">
        <v>544.9</v>
      </c>
      <c r="F319">
        <v>2405.6999999999998</v>
      </c>
      <c r="G319" s="4">
        <f t="shared" si="39"/>
        <v>544.9</v>
      </c>
      <c r="H319" s="35">
        <f t="shared" si="42"/>
        <v>2742.2999999999997</v>
      </c>
      <c r="I319" s="30">
        <f t="shared" si="43"/>
        <v>-80.129818035955225</v>
      </c>
    </row>
    <row r="320" spans="1:9" x14ac:dyDescent="0.25">
      <c r="A320" s="20">
        <f t="shared" si="44"/>
        <v>41067</v>
      </c>
      <c r="B320" s="117" t="s">
        <v>5</v>
      </c>
      <c r="C320">
        <v>0</v>
      </c>
      <c r="D320">
        <v>336.6</v>
      </c>
      <c r="E320">
        <v>544.9</v>
      </c>
      <c r="F320">
        <v>2405.6999999999998</v>
      </c>
      <c r="G320" s="4">
        <f t="shared" si="39"/>
        <v>544.9</v>
      </c>
      <c r="H320" s="35">
        <f t="shared" si="42"/>
        <v>2742.2999999999997</v>
      </c>
      <c r="I320" s="30">
        <f t="shared" si="43"/>
        <v>-80.129818035955225</v>
      </c>
    </row>
    <row r="321" spans="1:9" x14ac:dyDescent="0.25">
      <c r="A321" s="20">
        <f t="shared" si="44"/>
        <v>41074</v>
      </c>
      <c r="B321" s="117" t="s">
        <v>5</v>
      </c>
      <c r="C321">
        <v>0</v>
      </c>
      <c r="D321">
        <v>312.2</v>
      </c>
      <c r="E321">
        <v>544.9</v>
      </c>
      <c r="F321">
        <v>2485.1999999999998</v>
      </c>
      <c r="G321" s="4">
        <f t="shared" si="39"/>
        <v>544.9</v>
      </c>
      <c r="H321" s="35">
        <f t="shared" si="42"/>
        <v>2797.3999999999996</v>
      </c>
      <c r="I321" s="30">
        <f t="shared" si="43"/>
        <v>-80.521198255522989</v>
      </c>
    </row>
    <row r="322" spans="1:9" x14ac:dyDescent="0.25">
      <c r="A322" s="20">
        <f t="shared" si="44"/>
        <v>41081</v>
      </c>
      <c r="B322" s="117" t="s">
        <v>5</v>
      </c>
      <c r="C322">
        <v>0</v>
      </c>
      <c r="D322">
        <v>234.4</v>
      </c>
      <c r="E322">
        <v>544.9</v>
      </c>
      <c r="F322">
        <v>2565.3000000000002</v>
      </c>
      <c r="G322" s="4">
        <f t="shared" si="39"/>
        <v>544.9</v>
      </c>
      <c r="H322" s="35">
        <f t="shared" si="42"/>
        <v>2799.7000000000003</v>
      </c>
      <c r="I322" s="30">
        <f t="shared" si="43"/>
        <v>-80.537200414330115</v>
      </c>
    </row>
    <row r="323" spans="1:9" x14ac:dyDescent="0.25">
      <c r="A323" s="20">
        <f t="shared" si="44"/>
        <v>41088</v>
      </c>
      <c r="B323" s="117" t="s">
        <v>5</v>
      </c>
      <c r="C323">
        <v>0</v>
      </c>
      <c r="D323">
        <v>216.1</v>
      </c>
      <c r="E323">
        <v>544.9</v>
      </c>
      <c r="F323">
        <v>2565.3000000000002</v>
      </c>
      <c r="G323" s="4">
        <f t="shared" si="39"/>
        <v>544.9</v>
      </c>
      <c r="H323" s="35">
        <f t="shared" si="42"/>
        <v>2781.4</v>
      </c>
      <c r="I323" s="30">
        <f t="shared" si="43"/>
        <v>-80.409146472999211</v>
      </c>
    </row>
    <row r="324" spans="1:9" x14ac:dyDescent="0.25">
      <c r="A324" s="20">
        <f t="shared" si="44"/>
        <v>41095</v>
      </c>
      <c r="B324" s="117" t="s">
        <v>5</v>
      </c>
      <c r="C324">
        <v>0</v>
      </c>
      <c r="D324">
        <v>336.1</v>
      </c>
      <c r="E324">
        <v>544.9</v>
      </c>
      <c r="F324">
        <v>2674.6</v>
      </c>
      <c r="G324" s="4">
        <f t="shared" ref="G324:G387" si="45">+C324+E324</f>
        <v>544.9</v>
      </c>
      <c r="H324" s="35">
        <f t="shared" si="42"/>
        <v>3010.7</v>
      </c>
      <c r="I324" s="30">
        <f t="shared" si="43"/>
        <v>-81.901218985617959</v>
      </c>
    </row>
    <row r="325" spans="1:9" x14ac:dyDescent="0.25">
      <c r="A325" s="20">
        <f t="shared" si="44"/>
        <v>41102</v>
      </c>
      <c r="B325" s="117" t="s">
        <v>5</v>
      </c>
      <c r="C325">
        <v>0</v>
      </c>
      <c r="D325">
        <v>396.1</v>
      </c>
      <c r="E325">
        <v>544.9</v>
      </c>
      <c r="F325">
        <v>2674.6</v>
      </c>
      <c r="G325" s="4">
        <f t="shared" si="45"/>
        <v>544.9</v>
      </c>
      <c r="H325" s="35">
        <f t="shared" si="42"/>
        <v>3070.7</v>
      </c>
      <c r="I325" s="30">
        <f t="shared" si="43"/>
        <v>-82.254860455270787</v>
      </c>
    </row>
    <row r="326" spans="1:9" x14ac:dyDescent="0.25">
      <c r="A326" s="20">
        <f t="shared" si="44"/>
        <v>41109</v>
      </c>
      <c r="B326" s="117" t="s">
        <v>5</v>
      </c>
      <c r="C326">
        <v>0</v>
      </c>
      <c r="D326">
        <v>336.1</v>
      </c>
      <c r="E326">
        <v>544.9</v>
      </c>
      <c r="F326">
        <v>2794</v>
      </c>
      <c r="G326" s="4">
        <f t="shared" si="45"/>
        <v>544.9</v>
      </c>
      <c r="H326" s="35">
        <f t="shared" si="42"/>
        <v>3130.1</v>
      </c>
      <c r="I326" s="30">
        <f t="shared" si="43"/>
        <v>-82.591610491677585</v>
      </c>
    </row>
    <row r="327" spans="1:9" x14ac:dyDescent="0.25">
      <c r="A327" s="20">
        <f t="shared" si="44"/>
        <v>41116</v>
      </c>
      <c r="B327" s="117" t="s">
        <v>5</v>
      </c>
      <c r="C327">
        <v>0</v>
      </c>
      <c r="D327">
        <v>307.8</v>
      </c>
      <c r="E327">
        <v>544.9</v>
      </c>
      <c r="F327">
        <v>2823</v>
      </c>
      <c r="G327" s="4">
        <f t="shared" si="45"/>
        <v>544.9</v>
      </c>
      <c r="H327" s="35">
        <f t="shared" si="42"/>
        <v>3130.8</v>
      </c>
      <c r="I327" s="30">
        <f t="shared" si="43"/>
        <v>-82.595502746901744</v>
      </c>
    </row>
    <row r="328" spans="1:9" x14ac:dyDescent="0.25">
      <c r="A328" s="20">
        <f t="shared" si="44"/>
        <v>41123</v>
      </c>
      <c r="B328" s="117" t="s">
        <v>5</v>
      </c>
      <c r="C328">
        <v>0</v>
      </c>
      <c r="D328">
        <v>246.4</v>
      </c>
      <c r="E328">
        <v>544.9</v>
      </c>
      <c r="F328">
        <v>2884.4</v>
      </c>
      <c r="G328" s="4">
        <f t="shared" si="45"/>
        <v>544.9</v>
      </c>
      <c r="H328" s="35">
        <f t="shared" si="42"/>
        <v>3130.8</v>
      </c>
      <c r="I328" s="30">
        <f t="shared" si="43"/>
        <v>-82.595502746901744</v>
      </c>
    </row>
    <row r="329" spans="1:9" x14ac:dyDescent="0.25">
      <c r="A329" s="20">
        <f t="shared" si="44"/>
        <v>41130</v>
      </c>
      <c r="B329" s="117" t="s">
        <v>5</v>
      </c>
      <c r="C329">
        <v>0</v>
      </c>
      <c r="D329">
        <v>272.3</v>
      </c>
      <c r="E329">
        <v>544.9</v>
      </c>
      <c r="F329">
        <v>2924.6</v>
      </c>
      <c r="G329" s="4">
        <f t="shared" si="45"/>
        <v>544.9</v>
      </c>
      <c r="H329" s="35">
        <f t="shared" si="42"/>
        <v>3196.9</v>
      </c>
      <c r="I329" s="30">
        <f t="shared" si="43"/>
        <v>-82.955363007913917</v>
      </c>
    </row>
    <row r="330" spans="1:9" x14ac:dyDescent="0.25">
      <c r="A330" s="20">
        <f t="shared" si="44"/>
        <v>41137</v>
      </c>
      <c r="B330" s="117" t="s">
        <v>5</v>
      </c>
      <c r="C330">
        <v>0</v>
      </c>
      <c r="D330">
        <v>161.6</v>
      </c>
      <c r="E330">
        <v>544.9</v>
      </c>
      <c r="F330">
        <v>3096.8</v>
      </c>
      <c r="G330" s="4">
        <f t="shared" si="45"/>
        <v>544.9</v>
      </c>
      <c r="H330" s="35">
        <f t="shared" si="42"/>
        <v>3258.4</v>
      </c>
      <c r="I330" s="30">
        <f t="shared" si="43"/>
        <v>-83.277068499877231</v>
      </c>
    </row>
    <row r="331" spans="1:9" x14ac:dyDescent="0.25">
      <c r="A331" s="20">
        <f t="shared" si="44"/>
        <v>41144</v>
      </c>
      <c r="B331" s="117" t="s">
        <v>5</v>
      </c>
      <c r="C331">
        <v>0</v>
      </c>
      <c r="D331">
        <v>148.19999999999999</v>
      </c>
      <c r="E331">
        <v>544.9</v>
      </c>
      <c r="F331">
        <v>3221.9</v>
      </c>
      <c r="G331" s="4">
        <f t="shared" si="45"/>
        <v>544.9</v>
      </c>
      <c r="H331" s="35">
        <f t="shared" si="42"/>
        <v>3370.1</v>
      </c>
      <c r="I331" s="30">
        <f t="shared" si="43"/>
        <v>-83.831340316311085</v>
      </c>
    </row>
    <row r="332" spans="1:9" x14ac:dyDescent="0.25">
      <c r="A332" s="20">
        <f t="shared" si="44"/>
        <v>41151</v>
      </c>
      <c r="B332" s="117" t="s">
        <v>5</v>
      </c>
      <c r="C332">
        <v>0</v>
      </c>
      <c r="D332">
        <v>107.3</v>
      </c>
      <c r="E332">
        <v>544.9</v>
      </c>
      <c r="F332">
        <v>0</v>
      </c>
      <c r="G332" s="4">
        <f t="shared" si="45"/>
        <v>544.9</v>
      </c>
      <c r="H332" s="35">
        <f t="shared" si="42"/>
        <v>107.3</v>
      </c>
      <c r="I332" s="30">
        <f t="shared" si="43"/>
        <v>407.8285181733458</v>
      </c>
    </row>
    <row r="333" spans="1:9" x14ac:dyDescent="0.25">
      <c r="A333" s="20">
        <f t="shared" si="44"/>
        <v>41158</v>
      </c>
      <c r="B333" s="117" t="s">
        <v>5</v>
      </c>
      <c r="C333">
        <v>0</v>
      </c>
      <c r="D333">
        <v>107.3</v>
      </c>
      <c r="E333">
        <v>0</v>
      </c>
      <c r="F333">
        <v>0</v>
      </c>
      <c r="G333" s="4">
        <f t="shared" si="45"/>
        <v>0</v>
      </c>
      <c r="H333" s="35">
        <f t="shared" si="42"/>
        <v>107.3</v>
      </c>
      <c r="I333" s="30">
        <f t="shared" si="43"/>
        <v>-100</v>
      </c>
    </row>
    <row r="334" spans="1:9" x14ac:dyDescent="0.25">
      <c r="A334" s="20">
        <f t="shared" si="44"/>
        <v>41165</v>
      </c>
      <c r="B334" s="117" t="s">
        <v>5</v>
      </c>
      <c r="C334">
        <v>0</v>
      </c>
      <c r="D334">
        <v>227.3</v>
      </c>
      <c r="E334">
        <v>0</v>
      </c>
      <c r="F334">
        <v>130.30000000000001</v>
      </c>
      <c r="G334" s="4">
        <f t="shared" si="45"/>
        <v>0</v>
      </c>
      <c r="H334" s="35">
        <f t="shared" si="42"/>
        <v>357.6</v>
      </c>
      <c r="I334" s="30">
        <f t="shared" si="43"/>
        <v>-100</v>
      </c>
    </row>
    <row r="335" spans="1:9" x14ac:dyDescent="0.25">
      <c r="A335" s="20">
        <f t="shared" si="44"/>
        <v>41172</v>
      </c>
      <c r="B335" s="117" t="s">
        <v>5</v>
      </c>
      <c r="C335">
        <v>0</v>
      </c>
      <c r="D335">
        <v>160</v>
      </c>
      <c r="E335">
        <v>0</v>
      </c>
      <c r="F335">
        <v>196.2</v>
      </c>
      <c r="G335" s="4">
        <f t="shared" si="45"/>
        <v>0</v>
      </c>
      <c r="H335" s="35">
        <f t="shared" si="42"/>
        <v>356.2</v>
      </c>
      <c r="I335" s="30">
        <f t="shared" si="43"/>
        <v>-100</v>
      </c>
    </row>
    <row r="336" spans="1:9" x14ac:dyDescent="0.25">
      <c r="A336" s="20">
        <f t="shared" si="44"/>
        <v>41179</v>
      </c>
      <c r="B336" s="117" t="s">
        <v>5</v>
      </c>
      <c r="C336">
        <v>0</v>
      </c>
      <c r="D336">
        <v>160</v>
      </c>
      <c r="E336">
        <v>0</v>
      </c>
      <c r="F336">
        <v>196.2</v>
      </c>
      <c r="G336" s="4">
        <f t="shared" si="45"/>
        <v>0</v>
      </c>
      <c r="H336" s="35">
        <f t="shared" si="42"/>
        <v>356.2</v>
      </c>
      <c r="I336" s="30">
        <f t="shared" si="43"/>
        <v>-100</v>
      </c>
    </row>
    <row r="337" spans="1:9" x14ac:dyDescent="0.25">
      <c r="A337" s="20">
        <f t="shared" si="44"/>
        <v>41186</v>
      </c>
      <c r="B337" s="117" t="s">
        <v>5</v>
      </c>
      <c r="C337">
        <v>0</v>
      </c>
      <c r="D337">
        <v>100</v>
      </c>
      <c r="E337">
        <v>0</v>
      </c>
      <c r="F337">
        <v>259.2</v>
      </c>
      <c r="G337" s="4">
        <f t="shared" si="45"/>
        <v>0</v>
      </c>
      <c r="H337" s="35">
        <f t="shared" si="42"/>
        <v>359.2</v>
      </c>
      <c r="I337" s="30">
        <f t="shared" si="43"/>
        <v>-100</v>
      </c>
    </row>
    <row r="338" spans="1:9" x14ac:dyDescent="0.25">
      <c r="A338" s="20">
        <f t="shared" si="44"/>
        <v>41193</v>
      </c>
      <c r="B338" s="117" t="s">
        <v>5</v>
      </c>
      <c r="C338">
        <v>0</v>
      </c>
      <c r="D338">
        <v>71.599999999999994</v>
      </c>
      <c r="E338">
        <v>0</v>
      </c>
      <c r="F338">
        <v>287.60000000000002</v>
      </c>
      <c r="G338" s="4">
        <f t="shared" si="45"/>
        <v>0</v>
      </c>
      <c r="H338" s="35">
        <f t="shared" si="42"/>
        <v>359.20000000000005</v>
      </c>
      <c r="I338" s="30">
        <f t="shared" si="43"/>
        <v>-100</v>
      </c>
    </row>
    <row r="339" spans="1:9" x14ac:dyDescent="0.25">
      <c r="A339" s="20">
        <f t="shared" si="44"/>
        <v>41200</v>
      </c>
      <c r="B339" s="117" t="s">
        <v>5</v>
      </c>
      <c r="C339">
        <v>0</v>
      </c>
      <c r="D339">
        <v>40</v>
      </c>
      <c r="E339">
        <v>0</v>
      </c>
      <c r="F339">
        <v>287.60000000000002</v>
      </c>
      <c r="G339" s="4">
        <f t="shared" si="45"/>
        <v>0</v>
      </c>
      <c r="H339" s="35">
        <f t="shared" si="42"/>
        <v>327.60000000000002</v>
      </c>
      <c r="I339" s="30">
        <f t="shared" si="43"/>
        <v>-100</v>
      </c>
    </row>
    <row r="340" spans="1:9" x14ac:dyDescent="0.25">
      <c r="A340" s="20">
        <f t="shared" si="44"/>
        <v>41207</v>
      </c>
      <c r="B340" s="117" t="s">
        <v>5</v>
      </c>
      <c r="C340">
        <v>0</v>
      </c>
      <c r="D340">
        <v>40</v>
      </c>
      <c r="E340">
        <v>0</v>
      </c>
      <c r="F340">
        <v>287.60000000000002</v>
      </c>
      <c r="G340" s="4">
        <f t="shared" si="45"/>
        <v>0</v>
      </c>
      <c r="H340" s="35">
        <f t="shared" ref="H340:H403" si="46">+D340+F340</f>
        <v>327.60000000000002</v>
      </c>
      <c r="I340" s="30">
        <f t="shared" ref="I340:I403" si="47">+(G340/H340-1)*100</f>
        <v>-100</v>
      </c>
    </row>
    <row r="341" spans="1:9" x14ac:dyDescent="0.25">
      <c r="A341" s="20">
        <f t="shared" si="44"/>
        <v>41214</v>
      </c>
      <c r="B341" s="117" t="s">
        <v>5</v>
      </c>
      <c r="C341">
        <v>0</v>
      </c>
      <c r="D341">
        <v>40</v>
      </c>
      <c r="E341">
        <v>0</v>
      </c>
      <c r="F341">
        <v>287.60000000000002</v>
      </c>
      <c r="G341" s="4">
        <f t="shared" si="45"/>
        <v>0</v>
      </c>
      <c r="H341" s="35">
        <f t="shared" si="46"/>
        <v>327.60000000000002</v>
      </c>
      <c r="I341" s="30">
        <f t="shared" si="47"/>
        <v>-100</v>
      </c>
    </row>
    <row r="342" spans="1:9" x14ac:dyDescent="0.25">
      <c r="A342" s="20">
        <f t="shared" si="44"/>
        <v>41221</v>
      </c>
      <c r="B342" s="117" t="s">
        <v>5</v>
      </c>
      <c r="C342">
        <v>0</v>
      </c>
      <c r="D342">
        <v>40</v>
      </c>
      <c r="E342">
        <v>0</v>
      </c>
      <c r="F342">
        <v>287.60000000000002</v>
      </c>
      <c r="G342" s="4">
        <f t="shared" si="45"/>
        <v>0</v>
      </c>
      <c r="H342" s="35">
        <f t="shared" si="46"/>
        <v>327.60000000000002</v>
      </c>
      <c r="I342" s="30">
        <f t="shared" si="47"/>
        <v>-100</v>
      </c>
    </row>
    <row r="343" spans="1:9" x14ac:dyDescent="0.25">
      <c r="A343" s="20">
        <f t="shared" si="44"/>
        <v>41228</v>
      </c>
      <c r="B343" s="117" t="s">
        <v>5</v>
      </c>
      <c r="C343">
        <v>0</v>
      </c>
      <c r="D343">
        <v>40</v>
      </c>
      <c r="E343">
        <v>0</v>
      </c>
      <c r="F343">
        <v>287.60000000000002</v>
      </c>
      <c r="G343" s="4">
        <f t="shared" si="45"/>
        <v>0</v>
      </c>
      <c r="H343" s="35">
        <f t="shared" si="46"/>
        <v>327.60000000000002</v>
      </c>
      <c r="I343" s="30">
        <f t="shared" si="47"/>
        <v>-100</v>
      </c>
    </row>
    <row r="344" spans="1:9" x14ac:dyDescent="0.25">
      <c r="A344" s="20">
        <f t="shared" si="44"/>
        <v>41235</v>
      </c>
      <c r="B344" s="117" t="s">
        <v>5</v>
      </c>
      <c r="C344">
        <v>0</v>
      </c>
      <c r="D344">
        <v>40</v>
      </c>
      <c r="E344">
        <v>0</v>
      </c>
      <c r="F344">
        <v>287.60000000000002</v>
      </c>
      <c r="G344" s="4">
        <f t="shared" si="45"/>
        <v>0</v>
      </c>
      <c r="H344" s="35">
        <f t="shared" si="46"/>
        <v>327.60000000000002</v>
      </c>
      <c r="I344" s="30">
        <f t="shared" si="47"/>
        <v>-100</v>
      </c>
    </row>
    <row r="345" spans="1:9" x14ac:dyDescent="0.25">
      <c r="A345" s="20">
        <f t="shared" si="44"/>
        <v>41242</v>
      </c>
      <c r="B345" s="117" t="s">
        <v>5</v>
      </c>
      <c r="C345">
        <v>0</v>
      </c>
      <c r="D345">
        <v>40</v>
      </c>
      <c r="E345">
        <v>0</v>
      </c>
      <c r="F345">
        <v>287.60000000000002</v>
      </c>
      <c r="G345" s="4">
        <f t="shared" si="45"/>
        <v>0</v>
      </c>
      <c r="H345" s="35">
        <f t="shared" si="46"/>
        <v>327.60000000000002</v>
      </c>
      <c r="I345" s="30">
        <f t="shared" si="47"/>
        <v>-100</v>
      </c>
    </row>
    <row r="346" spans="1:9" x14ac:dyDescent="0.25">
      <c r="A346" s="20">
        <f t="shared" si="44"/>
        <v>41249</v>
      </c>
      <c r="B346" s="117" t="s">
        <v>5</v>
      </c>
      <c r="C346">
        <v>0</v>
      </c>
      <c r="D346">
        <v>40</v>
      </c>
      <c r="E346">
        <v>0</v>
      </c>
      <c r="F346">
        <v>287.60000000000002</v>
      </c>
      <c r="G346" s="4">
        <f t="shared" si="45"/>
        <v>0</v>
      </c>
      <c r="H346" s="35">
        <f t="shared" si="46"/>
        <v>327.60000000000002</v>
      </c>
      <c r="I346" s="30">
        <f t="shared" si="47"/>
        <v>-100</v>
      </c>
    </row>
    <row r="347" spans="1:9" x14ac:dyDescent="0.25">
      <c r="A347" s="20">
        <f t="shared" si="44"/>
        <v>41256</v>
      </c>
      <c r="B347" s="117" t="s">
        <v>5</v>
      </c>
      <c r="C347">
        <v>0</v>
      </c>
      <c r="D347">
        <v>40</v>
      </c>
      <c r="E347">
        <v>0</v>
      </c>
      <c r="F347">
        <v>287.60000000000002</v>
      </c>
      <c r="G347" s="4">
        <f t="shared" si="45"/>
        <v>0</v>
      </c>
      <c r="H347" s="35">
        <f t="shared" si="46"/>
        <v>327.60000000000002</v>
      </c>
      <c r="I347" s="30">
        <f t="shared" si="47"/>
        <v>-100</v>
      </c>
    </row>
    <row r="348" spans="1:9" x14ac:dyDescent="0.25">
      <c r="A348" s="20">
        <f t="shared" si="44"/>
        <v>41263</v>
      </c>
      <c r="B348" s="117" t="s">
        <v>5</v>
      </c>
      <c r="C348">
        <v>0</v>
      </c>
      <c r="D348">
        <v>40</v>
      </c>
      <c r="E348">
        <v>0</v>
      </c>
      <c r="F348">
        <v>287.60000000000002</v>
      </c>
      <c r="G348" s="4">
        <f t="shared" si="45"/>
        <v>0</v>
      </c>
      <c r="H348" s="35">
        <f t="shared" si="46"/>
        <v>327.60000000000002</v>
      </c>
      <c r="I348" s="30">
        <f t="shared" si="47"/>
        <v>-100</v>
      </c>
    </row>
    <row r="349" spans="1:9" x14ac:dyDescent="0.25">
      <c r="A349" s="20">
        <f t="shared" si="44"/>
        <v>41270</v>
      </c>
      <c r="B349" s="117" t="s">
        <v>5</v>
      </c>
      <c r="C349">
        <v>0</v>
      </c>
      <c r="D349">
        <v>60</v>
      </c>
      <c r="E349">
        <v>0</v>
      </c>
      <c r="F349">
        <v>287.60000000000002</v>
      </c>
      <c r="G349" s="4">
        <f t="shared" si="45"/>
        <v>0</v>
      </c>
      <c r="H349" s="35">
        <f t="shared" si="46"/>
        <v>347.6</v>
      </c>
      <c r="I349" s="30">
        <f t="shared" si="47"/>
        <v>-100</v>
      </c>
    </row>
    <row r="350" spans="1:9" x14ac:dyDescent="0.25">
      <c r="A350" s="20">
        <f t="shared" si="44"/>
        <v>41277</v>
      </c>
      <c r="B350" s="117" t="s">
        <v>5</v>
      </c>
      <c r="C350">
        <v>0</v>
      </c>
      <c r="D350">
        <v>60</v>
      </c>
      <c r="E350">
        <v>0</v>
      </c>
      <c r="F350">
        <v>287.60000000000002</v>
      </c>
      <c r="G350" s="4">
        <f t="shared" si="45"/>
        <v>0</v>
      </c>
      <c r="H350" s="35">
        <f t="shared" si="46"/>
        <v>347.6</v>
      </c>
      <c r="I350" s="30">
        <f t="shared" si="47"/>
        <v>-100</v>
      </c>
    </row>
    <row r="351" spans="1:9" x14ac:dyDescent="0.25">
      <c r="A351" s="20">
        <f t="shared" si="44"/>
        <v>41284</v>
      </c>
      <c r="B351" s="117" t="s">
        <v>5</v>
      </c>
      <c r="C351">
        <v>0</v>
      </c>
      <c r="D351">
        <v>60</v>
      </c>
      <c r="E351">
        <v>0</v>
      </c>
      <c r="F351">
        <v>287.60000000000002</v>
      </c>
      <c r="G351" s="4">
        <f t="shared" si="45"/>
        <v>0</v>
      </c>
      <c r="H351" s="35">
        <f t="shared" si="46"/>
        <v>347.6</v>
      </c>
      <c r="I351" s="30">
        <f t="shared" si="47"/>
        <v>-100</v>
      </c>
    </row>
    <row r="352" spans="1:9" x14ac:dyDescent="0.25">
      <c r="A352" s="20">
        <f t="shared" si="44"/>
        <v>41291</v>
      </c>
      <c r="B352" s="117" t="s">
        <v>5</v>
      </c>
      <c r="C352">
        <v>0</v>
      </c>
      <c r="D352">
        <v>180</v>
      </c>
      <c r="E352">
        <v>0</v>
      </c>
      <c r="F352">
        <v>287.60000000000002</v>
      </c>
      <c r="G352" s="4">
        <f t="shared" si="45"/>
        <v>0</v>
      </c>
      <c r="H352" s="35">
        <f t="shared" si="46"/>
        <v>467.6</v>
      </c>
      <c r="I352" s="30">
        <f t="shared" si="47"/>
        <v>-100</v>
      </c>
    </row>
    <row r="353" spans="1:9" x14ac:dyDescent="0.25">
      <c r="A353" s="20">
        <f t="shared" si="44"/>
        <v>41298</v>
      </c>
      <c r="B353" s="117" t="s">
        <v>5</v>
      </c>
      <c r="C353">
        <v>0</v>
      </c>
      <c r="D353">
        <v>161.80000000000001</v>
      </c>
      <c r="E353">
        <v>0</v>
      </c>
      <c r="F353">
        <v>305.8</v>
      </c>
      <c r="G353" s="4">
        <f t="shared" si="45"/>
        <v>0</v>
      </c>
      <c r="H353" s="35">
        <f t="shared" si="46"/>
        <v>467.6</v>
      </c>
      <c r="I353" s="30">
        <f t="shared" si="47"/>
        <v>-100</v>
      </c>
    </row>
    <row r="354" spans="1:9" x14ac:dyDescent="0.25">
      <c r="A354" s="20">
        <f t="shared" si="44"/>
        <v>41305</v>
      </c>
      <c r="B354" s="117" t="s">
        <v>5</v>
      </c>
      <c r="C354">
        <v>0</v>
      </c>
      <c r="D354">
        <v>140.5</v>
      </c>
      <c r="E354">
        <v>0</v>
      </c>
      <c r="F354">
        <v>327.10000000000002</v>
      </c>
      <c r="G354" s="4">
        <f t="shared" si="45"/>
        <v>0</v>
      </c>
      <c r="H354" s="35">
        <f t="shared" si="46"/>
        <v>467.6</v>
      </c>
      <c r="I354" s="30">
        <f t="shared" si="47"/>
        <v>-100</v>
      </c>
    </row>
    <row r="355" spans="1:9" x14ac:dyDescent="0.25">
      <c r="A355" s="20">
        <f t="shared" si="44"/>
        <v>41312</v>
      </c>
      <c r="B355" s="117" t="s">
        <v>5</v>
      </c>
      <c r="C355">
        <v>0</v>
      </c>
      <c r="D355">
        <v>380.5</v>
      </c>
      <c r="E355">
        <v>0</v>
      </c>
      <c r="F355">
        <v>327.10000000000002</v>
      </c>
      <c r="G355" s="4">
        <f t="shared" si="45"/>
        <v>0</v>
      </c>
      <c r="H355" s="35">
        <f t="shared" si="46"/>
        <v>707.6</v>
      </c>
      <c r="I355" s="30">
        <f t="shared" si="47"/>
        <v>-100</v>
      </c>
    </row>
    <row r="356" spans="1:9" x14ac:dyDescent="0.25">
      <c r="A356" s="20">
        <f t="shared" si="44"/>
        <v>41319</v>
      </c>
      <c r="B356" s="117" t="s">
        <v>5</v>
      </c>
      <c r="C356">
        <v>0</v>
      </c>
      <c r="D356">
        <v>380.5</v>
      </c>
      <c r="E356">
        <v>0</v>
      </c>
      <c r="F356">
        <v>327.10000000000002</v>
      </c>
      <c r="G356" s="4">
        <f t="shared" si="45"/>
        <v>0</v>
      </c>
      <c r="H356" s="35">
        <f t="shared" si="46"/>
        <v>707.6</v>
      </c>
      <c r="I356" s="30">
        <f t="shared" si="47"/>
        <v>-100</v>
      </c>
    </row>
    <row r="357" spans="1:9" x14ac:dyDescent="0.25">
      <c r="A357" s="20">
        <f t="shared" si="44"/>
        <v>41326</v>
      </c>
      <c r="B357" s="117" t="s">
        <v>5</v>
      </c>
      <c r="C357">
        <v>0</v>
      </c>
      <c r="D357">
        <v>380.5</v>
      </c>
      <c r="E357">
        <v>0</v>
      </c>
      <c r="F357">
        <v>327.10000000000002</v>
      </c>
      <c r="G357" s="4">
        <f t="shared" si="45"/>
        <v>0</v>
      </c>
      <c r="H357" s="35">
        <f t="shared" si="46"/>
        <v>707.6</v>
      </c>
      <c r="I357" s="30">
        <f t="shared" si="47"/>
        <v>-100</v>
      </c>
    </row>
    <row r="358" spans="1:9" x14ac:dyDescent="0.25">
      <c r="A358" s="20">
        <f t="shared" si="44"/>
        <v>41333</v>
      </c>
      <c r="B358" s="117" t="s">
        <v>5</v>
      </c>
      <c r="C358">
        <v>0</v>
      </c>
      <c r="D358">
        <v>360</v>
      </c>
      <c r="E358">
        <v>0</v>
      </c>
      <c r="F358">
        <v>350.1</v>
      </c>
      <c r="G358" s="4">
        <f t="shared" si="45"/>
        <v>0</v>
      </c>
      <c r="H358" s="35">
        <f t="shared" si="46"/>
        <v>710.1</v>
      </c>
      <c r="I358" s="30">
        <f t="shared" si="47"/>
        <v>-100</v>
      </c>
    </row>
    <row r="359" spans="1:9" x14ac:dyDescent="0.25">
      <c r="A359" s="20">
        <f t="shared" si="44"/>
        <v>41340</v>
      </c>
      <c r="B359" s="117" t="s">
        <v>5</v>
      </c>
      <c r="C359">
        <v>0</v>
      </c>
      <c r="D359">
        <v>314.5</v>
      </c>
      <c r="E359">
        <v>0</v>
      </c>
      <c r="F359">
        <v>395.6</v>
      </c>
      <c r="G359" s="4">
        <f t="shared" si="45"/>
        <v>0</v>
      </c>
      <c r="H359" s="35">
        <f t="shared" si="46"/>
        <v>710.1</v>
      </c>
      <c r="I359" s="30">
        <f t="shared" si="47"/>
        <v>-100</v>
      </c>
    </row>
    <row r="360" spans="1:9" x14ac:dyDescent="0.25">
      <c r="A360" s="20">
        <f t="shared" si="44"/>
        <v>41347</v>
      </c>
      <c r="B360" s="117" t="s">
        <v>5</v>
      </c>
      <c r="C360">
        <v>0</v>
      </c>
      <c r="D360">
        <v>300</v>
      </c>
      <c r="E360">
        <v>0</v>
      </c>
      <c r="F360">
        <v>413.8</v>
      </c>
      <c r="G360" s="4">
        <f t="shared" si="45"/>
        <v>0</v>
      </c>
      <c r="H360" s="35">
        <f t="shared" si="46"/>
        <v>713.8</v>
      </c>
      <c r="I360" s="30">
        <f t="shared" si="47"/>
        <v>-100</v>
      </c>
    </row>
    <row r="361" spans="1:9" x14ac:dyDescent="0.25">
      <c r="A361" s="20">
        <f t="shared" si="44"/>
        <v>41354</v>
      </c>
      <c r="B361" s="117" t="s">
        <v>5</v>
      </c>
      <c r="C361">
        <v>0</v>
      </c>
      <c r="D361">
        <v>300</v>
      </c>
      <c r="E361">
        <v>0</v>
      </c>
      <c r="F361">
        <v>413.8</v>
      </c>
      <c r="G361">
        <v>0</v>
      </c>
      <c r="H361" s="35">
        <f t="shared" si="46"/>
        <v>713.8</v>
      </c>
      <c r="I361" s="30">
        <f t="shared" si="47"/>
        <v>-100</v>
      </c>
    </row>
    <row r="362" spans="1:9" x14ac:dyDescent="0.25">
      <c r="A362" s="20">
        <f t="shared" si="44"/>
        <v>41361</v>
      </c>
      <c r="B362" s="117" t="s">
        <v>5</v>
      </c>
      <c r="C362">
        <v>0</v>
      </c>
      <c r="D362">
        <v>300</v>
      </c>
      <c r="E362">
        <v>0</v>
      </c>
      <c r="F362">
        <v>413.8</v>
      </c>
      <c r="G362" s="4">
        <f t="shared" si="45"/>
        <v>0</v>
      </c>
      <c r="H362" s="35">
        <f t="shared" si="46"/>
        <v>713.8</v>
      </c>
      <c r="I362" s="30">
        <f t="shared" si="47"/>
        <v>-100</v>
      </c>
    </row>
    <row r="363" spans="1:9" x14ac:dyDescent="0.25">
      <c r="A363" s="20">
        <f t="shared" si="44"/>
        <v>41368</v>
      </c>
      <c r="B363" s="117" t="s">
        <v>5</v>
      </c>
      <c r="C363">
        <v>0</v>
      </c>
      <c r="D363">
        <v>300</v>
      </c>
      <c r="E363">
        <v>0</v>
      </c>
      <c r="F363">
        <v>413.8</v>
      </c>
      <c r="G363" s="4">
        <f t="shared" si="45"/>
        <v>0</v>
      </c>
      <c r="H363" s="35">
        <f t="shared" si="46"/>
        <v>713.8</v>
      </c>
      <c r="I363" s="30">
        <f t="shared" si="47"/>
        <v>-100</v>
      </c>
    </row>
    <row r="364" spans="1:9" x14ac:dyDescent="0.25">
      <c r="A364" s="20">
        <f t="shared" si="44"/>
        <v>41375</v>
      </c>
      <c r="B364" s="117" t="s">
        <v>5</v>
      </c>
      <c r="C364">
        <v>0</v>
      </c>
      <c r="D364">
        <v>258.39999999999998</v>
      </c>
      <c r="E364">
        <v>0</v>
      </c>
      <c r="F364">
        <v>455.3</v>
      </c>
      <c r="G364" s="4">
        <f t="shared" si="45"/>
        <v>0</v>
      </c>
      <c r="H364" s="35">
        <f t="shared" si="46"/>
        <v>713.7</v>
      </c>
      <c r="I364" s="30">
        <f t="shared" si="47"/>
        <v>-100</v>
      </c>
    </row>
    <row r="365" spans="1:9" x14ac:dyDescent="0.25">
      <c r="A365" s="20">
        <f t="shared" si="44"/>
        <v>41382</v>
      </c>
      <c r="B365" s="117" t="s">
        <v>5</v>
      </c>
      <c r="C365">
        <v>0</v>
      </c>
      <c r="D365">
        <v>219.3</v>
      </c>
      <c r="E365">
        <v>0</v>
      </c>
      <c r="F365">
        <v>494.4</v>
      </c>
      <c r="G365" s="4">
        <f t="shared" si="45"/>
        <v>0</v>
      </c>
      <c r="H365" s="35">
        <f t="shared" si="46"/>
        <v>713.7</v>
      </c>
      <c r="I365" s="30">
        <f t="shared" si="47"/>
        <v>-100</v>
      </c>
    </row>
    <row r="366" spans="1:9" x14ac:dyDescent="0.25">
      <c r="A366" s="20">
        <f t="shared" si="44"/>
        <v>41389</v>
      </c>
      <c r="B366" s="117" t="s">
        <v>5</v>
      </c>
      <c r="C366">
        <v>0</v>
      </c>
      <c r="D366">
        <v>219.3</v>
      </c>
      <c r="E366">
        <v>0</v>
      </c>
      <c r="F366">
        <v>494.4</v>
      </c>
      <c r="G366" s="4">
        <f t="shared" si="45"/>
        <v>0</v>
      </c>
      <c r="H366" s="35">
        <f t="shared" si="46"/>
        <v>713.7</v>
      </c>
      <c r="I366" s="30">
        <f t="shared" si="47"/>
        <v>-100</v>
      </c>
    </row>
    <row r="367" spans="1:9" x14ac:dyDescent="0.25">
      <c r="A367" s="20">
        <f t="shared" si="44"/>
        <v>41396</v>
      </c>
      <c r="B367" s="117" t="s">
        <v>5</v>
      </c>
      <c r="C367">
        <v>0</v>
      </c>
      <c r="D367">
        <v>171.3</v>
      </c>
      <c r="E367">
        <v>0</v>
      </c>
      <c r="F367">
        <v>544.9</v>
      </c>
      <c r="G367" s="4">
        <f t="shared" si="45"/>
        <v>0</v>
      </c>
      <c r="H367" s="35">
        <f t="shared" si="46"/>
        <v>716.2</v>
      </c>
      <c r="I367" s="30">
        <f t="shared" si="47"/>
        <v>-100</v>
      </c>
    </row>
    <row r="368" spans="1:9" x14ac:dyDescent="0.25">
      <c r="A368" s="20">
        <f t="shared" si="44"/>
        <v>41403</v>
      </c>
      <c r="B368" s="117" t="s">
        <v>5</v>
      </c>
      <c r="C368">
        <v>0</v>
      </c>
      <c r="D368">
        <v>60</v>
      </c>
      <c r="E368">
        <v>0</v>
      </c>
      <c r="F368">
        <v>544.9</v>
      </c>
      <c r="G368" s="4">
        <f t="shared" si="45"/>
        <v>0</v>
      </c>
      <c r="H368" s="35">
        <f t="shared" si="46"/>
        <v>604.9</v>
      </c>
      <c r="I368" s="30">
        <f t="shared" si="47"/>
        <v>-100</v>
      </c>
    </row>
    <row r="369" spans="1:9" x14ac:dyDescent="0.25">
      <c r="A369" s="20">
        <f t="shared" si="44"/>
        <v>41410</v>
      </c>
      <c r="B369" s="117" t="s">
        <v>5</v>
      </c>
      <c r="C369">
        <v>0</v>
      </c>
      <c r="D369">
        <v>0</v>
      </c>
      <c r="E369">
        <v>0</v>
      </c>
      <c r="F369">
        <v>544.9</v>
      </c>
      <c r="G369" s="4">
        <f t="shared" si="45"/>
        <v>0</v>
      </c>
      <c r="H369" s="35">
        <f t="shared" si="46"/>
        <v>544.9</v>
      </c>
      <c r="I369" s="30">
        <f t="shared" si="47"/>
        <v>-100</v>
      </c>
    </row>
    <row r="370" spans="1:9" x14ac:dyDescent="0.25">
      <c r="A370" s="20">
        <f t="shared" si="44"/>
        <v>41417</v>
      </c>
      <c r="B370" s="117" t="s">
        <v>5</v>
      </c>
      <c r="C370">
        <v>0</v>
      </c>
      <c r="D370">
        <v>0</v>
      </c>
      <c r="E370">
        <v>0</v>
      </c>
      <c r="F370">
        <v>544.9</v>
      </c>
      <c r="G370" s="4">
        <f t="shared" si="45"/>
        <v>0</v>
      </c>
      <c r="H370" s="35">
        <f t="shared" si="46"/>
        <v>544.9</v>
      </c>
      <c r="I370" s="30">
        <f t="shared" si="47"/>
        <v>-100</v>
      </c>
    </row>
    <row r="371" spans="1:9" x14ac:dyDescent="0.25">
      <c r="A371" s="20">
        <f t="shared" si="44"/>
        <v>41424</v>
      </c>
      <c r="B371" s="117" t="s">
        <v>5</v>
      </c>
      <c r="C371">
        <v>0</v>
      </c>
      <c r="D371">
        <v>0</v>
      </c>
      <c r="E371">
        <v>0</v>
      </c>
      <c r="F371">
        <v>544.9</v>
      </c>
      <c r="G371" s="4">
        <f t="shared" si="45"/>
        <v>0</v>
      </c>
      <c r="H371" s="35">
        <f t="shared" si="46"/>
        <v>544.9</v>
      </c>
      <c r="I371" s="30">
        <f t="shared" si="47"/>
        <v>-100</v>
      </c>
    </row>
    <row r="372" spans="1:9" x14ac:dyDescent="0.25">
      <c r="A372" s="20">
        <f t="shared" si="44"/>
        <v>41431</v>
      </c>
      <c r="B372" s="117" t="s">
        <v>5</v>
      </c>
      <c r="C372">
        <v>0</v>
      </c>
      <c r="D372">
        <v>0</v>
      </c>
      <c r="E372">
        <v>0</v>
      </c>
      <c r="F372">
        <v>544.9</v>
      </c>
      <c r="G372" s="4">
        <f t="shared" si="45"/>
        <v>0</v>
      </c>
      <c r="H372" s="35">
        <f t="shared" si="46"/>
        <v>544.9</v>
      </c>
      <c r="I372" s="30">
        <f t="shared" si="47"/>
        <v>-100</v>
      </c>
    </row>
    <row r="373" spans="1:9" x14ac:dyDescent="0.25">
      <c r="A373" s="20">
        <f t="shared" si="44"/>
        <v>41438</v>
      </c>
      <c r="B373" s="117" t="s">
        <v>5</v>
      </c>
      <c r="C373">
        <v>0</v>
      </c>
      <c r="D373">
        <v>0</v>
      </c>
      <c r="E373">
        <v>0</v>
      </c>
      <c r="F373">
        <v>544.9</v>
      </c>
      <c r="G373" s="4">
        <f t="shared" si="45"/>
        <v>0</v>
      </c>
      <c r="H373" s="35">
        <f t="shared" si="46"/>
        <v>544.9</v>
      </c>
      <c r="I373" s="30">
        <f t="shared" si="47"/>
        <v>-100</v>
      </c>
    </row>
    <row r="374" spans="1:9" x14ac:dyDescent="0.25">
      <c r="A374" s="20">
        <f t="shared" si="44"/>
        <v>41445</v>
      </c>
      <c r="B374" s="117" t="s">
        <v>5</v>
      </c>
      <c r="C374">
        <v>0</v>
      </c>
      <c r="D374">
        <v>0</v>
      </c>
      <c r="E374">
        <v>0</v>
      </c>
      <c r="F374">
        <v>544.9</v>
      </c>
      <c r="G374" s="4">
        <f t="shared" si="45"/>
        <v>0</v>
      </c>
      <c r="H374" s="35">
        <f t="shared" si="46"/>
        <v>544.9</v>
      </c>
      <c r="I374" s="30">
        <f t="shared" si="47"/>
        <v>-100</v>
      </c>
    </row>
    <row r="375" spans="1:9" x14ac:dyDescent="0.25">
      <c r="A375" s="20">
        <f t="shared" si="44"/>
        <v>41452</v>
      </c>
      <c r="B375" s="117" t="s">
        <v>5</v>
      </c>
      <c r="C375">
        <v>0</v>
      </c>
      <c r="D375">
        <v>0</v>
      </c>
      <c r="E375">
        <v>0</v>
      </c>
      <c r="F375">
        <v>544.9</v>
      </c>
      <c r="G375" s="4">
        <f t="shared" si="45"/>
        <v>0</v>
      </c>
      <c r="H375" s="35">
        <f t="shared" si="46"/>
        <v>544.9</v>
      </c>
      <c r="I375" s="30">
        <f t="shared" si="47"/>
        <v>-100</v>
      </c>
    </row>
    <row r="376" spans="1:9" x14ac:dyDescent="0.25">
      <c r="A376" s="20">
        <f t="shared" si="44"/>
        <v>41459</v>
      </c>
      <c r="B376" s="117" t="s">
        <v>5</v>
      </c>
      <c r="C376">
        <v>0</v>
      </c>
      <c r="D376">
        <v>0</v>
      </c>
      <c r="E376">
        <v>0</v>
      </c>
      <c r="F376">
        <v>544.9</v>
      </c>
      <c r="G376" s="4">
        <f t="shared" si="45"/>
        <v>0</v>
      </c>
      <c r="H376" s="35">
        <f t="shared" si="46"/>
        <v>544.9</v>
      </c>
      <c r="I376" s="30">
        <f t="shared" si="47"/>
        <v>-100</v>
      </c>
    </row>
    <row r="377" spans="1:9" x14ac:dyDescent="0.25">
      <c r="A377" s="20">
        <f t="shared" si="44"/>
        <v>41466</v>
      </c>
      <c r="B377" s="117" t="s">
        <v>5</v>
      </c>
      <c r="C377">
        <v>0</v>
      </c>
      <c r="D377">
        <v>0</v>
      </c>
      <c r="E377">
        <v>0</v>
      </c>
      <c r="F377">
        <v>544.9</v>
      </c>
      <c r="G377" s="4">
        <f t="shared" si="45"/>
        <v>0</v>
      </c>
      <c r="H377" s="35">
        <f t="shared" si="46"/>
        <v>544.9</v>
      </c>
      <c r="I377" s="30">
        <f t="shared" si="47"/>
        <v>-100</v>
      </c>
    </row>
    <row r="378" spans="1:9" x14ac:dyDescent="0.25">
      <c r="A378" s="20">
        <f t="shared" si="44"/>
        <v>41473</v>
      </c>
      <c r="B378" s="117" t="s">
        <v>5</v>
      </c>
      <c r="C378">
        <v>0</v>
      </c>
      <c r="D378">
        <v>0</v>
      </c>
      <c r="E378">
        <v>0</v>
      </c>
      <c r="F378">
        <v>544.9</v>
      </c>
      <c r="G378" s="4">
        <f t="shared" si="45"/>
        <v>0</v>
      </c>
      <c r="H378" s="35">
        <f t="shared" si="46"/>
        <v>544.9</v>
      </c>
      <c r="I378" s="30">
        <f t="shared" si="47"/>
        <v>-100</v>
      </c>
    </row>
    <row r="379" spans="1:9" x14ac:dyDescent="0.25">
      <c r="A379" s="20">
        <f t="shared" si="44"/>
        <v>41480</v>
      </c>
      <c r="B379" s="117" t="s">
        <v>5</v>
      </c>
      <c r="C379">
        <v>0</v>
      </c>
      <c r="D379">
        <v>0</v>
      </c>
      <c r="E379">
        <v>0</v>
      </c>
      <c r="F379">
        <v>544.9</v>
      </c>
      <c r="G379" s="4">
        <f t="shared" si="45"/>
        <v>0</v>
      </c>
      <c r="H379" s="35">
        <f t="shared" si="46"/>
        <v>544.9</v>
      </c>
      <c r="I379" s="30">
        <f t="shared" si="47"/>
        <v>-100</v>
      </c>
    </row>
    <row r="380" spans="1:9" x14ac:dyDescent="0.25">
      <c r="A380" s="20">
        <f t="shared" si="44"/>
        <v>41487</v>
      </c>
      <c r="B380" s="117" t="s">
        <v>5</v>
      </c>
      <c r="C380">
        <v>0</v>
      </c>
      <c r="D380">
        <v>0</v>
      </c>
      <c r="E380">
        <v>0</v>
      </c>
      <c r="F380">
        <v>544.9</v>
      </c>
      <c r="G380" s="4">
        <f t="shared" si="45"/>
        <v>0</v>
      </c>
      <c r="H380" s="35">
        <f t="shared" si="46"/>
        <v>544.9</v>
      </c>
      <c r="I380" s="30">
        <f t="shared" si="47"/>
        <v>-100</v>
      </c>
    </row>
    <row r="381" spans="1:9" x14ac:dyDescent="0.25">
      <c r="A381" s="20">
        <f t="shared" si="44"/>
        <v>41494</v>
      </c>
      <c r="B381" s="117" t="s">
        <v>5</v>
      </c>
      <c r="C381">
        <v>0</v>
      </c>
      <c r="D381">
        <v>0</v>
      </c>
      <c r="E381">
        <v>0</v>
      </c>
      <c r="F381">
        <v>544.9</v>
      </c>
      <c r="G381" s="4">
        <f t="shared" si="45"/>
        <v>0</v>
      </c>
      <c r="H381" s="35">
        <f t="shared" si="46"/>
        <v>544.9</v>
      </c>
      <c r="I381" s="30">
        <f t="shared" si="47"/>
        <v>-100</v>
      </c>
    </row>
    <row r="382" spans="1:9" x14ac:dyDescent="0.25">
      <c r="A382" s="20">
        <f t="shared" ref="A382:A445" si="48">+A381+7</f>
        <v>41501</v>
      </c>
      <c r="B382" s="117" t="s">
        <v>5</v>
      </c>
      <c r="C382">
        <v>0</v>
      </c>
      <c r="D382">
        <v>0</v>
      </c>
      <c r="E382">
        <v>0</v>
      </c>
      <c r="F382">
        <v>544.9</v>
      </c>
      <c r="G382" s="4">
        <f t="shared" si="45"/>
        <v>0</v>
      </c>
      <c r="H382" s="35">
        <f t="shared" si="46"/>
        <v>544.9</v>
      </c>
      <c r="I382" s="30">
        <f t="shared" si="47"/>
        <v>-100</v>
      </c>
    </row>
    <row r="383" spans="1:9" x14ac:dyDescent="0.25">
      <c r="A383" s="20">
        <f t="shared" si="48"/>
        <v>41508</v>
      </c>
      <c r="B383" s="117" t="s">
        <v>5</v>
      </c>
      <c r="C383">
        <v>0</v>
      </c>
      <c r="D383">
        <v>0</v>
      </c>
      <c r="E383">
        <v>0</v>
      </c>
      <c r="F383">
        <v>544.9</v>
      </c>
      <c r="G383" s="4">
        <f t="shared" si="45"/>
        <v>0</v>
      </c>
      <c r="H383" s="35">
        <f t="shared" si="46"/>
        <v>544.9</v>
      </c>
      <c r="I383" s="30">
        <f t="shared" si="47"/>
        <v>-100</v>
      </c>
    </row>
    <row r="384" spans="1:9" x14ac:dyDescent="0.25">
      <c r="A384" s="20">
        <f t="shared" si="48"/>
        <v>41515</v>
      </c>
      <c r="B384" s="117" t="s">
        <v>5</v>
      </c>
      <c r="C384">
        <v>0</v>
      </c>
      <c r="D384">
        <v>0</v>
      </c>
      <c r="E384">
        <v>0</v>
      </c>
      <c r="F384">
        <v>544.9</v>
      </c>
      <c r="G384" s="4">
        <f t="shared" si="45"/>
        <v>0</v>
      </c>
      <c r="H384" s="35">
        <f t="shared" si="46"/>
        <v>544.9</v>
      </c>
      <c r="I384" s="30">
        <f t="shared" si="47"/>
        <v>-100</v>
      </c>
    </row>
    <row r="385" spans="1:12" x14ac:dyDescent="0.25">
      <c r="A385" s="20">
        <f t="shared" si="48"/>
        <v>41522</v>
      </c>
      <c r="B385" s="117" t="s">
        <v>5</v>
      </c>
      <c r="C385">
        <v>0</v>
      </c>
      <c r="D385">
        <v>0</v>
      </c>
      <c r="E385">
        <v>0</v>
      </c>
      <c r="F385">
        <v>544.9</v>
      </c>
      <c r="G385" s="4">
        <f t="shared" si="45"/>
        <v>0</v>
      </c>
      <c r="H385" s="35">
        <f t="shared" si="46"/>
        <v>544.9</v>
      </c>
      <c r="I385" s="30">
        <f t="shared" si="47"/>
        <v>-100</v>
      </c>
    </row>
    <row r="386" spans="1:12" x14ac:dyDescent="0.25">
      <c r="A386" s="20">
        <f t="shared" si="48"/>
        <v>41529</v>
      </c>
      <c r="B386" s="117" t="s">
        <v>5</v>
      </c>
      <c r="C386">
        <v>0</v>
      </c>
      <c r="D386">
        <v>0</v>
      </c>
      <c r="E386">
        <v>0</v>
      </c>
      <c r="F386">
        <v>544.9</v>
      </c>
      <c r="G386" s="4">
        <f t="shared" si="45"/>
        <v>0</v>
      </c>
      <c r="H386" s="35">
        <f t="shared" si="46"/>
        <v>544.9</v>
      </c>
      <c r="I386" s="30">
        <f t="shared" si="47"/>
        <v>-100</v>
      </c>
    </row>
    <row r="387" spans="1:12" x14ac:dyDescent="0.25">
      <c r="A387" s="20">
        <f t="shared" si="48"/>
        <v>41536</v>
      </c>
      <c r="B387" s="117" t="s">
        <v>5</v>
      </c>
      <c r="C387">
        <v>0</v>
      </c>
      <c r="D387">
        <v>0</v>
      </c>
      <c r="E387">
        <v>0</v>
      </c>
      <c r="F387">
        <v>544.9</v>
      </c>
      <c r="G387" s="4">
        <f t="shared" si="45"/>
        <v>0</v>
      </c>
      <c r="H387" s="35">
        <f t="shared" si="46"/>
        <v>544.9</v>
      </c>
      <c r="I387" s="30">
        <f t="shared" si="47"/>
        <v>-100</v>
      </c>
    </row>
    <row r="388" spans="1:12" x14ac:dyDescent="0.25">
      <c r="A388" s="20">
        <f t="shared" si="48"/>
        <v>41543</v>
      </c>
      <c r="B388" s="117" t="s">
        <v>5</v>
      </c>
      <c r="G388" s="4">
        <f t="shared" ref="G388:G446" si="49">+C388+E388</f>
        <v>0</v>
      </c>
      <c r="H388" s="35">
        <f t="shared" si="46"/>
        <v>0</v>
      </c>
      <c r="I388" s="30" t="e">
        <f t="shared" si="47"/>
        <v>#DIV/0!</v>
      </c>
    </row>
    <row r="389" spans="1:12" x14ac:dyDescent="0.25">
      <c r="A389" s="20">
        <f t="shared" si="48"/>
        <v>41550</v>
      </c>
      <c r="B389" s="117" t="s">
        <v>5</v>
      </c>
      <c r="G389" s="4">
        <f t="shared" si="49"/>
        <v>0</v>
      </c>
      <c r="H389" s="35">
        <f t="shared" si="46"/>
        <v>0</v>
      </c>
      <c r="I389" s="30" t="e">
        <f t="shared" si="47"/>
        <v>#DIV/0!</v>
      </c>
    </row>
    <row r="390" spans="1:12" x14ac:dyDescent="0.25">
      <c r="A390" s="20">
        <f t="shared" si="48"/>
        <v>41557</v>
      </c>
      <c r="B390" s="117" t="s">
        <v>5</v>
      </c>
      <c r="G390" s="4">
        <f t="shared" si="49"/>
        <v>0</v>
      </c>
      <c r="H390" s="35">
        <f t="shared" si="46"/>
        <v>0</v>
      </c>
      <c r="I390" s="30" t="e">
        <f t="shared" si="47"/>
        <v>#DIV/0!</v>
      </c>
    </row>
    <row r="391" spans="1:12" x14ac:dyDescent="0.25">
      <c r="A391" s="20">
        <f t="shared" si="48"/>
        <v>41564</v>
      </c>
      <c r="B391" s="117" t="s">
        <v>5</v>
      </c>
      <c r="G391" s="4">
        <f t="shared" si="49"/>
        <v>0</v>
      </c>
      <c r="H391" s="35">
        <f t="shared" si="46"/>
        <v>0</v>
      </c>
      <c r="I391" s="30" t="e">
        <f t="shared" si="47"/>
        <v>#DIV/0!</v>
      </c>
    </row>
    <row r="392" spans="1:12" x14ac:dyDescent="0.25">
      <c r="A392" s="20">
        <f t="shared" si="48"/>
        <v>41571</v>
      </c>
      <c r="B392" s="117" t="s">
        <v>5</v>
      </c>
      <c r="G392" s="4">
        <f t="shared" si="49"/>
        <v>0</v>
      </c>
      <c r="H392" s="35">
        <f t="shared" si="46"/>
        <v>0</v>
      </c>
      <c r="I392" s="30" t="e">
        <f t="shared" si="47"/>
        <v>#DIV/0!</v>
      </c>
    </row>
    <row r="393" spans="1:12" ht="15" x14ac:dyDescent="0.25">
      <c r="A393" s="20">
        <f t="shared" si="48"/>
        <v>41578</v>
      </c>
      <c r="B393" s="117" t="s">
        <v>5</v>
      </c>
      <c r="C393">
        <v>110</v>
      </c>
      <c r="D393">
        <v>0</v>
      </c>
      <c r="E393">
        <v>0</v>
      </c>
      <c r="F393">
        <v>0</v>
      </c>
      <c r="G393" s="4">
        <f t="shared" si="49"/>
        <v>110</v>
      </c>
      <c r="H393" s="35">
        <f t="shared" si="46"/>
        <v>0</v>
      </c>
      <c r="I393" s="30" t="e">
        <f t="shared" si="47"/>
        <v>#DIV/0!</v>
      </c>
      <c r="L393" s="123"/>
    </row>
    <row r="394" spans="1:12" x14ac:dyDescent="0.25">
      <c r="A394" s="20">
        <f t="shared" si="48"/>
        <v>41585</v>
      </c>
      <c r="B394" s="117" t="s">
        <v>5</v>
      </c>
      <c r="C394">
        <v>110</v>
      </c>
      <c r="D394">
        <v>0</v>
      </c>
      <c r="E394">
        <v>0</v>
      </c>
      <c r="F394">
        <v>0</v>
      </c>
      <c r="G394" s="4">
        <f t="shared" si="49"/>
        <v>110</v>
      </c>
      <c r="H394" s="35">
        <f t="shared" si="46"/>
        <v>0</v>
      </c>
      <c r="I394" s="30" t="e">
        <f t="shared" si="47"/>
        <v>#DIV/0!</v>
      </c>
    </row>
    <row r="395" spans="1:12" x14ac:dyDescent="0.25">
      <c r="A395" s="20">
        <f t="shared" si="48"/>
        <v>41592</v>
      </c>
      <c r="B395" s="117" t="s">
        <v>5</v>
      </c>
      <c r="C395">
        <v>170</v>
      </c>
      <c r="D395">
        <v>0</v>
      </c>
      <c r="E395">
        <v>0</v>
      </c>
      <c r="F395">
        <v>0</v>
      </c>
      <c r="G395" s="4">
        <f t="shared" si="49"/>
        <v>170</v>
      </c>
      <c r="H395" s="35">
        <f t="shared" si="46"/>
        <v>0</v>
      </c>
      <c r="I395" s="30" t="e">
        <f t="shared" si="47"/>
        <v>#DIV/0!</v>
      </c>
    </row>
    <row r="396" spans="1:12" x14ac:dyDescent="0.25">
      <c r="A396" s="20">
        <f t="shared" si="48"/>
        <v>41599</v>
      </c>
      <c r="B396" s="117" t="s">
        <v>5</v>
      </c>
      <c r="C396">
        <v>170</v>
      </c>
      <c r="D396">
        <v>0</v>
      </c>
      <c r="E396">
        <v>0</v>
      </c>
      <c r="F396">
        <v>0</v>
      </c>
      <c r="G396" s="4">
        <f t="shared" ref="G396:G401" si="50">+C396+E396</f>
        <v>170</v>
      </c>
      <c r="H396" s="35">
        <f t="shared" si="46"/>
        <v>0</v>
      </c>
      <c r="I396" s="30" t="e">
        <f t="shared" si="47"/>
        <v>#DIV/0!</v>
      </c>
    </row>
    <row r="397" spans="1:12" x14ac:dyDescent="0.25">
      <c r="A397" s="20">
        <f t="shared" si="48"/>
        <v>41606</v>
      </c>
      <c r="B397" s="117" t="s">
        <v>5</v>
      </c>
      <c r="C397">
        <v>170</v>
      </c>
      <c r="D397">
        <v>0</v>
      </c>
      <c r="E397">
        <v>0</v>
      </c>
      <c r="F397">
        <v>0</v>
      </c>
      <c r="G397" s="4">
        <f t="shared" si="50"/>
        <v>170</v>
      </c>
      <c r="H397" s="35">
        <f t="shared" si="46"/>
        <v>0</v>
      </c>
      <c r="I397" s="30" t="e">
        <f t="shared" si="47"/>
        <v>#DIV/0!</v>
      </c>
    </row>
    <row r="398" spans="1:12" x14ac:dyDescent="0.25">
      <c r="A398" s="20">
        <f t="shared" si="48"/>
        <v>41613</v>
      </c>
      <c r="B398" s="117" t="s">
        <v>5</v>
      </c>
      <c r="C398">
        <v>170</v>
      </c>
      <c r="D398">
        <v>0</v>
      </c>
      <c r="E398">
        <v>0</v>
      </c>
      <c r="F398">
        <v>0</v>
      </c>
      <c r="G398" s="4">
        <f t="shared" si="50"/>
        <v>170</v>
      </c>
      <c r="H398" s="35">
        <f t="shared" si="46"/>
        <v>0</v>
      </c>
      <c r="I398" s="30" t="e">
        <f t="shared" si="47"/>
        <v>#DIV/0!</v>
      </c>
    </row>
    <row r="399" spans="1:12" x14ac:dyDescent="0.25">
      <c r="A399" s="20">
        <f t="shared" si="48"/>
        <v>41620</v>
      </c>
      <c r="B399" s="117" t="s">
        <v>5</v>
      </c>
      <c r="C399">
        <v>170</v>
      </c>
      <c r="D399">
        <v>0</v>
      </c>
      <c r="E399">
        <v>0</v>
      </c>
      <c r="F399">
        <v>0</v>
      </c>
      <c r="G399" s="4">
        <f t="shared" si="50"/>
        <v>170</v>
      </c>
      <c r="H399" s="35">
        <f t="shared" si="46"/>
        <v>0</v>
      </c>
      <c r="I399" s="30" t="e">
        <f t="shared" si="47"/>
        <v>#DIV/0!</v>
      </c>
    </row>
    <row r="400" spans="1:12" x14ac:dyDescent="0.25">
      <c r="A400" s="20">
        <f t="shared" si="48"/>
        <v>41627</v>
      </c>
      <c r="B400" s="117" t="s">
        <v>5</v>
      </c>
      <c r="C400">
        <v>170</v>
      </c>
      <c r="D400">
        <v>0</v>
      </c>
      <c r="E400">
        <v>0</v>
      </c>
      <c r="F400">
        <v>0</v>
      </c>
      <c r="G400" s="4">
        <f t="shared" si="50"/>
        <v>170</v>
      </c>
      <c r="H400" s="35">
        <f t="shared" si="46"/>
        <v>0</v>
      </c>
      <c r="I400" s="30" t="e">
        <f t="shared" si="47"/>
        <v>#DIV/0!</v>
      </c>
    </row>
    <row r="401" spans="1:19" x14ac:dyDescent="0.25">
      <c r="A401" s="20">
        <f t="shared" si="48"/>
        <v>41634</v>
      </c>
      <c r="B401" s="117" t="s">
        <v>5</v>
      </c>
      <c r="C401">
        <v>170</v>
      </c>
      <c r="D401">
        <v>0</v>
      </c>
      <c r="E401">
        <v>118.7</v>
      </c>
      <c r="F401">
        <v>0</v>
      </c>
      <c r="G401" s="4">
        <f t="shared" si="50"/>
        <v>288.7</v>
      </c>
      <c r="H401" s="35">
        <f t="shared" si="46"/>
        <v>0</v>
      </c>
      <c r="I401" s="30" t="e">
        <f t="shared" si="47"/>
        <v>#DIV/0!</v>
      </c>
    </row>
    <row r="402" spans="1:19" x14ac:dyDescent="0.25">
      <c r="A402" s="20">
        <f t="shared" si="48"/>
        <v>41641</v>
      </c>
      <c r="B402" s="117" t="s">
        <v>5</v>
      </c>
      <c r="C402">
        <v>170</v>
      </c>
      <c r="D402">
        <v>0</v>
      </c>
      <c r="E402">
        <v>118.7</v>
      </c>
      <c r="F402">
        <v>0</v>
      </c>
      <c r="G402" s="4">
        <f>+C402+E402</f>
        <v>288.7</v>
      </c>
      <c r="H402" s="35">
        <f t="shared" si="46"/>
        <v>0</v>
      </c>
      <c r="I402" s="30" t="e">
        <f t="shared" si="47"/>
        <v>#DIV/0!</v>
      </c>
    </row>
    <row r="403" spans="1:19" x14ac:dyDescent="0.25">
      <c r="A403" s="20">
        <f t="shared" si="48"/>
        <v>41648</v>
      </c>
      <c r="B403" s="117" t="s">
        <v>5</v>
      </c>
      <c r="C403">
        <v>394</v>
      </c>
      <c r="D403" s="205">
        <f>C351</f>
        <v>0</v>
      </c>
      <c r="E403" s="143">
        <v>160</v>
      </c>
      <c r="F403" s="203">
        <f>E351</f>
        <v>0</v>
      </c>
      <c r="G403" s="4">
        <f t="shared" si="49"/>
        <v>554</v>
      </c>
      <c r="H403" s="35">
        <f t="shared" si="46"/>
        <v>0</v>
      </c>
      <c r="I403" s="30" t="e">
        <f t="shared" si="47"/>
        <v>#DIV/0!</v>
      </c>
    </row>
    <row r="404" spans="1:19" x14ac:dyDescent="0.25">
      <c r="A404" s="20">
        <f t="shared" si="48"/>
        <v>41655</v>
      </c>
      <c r="B404" s="117" t="s">
        <v>5</v>
      </c>
      <c r="C404">
        <v>639</v>
      </c>
      <c r="D404" s="205">
        <f t="shared" ref="D404:D414" si="51">C352</f>
        <v>0</v>
      </c>
      <c r="E404" s="143">
        <v>160</v>
      </c>
      <c r="F404" s="203">
        <f t="shared" ref="F404:F414" si="52">E352</f>
        <v>0</v>
      </c>
      <c r="G404" s="4">
        <f t="shared" si="49"/>
        <v>799</v>
      </c>
      <c r="H404" s="35">
        <f t="shared" ref="H404:H446" si="53">+D404+F404</f>
        <v>0</v>
      </c>
      <c r="I404" s="30" t="e">
        <f t="shared" ref="I404:I446" si="54">+(G404/H404-1)*100</f>
        <v>#DIV/0!</v>
      </c>
    </row>
    <row r="405" spans="1:19" x14ac:dyDescent="0.25">
      <c r="A405" s="20">
        <f t="shared" si="48"/>
        <v>41662</v>
      </c>
      <c r="B405" s="117" t="s">
        <v>5</v>
      </c>
      <c r="C405">
        <v>758</v>
      </c>
      <c r="D405" s="205">
        <f t="shared" si="51"/>
        <v>0</v>
      </c>
      <c r="E405">
        <v>160.1</v>
      </c>
      <c r="F405" s="203">
        <f t="shared" si="52"/>
        <v>0</v>
      </c>
      <c r="G405" s="4">
        <f t="shared" si="49"/>
        <v>918.1</v>
      </c>
      <c r="H405" s="35">
        <f t="shared" si="53"/>
        <v>0</v>
      </c>
      <c r="I405" s="30" t="e">
        <f t="shared" si="54"/>
        <v>#DIV/0!</v>
      </c>
      <c r="K405" s="59"/>
      <c r="L405" s="59"/>
      <c r="M405" s="59"/>
      <c r="N405" s="59"/>
      <c r="O405" s="59"/>
      <c r="P405" s="59"/>
      <c r="Q405" s="59"/>
      <c r="R405" s="59"/>
      <c r="S405" s="59"/>
    </row>
    <row r="406" spans="1:19" ht="15" x14ac:dyDescent="0.25">
      <c r="A406" s="20">
        <f t="shared" si="48"/>
        <v>41669</v>
      </c>
      <c r="B406" s="117" t="s">
        <v>5</v>
      </c>
      <c r="C406">
        <v>758</v>
      </c>
      <c r="D406" s="205">
        <f>C354</f>
        <v>0</v>
      </c>
      <c r="E406">
        <v>160.1</v>
      </c>
      <c r="F406" s="203">
        <f>E354</f>
        <v>0</v>
      </c>
      <c r="G406" s="4">
        <f>+C406+E406</f>
        <v>918.1</v>
      </c>
      <c r="H406" s="35">
        <f t="shared" si="53"/>
        <v>0</v>
      </c>
      <c r="I406" s="30" t="e">
        <f t="shared" si="54"/>
        <v>#DIV/0!</v>
      </c>
      <c r="K406" s="194"/>
      <c r="L406" s="59"/>
      <c r="M406" s="59"/>
      <c r="N406" s="194"/>
      <c r="O406" s="59"/>
      <c r="P406" s="59"/>
      <c r="Q406" s="59"/>
      <c r="R406" s="59"/>
      <c r="S406" s="59"/>
    </row>
    <row r="407" spans="1:19" ht="15" x14ac:dyDescent="0.25">
      <c r="A407" s="20">
        <f t="shared" si="48"/>
        <v>41676</v>
      </c>
      <c r="B407" s="117" t="s">
        <v>5</v>
      </c>
      <c r="C407">
        <v>759</v>
      </c>
      <c r="D407" s="205">
        <f>C355</f>
        <v>0</v>
      </c>
      <c r="E407">
        <v>161.1</v>
      </c>
      <c r="F407" s="203">
        <f>E355</f>
        <v>0</v>
      </c>
      <c r="G407" s="4">
        <f>+C407+E407</f>
        <v>920.1</v>
      </c>
      <c r="H407" s="35">
        <f t="shared" si="53"/>
        <v>0</v>
      </c>
      <c r="I407" s="30" t="e">
        <f t="shared" si="54"/>
        <v>#DIV/0!</v>
      </c>
      <c r="K407" s="123"/>
      <c r="L407" s="59"/>
      <c r="M407" s="194"/>
      <c r="N407" s="59"/>
      <c r="O407" s="59"/>
      <c r="P407" s="59"/>
      <c r="Q407" s="59"/>
      <c r="R407" s="59"/>
      <c r="S407" s="59"/>
    </row>
    <row r="408" spans="1:19" x14ac:dyDescent="0.25">
      <c r="A408" s="20">
        <f t="shared" si="48"/>
        <v>41683</v>
      </c>
      <c r="B408" s="117" t="s">
        <v>5</v>
      </c>
      <c r="C408">
        <v>813</v>
      </c>
      <c r="D408" s="205">
        <f t="shared" si="51"/>
        <v>0</v>
      </c>
      <c r="E408">
        <v>179.9</v>
      </c>
      <c r="F408" s="203">
        <f t="shared" si="52"/>
        <v>0</v>
      </c>
      <c r="G408" s="4">
        <f t="shared" si="49"/>
        <v>992.9</v>
      </c>
      <c r="H408" s="35">
        <f t="shared" si="53"/>
        <v>0</v>
      </c>
      <c r="I408" s="30" t="e">
        <f t="shared" si="54"/>
        <v>#DIV/0!</v>
      </c>
      <c r="K408" s="59"/>
      <c r="L408" s="59"/>
      <c r="M408" s="59"/>
      <c r="N408" s="59"/>
      <c r="O408" s="59"/>
      <c r="P408" s="59"/>
      <c r="Q408" s="59"/>
      <c r="R408" s="59"/>
      <c r="S408" s="59"/>
    </row>
    <row r="409" spans="1:19" x14ac:dyDescent="0.25">
      <c r="A409" s="20">
        <f t="shared" si="48"/>
        <v>41690</v>
      </c>
      <c r="B409" s="117" t="s">
        <v>5</v>
      </c>
      <c r="C409">
        <v>881</v>
      </c>
      <c r="D409" s="205">
        <f t="shared" si="51"/>
        <v>0</v>
      </c>
      <c r="E409">
        <v>179.9</v>
      </c>
      <c r="F409" s="203">
        <f t="shared" si="52"/>
        <v>0</v>
      </c>
      <c r="G409" s="4">
        <f t="shared" si="49"/>
        <v>1060.9000000000001</v>
      </c>
      <c r="H409" s="35">
        <f t="shared" si="53"/>
        <v>0</v>
      </c>
      <c r="I409" s="30" t="e">
        <f t="shared" si="54"/>
        <v>#DIV/0!</v>
      </c>
    </row>
    <row r="410" spans="1:19" x14ac:dyDescent="0.25">
      <c r="A410" s="20">
        <f t="shared" si="48"/>
        <v>41697</v>
      </c>
      <c r="B410" s="117" t="s">
        <v>5</v>
      </c>
      <c r="D410" s="205">
        <f t="shared" si="51"/>
        <v>0</v>
      </c>
      <c r="F410" s="203">
        <f t="shared" si="52"/>
        <v>0</v>
      </c>
      <c r="G410" s="4">
        <f t="shared" si="49"/>
        <v>0</v>
      </c>
      <c r="H410" s="35">
        <f t="shared" si="53"/>
        <v>0</v>
      </c>
      <c r="I410" s="30" t="e">
        <f t="shared" si="54"/>
        <v>#DIV/0!</v>
      </c>
    </row>
    <row r="411" spans="1:19" x14ac:dyDescent="0.25">
      <c r="A411" s="20">
        <f t="shared" si="48"/>
        <v>41704</v>
      </c>
      <c r="B411" s="117" t="s">
        <v>5</v>
      </c>
      <c r="D411" s="205">
        <f t="shared" si="51"/>
        <v>0</v>
      </c>
      <c r="F411" s="203">
        <f t="shared" si="52"/>
        <v>0</v>
      </c>
      <c r="G411" s="4">
        <f t="shared" si="49"/>
        <v>0</v>
      </c>
      <c r="H411" s="35">
        <f t="shared" si="53"/>
        <v>0</v>
      </c>
      <c r="I411" s="30" t="e">
        <f t="shared" si="54"/>
        <v>#DIV/0!</v>
      </c>
    </row>
    <row r="412" spans="1:19" x14ac:dyDescent="0.25">
      <c r="A412" s="20">
        <f t="shared" si="48"/>
        <v>41711</v>
      </c>
      <c r="B412" s="117" t="s">
        <v>5</v>
      </c>
      <c r="D412" s="205">
        <f t="shared" si="51"/>
        <v>0</v>
      </c>
      <c r="F412" s="203">
        <f t="shared" si="52"/>
        <v>0</v>
      </c>
      <c r="G412" s="4">
        <f t="shared" si="49"/>
        <v>0</v>
      </c>
      <c r="H412" s="35">
        <f t="shared" si="53"/>
        <v>0</v>
      </c>
      <c r="I412" s="30" t="e">
        <f t="shared" si="54"/>
        <v>#DIV/0!</v>
      </c>
    </row>
    <row r="413" spans="1:19" x14ac:dyDescent="0.25">
      <c r="A413" s="20">
        <f t="shared" si="48"/>
        <v>41718</v>
      </c>
      <c r="B413" s="117" t="s">
        <v>5</v>
      </c>
      <c r="D413" s="205">
        <f t="shared" si="51"/>
        <v>0</v>
      </c>
      <c r="F413" s="203">
        <f t="shared" si="52"/>
        <v>0</v>
      </c>
      <c r="G413" s="4">
        <f t="shared" si="49"/>
        <v>0</v>
      </c>
      <c r="H413" s="35">
        <f t="shared" si="53"/>
        <v>0</v>
      </c>
      <c r="I413" s="30" t="e">
        <f t="shared" si="54"/>
        <v>#DIV/0!</v>
      </c>
    </row>
    <row r="414" spans="1:19" x14ac:dyDescent="0.25">
      <c r="A414" s="20">
        <f t="shared" si="48"/>
        <v>41725</v>
      </c>
      <c r="B414" s="117" t="s">
        <v>5</v>
      </c>
      <c r="D414" s="205">
        <f t="shared" si="51"/>
        <v>0</v>
      </c>
      <c r="F414" s="203">
        <f t="shared" si="52"/>
        <v>0</v>
      </c>
      <c r="G414" s="4">
        <f t="shared" si="49"/>
        <v>0</v>
      </c>
      <c r="H414" s="35">
        <f t="shared" si="53"/>
        <v>0</v>
      </c>
      <c r="I414" s="30" t="e">
        <f t="shared" si="54"/>
        <v>#DIV/0!</v>
      </c>
    </row>
    <row r="415" spans="1:19" x14ac:dyDescent="0.25">
      <c r="A415" s="20">
        <f t="shared" si="48"/>
        <v>41732</v>
      </c>
      <c r="B415" s="117" t="s">
        <v>5</v>
      </c>
      <c r="G415" s="4">
        <f t="shared" si="49"/>
        <v>0</v>
      </c>
      <c r="H415" s="35">
        <f t="shared" si="53"/>
        <v>0</v>
      </c>
      <c r="I415" s="30" t="e">
        <f t="shared" si="54"/>
        <v>#DIV/0!</v>
      </c>
    </row>
    <row r="416" spans="1:19" x14ac:dyDescent="0.25">
      <c r="A416" s="20">
        <f t="shared" si="48"/>
        <v>41739</v>
      </c>
      <c r="B416" s="117" t="s">
        <v>5</v>
      </c>
      <c r="G416" s="4">
        <f t="shared" si="49"/>
        <v>0</v>
      </c>
      <c r="H416" s="35">
        <f t="shared" si="53"/>
        <v>0</v>
      </c>
      <c r="I416" s="30" t="e">
        <f t="shared" si="54"/>
        <v>#DIV/0!</v>
      </c>
    </row>
    <row r="417" spans="1:9" x14ac:dyDescent="0.25">
      <c r="A417" s="20">
        <f t="shared" si="48"/>
        <v>41746</v>
      </c>
      <c r="B417" s="117" t="s">
        <v>5</v>
      </c>
      <c r="G417" s="4">
        <f t="shared" si="49"/>
        <v>0</v>
      </c>
      <c r="H417" s="35">
        <f t="shared" si="53"/>
        <v>0</v>
      </c>
      <c r="I417" s="30" t="e">
        <f t="shared" si="54"/>
        <v>#DIV/0!</v>
      </c>
    </row>
    <row r="418" spans="1:9" x14ac:dyDescent="0.25">
      <c r="A418" s="20">
        <f t="shared" si="48"/>
        <v>41753</v>
      </c>
      <c r="B418" s="117" t="s">
        <v>5</v>
      </c>
      <c r="G418" s="4">
        <f t="shared" si="49"/>
        <v>0</v>
      </c>
      <c r="H418" s="35">
        <f t="shared" si="53"/>
        <v>0</v>
      </c>
      <c r="I418" s="30" t="e">
        <f t="shared" si="54"/>
        <v>#DIV/0!</v>
      </c>
    </row>
    <row r="419" spans="1:9" x14ac:dyDescent="0.25">
      <c r="A419" s="20">
        <f t="shared" si="48"/>
        <v>41760</v>
      </c>
      <c r="B419" s="117" t="s">
        <v>5</v>
      </c>
      <c r="G419" s="4">
        <f t="shared" si="49"/>
        <v>0</v>
      </c>
      <c r="H419" s="35">
        <f t="shared" si="53"/>
        <v>0</v>
      </c>
      <c r="I419" s="30" t="e">
        <f t="shared" si="54"/>
        <v>#DIV/0!</v>
      </c>
    </row>
    <row r="420" spans="1:9" x14ac:dyDescent="0.25">
      <c r="A420" s="20">
        <f t="shared" si="48"/>
        <v>41767</v>
      </c>
      <c r="B420" s="117" t="s">
        <v>5</v>
      </c>
      <c r="G420" s="4">
        <f t="shared" si="49"/>
        <v>0</v>
      </c>
      <c r="H420" s="35">
        <f t="shared" si="53"/>
        <v>0</v>
      </c>
      <c r="I420" s="30" t="e">
        <f t="shared" si="54"/>
        <v>#DIV/0!</v>
      </c>
    </row>
    <row r="421" spans="1:9" x14ac:dyDescent="0.25">
      <c r="A421" s="20">
        <f t="shared" si="48"/>
        <v>41774</v>
      </c>
      <c r="B421" s="117" t="s">
        <v>5</v>
      </c>
      <c r="G421" s="4">
        <f t="shared" si="49"/>
        <v>0</v>
      </c>
      <c r="H421" s="35">
        <f t="shared" si="53"/>
        <v>0</v>
      </c>
      <c r="I421" s="30" t="e">
        <f t="shared" si="54"/>
        <v>#DIV/0!</v>
      </c>
    </row>
    <row r="422" spans="1:9" x14ac:dyDescent="0.25">
      <c r="A422" s="20">
        <f t="shared" si="48"/>
        <v>41781</v>
      </c>
      <c r="B422" s="117" t="s">
        <v>5</v>
      </c>
      <c r="G422" s="4">
        <f t="shared" si="49"/>
        <v>0</v>
      </c>
      <c r="H422" s="35">
        <f t="shared" si="53"/>
        <v>0</v>
      </c>
      <c r="I422" s="30" t="e">
        <f t="shared" si="54"/>
        <v>#DIV/0!</v>
      </c>
    </row>
    <row r="423" spans="1:9" x14ac:dyDescent="0.25">
      <c r="A423" s="20">
        <f t="shared" si="48"/>
        <v>41788</v>
      </c>
      <c r="B423" s="117" t="s">
        <v>5</v>
      </c>
      <c r="G423" s="4">
        <f t="shared" si="49"/>
        <v>0</v>
      </c>
      <c r="H423" s="35">
        <f t="shared" si="53"/>
        <v>0</v>
      </c>
      <c r="I423" s="30" t="e">
        <f t="shared" si="54"/>
        <v>#DIV/0!</v>
      </c>
    </row>
    <row r="424" spans="1:9" x14ac:dyDescent="0.25">
      <c r="A424" s="20">
        <f t="shared" si="48"/>
        <v>41795</v>
      </c>
      <c r="B424" s="117" t="s">
        <v>5</v>
      </c>
      <c r="G424" s="4">
        <f t="shared" si="49"/>
        <v>0</v>
      </c>
      <c r="H424" s="35">
        <f t="shared" si="53"/>
        <v>0</v>
      </c>
      <c r="I424" s="30" t="e">
        <f t="shared" si="54"/>
        <v>#DIV/0!</v>
      </c>
    </row>
    <row r="425" spans="1:9" x14ac:dyDescent="0.25">
      <c r="A425" s="20">
        <f t="shared" si="48"/>
        <v>41802</v>
      </c>
      <c r="B425" s="117" t="s">
        <v>5</v>
      </c>
      <c r="G425" s="4">
        <f t="shared" si="49"/>
        <v>0</v>
      </c>
      <c r="H425" s="35">
        <f t="shared" si="53"/>
        <v>0</v>
      </c>
      <c r="I425" s="30" t="e">
        <f t="shared" si="54"/>
        <v>#DIV/0!</v>
      </c>
    </row>
    <row r="426" spans="1:9" x14ac:dyDescent="0.25">
      <c r="A426" s="20">
        <f t="shared" si="48"/>
        <v>41809</v>
      </c>
      <c r="B426" s="117" t="s">
        <v>5</v>
      </c>
      <c r="G426" s="4">
        <f t="shared" si="49"/>
        <v>0</v>
      </c>
      <c r="H426" s="35">
        <f t="shared" si="53"/>
        <v>0</v>
      </c>
      <c r="I426" s="30" t="e">
        <f t="shared" si="54"/>
        <v>#DIV/0!</v>
      </c>
    </row>
    <row r="427" spans="1:9" x14ac:dyDescent="0.25">
      <c r="A427" s="20">
        <f t="shared" si="48"/>
        <v>41816</v>
      </c>
      <c r="B427" s="117" t="s">
        <v>5</v>
      </c>
      <c r="G427" s="4">
        <f t="shared" si="49"/>
        <v>0</v>
      </c>
      <c r="H427" s="35">
        <f t="shared" si="53"/>
        <v>0</v>
      </c>
      <c r="I427" s="30" t="e">
        <f t="shared" si="54"/>
        <v>#DIV/0!</v>
      </c>
    </row>
    <row r="428" spans="1:9" x14ac:dyDescent="0.25">
      <c r="A428" s="20">
        <f t="shared" si="48"/>
        <v>41823</v>
      </c>
      <c r="B428" s="117" t="s">
        <v>5</v>
      </c>
      <c r="G428" s="4">
        <f t="shared" si="49"/>
        <v>0</v>
      </c>
      <c r="H428" s="35">
        <f t="shared" si="53"/>
        <v>0</v>
      </c>
      <c r="I428" s="30" t="e">
        <f t="shared" si="54"/>
        <v>#DIV/0!</v>
      </c>
    </row>
    <row r="429" spans="1:9" x14ac:dyDescent="0.25">
      <c r="A429" s="20">
        <f t="shared" si="48"/>
        <v>41830</v>
      </c>
      <c r="B429" s="117" t="s">
        <v>5</v>
      </c>
      <c r="G429" s="4">
        <f t="shared" si="49"/>
        <v>0</v>
      </c>
      <c r="H429" s="35">
        <f t="shared" si="53"/>
        <v>0</v>
      </c>
      <c r="I429" s="30" t="e">
        <f t="shared" si="54"/>
        <v>#DIV/0!</v>
      </c>
    </row>
    <row r="430" spans="1:9" x14ac:dyDescent="0.25">
      <c r="A430" s="20">
        <f t="shared" si="48"/>
        <v>41837</v>
      </c>
      <c r="B430" s="117" t="s">
        <v>5</v>
      </c>
      <c r="G430" s="4">
        <f t="shared" si="49"/>
        <v>0</v>
      </c>
      <c r="H430" s="35">
        <f t="shared" si="53"/>
        <v>0</v>
      </c>
      <c r="I430" s="30" t="e">
        <f t="shared" si="54"/>
        <v>#DIV/0!</v>
      </c>
    </row>
    <row r="431" spans="1:9" x14ac:dyDescent="0.25">
      <c r="A431" s="20">
        <f t="shared" si="48"/>
        <v>41844</v>
      </c>
      <c r="B431" s="117" t="s">
        <v>5</v>
      </c>
      <c r="G431" s="4">
        <f t="shared" si="49"/>
        <v>0</v>
      </c>
      <c r="H431" s="35">
        <f t="shared" si="53"/>
        <v>0</v>
      </c>
      <c r="I431" s="30" t="e">
        <f t="shared" si="54"/>
        <v>#DIV/0!</v>
      </c>
    </row>
    <row r="432" spans="1:9" x14ac:dyDescent="0.25">
      <c r="A432" s="20">
        <f t="shared" si="48"/>
        <v>41851</v>
      </c>
      <c r="B432" s="117" t="s">
        <v>5</v>
      </c>
      <c r="G432" s="4">
        <f t="shared" si="49"/>
        <v>0</v>
      </c>
      <c r="H432" s="35">
        <f t="shared" si="53"/>
        <v>0</v>
      </c>
      <c r="I432" s="30" t="e">
        <f t="shared" si="54"/>
        <v>#DIV/0!</v>
      </c>
    </row>
    <row r="433" spans="1:9" x14ac:dyDescent="0.25">
      <c r="A433" s="20">
        <f t="shared" si="48"/>
        <v>41858</v>
      </c>
      <c r="B433" s="117" t="s">
        <v>5</v>
      </c>
      <c r="G433" s="4">
        <f t="shared" si="49"/>
        <v>0</v>
      </c>
      <c r="H433" s="35">
        <f t="shared" si="53"/>
        <v>0</v>
      </c>
      <c r="I433" s="30" t="e">
        <f t="shared" si="54"/>
        <v>#DIV/0!</v>
      </c>
    </row>
    <row r="434" spans="1:9" x14ac:dyDescent="0.25">
      <c r="A434" s="20">
        <f t="shared" si="48"/>
        <v>41865</v>
      </c>
      <c r="B434" s="117" t="s">
        <v>5</v>
      </c>
      <c r="G434" s="4">
        <f t="shared" si="49"/>
        <v>0</v>
      </c>
      <c r="H434" s="35">
        <f t="shared" si="53"/>
        <v>0</v>
      </c>
      <c r="I434" s="30" t="e">
        <f t="shared" si="54"/>
        <v>#DIV/0!</v>
      </c>
    </row>
    <row r="435" spans="1:9" x14ac:dyDescent="0.25">
      <c r="A435" s="20">
        <f t="shared" si="48"/>
        <v>41872</v>
      </c>
      <c r="B435" s="117" t="s">
        <v>5</v>
      </c>
      <c r="G435" s="4">
        <f t="shared" si="49"/>
        <v>0</v>
      </c>
      <c r="H435" s="35">
        <f t="shared" si="53"/>
        <v>0</v>
      </c>
      <c r="I435" s="30" t="e">
        <f t="shared" si="54"/>
        <v>#DIV/0!</v>
      </c>
    </row>
    <row r="436" spans="1:9" x14ac:dyDescent="0.25">
      <c r="A436" s="20">
        <f t="shared" si="48"/>
        <v>41879</v>
      </c>
      <c r="B436" s="117" t="s">
        <v>5</v>
      </c>
      <c r="G436" s="4">
        <f t="shared" si="49"/>
        <v>0</v>
      </c>
      <c r="H436" s="35">
        <f t="shared" si="53"/>
        <v>0</v>
      </c>
      <c r="I436" s="30" t="e">
        <f t="shared" si="54"/>
        <v>#DIV/0!</v>
      </c>
    </row>
    <row r="437" spans="1:9" x14ac:dyDescent="0.25">
      <c r="A437" s="20">
        <f t="shared" si="48"/>
        <v>41886</v>
      </c>
      <c r="B437" s="117" t="s">
        <v>5</v>
      </c>
      <c r="G437" s="4">
        <f t="shared" si="49"/>
        <v>0</v>
      </c>
      <c r="H437" s="35">
        <f t="shared" si="53"/>
        <v>0</v>
      </c>
      <c r="I437" s="30" t="e">
        <f t="shared" si="54"/>
        <v>#DIV/0!</v>
      </c>
    </row>
    <row r="438" spans="1:9" x14ac:dyDescent="0.25">
      <c r="A438" s="20">
        <f t="shared" si="48"/>
        <v>41893</v>
      </c>
      <c r="B438" s="117" t="s">
        <v>5</v>
      </c>
      <c r="G438" s="4">
        <f t="shared" si="49"/>
        <v>0</v>
      </c>
      <c r="H438" s="35">
        <f t="shared" si="53"/>
        <v>0</v>
      </c>
      <c r="I438" s="30" t="e">
        <f t="shared" si="54"/>
        <v>#DIV/0!</v>
      </c>
    </row>
    <row r="439" spans="1:9" x14ac:dyDescent="0.25">
      <c r="A439" s="20">
        <f t="shared" si="48"/>
        <v>41900</v>
      </c>
      <c r="B439" s="117" t="s">
        <v>5</v>
      </c>
      <c r="G439" s="4">
        <f t="shared" si="49"/>
        <v>0</v>
      </c>
      <c r="H439" s="35">
        <f t="shared" si="53"/>
        <v>0</v>
      </c>
      <c r="I439" s="30" t="e">
        <f t="shared" si="54"/>
        <v>#DIV/0!</v>
      </c>
    </row>
    <row r="440" spans="1:9" x14ac:dyDescent="0.25">
      <c r="A440" s="20">
        <f t="shared" si="48"/>
        <v>41907</v>
      </c>
      <c r="B440" s="117" t="s">
        <v>5</v>
      </c>
      <c r="G440" s="4">
        <f t="shared" si="49"/>
        <v>0</v>
      </c>
      <c r="H440" s="35">
        <f t="shared" si="53"/>
        <v>0</v>
      </c>
      <c r="I440" s="30" t="e">
        <f t="shared" si="54"/>
        <v>#DIV/0!</v>
      </c>
    </row>
    <row r="441" spans="1:9" x14ac:dyDescent="0.25">
      <c r="A441" s="20">
        <f t="shared" si="48"/>
        <v>41914</v>
      </c>
      <c r="B441" s="117" t="s">
        <v>5</v>
      </c>
      <c r="G441" s="4">
        <f t="shared" si="49"/>
        <v>0</v>
      </c>
      <c r="H441" s="35">
        <f t="shared" si="53"/>
        <v>0</v>
      </c>
      <c r="I441" s="30" t="e">
        <f t="shared" si="54"/>
        <v>#DIV/0!</v>
      </c>
    </row>
    <row r="442" spans="1:9" x14ac:dyDescent="0.25">
      <c r="A442" s="20">
        <f t="shared" si="48"/>
        <v>41921</v>
      </c>
      <c r="B442" s="117" t="s">
        <v>5</v>
      </c>
      <c r="G442" s="4">
        <f t="shared" si="49"/>
        <v>0</v>
      </c>
      <c r="H442" s="35">
        <f t="shared" si="53"/>
        <v>0</v>
      </c>
      <c r="I442" s="30" t="e">
        <f t="shared" si="54"/>
        <v>#DIV/0!</v>
      </c>
    </row>
    <row r="443" spans="1:9" x14ac:dyDescent="0.25">
      <c r="A443" s="20">
        <f t="shared" si="48"/>
        <v>41928</v>
      </c>
      <c r="B443" s="117" t="s">
        <v>5</v>
      </c>
      <c r="G443" s="4">
        <f t="shared" si="49"/>
        <v>0</v>
      </c>
      <c r="H443" s="35">
        <f t="shared" si="53"/>
        <v>0</v>
      </c>
      <c r="I443" s="30" t="e">
        <f t="shared" si="54"/>
        <v>#DIV/0!</v>
      </c>
    </row>
    <row r="444" spans="1:9" x14ac:dyDescent="0.25">
      <c r="A444" s="20">
        <f t="shared" si="48"/>
        <v>41935</v>
      </c>
      <c r="B444" s="117" t="s">
        <v>5</v>
      </c>
      <c r="G444" s="4">
        <f t="shared" si="49"/>
        <v>0</v>
      </c>
      <c r="H444" s="35">
        <f t="shared" si="53"/>
        <v>0</v>
      </c>
      <c r="I444" s="30" t="e">
        <f t="shared" si="54"/>
        <v>#DIV/0!</v>
      </c>
    </row>
    <row r="445" spans="1:9" x14ac:dyDescent="0.25">
      <c r="A445" s="20">
        <f t="shared" si="48"/>
        <v>41942</v>
      </c>
      <c r="B445" s="117" t="s">
        <v>5</v>
      </c>
      <c r="G445" s="4">
        <f t="shared" si="49"/>
        <v>0</v>
      </c>
      <c r="H445" s="35">
        <f t="shared" si="53"/>
        <v>0</v>
      </c>
      <c r="I445" s="30" t="e">
        <f t="shared" si="54"/>
        <v>#DIV/0!</v>
      </c>
    </row>
    <row r="446" spans="1:9" x14ac:dyDescent="0.25">
      <c r="A446" s="20">
        <f t="shared" ref="A446:A509" si="55">+A445+7</f>
        <v>41949</v>
      </c>
      <c r="B446" s="117" t="s">
        <v>5</v>
      </c>
      <c r="G446" s="4">
        <f t="shared" si="49"/>
        <v>0</v>
      </c>
      <c r="H446" s="35">
        <f t="shared" si="53"/>
        <v>0</v>
      </c>
      <c r="I446" s="30" t="e">
        <f t="shared" si="54"/>
        <v>#DIV/0!</v>
      </c>
    </row>
    <row r="447" spans="1:9" x14ac:dyDescent="0.25">
      <c r="A447" s="20">
        <f t="shared" si="55"/>
        <v>41956</v>
      </c>
      <c r="B447" s="117" t="s">
        <v>5</v>
      </c>
    </row>
    <row r="448" spans="1:9" x14ac:dyDescent="0.25">
      <c r="A448" s="20">
        <f t="shared" si="55"/>
        <v>41963</v>
      </c>
      <c r="B448" s="117" t="s">
        <v>5</v>
      </c>
    </row>
    <row r="449" spans="1:2" x14ac:dyDescent="0.25">
      <c r="A449" s="20">
        <f t="shared" si="55"/>
        <v>41970</v>
      </c>
      <c r="B449" s="117" t="s">
        <v>5</v>
      </c>
    </row>
    <row r="450" spans="1:2" x14ac:dyDescent="0.25">
      <c r="A450" s="20">
        <f t="shared" si="55"/>
        <v>41977</v>
      </c>
      <c r="B450" s="117" t="s">
        <v>5</v>
      </c>
    </row>
    <row r="451" spans="1:2" x14ac:dyDescent="0.25">
      <c r="A451" s="20">
        <f t="shared" si="55"/>
        <v>41984</v>
      </c>
      <c r="B451" s="117" t="s">
        <v>5</v>
      </c>
    </row>
    <row r="452" spans="1:2" x14ac:dyDescent="0.25">
      <c r="A452" s="20">
        <f t="shared" si="55"/>
        <v>41991</v>
      </c>
      <c r="B452" s="117" t="s">
        <v>5</v>
      </c>
    </row>
    <row r="453" spans="1:2" x14ac:dyDescent="0.25">
      <c r="A453" s="20">
        <f t="shared" si="55"/>
        <v>41998</v>
      </c>
      <c r="B453" s="117" t="s">
        <v>5</v>
      </c>
    </row>
    <row r="454" spans="1:2" x14ac:dyDescent="0.25">
      <c r="A454" s="20">
        <f t="shared" si="55"/>
        <v>42005</v>
      </c>
      <c r="B454" s="117" t="s">
        <v>5</v>
      </c>
    </row>
    <row r="455" spans="1:2" x14ac:dyDescent="0.25">
      <c r="A455" s="20">
        <f t="shared" si="55"/>
        <v>42012</v>
      </c>
      <c r="B455" s="117" t="s">
        <v>5</v>
      </c>
    </row>
    <row r="456" spans="1:2" x14ac:dyDescent="0.25">
      <c r="A456" s="20">
        <f t="shared" si="55"/>
        <v>42019</v>
      </c>
      <c r="B456" s="117" t="s">
        <v>5</v>
      </c>
    </row>
    <row r="457" spans="1:2" x14ac:dyDescent="0.25">
      <c r="A457" s="20">
        <f t="shared" si="55"/>
        <v>42026</v>
      </c>
      <c r="B457" s="117" t="s">
        <v>5</v>
      </c>
    </row>
    <row r="458" spans="1:2" x14ac:dyDescent="0.25">
      <c r="A458" s="20">
        <f t="shared" si="55"/>
        <v>42033</v>
      </c>
      <c r="B458" s="117" t="s">
        <v>5</v>
      </c>
    </row>
    <row r="459" spans="1:2" x14ac:dyDescent="0.25">
      <c r="A459" s="20">
        <f t="shared" si="55"/>
        <v>42040</v>
      </c>
      <c r="B459" s="117" t="s">
        <v>5</v>
      </c>
    </row>
    <row r="460" spans="1:2" x14ac:dyDescent="0.25">
      <c r="A460" s="20">
        <f t="shared" si="55"/>
        <v>42047</v>
      </c>
      <c r="B460" s="117" t="s">
        <v>5</v>
      </c>
    </row>
    <row r="461" spans="1:2" x14ac:dyDescent="0.25">
      <c r="A461" s="20">
        <f t="shared" si="55"/>
        <v>42054</v>
      </c>
      <c r="B461" s="117" t="s">
        <v>5</v>
      </c>
    </row>
    <row r="462" spans="1:2" x14ac:dyDescent="0.25">
      <c r="A462" s="20">
        <f t="shared" si="55"/>
        <v>42061</v>
      </c>
      <c r="B462" s="117" t="s">
        <v>5</v>
      </c>
    </row>
    <row r="463" spans="1:2" x14ac:dyDescent="0.25">
      <c r="A463" s="20">
        <f t="shared" si="55"/>
        <v>42068</v>
      </c>
      <c r="B463" s="117" t="s">
        <v>5</v>
      </c>
    </row>
    <row r="464" spans="1:2" x14ac:dyDescent="0.25">
      <c r="A464" s="20">
        <f t="shared" si="55"/>
        <v>42075</v>
      </c>
      <c r="B464" s="117" t="s">
        <v>5</v>
      </c>
    </row>
    <row r="465" spans="1:2" x14ac:dyDescent="0.25">
      <c r="A465" s="20">
        <f t="shared" si="55"/>
        <v>42082</v>
      </c>
      <c r="B465" s="117" t="s">
        <v>5</v>
      </c>
    </row>
    <row r="466" spans="1:2" x14ac:dyDescent="0.25">
      <c r="A466" s="20">
        <f t="shared" si="55"/>
        <v>42089</v>
      </c>
      <c r="B466" s="117" t="s">
        <v>5</v>
      </c>
    </row>
    <row r="467" spans="1:2" x14ac:dyDescent="0.25">
      <c r="A467" s="20">
        <f t="shared" si="55"/>
        <v>42096</v>
      </c>
      <c r="B467" s="117" t="s">
        <v>5</v>
      </c>
    </row>
    <row r="468" spans="1:2" x14ac:dyDescent="0.25">
      <c r="A468" s="20">
        <f t="shared" si="55"/>
        <v>42103</v>
      </c>
      <c r="B468" s="117" t="s">
        <v>5</v>
      </c>
    </row>
    <row r="469" spans="1:2" x14ac:dyDescent="0.25">
      <c r="A469" s="20">
        <f t="shared" si="55"/>
        <v>42110</v>
      </c>
      <c r="B469" s="117" t="s">
        <v>5</v>
      </c>
    </row>
    <row r="470" spans="1:2" x14ac:dyDescent="0.25">
      <c r="A470" s="20">
        <f t="shared" si="55"/>
        <v>42117</v>
      </c>
      <c r="B470" s="117" t="s">
        <v>5</v>
      </c>
    </row>
    <row r="471" spans="1:2" x14ac:dyDescent="0.25">
      <c r="A471" s="20">
        <f t="shared" si="55"/>
        <v>42124</v>
      </c>
      <c r="B471" s="117" t="s">
        <v>5</v>
      </c>
    </row>
    <row r="472" spans="1:2" x14ac:dyDescent="0.25">
      <c r="A472" s="20">
        <f t="shared" si="55"/>
        <v>42131</v>
      </c>
      <c r="B472" s="117" t="s">
        <v>5</v>
      </c>
    </row>
    <row r="473" spans="1:2" x14ac:dyDescent="0.25">
      <c r="A473" s="20">
        <f t="shared" si="55"/>
        <v>42138</v>
      </c>
      <c r="B473" s="117" t="s">
        <v>5</v>
      </c>
    </row>
    <row r="474" spans="1:2" x14ac:dyDescent="0.25">
      <c r="A474" s="20">
        <f t="shared" si="55"/>
        <v>42145</v>
      </c>
      <c r="B474" s="117" t="s">
        <v>5</v>
      </c>
    </row>
    <row r="475" spans="1:2" x14ac:dyDescent="0.25">
      <c r="A475" s="20">
        <f t="shared" si="55"/>
        <v>42152</v>
      </c>
      <c r="B475" s="117" t="s">
        <v>5</v>
      </c>
    </row>
    <row r="476" spans="1:2" x14ac:dyDescent="0.25">
      <c r="A476" s="20">
        <f t="shared" si="55"/>
        <v>42159</v>
      </c>
      <c r="B476" s="117" t="s">
        <v>5</v>
      </c>
    </row>
    <row r="477" spans="1:2" x14ac:dyDescent="0.25">
      <c r="A477" s="20">
        <f t="shared" si="55"/>
        <v>42166</v>
      </c>
      <c r="B477" s="117" t="s">
        <v>5</v>
      </c>
    </row>
    <row r="478" spans="1:2" x14ac:dyDescent="0.25">
      <c r="A478" s="20">
        <f t="shared" si="55"/>
        <v>42173</v>
      </c>
      <c r="B478" s="117" t="s">
        <v>5</v>
      </c>
    </row>
    <row r="479" spans="1:2" x14ac:dyDescent="0.25">
      <c r="A479" s="20">
        <f t="shared" si="55"/>
        <v>42180</v>
      </c>
      <c r="B479" s="117" t="s">
        <v>5</v>
      </c>
    </row>
    <row r="480" spans="1:2" x14ac:dyDescent="0.25">
      <c r="A480" s="20">
        <f t="shared" si="55"/>
        <v>42187</v>
      </c>
      <c r="B480" s="117" t="s">
        <v>5</v>
      </c>
    </row>
    <row r="481" spans="1:2" x14ac:dyDescent="0.25">
      <c r="A481" s="20">
        <f t="shared" si="55"/>
        <v>42194</v>
      </c>
      <c r="B481" s="117" t="s">
        <v>5</v>
      </c>
    </row>
    <row r="482" spans="1:2" x14ac:dyDescent="0.25">
      <c r="A482" s="20">
        <f t="shared" si="55"/>
        <v>42201</v>
      </c>
      <c r="B482" s="117" t="s">
        <v>5</v>
      </c>
    </row>
    <row r="483" spans="1:2" x14ac:dyDescent="0.25">
      <c r="A483" s="20">
        <f t="shared" si="55"/>
        <v>42208</v>
      </c>
      <c r="B483" s="117" t="s">
        <v>5</v>
      </c>
    </row>
    <row r="484" spans="1:2" x14ac:dyDescent="0.25">
      <c r="A484" s="20">
        <f t="shared" si="55"/>
        <v>42215</v>
      </c>
      <c r="B484" s="117" t="s">
        <v>5</v>
      </c>
    </row>
    <row r="485" spans="1:2" x14ac:dyDescent="0.25">
      <c r="A485" s="20">
        <f t="shared" si="55"/>
        <v>42222</v>
      </c>
      <c r="B485" s="117" t="s">
        <v>5</v>
      </c>
    </row>
    <row r="486" spans="1:2" x14ac:dyDescent="0.25">
      <c r="A486" s="20">
        <f t="shared" si="55"/>
        <v>42229</v>
      </c>
      <c r="B486" s="117" t="s">
        <v>5</v>
      </c>
    </row>
    <row r="487" spans="1:2" x14ac:dyDescent="0.25">
      <c r="A487" s="20">
        <f t="shared" si="55"/>
        <v>42236</v>
      </c>
      <c r="B487" s="117" t="s">
        <v>5</v>
      </c>
    </row>
    <row r="488" spans="1:2" x14ac:dyDescent="0.25">
      <c r="A488" s="20">
        <f t="shared" si="55"/>
        <v>42243</v>
      </c>
      <c r="B488" s="117" t="s">
        <v>5</v>
      </c>
    </row>
    <row r="489" spans="1:2" x14ac:dyDescent="0.25">
      <c r="A489" s="20">
        <f t="shared" si="55"/>
        <v>42250</v>
      </c>
      <c r="B489" s="117" t="s">
        <v>5</v>
      </c>
    </row>
    <row r="490" spans="1:2" x14ac:dyDescent="0.25">
      <c r="A490" s="20">
        <f t="shared" si="55"/>
        <v>42257</v>
      </c>
      <c r="B490" s="117" t="s">
        <v>5</v>
      </c>
    </row>
    <row r="491" spans="1:2" x14ac:dyDescent="0.25">
      <c r="A491" s="20">
        <f t="shared" si="55"/>
        <v>42264</v>
      </c>
      <c r="B491" s="117" t="s">
        <v>5</v>
      </c>
    </row>
    <row r="492" spans="1:2" x14ac:dyDescent="0.25">
      <c r="A492" s="20">
        <f t="shared" si="55"/>
        <v>42271</v>
      </c>
      <c r="B492" s="117" t="s">
        <v>5</v>
      </c>
    </row>
    <row r="493" spans="1:2" x14ac:dyDescent="0.25">
      <c r="A493" s="20">
        <f t="shared" si="55"/>
        <v>42278</v>
      </c>
      <c r="B493" s="117" t="s">
        <v>5</v>
      </c>
    </row>
    <row r="494" spans="1:2" x14ac:dyDescent="0.25">
      <c r="A494" s="20">
        <f t="shared" si="55"/>
        <v>42285</v>
      </c>
      <c r="B494" s="117" t="s">
        <v>5</v>
      </c>
    </row>
    <row r="495" spans="1:2" x14ac:dyDescent="0.25">
      <c r="A495" s="20">
        <f t="shared" si="55"/>
        <v>42292</v>
      </c>
      <c r="B495" s="117" t="s">
        <v>5</v>
      </c>
    </row>
    <row r="496" spans="1:2" x14ac:dyDescent="0.25">
      <c r="A496" s="20">
        <f t="shared" si="55"/>
        <v>42299</v>
      </c>
      <c r="B496" s="117" t="s">
        <v>5</v>
      </c>
    </row>
    <row r="497" spans="1:2" x14ac:dyDescent="0.25">
      <c r="A497" s="20">
        <f t="shared" si="55"/>
        <v>42306</v>
      </c>
      <c r="B497" s="117" t="s">
        <v>5</v>
      </c>
    </row>
    <row r="498" spans="1:2" x14ac:dyDescent="0.25">
      <c r="A498" s="20">
        <f t="shared" si="55"/>
        <v>42313</v>
      </c>
      <c r="B498" s="117" t="s">
        <v>5</v>
      </c>
    </row>
    <row r="499" spans="1:2" x14ac:dyDescent="0.25">
      <c r="A499" s="20">
        <f t="shared" si="55"/>
        <v>42320</v>
      </c>
      <c r="B499" s="117" t="s">
        <v>5</v>
      </c>
    </row>
    <row r="500" spans="1:2" x14ac:dyDescent="0.25">
      <c r="A500" s="20">
        <f t="shared" si="55"/>
        <v>42327</v>
      </c>
      <c r="B500" s="117" t="s">
        <v>5</v>
      </c>
    </row>
    <row r="501" spans="1:2" x14ac:dyDescent="0.25">
      <c r="A501" s="20">
        <f t="shared" si="55"/>
        <v>42334</v>
      </c>
      <c r="B501" s="117" t="s">
        <v>5</v>
      </c>
    </row>
    <row r="502" spans="1:2" x14ac:dyDescent="0.25">
      <c r="A502" s="20">
        <f t="shared" si="55"/>
        <v>42341</v>
      </c>
      <c r="B502" s="117" t="s">
        <v>5</v>
      </c>
    </row>
    <row r="503" spans="1:2" x14ac:dyDescent="0.25">
      <c r="A503" s="20">
        <f t="shared" si="55"/>
        <v>42348</v>
      </c>
      <c r="B503" s="117" t="s">
        <v>5</v>
      </c>
    </row>
    <row r="504" spans="1:2" x14ac:dyDescent="0.25">
      <c r="A504" s="20">
        <f t="shared" si="55"/>
        <v>42355</v>
      </c>
      <c r="B504" s="117" t="s">
        <v>5</v>
      </c>
    </row>
    <row r="505" spans="1:2" x14ac:dyDescent="0.25">
      <c r="A505" s="20">
        <f t="shared" si="55"/>
        <v>42362</v>
      </c>
      <c r="B505" s="117" t="s">
        <v>5</v>
      </c>
    </row>
    <row r="506" spans="1:2" x14ac:dyDescent="0.25">
      <c r="A506" s="20">
        <f t="shared" si="55"/>
        <v>42369</v>
      </c>
      <c r="B506" s="117" t="s">
        <v>5</v>
      </c>
    </row>
    <row r="507" spans="1:2" x14ac:dyDescent="0.25">
      <c r="A507" s="20">
        <f t="shared" si="55"/>
        <v>42376</v>
      </c>
      <c r="B507" s="117" t="s">
        <v>5</v>
      </c>
    </row>
    <row r="508" spans="1:2" x14ac:dyDescent="0.25">
      <c r="A508" s="20">
        <f t="shared" si="55"/>
        <v>42383</v>
      </c>
      <c r="B508" s="117" t="s">
        <v>5</v>
      </c>
    </row>
    <row r="509" spans="1:2" x14ac:dyDescent="0.25">
      <c r="A509" s="20">
        <f t="shared" si="55"/>
        <v>42390</v>
      </c>
      <c r="B509" s="117" t="s">
        <v>5</v>
      </c>
    </row>
    <row r="510" spans="1:2" x14ac:dyDescent="0.25">
      <c r="A510" s="20">
        <f t="shared" ref="A510:A573" si="56">+A509+7</f>
        <v>42397</v>
      </c>
      <c r="B510" s="117" t="s">
        <v>5</v>
      </c>
    </row>
    <row r="511" spans="1:2" x14ac:dyDescent="0.25">
      <c r="A511" s="20">
        <f t="shared" si="56"/>
        <v>42404</v>
      </c>
      <c r="B511" s="117" t="s">
        <v>5</v>
      </c>
    </row>
    <row r="512" spans="1:2" x14ac:dyDescent="0.25">
      <c r="A512" s="20">
        <f t="shared" si="56"/>
        <v>42411</v>
      </c>
      <c r="B512" s="117" t="s">
        <v>5</v>
      </c>
    </row>
    <row r="513" spans="1:2" x14ac:dyDescent="0.25">
      <c r="A513" s="20">
        <f t="shared" si="56"/>
        <v>42418</v>
      </c>
      <c r="B513" s="117" t="s">
        <v>5</v>
      </c>
    </row>
    <row r="514" spans="1:2" x14ac:dyDescent="0.25">
      <c r="A514" s="20">
        <f t="shared" si="56"/>
        <v>42425</v>
      </c>
      <c r="B514" s="117" t="s">
        <v>5</v>
      </c>
    </row>
    <row r="515" spans="1:2" x14ac:dyDescent="0.25">
      <c r="A515" s="20">
        <f t="shared" si="56"/>
        <v>42432</v>
      </c>
      <c r="B515" s="117" t="s">
        <v>5</v>
      </c>
    </row>
    <row r="516" spans="1:2" x14ac:dyDescent="0.25">
      <c r="A516" s="20">
        <f t="shared" si="56"/>
        <v>42439</v>
      </c>
      <c r="B516" s="117" t="s">
        <v>5</v>
      </c>
    </row>
    <row r="517" spans="1:2" x14ac:dyDescent="0.25">
      <c r="A517" s="20">
        <f t="shared" si="56"/>
        <v>42446</v>
      </c>
      <c r="B517" s="117" t="s">
        <v>5</v>
      </c>
    </row>
    <row r="518" spans="1:2" x14ac:dyDescent="0.25">
      <c r="A518" s="20">
        <f t="shared" si="56"/>
        <v>42453</v>
      </c>
      <c r="B518" s="117" t="s">
        <v>5</v>
      </c>
    </row>
    <row r="519" spans="1:2" x14ac:dyDescent="0.25">
      <c r="A519" s="20">
        <f t="shared" si="56"/>
        <v>42460</v>
      </c>
      <c r="B519" s="117" t="s">
        <v>5</v>
      </c>
    </row>
    <row r="520" spans="1:2" x14ac:dyDescent="0.25">
      <c r="A520" s="20">
        <f t="shared" si="56"/>
        <v>42467</v>
      </c>
      <c r="B520" s="117" t="s">
        <v>5</v>
      </c>
    </row>
    <row r="521" spans="1:2" x14ac:dyDescent="0.25">
      <c r="A521" s="20">
        <f t="shared" si="56"/>
        <v>42474</v>
      </c>
      <c r="B521" s="117" t="s">
        <v>5</v>
      </c>
    </row>
    <row r="522" spans="1:2" x14ac:dyDescent="0.25">
      <c r="A522" s="20">
        <f t="shared" si="56"/>
        <v>42481</v>
      </c>
      <c r="B522" s="117" t="s">
        <v>5</v>
      </c>
    </row>
    <row r="523" spans="1:2" x14ac:dyDescent="0.25">
      <c r="A523" s="20">
        <f t="shared" si="56"/>
        <v>42488</v>
      </c>
      <c r="B523" s="117" t="s">
        <v>5</v>
      </c>
    </row>
    <row r="524" spans="1:2" x14ac:dyDescent="0.25">
      <c r="A524" s="20">
        <f t="shared" si="56"/>
        <v>42495</v>
      </c>
      <c r="B524" s="117" t="s">
        <v>5</v>
      </c>
    </row>
    <row r="525" spans="1:2" x14ac:dyDescent="0.25">
      <c r="A525" s="20">
        <f t="shared" si="56"/>
        <v>42502</v>
      </c>
      <c r="B525" s="117" t="s">
        <v>5</v>
      </c>
    </row>
    <row r="526" spans="1:2" x14ac:dyDescent="0.25">
      <c r="A526" s="20">
        <f t="shared" si="56"/>
        <v>42509</v>
      </c>
      <c r="B526" s="117" t="s">
        <v>5</v>
      </c>
    </row>
    <row r="527" spans="1:2" x14ac:dyDescent="0.25">
      <c r="A527" s="20">
        <f t="shared" si="56"/>
        <v>42516</v>
      </c>
      <c r="B527" s="117" t="s">
        <v>5</v>
      </c>
    </row>
    <row r="528" spans="1:2" x14ac:dyDescent="0.25">
      <c r="A528" s="20">
        <f t="shared" si="56"/>
        <v>42523</v>
      </c>
      <c r="B528" s="117" t="s">
        <v>5</v>
      </c>
    </row>
    <row r="529" spans="1:2" x14ac:dyDescent="0.25">
      <c r="A529" s="20">
        <f t="shared" si="56"/>
        <v>42530</v>
      </c>
      <c r="B529" s="117" t="s">
        <v>5</v>
      </c>
    </row>
    <row r="530" spans="1:2" x14ac:dyDescent="0.25">
      <c r="A530" s="20">
        <f t="shared" si="56"/>
        <v>42537</v>
      </c>
      <c r="B530" s="117" t="s">
        <v>5</v>
      </c>
    </row>
    <row r="531" spans="1:2" x14ac:dyDescent="0.25">
      <c r="A531" s="20">
        <f t="shared" si="56"/>
        <v>42544</v>
      </c>
      <c r="B531" s="117" t="s">
        <v>5</v>
      </c>
    </row>
    <row r="532" spans="1:2" x14ac:dyDescent="0.25">
      <c r="A532" s="20">
        <f t="shared" si="56"/>
        <v>42551</v>
      </c>
      <c r="B532" s="117" t="s">
        <v>5</v>
      </c>
    </row>
    <row r="533" spans="1:2" x14ac:dyDescent="0.25">
      <c r="A533" s="20">
        <f t="shared" si="56"/>
        <v>42558</v>
      </c>
      <c r="B533" s="117" t="s">
        <v>5</v>
      </c>
    </row>
    <row r="534" spans="1:2" x14ac:dyDescent="0.25">
      <c r="A534" s="20">
        <f t="shared" si="56"/>
        <v>42565</v>
      </c>
      <c r="B534" s="117" t="s">
        <v>5</v>
      </c>
    </row>
    <row r="535" spans="1:2" x14ac:dyDescent="0.25">
      <c r="A535" s="20">
        <f t="shared" si="56"/>
        <v>42572</v>
      </c>
      <c r="B535" s="117" t="s">
        <v>5</v>
      </c>
    </row>
    <row r="536" spans="1:2" x14ac:dyDescent="0.25">
      <c r="A536" s="20">
        <f t="shared" si="56"/>
        <v>42579</v>
      </c>
      <c r="B536" s="117" t="s">
        <v>5</v>
      </c>
    </row>
    <row r="537" spans="1:2" x14ac:dyDescent="0.25">
      <c r="A537" s="20">
        <f t="shared" si="56"/>
        <v>42586</v>
      </c>
      <c r="B537" s="117" t="s">
        <v>5</v>
      </c>
    </row>
    <row r="538" spans="1:2" x14ac:dyDescent="0.25">
      <c r="A538" s="20">
        <f t="shared" si="56"/>
        <v>42593</v>
      </c>
      <c r="B538" s="117" t="s">
        <v>5</v>
      </c>
    </row>
    <row r="539" spans="1:2" x14ac:dyDescent="0.25">
      <c r="A539" s="20">
        <f t="shared" si="56"/>
        <v>42600</v>
      </c>
      <c r="B539" s="117" t="s">
        <v>5</v>
      </c>
    </row>
    <row r="540" spans="1:2" x14ac:dyDescent="0.25">
      <c r="A540" s="20">
        <f t="shared" si="56"/>
        <v>42607</v>
      </c>
      <c r="B540" s="117" t="s">
        <v>5</v>
      </c>
    </row>
    <row r="541" spans="1:2" x14ac:dyDescent="0.25">
      <c r="A541" s="20">
        <f t="shared" si="56"/>
        <v>42614</v>
      </c>
      <c r="B541" s="117" t="s">
        <v>5</v>
      </c>
    </row>
    <row r="542" spans="1:2" x14ac:dyDescent="0.25">
      <c r="A542" s="20">
        <f t="shared" si="56"/>
        <v>42621</v>
      </c>
      <c r="B542" s="117" t="s">
        <v>5</v>
      </c>
    </row>
    <row r="543" spans="1:2" x14ac:dyDescent="0.25">
      <c r="A543" s="20">
        <f t="shared" si="56"/>
        <v>42628</v>
      </c>
      <c r="B543" s="117" t="s">
        <v>5</v>
      </c>
    </row>
    <row r="544" spans="1:2" x14ac:dyDescent="0.25">
      <c r="A544" s="20">
        <f t="shared" si="56"/>
        <v>42635</v>
      </c>
      <c r="B544" s="117" t="s">
        <v>5</v>
      </c>
    </row>
    <row r="545" spans="1:2" x14ac:dyDescent="0.25">
      <c r="A545" s="20">
        <f t="shared" si="56"/>
        <v>42642</v>
      </c>
      <c r="B545" s="117" t="s">
        <v>5</v>
      </c>
    </row>
    <row r="546" spans="1:2" x14ac:dyDescent="0.25">
      <c r="A546" s="20">
        <f t="shared" si="56"/>
        <v>42649</v>
      </c>
      <c r="B546" s="117" t="s">
        <v>5</v>
      </c>
    </row>
    <row r="547" spans="1:2" x14ac:dyDescent="0.25">
      <c r="A547" s="20">
        <f t="shared" si="56"/>
        <v>42656</v>
      </c>
      <c r="B547" s="117" t="s">
        <v>5</v>
      </c>
    </row>
    <row r="548" spans="1:2" x14ac:dyDescent="0.25">
      <c r="A548" s="20">
        <f t="shared" si="56"/>
        <v>42663</v>
      </c>
      <c r="B548" s="117" t="s">
        <v>5</v>
      </c>
    </row>
    <row r="549" spans="1:2" x14ac:dyDescent="0.25">
      <c r="A549" s="20">
        <f t="shared" si="56"/>
        <v>42670</v>
      </c>
      <c r="B549" s="117" t="s">
        <v>5</v>
      </c>
    </row>
    <row r="550" spans="1:2" x14ac:dyDescent="0.25">
      <c r="A550" s="20">
        <f t="shared" si="56"/>
        <v>42677</v>
      </c>
      <c r="B550" s="117" t="s">
        <v>5</v>
      </c>
    </row>
    <row r="551" spans="1:2" x14ac:dyDescent="0.25">
      <c r="A551" s="20">
        <f t="shared" si="56"/>
        <v>42684</v>
      </c>
      <c r="B551" s="117" t="s">
        <v>5</v>
      </c>
    </row>
    <row r="552" spans="1:2" x14ac:dyDescent="0.25">
      <c r="A552" s="20">
        <f t="shared" si="56"/>
        <v>42691</v>
      </c>
      <c r="B552" s="117" t="s">
        <v>5</v>
      </c>
    </row>
    <row r="553" spans="1:2" x14ac:dyDescent="0.25">
      <c r="A553" s="20">
        <f t="shared" si="56"/>
        <v>42698</v>
      </c>
      <c r="B553" s="117" t="s">
        <v>5</v>
      </c>
    </row>
    <row r="554" spans="1:2" x14ac:dyDescent="0.25">
      <c r="A554" s="20">
        <f t="shared" si="56"/>
        <v>42705</v>
      </c>
      <c r="B554" s="117" t="s">
        <v>5</v>
      </c>
    </row>
    <row r="555" spans="1:2" x14ac:dyDescent="0.25">
      <c r="A555" s="20">
        <f t="shared" si="56"/>
        <v>42712</v>
      </c>
      <c r="B555" s="117" t="s">
        <v>5</v>
      </c>
    </row>
    <row r="556" spans="1:2" x14ac:dyDescent="0.25">
      <c r="A556" s="20">
        <f t="shared" si="56"/>
        <v>42719</v>
      </c>
      <c r="B556" s="117" t="s">
        <v>5</v>
      </c>
    </row>
    <row r="557" spans="1:2" x14ac:dyDescent="0.25">
      <c r="A557" s="20">
        <f t="shared" si="56"/>
        <v>42726</v>
      </c>
      <c r="B557" s="117" t="s">
        <v>5</v>
      </c>
    </row>
    <row r="558" spans="1:2" x14ac:dyDescent="0.25">
      <c r="A558" s="20">
        <f t="shared" si="56"/>
        <v>42733</v>
      </c>
      <c r="B558" s="117" t="s">
        <v>5</v>
      </c>
    </row>
    <row r="559" spans="1:2" x14ac:dyDescent="0.25">
      <c r="A559" s="20">
        <f t="shared" si="56"/>
        <v>42740</v>
      </c>
      <c r="B559" s="117" t="s">
        <v>5</v>
      </c>
    </row>
    <row r="560" spans="1:2" x14ac:dyDescent="0.25">
      <c r="A560" s="20">
        <f t="shared" si="56"/>
        <v>42747</v>
      </c>
      <c r="B560" s="117" t="s">
        <v>5</v>
      </c>
    </row>
    <row r="561" spans="1:2" x14ac:dyDescent="0.25">
      <c r="A561" s="20">
        <f t="shared" si="56"/>
        <v>42754</v>
      </c>
      <c r="B561" s="117" t="s">
        <v>5</v>
      </c>
    </row>
    <row r="562" spans="1:2" x14ac:dyDescent="0.25">
      <c r="A562" s="20">
        <f t="shared" si="56"/>
        <v>42761</v>
      </c>
      <c r="B562" s="117" t="s">
        <v>5</v>
      </c>
    </row>
    <row r="563" spans="1:2" x14ac:dyDescent="0.25">
      <c r="A563" s="20">
        <f t="shared" si="56"/>
        <v>42768</v>
      </c>
      <c r="B563" s="117" t="s">
        <v>5</v>
      </c>
    </row>
    <row r="564" spans="1:2" x14ac:dyDescent="0.25">
      <c r="A564" s="20">
        <f t="shared" si="56"/>
        <v>42775</v>
      </c>
      <c r="B564" s="117" t="s">
        <v>5</v>
      </c>
    </row>
    <row r="565" spans="1:2" x14ac:dyDescent="0.25">
      <c r="A565" s="20">
        <f t="shared" si="56"/>
        <v>42782</v>
      </c>
      <c r="B565" s="117" t="s">
        <v>5</v>
      </c>
    </row>
    <row r="566" spans="1:2" x14ac:dyDescent="0.25">
      <c r="A566" s="20">
        <f t="shared" si="56"/>
        <v>42789</v>
      </c>
      <c r="B566" s="117" t="s">
        <v>5</v>
      </c>
    </row>
    <row r="567" spans="1:2" x14ac:dyDescent="0.25">
      <c r="A567" s="20">
        <f t="shared" si="56"/>
        <v>42796</v>
      </c>
      <c r="B567" s="117" t="s">
        <v>5</v>
      </c>
    </row>
    <row r="568" spans="1:2" x14ac:dyDescent="0.25">
      <c r="A568" s="20">
        <f t="shared" si="56"/>
        <v>42803</v>
      </c>
      <c r="B568" s="117" t="s">
        <v>5</v>
      </c>
    </row>
    <row r="569" spans="1:2" x14ac:dyDescent="0.25">
      <c r="A569" s="20">
        <f t="shared" si="56"/>
        <v>42810</v>
      </c>
      <c r="B569" s="117" t="s">
        <v>5</v>
      </c>
    </row>
    <row r="570" spans="1:2" x14ac:dyDescent="0.25">
      <c r="A570" s="20">
        <f t="shared" si="56"/>
        <v>42817</v>
      </c>
      <c r="B570" s="117" t="s">
        <v>5</v>
      </c>
    </row>
    <row r="571" spans="1:2" x14ac:dyDescent="0.25">
      <c r="A571" s="20">
        <f t="shared" si="56"/>
        <v>42824</v>
      </c>
      <c r="B571" s="117" t="s">
        <v>5</v>
      </c>
    </row>
    <row r="572" spans="1:2" x14ac:dyDescent="0.25">
      <c r="A572" s="20">
        <f t="shared" si="56"/>
        <v>42831</v>
      </c>
      <c r="B572" s="117" t="s">
        <v>5</v>
      </c>
    </row>
    <row r="573" spans="1:2" x14ac:dyDescent="0.25">
      <c r="A573" s="20">
        <f t="shared" si="56"/>
        <v>42838</v>
      </c>
      <c r="B573" s="117" t="s">
        <v>5</v>
      </c>
    </row>
    <row r="574" spans="1:2" x14ac:dyDescent="0.25">
      <c r="A574" s="20">
        <f t="shared" ref="A574:A637" si="57">+A573+7</f>
        <v>42845</v>
      </c>
      <c r="B574" s="117" t="s">
        <v>5</v>
      </c>
    </row>
    <row r="575" spans="1:2" x14ac:dyDescent="0.25">
      <c r="A575" s="20">
        <f t="shared" si="57"/>
        <v>42852</v>
      </c>
      <c r="B575" s="117" t="s">
        <v>5</v>
      </c>
    </row>
    <row r="576" spans="1:2" x14ac:dyDescent="0.25">
      <c r="A576" s="20">
        <f t="shared" si="57"/>
        <v>42859</v>
      </c>
      <c r="B576" s="117" t="s">
        <v>5</v>
      </c>
    </row>
    <row r="577" spans="1:2" x14ac:dyDescent="0.25">
      <c r="A577" s="20">
        <f t="shared" si="57"/>
        <v>42866</v>
      </c>
      <c r="B577" s="117" t="s">
        <v>5</v>
      </c>
    </row>
    <row r="578" spans="1:2" x14ac:dyDescent="0.25">
      <c r="A578" s="20">
        <f t="shared" si="57"/>
        <v>42873</v>
      </c>
      <c r="B578" s="117" t="s">
        <v>5</v>
      </c>
    </row>
    <row r="579" spans="1:2" x14ac:dyDescent="0.25">
      <c r="A579" s="20">
        <f t="shared" si="57"/>
        <v>42880</v>
      </c>
      <c r="B579" s="117" t="s">
        <v>5</v>
      </c>
    </row>
    <row r="580" spans="1:2" x14ac:dyDescent="0.25">
      <c r="A580" s="20">
        <f t="shared" si="57"/>
        <v>42887</v>
      </c>
      <c r="B580" s="117" t="s">
        <v>5</v>
      </c>
    </row>
    <row r="581" spans="1:2" x14ac:dyDescent="0.25">
      <c r="A581" s="20">
        <f t="shared" si="57"/>
        <v>42894</v>
      </c>
      <c r="B581" s="117" t="s">
        <v>5</v>
      </c>
    </row>
    <row r="582" spans="1:2" x14ac:dyDescent="0.25">
      <c r="A582" s="20">
        <f t="shared" si="57"/>
        <v>42901</v>
      </c>
      <c r="B582" s="117" t="s">
        <v>5</v>
      </c>
    </row>
    <row r="583" spans="1:2" x14ac:dyDescent="0.25">
      <c r="A583" s="20">
        <f t="shared" si="57"/>
        <v>42908</v>
      </c>
      <c r="B583" s="117" t="s">
        <v>5</v>
      </c>
    </row>
    <row r="584" spans="1:2" x14ac:dyDescent="0.25">
      <c r="A584" s="20">
        <f t="shared" si="57"/>
        <v>42915</v>
      </c>
      <c r="B584" s="117" t="s">
        <v>5</v>
      </c>
    </row>
    <row r="585" spans="1:2" x14ac:dyDescent="0.25">
      <c r="A585" s="20">
        <f t="shared" si="57"/>
        <v>42922</v>
      </c>
      <c r="B585" s="117" t="s">
        <v>5</v>
      </c>
    </row>
    <row r="586" spans="1:2" x14ac:dyDescent="0.25">
      <c r="A586" s="20">
        <f t="shared" si="57"/>
        <v>42929</v>
      </c>
      <c r="B586" s="117" t="s">
        <v>5</v>
      </c>
    </row>
    <row r="587" spans="1:2" x14ac:dyDescent="0.25">
      <c r="A587" s="20">
        <f t="shared" si="57"/>
        <v>42936</v>
      </c>
      <c r="B587" s="117" t="s">
        <v>5</v>
      </c>
    </row>
    <row r="588" spans="1:2" x14ac:dyDescent="0.25">
      <c r="A588" s="20">
        <f t="shared" si="57"/>
        <v>42943</v>
      </c>
      <c r="B588" s="117" t="s">
        <v>5</v>
      </c>
    </row>
    <row r="589" spans="1:2" x14ac:dyDescent="0.25">
      <c r="A589" s="20">
        <f t="shared" si="57"/>
        <v>42950</v>
      </c>
      <c r="B589" s="117" t="s">
        <v>5</v>
      </c>
    </row>
    <row r="590" spans="1:2" x14ac:dyDescent="0.25">
      <c r="A590" s="20">
        <f t="shared" si="57"/>
        <v>42957</v>
      </c>
      <c r="B590" s="117" t="s">
        <v>5</v>
      </c>
    </row>
    <row r="591" spans="1:2" x14ac:dyDescent="0.25">
      <c r="A591" s="20">
        <f t="shared" si="57"/>
        <v>42964</v>
      </c>
      <c r="B591" s="117" t="s">
        <v>5</v>
      </c>
    </row>
    <row r="592" spans="1:2" x14ac:dyDescent="0.25">
      <c r="A592" s="20">
        <f t="shared" si="57"/>
        <v>42971</v>
      </c>
      <c r="B592" s="117" t="s">
        <v>5</v>
      </c>
    </row>
    <row r="593" spans="1:2" x14ac:dyDescent="0.25">
      <c r="A593" s="20">
        <f t="shared" si="57"/>
        <v>42978</v>
      </c>
      <c r="B593" s="117" t="s">
        <v>5</v>
      </c>
    </row>
    <row r="594" spans="1:2" x14ac:dyDescent="0.25">
      <c r="A594" s="20">
        <f t="shared" si="57"/>
        <v>42985</v>
      </c>
      <c r="B594" s="117" t="s">
        <v>5</v>
      </c>
    </row>
    <row r="595" spans="1:2" x14ac:dyDescent="0.25">
      <c r="A595" s="20">
        <f t="shared" si="57"/>
        <v>42992</v>
      </c>
      <c r="B595" s="117" t="s">
        <v>5</v>
      </c>
    </row>
    <row r="596" spans="1:2" x14ac:dyDescent="0.25">
      <c r="A596" s="20">
        <f t="shared" si="57"/>
        <v>42999</v>
      </c>
      <c r="B596" s="117" t="s">
        <v>5</v>
      </c>
    </row>
    <row r="597" spans="1:2" x14ac:dyDescent="0.25">
      <c r="A597" s="20">
        <f t="shared" si="57"/>
        <v>43006</v>
      </c>
      <c r="B597" s="117" t="s">
        <v>5</v>
      </c>
    </row>
    <row r="598" spans="1:2" x14ac:dyDescent="0.25">
      <c r="A598" s="20">
        <f t="shared" si="57"/>
        <v>43013</v>
      </c>
      <c r="B598" s="117" t="s">
        <v>5</v>
      </c>
    </row>
    <row r="599" spans="1:2" x14ac:dyDescent="0.25">
      <c r="A599" s="20">
        <f t="shared" si="57"/>
        <v>43020</v>
      </c>
      <c r="B599" s="117" t="s">
        <v>5</v>
      </c>
    </row>
    <row r="600" spans="1:2" x14ac:dyDescent="0.25">
      <c r="A600" s="20">
        <f t="shared" si="57"/>
        <v>43027</v>
      </c>
      <c r="B600" s="117" t="s">
        <v>5</v>
      </c>
    </row>
    <row r="601" spans="1:2" x14ac:dyDescent="0.25">
      <c r="A601" s="20">
        <f t="shared" si="57"/>
        <v>43034</v>
      </c>
      <c r="B601" s="117" t="s">
        <v>5</v>
      </c>
    </row>
    <row r="602" spans="1:2" x14ac:dyDescent="0.25">
      <c r="A602" s="20">
        <f t="shared" si="57"/>
        <v>43041</v>
      </c>
      <c r="B602" s="117" t="s">
        <v>5</v>
      </c>
    </row>
    <row r="603" spans="1:2" x14ac:dyDescent="0.25">
      <c r="A603" s="20">
        <f t="shared" si="57"/>
        <v>43048</v>
      </c>
      <c r="B603" s="117" t="s">
        <v>5</v>
      </c>
    </row>
    <row r="604" spans="1:2" x14ac:dyDescent="0.25">
      <c r="A604" s="20">
        <f t="shared" si="57"/>
        <v>43055</v>
      </c>
      <c r="B604" s="117" t="s">
        <v>5</v>
      </c>
    </row>
    <row r="605" spans="1:2" x14ac:dyDescent="0.25">
      <c r="A605" s="20">
        <f t="shared" si="57"/>
        <v>43062</v>
      </c>
      <c r="B605" s="117" t="s">
        <v>5</v>
      </c>
    </row>
    <row r="606" spans="1:2" x14ac:dyDescent="0.25">
      <c r="A606" s="20">
        <f t="shared" si="57"/>
        <v>43069</v>
      </c>
      <c r="B606" s="117" t="s">
        <v>5</v>
      </c>
    </row>
    <row r="607" spans="1:2" x14ac:dyDescent="0.25">
      <c r="A607" s="20">
        <f t="shared" si="57"/>
        <v>43076</v>
      </c>
      <c r="B607" s="117" t="s">
        <v>5</v>
      </c>
    </row>
    <row r="608" spans="1:2" x14ac:dyDescent="0.25">
      <c r="A608" s="20">
        <f t="shared" si="57"/>
        <v>43083</v>
      </c>
      <c r="B608" s="117" t="s">
        <v>5</v>
      </c>
    </row>
    <row r="609" spans="1:2" x14ac:dyDescent="0.25">
      <c r="A609" s="20">
        <f t="shared" si="57"/>
        <v>43090</v>
      </c>
      <c r="B609" s="117" t="s">
        <v>5</v>
      </c>
    </row>
    <row r="610" spans="1:2" x14ac:dyDescent="0.25">
      <c r="A610" s="20">
        <f t="shared" si="57"/>
        <v>43097</v>
      </c>
      <c r="B610" s="117" t="s">
        <v>5</v>
      </c>
    </row>
    <row r="611" spans="1:2" x14ac:dyDescent="0.25">
      <c r="A611" s="20">
        <f t="shared" si="57"/>
        <v>43104</v>
      </c>
      <c r="B611" s="117" t="s">
        <v>5</v>
      </c>
    </row>
    <row r="612" spans="1:2" x14ac:dyDescent="0.25">
      <c r="A612" s="20">
        <f t="shared" si="57"/>
        <v>43111</v>
      </c>
      <c r="B612" s="117" t="s">
        <v>5</v>
      </c>
    </row>
    <row r="613" spans="1:2" x14ac:dyDescent="0.25">
      <c r="A613" s="20">
        <f t="shared" si="57"/>
        <v>43118</v>
      </c>
      <c r="B613" s="117" t="s">
        <v>5</v>
      </c>
    </row>
    <row r="614" spans="1:2" x14ac:dyDescent="0.25">
      <c r="A614" s="20">
        <f t="shared" si="57"/>
        <v>43125</v>
      </c>
      <c r="B614" s="117" t="s">
        <v>5</v>
      </c>
    </row>
    <row r="615" spans="1:2" x14ac:dyDescent="0.25">
      <c r="A615" s="20">
        <f t="shared" si="57"/>
        <v>43132</v>
      </c>
      <c r="B615" s="117" t="s">
        <v>5</v>
      </c>
    </row>
    <row r="616" spans="1:2" x14ac:dyDescent="0.25">
      <c r="A616" s="20">
        <f t="shared" si="57"/>
        <v>43139</v>
      </c>
      <c r="B616" s="117" t="s">
        <v>5</v>
      </c>
    </row>
    <row r="617" spans="1:2" x14ac:dyDescent="0.25">
      <c r="A617" s="20">
        <f t="shared" si="57"/>
        <v>43146</v>
      </c>
      <c r="B617" s="117" t="s">
        <v>5</v>
      </c>
    </row>
    <row r="618" spans="1:2" x14ac:dyDescent="0.25">
      <c r="A618" s="20">
        <f t="shared" si="57"/>
        <v>43153</v>
      </c>
      <c r="B618" s="117" t="s">
        <v>5</v>
      </c>
    </row>
    <row r="619" spans="1:2" x14ac:dyDescent="0.25">
      <c r="A619" s="20">
        <f t="shared" si="57"/>
        <v>43160</v>
      </c>
      <c r="B619" s="117" t="s">
        <v>5</v>
      </c>
    </row>
    <row r="620" spans="1:2" x14ac:dyDescent="0.25">
      <c r="A620" s="20">
        <f t="shared" si="57"/>
        <v>43167</v>
      </c>
      <c r="B620" s="117" t="s">
        <v>5</v>
      </c>
    </row>
    <row r="621" spans="1:2" x14ac:dyDescent="0.25">
      <c r="A621" s="20">
        <f t="shared" si="57"/>
        <v>43174</v>
      </c>
      <c r="B621" s="117" t="s">
        <v>5</v>
      </c>
    </row>
    <row r="622" spans="1:2" x14ac:dyDescent="0.25">
      <c r="A622" s="20">
        <f t="shared" si="57"/>
        <v>43181</v>
      </c>
      <c r="B622" s="117" t="s">
        <v>5</v>
      </c>
    </row>
    <row r="623" spans="1:2" x14ac:dyDescent="0.25">
      <c r="A623" s="20">
        <f t="shared" si="57"/>
        <v>43188</v>
      </c>
      <c r="B623" s="117" t="s">
        <v>5</v>
      </c>
    </row>
    <row r="624" spans="1:2" x14ac:dyDescent="0.25">
      <c r="A624" s="20">
        <f t="shared" si="57"/>
        <v>43195</v>
      </c>
      <c r="B624" s="117" t="s">
        <v>5</v>
      </c>
    </row>
    <row r="625" spans="1:2" x14ac:dyDescent="0.25">
      <c r="A625" s="20">
        <f t="shared" si="57"/>
        <v>43202</v>
      </c>
      <c r="B625" s="117" t="s">
        <v>5</v>
      </c>
    </row>
    <row r="626" spans="1:2" x14ac:dyDescent="0.25">
      <c r="A626" s="20">
        <f t="shared" si="57"/>
        <v>43209</v>
      </c>
      <c r="B626" s="117" t="s">
        <v>5</v>
      </c>
    </row>
    <row r="627" spans="1:2" x14ac:dyDescent="0.25">
      <c r="A627" s="20">
        <f t="shared" si="57"/>
        <v>43216</v>
      </c>
      <c r="B627" s="117" t="s">
        <v>5</v>
      </c>
    </row>
    <row r="628" spans="1:2" x14ac:dyDescent="0.25">
      <c r="A628" s="20">
        <f t="shared" si="57"/>
        <v>43223</v>
      </c>
      <c r="B628" s="117" t="s">
        <v>5</v>
      </c>
    </row>
    <row r="629" spans="1:2" x14ac:dyDescent="0.25">
      <c r="A629" s="20">
        <f t="shared" si="57"/>
        <v>43230</v>
      </c>
      <c r="B629" s="117" t="s">
        <v>5</v>
      </c>
    </row>
    <row r="630" spans="1:2" x14ac:dyDescent="0.25">
      <c r="A630" s="20">
        <f t="shared" si="57"/>
        <v>43237</v>
      </c>
      <c r="B630" s="117" t="s">
        <v>5</v>
      </c>
    </row>
    <row r="631" spans="1:2" x14ac:dyDescent="0.25">
      <c r="A631" s="20">
        <f t="shared" si="57"/>
        <v>43244</v>
      </c>
      <c r="B631" s="117" t="s">
        <v>5</v>
      </c>
    </row>
    <row r="632" spans="1:2" x14ac:dyDescent="0.25">
      <c r="A632" s="20">
        <f t="shared" si="57"/>
        <v>43251</v>
      </c>
      <c r="B632" s="117" t="s">
        <v>5</v>
      </c>
    </row>
    <row r="633" spans="1:2" x14ac:dyDescent="0.25">
      <c r="A633" s="20">
        <f t="shared" si="57"/>
        <v>43258</v>
      </c>
      <c r="B633" s="117" t="s">
        <v>5</v>
      </c>
    </row>
    <row r="634" spans="1:2" x14ac:dyDescent="0.25">
      <c r="A634" s="20">
        <f t="shared" si="57"/>
        <v>43265</v>
      </c>
      <c r="B634" s="117" t="s">
        <v>5</v>
      </c>
    </row>
    <row r="635" spans="1:2" x14ac:dyDescent="0.25">
      <c r="A635" s="20">
        <f t="shared" si="57"/>
        <v>43272</v>
      </c>
      <c r="B635" s="117" t="s">
        <v>5</v>
      </c>
    </row>
    <row r="636" spans="1:2" x14ac:dyDescent="0.25">
      <c r="A636" s="20">
        <f t="shared" si="57"/>
        <v>43279</v>
      </c>
      <c r="B636" s="117" t="s">
        <v>5</v>
      </c>
    </row>
    <row r="637" spans="1:2" x14ac:dyDescent="0.25">
      <c r="A637" s="20">
        <f t="shared" si="57"/>
        <v>43286</v>
      </c>
      <c r="B637" s="117" t="s">
        <v>5</v>
      </c>
    </row>
    <row r="638" spans="1:2" x14ac:dyDescent="0.25">
      <c r="A638" s="20">
        <f t="shared" ref="A638:A701" si="58">+A637+7</f>
        <v>43293</v>
      </c>
      <c r="B638" s="117" t="s">
        <v>5</v>
      </c>
    </row>
    <row r="639" spans="1:2" x14ac:dyDescent="0.25">
      <c r="A639" s="20">
        <f t="shared" si="58"/>
        <v>43300</v>
      </c>
      <c r="B639" s="117" t="s">
        <v>5</v>
      </c>
    </row>
    <row r="640" spans="1:2" x14ac:dyDescent="0.25">
      <c r="A640" s="20">
        <f t="shared" si="58"/>
        <v>43307</v>
      </c>
      <c r="B640" s="117" t="s">
        <v>5</v>
      </c>
    </row>
    <row r="641" spans="1:2" x14ac:dyDescent="0.25">
      <c r="A641" s="20">
        <f t="shared" si="58"/>
        <v>43314</v>
      </c>
      <c r="B641" s="117" t="s">
        <v>5</v>
      </c>
    </row>
    <row r="642" spans="1:2" x14ac:dyDescent="0.25">
      <c r="A642" s="20">
        <f t="shared" si="58"/>
        <v>43321</v>
      </c>
      <c r="B642" s="117" t="s">
        <v>5</v>
      </c>
    </row>
    <row r="643" spans="1:2" x14ac:dyDescent="0.25">
      <c r="A643" s="20">
        <f t="shared" si="58"/>
        <v>43328</v>
      </c>
      <c r="B643" s="117" t="s">
        <v>5</v>
      </c>
    </row>
    <row r="644" spans="1:2" x14ac:dyDescent="0.25">
      <c r="A644" s="20">
        <f t="shared" si="58"/>
        <v>43335</v>
      </c>
      <c r="B644" s="117" t="s">
        <v>5</v>
      </c>
    </row>
    <row r="645" spans="1:2" x14ac:dyDescent="0.25">
      <c r="A645" s="20">
        <f t="shared" si="58"/>
        <v>43342</v>
      </c>
      <c r="B645" s="117" t="s">
        <v>5</v>
      </c>
    </row>
    <row r="646" spans="1:2" x14ac:dyDescent="0.25">
      <c r="A646" s="20">
        <f t="shared" si="58"/>
        <v>43349</v>
      </c>
      <c r="B646" s="117" t="s">
        <v>5</v>
      </c>
    </row>
    <row r="647" spans="1:2" x14ac:dyDescent="0.25">
      <c r="A647" s="20">
        <f t="shared" si="58"/>
        <v>43356</v>
      </c>
      <c r="B647" s="117" t="s">
        <v>5</v>
      </c>
    </row>
    <row r="648" spans="1:2" x14ac:dyDescent="0.25">
      <c r="A648" s="20">
        <f t="shared" si="58"/>
        <v>43363</v>
      </c>
      <c r="B648" s="117" t="s">
        <v>5</v>
      </c>
    </row>
    <row r="649" spans="1:2" x14ac:dyDescent="0.25">
      <c r="A649" s="20">
        <f t="shared" si="58"/>
        <v>43370</v>
      </c>
      <c r="B649" s="117" t="s">
        <v>5</v>
      </c>
    </row>
    <row r="650" spans="1:2" x14ac:dyDescent="0.25">
      <c r="A650" s="20">
        <f t="shared" si="58"/>
        <v>43377</v>
      </c>
      <c r="B650" s="117" t="s">
        <v>5</v>
      </c>
    </row>
    <row r="651" spans="1:2" x14ac:dyDescent="0.25">
      <c r="A651" s="20">
        <f t="shared" si="58"/>
        <v>43384</v>
      </c>
      <c r="B651" s="117" t="s">
        <v>5</v>
      </c>
    </row>
    <row r="652" spans="1:2" x14ac:dyDescent="0.25">
      <c r="A652" s="20">
        <f t="shared" si="58"/>
        <v>43391</v>
      </c>
      <c r="B652" s="117" t="s">
        <v>5</v>
      </c>
    </row>
    <row r="653" spans="1:2" x14ac:dyDescent="0.25">
      <c r="A653" s="20">
        <f t="shared" si="58"/>
        <v>43398</v>
      </c>
      <c r="B653" s="117" t="s">
        <v>5</v>
      </c>
    </row>
    <row r="654" spans="1:2" x14ac:dyDescent="0.25">
      <c r="A654" s="20">
        <f t="shared" si="58"/>
        <v>43405</v>
      </c>
      <c r="B654" s="117" t="s">
        <v>5</v>
      </c>
    </row>
    <row r="655" spans="1:2" x14ac:dyDescent="0.25">
      <c r="A655" s="20">
        <f t="shared" si="58"/>
        <v>43412</v>
      </c>
      <c r="B655" s="117" t="s">
        <v>5</v>
      </c>
    </row>
    <row r="656" spans="1:2" x14ac:dyDescent="0.25">
      <c r="A656" s="20">
        <f t="shared" si="58"/>
        <v>43419</v>
      </c>
      <c r="B656" s="117" t="s">
        <v>5</v>
      </c>
    </row>
    <row r="657" spans="1:2" x14ac:dyDescent="0.25">
      <c r="A657" s="20">
        <f t="shared" si="58"/>
        <v>43426</v>
      </c>
      <c r="B657" s="117" t="s">
        <v>5</v>
      </c>
    </row>
    <row r="658" spans="1:2" x14ac:dyDescent="0.25">
      <c r="A658" s="20">
        <f t="shared" si="58"/>
        <v>43433</v>
      </c>
      <c r="B658" s="117" t="s">
        <v>5</v>
      </c>
    </row>
    <row r="659" spans="1:2" x14ac:dyDescent="0.25">
      <c r="A659" s="20">
        <f t="shared" si="58"/>
        <v>43440</v>
      </c>
      <c r="B659" s="117" t="s">
        <v>5</v>
      </c>
    </row>
    <row r="660" spans="1:2" x14ac:dyDescent="0.25">
      <c r="A660" s="20">
        <f t="shared" si="58"/>
        <v>43447</v>
      </c>
      <c r="B660" s="117" t="s">
        <v>5</v>
      </c>
    </row>
    <row r="661" spans="1:2" x14ac:dyDescent="0.25">
      <c r="A661" s="20">
        <f t="shared" si="58"/>
        <v>43454</v>
      </c>
      <c r="B661" s="117" t="s">
        <v>5</v>
      </c>
    </row>
    <row r="662" spans="1:2" x14ac:dyDescent="0.25">
      <c r="A662" s="20">
        <f t="shared" si="58"/>
        <v>43461</v>
      </c>
      <c r="B662" s="117" t="s">
        <v>5</v>
      </c>
    </row>
    <row r="663" spans="1:2" x14ac:dyDescent="0.25">
      <c r="A663" s="20">
        <f t="shared" si="58"/>
        <v>43468</v>
      </c>
      <c r="B663" s="117" t="s">
        <v>5</v>
      </c>
    </row>
    <row r="664" spans="1:2" x14ac:dyDescent="0.25">
      <c r="A664" s="20">
        <f t="shared" si="58"/>
        <v>43475</v>
      </c>
      <c r="B664" s="117" t="s">
        <v>5</v>
      </c>
    </row>
    <row r="665" spans="1:2" x14ac:dyDescent="0.25">
      <c r="A665" s="20">
        <f t="shared" si="58"/>
        <v>43482</v>
      </c>
      <c r="B665" s="117" t="s">
        <v>5</v>
      </c>
    </row>
    <row r="666" spans="1:2" x14ac:dyDescent="0.25">
      <c r="A666" s="20">
        <f t="shared" si="58"/>
        <v>43489</v>
      </c>
      <c r="B666" s="117" t="s">
        <v>5</v>
      </c>
    </row>
    <row r="667" spans="1:2" x14ac:dyDescent="0.25">
      <c r="A667" s="20">
        <f t="shared" si="58"/>
        <v>43496</v>
      </c>
      <c r="B667" s="117" t="s">
        <v>5</v>
      </c>
    </row>
    <row r="668" spans="1:2" x14ac:dyDescent="0.25">
      <c r="A668" s="20">
        <f t="shared" si="58"/>
        <v>43503</v>
      </c>
      <c r="B668" s="117" t="s">
        <v>5</v>
      </c>
    </row>
    <row r="669" spans="1:2" x14ac:dyDescent="0.25">
      <c r="A669" s="20">
        <f t="shared" si="58"/>
        <v>43510</v>
      </c>
      <c r="B669" s="117" t="s">
        <v>5</v>
      </c>
    </row>
    <row r="670" spans="1:2" x14ac:dyDescent="0.25">
      <c r="A670" s="20">
        <f t="shared" si="58"/>
        <v>43517</v>
      </c>
      <c r="B670" s="117" t="s">
        <v>5</v>
      </c>
    </row>
    <row r="671" spans="1:2" x14ac:dyDescent="0.25">
      <c r="A671" s="20">
        <f t="shared" si="58"/>
        <v>43524</v>
      </c>
      <c r="B671" s="117" t="s">
        <v>5</v>
      </c>
    </row>
    <row r="672" spans="1:2" x14ac:dyDescent="0.25">
      <c r="A672" s="20">
        <f t="shared" si="58"/>
        <v>43531</v>
      </c>
      <c r="B672" s="117" t="s">
        <v>5</v>
      </c>
    </row>
    <row r="673" spans="1:2" x14ac:dyDescent="0.25">
      <c r="A673" s="20">
        <f t="shared" si="58"/>
        <v>43538</v>
      </c>
      <c r="B673" s="117" t="s">
        <v>5</v>
      </c>
    </row>
    <row r="674" spans="1:2" x14ac:dyDescent="0.25">
      <c r="A674" s="20">
        <f t="shared" si="58"/>
        <v>43545</v>
      </c>
      <c r="B674" s="117" t="s">
        <v>5</v>
      </c>
    </row>
    <row r="675" spans="1:2" x14ac:dyDescent="0.25">
      <c r="A675" s="20">
        <f t="shared" si="58"/>
        <v>43552</v>
      </c>
      <c r="B675" s="117" t="s">
        <v>5</v>
      </c>
    </row>
    <row r="676" spans="1:2" x14ac:dyDescent="0.25">
      <c r="A676" s="20">
        <f t="shared" si="58"/>
        <v>43559</v>
      </c>
      <c r="B676" s="117" t="s">
        <v>5</v>
      </c>
    </row>
    <row r="677" spans="1:2" x14ac:dyDescent="0.25">
      <c r="A677" s="20">
        <f t="shared" si="58"/>
        <v>43566</v>
      </c>
      <c r="B677" s="117" t="s">
        <v>5</v>
      </c>
    </row>
    <row r="678" spans="1:2" x14ac:dyDescent="0.25">
      <c r="A678" s="20">
        <f t="shared" si="58"/>
        <v>43573</v>
      </c>
      <c r="B678" s="117" t="s">
        <v>5</v>
      </c>
    </row>
    <row r="679" spans="1:2" x14ac:dyDescent="0.25">
      <c r="A679" s="20">
        <f t="shared" si="58"/>
        <v>43580</v>
      </c>
      <c r="B679" s="117" t="s">
        <v>5</v>
      </c>
    </row>
    <row r="680" spans="1:2" x14ac:dyDescent="0.25">
      <c r="A680" s="20">
        <f t="shared" si="58"/>
        <v>43587</v>
      </c>
      <c r="B680" s="117" t="s">
        <v>5</v>
      </c>
    </row>
    <row r="681" spans="1:2" x14ac:dyDescent="0.25">
      <c r="A681" s="20">
        <f t="shared" si="58"/>
        <v>43594</v>
      </c>
      <c r="B681" s="117" t="s">
        <v>5</v>
      </c>
    </row>
    <row r="682" spans="1:2" x14ac:dyDescent="0.25">
      <c r="A682" s="20">
        <f t="shared" si="58"/>
        <v>43601</v>
      </c>
      <c r="B682" s="117" t="s">
        <v>5</v>
      </c>
    </row>
    <row r="683" spans="1:2" x14ac:dyDescent="0.25">
      <c r="A683" s="20">
        <f t="shared" si="58"/>
        <v>43608</v>
      </c>
      <c r="B683" s="117" t="s">
        <v>5</v>
      </c>
    </row>
    <row r="684" spans="1:2" x14ac:dyDescent="0.25">
      <c r="A684" s="20">
        <f t="shared" si="58"/>
        <v>43615</v>
      </c>
      <c r="B684" s="117" t="s">
        <v>5</v>
      </c>
    </row>
    <row r="685" spans="1:2" x14ac:dyDescent="0.25">
      <c r="A685" s="20">
        <f t="shared" si="58"/>
        <v>43622</v>
      </c>
      <c r="B685" s="117" t="s">
        <v>5</v>
      </c>
    </row>
    <row r="686" spans="1:2" x14ac:dyDescent="0.25">
      <c r="A686" s="20">
        <f t="shared" si="58"/>
        <v>43629</v>
      </c>
      <c r="B686" s="117" t="s">
        <v>5</v>
      </c>
    </row>
    <row r="687" spans="1:2" x14ac:dyDescent="0.25">
      <c r="A687" s="20">
        <f t="shared" si="58"/>
        <v>43636</v>
      </c>
      <c r="B687" s="117" t="s">
        <v>5</v>
      </c>
    </row>
    <row r="688" spans="1:2" x14ac:dyDescent="0.25">
      <c r="A688" s="20">
        <f t="shared" si="58"/>
        <v>43643</v>
      </c>
      <c r="B688" s="117" t="s">
        <v>5</v>
      </c>
    </row>
    <row r="689" spans="1:2" x14ac:dyDescent="0.25">
      <c r="A689" s="20">
        <f t="shared" si="58"/>
        <v>43650</v>
      </c>
      <c r="B689" s="117" t="s">
        <v>5</v>
      </c>
    </row>
    <row r="690" spans="1:2" x14ac:dyDescent="0.25">
      <c r="A690" s="20">
        <f t="shared" si="58"/>
        <v>43657</v>
      </c>
      <c r="B690" s="117" t="s">
        <v>5</v>
      </c>
    </row>
    <row r="691" spans="1:2" x14ac:dyDescent="0.25">
      <c r="A691" s="20">
        <f t="shared" si="58"/>
        <v>43664</v>
      </c>
      <c r="B691" s="117" t="s">
        <v>5</v>
      </c>
    </row>
    <row r="692" spans="1:2" x14ac:dyDescent="0.25">
      <c r="A692" s="20">
        <f t="shared" si="58"/>
        <v>43671</v>
      </c>
      <c r="B692" s="117" t="s">
        <v>5</v>
      </c>
    </row>
    <row r="693" spans="1:2" x14ac:dyDescent="0.25">
      <c r="A693" s="20">
        <f t="shared" si="58"/>
        <v>43678</v>
      </c>
      <c r="B693" s="117" t="s">
        <v>5</v>
      </c>
    </row>
    <row r="694" spans="1:2" x14ac:dyDescent="0.25">
      <c r="A694" s="20">
        <f t="shared" si="58"/>
        <v>43685</v>
      </c>
      <c r="B694" s="117" t="s">
        <v>5</v>
      </c>
    </row>
    <row r="695" spans="1:2" x14ac:dyDescent="0.25">
      <c r="A695" s="20">
        <f t="shared" si="58"/>
        <v>43692</v>
      </c>
      <c r="B695" s="117" t="s">
        <v>5</v>
      </c>
    </row>
    <row r="696" spans="1:2" x14ac:dyDescent="0.25">
      <c r="A696" s="20">
        <f t="shared" si="58"/>
        <v>43699</v>
      </c>
      <c r="B696" s="117" t="s">
        <v>5</v>
      </c>
    </row>
    <row r="697" spans="1:2" x14ac:dyDescent="0.25">
      <c r="A697" s="20">
        <f t="shared" si="58"/>
        <v>43706</v>
      </c>
      <c r="B697" s="117" t="s">
        <v>5</v>
      </c>
    </row>
    <row r="698" spans="1:2" x14ac:dyDescent="0.25">
      <c r="A698" s="20">
        <f t="shared" si="58"/>
        <v>43713</v>
      </c>
      <c r="B698" s="117" t="s">
        <v>5</v>
      </c>
    </row>
    <row r="699" spans="1:2" x14ac:dyDescent="0.25">
      <c r="A699" s="20">
        <f t="shared" si="58"/>
        <v>43720</v>
      </c>
      <c r="B699" s="117" t="s">
        <v>5</v>
      </c>
    </row>
    <row r="700" spans="1:2" x14ac:dyDescent="0.25">
      <c r="A700" s="20">
        <f t="shared" si="58"/>
        <v>43727</v>
      </c>
      <c r="B700" s="117" t="s">
        <v>5</v>
      </c>
    </row>
    <row r="701" spans="1:2" x14ac:dyDescent="0.25">
      <c r="A701" s="20">
        <f t="shared" si="58"/>
        <v>43734</v>
      </c>
      <c r="B701" s="117" t="s">
        <v>5</v>
      </c>
    </row>
    <row r="702" spans="1:2" x14ac:dyDescent="0.25">
      <c r="A702" s="20">
        <f t="shared" ref="A702:A722" si="59">+A701+7</f>
        <v>43741</v>
      </c>
      <c r="B702" s="117" t="s">
        <v>5</v>
      </c>
    </row>
    <row r="703" spans="1:2" x14ac:dyDescent="0.25">
      <c r="A703" s="20">
        <f t="shared" si="59"/>
        <v>43748</v>
      </c>
      <c r="B703" s="117" t="s">
        <v>5</v>
      </c>
    </row>
    <row r="704" spans="1:2" x14ac:dyDescent="0.25">
      <c r="A704" s="20">
        <f t="shared" si="59"/>
        <v>43755</v>
      </c>
      <c r="B704" s="117" t="s">
        <v>5</v>
      </c>
    </row>
    <row r="705" spans="1:2" x14ac:dyDescent="0.25">
      <c r="A705" s="20">
        <f t="shared" si="59"/>
        <v>43762</v>
      </c>
      <c r="B705" s="117" t="s">
        <v>5</v>
      </c>
    </row>
    <row r="706" spans="1:2" x14ac:dyDescent="0.25">
      <c r="A706" s="20">
        <f t="shared" si="59"/>
        <v>43769</v>
      </c>
      <c r="B706" s="117" t="s">
        <v>5</v>
      </c>
    </row>
    <row r="707" spans="1:2" x14ac:dyDescent="0.25">
      <c r="A707" s="20">
        <f t="shared" si="59"/>
        <v>43776</v>
      </c>
      <c r="B707" s="117" t="s">
        <v>5</v>
      </c>
    </row>
    <row r="708" spans="1:2" x14ac:dyDescent="0.25">
      <c r="A708" s="20">
        <f t="shared" si="59"/>
        <v>43783</v>
      </c>
      <c r="B708" s="117" t="s">
        <v>5</v>
      </c>
    </row>
    <row r="709" spans="1:2" x14ac:dyDescent="0.25">
      <c r="A709" s="20">
        <f t="shared" si="59"/>
        <v>43790</v>
      </c>
      <c r="B709" s="117" t="s">
        <v>5</v>
      </c>
    </row>
    <row r="710" spans="1:2" x14ac:dyDescent="0.25">
      <c r="A710" s="20">
        <f t="shared" si="59"/>
        <v>43797</v>
      </c>
      <c r="B710" s="117" t="s">
        <v>5</v>
      </c>
    </row>
    <row r="711" spans="1:2" x14ac:dyDescent="0.25">
      <c r="A711" s="20">
        <f t="shared" si="59"/>
        <v>43804</v>
      </c>
      <c r="B711" s="117" t="s">
        <v>5</v>
      </c>
    </row>
    <row r="712" spans="1:2" x14ac:dyDescent="0.25">
      <c r="A712" s="20">
        <f t="shared" si="59"/>
        <v>43811</v>
      </c>
      <c r="B712" s="117" t="s">
        <v>5</v>
      </c>
    </row>
    <row r="713" spans="1:2" x14ac:dyDescent="0.25">
      <c r="A713" s="20">
        <f t="shared" si="59"/>
        <v>43818</v>
      </c>
      <c r="B713" s="117" t="s">
        <v>5</v>
      </c>
    </row>
    <row r="714" spans="1:2" x14ac:dyDescent="0.25">
      <c r="A714" s="20">
        <f t="shared" si="59"/>
        <v>43825</v>
      </c>
      <c r="B714" s="117" t="s">
        <v>5</v>
      </c>
    </row>
    <row r="715" spans="1:2" x14ac:dyDescent="0.25">
      <c r="A715" s="20">
        <f t="shared" si="59"/>
        <v>43832</v>
      </c>
      <c r="B715" s="117" t="s">
        <v>5</v>
      </c>
    </row>
    <row r="716" spans="1:2" x14ac:dyDescent="0.25">
      <c r="A716" s="20">
        <f t="shared" si="59"/>
        <v>43839</v>
      </c>
      <c r="B716" s="117" t="s">
        <v>5</v>
      </c>
    </row>
    <row r="717" spans="1:2" x14ac:dyDescent="0.25">
      <c r="A717" s="20">
        <f t="shared" si="59"/>
        <v>43846</v>
      </c>
      <c r="B717" s="117" t="s">
        <v>5</v>
      </c>
    </row>
    <row r="718" spans="1:2" x14ac:dyDescent="0.25">
      <c r="A718" s="20">
        <f t="shared" si="59"/>
        <v>43853</v>
      </c>
      <c r="B718" s="117" t="s">
        <v>5</v>
      </c>
    </row>
    <row r="719" spans="1:2" x14ac:dyDescent="0.25">
      <c r="A719" s="20">
        <f t="shared" si="59"/>
        <v>43860</v>
      </c>
      <c r="B719" s="117" t="s">
        <v>5</v>
      </c>
    </row>
    <row r="720" spans="1:2" x14ac:dyDescent="0.25">
      <c r="A720" s="20">
        <f t="shared" si="59"/>
        <v>43867</v>
      </c>
      <c r="B720" s="117" t="s">
        <v>5</v>
      </c>
    </row>
    <row r="721" spans="1:2" x14ac:dyDescent="0.25">
      <c r="A721" s="20">
        <f t="shared" si="59"/>
        <v>43874</v>
      </c>
      <c r="B721" s="117" t="s">
        <v>5</v>
      </c>
    </row>
    <row r="722" spans="1:2" x14ac:dyDescent="0.25">
      <c r="A722" s="20">
        <f t="shared" si="59"/>
        <v>43881</v>
      </c>
      <c r="B722" s="117" t="s">
        <v>5</v>
      </c>
    </row>
  </sheetData>
  <mergeCells count="2">
    <mergeCell ref="E2:F2"/>
    <mergeCell ref="G2:H2"/>
  </mergeCells>
  <phoneticPr fontId="2" type="noConversion"/>
  <pageMargins left="0.75" right="0.75" top="1" bottom="1"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R243"/>
  <sheetViews>
    <sheetView workbookViewId="0"/>
  </sheetViews>
  <sheetFormatPr defaultRowHeight="13.2" x14ac:dyDescent="0.25"/>
  <cols>
    <col min="1" max="1" width="21.6640625" customWidth="1"/>
    <col min="2" max="2" width="4.109375" customWidth="1"/>
    <col min="3" max="3" width="12.109375" customWidth="1"/>
    <col min="4" max="4" width="8.44140625" customWidth="1"/>
    <col min="5" max="5" width="7.6640625" customWidth="1"/>
    <col min="6" max="6" width="7.88671875" customWidth="1"/>
    <col min="9" max="9" width="11.109375" customWidth="1"/>
    <col min="13" max="13" width="2.33203125" customWidth="1"/>
  </cols>
  <sheetData>
    <row r="1" spans="1:14" x14ac:dyDescent="0.25">
      <c r="A1" s="119" t="s">
        <v>372</v>
      </c>
      <c r="G1" s="116"/>
    </row>
    <row r="2" spans="1:14" x14ac:dyDescent="0.25">
      <c r="A2" s="119" t="s">
        <v>373</v>
      </c>
      <c r="G2" s="116"/>
    </row>
    <row r="3" spans="1:14" x14ac:dyDescent="0.25">
      <c r="A3" s="119" t="s">
        <v>374</v>
      </c>
    </row>
    <row r="4" spans="1:14" x14ac:dyDescent="0.25">
      <c r="A4" s="119" t="s">
        <v>375</v>
      </c>
      <c r="I4" s="117"/>
    </row>
    <row r="5" spans="1:14" x14ac:dyDescent="0.25">
      <c r="A5" s="119" t="s">
        <v>372</v>
      </c>
    </row>
    <row r="6" spans="1:14" x14ac:dyDescent="0.25">
      <c r="A6" s="119" t="s">
        <v>369</v>
      </c>
    </row>
    <row r="7" spans="1:14" x14ac:dyDescent="0.25">
      <c r="A7" s="119" t="s">
        <v>370</v>
      </c>
    </row>
    <row r="8" spans="1:14" x14ac:dyDescent="0.25">
      <c r="A8" s="119" t="s">
        <v>371</v>
      </c>
    </row>
    <row r="9" spans="1:14" x14ac:dyDescent="0.25">
      <c r="A9" s="119"/>
    </row>
    <row r="10" spans="1:14" x14ac:dyDescent="0.25">
      <c r="A10" s="119"/>
    </row>
    <row r="11" spans="1:14" ht="15" x14ac:dyDescent="0.25">
      <c r="A11" s="119" t="s">
        <v>58</v>
      </c>
      <c r="F11" t="s">
        <v>353</v>
      </c>
      <c r="G11" t="s">
        <v>354</v>
      </c>
      <c r="H11" s="116" t="s">
        <v>355</v>
      </c>
      <c r="J11" s="123" t="s">
        <v>344</v>
      </c>
      <c r="N11" s="191" t="s">
        <v>344</v>
      </c>
    </row>
    <row r="12" spans="1:14" x14ac:dyDescent="0.25">
      <c r="A12" s="119" t="s">
        <v>345</v>
      </c>
      <c r="B12" t="s">
        <v>194</v>
      </c>
      <c r="C12" t="s">
        <v>340</v>
      </c>
      <c r="D12" t="s">
        <v>175</v>
      </c>
      <c r="E12" t="s">
        <v>356</v>
      </c>
      <c r="F12" t="s">
        <v>357</v>
      </c>
      <c r="G12" t="s">
        <v>358</v>
      </c>
      <c r="H12" t="s">
        <v>376</v>
      </c>
    </row>
    <row r="13" spans="1:14" x14ac:dyDescent="0.25">
      <c r="A13" s="119" t="s">
        <v>59</v>
      </c>
      <c r="C13" t="s">
        <v>359</v>
      </c>
      <c r="D13" t="s">
        <v>377</v>
      </c>
      <c r="E13" t="s">
        <v>378</v>
      </c>
    </row>
    <row r="14" spans="1:14" x14ac:dyDescent="0.25">
      <c r="A14" s="119" t="s">
        <v>346</v>
      </c>
      <c r="B14" t="s">
        <v>60</v>
      </c>
      <c r="C14" t="s">
        <v>61</v>
      </c>
      <c r="D14" t="s">
        <v>167</v>
      </c>
      <c r="E14" t="s">
        <v>183</v>
      </c>
      <c r="F14" t="s">
        <v>167</v>
      </c>
      <c r="G14" t="s">
        <v>183</v>
      </c>
      <c r="H14" t="s">
        <v>168</v>
      </c>
    </row>
    <row r="15" spans="1:14" x14ac:dyDescent="0.25">
      <c r="A15" s="119"/>
      <c r="B15" t="s">
        <v>62</v>
      </c>
      <c r="C15" t="s">
        <v>347</v>
      </c>
      <c r="D15" t="s">
        <v>350</v>
      </c>
      <c r="E15" t="s">
        <v>360</v>
      </c>
      <c r="F15" t="s">
        <v>361</v>
      </c>
      <c r="G15" t="s">
        <v>362</v>
      </c>
      <c r="H15" t="s">
        <v>379</v>
      </c>
    </row>
    <row r="16" spans="1:14" x14ac:dyDescent="0.25">
      <c r="A16" s="119"/>
      <c r="C16" t="s">
        <v>61</v>
      </c>
      <c r="D16" t="s">
        <v>167</v>
      </c>
      <c r="E16" t="s">
        <v>183</v>
      </c>
      <c r="F16" t="s">
        <v>167</v>
      </c>
      <c r="G16" t="s">
        <v>183</v>
      </c>
      <c r="H16" t="s">
        <v>168</v>
      </c>
    </row>
    <row r="17" spans="1:28" x14ac:dyDescent="0.25">
      <c r="A17" s="119"/>
      <c r="B17" t="s">
        <v>62</v>
      </c>
      <c r="C17" t="s">
        <v>348</v>
      </c>
      <c r="D17" t="s">
        <v>351</v>
      </c>
      <c r="E17" t="s">
        <v>363</v>
      </c>
      <c r="F17" t="s">
        <v>364</v>
      </c>
      <c r="G17" t="s">
        <v>365</v>
      </c>
      <c r="H17" t="s">
        <v>380</v>
      </c>
    </row>
    <row r="18" spans="1:28" x14ac:dyDescent="0.25">
      <c r="A18" s="119"/>
      <c r="C18" t="s">
        <v>61</v>
      </c>
      <c r="D18" t="s">
        <v>167</v>
      </c>
      <c r="E18" t="s">
        <v>183</v>
      </c>
      <c r="F18" t="s">
        <v>167</v>
      </c>
      <c r="G18" t="s">
        <v>183</v>
      </c>
      <c r="H18" t="s">
        <v>168</v>
      </c>
    </row>
    <row r="19" spans="1:28" x14ac:dyDescent="0.25">
      <c r="A19" s="119" t="s">
        <v>63</v>
      </c>
      <c r="B19" t="s">
        <v>62</v>
      </c>
      <c r="C19" t="s">
        <v>349</v>
      </c>
      <c r="D19" t="s">
        <v>352</v>
      </c>
      <c r="E19" t="s">
        <v>366</v>
      </c>
      <c r="F19" t="s">
        <v>367</v>
      </c>
      <c r="G19" t="s">
        <v>368</v>
      </c>
      <c r="H19" t="s">
        <v>381</v>
      </c>
    </row>
    <row r="20" spans="1:28" x14ac:dyDescent="0.25">
      <c r="A20" s="119" t="s">
        <v>346</v>
      </c>
      <c r="B20" t="s">
        <v>60</v>
      </c>
      <c r="C20" t="s">
        <v>61</v>
      </c>
      <c r="D20" t="s">
        <v>167</v>
      </c>
      <c r="E20" t="s">
        <v>183</v>
      </c>
      <c r="F20" t="s">
        <v>167</v>
      </c>
      <c r="G20" t="s">
        <v>183</v>
      </c>
      <c r="H20" t="s">
        <v>168</v>
      </c>
    </row>
    <row r="21" spans="1:28" x14ac:dyDescent="0.25">
      <c r="A21" s="119"/>
      <c r="B21" t="s">
        <v>62</v>
      </c>
    </row>
    <row r="22" spans="1:28" x14ac:dyDescent="0.25">
      <c r="A22" s="119" t="s">
        <v>64</v>
      </c>
      <c r="B22" t="s">
        <v>62</v>
      </c>
      <c r="C22">
        <v>0.2</v>
      </c>
      <c r="D22">
        <v>0.4</v>
      </c>
      <c r="E22">
        <v>0</v>
      </c>
      <c r="F22" t="s">
        <v>228</v>
      </c>
      <c r="G22">
        <v>0</v>
      </c>
      <c r="H22">
        <v>0</v>
      </c>
    </row>
    <row r="23" spans="1:28" x14ac:dyDescent="0.25">
      <c r="A23" s="119" t="s">
        <v>65</v>
      </c>
      <c r="B23" t="s">
        <v>62</v>
      </c>
      <c r="C23">
        <v>0</v>
      </c>
      <c r="D23">
        <v>0.3</v>
      </c>
      <c r="E23">
        <v>0</v>
      </c>
      <c r="F23">
        <v>0</v>
      </c>
      <c r="G23">
        <v>0</v>
      </c>
      <c r="H23">
        <v>0</v>
      </c>
    </row>
    <row r="24" spans="1:28" x14ac:dyDescent="0.25">
      <c r="A24" s="119" t="s">
        <v>66</v>
      </c>
      <c r="B24" t="s">
        <v>62</v>
      </c>
      <c r="C24">
        <v>0.2</v>
      </c>
      <c r="D24">
        <v>0.1</v>
      </c>
      <c r="E24">
        <v>0</v>
      </c>
      <c r="F24" t="s">
        <v>228</v>
      </c>
      <c r="G24">
        <v>0</v>
      </c>
      <c r="H24">
        <v>0</v>
      </c>
    </row>
    <row r="25" spans="1:28" ht="13.2" customHeight="1" x14ac:dyDescent="0.25">
      <c r="A25" s="119"/>
      <c r="B25" t="s">
        <v>62</v>
      </c>
      <c r="D25" s="63"/>
      <c r="L25" s="215" t="s">
        <v>195</v>
      </c>
      <c r="M25" s="215"/>
      <c r="N25" s="215"/>
      <c r="O25" s="215"/>
      <c r="P25" s="215"/>
      <c r="Q25" s="215"/>
      <c r="R25" s="215"/>
      <c r="S25" s="215"/>
      <c r="T25" s="215"/>
    </row>
    <row r="26" spans="1:28" x14ac:dyDescent="0.25">
      <c r="A26" s="119" t="s">
        <v>71</v>
      </c>
      <c r="B26" t="s">
        <v>62</v>
      </c>
      <c r="C26">
        <v>1793.2</v>
      </c>
      <c r="D26">
        <v>2022.4</v>
      </c>
      <c r="E26">
        <v>182</v>
      </c>
      <c r="F26">
        <v>306</v>
      </c>
      <c r="G26">
        <v>0</v>
      </c>
      <c r="H26">
        <v>0</v>
      </c>
    </row>
    <row r="27" spans="1:28" x14ac:dyDescent="0.25">
      <c r="A27" s="119"/>
      <c r="B27" t="s">
        <v>62</v>
      </c>
      <c r="J27" s="63"/>
      <c r="L27" s="215" t="s">
        <v>150</v>
      </c>
      <c r="M27" s="215"/>
      <c r="N27" s="215"/>
      <c r="O27" s="215"/>
      <c r="P27" s="215"/>
      <c r="Q27" s="215"/>
      <c r="R27" s="215"/>
      <c r="S27" s="215"/>
      <c r="T27" s="215"/>
    </row>
    <row r="28" spans="1:28" x14ac:dyDescent="0.25">
      <c r="A28" s="119" t="s">
        <v>72</v>
      </c>
      <c r="B28" t="s">
        <v>62</v>
      </c>
      <c r="C28">
        <v>162.9</v>
      </c>
      <c r="D28">
        <v>107.9</v>
      </c>
      <c r="E28">
        <v>3.2</v>
      </c>
      <c r="F28">
        <v>32.700000000000003</v>
      </c>
      <c r="G28">
        <v>0</v>
      </c>
      <c r="H28">
        <v>0</v>
      </c>
    </row>
    <row r="29" spans="1:28" x14ac:dyDescent="0.25">
      <c r="A29" s="119"/>
      <c r="B29" t="s">
        <v>62</v>
      </c>
      <c r="H29" s="116"/>
      <c r="J29" s="1"/>
      <c r="L29" s="215"/>
      <c r="M29" s="215"/>
      <c r="N29" s="215"/>
      <c r="O29" s="215"/>
      <c r="P29" s="215"/>
      <c r="Q29" s="215"/>
      <c r="R29" s="215"/>
      <c r="S29" s="215"/>
      <c r="T29" s="215"/>
    </row>
    <row r="30" spans="1:28" x14ac:dyDescent="0.25">
      <c r="A30" s="119" t="s">
        <v>73</v>
      </c>
      <c r="B30" t="s">
        <v>62</v>
      </c>
      <c r="C30">
        <v>3127.7</v>
      </c>
      <c r="D30">
        <v>785.6</v>
      </c>
      <c r="E30">
        <v>60</v>
      </c>
      <c r="F30">
        <v>275.10000000000002</v>
      </c>
      <c r="G30">
        <v>0</v>
      </c>
      <c r="H30">
        <v>0</v>
      </c>
      <c r="K30" s="63"/>
      <c r="L30" s="215"/>
      <c r="M30" s="215"/>
      <c r="N30" s="215"/>
      <c r="O30" s="215"/>
      <c r="P30" s="215"/>
      <c r="Q30" s="215"/>
      <c r="R30" s="215"/>
      <c r="S30" s="215"/>
      <c r="T30" s="215"/>
    </row>
    <row r="31" spans="1:28" x14ac:dyDescent="0.25">
      <c r="A31" s="119"/>
      <c r="B31" t="s">
        <v>62</v>
      </c>
      <c r="K31" s="63"/>
      <c r="T31" s="215"/>
      <c r="U31" s="215"/>
      <c r="V31" s="215"/>
      <c r="W31" s="215"/>
      <c r="X31" s="215"/>
      <c r="Y31" s="215"/>
      <c r="Z31" s="215"/>
      <c r="AA31" s="215"/>
      <c r="AB31" s="215"/>
    </row>
    <row r="32" spans="1:28" x14ac:dyDescent="0.25">
      <c r="A32" s="119" t="s">
        <v>74</v>
      </c>
      <c r="B32" t="s">
        <v>62</v>
      </c>
      <c r="C32" s="153">
        <v>72.7</v>
      </c>
      <c r="D32">
        <v>387.1</v>
      </c>
      <c r="E32">
        <v>2.2000000000000002</v>
      </c>
      <c r="F32">
        <v>57.9</v>
      </c>
      <c r="G32">
        <v>0</v>
      </c>
      <c r="H32" s="116">
        <v>0</v>
      </c>
      <c r="K32" s="63"/>
    </row>
    <row r="33" spans="1:42" x14ac:dyDescent="0.25">
      <c r="A33" s="119" t="s">
        <v>75</v>
      </c>
      <c r="B33" t="s">
        <v>62</v>
      </c>
      <c r="C33">
        <v>2.2999999999999998</v>
      </c>
      <c r="D33">
        <v>0.7</v>
      </c>
      <c r="E33">
        <v>0.7</v>
      </c>
      <c r="F33">
        <v>0.3</v>
      </c>
      <c r="G33">
        <v>0</v>
      </c>
      <c r="H33" s="116">
        <v>0</v>
      </c>
      <c r="J33" s="1"/>
      <c r="K33" s="63"/>
      <c r="AI33" s="119" t="s">
        <v>58</v>
      </c>
    </row>
    <row r="34" spans="1:42" x14ac:dyDescent="0.25">
      <c r="A34" s="119" t="s">
        <v>80</v>
      </c>
      <c r="B34" t="s">
        <v>62</v>
      </c>
      <c r="C34">
        <v>6.1</v>
      </c>
      <c r="D34">
        <v>293.7</v>
      </c>
      <c r="E34">
        <v>1.4</v>
      </c>
      <c r="F34">
        <v>57.6</v>
      </c>
      <c r="G34">
        <v>0</v>
      </c>
      <c r="H34">
        <v>0</v>
      </c>
      <c r="K34" s="63"/>
      <c r="AI34" s="119" t="s">
        <v>156</v>
      </c>
      <c r="AJ34" t="s">
        <v>157</v>
      </c>
      <c r="AK34" t="s">
        <v>158</v>
      </c>
      <c r="AL34" t="s">
        <v>184</v>
      </c>
      <c r="AM34" t="s">
        <v>236</v>
      </c>
      <c r="AN34" t="s">
        <v>237</v>
      </c>
      <c r="AO34" t="s">
        <v>157</v>
      </c>
      <c r="AP34" t="s">
        <v>186</v>
      </c>
    </row>
    <row r="35" spans="1:42" ht="15" x14ac:dyDescent="0.35">
      <c r="A35" s="119" t="s">
        <v>82</v>
      </c>
      <c r="B35" t="s">
        <v>62</v>
      </c>
      <c r="C35">
        <v>0.9</v>
      </c>
      <c r="D35">
        <v>0</v>
      </c>
      <c r="E35">
        <v>0</v>
      </c>
      <c r="F35">
        <v>0</v>
      </c>
      <c r="G35">
        <v>0</v>
      </c>
      <c r="H35">
        <v>0</v>
      </c>
      <c r="K35" s="63"/>
      <c r="L35" s="84"/>
      <c r="N35" t="s">
        <v>169</v>
      </c>
      <c r="O35">
        <v>9</v>
      </c>
      <c r="P35" t="s">
        <v>170</v>
      </c>
      <c r="Q35">
        <v>8</v>
      </c>
      <c r="R35" t="s">
        <v>171</v>
      </c>
      <c r="S35">
        <v>7</v>
      </c>
      <c r="T35" t="s">
        <v>172</v>
      </c>
      <c r="U35">
        <v>6</v>
      </c>
      <c r="V35" t="s">
        <v>173</v>
      </c>
      <c r="W35">
        <v>5</v>
      </c>
      <c r="AI35" s="119" t="s">
        <v>196</v>
      </c>
      <c r="AJ35" t="s">
        <v>159</v>
      </c>
      <c r="AK35" t="s">
        <v>160</v>
      </c>
      <c r="AL35" t="s">
        <v>187</v>
      </c>
      <c r="AM35" t="s">
        <v>238</v>
      </c>
      <c r="AN35" t="s">
        <v>239</v>
      </c>
      <c r="AO35">
        <v>11</v>
      </c>
    </row>
    <row r="36" spans="1:42" ht="15" x14ac:dyDescent="0.35">
      <c r="A36" s="119" t="s">
        <v>123</v>
      </c>
      <c r="B36" t="s">
        <v>62</v>
      </c>
      <c r="C36">
        <v>0</v>
      </c>
      <c r="D36">
        <v>0.2</v>
      </c>
      <c r="E36">
        <v>0</v>
      </c>
      <c r="F36">
        <v>0</v>
      </c>
      <c r="G36">
        <v>0</v>
      </c>
      <c r="H36">
        <v>0</v>
      </c>
      <c r="K36" s="63"/>
      <c r="L36" s="84" t="s">
        <v>174</v>
      </c>
      <c r="N36" t="s">
        <v>175</v>
      </c>
      <c r="O36" t="s">
        <v>176</v>
      </c>
      <c r="P36" t="s">
        <v>175</v>
      </c>
      <c r="Q36" t="s">
        <v>176</v>
      </c>
      <c r="R36" t="s">
        <v>175</v>
      </c>
      <c r="S36" t="s">
        <v>176</v>
      </c>
      <c r="T36" t="s">
        <v>175</v>
      </c>
      <c r="U36" t="s">
        <v>176</v>
      </c>
      <c r="V36" t="s">
        <v>175</v>
      </c>
      <c r="W36" t="s">
        <v>176</v>
      </c>
      <c r="AB36" s="84" t="s">
        <v>58</v>
      </c>
      <c r="AI36" s="119" t="s">
        <v>59</v>
      </c>
    </row>
    <row r="37" spans="1:42" ht="15" x14ac:dyDescent="0.35">
      <c r="A37" s="119" t="s">
        <v>124</v>
      </c>
      <c r="B37" t="s">
        <v>62</v>
      </c>
      <c r="C37">
        <v>0</v>
      </c>
      <c r="D37">
        <v>0</v>
      </c>
      <c r="E37">
        <v>0.1</v>
      </c>
      <c r="F37">
        <v>0</v>
      </c>
      <c r="G37">
        <v>0</v>
      </c>
      <c r="H37">
        <v>0</v>
      </c>
      <c r="K37" s="63"/>
      <c r="L37" s="84" t="s">
        <v>167</v>
      </c>
      <c r="M37" t="s">
        <v>60</v>
      </c>
      <c r="N37" t="s">
        <v>167</v>
      </c>
      <c r="O37" t="s">
        <v>177</v>
      </c>
      <c r="P37" t="s">
        <v>167</v>
      </c>
      <c r="Q37" t="s">
        <v>177</v>
      </c>
      <c r="R37" t="s">
        <v>167</v>
      </c>
      <c r="S37" t="s">
        <v>177</v>
      </c>
      <c r="T37" t="s">
        <v>167</v>
      </c>
      <c r="U37" t="s">
        <v>177</v>
      </c>
      <c r="V37" t="s">
        <v>167</v>
      </c>
      <c r="W37" t="s">
        <v>177</v>
      </c>
      <c r="AB37" s="84" t="s">
        <v>156</v>
      </c>
      <c r="AC37" t="s">
        <v>157</v>
      </c>
      <c r="AD37" t="s">
        <v>158</v>
      </c>
      <c r="AE37" t="s">
        <v>184</v>
      </c>
      <c r="AF37" t="s">
        <v>185</v>
      </c>
      <c r="AG37" t="s">
        <v>186</v>
      </c>
      <c r="AI37" s="119" t="s">
        <v>161</v>
      </c>
      <c r="AJ37" t="s">
        <v>162</v>
      </c>
      <c r="AK37" t="s">
        <v>61</v>
      </c>
      <c r="AL37" t="s">
        <v>168</v>
      </c>
      <c r="AM37" t="s">
        <v>189</v>
      </c>
      <c r="AN37" t="s">
        <v>167</v>
      </c>
      <c r="AO37" t="s">
        <v>162</v>
      </c>
      <c r="AP37" t="s">
        <v>240</v>
      </c>
    </row>
    <row r="38" spans="1:42" ht="15" x14ac:dyDescent="0.35">
      <c r="A38" s="119" t="s">
        <v>165</v>
      </c>
      <c r="B38" t="s">
        <v>62</v>
      </c>
      <c r="C38">
        <v>1.4</v>
      </c>
      <c r="D38">
        <v>0.4</v>
      </c>
      <c r="E38">
        <v>0</v>
      </c>
      <c r="F38">
        <v>0</v>
      </c>
      <c r="G38">
        <v>0</v>
      </c>
      <c r="H38">
        <v>0</v>
      </c>
      <c r="K38" s="63"/>
      <c r="L38" s="84" t="s">
        <v>71</v>
      </c>
      <c r="M38" t="s">
        <v>62</v>
      </c>
      <c r="N38" s="101">
        <v>15909.5</v>
      </c>
      <c r="O38">
        <v>1</v>
      </c>
      <c r="P38">
        <v>15800.5</v>
      </c>
      <c r="Q38">
        <v>1</v>
      </c>
      <c r="R38">
        <v>15639.8</v>
      </c>
      <c r="S38">
        <v>1</v>
      </c>
      <c r="T38">
        <v>16473.8</v>
      </c>
      <c r="U38">
        <v>1</v>
      </c>
      <c r="V38">
        <v>15829.6</v>
      </c>
      <c r="W38">
        <v>1</v>
      </c>
      <c r="AB38" s="84" t="s">
        <v>152</v>
      </c>
      <c r="AC38" t="s">
        <v>159</v>
      </c>
      <c r="AD38" t="s">
        <v>160</v>
      </c>
      <c r="AE38" t="s">
        <v>187</v>
      </c>
      <c r="AF38" s="20">
        <v>40056</v>
      </c>
      <c r="AI38" s="119"/>
      <c r="AJ38" t="s">
        <v>62</v>
      </c>
      <c r="AK38" t="s">
        <v>163</v>
      </c>
      <c r="AL38" t="s">
        <v>190</v>
      </c>
      <c r="AM38" t="s">
        <v>62</v>
      </c>
      <c r="AN38" t="s">
        <v>241</v>
      </c>
      <c r="AO38" t="s">
        <v>242</v>
      </c>
      <c r="AP38" t="s">
        <v>175</v>
      </c>
    </row>
    <row r="39" spans="1:42" ht="15" x14ac:dyDescent="0.35">
      <c r="A39" s="119" t="s">
        <v>83</v>
      </c>
      <c r="B39" t="s">
        <v>62</v>
      </c>
      <c r="C39">
        <v>62</v>
      </c>
      <c r="D39">
        <v>92</v>
      </c>
      <c r="E39">
        <v>0</v>
      </c>
      <c r="F39">
        <v>0</v>
      </c>
      <c r="G39">
        <v>0</v>
      </c>
      <c r="H39">
        <v>0</v>
      </c>
      <c r="K39" s="63"/>
      <c r="N39" s="101"/>
      <c r="AB39" s="84" t="s">
        <v>59</v>
      </c>
      <c r="AI39" s="119"/>
      <c r="AJ39" t="s">
        <v>62</v>
      </c>
      <c r="AK39" t="s">
        <v>61</v>
      </c>
      <c r="AL39" t="s">
        <v>168</v>
      </c>
      <c r="AM39" t="s">
        <v>189</v>
      </c>
      <c r="AN39" t="s">
        <v>167</v>
      </c>
      <c r="AO39" t="s">
        <v>162</v>
      </c>
      <c r="AP39" t="s">
        <v>240</v>
      </c>
    </row>
    <row r="40" spans="1:42" ht="15" x14ac:dyDescent="0.35">
      <c r="A40" s="119" t="s">
        <v>86</v>
      </c>
      <c r="B40" t="s">
        <v>62</v>
      </c>
      <c r="C40" t="s">
        <v>228</v>
      </c>
      <c r="D40">
        <v>0</v>
      </c>
      <c r="E40">
        <v>0</v>
      </c>
      <c r="F40">
        <v>0</v>
      </c>
      <c r="G40">
        <v>0</v>
      </c>
      <c r="H40">
        <v>0</v>
      </c>
      <c r="K40" s="63"/>
      <c r="L40" s="84" t="s">
        <v>110</v>
      </c>
      <c r="M40" t="s">
        <v>62</v>
      </c>
      <c r="N40" s="101">
        <v>7453.7</v>
      </c>
      <c r="O40">
        <v>2</v>
      </c>
      <c r="P40">
        <v>8739.4</v>
      </c>
      <c r="Q40">
        <v>2</v>
      </c>
      <c r="R40">
        <v>9114.1</v>
      </c>
      <c r="S40">
        <v>2</v>
      </c>
      <c r="T40">
        <v>6653.1</v>
      </c>
      <c r="U40">
        <v>2</v>
      </c>
      <c r="V40">
        <v>5761.5</v>
      </c>
      <c r="W40">
        <v>2</v>
      </c>
      <c r="AB40" s="84" t="s">
        <v>161</v>
      </c>
      <c r="AC40" t="s">
        <v>162</v>
      </c>
      <c r="AD40" t="s">
        <v>61</v>
      </c>
      <c r="AE40" t="s">
        <v>168</v>
      </c>
      <c r="AF40" t="s">
        <v>188</v>
      </c>
      <c r="AG40" t="s">
        <v>183</v>
      </c>
      <c r="AH40" t="s">
        <v>189</v>
      </c>
      <c r="AI40" s="119" t="s">
        <v>63</v>
      </c>
      <c r="AJ40" t="s">
        <v>62</v>
      </c>
      <c r="AK40" t="s">
        <v>196</v>
      </c>
      <c r="AL40" t="s">
        <v>243</v>
      </c>
      <c r="AM40" t="s">
        <v>62</v>
      </c>
      <c r="AN40" t="s">
        <v>196</v>
      </c>
      <c r="AO40" t="s">
        <v>62</v>
      </c>
      <c r="AP40" t="s">
        <v>244</v>
      </c>
    </row>
    <row r="41" spans="1:42" ht="15" x14ac:dyDescent="0.35">
      <c r="A41" s="119"/>
      <c r="B41" t="s">
        <v>62</v>
      </c>
      <c r="K41" s="63"/>
      <c r="N41" s="101"/>
      <c r="AB41" s="84"/>
      <c r="AC41" t="s">
        <v>62</v>
      </c>
      <c r="AD41" t="s">
        <v>163</v>
      </c>
      <c r="AE41" t="s">
        <v>190</v>
      </c>
      <c r="AF41" t="s">
        <v>191</v>
      </c>
      <c r="AG41" t="s">
        <v>175</v>
      </c>
      <c r="AI41" s="119" t="s">
        <v>161</v>
      </c>
      <c r="AJ41" t="s">
        <v>162</v>
      </c>
      <c r="AK41" t="s">
        <v>61</v>
      </c>
      <c r="AL41" t="s">
        <v>168</v>
      </c>
      <c r="AM41" t="s">
        <v>189</v>
      </c>
      <c r="AN41" t="s">
        <v>167</v>
      </c>
      <c r="AO41" t="s">
        <v>162</v>
      </c>
      <c r="AP41" t="s">
        <v>240</v>
      </c>
    </row>
    <row r="42" spans="1:42" ht="15" x14ac:dyDescent="0.35">
      <c r="A42" s="119" t="s">
        <v>96</v>
      </c>
      <c r="B42" t="s">
        <v>62</v>
      </c>
      <c r="C42">
        <v>3947.4</v>
      </c>
      <c r="D42">
        <v>2896.2</v>
      </c>
      <c r="E42">
        <v>442.5</v>
      </c>
      <c r="F42">
        <v>317.3</v>
      </c>
      <c r="G42">
        <v>22</v>
      </c>
      <c r="H42">
        <v>0</v>
      </c>
      <c r="K42" s="63"/>
      <c r="L42" s="84" t="s">
        <v>80</v>
      </c>
      <c r="M42" t="s">
        <v>62</v>
      </c>
      <c r="N42" s="101">
        <v>5129.3999999999996</v>
      </c>
      <c r="O42">
        <v>3</v>
      </c>
      <c r="P42">
        <v>8639</v>
      </c>
      <c r="Q42">
        <v>3</v>
      </c>
      <c r="R42">
        <v>4078.8</v>
      </c>
      <c r="S42">
        <v>4</v>
      </c>
      <c r="T42">
        <v>5572.9</v>
      </c>
      <c r="U42">
        <v>3</v>
      </c>
      <c r="V42">
        <v>2098.5</v>
      </c>
      <c r="W42">
        <v>5</v>
      </c>
      <c r="AB42" s="84"/>
      <c r="AC42" t="s">
        <v>62</v>
      </c>
      <c r="AD42" t="s">
        <v>61</v>
      </c>
      <c r="AE42" t="s">
        <v>168</v>
      </c>
      <c r="AF42" t="s">
        <v>188</v>
      </c>
      <c r="AG42" t="s">
        <v>183</v>
      </c>
      <c r="AH42" t="s">
        <v>189</v>
      </c>
      <c r="AI42" s="119"/>
      <c r="AJ42" t="s">
        <v>62</v>
      </c>
    </row>
    <row r="43" spans="1:42" ht="15" x14ac:dyDescent="0.35">
      <c r="A43" s="119" t="s">
        <v>97</v>
      </c>
      <c r="B43" t="s">
        <v>62</v>
      </c>
      <c r="C43">
        <v>5.5</v>
      </c>
      <c r="D43">
        <v>5</v>
      </c>
      <c r="E43">
        <v>5</v>
      </c>
      <c r="F43">
        <v>0</v>
      </c>
      <c r="G43">
        <v>0</v>
      </c>
      <c r="H43">
        <v>0</v>
      </c>
      <c r="K43" s="63"/>
      <c r="N43" s="101"/>
      <c r="AB43" s="84" t="s">
        <v>63</v>
      </c>
      <c r="AC43" t="s">
        <v>62</v>
      </c>
      <c r="AD43" t="s">
        <v>152</v>
      </c>
      <c r="AE43" t="s">
        <v>192</v>
      </c>
      <c r="AF43" t="s">
        <v>193</v>
      </c>
      <c r="AG43" t="s">
        <v>57</v>
      </c>
      <c r="AI43" s="119" t="s">
        <v>64</v>
      </c>
      <c r="AJ43" t="s">
        <v>62</v>
      </c>
      <c r="AK43">
        <v>0.6</v>
      </c>
      <c r="AL43">
        <v>1</v>
      </c>
      <c r="AN43">
        <v>1000.6</v>
      </c>
      <c r="AP43">
        <v>61</v>
      </c>
    </row>
    <row r="44" spans="1:42" ht="15" x14ac:dyDescent="0.35">
      <c r="A44" s="119" t="s">
        <v>98</v>
      </c>
      <c r="B44" t="s">
        <v>62</v>
      </c>
      <c r="C44">
        <v>55.3</v>
      </c>
      <c r="D44">
        <v>2</v>
      </c>
      <c r="E44">
        <v>3.4</v>
      </c>
      <c r="F44">
        <v>9.1999999999999993</v>
      </c>
      <c r="G44">
        <v>0</v>
      </c>
      <c r="H44">
        <v>0</v>
      </c>
      <c r="K44" s="63"/>
      <c r="L44" s="84" t="s">
        <v>72</v>
      </c>
      <c r="M44" t="s">
        <v>62</v>
      </c>
      <c r="N44" s="101">
        <v>3198.3</v>
      </c>
      <c r="O44">
        <v>4</v>
      </c>
      <c r="P44">
        <v>3478.3</v>
      </c>
      <c r="Q44">
        <v>4</v>
      </c>
      <c r="R44">
        <v>4517.3999999999996</v>
      </c>
      <c r="S44">
        <v>3</v>
      </c>
      <c r="T44">
        <v>4951.3</v>
      </c>
      <c r="U44">
        <v>4</v>
      </c>
      <c r="V44">
        <v>4484.8999999999996</v>
      </c>
      <c r="W44">
        <v>3</v>
      </c>
      <c r="AB44" s="84" t="s">
        <v>161</v>
      </c>
      <c r="AC44" t="s">
        <v>162</v>
      </c>
      <c r="AD44" t="s">
        <v>61</v>
      </c>
      <c r="AE44" t="s">
        <v>168</v>
      </c>
      <c r="AF44" t="s">
        <v>188</v>
      </c>
      <c r="AG44" t="s">
        <v>183</v>
      </c>
      <c r="AH44" t="s">
        <v>189</v>
      </c>
      <c r="AI44" s="119" t="s">
        <v>133</v>
      </c>
      <c r="AJ44" t="s">
        <v>62</v>
      </c>
      <c r="AK44">
        <v>0</v>
      </c>
      <c r="AL44">
        <v>0</v>
      </c>
      <c r="AN44">
        <v>0</v>
      </c>
      <c r="AP44">
        <v>0.2</v>
      </c>
    </row>
    <row r="45" spans="1:42" ht="15" x14ac:dyDescent="0.35">
      <c r="A45" s="119" t="s">
        <v>99</v>
      </c>
      <c r="B45" t="s">
        <v>62</v>
      </c>
      <c r="C45">
        <v>14.7</v>
      </c>
      <c r="D45">
        <v>41.5</v>
      </c>
      <c r="E45">
        <v>5.2</v>
      </c>
      <c r="F45">
        <v>1.2</v>
      </c>
      <c r="G45">
        <v>0</v>
      </c>
      <c r="H45">
        <v>0</v>
      </c>
      <c r="K45" s="63"/>
      <c r="N45" s="101"/>
      <c r="AB45" s="84"/>
      <c r="AC45" t="s">
        <v>62</v>
      </c>
      <c r="AI45" s="119" t="s">
        <v>129</v>
      </c>
      <c r="AJ45" t="s">
        <v>62</v>
      </c>
      <c r="AK45">
        <v>0</v>
      </c>
      <c r="AL45">
        <v>0</v>
      </c>
      <c r="AN45">
        <v>62.8</v>
      </c>
      <c r="AP45">
        <v>57.3</v>
      </c>
    </row>
    <row r="46" spans="1:42" ht="15" x14ac:dyDescent="0.35">
      <c r="A46" s="119" t="s">
        <v>101</v>
      </c>
      <c r="B46" t="s">
        <v>62</v>
      </c>
      <c r="C46">
        <v>216.1</v>
      </c>
      <c r="D46">
        <v>188.8</v>
      </c>
      <c r="E46">
        <v>13.6</v>
      </c>
      <c r="F46">
        <v>5.5</v>
      </c>
      <c r="G46">
        <v>0</v>
      </c>
      <c r="H46">
        <v>0</v>
      </c>
      <c r="K46" s="63"/>
      <c r="L46" s="84" t="s">
        <v>90</v>
      </c>
      <c r="M46" t="s">
        <v>62</v>
      </c>
      <c r="N46" s="101">
        <v>2232.9</v>
      </c>
      <c r="O46">
        <v>5</v>
      </c>
      <c r="P46">
        <v>3309.4</v>
      </c>
      <c r="Q46">
        <v>5</v>
      </c>
      <c r="R46">
        <v>3508.1</v>
      </c>
      <c r="S46">
        <v>5</v>
      </c>
      <c r="T46">
        <v>4298.1000000000004</v>
      </c>
      <c r="U46">
        <v>5</v>
      </c>
      <c r="V46">
        <v>4123.3</v>
      </c>
      <c r="W46">
        <v>4</v>
      </c>
      <c r="AB46" s="84" t="s">
        <v>64</v>
      </c>
      <c r="AC46" t="s">
        <v>62</v>
      </c>
      <c r="AD46">
        <v>0.3</v>
      </c>
      <c r="AE46">
        <v>0.9</v>
      </c>
      <c r="AF46">
        <v>5.8</v>
      </c>
      <c r="AG46">
        <v>9.9</v>
      </c>
      <c r="AI46" s="119" t="s">
        <v>229</v>
      </c>
      <c r="AJ46" t="s">
        <v>62</v>
      </c>
      <c r="AK46">
        <v>0</v>
      </c>
      <c r="AL46">
        <v>0</v>
      </c>
      <c r="AN46">
        <v>113.8</v>
      </c>
      <c r="AP46">
        <v>0</v>
      </c>
    </row>
    <row r="47" spans="1:42" ht="15" x14ac:dyDescent="0.35">
      <c r="A47" s="119" t="s">
        <v>102</v>
      </c>
      <c r="B47" t="s">
        <v>62</v>
      </c>
      <c r="C47">
        <v>0</v>
      </c>
      <c r="D47">
        <v>75</v>
      </c>
      <c r="E47">
        <v>0</v>
      </c>
      <c r="F47">
        <v>0</v>
      </c>
      <c r="G47">
        <v>0</v>
      </c>
      <c r="H47">
        <v>0</v>
      </c>
      <c r="K47" s="63"/>
      <c r="N47" s="101"/>
      <c r="AB47" s="84" t="s">
        <v>133</v>
      </c>
      <c r="AC47" t="s">
        <v>62</v>
      </c>
      <c r="AD47">
        <v>0</v>
      </c>
      <c r="AE47">
        <v>0</v>
      </c>
      <c r="AF47">
        <v>0</v>
      </c>
      <c r="AG47">
        <v>0.1</v>
      </c>
      <c r="AI47" s="119" t="s">
        <v>232</v>
      </c>
      <c r="AJ47" t="s">
        <v>62</v>
      </c>
      <c r="AK47">
        <v>0</v>
      </c>
      <c r="AL47">
        <v>0</v>
      </c>
      <c r="AN47">
        <v>28.3</v>
      </c>
      <c r="AP47">
        <v>0</v>
      </c>
    </row>
    <row r="48" spans="1:42" ht="15" x14ac:dyDescent="0.35">
      <c r="A48" s="119" t="s">
        <v>103</v>
      </c>
      <c r="B48" t="s">
        <v>62</v>
      </c>
      <c r="C48">
        <v>26</v>
      </c>
      <c r="D48">
        <v>17.7</v>
      </c>
      <c r="E48">
        <v>26.4</v>
      </c>
      <c r="F48">
        <v>0</v>
      </c>
      <c r="G48">
        <v>0</v>
      </c>
      <c r="H48">
        <v>0</v>
      </c>
      <c r="K48" s="63"/>
      <c r="L48" s="84" t="s">
        <v>101</v>
      </c>
      <c r="M48" t="s">
        <v>62</v>
      </c>
      <c r="N48" s="101">
        <v>1399.4</v>
      </c>
      <c r="O48">
        <v>6</v>
      </c>
      <c r="P48">
        <v>2960.7</v>
      </c>
      <c r="Q48">
        <v>6</v>
      </c>
      <c r="R48">
        <v>3272.8</v>
      </c>
      <c r="S48">
        <v>6</v>
      </c>
      <c r="T48">
        <v>2683.6</v>
      </c>
      <c r="U48">
        <v>6</v>
      </c>
      <c r="V48">
        <v>2058.6</v>
      </c>
      <c r="W48">
        <v>6</v>
      </c>
      <c r="AB48" s="84" t="s">
        <v>129</v>
      </c>
      <c r="AC48" t="s">
        <v>62</v>
      </c>
      <c r="AD48">
        <v>0</v>
      </c>
      <c r="AE48">
        <v>0</v>
      </c>
      <c r="AF48">
        <v>0</v>
      </c>
      <c r="AG48">
        <v>0.3</v>
      </c>
      <c r="AI48" s="119" t="s">
        <v>230</v>
      </c>
      <c r="AJ48" t="s">
        <v>62</v>
      </c>
      <c r="AK48">
        <v>0</v>
      </c>
      <c r="AL48">
        <v>0</v>
      </c>
      <c r="AN48">
        <v>92.1</v>
      </c>
      <c r="AP48">
        <v>0</v>
      </c>
    </row>
    <row r="49" spans="1:44" ht="15" x14ac:dyDescent="0.35">
      <c r="A49" s="119" t="s">
        <v>105</v>
      </c>
      <c r="B49" t="s">
        <v>62</v>
      </c>
      <c r="C49">
        <v>4.4000000000000004</v>
      </c>
      <c r="D49">
        <v>0</v>
      </c>
      <c r="E49">
        <v>0</v>
      </c>
      <c r="F49">
        <v>0</v>
      </c>
      <c r="G49">
        <v>0</v>
      </c>
      <c r="H49">
        <v>0</v>
      </c>
      <c r="K49" s="63"/>
      <c r="N49" s="101"/>
      <c r="AB49" s="84" t="s">
        <v>65</v>
      </c>
      <c r="AC49" t="s">
        <v>62</v>
      </c>
      <c r="AD49">
        <v>0.1</v>
      </c>
      <c r="AE49">
        <v>0.7</v>
      </c>
      <c r="AF49">
        <v>5.4</v>
      </c>
      <c r="AG49">
        <v>9.1</v>
      </c>
      <c r="AI49" s="119" t="s">
        <v>181</v>
      </c>
      <c r="AJ49" t="s">
        <v>62</v>
      </c>
      <c r="AK49">
        <v>0</v>
      </c>
      <c r="AL49">
        <v>0</v>
      </c>
      <c r="AN49">
        <v>349.8</v>
      </c>
      <c r="AP49">
        <v>0</v>
      </c>
    </row>
    <row r="50" spans="1:44" ht="15" x14ac:dyDescent="0.35">
      <c r="A50" s="119" t="s">
        <v>106</v>
      </c>
      <c r="B50" t="s">
        <v>62</v>
      </c>
      <c r="C50">
        <v>149.19999999999999</v>
      </c>
      <c r="D50">
        <v>17.8</v>
      </c>
      <c r="E50">
        <v>12.3</v>
      </c>
      <c r="F50">
        <v>7.7</v>
      </c>
      <c r="G50">
        <v>0</v>
      </c>
      <c r="H50">
        <v>0</v>
      </c>
      <c r="K50" s="63"/>
      <c r="L50" s="84" t="s">
        <v>119</v>
      </c>
      <c r="M50" t="s">
        <v>62</v>
      </c>
      <c r="N50" s="101">
        <v>1159</v>
      </c>
      <c r="O50">
        <v>7</v>
      </c>
      <c r="P50">
        <v>1005.5</v>
      </c>
      <c r="Q50">
        <v>12</v>
      </c>
      <c r="R50">
        <v>519.20000000000005</v>
      </c>
      <c r="S50">
        <v>16</v>
      </c>
      <c r="T50">
        <v>150</v>
      </c>
      <c r="U50">
        <v>29</v>
      </c>
      <c r="V50">
        <v>210.4</v>
      </c>
      <c r="W50">
        <v>24</v>
      </c>
      <c r="AB50" s="84" t="s">
        <v>66</v>
      </c>
      <c r="AC50" t="s">
        <v>62</v>
      </c>
      <c r="AD50">
        <v>0.2</v>
      </c>
      <c r="AE50">
        <v>0.2</v>
      </c>
      <c r="AF50">
        <v>0.5</v>
      </c>
      <c r="AG50">
        <v>0.3</v>
      </c>
      <c r="AI50" s="119" t="s">
        <v>65</v>
      </c>
      <c r="AJ50" t="s">
        <v>62</v>
      </c>
      <c r="AK50">
        <v>0.5</v>
      </c>
      <c r="AL50">
        <v>1</v>
      </c>
      <c r="AN50">
        <v>353.5</v>
      </c>
      <c r="AP50">
        <v>3.1</v>
      </c>
    </row>
    <row r="51" spans="1:44" ht="15" x14ac:dyDescent="0.35">
      <c r="A51" s="119" t="s">
        <v>107</v>
      </c>
      <c r="B51" t="s">
        <v>62</v>
      </c>
      <c r="C51">
        <v>26.8</v>
      </c>
      <c r="D51">
        <v>48.1</v>
      </c>
      <c r="E51">
        <v>16.600000000000001</v>
      </c>
      <c r="F51">
        <v>5.4</v>
      </c>
      <c r="G51">
        <v>0</v>
      </c>
      <c r="H51">
        <v>0</v>
      </c>
      <c r="K51" s="63"/>
      <c r="N51" s="101"/>
      <c r="AB51" s="84"/>
      <c r="AC51" t="s">
        <v>62</v>
      </c>
      <c r="AI51" s="119" t="s">
        <v>66</v>
      </c>
      <c r="AJ51" t="s">
        <v>62</v>
      </c>
      <c r="AK51">
        <v>0.1</v>
      </c>
      <c r="AL51" t="s">
        <v>228</v>
      </c>
      <c r="AN51">
        <v>0.4</v>
      </c>
      <c r="AP51">
        <v>0.4</v>
      </c>
    </row>
    <row r="52" spans="1:44" ht="15" x14ac:dyDescent="0.35">
      <c r="A52" s="119" t="s">
        <v>108</v>
      </c>
      <c r="B52" t="s">
        <v>62</v>
      </c>
      <c r="C52">
        <v>57.1</v>
      </c>
      <c r="D52">
        <v>50.5</v>
      </c>
      <c r="E52">
        <v>0</v>
      </c>
      <c r="F52">
        <v>0</v>
      </c>
      <c r="G52">
        <v>0</v>
      </c>
      <c r="H52">
        <v>0</v>
      </c>
      <c r="K52" s="63"/>
      <c r="L52" s="84" t="s">
        <v>103</v>
      </c>
      <c r="M52" t="s">
        <v>62</v>
      </c>
      <c r="N52" s="101">
        <v>954.8</v>
      </c>
      <c r="O52">
        <v>8</v>
      </c>
      <c r="P52">
        <v>1099.0999999999999</v>
      </c>
      <c r="Q52">
        <v>11</v>
      </c>
      <c r="R52">
        <v>1204.0999999999999</v>
      </c>
      <c r="S52">
        <v>9</v>
      </c>
      <c r="T52">
        <v>1033.5</v>
      </c>
      <c r="U52">
        <v>10</v>
      </c>
      <c r="V52">
        <v>1035.8</v>
      </c>
      <c r="W52">
        <v>10</v>
      </c>
      <c r="AB52" s="84" t="s">
        <v>67</v>
      </c>
      <c r="AC52" t="s">
        <v>62</v>
      </c>
      <c r="AD52">
        <v>0</v>
      </c>
      <c r="AE52">
        <v>32</v>
      </c>
      <c r="AF52">
        <v>21.9</v>
      </c>
      <c r="AG52">
        <v>427.3</v>
      </c>
      <c r="AI52" s="119"/>
      <c r="AJ52" t="s">
        <v>62</v>
      </c>
    </row>
    <row r="53" spans="1:44" ht="15" x14ac:dyDescent="0.35">
      <c r="A53" s="119" t="s">
        <v>109</v>
      </c>
      <c r="B53" t="s">
        <v>62</v>
      </c>
      <c r="C53">
        <v>5.7</v>
      </c>
      <c r="D53">
        <v>5.4</v>
      </c>
      <c r="E53">
        <v>0.9</v>
      </c>
      <c r="F53">
        <v>0</v>
      </c>
      <c r="G53">
        <v>0</v>
      </c>
      <c r="H53">
        <v>0</v>
      </c>
      <c r="K53" s="63"/>
      <c r="N53" s="101"/>
      <c r="AB53" s="84" t="s">
        <v>120</v>
      </c>
      <c r="AC53" t="s">
        <v>62</v>
      </c>
      <c r="AD53">
        <v>0</v>
      </c>
      <c r="AE53">
        <v>0</v>
      </c>
      <c r="AF53">
        <v>0</v>
      </c>
      <c r="AG53">
        <v>5.9</v>
      </c>
      <c r="AI53" s="119" t="s">
        <v>67</v>
      </c>
      <c r="AJ53" t="s">
        <v>62</v>
      </c>
      <c r="AK53">
        <v>0</v>
      </c>
      <c r="AL53">
        <v>0</v>
      </c>
      <c r="AN53">
        <v>10.199999999999999</v>
      </c>
      <c r="AP53">
        <v>0.1</v>
      </c>
    </row>
    <row r="54" spans="1:44" ht="15" x14ac:dyDescent="0.35">
      <c r="A54" s="119" t="s">
        <v>110</v>
      </c>
      <c r="B54" t="s">
        <v>62</v>
      </c>
      <c r="C54">
        <v>3130.9</v>
      </c>
      <c r="D54">
        <v>2288</v>
      </c>
      <c r="E54">
        <v>251.2</v>
      </c>
      <c r="F54">
        <v>182.5</v>
      </c>
      <c r="G54">
        <v>22</v>
      </c>
      <c r="H54">
        <v>0</v>
      </c>
      <c r="K54" s="63"/>
      <c r="L54" s="84" t="s">
        <v>99</v>
      </c>
      <c r="M54" t="s">
        <v>62</v>
      </c>
      <c r="N54" s="101">
        <v>876.8</v>
      </c>
      <c r="O54">
        <v>9</v>
      </c>
      <c r="P54">
        <v>1738.1</v>
      </c>
      <c r="Q54">
        <v>7</v>
      </c>
      <c r="R54">
        <v>1206</v>
      </c>
      <c r="S54">
        <v>8</v>
      </c>
      <c r="T54">
        <v>1153.5</v>
      </c>
      <c r="U54">
        <v>8</v>
      </c>
      <c r="V54">
        <v>1541.8</v>
      </c>
      <c r="W54">
        <v>7</v>
      </c>
      <c r="AB54" s="84" t="s">
        <v>121</v>
      </c>
      <c r="AC54" t="s">
        <v>62</v>
      </c>
      <c r="AD54">
        <v>0</v>
      </c>
      <c r="AE54">
        <v>0</v>
      </c>
      <c r="AF54">
        <v>0</v>
      </c>
      <c r="AG54">
        <v>3.6</v>
      </c>
      <c r="AI54" s="119" t="s">
        <v>68</v>
      </c>
      <c r="AJ54" t="s">
        <v>62</v>
      </c>
      <c r="AK54">
        <v>0</v>
      </c>
      <c r="AL54">
        <v>0</v>
      </c>
      <c r="AN54">
        <v>10.199999999999999</v>
      </c>
      <c r="AP54">
        <v>0.1</v>
      </c>
    </row>
    <row r="55" spans="1:44" ht="15" x14ac:dyDescent="0.35">
      <c r="A55" s="119" t="s">
        <v>111</v>
      </c>
      <c r="B55" t="s">
        <v>62</v>
      </c>
      <c r="C55">
        <v>25.4</v>
      </c>
      <c r="D55">
        <v>15</v>
      </c>
      <c r="E55">
        <v>0</v>
      </c>
      <c r="F55">
        <v>3.6</v>
      </c>
      <c r="G55">
        <v>0</v>
      </c>
      <c r="H55">
        <v>0</v>
      </c>
      <c r="K55" s="63"/>
      <c r="N55" s="101"/>
      <c r="AB55" s="84" t="s">
        <v>154</v>
      </c>
      <c r="AC55" t="s">
        <v>62</v>
      </c>
      <c r="AD55">
        <v>0</v>
      </c>
      <c r="AE55">
        <v>2</v>
      </c>
      <c r="AF55">
        <v>2.1</v>
      </c>
      <c r="AG55">
        <v>0</v>
      </c>
      <c r="AI55" s="119"/>
      <c r="AJ55" t="s">
        <v>62</v>
      </c>
    </row>
    <row r="56" spans="1:44" ht="15" x14ac:dyDescent="0.35">
      <c r="A56" s="119" t="s">
        <v>112</v>
      </c>
      <c r="B56" t="s">
        <v>62</v>
      </c>
      <c r="C56">
        <v>68.3</v>
      </c>
      <c r="D56">
        <v>32.4</v>
      </c>
      <c r="E56">
        <v>17.100000000000001</v>
      </c>
      <c r="F56">
        <v>23.1</v>
      </c>
      <c r="G56">
        <v>0</v>
      </c>
      <c r="H56">
        <v>0</v>
      </c>
      <c r="K56" s="63"/>
      <c r="L56" s="84" t="s">
        <v>102</v>
      </c>
      <c r="M56" t="s">
        <v>62</v>
      </c>
      <c r="N56" s="101">
        <v>711.5</v>
      </c>
      <c r="O56">
        <v>10</v>
      </c>
      <c r="P56">
        <v>741.8</v>
      </c>
      <c r="Q56">
        <v>15</v>
      </c>
      <c r="R56">
        <v>566.1</v>
      </c>
      <c r="S56">
        <v>15</v>
      </c>
      <c r="T56">
        <v>558.5</v>
      </c>
      <c r="U56">
        <v>17</v>
      </c>
      <c r="V56">
        <v>438.2</v>
      </c>
      <c r="W56">
        <v>15</v>
      </c>
      <c r="AB56" s="84" t="s">
        <v>68</v>
      </c>
      <c r="AC56" t="s">
        <v>62</v>
      </c>
      <c r="AD56">
        <v>0</v>
      </c>
      <c r="AE56">
        <v>30</v>
      </c>
      <c r="AF56">
        <v>19.8</v>
      </c>
      <c r="AG56">
        <v>417.8</v>
      </c>
      <c r="AI56" s="119" t="s">
        <v>71</v>
      </c>
      <c r="AJ56" t="s">
        <v>62</v>
      </c>
      <c r="AK56">
        <v>814.7</v>
      </c>
      <c r="AL56">
        <v>1914.8</v>
      </c>
      <c r="AN56">
        <v>14278.9</v>
      </c>
      <c r="AP56">
        <v>14343.1</v>
      </c>
    </row>
    <row r="57" spans="1:44" ht="15" x14ac:dyDescent="0.35">
      <c r="A57" s="119" t="s">
        <v>113</v>
      </c>
      <c r="B57" t="s">
        <v>62</v>
      </c>
      <c r="C57">
        <v>70</v>
      </c>
      <c r="D57">
        <v>0</v>
      </c>
      <c r="E57">
        <v>0</v>
      </c>
      <c r="F57">
        <v>0</v>
      </c>
      <c r="G57">
        <v>0</v>
      </c>
      <c r="H57">
        <v>0</v>
      </c>
      <c r="K57" s="63"/>
      <c r="N57" s="101"/>
      <c r="AB57" s="84"/>
      <c r="AC57" t="s">
        <v>62</v>
      </c>
      <c r="AI57" s="119"/>
      <c r="AJ57" t="s">
        <v>62</v>
      </c>
    </row>
    <row r="58" spans="1:44" ht="15" x14ac:dyDescent="0.35">
      <c r="A58" s="119" t="s">
        <v>114</v>
      </c>
      <c r="B58" t="s">
        <v>62</v>
      </c>
      <c r="C58">
        <v>49.6</v>
      </c>
      <c r="D58">
        <v>38</v>
      </c>
      <c r="E58">
        <v>7.9</v>
      </c>
      <c r="F58">
        <v>7.5</v>
      </c>
      <c r="G58">
        <v>0</v>
      </c>
      <c r="H58">
        <v>0</v>
      </c>
      <c r="K58" s="63"/>
      <c r="L58" s="84" t="s">
        <v>106</v>
      </c>
      <c r="M58" t="s">
        <v>62</v>
      </c>
      <c r="N58" s="101">
        <v>617.79999999999995</v>
      </c>
      <c r="O58">
        <v>11</v>
      </c>
      <c r="P58">
        <v>651</v>
      </c>
      <c r="Q58">
        <v>17</v>
      </c>
      <c r="R58">
        <v>756.7</v>
      </c>
      <c r="S58">
        <v>12</v>
      </c>
      <c r="T58">
        <v>734.1</v>
      </c>
      <c r="U58">
        <v>12</v>
      </c>
      <c r="V58">
        <v>681.1</v>
      </c>
      <c r="W58">
        <v>12</v>
      </c>
      <c r="AB58" s="84" t="s">
        <v>69</v>
      </c>
      <c r="AC58" t="s">
        <v>62</v>
      </c>
      <c r="AD58">
        <v>0</v>
      </c>
      <c r="AE58">
        <v>0</v>
      </c>
      <c r="AF58">
        <v>0</v>
      </c>
      <c r="AG58">
        <v>45.7</v>
      </c>
      <c r="AI58" s="119" t="s">
        <v>72</v>
      </c>
      <c r="AJ58" t="s">
        <v>62</v>
      </c>
      <c r="AK58">
        <v>423.7</v>
      </c>
      <c r="AL58">
        <v>356</v>
      </c>
      <c r="AN58">
        <v>2393</v>
      </c>
      <c r="AP58">
        <v>2949</v>
      </c>
    </row>
    <row r="59" spans="1:44" ht="15" x14ac:dyDescent="0.35">
      <c r="A59" s="119" t="s">
        <v>115</v>
      </c>
      <c r="B59" t="s">
        <v>62</v>
      </c>
      <c r="C59">
        <v>0</v>
      </c>
      <c r="D59">
        <v>0</v>
      </c>
      <c r="E59">
        <v>0</v>
      </c>
      <c r="F59">
        <v>2</v>
      </c>
      <c r="G59">
        <v>0</v>
      </c>
      <c r="H59">
        <v>0</v>
      </c>
      <c r="K59" s="63"/>
      <c r="N59" s="101"/>
      <c r="AB59" s="84" t="s">
        <v>122</v>
      </c>
      <c r="AC59" t="s">
        <v>62</v>
      </c>
      <c r="AD59">
        <v>0</v>
      </c>
      <c r="AE59">
        <v>0</v>
      </c>
      <c r="AF59">
        <v>0</v>
      </c>
      <c r="AG59">
        <v>22.6</v>
      </c>
      <c r="AI59" s="119"/>
      <c r="AJ59" t="s">
        <v>62</v>
      </c>
    </row>
    <row r="60" spans="1:44" ht="15" x14ac:dyDescent="0.35">
      <c r="A60" s="119" t="s">
        <v>116</v>
      </c>
      <c r="B60" t="s">
        <v>62</v>
      </c>
      <c r="C60">
        <v>10.6</v>
      </c>
      <c r="D60">
        <v>11.5</v>
      </c>
      <c r="E60">
        <v>6</v>
      </c>
      <c r="F60">
        <v>12.2</v>
      </c>
      <c r="G60">
        <v>0</v>
      </c>
      <c r="H60">
        <v>0</v>
      </c>
      <c r="K60" s="63"/>
      <c r="L60" s="84" t="s">
        <v>98</v>
      </c>
      <c r="M60" t="s">
        <v>62</v>
      </c>
      <c r="N60" s="101">
        <v>560.29999999999995</v>
      </c>
      <c r="O60">
        <v>12</v>
      </c>
      <c r="P60">
        <v>664.7</v>
      </c>
      <c r="Q60">
        <v>16</v>
      </c>
      <c r="R60">
        <v>604.1</v>
      </c>
      <c r="S60">
        <v>14</v>
      </c>
      <c r="T60">
        <v>647.70000000000005</v>
      </c>
      <c r="U60">
        <v>14</v>
      </c>
      <c r="V60">
        <v>532.6</v>
      </c>
      <c r="W60">
        <v>13</v>
      </c>
      <c r="AB60" s="84" t="s">
        <v>70</v>
      </c>
      <c r="AC60" t="s">
        <v>62</v>
      </c>
      <c r="AD60">
        <v>0</v>
      </c>
      <c r="AE60">
        <v>0</v>
      </c>
      <c r="AF60">
        <v>0</v>
      </c>
      <c r="AG60">
        <v>23.1</v>
      </c>
      <c r="AI60" s="119" t="s">
        <v>73</v>
      </c>
      <c r="AJ60" t="s">
        <v>62</v>
      </c>
      <c r="AK60">
        <v>0.9</v>
      </c>
      <c r="AL60">
        <v>174</v>
      </c>
      <c r="AN60">
        <v>977.2</v>
      </c>
      <c r="AP60">
        <v>1157.5</v>
      </c>
      <c r="AR60">
        <f>+AN60+AK60</f>
        <v>978.1</v>
      </c>
    </row>
    <row r="61" spans="1:44" ht="15" x14ac:dyDescent="0.35">
      <c r="A61" s="119" t="s">
        <v>119</v>
      </c>
      <c r="B61" t="s">
        <v>62</v>
      </c>
      <c r="C61">
        <v>32</v>
      </c>
      <c r="D61">
        <v>59.6</v>
      </c>
      <c r="E61">
        <v>77</v>
      </c>
      <c r="F61">
        <v>57.5</v>
      </c>
      <c r="G61">
        <v>0</v>
      </c>
      <c r="H61">
        <v>0</v>
      </c>
      <c r="K61" s="63"/>
      <c r="N61" s="101"/>
      <c r="AB61" s="84"/>
      <c r="AC61" t="s">
        <v>62</v>
      </c>
      <c r="AI61" s="119"/>
      <c r="AJ61" t="s">
        <v>62</v>
      </c>
    </row>
    <row r="62" spans="1:44" ht="15" x14ac:dyDescent="0.35">
      <c r="A62" s="119" t="s">
        <v>346</v>
      </c>
      <c r="B62" t="s">
        <v>60</v>
      </c>
      <c r="C62" t="s">
        <v>61</v>
      </c>
      <c r="D62" t="s">
        <v>167</v>
      </c>
      <c r="E62" t="s">
        <v>183</v>
      </c>
      <c r="F62" t="s">
        <v>167</v>
      </c>
      <c r="G62" t="s">
        <v>183</v>
      </c>
      <c r="H62" t="s">
        <v>168</v>
      </c>
      <c r="K62" s="63"/>
      <c r="L62" s="84" t="s">
        <v>83</v>
      </c>
      <c r="M62" t="s">
        <v>62</v>
      </c>
      <c r="N62" s="101">
        <v>537.70000000000005</v>
      </c>
      <c r="O62">
        <v>13</v>
      </c>
      <c r="P62">
        <v>1001.9</v>
      </c>
      <c r="Q62">
        <v>13</v>
      </c>
      <c r="R62">
        <v>505.2</v>
      </c>
      <c r="S62">
        <v>18</v>
      </c>
      <c r="T62">
        <v>566</v>
      </c>
      <c r="U62">
        <v>16</v>
      </c>
      <c r="V62">
        <v>124.5</v>
      </c>
      <c r="W62">
        <v>26</v>
      </c>
      <c r="AB62" s="84" t="s">
        <v>71</v>
      </c>
      <c r="AC62" t="s">
        <v>62</v>
      </c>
      <c r="AD62">
        <v>1839.5</v>
      </c>
      <c r="AE62">
        <v>875.5</v>
      </c>
      <c r="AF62">
        <v>15909.5</v>
      </c>
      <c r="AG62">
        <v>15800.5</v>
      </c>
      <c r="AI62" s="119" t="s">
        <v>74</v>
      </c>
      <c r="AJ62" t="s">
        <v>62</v>
      </c>
      <c r="AK62">
        <v>72.8</v>
      </c>
      <c r="AL62">
        <v>395.3</v>
      </c>
      <c r="AN62">
        <v>9458.2000000000007</v>
      </c>
      <c r="AP62">
        <v>9525.1</v>
      </c>
    </row>
    <row r="63" spans="1:44" ht="15" x14ac:dyDescent="0.35">
      <c r="A63" s="119" t="s">
        <v>134</v>
      </c>
      <c r="B63" t="s">
        <v>62</v>
      </c>
      <c r="C63">
        <v>9104.1</v>
      </c>
      <c r="D63">
        <v>6199.6</v>
      </c>
      <c r="E63">
        <v>690</v>
      </c>
      <c r="F63">
        <v>989.1</v>
      </c>
      <c r="G63">
        <v>22</v>
      </c>
      <c r="H63">
        <v>0</v>
      </c>
      <c r="K63" s="63"/>
      <c r="N63" s="101"/>
      <c r="AB63" s="84"/>
      <c r="AC63" t="s">
        <v>62</v>
      </c>
      <c r="AI63" s="119" t="s">
        <v>75</v>
      </c>
      <c r="AJ63" t="s">
        <v>62</v>
      </c>
      <c r="AK63">
        <v>0.1</v>
      </c>
      <c r="AL63">
        <v>1</v>
      </c>
      <c r="AN63">
        <v>23.9</v>
      </c>
      <c r="AP63">
        <v>25.9</v>
      </c>
    </row>
    <row r="64" spans="1:44" ht="15" x14ac:dyDescent="0.35">
      <c r="A64" s="119" t="s">
        <v>135</v>
      </c>
      <c r="B64" t="s">
        <v>62</v>
      </c>
      <c r="C64">
        <v>3426.6</v>
      </c>
      <c r="D64">
        <v>2913.3</v>
      </c>
      <c r="E64">
        <v>0</v>
      </c>
      <c r="F64">
        <v>0</v>
      </c>
      <c r="G64">
        <v>0</v>
      </c>
      <c r="H64">
        <v>0</v>
      </c>
      <c r="K64" s="63"/>
      <c r="L64" s="84" t="s">
        <v>85</v>
      </c>
      <c r="M64" t="s">
        <v>62</v>
      </c>
      <c r="N64" s="101">
        <v>501</v>
      </c>
      <c r="O64">
        <v>14</v>
      </c>
      <c r="P64">
        <v>1336.4</v>
      </c>
      <c r="Q64">
        <v>9</v>
      </c>
      <c r="R64">
        <v>1431.2</v>
      </c>
      <c r="S64">
        <v>7</v>
      </c>
      <c r="T64">
        <v>686.1</v>
      </c>
      <c r="U64">
        <v>13</v>
      </c>
      <c r="V64">
        <v>1175</v>
      </c>
      <c r="W64">
        <v>8</v>
      </c>
      <c r="AB64" s="84" t="s">
        <v>72</v>
      </c>
      <c r="AC64" t="s">
        <v>62</v>
      </c>
      <c r="AD64">
        <v>380.4</v>
      </c>
      <c r="AE64">
        <v>129.69999999999999</v>
      </c>
      <c r="AF64">
        <v>3198.3</v>
      </c>
      <c r="AG64">
        <v>3478.3</v>
      </c>
      <c r="AI64" s="119" t="s">
        <v>76</v>
      </c>
      <c r="AJ64" t="s">
        <v>62</v>
      </c>
      <c r="AK64">
        <v>0.6</v>
      </c>
      <c r="AL64">
        <v>0</v>
      </c>
      <c r="AN64">
        <v>528.9</v>
      </c>
      <c r="AP64">
        <v>10.7</v>
      </c>
    </row>
    <row r="65" spans="1:42" ht="15" x14ac:dyDescent="0.35">
      <c r="A65" s="119" t="s">
        <v>346</v>
      </c>
      <c r="B65" t="s">
        <v>60</v>
      </c>
      <c r="C65" t="s">
        <v>61</v>
      </c>
      <c r="D65" t="s">
        <v>167</v>
      </c>
      <c r="E65" t="s">
        <v>183</v>
      </c>
      <c r="F65" t="s">
        <v>167</v>
      </c>
      <c r="G65" t="s">
        <v>183</v>
      </c>
      <c r="H65" t="s">
        <v>168</v>
      </c>
      <c r="K65" s="63"/>
      <c r="N65" s="101"/>
      <c r="AB65" s="84"/>
      <c r="AC65" t="s">
        <v>62</v>
      </c>
      <c r="AI65" s="119" t="s">
        <v>77</v>
      </c>
      <c r="AJ65" t="s">
        <v>62</v>
      </c>
      <c r="AK65">
        <v>0</v>
      </c>
      <c r="AL65">
        <v>0</v>
      </c>
      <c r="AN65">
        <v>67.5</v>
      </c>
      <c r="AP65">
        <v>0</v>
      </c>
    </row>
    <row r="66" spans="1:42" ht="15" x14ac:dyDescent="0.35">
      <c r="A66" s="119" t="s">
        <v>136</v>
      </c>
      <c r="B66" t="s">
        <v>62</v>
      </c>
      <c r="C66">
        <v>12530.6</v>
      </c>
      <c r="D66">
        <v>9112.9</v>
      </c>
      <c r="E66">
        <v>690</v>
      </c>
      <c r="F66">
        <v>989.1</v>
      </c>
      <c r="G66">
        <v>22</v>
      </c>
      <c r="H66">
        <v>0</v>
      </c>
      <c r="K66" s="63"/>
      <c r="L66" s="84" t="s">
        <v>93</v>
      </c>
      <c r="M66" t="s">
        <v>62</v>
      </c>
      <c r="N66" s="101">
        <v>494.6</v>
      </c>
      <c r="O66">
        <v>15</v>
      </c>
      <c r="P66">
        <v>950.4</v>
      </c>
      <c r="Q66">
        <v>14</v>
      </c>
      <c r="R66">
        <v>708.6</v>
      </c>
      <c r="S66">
        <v>13</v>
      </c>
      <c r="T66">
        <v>1118.3</v>
      </c>
      <c r="U66">
        <v>9</v>
      </c>
      <c r="V66">
        <v>842</v>
      </c>
      <c r="W66">
        <v>11</v>
      </c>
      <c r="AB66" s="84" t="s">
        <v>74</v>
      </c>
      <c r="AC66" t="s">
        <v>62</v>
      </c>
      <c r="AD66">
        <v>296.89999999999998</v>
      </c>
      <c r="AE66">
        <v>394</v>
      </c>
      <c r="AF66">
        <v>6891.2</v>
      </c>
      <c r="AG66">
        <v>13406.8</v>
      </c>
      <c r="AI66" s="119" t="s">
        <v>78</v>
      </c>
      <c r="AJ66" t="s">
        <v>62</v>
      </c>
      <c r="AK66">
        <v>0</v>
      </c>
      <c r="AL66">
        <v>120</v>
      </c>
      <c r="AN66">
        <v>801.1</v>
      </c>
      <c r="AP66">
        <v>158</v>
      </c>
    </row>
    <row r="67" spans="1:42" ht="15" x14ac:dyDescent="0.35">
      <c r="A67" s="119" t="s">
        <v>137</v>
      </c>
      <c r="B67" t="s">
        <v>62</v>
      </c>
      <c r="C67" t="s">
        <v>60</v>
      </c>
      <c r="D67" t="s">
        <v>60</v>
      </c>
      <c r="E67">
        <v>0</v>
      </c>
      <c r="F67">
        <v>0</v>
      </c>
      <c r="G67" t="s">
        <v>60</v>
      </c>
      <c r="H67" t="s">
        <v>60</v>
      </c>
      <c r="K67" s="63"/>
      <c r="N67" s="101"/>
      <c r="AB67" s="84" t="s">
        <v>164</v>
      </c>
      <c r="AC67" t="s">
        <v>62</v>
      </c>
      <c r="AD67">
        <v>0</v>
      </c>
      <c r="AE67">
        <v>0</v>
      </c>
      <c r="AF67">
        <v>8.5</v>
      </c>
      <c r="AG67">
        <v>0</v>
      </c>
      <c r="AI67" s="119" t="s">
        <v>79</v>
      </c>
      <c r="AJ67" t="s">
        <v>62</v>
      </c>
      <c r="AK67">
        <v>0</v>
      </c>
      <c r="AL67">
        <v>0</v>
      </c>
      <c r="AN67">
        <v>9.6999999999999993</v>
      </c>
      <c r="AP67">
        <v>86.3</v>
      </c>
    </row>
    <row r="68" spans="1:42" ht="15" x14ac:dyDescent="0.35">
      <c r="A68" s="119" t="s">
        <v>138</v>
      </c>
      <c r="B68" t="s">
        <v>62</v>
      </c>
      <c r="C68">
        <v>100</v>
      </c>
      <c r="D68">
        <v>300</v>
      </c>
      <c r="E68" t="s">
        <v>60</v>
      </c>
      <c r="F68" t="s">
        <v>60</v>
      </c>
      <c r="G68">
        <v>0</v>
      </c>
      <c r="H68">
        <v>0</v>
      </c>
      <c r="K68" s="63"/>
      <c r="L68" s="84" t="s">
        <v>114</v>
      </c>
      <c r="M68" t="s">
        <v>62</v>
      </c>
      <c r="N68" s="101">
        <v>400.4</v>
      </c>
      <c r="O68">
        <v>16</v>
      </c>
      <c r="P68">
        <v>478.9</v>
      </c>
      <c r="Q68">
        <v>19</v>
      </c>
      <c r="R68">
        <v>510.3</v>
      </c>
      <c r="S68">
        <v>17</v>
      </c>
      <c r="T68">
        <v>460</v>
      </c>
      <c r="U68">
        <v>18</v>
      </c>
      <c r="V68">
        <v>484.1</v>
      </c>
      <c r="W68">
        <v>14</v>
      </c>
      <c r="AB68" s="84" t="s">
        <v>75</v>
      </c>
      <c r="AC68" t="s">
        <v>62</v>
      </c>
      <c r="AD68">
        <v>0.8</v>
      </c>
      <c r="AE68">
        <v>2.2000000000000002</v>
      </c>
      <c r="AF68">
        <v>26.6</v>
      </c>
      <c r="AG68">
        <v>30</v>
      </c>
      <c r="AI68" s="119" t="s">
        <v>80</v>
      </c>
      <c r="AJ68" t="s">
        <v>62</v>
      </c>
      <c r="AK68">
        <v>70.3</v>
      </c>
      <c r="AL68">
        <v>270.60000000000002</v>
      </c>
      <c r="AN68">
        <v>6103.7</v>
      </c>
      <c r="AP68">
        <v>7561.6</v>
      </c>
    </row>
    <row r="69" spans="1:42" ht="15" x14ac:dyDescent="0.35">
      <c r="A69" s="119" t="s">
        <v>346</v>
      </c>
      <c r="B69" t="s">
        <v>60</v>
      </c>
      <c r="C69" t="s">
        <v>61</v>
      </c>
      <c r="D69" t="s">
        <v>167</v>
      </c>
      <c r="E69" t="s">
        <v>183</v>
      </c>
      <c r="F69" t="s">
        <v>167</v>
      </c>
      <c r="G69" t="s">
        <v>183</v>
      </c>
      <c r="H69" t="s">
        <v>168</v>
      </c>
      <c r="K69" s="63"/>
      <c r="N69" s="101"/>
      <c r="AB69" s="84" t="s">
        <v>76</v>
      </c>
      <c r="AC69" t="s">
        <v>62</v>
      </c>
      <c r="AD69">
        <v>0.4</v>
      </c>
      <c r="AE69">
        <v>0.2</v>
      </c>
      <c r="AF69">
        <v>11.1</v>
      </c>
      <c r="AG69">
        <v>8.3000000000000007</v>
      </c>
      <c r="AI69" s="119" t="s">
        <v>81</v>
      </c>
      <c r="AJ69" t="s">
        <v>62</v>
      </c>
      <c r="AK69">
        <v>0</v>
      </c>
      <c r="AL69">
        <v>0</v>
      </c>
      <c r="AN69">
        <v>190.2</v>
      </c>
      <c r="AP69">
        <v>54.2</v>
      </c>
    </row>
    <row r="70" spans="1:42" ht="15" x14ac:dyDescent="0.35">
      <c r="A70" s="119"/>
      <c r="K70" s="63"/>
      <c r="L70" s="84" t="s">
        <v>107</v>
      </c>
      <c r="M70" t="s">
        <v>62</v>
      </c>
      <c r="N70" s="101">
        <v>389.7</v>
      </c>
      <c r="O70">
        <v>17</v>
      </c>
      <c r="P70">
        <v>328.4</v>
      </c>
      <c r="Q70">
        <v>26</v>
      </c>
      <c r="R70">
        <v>318.7</v>
      </c>
      <c r="S70">
        <v>23</v>
      </c>
      <c r="T70">
        <v>324.39999999999998</v>
      </c>
      <c r="U70">
        <v>22</v>
      </c>
      <c r="V70">
        <v>324.8</v>
      </c>
      <c r="W70">
        <v>18</v>
      </c>
      <c r="AB70" s="84" t="s">
        <v>77</v>
      </c>
      <c r="AC70" t="s">
        <v>62</v>
      </c>
      <c r="AD70">
        <v>0</v>
      </c>
      <c r="AE70">
        <v>0</v>
      </c>
      <c r="AF70">
        <v>64.3</v>
      </c>
      <c r="AG70">
        <v>462.5</v>
      </c>
      <c r="AI70" s="119" t="s">
        <v>82</v>
      </c>
      <c r="AJ70" t="s">
        <v>62</v>
      </c>
      <c r="AK70">
        <v>0.4</v>
      </c>
      <c r="AL70">
        <v>3.3</v>
      </c>
      <c r="AN70">
        <v>70.5</v>
      </c>
      <c r="AP70">
        <v>17</v>
      </c>
    </row>
    <row r="71" spans="1:42" ht="15" x14ac:dyDescent="0.35">
      <c r="A71" s="119"/>
      <c r="K71" s="63"/>
      <c r="N71" s="101"/>
      <c r="AB71" s="84" t="s">
        <v>78</v>
      </c>
      <c r="AC71" t="s">
        <v>62</v>
      </c>
      <c r="AD71">
        <v>0</v>
      </c>
      <c r="AE71">
        <v>9</v>
      </c>
      <c r="AF71">
        <v>165.6</v>
      </c>
      <c r="AG71">
        <v>1373.2</v>
      </c>
      <c r="AI71" s="119" t="s">
        <v>123</v>
      </c>
      <c r="AJ71" t="s">
        <v>62</v>
      </c>
      <c r="AK71">
        <v>0</v>
      </c>
      <c r="AL71">
        <v>0</v>
      </c>
      <c r="AN71">
        <v>10.3</v>
      </c>
      <c r="AP71">
        <v>0</v>
      </c>
    </row>
    <row r="72" spans="1:42" ht="15" x14ac:dyDescent="0.35">
      <c r="A72" s="119"/>
      <c r="K72" s="63"/>
      <c r="L72" s="84" t="s">
        <v>112</v>
      </c>
      <c r="M72" t="s">
        <v>62</v>
      </c>
      <c r="N72" s="101">
        <v>331.6</v>
      </c>
      <c r="O72">
        <v>18</v>
      </c>
      <c r="P72">
        <v>384.9</v>
      </c>
      <c r="Q72">
        <v>24</v>
      </c>
      <c r="R72">
        <v>347.6</v>
      </c>
      <c r="S72">
        <v>22</v>
      </c>
      <c r="T72">
        <v>311.89999999999998</v>
      </c>
      <c r="U72">
        <v>25</v>
      </c>
      <c r="V72">
        <v>283.3</v>
      </c>
      <c r="W72">
        <v>20</v>
      </c>
      <c r="AB72" s="84" t="s">
        <v>79</v>
      </c>
      <c r="AC72" t="s">
        <v>62</v>
      </c>
      <c r="AD72">
        <v>0</v>
      </c>
      <c r="AE72">
        <v>0</v>
      </c>
      <c r="AF72">
        <v>80.599999999999994</v>
      </c>
      <c r="AG72">
        <v>89.2</v>
      </c>
      <c r="AI72" s="119" t="s">
        <v>124</v>
      </c>
      <c r="AJ72" t="s">
        <v>62</v>
      </c>
      <c r="AK72">
        <v>0</v>
      </c>
      <c r="AL72">
        <v>0</v>
      </c>
      <c r="AN72">
        <v>0</v>
      </c>
      <c r="AP72">
        <v>0.4</v>
      </c>
    </row>
    <row r="73" spans="1:42" ht="15" x14ac:dyDescent="0.35">
      <c r="A73" s="119"/>
      <c r="K73" s="63"/>
      <c r="N73" s="101"/>
      <c r="AB73" s="84" t="s">
        <v>80</v>
      </c>
      <c r="AC73" t="s">
        <v>62</v>
      </c>
      <c r="AD73">
        <v>288.3</v>
      </c>
      <c r="AE73">
        <v>374.7</v>
      </c>
      <c r="AF73">
        <v>5129.3999999999996</v>
      </c>
      <c r="AG73">
        <v>8639</v>
      </c>
      <c r="AI73" s="119" t="s">
        <v>165</v>
      </c>
      <c r="AJ73" t="s">
        <v>62</v>
      </c>
      <c r="AK73">
        <v>1.4</v>
      </c>
      <c r="AL73">
        <v>0.1</v>
      </c>
      <c r="AN73">
        <v>7.1</v>
      </c>
      <c r="AP73">
        <v>2.4</v>
      </c>
    </row>
    <row r="74" spans="1:42" ht="15" x14ac:dyDescent="0.35">
      <c r="A74" s="119"/>
      <c r="K74" s="63"/>
      <c r="L74" s="84" t="s">
        <v>113</v>
      </c>
      <c r="M74" t="s">
        <v>62</v>
      </c>
      <c r="N74" s="101">
        <v>328.4</v>
      </c>
      <c r="O74">
        <v>19</v>
      </c>
      <c r="P74">
        <v>371.2</v>
      </c>
      <c r="Q74">
        <v>25</v>
      </c>
      <c r="R74">
        <v>301.60000000000002</v>
      </c>
      <c r="S74">
        <v>25</v>
      </c>
      <c r="T74">
        <v>420.9</v>
      </c>
      <c r="U74">
        <v>19</v>
      </c>
      <c r="V74">
        <v>232.4</v>
      </c>
      <c r="W74">
        <v>23</v>
      </c>
      <c r="AB74" s="84" t="s">
        <v>81</v>
      </c>
      <c r="AC74" t="s">
        <v>62</v>
      </c>
      <c r="AD74">
        <v>0</v>
      </c>
      <c r="AE74">
        <v>0</v>
      </c>
      <c r="AF74">
        <v>137.9</v>
      </c>
      <c r="AG74">
        <v>281.89999999999998</v>
      </c>
      <c r="AI74" s="119" t="s">
        <v>83</v>
      </c>
      <c r="AJ74" t="s">
        <v>62</v>
      </c>
      <c r="AK74">
        <v>0</v>
      </c>
      <c r="AL74">
        <v>0</v>
      </c>
      <c r="AN74">
        <v>571.9</v>
      </c>
      <c r="AP74">
        <v>799.3</v>
      </c>
    </row>
    <row r="75" spans="1:42" ht="15" x14ac:dyDescent="0.35">
      <c r="A75" s="119"/>
      <c r="K75" s="63"/>
      <c r="N75" s="101"/>
      <c r="AB75" s="84" t="s">
        <v>82</v>
      </c>
      <c r="AC75" t="s">
        <v>62</v>
      </c>
      <c r="AD75">
        <v>0.2</v>
      </c>
      <c r="AE75">
        <v>6.7</v>
      </c>
      <c r="AF75">
        <v>78.900000000000006</v>
      </c>
      <c r="AG75">
        <v>43.1</v>
      </c>
      <c r="AI75" s="119" t="s">
        <v>84</v>
      </c>
      <c r="AJ75" t="s">
        <v>62</v>
      </c>
      <c r="AK75">
        <v>0</v>
      </c>
      <c r="AL75">
        <v>0</v>
      </c>
      <c r="AN75">
        <v>6.1</v>
      </c>
      <c r="AP75">
        <v>2.5</v>
      </c>
    </row>
    <row r="76" spans="1:42" ht="15" x14ac:dyDescent="0.35">
      <c r="A76" s="119"/>
      <c r="K76" s="63"/>
      <c r="L76" s="84" t="s">
        <v>108</v>
      </c>
      <c r="M76" t="s">
        <v>62</v>
      </c>
      <c r="N76" s="101">
        <v>252.5</v>
      </c>
      <c r="O76">
        <v>20</v>
      </c>
      <c r="P76">
        <v>247.7</v>
      </c>
      <c r="Q76">
        <v>28</v>
      </c>
      <c r="R76">
        <v>260.8</v>
      </c>
      <c r="S76">
        <v>26</v>
      </c>
      <c r="T76">
        <v>254.5</v>
      </c>
      <c r="U76">
        <v>26</v>
      </c>
      <c r="V76">
        <v>243.7</v>
      </c>
      <c r="W76">
        <v>21</v>
      </c>
      <c r="AB76" s="84" t="s">
        <v>123</v>
      </c>
      <c r="AC76" t="s">
        <v>62</v>
      </c>
      <c r="AD76">
        <v>0</v>
      </c>
      <c r="AE76">
        <v>0</v>
      </c>
      <c r="AF76">
        <v>0</v>
      </c>
      <c r="AG76">
        <v>38.6</v>
      </c>
      <c r="AI76" s="119" t="s">
        <v>85</v>
      </c>
      <c r="AJ76" t="s">
        <v>62</v>
      </c>
      <c r="AK76">
        <v>0</v>
      </c>
      <c r="AL76">
        <v>0</v>
      </c>
      <c r="AN76">
        <v>1035.4000000000001</v>
      </c>
      <c r="AP76">
        <v>755.1</v>
      </c>
    </row>
    <row r="77" spans="1:42" ht="15" x14ac:dyDescent="0.35">
      <c r="A77" s="119"/>
      <c r="K77" s="63"/>
      <c r="N77" s="101"/>
      <c r="AB77" s="84" t="s">
        <v>124</v>
      </c>
      <c r="AC77" t="s">
        <v>62</v>
      </c>
      <c r="AD77">
        <v>1.6</v>
      </c>
      <c r="AE77">
        <v>1.2</v>
      </c>
      <c r="AF77">
        <v>2.6</v>
      </c>
      <c r="AG77">
        <v>0.4</v>
      </c>
      <c r="AI77" s="119" t="s">
        <v>245</v>
      </c>
      <c r="AJ77" t="s">
        <v>62</v>
      </c>
      <c r="AK77">
        <v>0</v>
      </c>
      <c r="AL77">
        <v>0</v>
      </c>
      <c r="AN77" t="s">
        <v>228</v>
      </c>
      <c r="AP77">
        <v>0</v>
      </c>
    </row>
    <row r="78" spans="1:42" ht="15" x14ac:dyDescent="0.35">
      <c r="A78" s="119"/>
      <c r="K78" s="63"/>
      <c r="L78" s="84" t="s">
        <v>166</v>
      </c>
      <c r="M78" t="s">
        <v>62</v>
      </c>
      <c r="N78" s="101">
        <v>219.6</v>
      </c>
      <c r="O78">
        <v>21</v>
      </c>
      <c r="P78">
        <v>0</v>
      </c>
      <c r="Q78">
        <v>0</v>
      </c>
      <c r="R78">
        <v>0</v>
      </c>
      <c r="S78">
        <v>0</v>
      </c>
      <c r="T78">
        <v>14.5</v>
      </c>
      <c r="U78">
        <v>40</v>
      </c>
      <c r="V78">
        <v>16.3</v>
      </c>
      <c r="W78">
        <v>33</v>
      </c>
      <c r="AB78" s="84" t="s">
        <v>165</v>
      </c>
      <c r="AC78" t="s">
        <v>62</v>
      </c>
      <c r="AD78">
        <v>0</v>
      </c>
      <c r="AE78">
        <v>0</v>
      </c>
      <c r="AF78">
        <v>16.399999999999999</v>
      </c>
      <c r="AG78">
        <v>0</v>
      </c>
      <c r="AI78" s="119" t="s">
        <v>86</v>
      </c>
      <c r="AJ78" t="s">
        <v>62</v>
      </c>
      <c r="AK78">
        <v>0</v>
      </c>
      <c r="AL78">
        <v>0</v>
      </c>
      <c r="AN78">
        <v>19.600000000000001</v>
      </c>
      <c r="AP78">
        <v>29.6</v>
      </c>
    </row>
    <row r="79" spans="1:42" ht="15" x14ac:dyDescent="0.35">
      <c r="A79" s="119"/>
      <c r="K79" s="63"/>
      <c r="N79" s="101"/>
      <c r="AB79" s="84" t="s">
        <v>83</v>
      </c>
      <c r="AC79" t="s">
        <v>62</v>
      </c>
      <c r="AD79">
        <v>0</v>
      </c>
      <c r="AE79">
        <v>0</v>
      </c>
      <c r="AF79">
        <v>537.70000000000005</v>
      </c>
      <c r="AG79">
        <v>1001.9</v>
      </c>
      <c r="AI79" s="119" t="s">
        <v>87</v>
      </c>
      <c r="AJ79" t="s">
        <v>62</v>
      </c>
      <c r="AK79">
        <v>0</v>
      </c>
      <c r="AL79">
        <v>0.3</v>
      </c>
      <c r="AN79">
        <v>12.4</v>
      </c>
      <c r="AP79">
        <v>22.3</v>
      </c>
    </row>
    <row r="80" spans="1:42" ht="15" x14ac:dyDescent="0.35">
      <c r="A80" s="119"/>
      <c r="K80" s="63"/>
      <c r="L80" s="84" t="s">
        <v>104</v>
      </c>
      <c r="M80" t="s">
        <v>62</v>
      </c>
      <c r="N80" s="101">
        <v>217.2</v>
      </c>
      <c r="O80">
        <v>22</v>
      </c>
      <c r="P80">
        <v>473.6</v>
      </c>
      <c r="Q80">
        <v>20</v>
      </c>
      <c r="R80">
        <v>472.7</v>
      </c>
      <c r="S80">
        <v>19</v>
      </c>
      <c r="T80">
        <v>312</v>
      </c>
      <c r="U80">
        <v>24</v>
      </c>
      <c r="V80">
        <v>336</v>
      </c>
      <c r="W80">
        <v>17</v>
      </c>
      <c r="AB80" s="84" t="s">
        <v>84</v>
      </c>
      <c r="AC80" t="s">
        <v>62</v>
      </c>
      <c r="AD80">
        <v>0</v>
      </c>
      <c r="AE80">
        <v>0</v>
      </c>
      <c r="AF80">
        <v>4.5</v>
      </c>
      <c r="AG80">
        <v>0.4</v>
      </c>
      <c r="AI80" s="119"/>
      <c r="AJ80" t="s">
        <v>62</v>
      </c>
    </row>
    <row r="81" spans="1:42" ht="15" x14ac:dyDescent="0.35">
      <c r="A81" s="119"/>
      <c r="J81" s="63"/>
      <c r="K81" s="63"/>
      <c r="N81" s="101"/>
      <c r="AB81" s="84" t="s">
        <v>85</v>
      </c>
      <c r="AC81" t="s">
        <v>62</v>
      </c>
      <c r="AD81">
        <v>0</v>
      </c>
      <c r="AE81">
        <v>0</v>
      </c>
      <c r="AF81">
        <v>501</v>
      </c>
      <c r="AG81">
        <v>1336.4</v>
      </c>
      <c r="AI81" s="119" t="s">
        <v>88</v>
      </c>
      <c r="AJ81" t="s">
        <v>62</v>
      </c>
      <c r="AK81">
        <v>7.3</v>
      </c>
      <c r="AL81">
        <v>267.5</v>
      </c>
      <c r="AN81">
        <v>3742.3</v>
      </c>
      <c r="AP81">
        <v>3691.7</v>
      </c>
    </row>
    <row r="82" spans="1:42" ht="15" x14ac:dyDescent="0.35">
      <c r="A82" s="119"/>
      <c r="K82" s="63"/>
      <c r="L82" s="84" t="s">
        <v>78</v>
      </c>
      <c r="M82" t="s">
        <v>62</v>
      </c>
      <c r="N82" s="101">
        <v>165.6</v>
      </c>
      <c r="O82">
        <v>23</v>
      </c>
      <c r="P82">
        <v>1373.2</v>
      </c>
      <c r="Q82">
        <v>8</v>
      </c>
      <c r="R82">
        <v>787.3</v>
      </c>
      <c r="S82">
        <v>11</v>
      </c>
      <c r="T82">
        <v>616.1</v>
      </c>
      <c r="U82">
        <v>15</v>
      </c>
      <c r="V82">
        <v>308</v>
      </c>
      <c r="W82">
        <v>19</v>
      </c>
      <c r="AB82" s="84" t="s">
        <v>86</v>
      </c>
      <c r="AC82" t="s">
        <v>62</v>
      </c>
      <c r="AD82">
        <v>0</v>
      </c>
      <c r="AE82">
        <v>0</v>
      </c>
      <c r="AF82">
        <v>86.9</v>
      </c>
      <c r="AG82">
        <v>25</v>
      </c>
      <c r="AI82" s="119" t="s">
        <v>89</v>
      </c>
      <c r="AJ82" t="s">
        <v>62</v>
      </c>
      <c r="AK82">
        <v>0</v>
      </c>
      <c r="AL82">
        <v>0</v>
      </c>
      <c r="AN82">
        <v>44.7</v>
      </c>
      <c r="AP82">
        <v>90.9</v>
      </c>
    </row>
    <row r="83" spans="1:42" ht="15" x14ac:dyDescent="0.35">
      <c r="A83" s="119"/>
      <c r="K83" s="63"/>
      <c r="N83" s="101"/>
      <c r="AB83" s="84" t="s">
        <v>87</v>
      </c>
      <c r="AC83" t="s">
        <v>62</v>
      </c>
      <c r="AD83">
        <v>5.6</v>
      </c>
      <c r="AE83">
        <v>0</v>
      </c>
      <c r="AF83">
        <v>39.1</v>
      </c>
      <c r="AG83">
        <v>32.4</v>
      </c>
      <c r="AI83" s="119" t="s">
        <v>90</v>
      </c>
      <c r="AJ83" t="s">
        <v>62</v>
      </c>
      <c r="AK83">
        <v>7.3</v>
      </c>
      <c r="AL83">
        <v>225</v>
      </c>
      <c r="AN83">
        <v>3301.9</v>
      </c>
      <c r="AP83">
        <v>2935.3</v>
      </c>
    </row>
    <row r="84" spans="1:42" ht="15" x14ac:dyDescent="0.35">
      <c r="A84" s="119"/>
      <c r="K84" s="63"/>
      <c r="L84" s="84" t="s">
        <v>81</v>
      </c>
      <c r="M84" t="s">
        <v>62</v>
      </c>
      <c r="N84" s="101">
        <v>137.9</v>
      </c>
      <c r="O84">
        <v>24</v>
      </c>
      <c r="P84">
        <v>281.89999999999998</v>
      </c>
      <c r="Q84">
        <v>27</v>
      </c>
      <c r="R84">
        <v>177.6</v>
      </c>
      <c r="S84">
        <v>29</v>
      </c>
      <c r="T84">
        <v>157.4</v>
      </c>
      <c r="U84">
        <v>28</v>
      </c>
      <c r="V84">
        <v>171.5</v>
      </c>
      <c r="W84">
        <v>25</v>
      </c>
      <c r="AB84" s="84" t="s">
        <v>128</v>
      </c>
      <c r="AC84" t="s">
        <v>62</v>
      </c>
      <c r="AD84">
        <v>0</v>
      </c>
      <c r="AE84">
        <v>0</v>
      </c>
      <c r="AF84">
        <v>0</v>
      </c>
      <c r="AG84">
        <v>44.5</v>
      </c>
      <c r="AI84" s="119" t="s">
        <v>92</v>
      </c>
      <c r="AJ84" t="s">
        <v>62</v>
      </c>
      <c r="AK84">
        <v>0</v>
      </c>
      <c r="AL84">
        <v>0</v>
      </c>
      <c r="AN84">
        <v>52.5</v>
      </c>
      <c r="AP84">
        <v>17.3</v>
      </c>
    </row>
    <row r="85" spans="1:42" ht="15" x14ac:dyDescent="0.35">
      <c r="A85" s="119"/>
      <c r="K85" s="63"/>
      <c r="N85" s="101"/>
      <c r="AB85" s="84"/>
      <c r="AC85" t="s">
        <v>62</v>
      </c>
      <c r="AI85" s="119" t="s">
        <v>93</v>
      </c>
      <c r="AJ85" t="s">
        <v>62</v>
      </c>
      <c r="AK85">
        <v>0</v>
      </c>
      <c r="AL85">
        <v>17.5</v>
      </c>
      <c r="AN85">
        <v>182.4</v>
      </c>
      <c r="AP85">
        <v>467.8</v>
      </c>
    </row>
    <row r="86" spans="1:42" ht="15" x14ac:dyDescent="0.35">
      <c r="A86" s="119"/>
      <c r="K86" s="63"/>
      <c r="L86" s="84" t="s">
        <v>89</v>
      </c>
      <c r="M86" t="s">
        <v>62</v>
      </c>
      <c r="N86" s="101">
        <v>127</v>
      </c>
      <c r="O86">
        <v>25</v>
      </c>
      <c r="P86">
        <v>1113.3</v>
      </c>
      <c r="Q86">
        <v>10</v>
      </c>
      <c r="R86">
        <v>891.3</v>
      </c>
      <c r="S86">
        <v>10</v>
      </c>
      <c r="T86">
        <v>1307.3</v>
      </c>
      <c r="U86">
        <v>7</v>
      </c>
      <c r="V86">
        <v>1072.7</v>
      </c>
      <c r="W86">
        <v>9</v>
      </c>
      <c r="AB86" s="84" t="s">
        <v>88</v>
      </c>
      <c r="AC86" t="s">
        <v>62</v>
      </c>
      <c r="AD86">
        <v>184.9</v>
      </c>
      <c r="AE86">
        <v>49.7</v>
      </c>
      <c r="AF86">
        <v>3185</v>
      </c>
      <c r="AG86">
        <v>6166.2</v>
      </c>
      <c r="AI86" s="119" t="s">
        <v>95</v>
      </c>
      <c r="AJ86" t="s">
        <v>62</v>
      </c>
      <c r="AK86">
        <v>0</v>
      </c>
      <c r="AL86">
        <v>25</v>
      </c>
      <c r="AN86">
        <v>160.80000000000001</v>
      </c>
      <c r="AP86">
        <v>180.3</v>
      </c>
    </row>
    <row r="87" spans="1:42" ht="15" x14ac:dyDescent="0.35">
      <c r="A87" s="119"/>
      <c r="K87" s="63"/>
      <c r="N87" s="101"/>
      <c r="AB87" s="84" t="s">
        <v>89</v>
      </c>
      <c r="AC87" t="s">
        <v>62</v>
      </c>
      <c r="AD87">
        <v>25</v>
      </c>
      <c r="AE87">
        <v>0</v>
      </c>
      <c r="AF87">
        <v>127</v>
      </c>
      <c r="AG87">
        <v>1113.3</v>
      </c>
      <c r="AI87" s="119"/>
      <c r="AJ87" t="s">
        <v>62</v>
      </c>
    </row>
    <row r="88" spans="1:42" ht="15" x14ac:dyDescent="0.35">
      <c r="A88" s="119"/>
      <c r="K88" s="63"/>
      <c r="L88" s="84" t="s">
        <v>111</v>
      </c>
      <c r="M88" t="s">
        <v>62</v>
      </c>
      <c r="N88" s="101">
        <v>93.5</v>
      </c>
      <c r="O88">
        <v>26</v>
      </c>
      <c r="P88">
        <v>123.4</v>
      </c>
      <c r="Q88">
        <v>31</v>
      </c>
      <c r="R88">
        <v>131.4</v>
      </c>
      <c r="S88">
        <v>31</v>
      </c>
      <c r="T88">
        <v>115.9</v>
      </c>
      <c r="U88">
        <v>32</v>
      </c>
      <c r="V88">
        <v>85</v>
      </c>
      <c r="W88">
        <v>28</v>
      </c>
      <c r="AB88" s="84" t="s">
        <v>147</v>
      </c>
      <c r="AC88" t="s">
        <v>62</v>
      </c>
      <c r="AD88">
        <v>0</v>
      </c>
      <c r="AE88">
        <v>0</v>
      </c>
      <c r="AF88">
        <v>7.7</v>
      </c>
      <c r="AG88">
        <v>7.2</v>
      </c>
      <c r="AI88" s="119" t="s">
        <v>96</v>
      </c>
      <c r="AJ88" t="s">
        <v>62</v>
      </c>
      <c r="AK88">
        <v>532.4</v>
      </c>
      <c r="AL88">
        <v>715.7</v>
      </c>
      <c r="AN88">
        <v>13396</v>
      </c>
      <c r="AP88">
        <v>16617.900000000001</v>
      </c>
    </row>
    <row r="89" spans="1:42" ht="15" x14ac:dyDescent="0.35">
      <c r="A89" s="119"/>
      <c r="K89" s="63"/>
      <c r="N89" s="101"/>
      <c r="AB89" s="84" t="s">
        <v>148</v>
      </c>
      <c r="AC89" t="s">
        <v>62</v>
      </c>
      <c r="AD89">
        <v>0</v>
      </c>
      <c r="AE89">
        <v>0</v>
      </c>
      <c r="AF89">
        <v>0</v>
      </c>
      <c r="AG89">
        <v>2</v>
      </c>
      <c r="AI89" s="119" t="s">
        <v>97</v>
      </c>
      <c r="AJ89" t="s">
        <v>62</v>
      </c>
      <c r="AK89">
        <v>0</v>
      </c>
      <c r="AL89">
        <v>0.2</v>
      </c>
      <c r="AN89">
        <v>35.700000000000003</v>
      </c>
      <c r="AP89">
        <v>38.4</v>
      </c>
    </row>
    <row r="90" spans="1:42" ht="15" x14ac:dyDescent="0.35">
      <c r="A90" s="119"/>
      <c r="K90" s="63"/>
      <c r="L90" s="84" t="s">
        <v>116</v>
      </c>
      <c r="M90" t="s">
        <v>62</v>
      </c>
      <c r="N90" s="101">
        <v>93.3</v>
      </c>
      <c r="O90">
        <v>27</v>
      </c>
      <c r="P90">
        <v>133.19999999999999</v>
      </c>
      <c r="Q90">
        <v>30</v>
      </c>
      <c r="R90">
        <v>108.2</v>
      </c>
      <c r="S90">
        <v>33</v>
      </c>
      <c r="T90">
        <v>118.3</v>
      </c>
      <c r="U90">
        <v>31</v>
      </c>
      <c r="V90">
        <v>118.3</v>
      </c>
      <c r="W90">
        <v>27</v>
      </c>
      <c r="AB90" s="84" t="s">
        <v>117</v>
      </c>
      <c r="AC90" t="s">
        <v>62</v>
      </c>
      <c r="AD90">
        <v>0</v>
      </c>
      <c r="AE90">
        <v>0</v>
      </c>
      <c r="AF90">
        <v>0</v>
      </c>
      <c r="AG90">
        <v>7.9</v>
      </c>
      <c r="AI90" s="119" t="s">
        <v>98</v>
      </c>
      <c r="AJ90" t="s">
        <v>62</v>
      </c>
      <c r="AK90">
        <v>73.3</v>
      </c>
      <c r="AL90">
        <v>22.6</v>
      </c>
      <c r="AN90">
        <v>669.5</v>
      </c>
      <c r="AP90">
        <v>567.1</v>
      </c>
    </row>
    <row r="91" spans="1:42" ht="15" x14ac:dyDescent="0.35">
      <c r="A91" s="119"/>
      <c r="K91" s="63"/>
      <c r="N91" s="101"/>
      <c r="AB91" s="84" t="s">
        <v>90</v>
      </c>
      <c r="AC91" t="s">
        <v>62</v>
      </c>
      <c r="AD91">
        <v>120</v>
      </c>
      <c r="AE91">
        <v>49.7</v>
      </c>
      <c r="AF91">
        <v>2232.9</v>
      </c>
      <c r="AG91">
        <v>3309.4</v>
      </c>
      <c r="AI91" s="119" t="s">
        <v>99</v>
      </c>
      <c r="AJ91" t="s">
        <v>62</v>
      </c>
      <c r="AK91">
        <v>64.400000000000006</v>
      </c>
      <c r="AL91">
        <v>39.5</v>
      </c>
      <c r="AN91">
        <v>506.6</v>
      </c>
      <c r="AP91">
        <v>1100.5999999999999</v>
      </c>
    </row>
    <row r="92" spans="1:42" ht="15" x14ac:dyDescent="0.35">
      <c r="A92" s="119"/>
      <c r="K92" s="63"/>
      <c r="L92" s="84" t="s">
        <v>86</v>
      </c>
      <c r="M92" t="s">
        <v>62</v>
      </c>
      <c r="N92" s="101">
        <v>86.9</v>
      </c>
      <c r="O92">
        <v>28</v>
      </c>
      <c r="P92">
        <v>25</v>
      </c>
      <c r="Q92">
        <v>39</v>
      </c>
      <c r="R92">
        <v>22.7</v>
      </c>
      <c r="S92">
        <v>38</v>
      </c>
      <c r="T92">
        <v>49.2</v>
      </c>
      <c r="U92">
        <v>36</v>
      </c>
      <c r="V92">
        <v>11.5</v>
      </c>
      <c r="W92">
        <v>36</v>
      </c>
      <c r="AB92" s="84" t="s">
        <v>91</v>
      </c>
      <c r="AC92" t="s">
        <v>62</v>
      </c>
      <c r="AD92">
        <v>0</v>
      </c>
      <c r="AE92">
        <v>0</v>
      </c>
      <c r="AF92">
        <v>0</v>
      </c>
      <c r="AG92">
        <v>8.1</v>
      </c>
      <c r="AI92" s="119" t="s">
        <v>100</v>
      </c>
      <c r="AJ92" t="s">
        <v>62</v>
      </c>
      <c r="AK92">
        <v>0</v>
      </c>
      <c r="AL92">
        <v>0</v>
      </c>
      <c r="AN92">
        <v>0</v>
      </c>
      <c r="AP92">
        <v>27.6</v>
      </c>
    </row>
    <row r="93" spans="1:42" ht="15" x14ac:dyDescent="0.35">
      <c r="A93" s="119"/>
      <c r="K93" s="63"/>
      <c r="N93" s="101"/>
      <c r="AB93" s="84" t="s">
        <v>166</v>
      </c>
      <c r="AC93" t="s">
        <v>62</v>
      </c>
      <c r="AD93">
        <v>0</v>
      </c>
      <c r="AE93">
        <v>0</v>
      </c>
      <c r="AF93">
        <v>219.6</v>
      </c>
      <c r="AG93">
        <v>0</v>
      </c>
      <c r="AI93" s="119" t="s">
        <v>101</v>
      </c>
      <c r="AJ93" t="s">
        <v>62</v>
      </c>
      <c r="AK93">
        <v>86.3</v>
      </c>
      <c r="AL93">
        <v>168</v>
      </c>
      <c r="AN93">
        <v>536.4</v>
      </c>
      <c r="AP93">
        <v>999.9</v>
      </c>
    </row>
    <row r="94" spans="1:42" ht="15" x14ac:dyDescent="0.35">
      <c r="A94" s="119"/>
      <c r="K94" s="63"/>
      <c r="L94" s="84" t="s">
        <v>100</v>
      </c>
      <c r="M94" t="s">
        <v>62</v>
      </c>
      <c r="N94" s="101">
        <v>84.6</v>
      </c>
      <c r="O94">
        <v>29</v>
      </c>
      <c r="P94">
        <v>408.3</v>
      </c>
      <c r="Q94">
        <v>23</v>
      </c>
      <c r="R94">
        <v>313.3</v>
      </c>
      <c r="S94">
        <v>24</v>
      </c>
      <c r="T94">
        <v>318.7</v>
      </c>
      <c r="U94">
        <v>23</v>
      </c>
      <c r="V94">
        <v>0</v>
      </c>
      <c r="W94">
        <v>0</v>
      </c>
      <c r="AB94" s="84" t="s">
        <v>92</v>
      </c>
      <c r="AC94" t="s">
        <v>62</v>
      </c>
      <c r="AD94">
        <v>0</v>
      </c>
      <c r="AE94">
        <v>0</v>
      </c>
      <c r="AF94">
        <v>27.1</v>
      </c>
      <c r="AG94">
        <v>216.2</v>
      </c>
      <c r="AI94" s="119" t="s">
        <v>102</v>
      </c>
      <c r="AJ94" t="s">
        <v>62</v>
      </c>
      <c r="AK94">
        <v>0</v>
      </c>
      <c r="AL94">
        <v>25</v>
      </c>
      <c r="AN94">
        <v>427.2</v>
      </c>
      <c r="AP94">
        <v>603.4</v>
      </c>
    </row>
    <row r="95" spans="1:42" ht="15" x14ac:dyDescent="0.35">
      <c r="A95" s="119"/>
      <c r="K95" s="63"/>
      <c r="N95" s="101"/>
      <c r="AB95" s="84" t="s">
        <v>93</v>
      </c>
      <c r="AC95" t="s">
        <v>62</v>
      </c>
      <c r="AD95">
        <v>19.899999999999999</v>
      </c>
      <c r="AE95">
        <v>0</v>
      </c>
      <c r="AF95">
        <v>494.6</v>
      </c>
      <c r="AG95">
        <v>950.4</v>
      </c>
      <c r="AI95" s="119" t="s">
        <v>103</v>
      </c>
      <c r="AJ95" t="s">
        <v>62</v>
      </c>
      <c r="AK95">
        <v>47.8</v>
      </c>
      <c r="AL95">
        <v>114.5</v>
      </c>
      <c r="AN95">
        <v>685.2</v>
      </c>
      <c r="AP95">
        <v>890.6</v>
      </c>
    </row>
    <row r="96" spans="1:42" ht="15" x14ac:dyDescent="0.35">
      <c r="A96" s="119"/>
      <c r="K96" s="63"/>
      <c r="L96" s="84" t="s">
        <v>79</v>
      </c>
      <c r="M96" t="s">
        <v>62</v>
      </c>
      <c r="N96" s="101">
        <v>80.599999999999994</v>
      </c>
      <c r="O96">
        <v>30</v>
      </c>
      <c r="P96">
        <v>89.2</v>
      </c>
      <c r="Q96">
        <v>32</v>
      </c>
      <c r="R96">
        <v>224.2</v>
      </c>
      <c r="S96">
        <v>28</v>
      </c>
      <c r="T96">
        <v>333.7</v>
      </c>
      <c r="U96">
        <v>21</v>
      </c>
      <c r="V96">
        <v>354.2</v>
      </c>
      <c r="W96">
        <v>16</v>
      </c>
      <c r="AB96" s="84" t="s">
        <v>94</v>
      </c>
      <c r="AC96" t="s">
        <v>62</v>
      </c>
      <c r="AD96">
        <v>0</v>
      </c>
      <c r="AE96">
        <v>0</v>
      </c>
      <c r="AF96">
        <v>0</v>
      </c>
      <c r="AG96">
        <v>23.9</v>
      </c>
      <c r="AI96" s="119" t="s">
        <v>104</v>
      </c>
      <c r="AJ96" t="s">
        <v>62</v>
      </c>
      <c r="AK96">
        <v>0</v>
      </c>
      <c r="AL96">
        <v>0</v>
      </c>
      <c r="AN96">
        <v>214.2</v>
      </c>
      <c r="AP96">
        <v>167.8</v>
      </c>
    </row>
    <row r="97" spans="1:42" ht="15" x14ac:dyDescent="0.35">
      <c r="A97" s="119"/>
      <c r="K97" s="63"/>
      <c r="N97" s="101"/>
      <c r="AB97" s="84" t="s">
        <v>95</v>
      </c>
      <c r="AC97" t="s">
        <v>62</v>
      </c>
      <c r="AD97">
        <v>20</v>
      </c>
      <c r="AE97">
        <v>0</v>
      </c>
      <c r="AF97">
        <v>76.2</v>
      </c>
      <c r="AG97">
        <v>528</v>
      </c>
      <c r="AI97" s="119" t="s">
        <v>105</v>
      </c>
      <c r="AJ97" t="s">
        <v>62</v>
      </c>
      <c r="AK97">
        <v>0</v>
      </c>
      <c r="AL97">
        <v>0</v>
      </c>
      <c r="AN97">
        <v>2</v>
      </c>
      <c r="AP97">
        <v>20.3</v>
      </c>
    </row>
    <row r="98" spans="1:42" ht="15" x14ac:dyDescent="0.35">
      <c r="A98" s="119"/>
      <c r="K98" s="63"/>
      <c r="L98" s="84" t="s">
        <v>82</v>
      </c>
      <c r="M98" t="s">
        <v>62</v>
      </c>
      <c r="N98" s="101">
        <v>78.900000000000006</v>
      </c>
      <c r="O98">
        <v>31</v>
      </c>
      <c r="P98">
        <v>43.1</v>
      </c>
      <c r="Q98">
        <v>34</v>
      </c>
      <c r="R98">
        <v>174.6</v>
      </c>
      <c r="S98">
        <v>30</v>
      </c>
      <c r="T98">
        <v>9.5</v>
      </c>
      <c r="U98">
        <v>45</v>
      </c>
      <c r="V98">
        <v>8.4</v>
      </c>
      <c r="W98">
        <v>37</v>
      </c>
      <c r="AB98" s="84"/>
      <c r="AC98" t="s">
        <v>62</v>
      </c>
      <c r="AI98" s="119" t="s">
        <v>106</v>
      </c>
      <c r="AJ98" t="s">
        <v>62</v>
      </c>
      <c r="AK98">
        <v>83.7</v>
      </c>
      <c r="AL98">
        <v>27</v>
      </c>
      <c r="AN98">
        <v>660.6</v>
      </c>
      <c r="AP98">
        <v>677</v>
      </c>
    </row>
    <row r="99" spans="1:42" ht="15" x14ac:dyDescent="0.35">
      <c r="A99" s="119"/>
      <c r="K99" s="63"/>
      <c r="N99" s="101"/>
      <c r="AB99" s="84" t="s">
        <v>96</v>
      </c>
      <c r="AC99" t="s">
        <v>62</v>
      </c>
      <c r="AD99">
        <v>866.8</v>
      </c>
      <c r="AE99">
        <v>845</v>
      </c>
      <c r="AF99">
        <v>16002.2</v>
      </c>
      <c r="AG99">
        <v>20633.400000000001</v>
      </c>
      <c r="AI99" s="119" t="s">
        <v>118</v>
      </c>
      <c r="AJ99" t="s">
        <v>62</v>
      </c>
      <c r="AK99">
        <v>0</v>
      </c>
      <c r="AL99">
        <v>0</v>
      </c>
      <c r="AN99">
        <v>38.799999999999997</v>
      </c>
      <c r="AP99">
        <v>25.4</v>
      </c>
    </row>
    <row r="100" spans="1:42" ht="15" x14ac:dyDescent="0.35">
      <c r="A100" s="119"/>
      <c r="K100" s="63"/>
      <c r="L100" s="84" t="s">
        <v>95</v>
      </c>
      <c r="M100" t="s">
        <v>62</v>
      </c>
      <c r="N100" s="101">
        <v>76.2</v>
      </c>
      <c r="O100">
        <v>32</v>
      </c>
      <c r="P100">
        <v>528</v>
      </c>
      <c r="Q100">
        <v>18</v>
      </c>
      <c r="R100">
        <v>470.4</v>
      </c>
      <c r="S100">
        <v>20</v>
      </c>
      <c r="T100">
        <v>416.5</v>
      </c>
      <c r="U100">
        <v>20</v>
      </c>
      <c r="V100">
        <v>240.3</v>
      </c>
      <c r="W100">
        <v>22</v>
      </c>
      <c r="AB100" s="84" t="s">
        <v>97</v>
      </c>
      <c r="AC100" t="s">
        <v>62</v>
      </c>
      <c r="AD100">
        <v>0</v>
      </c>
      <c r="AE100">
        <v>3.2</v>
      </c>
      <c r="AF100">
        <v>38.6</v>
      </c>
      <c r="AG100">
        <v>34.799999999999997</v>
      </c>
      <c r="AI100" s="119" t="s">
        <v>107</v>
      </c>
      <c r="AJ100" t="s">
        <v>62</v>
      </c>
      <c r="AK100">
        <v>1</v>
      </c>
      <c r="AL100">
        <v>17.100000000000001</v>
      </c>
      <c r="AN100">
        <v>431.2</v>
      </c>
      <c r="AP100">
        <v>351.6</v>
      </c>
    </row>
    <row r="101" spans="1:42" ht="15" x14ac:dyDescent="0.35">
      <c r="A101" s="119"/>
      <c r="K101" s="63"/>
      <c r="N101" s="101"/>
      <c r="AB101" s="84" t="s">
        <v>98</v>
      </c>
      <c r="AC101" t="s">
        <v>62</v>
      </c>
      <c r="AD101">
        <v>0</v>
      </c>
      <c r="AE101">
        <v>0</v>
      </c>
      <c r="AF101">
        <v>560.29999999999995</v>
      </c>
      <c r="AG101">
        <v>664.7</v>
      </c>
      <c r="AI101" s="119" t="s">
        <v>108</v>
      </c>
      <c r="AJ101" t="s">
        <v>62</v>
      </c>
      <c r="AK101">
        <v>0.3</v>
      </c>
      <c r="AL101">
        <v>0.3</v>
      </c>
      <c r="AN101">
        <v>241.9</v>
      </c>
      <c r="AP101">
        <v>226</v>
      </c>
    </row>
    <row r="102" spans="1:42" ht="15" x14ac:dyDescent="0.35">
      <c r="A102" s="119"/>
      <c r="K102" s="63"/>
      <c r="L102" s="84" t="s">
        <v>77</v>
      </c>
      <c r="M102" t="s">
        <v>62</v>
      </c>
      <c r="N102" s="101">
        <v>64.3</v>
      </c>
      <c r="O102">
        <v>33</v>
      </c>
      <c r="P102">
        <v>462.5</v>
      </c>
      <c r="Q102">
        <v>21</v>
      </c>
      <c r="R102">
        <v>0</v>
      </c>
      <c r="S102">
        <v>0</v>
      </c>
      <c r="T102">
        <v>0</v>
      </c>
      <c r="U102">
        <v>0</v>
      </c>
      <c r="V102">
        <v>0</v>
      </c>
      <c r="W102">
        <v>0</v>
      </c>
      <c r="AB102" s="84" t="s">
        <v>99</v>
      </c>
      <c r="AC102" t="s">
        <v>62</v>
      </c>
      <c r="AD102">
        <v>129.80000000000001</v>
      </c>
      <c r="AE102">
        <v>78.3</v>
      </c>
      <c r="AF102">
        <v>876.8</v>
      </c>
      <c r="AG102">
        <v>1738.1</v>
      </c>
      <c r="AI102" s="119" t="s">
        <v>109</v>
      </c>
      <c r="AJ102" t="s">
        <v>62</v>
      </c>
      <c r="AK102">
        <v>0</v>
      </c>
      <c r="AL102">
        <v>0</v>
      </c>
      <c r="AN102">
        <v>7.8</v>
      </c>
      <c r="AP102">
        <v>36.5</v>
      </c>
    </row>
    <row r="103" spans="1:42" ht="15" x14ac:dyDescent="0.35">
      <c r="A103" s="119"/>
      <c r="K103" s="63"/>
      <c r="N103" s="101"/>
      <c r="AB103" s="84" t="s">
        <v>100</v>
      </c>
      <c r="AC103" t="s">
        <v>62</v>
      </c>
      <c r="AD103">
        <v>0</v>
      </c>
      <c r="AE103">
        <v>0</v>
      </c>
      <c r="AF103">
        <v>84.6</v>
      </c>
      <c r="AG103">
        <v>408.3</v>
      </c>
      <c r="AI103" s="119" t="s">
        <v>110</v>
      </c>
      <c r="AJ103" t="s">
        <v>62</v>
      </c>
      <c r="AK103">
        <v>115.2</v>
      </c>
      <c r="AL103">
        <v>260.7</v>
      </c>
      <c r="AN103">
        <v>7018.6</v>
      </c>
      <c r="AP103">
        <v>7998.6</v>
      </c>
    </row>
    <row r="104" spans="1:42" ht="15" x14ac:dyDescent="0.35">
      <c r="A104" s="119"/>
      <c r="K104" s="63"/>
      <c r="L104" s="84" t="s">
        <v>87</v>
      </c>
      <c r="M104" t="s">
        <v>62</v>
      </c>
      <c r="N104" s="101">
        <v>39.1</v>
      </c>
      <c r="O104">
        <v>34</v>
      </c>
      <c r="P104">
        <v>32.4</v>
      </c>
      <c r="Q104">
        <v>37</v>
      </c>
      <c r="R104">
        <v>4.4000000000000004</v>
      </c>
      <c r="S104">
        <v>46</v>
      </c>
      <c r="T104">
        <v>11.4</v>
      </c>
      <c r="U104">
        <v>42</v>
      </c>
      <c r="V104">
        <v>0</v>
      </c>
      <c r="W104">
        <v>0</v>
      </c>
      <c r="AB104" s="84" t="s">
        <v>101</v>
      </c>
      <c r="AC104" t="s">
        <v>62</v>
      </c>
      <c r="AD104">
        <v>314.10000000000002</v>
      </c>
      <c r="AE104">
        <v>195.5</v>
      </c>
      <c r="AF104">
        <v>1399.4</v>
      </c>
      <c r="AG104">
        <v>2960.7</v>
      </c>
      <c r="AI104" s="119" t="s">
        <v>111</v>
      </c>
      <c r="AJ104" t="s">
        <v>62</v>
      </c>
      <c r="AK104">
        <v>31.7</v>
      </c>
      <c r="AL104">
        <v>0</v>
      </c>
      <c r="AN104">
        <v>118</v>
      </c>
      <c r="AP104">
        <v>106.3</v>
      </c>
    </row>
    <row r="105" spans="1:42" ht="15" x14ac:dyDescent="0.35">
      <c r="A105" s="119"/>
      <c r="K105" s="63"/>
      <c r="N105" s="101"/>
      <c r="AB105" s="84" t="s">
        <v>102</v>
      </c>
      <c r="AC105" t="s">
        <v>62</v>
      </c>
      <c r="AD105">
        <v>50</v>
      </c>
      <c r="AE105">
        <v>0</v>
      </c>
      <c r="AF105">
        <v>711.5</v>
      </c>
      <c r="AG105">
        <v>741.8</v>
      </c>
      <c r="AI105" s="119" t="s">
        <v>112</v>
      </c>
      <c r="AJ105" t="s">
        <v>62</v>
      </c>
      <c r="AK105">
        <v>0</v>
      </c>
      <c r="AL105">
        <v>0.3</v>
      </c>
      <c r="AN105">
        <v>263</v>
      </c>
      <c r="AP105">
        <v>326.60000000000002</v>
      </c>
    </row>
    <row r="106" spans="1:42" ht="15" x14ac:dyDescent="0.35">
      <c r="A106" s="119"/>
      <c r="K106" s="63"/>
      <c r="L106" s="84" t="s">
        <v>97</v>
      </c>
      <c r="M106" t="s">
        <v>62</v>
      </c>
      <c r="N106" s="101">
        <v>38.6</v>
      </c>
      <c r="O106">
        <v>35</v>
      </c>
      <c r="P106">
        <v>34.799999999999997</v>
      </c>
      <c r="Q106">
        <v>36</v>
      </c>
      <c r="R106">
        <v>36.200000000000003</v>
      </c>
      <c r="S106">
        <v>35</v>
      </c>
      <c r="T106">
        <v>37.299999999999997</v>
      </c>
      <c r="U106">
        <v>37</v>
      </c>
      <c r="V106">
        <v>34.799999999999997</v>
      </c>
      <c r="W106">
        <v>30</v>
      </c>
      <c r="AB106" s="84" t="s">
        <v>103</v>
      </c>
      <c r="AC106" t="s">
        <v>62</v>
      </c>
      <c r="AD106">
        <v>75.2</v>
      </c>
      <c r="AE106">
        <v>45.1</v>
      </c>
      <c r="AF106">
        <v>954.8</v>
      </c>
      <c r="AG106">
        <v>1099.0999999999999</v>
      </c>
      <c r="AI106" s="119" t="s">
        <v>113</v>
      </c>
      <c r="AJ106" t="s">
        <v>62</v>
      </c>
      <c r="AK106">
        <v>15</v>
      </c>
      <c r="AL106">
        <v>36.5</v>
      </c>
      <c r="AN106">
        <v>66.3</v>
      </c>
      <c r="AP106">
        <v>845.5</v>
      </c>
    </row>
    <row r="107" spans="1:42" ht="15" x14ac:dyDescent="0.35">
      <c r="A107" s="119"/>
      <c r="K107" s="63"/>
      <c r="N107" s="101"/>
      <c r="AB107" s="84" t="s">
        <v>104</v>
      </c>
      <c r="AC107" t="s">
        <v>62</v>
      </c>
      <c r="AD107">
        <v>0</v>
      </c>
      <c r="AE107">
        <v>0</v>
      </c>
      <c r="AF107">
        <v>217.2</v>
      </c>
      <c r="AG107">
        <v>473.6</v>
      </c>
      <c r="AI107" s="119" t="s">
        <v>114</v>
      </c>
      <c r="AJ107" t="s">
        <v>62</v>
      </c>
      <c r="AK107">
        <v>13.8</v>
      </c>
      <c r="AL107">
        <v>0</v>
      </c>
      <c r="AN107">
        <v>479.2</v>
      </c>
      <c r="AP107">
        <v>431.4</v>
      </c>
    </row>
    <row r="108" spans="1:42" ht="15" x14ac:dyDescent="0.35">
      <c r="A108" s="119"/>
      <c r="K108" s="63"/>
      <c r="L108" s="84" t="s">
        <v>92</v>
      </c>
      <c r="M108" t="s">
        <v>62</v>
      </c>
      <c r="N108" s="101">
        <v>27.1</v>
      </c>
      <c r="O108">
        <v>36</v>
      </c>
      <c r="P108">
        <v>216.2</v>
      </c>
      <c r="Q108">
        <v>29</v>
      </c>
      <c r="R108">
        <v>248.8</v>
      </c>
      <c r="S108">
        <v>27</v>
      </c>
      <c r="T108">
        <v>162.5</v>
      </c>
      <c r="U108">
        <v>27</v>
      </c>
      <c r="V108">
        <v>0</v>
      </c>
      <c r="W108">
        <v>0</v>
      </c>
      <c r="AB108" s="84" t="s">
        <v>105</v>
      </c>
      <c r="AC108" t="s">
        <v>62</v>
      </c>
      <c r="AD108">
        <v>6.7</v>
      </c>
      <c r="AE108">
        <v>0</v>
      </c>
      <c r="AF108">
        <v>0</v>
      </c>
      <c r="AG108">
        <v>10.8</v>
      </c>
      <c r="AI108" s="119" t="s">
        <v>115</v>
      </c>
      <c r="AJ108" t="s">
        <v>62</v>
      </c>
      <c r="AK108">
        <v>0</v>
      </c>
      <c r="AL108">
        <v>0</v>
      </c>
      <c r="AN108">
        <v>8.1</v>
      </c>
      <c r="AP108">
        <v>9.8000000000000007</v>
      </c>
    </row>
    <row r="109" spans="1:42" ht="15" x14ac:dyDescent="0.35">
      <c r="A109" s="119"/>
      <c r="K109" s="63"/>
      <c r="N109" s="101"/>
      <c r="AB109" s="84" t="s">
        <v>106</v>
      </c>
      <c r="AC109" t="s">
        <v>62</v>
      </c>
      <c r="AD109">
        <v>63.4</v>
      </c>
      <c r="AE109">
        <v>0</v>
      </c>
      <c r="AF109">
        <v>617.79999999999995</v>
      </c>
      <c r="AG109">
        <v>651</v>
      </c>
      <c r="AI109" s="119" t="s">
        <v>116</v>
      </c>
      <c r="AJ109" t="s">
        <v>62</v>
      </c>
      <c r="AK109">
        <v>0</v>
      </c>
      <c r="AL109">
        <v>3.8</v>
      </c>
      <c r="AN109">
        <v>92.1</v>
      </c>
      <c r="AP109">
        <v>90.7</v>
      </c>
    </row>
    <row r="110" spans="1:42" ht="15" x14ac:dyDescent="0.35">
      <c r="A110" s="119"/>
      <c r="K110" s="63"/>
      <c r="L110" s="84" t="s">
        <v>75</v>
      </c>
      <c r="M110" t="s">
        <v>62</v>
      </c>
      <c r="N110" s="101">
        <v>26.6</v>
      </c>
      <c r="O110">
        <v>37</v>
      </c>
      <c r="P110">
        <v>30</v>
      </c>
      <c r="Q110">
        <v>38</v>
      </c>
      <c r="R110">
        <v>37.1</v>
      </c>
      <c r="S110">
        <v>34</v>
      </c>
      <c r="T110">
        <v>55.6</v>
      </c>
      <c r="U110">
        <v>34</v>
      </c>
      <c r="V110">
        <v>24</v>
      </c>
      <c r="W110">
        <v>31</v>
      </c>
      <c r="AB110" s="84" t="s">
        <v>118</v>
      </c>
      <c r="AC110" t="s">
        <v>62</v>
      </c>
      <c r="AD110">
        <v>0</v>
      </c>
      <c r="AE110">
        <v>0</v>
      </c>
      <c r="AF110">
        <v>22.5</v>
      </c>
      <c r="AG110">
        <v>20.9</v>
      </c>
      <c r="AI110" s="119" t="s">
        <v>119</v>
      </c>
      <c r="AJ110" t="s">
        <v>62</v>
      </c>
      <c r="AK110">
        <v>0</v>
      </c>
      <c r="AL110">
        <v>0</v>
      </c>
      <c r="AN110">
        <v>893.7</v>
      </c>
      <c r="AP110">
        <v>1076.8</v>
      </c>
    </row>
    <row r="111" spans="1:42" ht="15" x14ac:dyDescent="0.35">
      <c r="A111" s="119"/>
      <c r="K111" s="63"/>
      <c r="N111" s="101"/>
      <c r="AB111" s="84" t="s">
        <v>107</v>
      </c>
      <c r="AC111" t="s">
        <v>62</v>
      </c>
      <c r="AD111">
        <v>0.8</v>
      </c>
      <c r="AE111">
        <v>11.6</v>
      </c>
      <c r="AF111">
        <v>389.7</v>
      </c>
      <c r="AG111">
        <v>328.4</v>
      </c>
      <c r="AI111" s="119" t="s">
        <v>161</v>
      </c>
      <c r="AJ111" t="s">
        <v>162</v>
      </c>
      <c r="AK111" t="s">
        <v>61</v>
      </c>
      <c r="AL111" t="s">
        <v>168</v>
      </c>
      <c r="AM111" t="s">
        <v>189</v>
      </c>
      <c r="AN111" t="s">
        <v>167</v>
      </c>
      <c r="AO111" t="s">
        <v>162</v>
      </c>
      <c r="AP111" t="s">
        <v>240</v>
      </c>
    </row>
    <row r="112" spans="1:42" ht="15" x14ac:dyDescent="0.35">
      <c r="A112" s="119"/>
      <c r="K112" s="63"/>
      <c r="L112" s="84" t="s">
        <v>118</v>
      </c>
      <c r="M112" t="s">
        <v>62</v>
      </c>
      <c r="N112" s="101">
        <v>22.5</v>
      </c>
      <c r="O112">
        <v>38</v>
      </c>
      <c r="P112">
        <v>20.9</v>
      </c>
      <c r="Q112">
        <v>43</v>
      </c>
      <c r="R112">
        <v>12.1</v>
      </c>
      <c r="S112">
        <v>40</v>
      </c>
      <c r="T112">
        <v>10.4</v>
      </c>
      <c r="U112">
        <v>44</v>
      </c>
      <c r="V112">
        <v>2.5</v>
      </c>
      <c r="W112">
        <v>44</v>
      </c>
      <c r="AB112" s="84" t="s">
        <v>108</v>
      </c>
      <c r="AC112" t="s">
        <v>62</v>
      </c>
      <c r="AD112">
        <v>0</v>
      </c>
      <c r="AE112">
        <v>2.2999999999999998</v>
      </c>
      <c r="AF112">
        <v>252.5</v>
      </c>
      <c r="AG112">
        <v>247.7</v>
      </c>
      <c r="AI112" s="119" t="s">
        <v>134</v>
      </c>
      <c r="AJ112" t="s">
        <v>62</v>
      </c>
      <c r="AK112">
        <v>1852.3</v>
      </c>
      <c r="AL112">
        <v>3824.3</v>
      </c>
      <c r="AN112">
        <v>45256.4</v>
      </c>
      <c r="AP112">
        <v>48345.4</v>
      </c>
    </row>
    <row r="113" spans="1:42" ht="15" x14ac:dyDescent="0.35">
      <c r="A113" s="119"/>
      <c r="K113" s="63"/>
      <c r="N113" s="101"/>
      <c r="AB113" s="84" t="s">
        <v>109</v>
      </c>
      <c r="AC113" t="s">
        <v>62</v>
      </c>
      <c r="AD113">
        <v>0</v>
      </c>
      <c r="AE113">
        <v>0</v>
      </c>
      <c r="AF113">
        <v>7.9</v>
      </c>
      <c r="AG113">
        <v>8</v>
      </c>
      <c r="AI113" s="119" t="s">
        <v>135</v>
      </c>
      <c r="AJ113" t="s">
        <v>62</v>
      </c>
      <c r="AK113">
        <v>943.3</v>
      </c>
      <c r="AL113">
        <v>267.39999999999998</v>
      </c>
      <c r="AN113">
        <v>0</v>
      </c>
      <c r="AP113">
        <v>0</v>
      </c>
    </row>
    <row r="114" spans="1:42" ht="15" x14ac:dyDescent="0.35">
      <c r="A114" s="119"/>
      <c r="K114" s="63"/>
      <c r="L114" s="84" t="s">
        <v>68</v>
      </c>
      <c r="M114" t="s">
        <v>62</v>
      </c>
      <c r="N114" s="101">
        <v>19.8</v>
      </c>
      <c r="O114">
        <v>39</v>
      </c>
      <c r="P114">
        <v>417.8</v>
      </c>
      <c r="Q114">
        <v>22</v>
      </c>
      <c r="R114">
        <v>349.9</v>
      </c>
      <c r="S114">
        <v>21</v>
      </c>
      <c r="T114">
        <v>0</v>
      </c>
      <c r="U114">
        <v>0</v>
      </c>
      <c r="V114">
        <v>5.9</v>
      </c>
      <c r="W114">
        <v>41</v>
      </c>
      <c r="AB114" s="84" t="s">
        <v>110</v>
      </c>
      <c r="AC114" t="s">
        <v>62</v>
      </c>
      <c r="AD114">
        <v>138.80000000000001</v>
      </c>
      <c r="AE114">
        <v>397.5</v>
      </c>
      <c r="AF114">
        <v>7453.7</v>
      </c>
      <c r="AG114">
        <v>8739.4</v>
      </c>
      <c r="AI114" s="119" t="s">
        <v>161</v>
      </c>
      <c r="AJ114" t="s">
        <v>162</v>
      </c>
      <c r="AK114" t="s">
        <v>61</v>
      </c>
      <c r="AL114" t="s">
        <v>168</v>
      </c>
      <c r="AM114" t="s">
        <v>189</v>
      </c>
      <c r="AN114" t="s">
        <v>167</v>
      </c>
      <c r="AO114" t="s">
        <v>162</v>
      </c>
      <c r="AP114" t="s">
        <v>240</v>
      </c>
    </row>
    <row r="115" spans="1:42" ht="15" x14ac:dyDescent="0.35">
      <c r="A115" s="119"/>
      <c r="K115" s="63"/>
      <c r="N115" s="101"/>
      <c r="AB115" s="84" t="s">
        <v>111</v>
      </c>
      <c r="AC115" t="s">
        <v>62</v>
      </c>
      <c r="AD115">
        <v>0</v>
      </c>
      <c r="AE115">
        <v>0</v>
      </c>
      <c r="AF115">
        <v>93.5</v>
      </c>
      <c r="AG115">
        <v>123.4</v>
      </c>
      <c r="AI115" s="119" t="s">
        <v>136</v>
      </c>
      <c r="AJ115" t="s">
        <v>62</v>
      </c>
      <c r="AK115">
        <v>2795.7</v>
      </c>
      <c r="AL115">
        <v>4091.7</v>
      </c>
      <c r="AN115">
        <v>45256.4</v>
      </c>
      <c r="AP115">
        <v>48345.4</v>
      </c>
    </row>
    <row r="116" spans="1:42" ht="15" x14ac:dyDescent="0.35">
      <c r="A116" s="119"/>
      <c r="K116" s="63"/>
      <c r="L116" s="84" t="s">
        <v>165</v>
      </c>
      <c r="M116" t="s">
        <v>62</v>
      </c>
      <c r="N116" s="101">
        <v>16.399999999999999</v>
      </c>
      <c r="O116">
        <v>40</v>
      </c>
      <c r="P116">
        <v>0</v>
      </c>
      <c r="Q116">
        <v>0</v>
      </c>
      <c r="R116">
        <v>0</v>
      </c>
      <c r="S116">
        <v>0</v>
      </c>
      <c r="T116">
        <v>60.5</v>
      </c>
      <c r="U116">
        <v>33</v>
      </c>
      <c r="V116">
        <v>0</v>
      </c>
      <c r="W116">
        <v>0</v>
      </c>
      <c r="AB116" s="84" t="s">
        <v>112</v>
      </c>
      <c r="AC116" t="s">
        <v>62</v>
      </c>
      <c r="AD116">
        <v>0</v>
      </c>
      <c r="AE116">
        <v>17.5</v>
      </c>
      <c r="AF116">
        <v>331.6</v>
      </c>
      <c r="AG116">
        <v>384.9</v>
      </c>
      <c r="AI116" s="119" t="s">
        <v>137</v>
      </c>
      <c r="AJ116" t="s">
        <v>62</v>
      </c>
      <c r="AK116" t="s">
        <v>60</v>
      </c>
      <c r="AL116" t="s">
        <v>60</v>
      </c>
      <c r="AN116">
        <v>0</v>
      </c>
      <c r="AP116">
        <v>21.9</v>
      </c>
    </row>
    <row r="117" spans="1:42" ht="15" x14ac:dyDescent="0.35">
      <c r="A117" s="119"/>
      <c r="K117" s="63"/>
      <c r="N117" s="101"/>
      <c r="AB117" s="84" t="s">
        <v>113</v>
      </c>
      <c r="AC117" t="s">
        <v>62</v>
      </c>
      <c r="AD117">
        <v>82</v>
      </c>
      <c r="AE117">
        <v>28</v>
      </c>
      <c r="AF117">
        <v>328.4</v>
      </c>
      <c r="AG117">
        <v>371.2</v>
      </c>
      <c r="AI117" s="119" t="s">
        <v>138</v>
      </c>
      <c r="AJ117" t="s">
        <v>62</v>
      </c>
      <c r="AK117">
        <v>0</v>
      </c>
      <c r="AL117">
        <v>0</v>
      </c>
      <c r="AN117" t="s">
        <v>60</v>
      </c>
      <c r="AP117" t="s">
        <v>60</v>
      </c>
    </row>
    <row r="118" spans="1:42" ht="15" x14ac:dyDescent="0.35">
      <c r="A118" s="119"/>
      <c r="K118" s="63"/>
      <c r="L118" s="84" t="s">
        <v>76</v>
      </c>
      <c r="M118" t="s">
        <v>62</v>
      </c>
      <c r="N118" s="101">
        <v>11.1</v>
      </c>
      <c r="O118">
        <v>41</v>
      </c>
      <c r="P118">
        <v>8.3000000000000007</v>
      </c>
      <c r="Q118">
        <v>47</v>
      </c>
      <c r="R118">
        <v>111</v>
      </c>
      <c r="S118">
        <v>32</v>
      </c>
      <c r="T118">
        <v>888.5</v>
      </c>
      <c r="U118">
        <v>11</v>
      </c>
      <c r="V118">
        <v>42.9</v>
      </c>
      <c r="W118">
        <v>29</v>
      </c>
      <c r="AB118" s="84" t="s">
        <v>114</v>
      </c>
      <c r="AC118" t="s">
        <v>62</v>
      </c>
      <c r="AD118">
        <v>0</v>
      </c>
      <c r="AE118">
        <v>1</v>
      </c>
      <c r="AF118">
        <v>400.4</v>
      </c>
      <c r="AG118">
        <v>478.9</v>
      </c>
      <c r="AI118" s="119" t="s">
        <v>161</v>
      </c>
      <c r="AJ118" t="s">
        <v>162</v>
      </c>
      <c r="AK118" t="s">
        <v>61</v>
      </c>
      <c r="AL118" t="s">
        <v>168</v>
      </c>
      <c r="AM118" t="s">
        <v>189</v>
      </c>
      <c r="AN118" t="s">
        <v>167</v>
      </c>
      <c r="AO118" t="s">
        <v>162</v>
      </c>
      <c r="AP118" t="s">
        <v>240</v>
      </c>
    </row>
    <row r="119" spans="1:42" ht="15" x14ac:dyDescent="0.35">
      <c r="A119" s="119"/>
      <c r="K119" s="63"/>
      <c r="N119" s="101"/>
      <c r="AB119" s="84" t="s">
        <v>115</v>
      </c>
      <c r="AC119" t="s">
        <v>62</v>
      </c>
      <c r="AD119">
        <v>0</v>
      </c>
      <c r="AE119">
        <v>0</v>
      </c>
      <c r="AF119">
        <v>8.5</v>
      </c>
      <c r="AG119">
        <v>9</v>
      </c>
      <c r="AI119" s="119"/>
    </row>
    <row r="120" spans="1:42" ht="15" x14ac:dyDescent="0.35">
      <c r="A120" s="119"/>
      <c r="K120" s="63"/>
      <c r="L120" s="84" t="s">
        <v>164</v>
      </c>
      <c r="M120" t="s">
        <v>62</v>
      </c>
      <c r="N120" s="101">
        <v>8.5</v>
      </c>
      <c r="O120">
        <v>42</v>
      </c>
      <c r="P120">
        <v>0</v>
      </c>
      <c r="Q120">
        <v>0</v>
      </c>
      <c r="R120">
        <v>0</v>
      </c>
      <c r="S120">
        <v>0</v>
      </c>
      <c r="T120">
        <v>0</v>
      </c>
      <c r="U120">
        <v>0</v>
      </c>
      <c r="V120">
        <v>0</v>
      </c>
      <c r="W120">
        <v>0</v>
      </c>
      <c r="AB120" s="84" t="s">
        <v>116</v>
      </c>
      <c r="AC120" t="s">
        <v>62</v>
      </c>
      <c r="AD120">
        <v>6</v>
      </c>
      <c r="AE120">
        <v>2.1</v>
      </c>
      <c r="AF120">
        <v>93.3</v>
      </c>
      <c r="AG120">
        <v>133.19999999999999</v>
      </c>
      <c r="AI120" s="119"/>
    </row>
    <row r="121" spans="1:42" ht="15" x14ac:dyDescent="0.35">
      <c r="A121" s="119"/>
      <c r="K121" s="63"/>
      <c r="N121" s="101"/>
      <c r="AB121" s="84" t="s">
        <v>119</v>
      </c>
      <c r="AC121" t="s">
        <v>62</v>
      </c>
      <c r="AD121">
        <v>0</v>
      </c>
      <c r="AE121">
        <v>63</v>
      </c>
      <c r="AF121">
        <v>1159</v>
      </c>
      <c r="AG121">
        <v>1005.5</v>
      </c>
      <c r="AI121" s="119" t="s">
        <v>234</v>
      </c>
    </row>
    <row r="122" spans="1:42" ht="15" x14ac:dyDescent="0.35">
      <c r="A122" s="119"/>
      <c r="K122" s="63"/>
      <c r="L122" s="84" t="s">
        <v>115</v>
      </c>
      <c r="M122" t="s">
        <v>62</v>
      </c>
      <c r="N122" s="101">
        <v>8.5</v>
      </c>
      <c r="O122">
        <v>43</v>
      </c>
      <c r="P122">
        <v>9</v>
      </c>
      <c r="Q122">
        <v>46</v>
      </c>
      <c r="R122">
        <v>11.8</v>
      </c>
      <c r="S122">
        <v>41</v>
      </c>
      <c r="T122">
        <v>23.7</v>
      </c>
      <c r="U122">
        <v>38</v>
      </c>
      <c r="V122">
        <v>18.2</v>
      </c>
      <c r="W122">
        <v>32</v>
      </c>
      <c r="AB122" s="84" t="s">
        <v>161</v>
      </c>
      <c r="AC122" t="s">
        <v>162</v>
      </c>
      <c r="AD122" t="s">
        <v>61</v>
      </c>
      <c r="AE122" t="s">
        <v>168</v>
      </c>
      <c r="AF122" t="s">
        <v>188</v>
      </c>
      <c r="AG122" t="s">
        <v>183</v>
      </c>
      <c r="AH122" t="s">
        <v>189</v>
      </c>
      <c r="AI122" s="119" t="s">
        <v>156</v>
      </c>
      <c r="AJ122" t="s">
        <v>157</v>
      </c>
      <c r="AK122" t="s">
        <v>158</v>
      </c>
      <c r="AL122" t="s">
        <v>184</v>
      </c>
      <c r="AM122" t="s">
        <v>236</v>
      </c>
      <c r="AN122" t="s">
        <v>237</v>
      </c>
      <c r="AO122" t="s">
        <v>157</v>
      </c>
      <c r="AP122" t="s">
        <v>186</v>
      </c>
    </row>
    <row r="123" spans="1:42" ht="15" x14ac:dyDescent="0.35">
      <c r="A123" s="119"/>
      <c r="K123" s="63"/>
      <c r="N123" s="101"/>
      <c r="AB123" s="84" t="s">
        <v>134</v>
      </c>
      <c r="AC123" t="s">
        <v>62</v>
      </c>
      <c r="AD123">
        <v>3568.8</v>
      </c>
      <c r="AE123">
        <v>2326.9</v>
      </c>
      <c r="AF123">
        <v>45213.9</v>
      </c>
      <c r="AG123">
        <v>59968.1</v>
      </c>
      <c r="AI123" s="119" t="s">
        <v>196</v>
      </c>
      <c r="AJ123" t="s">
        <v>159</v>
      </c>
      <c r="AK123" t="s">
        <v>160</v>
      </c>
      <c r="AL123" t="s">
        <v>187</v>
      </c>
      <c r="AM123" t="s">
        <v>238</v>
      </c>
      <c r="AN123" t="s">
        <v>239</v>
      </c>
      <c r="AO123">
        <v>11</v>
      </c>
    </row>
    <row r="124" spans="1:42" ht="15" x14ac:dyDescent="0.35">
      <c r="A124" s="119"/>
      <c r="K124" s="63"/>
      <c r="L124" s="84" t="s">
        <v>109</v>
      </c>
      <c r="M124" t="s">
        <v>62</v>
      </c>
      <c r="N124" s="101">
        <v>7.9</v>
      </c>
      <c r="O124">
        <v>44</v>
      </c>
      <c r="P124">
        <v>8</v>
      </c>
      <c r="Q124">
        <v>49</v>
      </c>
      <c r="R124">
        <v>14.3</v>
      </c>
      <c r="S124">
        <v>39</v>
      </c>
      <c r="T124">
        <v>9.1999999999999993</v>
      </c>
      <c r="U124">
        <v>46</v>
      </c>
      <c r="V124">
        <v>7.6</v>
      </c>
      <c r="W124">
        <v>39</v>
      </c>
      <c r="AB124" s="84" t="s">
        <v>135</v>
      </c>
      <c r="AC124" t="s">
        <v>62</v>
      </c>
      <c r="AD124">
        <v>256.89999999999998</v>
      </c>
      <c r="AE124">
        <v>250.7</v>
      </c>
      <c r="AF124">
        <v>0</v>
      </c>
      <c r="AG124">
        <v>0</v>
      </c>
      <c r="AI124" s="119" t="s">
        <v>59</v>
      </c>
    </row>
    <row r="125" spans="1:42" ht="15" x14ac:dyDescent="0.35">
      <c r="A125" s="119"/>
      <c r="K125" s="63"/>
      <c r="N125" s="101"/>
      <c r="AB125" s="84" t="s">
        <v>161</v>
      </c>
      <c r="AC125" t="s">
        <v>162</v>
      </c>
      <c r="AD125" t="s">
        <v>61</v>
      </c>
      <c r="AE125" t="s">
        <v>168</v>
      </c>
      <c r="AF125" t="s">
        <v>188</v>
      </c>
      <c r="AG125" t="s">
        <v>183</v>
      </c>
      <c r="AH125" t="s">
        <v>189</v>
      </c>
      <c r="AI125" s="119" t="s">
        <v>161</v>
      </c>
      <c r="AJ125" t="s">
        <v>162</v>
      </c>
      <c r="AK125" t="s">
        <v>61</v>
      </c>
      <c r="AL125" t="s">
        <v>168</v>
      </c>
      <c r="AM125" t="s">
        <v>189</v>
      </c>
      <c r="AN125" t="s">
        <v>167</v>
      </c>
      <c r="AO125" t="s">
        <v>162</v>
      </c>
      <c r="AP125" t="s">
        <v>240</v>
      </c>
    </row>
    <row r="126" spans="1:42" ht="15" x14ac:dyDescent="0.35">
      <c r="A126" s="119"/>
      <c r="K126" s="63"/>
      <c r="L126" s="84" t="s">
        <v>147</v>
      </c>
      <c r="M126" t="s">
        <v>62</v>
      </c>
      <c r="N126" s="101">
        <v>7.7</v>
      </c>
      <c r="O126">
        <v>45</v>
      </c>
      <c r="P126">
        <v>7.2</v>
      </c>
      <c r="Q126">
        <v>51</v>
      </c>
      <c r="R126">
        <v>0</v>
      </c>
      <c r="S126">
        <v>0</v>
      </c>
      <c r="T126">
        <v>0</v>
      </c>
      <c r="U126">
        <v>0</v>
      </c>
      <c r="V126">
        <v>0</v>
      </c>
      <c r="W126">
        <v>0</v>
      </c>
      <c r="AB126" s="84" t="s">
        <v>136</v>
      </c>
      <c r="AC126" t="s">
        <v>62</v>
      </c>
      <c r="AD126">
        <v>3825.6</v>
      </c>
      <c r="AE126">
        <v>2577.6</v>
      </c>
      <c r="AF126">
        <v>45213.9</v>
      </c>
      <c r="AG126">
        <v>59968.1</v>
      </c>
      <c r="AI126" s="119"/>
      <c r="AJ126" t="s">
        <v>62</v>
      </c>
      <c r="AK126" t="s">
        <v>163</v>
      </c>
      <c r="AL126" t="s">
        <v>190</v>
      </c>
      <c r="AM126" t="s">
        <v>62</v>
      </c>
      <c r="AN126" t="s">
        <v>241</v>
      </c>
      <c r="AO126" t="s">
        <v>242</v>
      </c>
      <c r="AP126" t="s">
        <v>175</v>
      </c>
    </row>
    <row r="127" spans="1:42" ht="15" x14ac:dyDescent="0.35">
      <c r="A127" s="119"/>
      <c r="K127" s="63"/>
      <c r="N127" s="101"/>
      <c r="AB127" s="84" t="s">
        <v>137</v>
      </c>
      <c r="AC127" t="s">
        <v>62</v>
      </c>
      <c r="AD127" t="s">
        <v>60</v>
      </c>
      <c r="AE127" t="s">
        <v>60</v>
      </c>
      <c r="AF127">
        <v>32.799999999999997</v>
      </c>
      <c r="AG127">
        <v>48.8</v>
      </c>
      <c r="AI127" s="119"/>
      <c r="AJ127" t="s">
        <v>62</v>
      </c>
      <c r="AK127" t="s">
        <v>61</v>
      </c>
      <c r="AL127" t="s">
        <v>168</v>
      </c>
      <c r="AM127" t="s">
        <v>189</v>
      </c>
      <c r="AN127" t="s">
        <v>167</v>
      </c>
      <c r="AO127" t="s">
        <v>162</v>
      </c>
      <c r="AP127" t="s">
        <v>240</v>
      </c>
    </row>
    <row r="128" spans="1:42" ht="15" x14ac:dyDescent="0.35">
      <c r="A128" s="119"/>
      <c r="K128" s="63"/>
      <c r="L128" s="84" t="s">
        <v>65</v>
      </c>
      <c r="M128" t="s">
        <v>62</v>
      </c>
      <c r="N128" s="101">
        <v>5.4</v>
      </c>
      <c r="O128">
        <v>46</v>
      </c>
      <c r="P128">
        <v>9.1</v>
      </c>
      <c r="Q128">
        <v>45</v>
      </c>
      <c r="R128">
        <v>4.5</v>
      </c>
      <c r="S128">
        <v>45</v>
      </c>
      <c r="T128">
        <v>6.2</v>
      </c>
      <c r="U128">
        <v>49</v>
      </c>
      <c r="V128">
        <v>7.8</v>
      </c>
      <c r="W128">
        <v>38</v>
      </c>
      <c r="AB128" s="84" t="s">
        <v>138</v>
      </c>
      <c r="AC128" t="s">
        <v>62</v>
      </c>
      <c r="AD128">
        <v>0</v>
      </c>
      <c r="AE128">
        <v>0</v>
      </c>
      <c r="AF128" t="s">
        <v>60</v>
      </c>
      <c r="AG128" t="s">
        <v>60</v>
      </c>
      <c r="AI128" s="119" t="s">
        <v>63</v>
      </c>
      <c r="AJ128" t="s">
        <v>62</v>
      </c>
      <c r="AK128" t="s">
        <v>196</v>
      </c>
      <c r="AL128" t="s">
        <v>243</v>
      </c>
      <c r="AM128" t="s">
        <v>62</v>
      </c>
      <c r="AN128" t="s">
        <v>196</v>
      </c>
      <c r="AO128" t="s">
        <v>62</v>
      </c>
      <c r="AP128" t="s">
        <v>244</v>
      </c>
    </row>
    <row r="129" spans="1:42" ht="15" x14ac:dyDescent="0.35">
      <c r="A129" s="119"/>
      <c r="K129" s="63"/>
      <c r="N129" s="101"/>
      <c r="AB129" s="84" t="s">
        <v>161</v>
      </c>
      <c r="AC129" t="s">
        <v>162</v>
      </c>
      <c r="AD129" t="s">
        <v>61</v>
      </c>
      <c r="AE129" t="s">
        <v>168</v>
      </c>
      <c r="AF129" t="s">
        <v>188</v>
      </c>
      <c r="AG129" t="s">
        <v>183</v>
      </c>
      <c r="AH129" t="s">
        <v>189</v>
      </c>
      <c r="AI129" s="119" t="s">
        <v>161</v>
      </c>
      <c r="AJ129" t="s">
        <v>162</v>
      </c>
      <c r="AK129" t="s">
        <v>61</v>
      </c>
      <c r="AL129" t="s">
        <v>168</v>
      </c>
      <c r="AM129" t="s">
        <v>189</v>
      </c>
      <c r="AN129" t="s">
        <v>167</v>
      </c>
      <c r="AO129" t="s">
        <v>162</v>
      </c>
      <c r="AP129" t="s">
        <v>240</v>
      </c>
    </row>
    <row r="130" spans="1:42" ht="15" x14ac:dyDescent="0.35">
      <c r="A130" s="119"/>
      <c r="K130" s="63"/>
      <c r="L130" s="84" t="s">
        <v>84</v>
      </c>
      <c r="M130" t="s">
        <v>62</v>
      </c>
      <c r="N130" s="101">
        <v>4.5</v>
      </c>
      <c r="O130">
        <v>47</v>
      </c>
      <c r="P130">
        <v>0.4</v>
      </c>
      <c r="Q130">
        <v>55</v>
      </c>
      <c r="R130">
        <v>1.5</v>
      </c>
      <c r="S130">
        <v>49</v>
      </c>
      <c r="T130">
        <v>0</v>
      </c>
      <c r="U130">
        <v>0</v>
      </c>
      <c r="V130">
        <v>0</v>
      </c>
      <c r="W130">
        <v>0</v>
      </c>
      <c r="AI130" s="119"/>
      <c r="AJ130" t="s">
        <v>62</v>
      </c>
    </row>
    <row r="131" spans="1:42" x14ac:dyDescent="0.25">
      <c r="A131" s="119"/>
      <c r="K131" s="63"/>
      <c r="N131" s="101"/>
      <c r="AI131" s="119" t="s">
        <v>64</v>
      </c>
      <c r="AJ131" t="s">
        <v>62</v>
      </c>
      <c r="AK131">
        <v>0</v>
      </c>
      <c r="AL131">
        <v>0</v>
      </c>
      <c r="AN131">
        <v>796.4</v>
      </c>
      <c r="AP131">
        <v>0</v>
      </c>
    </row>
    <row r="132" spans="1:42" ht="15" x14ac:dyDescent="0.35">
      <c r="A132" s="119"/>
      <c r="L132" s="84" t="s">
        <v>124</v>
      </c>
      <c r="M132" t="s">
        <v>62</v>
      </c>
      <c r="N132" s="101">
        <v>2.6</v>
      </c>
      <c r="O132">
        <v>48</v>
      </c>
      <c r="P132">
        <v>0.4</v>
      </c>
      <c r="Q132">
        <v>56</v>
      </c>
      <c r="R132">
        <v>0</v>
      </c>
      <c r="S132">
        <v>0</v>
      </c>
      <c r="T132">
        <v>0</v>
      </c>
      <c r="U132">
        <v>0</v>
      </c>
      <c r="V132">
        <v>0</v>
      </c>
      <c r="W132">
        <v>0</v>
      </c>
      <c r="AI132" s="119" t="s">
        <v>246</v>
      </c>
      <c r="AJ132" t="s">
        <v>62</v>
      </c>
      <c r="AK132">
        <v>0</v>
      </c>
      <c r="AL132">
        <v>0</v>
      </c>
      <c r="AN132">
        <v>68</v>
      </c>
      <c r="AP132">
        <v>0</v>
      </c>
    </row>
    <row r="133" spans="1:42" x14ac:dyDescent="0.25">
      <c r="A133" s="63"/>
      <c r="N133" s="101"/>
      <c r="AI133" s="119" t="s">
        <v>232</v>
      </c>
      <c r="AJ133" t="s">
        <v>62</v>
      </c>
      <c r="AK133">
        <v>0</v>
      </c>
      <c r="AL133">
        <v>0</v>
      </c>
      <c r="AN133">
        <v>33</v>
      </c>
      <c r="AP133">
        <v>0</v>
      </c>
    </row>
    <row r="134" spans="1:42" ht="15" x14ac:dyDescent="0.35">
      <c r="A134" s="63"/>
      <c r="L134" s="84" t="s">
        <v>154</v>
      </c>
      <c r="M134" t="s">
        <v>62</v>
      </c>
      <c r="N134" s="101">
        <v>2.1</v>
      </c>
      <c r="O134">
        <v>49</v>
      </c>
      <c r="P134">
        <v>0</v>
      </c>
      <c r="Q134">
        <v>0</v>
      </c>
      <c r="R134">
        <v>0</v>
      </c>
      <c r="S134">
        <v>0</v>
      </c>
      <c r="T134">
        <v>0</v>
      </c>
      <c r="U134">
        <v>0</v>
      </c>
      <c r="V134">
        <v>0</v>
      </c>
      <c r="W134">
        <v>0</v>
      </c>
      <c r="AI134" s="119" t="s">
        <v>230</v>
      </c>
      <c r="AJ134" t="s">
        <v>62</v>
      </c>
      <c r="AK134">
        <v>0</v>
      </c>
      <c r="AL134">
        <v>0</v>
      </c>
      <c r="AN134">
        <v>39.6</v>
      </c>
      <c r="AP134">
        <v>0</v>
      </c>
    </row>
    <row r="135" spans="1:42" x14ac:dyDescent="0.25">
      <c r="A135" s="63"/>
      <c r="N135" s="101"/>
      <c r="AI135" s="119" t="s">
        <v>65</v>
      </c>
      <c r="AJ135" t="s">
        <v>62</v>
      </c>
      <c r="AK135">
        <v>0</v>
      </c>
      <c r="AL135">
        <v>0</v>
      </c>
      <c r="AN135">
        <v>655.8</v>
      </c>
      <c r="AP135">
        <v>0</v>
      </c>
    </row>
    <row r="136" spans="1:42" ht="15" x14ac:dyDescent="0.35">
      <c r="A136" s="63"/>
      <c r="L136" s="84" t="s">
        <v>66</v>
      </c>
      <c r="M136" t="s">
        <v>62</v>
      </c>
      <c r="N136" s="101">
        <v>0.5</v>
      </c>
      <c r="O136">
        <v>50</v>
      </c>
      <c r="P136">
        <v>0.3</v>
      </c>
      <c r="Q136">
        <v>58</v>
      </c>
      <c r="R136">
        <v>0.4</v>
      </c>
      <c r="S136">
        <v>52</v>
      </c>
      <c r="T136">
        <v>0.4</v>
      </c>
      <c r="U136">
        <v>52</v>
      </c>
      <c r="V136">
        <v>0</v>
      </c>
      <c r="W136">
        <v>0</v>
      </c>
      <c r="AI136" s="119"/>
      <c r="AJ136" t="s">
        <v>62</v>
      </c>
    </row>
    <row r="137" spans="1:42" x14ac:dyDescent="0.25">
      <c r="A137" s="63"/>
      <c r="N137" s="101"/>
      <c r="AI137" s="119" t="s">
        <v>71</v>
      </c>
      <c r="AJ137" t="s">
        <v>62</v>
      </c>
      <c r="AK137">
        <v>23.7</v>
      </c>
      <c r="AL137">
        <v>66.8</v>
      </c>
      <c r="AN137">
        <v>305.60000000000002</v>
      </c>
      <c r="AP137">
        <v>870.3</v>
      </c>
    </row>
    <row r="138" spans="1:42" ht="15" x14ac:dyDescent="0.35">
      <c r="A138" s="63"/>
      <c r="L138" s="84" t="s">
        <v>128</v>
      </c>
      <c r="M138" t="s">
        <v>62</v>
      </c>
      <c r="N138" s="101">
        <v>0</v>
      </c>
      <c r="O138">
        <v>0</v>
      </c>
      <c r="P138">
        <v>44.5</v>
      </c>
      <c r="Q138">
        <v>33</v>
      </c>
      <c r="R138">
        <v>0</v>
      </c>
      <c r="S138">
        <v>0</v>
      </c>
      <c r="T138">
        <v>20.100000000000001</v>
      </c>
      <c r="U138">
        <v>39</v>
      </c>
      <c r="V138">
        <v>0</v>
      </c>
      <c r="W138">
        <v>0</v>
      </c>
      <c r="AI138" s="119"/>
      <c r="AJ138" t="s">
        <v>62</v>
      </c>
    </row>
    <row r="139" spans="1:42" x14ac:dyDescent="0.25">
      <c r="A139" s="63"/>
      <c r="N139" s="101"/>
      <c r="AI139" s="119" t="s">
        <v>72</v>
      </c>
      <c r="AJ139" t="s">
        <v>62</v>
      </c>
      <c r="AK139">
        <v>0</v>
      </c>
      <c r="AL139">
        <v>0</v>
      </c>
      <c r="AN139">
        <v>4.8</v>
      </c>
      <c r="AP139">
        <v>0</v>
      </c>
    </row>
    <row r="140" spans="1:42" ht="15" x14ac:dyDescent="0.35">
      <c r="A140" s="63"/>
      <c r="L140" s="84" t="s">
        <v>123</v>
      </c>
      <c r="M140" t="s">
        <v>62</v>
      </c>
      <c r="N140" s="101">
        <v>0</v>
      </c>
      <c r="O140">
        <v>0</v>
      </c>
      <c r="P140">
        <v>38.6</v>
      </c>
      <c r="Q140">
        <v>35</v>
      </c>
      <c r="R140">
        <v>33.5</v>
      </c>
      <c r="S140">
        <v>36</v>
      </c>
      <c r="T140">
        <v>0</v>
      </c>
      <c r="U140">
        <v>0</v>
      </c>
      <c r="V140">
        <v>0</v>
      </c>
      <c r="W140">
        <v>0</v>
      </c>
      <c r="AI140" s="119"/>
      <c r="AJ140" t="s">
        <v>62</v>
      </c>
    </row>
    <row r="141" spans="1:42" x14ac:dyDescent="0.25">
      <c r="A141" s="63"/>
      <c r="N141" s="101"/>
      <c r="AI141" s="119" t="s">
        <v>74</v>
      </c>
      <c r="AJ141" t="s">
        <v>62</v>
      </c>
      <c r="AK141">
        <v>0</v>
      </c>
      <c r="AL141">
        <v>8</v>
      </c>
      <c r="AN141">
        <v>125.5</v>
      </c>
      <c r="AP141">
        <v>6.2</v>
      </c>
    </row>
    <row r="142" spans="1:42" ht="15" x14ac:dyDescent="0.35">
      <c r="A142" s="63"/>
      <c r="L142" s="84" t="s">
        <v>94</v>
      </c>
      <c r="M142" t="s">
        <v>62</v>
      </c>
      <c r="N142" s="101">
        <v>0</v>
      </c>
      <c r="O142">
        <v>0</v>
      </c>
      <c r="P142">
        <v>23.9</v>
      </c>
      <c r="Q142">
        <v>40</v>
      </c>
      <c r="R142">
        <v>0</v>
      </c>
      <c r="S142">
        <v>0</v>
      </c>
      <c r="T142">
        <v>9.1</v>
      </c>
      <c r="U142">
        <v>47</v>
      </c>
      <c r="V142">
        <v>0</v>
      </c>
      <c r="W142">
        <v>0</v>
      </c>
      <c r="AI142" s="119" t="s">
        <v>78</v>
      </c>
      <c r="AJ142" t="s">
        <v>62</v>
      </c>
      <c r="AK142">
        <v>0</v>
      </c>
      <c r="AL142">
        <v>8</v>
      </c>
      <c r="AN142">
        <v>125.1</v>
      </c>
      <c r="AP142">
        <v>5.9</v>
      </c>
    </row>
    <row r="143" spans="1:42" x14ac:dyDescent="0.25">
      <c r="A143" s="63"/>
      <c r="N143" s="101"/>
      <c r="AI143" s="119" t="s">
        <v>80</v>
      </c>
      <c r="AJ143" t="s">
        <v>62</v>
      </c>
      <c r="AK143">
        <v>0</v>
      </c>
      <c r="AL143" t="s">
        <v>228</v>
      </c>
      <c r="AN143">
        <v>0.3</v>
      </c>
      <c r="AP143">
        <v>0.3</v>
      </c>
    </row>
    <row r="144" spans="1:42" ht="15" x14ac:dyDescent="0.35">
      <c r="A144" s="63"/>
      <c r="L144" s="84" t="s">
        <v>70</v>
      </c>
      <c r="M144" t="s">
        <v>62</v>
      </c>
      <c r="N144" s="101">
        <v>0</v>
      </c>
      <c r="O144">
        <v>0</v>
      </c>
      <c r="P144">
        <v>23.1</v>
      </c>
      <c r="Q144">
        <v>41</v>
      </c>
      <c r="R144">
        <v>0</v>
      </c>
      <c r="S144">
        <v>0</v>
      </c>
      <c r="T144">
        <v>13.2</v>
      </c>
      <c r="U144">
        <v>41</v>
      </c>
      <c r="V144">
        <v>12.6</v>
      </c>
      <c r="W144">
        <v>35</v>
      </c>
      <c r="AI144" s="119" t="s">
        <v>165</v>
      </c>
      <c r="AJ144" t="s">
        <v>62</v>
      </c>
      <c r="AK144">
        <v>0</v>
      </c>
      <c r="AL144">
        <v>0</v>
      </c>
      <c r="AN144">
        <v>0.1</v>
      </c>
      <c r="AP144">
        <v>0</v>
      </c>
    </row>
    <row r="145" spans="1:42" x14ac:dyDescent="0.25">
      <c r="A145" s="63"/>
      <c r="N145" s="101"/>
      <c r="AI145" s="119"/>
      <c r="AJ145" t="s">
        <v>62</v>
      </c>
    </row>
    <row r="146" spans="1:42" ht="15" x14ac:dyDescent="0.35">
      <c r="A146" s="63"/>
      <c r="L146" s="84" t="s">
        <v>122</v>
      </c>
      <c r="M146" t="s">
        <v>62</v>
      </c>
      <c r="N146" s="101">
        <v>0</v>
      </c>
      <c r="O146">
        <v>0</v>
      </c>
      <c r="P146">
        <v>22.6</v>
      </c>
      <c r="Q146">
        <v>42</v>
      </c>
      <c r="R146">
        <v>0</v>
      </c>
      <c r="S146">
        <v>0</v>
      </c>
      <c r="T146">
        <v>0</v>
      </c>
      <c r="U146">
        <v>0</v>
      </c>
      <c r="V146">
        <v>0</v>
      </c>
      <c r="W146">
        <v>0</v>
      </c>
      <c r="AI146" s="119" t="s">
        <v>88</v>
      </c>
      <c r="AJ146" t="s">
        <v>62</v>
      </c>
      <c r="AK146">
        <v>0</v>
      </c>
      <c r="AL146">
        <v>0</v>
      </c>
      <c r="AN146">
        <v>111.9</v>
      </c>
      <c r="AP146">
        <v>97.6</v>
      </c>
    </row>
    <row r="147" spans="1:42" x14ac:dyDescent="0.25">
      <c r="A147" s="63"/>
      <c r="N147" s="101"/>
      <c r="AI147" s="119" t="s">
        <v>93</v>
      </c>
      <c r="AJ147" t="s">
        <v>62</v>
      </c>
      <c r="AK147">
        <v>0</v>
      </c>
      <c r="AL147">
        <v>0</v>
      </c>
      <c r="AN147">
        <v>111.9</v>
      </c>
      <c r="AP147">
        <v>97.6</v>
      </c>
    </row>
    <row r="148" spans="1:42" ht="15" x14ac:dyDescent="0.35">
      <c r="A148" s="63"/>
      <c r="L148" s="84" t="s">
        <v>105</v>
      </c>
      <c r="M148" t="s">
        <v>62</v>
      </c>
      <c r="N148" s="101">
        <v>0</v>
      </c>
      <c r="O148">
        <v>0</v>
      </c>
      <c r="P148">
        <v>10.8</v>
      </c>
      <c r="Q148">
        <v>44</v>
      </c>
      <c r="R148">
        <v>4.7</v>
      </c>
      <c r="S148">
        <v>44</v>
      </c>
      <c r="T148">
        <v>10.5</v>
      </c>
      <c r="U148">
        <v>43</v>
      </c>
      <c r="V148">
        <v>0</v>
      </c>
      <c r="W148">
        <v>0</v>
      </c>
      <c r="AI148" s="119"/>
      <c r="AJ148" t="s">
        <v>62</v>
      </c>
    </row>
    <row r="149" spans="1:42" x14ac:dyDescent="0.25">
      <c r="A149" s="63"/>
      <c r="N149" s="101"/>
      <c r="AI149" s="119" t="s">
        <v>96</v>
      </c>
      <c r="AJ149" t="s">
        <v>62</v>
      </c>
      <c r="AK149">
        <v>148.9</v>
      </c>
      <c r="AL149">
        <v>119.1</v>
      </c>
      <c r="AN149">
        <v>1990.8</v>
      </c>
      <c r="AP149">
        <v>2270.3000000000002</v>
      </c>
    </row>
    <row r="150" spans="1:42" ht="15" x14ac:dyDescent="0.35">
      <c r="A150" s="63"/>
      <c r="L150" s="84" t="s">
        <v>91</v>
      </c>
      <c r="M150" t="s">
        <v>62</v>
      </c>
      <c r="N150" s="101">
        <v>0</v>
      </c>
      <c r="O150">
        <v>0</v>
      </c>
      <c r="P150">
        <v>8.1</v>
      </c>
      <c r="Q150">
        <v>48</v>
      </c>
      <c r="R150">
        <v>0</v>
      </c>
      <c r="S150">
        <v>0</v>
      </c>
      <c r="T150">
        <v>0</v>
      </c>
      <c r="U150">
        <v>0</v>
      </c>
      <c r="V150">
        <v>0</v>
      </c>
      <c r="W150">
        <v>0</v>
      </c>
      <c r="AI150" s="119" t="s">
        <v>99</v>
      </c>
      <c r="AJ150" t="s">
        <v>62</v>
      </c>
      <c r="AK150">
        <v>0</v>
      </c>
      <c r="AL150">
        <v>0</v>
      </c>
      <c r="AN150">
        <v>0.2</v>
      </c>
      <c r="AP150">
        <v>1</v>
      </c>
    </row>
    <row r="151" spans="1:42" x14ac:dyDescent="0.25">
      <c r="A151" s="63"/>
      <c r="N151" s="101"/>
      <c r="AI151" s="119" t="s">
        <v>100</v>
      </c>
      <c r="AJ151" t="s">
        <v>62</v>
      </c>
      <c r="AK151">
        <v>0</v>
      </c>
      <c r="AL151">
        <v>0</v>
      </c>
      <c r="AN151">
        <v>6.3</v>
      </c>
      <c r="AP151">
        <v>0</v>
      </c>
    </row>
    <row r="152" spans="1:42" ht="15" x14ac:dyDescent="0.35">
      <c r="A152" s="63"/>
      <c r="L152" s="84" t="s">
        <v>117</v>
      </c>
      <c r="M152" t="s">
        <v>62</v>
      </c>
      <c r="N152" s="101">
        <v>0</v>
      </c>
      <c r="O152">
        <v>0</v>
      </c>
      <c r="P152">
        <v>7.9</v>
      </c>
      <c r="Q152">
        <v>50</v>
      </c>
      <c r="R152">
        <v>0</v>
      </c>
      <c r="S152">
        <v>0</v>
      </c>
      <c r="T152">
        <v>0</v>
      </c>
      <c r="U152">
        <v>0</v>
      </c>
      <c r="V152">
        <v>0</v>
      </c>
      <c r="W152">
        <v>0</v>
      </c>
      <c r="AI152" s="119" t="s">
        <v>110</v>
      </c>
      <c r="AJ152" t="s">
        <v>62</v>
      </c>
      <c r="AK152">
        <v>148.9</v>
      </c>
      <c r="AL152">
        <v>119.1</v>
      </c>
      <c r="AN152">
        <v>1984.3</v>
      </c>
      <c r="AP152">
        <v>2269.3000000000002</v>
      </c>
    </row>
    <row r="153" spans="1:42" x14ac:dyDescent="0.25">
      <c r="A153" s="63"/>
      <c r="N153" s="101"/>
      <c r="AI153" s="119" t="s">
        <v>161</v>
      </c>
      <c r="AJ153" t="s">
        <v>162</v>
      </c>
      <c r="AK153" t="s">
        <v>61</v>
      </c>
      <c r="AL153" t="s">
        <v>168</v>
      </c>
      <c r="AM153" t="s">
        <v>189</v>
      </c>
      <c r="AN153" t="s">
        <v>167</v>
      </c>
      <c r="AO153" t="s">
        <v>162</v>
      </c>
      <c r="AP153" t="s">
        <v>240</v>
      </c>
    </row>
    <row r="154" spans="1:42" ht="15" x14ac:dyDescent="0.35">
      <c r="A154" s="63"/>
      <c r="L154" s="84" t="s">
        <v>120</v>
      </c>
      <c r="M154" t="s">
        <v>62</v>
      </c>
      <c r="N154" s="101">
        <v>0</v>
      </c>
      <c r="O154">
        <v>0</v>
      </c>
      <c r="P154">
        <v>5.9</v>
      </c>
      <c r="Q154">
        <v>52</v>
      </c>
      <c r="R154">
        <v>0</v>
      </c>
      <c r="S154">
        <v>0</v>
      </c>
      <c r="T154">
        <v>0</v>
      </c>
      <c r="U154">
        <v>0</v>
      </c>
      <c r="V154">
        <v>0</v>
      </c>
      <c r="W154">
        <v>0</v>
      </c>
      <c r="AI154" s="119" t="s">
        <v>134</v>
      </c>
      <c r="AJ154" t="s">
        <v>62</v>
      </c>
      <c r="AK154">
        <v>172.6</v>
      </c>
      <c r="AL154">
        <v>193.9</v>
      </c>
      <c r="AN154">
        <v>3334.9</v>
      </c>
      <c r="AP154">
        <v>3244.4</v>
      </c>
    </row>
    <row r="155" spans="1:42" x14ac:dyDescent="0.25">
      <c r="N155" s="101"/>
      <c r="AI155" s="119" t="s">
        <v>135</v>
      </c>
      <c r="AJ155" t="s">
        <v>62</v>
      </c>
      <c r="AK155">
        <v>0</v>
      </c>
      <c r="AL155">
        <v>197.7</v>
      </c>
      <c r="AN155">
        <v>0</v>
      </c>
      <c r="AP155">
        <v>0</v>
      </c>
    </row>
    <row r="156" spans="1:42" ht="15" x14ac:dyDescent="0.35">
      <c r="L156" s="84" t="s">
        <v>121</v>
      </c>
      <c r="M156" t="s">
        <v>62</v>
      </c>
      <c r="N156" s="101">
        <v>0</v>
      </c>
      <c r="O156">
        <v>0</v>
      </c>
      <c r="P156">
        <v>3.6</v>
      </c>
      <c r="Q156">
        <v>53</v>
      </c>
      <c r="R156">
        <v>7.1</v>
      </c>
      <c r="S156">
        <v>43</v>
      </c>
      <c r="T156">
        <v>5.5</v>
      </c>
      <c r="U156">
        <v>51</v>
      </c>
      <c r="V156">
        <v>3.5</v>
      </c>
      <c r="W156">
        <v>43</v>
      </c>
      <c r="AI156" s="119" t="s">
        <v>161</v>
      </c>
      <c r="AJ156" t="s">
        <v>162</v>
      </c>
      <c r="AK156" t="s">
        <v>61</v>
      </c>
      <c r="AL156" t="s">
        <v>168</v>
      </c>
      <c r="AM156" t="s">
        <v>189</v>
      </c>
      <c r="AN156" t="s">
        <v>167</v>
      </c>
      <c r="AO156" t="s">
        <v>162</v>
      </c>
      <c r="AP156" t="s">
        <v>240</v>
      </c>
    </row>
    <row r="157" spans="1:42" x14ac:dyDescent="0.25">
      <c r="N157" s="101"/>
      <c r="AI157" s="119" t="s">
        <v>136</v>
      </c>
      <c r="AJ157" t="s">
        <v>62</v>
      </c>
      <c r="AK157">
        <v>172.6</v>
      </c>
      <c r="AL157">
        <v>391.5</v>
      </c>
      <c r="AN157">
        <v>3334.9</v>
      </c>
      <c r="AP157">
        <v>3244.4</v>
      </c>
    </row>
    <row r="158" spans="1:42" ht="15" x14ac:dyDescent="0.35">
      <c r="L158" s="84" t="s">
        <v>148</v>
      </c>
      <c r="M158" t="s">
        <v>62</v>
      </c>
      <c r="N158" s="101">
        <v>0</v>
      </c>
      <c r="O158">
        <v>0</v>
      </c>
      <c r="P158">
        <v>2</v>
      </c>
      <c r="Q158">
        <v>54</v>
      </c>
      <c r="R158">
        <v>0</v>
      </c>
      <c r="S158">
        <v>0</v>
      </c>
      <c r="T158">
        <v>0</v>
      </c>
      <c r="U158">
        <v>0</v>
      </c>
      <c r="V158">
        <v>0</v>
      </c>
      <c r="W158">
        <v>0</v>
      </c>
      <c r="AI158" s="119" t="s">
        <v>137</v>
      </c>
      <c r="AJ158" t="s">
        <v>62</v>
      </c>
      <c r="AK158" t="s">
        <v>60</v>
      </c>
      <c r="AL158" t="s">
        <v>60</v>
      </c>
      <c r="AN158">
        <v>0</v>
      </c>
      <c r="AP158">
        <v>0</v>
      </c>
    </row>
    <row r="159" spans="1:42" x14ac:dyDescent="0.25">
      <c r="N159" s="101"/>
      <c r="AI159" s="119" t="s">
        <v>138</v>
      </c>
      <c r="AJ159" t="s">
        <v>62</v>
      </c>
      <c r="AK159">
        <v>0</v>
      </c>
      <c r="AL159">
        <v>0</v>
      </c>
      <c r="AN159" t="s">
        <v>60</v>
      </c>
      <c r="AP159" t="s">
        <v>60</v>
      </c>
    </row>
    <row r="160" spans="1:42" ht="15" x14ac:dyDescent="0.35">
      <c r="L160" s="84" t="s">
        <v>129</v>
      </c>
      <c r="M160" t="s">
        <v>62</v>
      </c>
      <c r="N160" s="101">
        <v>0</v>
      </c>
      <c r="O160">
        <v>0</v>
      </c>
      <c r="P160">
        <v>0.3</v>
      </c>
      <c r="Q160">
        <v>57</v>
      </c>
      <c r="R160">
        <v>0.7</v>
      </c>
      <c r="S160">
        <v>50</v>
      </c>
      <c r="T160">
        <v>0.3</v>
      </c>
      <c r="U160">
        <v>53</v>
      </c>
      <c r="V160">
        <v>0</v>
      </c>
      <c r="W160">
        <v>0</v>
      </c>
      <c r="AI160" s="119" t="s">
        <v>161</v>
      </c>
      <c r="AJ160" t="s">
        <v>162</v>
      </c>
      <c r="AK160" t="s">
        <v>61</v>
      </c>
      <c r="AL160" t="s">
        <v>168</v>
      </c>
      <c r="AM160" t="s">
        <v>189</v>
      </c>
      <c r="AN160" t="s">
        <v>167</v>
      </c>
      <c r="AO160" t="s">
        <v>162</v>
      </c>
      <c r="AP160" t="s">
        <v>240</v>
      </c>
    </row>
    <row r="161" spans="12:42" x14ac:dyDescent="0.25">
      <c r="N161" s="101"/>
      <c r="AI161" s="119"/>
    </row>
    <row r="162" spans="12:42" ht="15" x14ac:dyDescent="0.35">
      <c r="L162" s="84" t="s">
        <v>133</v>
      </c>
      <c r="M162" t="s">
        <v>62</v>
      </c>
      <c r="N162" s="101">
        <v>0</v>
      </c>
      <c r="O162">
        <v>0</v>
      </c>
      <c r="P162">
        <v>0.1</v>
      </c>
      <c r="Q162">
        <v>59</v>
      </c>
      <c r="R162">
        <v>0</v>
      </c>
      <c r="S162">
        <v>0</v>
      </c>
      <c r="T162">
        <v>0</v>
      </c>
      <c r="U162">
        <v>0</v>
      </c>
      <c r="V162">
        <v>0</v>
      </c>
      <c r="W162">
        <v>0</v>
      </c>
      <c r="AI162" s="119"/>
    </row>
    <row r="163" spans="12:42" x14ac:dyDescent="0.25">
      <c r="N163" s="101"/>
      <c r="AI163" s="119" t="s">
        <v>235</v>
      </c>
    </row>
    <row r="164" spans="12:42" ht="15" x14ac:dyDescent="0.35">
      <c r="L164" s="84" t="s">
        <v>155</v>
      </c>
      <c r="M164" t="s">
        <v>62</v>
      </c>
      <c r="N164" s="101">
        <v>0</v>
      </c>
      <c r="O164">
        <v>0</v>
      </c>
      <c r="P164">
        <v>0</v>
      </c>
      <c r="Q164">
        <v>0</v>
      </c>
      <c r="R164">
        <v>31.5</v>
      </c>
      <c r="S164">
        <v>37</v>
      </c>
      <c r="T164">
        <v>0</v>
      </c>
      <c r="U164">
        <v>0</v>
      </c>
      <c r="V164">
        <v>0</v>
      </c>
      <c r="W164">
        <v>0</v>
      </c>
      <c r="AI164" s="119" t="s">
        <v>156</v>
      </c>
      <c r="AJ164" t="s">
        <v>157</v>
      </c>
      <c r="AK164" t="s">
        <v>158</v>
      </c>
      <c r="AL164" t="s">
        <v>184</v>
      </c>
      <c r="AM164" t="s">
        <v>236</v>
      </c>
      <c r="AN164" t="s">
        <v>237</v>
      </c>
      <c r="AO164" t="s">
        <v>157</v>
      </c>
      <c r="AP164" t="s">
        <v>186</v>
      </c>
    </row>
    <row r="165" spans="12:42" x14ac:dyDescent="0.25">
      <c r="N165" s="101"/>
      <c r="AI165" s="119" t="s">
        <v>196</v>
      </c>
      <c r="AJ165" t="s">
        <v>159</v>
      </c>
      <c r="AK165" t="s">
        <v>160</v>
      </c>
      <c r="AL165" t="s">
        <v>187</v>
      </c>
      <c r="AM165" t="s">
        <v>238</v>
      </c>
      <c r="AN165" t="s">
        <v>239</v>
      </c>
      <c r="AO165">
        <v>11</v>
      </c>
    </row>
    <row r="166" spans="12:42" ht="15" x14ac:dyDescent="0.35">
      <c r="L166" s="84" t="s">
        <v>149</v>
      </c>
      <c r="M166" t="s">
        <v>62</v>
      </c>
      <c r="N166" s="101">
        <v>0</v>
      </c>
      <c r="O166">
        <v>0</v>
      </c>
      <c r="P166">
        <v>0</v>
      </c>
      <c r="Q166">
        <v>0</v>
      </c>
      <c r="R166">
        <v>7.1</v>
      </c>
      <c r="S166">
        <v>42</v>
      </c>
      <c r="T166">
        <v>0</v>
      </c>
      <c r="U166">
        <v>0</v>
      </c>
      <c r="V166">
        <v>0</v>
      </c>
      <c r="W166">
        <v>0</v>
      </c>
      <c r="AI166" s="119" t="s">
        <v>59</v>
      </c>
    </row>
    <row r="167" spans="12:42" x14ac:dyDescent="0.25">
      <c r="N167" s="101"/>
      <c r="AI167" s="119" t="s">
        <v>161</v>
      </c>
      <c r="AJ167" t="s">
        <v>162</v>
      </c>
      <c r="AK167" t="s">
        <v>61</v>
      </c>
      <c r="AL167" t="s">
        <v>168</v>
      </c>
      <c r="AM167" t="s">
        <v>189</v>
      </c>
      <c r="AN167" t="s">
        <v>167</v>
      </c>
      <c r="AO167" t="s">
        <v>162</v>
      </c>
      <c r="AP167" t="s">
        <v>240</v>
      </c>
    </row>
    <row r="168" spans="12:42" ht="15" x14ac:dyDescent="0.35">
      <c r="L168" s="84" t="s">
        <v>153</v>
      </c>
      <c r="M168" t="s">
        <v>62</v>
      </c>
      <c r="N168" s="101">
        <v>0</v>
      </c>
      <c r="O168">
        <v>0</v>
      </c>
      <c r="P168">
        <v>0</v>
      </c>
      <c r="Q168">
        <v>0</v>
      </c>
      <c r="R168">
        <v>4</v>
      </c>
      <c r="S168">
        <v>47</v>
      </c>
      <c r="T168">
        <v>6.3</v>
      </c>
      <c r="U168">
        <v>48</v>
      </c>
      <c r="V168">
        <v>14.1</v>
      </c>
      <c r="W168">
        <v>34</v>
      </c>
      <c r="AI168" s="119"/>
      <c r="AJ168" t="s">
        <v>62</v>
      </c>
      <c r="AK168" t="s">
        <v>163</v>
      </c>
      <c r="AL168" t="s">
        <v>190</v>
      </c>
      <c r="AM168" t="s">
        <v>62</v>
      </c>
      <c r="AN168" t="s">
        <v>241</v>
      </c>
      <c r="AO168" t="s">
        <v>242</v>
      </c>
      <c r="AP168" t="s">
        <v>175</v>
      </c>
    </row>
    <row r="169" spans="12:42" x14ac:dyDescent="0.25">
      <c r="N169" s="101"/>
      <c r="AI169" s="119"/>
      <c r="AJ169" t="s">
        <v>62</v>
      </c>
      <c r="AK169" t="s">
        <v>61</v>
      </c>
      <c r="AL169" t="s">
        <v>168</v>
      </c>
      <c r="AM169" t="s">
        <v>189</v>
      </c>
      <c r="AN169" t="s">
        <v>167</v>
      </c>
      <c r="AO169" t="s">
        <v>162</v>
      </c>
      <c r="AP169" t="s">
        <v>240</v>
      </c>
    </row>
    <row r="170" spans="12:42" ht="15" x14ac:dyDescent="0.35">
      <c r="L170" s="84" t="s">
        <v>73</v>
      </c>
      <c r="M170" t="s">
        <v>62</v>
      </c>
      <c r="N170" s="101">
        <v>0</v>
      </c>
      <c r="O170">
        <v>0</v>
      </c>
      <c r="P170">
        <v>0</v>
      </c>
      <c r="Q170">
        <v>0</v>
      </c>
      <c r="R170">
        <v>2.7</v>
      </c>
      <c r="S170">
        <v>48</v>
      </c>
      <c r="T170">
        <v>54.2</v>
      </c>
      <c r="U170">
        <v>35</v>
      </c>
      <c r="V170">
        <v>0</v>
      </c>
      <c r="W170">
        <v>0</v>
      </c>
      <c r="AI170" s="119" t="s">
        <v>63</v>
      </c>
      <c r="AJ170" t="s">
        <v>62</v>
      </c>
      <c r="AK170" t="s">
        <v>196</v>
      </c>
      <c r="AL170" t="s">
        <v>243</v>
      </c>
      <c r="AM170" t="s">
        <v>62</v>
      </c>
      <c r="AN170" t="s">
        <v>196</v>
      </c>
      <c r="AO170" t="s">
        <v>62</v>
      </c>
      <c r="AP170" t="s">
        <v>244</v>
      </c>
    </row>
    <row r="171" spans="12:42" x14ac:dyDescent="0.25">
      <c r="N171" s="101"/>
      <c r="AI171" s="119" t="s">
        <v>161</v>
      </c>
      <c r="AJ171" t="s">
        <v>162</v>
      </c>
      <c r="AK171" t="s">
        <v>61</v>
      </c>
      <c r="AL171" t="s">
        <v>168</v>
      </c>
      <c r="AM171" t="s">
        <v>189</v>
      </c>
      <c r="AN171" t="s">
        <v>167</v>
      </c>
      <c r="AO171" t="s">
        <v>162</v>
      </c>
      <c r="AP171" t="s">
        <v>240</v>
      </c>
    </row>
    <row r="172" spans="12:42" ht="15" x14ac:dyDescent="0.35">
      <c r="L172" s="84" t="s">
        <v>151</v>
      </c>
      <c r="M172" t="s">
        <v>62</v>
      </c>
      <c r="N172" s="101">
        <v>0</v>
      </c>
      <c r="O172">
        <v>0</v>
      </c>
      <c r="P172">
        <v>0</v>
      </c>
      <c r="Q172">
        <v>0</v>
      </c>
      <c r="R172">
        <v>0.5</v>
      </c>
      <c r="S172">
        <v>51</v>
      </c>
      <c r="T172">
        <v>0</v>
      </c>
      <c r="U172">
        <v>0</v>
      </c>
      <c r="V172">
        <v>0</v>
      </c>
      <c r="W172">
        <v>0</v>
      </c>
      <c r="AI172" s="119"/>
      <c r="AJ172" t="s">
        <v>62</v>
      </c>
    </row>
    <row r="173" spans="12:42" x14ac:dyDescent="0.25">
      <c r="N173" s="101"/>
      <c r="AI173" s="119" t="s">
        <v>64</v>
      </c>
      <c r="AJ173" t="s">
        <v>62</v>
      </c>
      <c r="AK173" t="s">
        <v>228</v>
      </c>
      <c r="AL173">
        <v>5.0999999999999996</v>
      </c>
      <c r="AN173">
        <v>2599.3000000000002</v>
      </c>
      <c r="AP173">
        <v>2697.9</v>
      </c>
    </row>
    <row r="174" spans="12:42" ht="15" x14ac:dyDescent="0.35">
      <c r="L174" s="84" t="s">
        <v>178</v>
      </c>
      <c r="M174" t="s">
        <v>62</v>
      </c>
      <c r="N174" s="101">
        <v>0</v>
      </c>
      <c r="O174">
        <v>0</v>
      </c>
      <c r="P174">
        <v>0</v>
      </c>
      <c r="Q174">
        <v>0</v>
      </c>
      <c r="R174">
        <v>0</v>
      </c>
      <c r="S174">
        <v>0</v>
      </c>
      <c r="T174">
        <v>141.80000000000001</v>
      </c>
      <c r="U174">
        <v>30</v>
      </c>
      <c r="V174">
        <v>0</v>
      </c>
      <c r="W174">
        <v>0</v>
      </c>
      <c r="AI174" s="119" t="s">
        <v>247</v>
      </c>
      <c r="AJ174" t="s">
        <v>62</v>
      </c>
      <c r="AK174">
        <v>0</v>
      </c>
      <c r="AL174">
        <v>0</v>
      </c>
      <c r="AN174">
        <v>0</v>
      </c>
      <c r="AP174">
        <v>34.799999999999997</v>
      </c>
    </row>
    <row r="175" spans="12:42" x14ac:dyDescent="0.25">
      <c r="N175" s="101"/>
      <c r="AI175" s="119" t="s">
        <v>248</v>
      </c>
      <c r="AJ175" t="s">
        <v>62</v>
      </c>
      <c r="AK175">
        <v>0</v>
      </c>
      <c r="AL175">
        <v>0</v>
      </c>
      <c r="AN175">
        <v>0</v>
      </c>
      <c r="AP175">
        <v>0.2</v>
      </c>
    </row>
    <row r="176" spans="12:42" ht="15" x14ac:dyDescent="0.35">
      <c r="L176" s="84" t="s">
        <v>179</v>
      </c>
      <c r="M176" t="s">
        <v>62</v>
      </c>
      <c r="N176" s="101">
        <v>0</v>
      </c>
      <c r="O176">
        <v>0</v>
      </c>
      <c r="P176">
        <v>0</v>
      </c>
      <c r="Q176">
        <v>0</v>
      </c>
      <c r="R176">
        <v>0</v>
      </c>
      <c r="S176">
        <v>0</v>
      </c>
      <c r="T176">
        <v>5.6</v>
      </c>
      <c r="U176">
        <v>50</v>
      </c>
      <c r="V176">
        <v>0</v>
      </c>
      <c r="W176">
        <v>0</v>
      </c>
      <c r="AI176" s="119" t="s">
        <v>246</v>
      </c>
      <c r="AJ176" t="s">
        <v>62</v>
      </c>
      <c r="AK176">
        <v>0</v>
      </c>
      <c r="AL176">
        <v>0</v>
      </c>
      <c r="AN176">
        <v>234.5</v>
      </c>
      <c r="AP176">
        <v>225</v>
      </c>
    </row>
    <row r="177" spans="12:42" x14ac:dyDescent="0.25">
      <c r="N177" s="101"/>
      <c r="AI177" s="119" t="s">
        <v>129</v>
      </c>
      <c r="AJ177" t="s">
        <v>62</v>
      </c>
      <c r="AK177">
        <v>0</v>
      </c>
      <c r="AL177">
        <v>0</v>
      </c>
      <c r="AN177">
        <v>352.8</v>
      </c>
      <c r="AP177">
        <v>657.4</v>
      </c>
    </row>
    <row r="178" spans="12:42" ht="15" x14ac:dyDescent="0.35">
      <c r="L178" s="84" t="s">
        <v>180</v>
      </c>
      <c r="M178" t="s">
        <v>62</v>
      </c>
      <c r="N178" s="101">
        <v>0</v>
      </c>
      <c r="O178">
        <v>0</v>
      </c>
      <c r="P178">
        <v>0</v>
      </c>
      <c r="Q178">
        <v>0</v>
      </c>
      <c r="R178">
        <v>0</v>
      </c>
      <c r="S178">
        <v>0</v>
      </c>
      <c r="T178">
        <v>0</v>
      </c>
      <c r="U178">
        <v>0</v>
      </c>
      <c r="V178">
        <v>7.5</v>
      </c>
      <c r="W178">
        <v>40</v>
      </c>
      <c r="AI178" s="119" t="s">
        <v>249</v>
      </c>
      <c r="AJ178" t="s">
        <v>62</v>
      </c>
      <c r="AK178">
        <v>0</v>
      </c>
      <c r="AL178">
        <v>0</v>
      </c>
      <c r="AN178">
        <v>38.6</v>
      </c>
      <c r="AP178">
        <v>22.4</v>
      </c>
    </row>
    <row r="179" spans="12:42" x14ac:dyDescent="0.25">
      <c r="N179" s="101"/>
      <c r="AI179" s="119" t="s">
        <v>229</v>
      </c>
      <c r="AJ179" t="s">
        <v>62</v>
      </c>
      <c r="AK179">
        <v>0</v>
      </c>
      <c r="AL179">
        <v>5</v>
      </c>
      <c r="AN179">
        <v>12.7</v>
      </c>
      <c r="AP179">
        <v>13.4</v>
      </c>
    </row>
    <row r="180" spans="12:42" ht="15" x14ac:dyDescent="0.35">
      <c r="L180" s="84" t="s">
        <v>181</v>
      </c>
      <c r="M180" t="s">
        <v>62</v>
      </c>
      <c r="N180" s="101">
        <v>0</v>
      </c>
      <c r="O180">
        <v>0</v>
      </c>
      <c r="P180">
        <v>0</v>
      </c>
      <c r="Q180">
        <v>0</v>
      </c>
      <c r="R180">
        <v>0</v>
      </c>
      <c r="S180">
        <v>0</v>
      </c>
      <c r="T180">
        <v>0</v>
      </c>
      <c r="U180">
        <v>0</v>
      </c>
      <c r="V180">
        <v>4.2</v>
      </c>
      <c r="W180">
        <v>42</v>
      </c>
      <c r="AI180" s="119" t="s">
        <v>232</v>
      </c>
      <c r="AJ180" t="s">
        <v>62</v>
      </c>
      <c r="AK180">
        <v>0</v>
      </c>
      <c r="AL180">
        <v>0</v>
      </c>
      <c r="AN180">
        <v>18.2</v>
      </c>
      <c r="AP180">
        <v>195.5</v>
      </c>
    </row>
    <row r="181" spans="12:42" x14ac:dyDescent="0.25">
      <c r="N181" s="101"/>
      <c r="AI181" s="119" t="s">
        <v>230</v>
      </c>
      <c r="AJ181" t="s">
        <v>62</v>
      </c>
      <c r="AK181">
        <v>0</v>
      </c>
      <c r="AL181">
        <v>0</v>
      </c>
      <c r="AN181">
        <v>970</v>
      </c>
      <c r="AP181">
        <v>803.6</v>
      </c>
    </row>
    <row r="182" spans="12:42" ht="15" x14ac:dyDescent="0.35">
      <c r="L182" s="84" t="s">
        <v>167</v>
      </c>
      <c r="M182" t="s">
        <v>60</v>
      </c>
      <c r="N182" s="101" t="s">
        <v>167</v>
      </c>
      <c r="O182" t="s">
        <v>177</v>
      </c>
      <c r="P182" t="s">
        <v>167</v>
      </c>
      <c r="Q182" t="s">
        <v>177</v>
      </c>
      <c r="R182" t="s">
        <v>167</v>
      </c>
      <c r="S182" t="s">
        <v>177</v>
      </c>
      <c r="T182" t="s">
        <v>167</v>
      </c>
      <c r="U182" t="s">
        <v>177</v>
      </c>
      <c r="V182" t="s">
        <v>167</v>
      </c>
      <c r="W182" t="s">
        <v>177</v>
      </c>
      <c r="AI182" s="119" t="s">
        <v>181</v>
      </c>
      <c r="AJ182" t="s">
        <v>62</v>
      </c>
      <c r="AK182">
        <v>0</v>
      </c>
      <c r="AL182">
        <v>0</v>
      </c>
      <c r="AN182">
        <v>41.8</v>
      </c>
      <c r="AP182">
        <v>52.4</v>
      </c>
    </row>
    <row r="183" spans="12:42" ht="15" x14ac:dyDescent="0.35">
      <c r="L183" s="84" t="s">
        <v>182</v>
      </c>
      <c r="M183" t="s">
        <v>62</v>
      </c>
      <c r="N183" s="101">
        <v>45213.9</v>
      </c>
      <c r="P183">
        <v>59968.1</v>
      </c>
      <c r="R183">
        <v>54068.7</v>
      </c>
      <c r="T183">
        <v>54353.599999999999</v>
      </c>
      <c r="V183">
        <v>45414</v>
      </c>
      <c r="AI183" s="119" t="s">
        <v>155</v>
      </c>
      <c r="AJ183" t="s">
        <v>62</v>
      </c>
      <c r="AK183">
        <v>0</v>
      </c>
      <c r="AL183">
        <v>0</v>
      </c>
      <c r="AN183">
        <v>0</v>
      </c>
      <c r="AP183">
        <v>17.100000000000001</v>
      </c>
    </row>
    <row r="184" spans="12:42" x14ac:dyDescent="0.25">
      <c r="N184" s="101"/>
      <c r="AI184" s="119" t="s">
        <v>65</v>
      </c>
      <c r="AJ184" t="s">
        <v>62</v>
      </c>
      <c r="AK184" t="s">
        <v>228</v>
      </c>
      <c r="AL184">
        <v>0.1</v>
      </c>
      <c r="AN184">
        <v>855.8</v>
      </c>
      <c r="AP184">
        <v>626.70000000000005</v>
      </c>
    </row>
    <row r="185" spans="12:42" ht="15" x14ac:dyDescent="0.35">
      <c r="L185" s="84" t="s">
        <v>167</v>
      </c>
      <c r="M185" t="s">
        <v>60</v>
      </c>
      <c r="N185" t="s">
        <v>167</v>
      </c>
      <c r="O185" t="s">
        <v>177</v>
      </c>
      <c r="P185" t="s">
        <v>167</v>
      </c>
      <c r="Q185" t="s">
        <v>177</v>
      </c>
      <c r="R185" t="s">
        <v>167</v>
      </c>
      <c r="S185" t="s">
        <v>177</v>
      </c>
      <c r="T185" t="s">
        <v>167</v>
      </c>
      <c r="U185" t="s">
        <v>177</v>
      </c>
      <c r="V185" t="s">
        <v>167</v>
      </c>
      <c r="W185" t="s">
        <v>177</v>
      </c>
      <c r="AI185" s="119" t="s">
        <v>250</v>
      </c>
      <c r="AJ185" t="s">
        <v>62</v>
      </c>
      <c r="AK185">
        <v>0</v>
      </c>
      <c r="AL185">
        <v>0</v>
      </c>
      <c r="AN185" t="s">
        <v>228</v>
      </c>
      <c r="AP185">
        <v>0</v>
      </c>
    </row>
    <row r="186" spans="12:42" x14ac:dyDescent="0.25">
      <c r="AI186" s="119" t="s">
        <v>66</v>
      </c>
      <c r="AJ186" t="s">
        <v>62</v>
      </c>
      <c r="AK186">
        <v>0</v>
      </c>
      <c r="AL186">
        <v>0</v>
      </c>
      <c r="AN186">
        <v>75</v>
      </c>
      <c r="AP186">
        <v>49.5</v>
      </c>
    </row>
    <row r="187" spans="12:42" x14ac:dyDescent="0.25">
      <c r="AI187" s="119"/>
      <c r="AJ187" t="s">
        <v>62</v>
      </c>
    </row>
    <row r="188" spans="12:42" x14ac:dyDescent="0.25">
      <c r="AI188" s="119" t="s">
        <v>67</v>
      </c>
      <c r="AJ188" t="s">
        <v>62</v>
      </c>
      <c r="AK188">
        <v>0</v>
      </c>
      <c r="AL188">
        <v>0</v>
      </c>
      <c r="AN188">
        <v>276.8</v>
      </c>
      <c r="AP188">
        <v>905.4</v>
      </c>
    </row>
    <row r="189" spans="12:42" x14ac:dyDescent="0.25">
      <c r="AI189" s="119" t="s">
        <v>154</v>
      </c>
      <c r="AJ189" t="s">
        <v>62</v>
      </c>
      <c r="AK189">
        <v>0</v>
      </c>
      <c r="AL189">
        <v>0</v>
      </c>
      <c r="AN189">
        <v>7.1</v>
      </c>
      <c r="AP189">
        <v>15.3</v>
      </c>
    </row>
    <row r="190" spans="12:42" x14ac:dyDescent="0.25">
      <c r="AI190" s="119" t="s">
        <v>68</v>
      </c>
      <c r="AJ190" t="s">
        <v>62</v>
      </c>
      <c r="AK190">
        <v>0</v>
      </c>
      <c r="AL190">
        <v>0</v>
      </c>
      <c r="AN190">
        <v>269.8</v>
      </c>
      <c r="AP190">
        <v>890.1</v>
      </c>
    </row>
    <row r="191" spans="12:42" x14ac:dyDescent="0.25">
      <c r="AI191" s="119"/>
      <c r="AJ191" t="s">
        <v>62</v>
      </c>
    </row>
    <row r="192" spans="12:42" x14ac:dyDescent="0.25">
      <c r="AI192" s="119" t="s">
        <v>69</v>
      </c>
      <c r="AJ192" t="s">
        <v>62</v>
      </c>
      <c r="AK192">
        <v>0</v>
      </c>
      <c r="AL192">
        <v>0</v>
      </c>
      <c r="AN192">
        <v>52.5</v>
      </c>
      <c r="AP192">
        <v>98.4</v>
      </c>
    </row>
    <row r="193" spans="35:42" x14ac:dyDescent="0.25">
      <c r="AI193" s="119" t="s">
        <v>70</v>
      </c>
      <c r="AJ193" t="s">
        <v>62</v>
      </c>
      <c r="AK193">
        <v>0</v>
      </c>
      <c r="AL193">
        <v>0</v>
      </c>
      <c r="AN193">
        <v>52.5</v>
      </c>
      <c r="AP193">
        <v>98.4</v>
      </c>
    </row>
    <row r="194" spans="35:42" x14ac:dyDescent="0.25">
      <c r="AI194" s="119"/>
      <c r="AJ194" t="s">
        <v>62</v>
      </c>
    </row>
    <row r="195" spans="35:42" x14ac:dyDescent="0.25">
      <c r="AI195" s="119" t="s">
        <v>71</v>
      </c>
      <c r="AJ195" t="s">
        <v>62</v>
      </c>
      <c r="AK195">
        <v>366.5</v>
      </c>
      <c r="AL195">
        <v>262.10000000000002</v>
      </c>
      <c r="AN195">
        <v>1887.3</v>
      </c>
      <c r="AP195">
        <v>2346.6</v>
      </c>
    </row>
    <row r="196" spans="35:42" x14ac:dyDescent="0.25">
      <c r="AI196" s="119"/>
      <c r="AJ196" t="s">
        <v>62</v>
      </c>
    </row>
    <row r="197" spans="35:42" x14ac:dyDescent="0.25">
      <c r="AI197" s="119" t="s">
        <v>72</v>
      </c>
      <c r="AJ197" t="s">
        <v>62</v>
      </c>
      <c r="AK197">
        <v>92.7</v>
      </c>
      <c r="AL197">
        <v>21.5</v>
      </c>
      <c r="AN197">
        <v>1397.4</v>
      </c>
      <c r="AP197">
        <v>1556.1</v>
      </c>
    </row>
    <row r="198" spans="35:42" x14ac:dyDescent="0.25">
      <c r="AI198" s="119"/>
      <c r="AJ198" t="s">
        <v>62</v>
      </c>
    </row>
    <row r="199" spans="35:42" x14ac:dyDescent="0.25">
      <c r="AI199" s="119" t="s">
        <v>73</v>
      </c>
      <c r="AJ199" t="s">
        <v>62</v>
      </c>
      <c r="AK199">
        <v>1182</v>
      </c>
      <c r="AL199">
        <v>746.5</v>
      </c>
      <c r="AN199">
        <v>24444.7</v>
      </c>
      <c r="AP199">
        <v>22453.8</v>
      </c>
    </row>
    <row r="200" spans="35:42" x14ac:dyDescent="0.25">
      <c r="AI200" s="119"/>
      <c r="AJ200" t="s">
        <v>62</v>
      </c>
    </row>
    <row r="201" spans="35:42" x14ac:dyDescent="0.25">
      <c r="AI201" s="119" t="s">
        <v>74</v>
      </c>
      <c r="AJ201" t="s">
        <v>62</v>
      </c>
      <c r="AK201">
        <v>216.7</v>
      </c>
      <c r="AL201">
        <v>182.2</v>
      </c>
      <c r="AN201">
        <v>4009.9</v>
      </c>
      <c r="AP201">
        <v>3922.2</v>
      </c>
    </row>
    <row r="202" spans="35:42" x14ac:dyDescent="0.25">
      <c r="AI202" s="119" t="s">
        <v>251</v>
      </c>
      <c r="AJ202" t="s">
        <v>62</v>
      </c>
      <c r="AK202">
        <v>0</v>
      </c>
      <c r="AL202">
        <v>0</v>
      </c>
      <c r="AN202">
        <v>49.5</v>
      </c>
      <c r="AP202">
        <v>0</v>
      </c>
    </row>
    <row r="203" spans="35:42" x14ac:dyDescent="0.25">
      <c r="AI203" s="119" t="s">
        <v>75</v>
      </c>
      <c r="AJ203" t="s">
        <v>62</v>
      </c>
      <c r="AK203">
        <v>0</v>
      </c>
      <c r="AL203">
        <v>0</v>
      </c>
      <c r="AN203">
        <v>10.1</v>
      </c>
      <c r="AP203" t="s">
        <v>228</v>
      </c>
    </row>
    <row r="204" spans="35:42" x14ac:dyDescent="0.25">
      <c r="AI204" s="119" t="s">
        <v>76</v>
      </c>
      <c r="AJ204" t="s">
        <v>62</v>
      </c>
      <c r="AK204">
        <v>147</v>
      </c>
      <c r="AL204">
        <v>50.7</v>
      </c>
      <c r="AN204">
        <v>1680.1</v>
      </c>
      <c r="AP204">
        <v>1461.5</v>
      </c>
    </row>
    <row r="205" spans="35:42" x14ac:dyDescent="0.25">
      <c r="AI205" s="119" t="s">
        <v>77</v>
      </c>
      <c r="AJ205" t="s">
        <v>62</v>
      </c>
      <c r="AK205">
        <v>0</v>
      </c>
      <c r="AL205">
        <v>0</v>
      </c>
      <c r="AN205">
        <v>0</v>
      </c>
      <c r="AP205">
        <v>297</v>
      </c>
    </row>
    <row r="206" spans="35:42" x14ac:dyDescent="0.25">
      <c r="AI206" s="119" t="s">
        <v>78</v>
      </c>
      <c r="AJ206" t="s">
        <v>62</v>
      </c>
      <c r="AK206">
        <v>0</v>
      </c>
      <c r="AL206">
        <v>0</v>
      </c>
      <c r="AN206">
        <v>225.4</v>
      </c>
      <c r="AP206">
        <v>187.2</v>
      </c>
    </row>
    <row r="207" spans="35:42" x14ac:dyDescent="0.25">
      <c r="AI207" s="119" t="s">
        <v>80</v>
      </c>
      <c r="AJ207" t="s">
        <v>62</v>
      </c>
      <c r="AK207">
        <v>15.8</v>
      </c>
      <c r="AL207">
        <v>73</v>
      </c>
      <c r="AN207">
        <v>690.8</v>
      </c>
      <c r="AP207">
        <v>683.4</v>
      </c>
    </row>
    <row r="208" spans="35:42" x14ac:dyDescent="0.25">
      <c r="AI208" s="119" t="s">
        <v>82</v>
      </c>
      <c r="AJ208" t="s">
        <v>62</v>
      </c>
      <c r="AK208">
        <v>2.4</v>
      </c>
      <c r="AL208">
        <v>0</v>
      </c>
      <c r="AN208">
        <v>250.4</v>
      </c>
      <c r="AP208">
        <v>237.5</v>
      </c>
    </row>
    <row r="209" spans="35:42" x14ac:dyDescent="0.25">
      <c r="AI209" s="119" t="s">
        <v>165</v>
      </c>
      <c r="AJ209" t="s">
        <v>62</v>
      </c>
      <c r="AK209">
        <v>0.2</v>
      </c>
      <c r="AL209">
        <v>1.1000000000000001</v>
      </c>
      <c r="AN209">
        <v>44.3</v>
      </c>
      <c r="AP209">
        <v>54.5</v>
      </c>
    </row>
    <row r="210" spans="35:42" x14ac:dyDescent="0.25">
      <c r="AI210" s="119" t="s">
        <v>83</v>
      </c>
      <c r="AJ210" t="s">
        <v>62</v>
      </c>
      <c r="AK210">
        <v>0</v>
      </c>
      <c r="AL210">
        <v>0</v>
      </c>
      <c r="AN210">
        <v>157.19999999999999</v>
      </c>
      <c r="AP210">
        <v>120.6</v>
      </c>
    </row>
    <row r="211" spans="35:42" x14ac:dyDescent="0.25">
      <c r="AI211" s="119" t="s">
        <v>84</v>
      </c>
      <c r="AJ211" t="s">
        <v>62</v>
      </c>
      <c r="AK211">
        <v>5.5</v>
      </c>
      <c r="AL211" t="s">
        <v>228</v>
      </c>
      <c r="AN211">
        <v>20.100000000000001</v>
      </c>
      <c r="AP211">
        <v>26.2</v>
      </c>
    </row>
    <row r="212" spans="35:42" x14ac:dyDescent="0.25">
      <c r="AI212" s="119" t="s">
        <v>85</v>
      </c>
      <c r="AJ212" t="s">
        <v>62</v>
      </c>
      <c r="AK212">
        <v>0</v>
      </c>
      <c r="AL212">
        <v>25</v>
      </c>
      <c r="AN212">
        <v>218.3</v>
      </c>
      <c r="AP212">
        <v>350</v>
      </c>
    </row>
    <row r="213" spans="35:42" x14ac:dyDescent="0.25">
      <c r="AI213" s="119" t="s">
        <v>245</v>
      </c>
      <c r="AJ213" t="s">
        <v>62</v>
      </c>
      <c r="AK213">
        <v>16</v>
      </c>
      <c r="AL213">
        <v>24.5</v>
      </c>
      <c r="AN213">
        <v>485.2</v>
      </c>
      <c r="AP213">
        <v>423</v>
      </c>
    </row>
    <row r="214" spans="35:42" x14ac:dyDescent="0.25">
      <c r="AI214" s="119" t="s">
        <v>87</v>
      </c>
      <c r="AJ214" t="s">
        <v>62</v>
      </c>
      <c r="AK214">
        <v>29.8</v>
      </c>
      <c r="AL214">
        <v>7.8</v>
      </c>
      <c r="AN214">
        <v>178.3</v>
      </c>
      <c r="AP214">
        <v>81.2</v>
      </c>
    </row>
    <row r="215" spans="35:42" x14ac:dyDescent="0.25">
      <c r="AI215" s="119"/>
      <c r="AJ215" t="s">
        <v>62</v>
      </c>
    </row>
    <row r="216" spans="35:42" x14ac:dyDescent="0.25">
      <c r="AI216" s="119" t="s">
        <v>88</v>
      </c>
      <c r="AJ216" t="s">
        <v>62</v>
      </c>
      <c r="AK216">
        <v>0</v>
      </c>
      <c r="AL216">
        <v>60</v>
      </c>
      <c r="AN216">
        <v>1242.3</v>
      </c>
      <c r="AP216">
        <v>1283.3</v>
      </c>
    </row>
    <row r="217" spans="35:42" x14ac:dyDescent="0.25">
      <c r="AI217" s="119" t="s">
        <v>90</v>
      </c>
      <c r="AJ217" t="s">
        <v>62</v>
      </c>
      <c r="AK217">
        <v>0</v>
      </c>
      <c r="AL217">
        <v>60</v>
      </c>
      <c r="AN217">
        <v>897.3</v>
      </c>
      <c r="AP217">
        <v>945</v>
      </c>
    </row>
    <row r="218" spans="35:42" x14ac:dyDescent="0.25">
      <c r="AI218" s="119" t="s">
        <v>93</v>
      </c>
      <c r="AJ218" t="s">
        <v>62</v>
      </c>
      <c r="AK218">
        <v>0</v>
      </c>
      <c r="AL218">
        <v>0</v>
      </c>
      <c r="AN218">
        <v>95.8</v>
      </c>
      <c r="AP218">
        <v>105.3</v>
      </c>
    </row>
    <row r="219" spans="35:42" x14ac:dyDescent="0.25">
      <c r="AI219" s="119" t="s">
        <v>95</v>
      </c>
      <c r="AJ219" t="s">
        <v>62</v>
      </c>
      <c r="AK219">
        <v>0</v>
      </c>
      <c r="AL219">
        <v>0</v>
      </c>
      <c r="AN219">
        <v>249.2</v>
      </c>
      <c r="AP219">
        <v>232.9</v>
      </c>
    </row>
    <row r="220" spans="35:42" x14ac:dyDescent="0.25">
      <c r="AI220" s="119"/>
      <c r="AJ220" t="s">
        <v>62</v>
      </c>
    </row>
    <row r="221" spans="35:42" x14ac:dyDescent="0.25">
      <c r="AI221" s="119" t="s">
        <v>96</v>
      </c>
      <c r="AJ221" t="s">
        <v>62</v>
      </c>
      <c r="AK221">
        <v>156.9</v>
      </c>
      <c r="AL221">
        <v>141.6</v>
      </c>
      <c r="AN221">
        <v>4082.9</v>
      </c>
      <c r="AP221">
        <v>4378.3999999999996</v>
      </c>
    </row>
    <row r="222" spans="35:42" x14ac:dyDescent="0.25">
      <c r="AI222" s="119" t="s">
        <v>97</v>
      </c>
      <c r="AJ222" t="s">
        <v>62</v>
      </c>
      <c r="AK222">
        <v>0.2</v>
      </c>
      <c r="AL222">
        <v>0.1</v>
      </c>
      <c r="AN222">
        <v>23.3</v>
      </c>
      <c r="AP222">
        <v>25.2</v>
      </c>
    </row>
    <row r="223" spans="35:42" x14ac:dyDescent="0.25">
      <c r="AI223" s="119" t="s">
        <v>98</v>
      </c>
      <c r="AJ223" t="s">
        <v>62</v>
      </c>
      <c r="AK223">
        <v>31</v>
      </c>
      <c r="AL223">
        <v>12.5</v>
      </c>
      <c r="AN223">
        <v>248.4</v>
      </c>
      <c r="AP223">
        <v>221.2</v>
      </c>
    </row>
    <row r="224" spans="35:42" x14ac:dyDescent="0.25">
      <c r="AI224" s="119" t="s">
        <v>99</v>
      </c>
      <c r="AJ224" t="s">
        <v>62</v>
      </c>
      <c r="AK224">
        <v>28.1</v>
      </c>
      <c r="AL224">
        <v>25.6</v>
      </c>
      <c r="AN224">
        <v>279</v>
      </c>
      <c r="AP224">
        <v>338.4</v>
      </c>
    </row>
    <row r="225" spans="35:42" x14ac:dyDescent="0.25">
      <c r="AI225" s="119" t="s">
        <v>101</v>
      </c>
      <c r="AJ225" t="s">
        <v>62</v>
      </c>
      <c r="AK225">
        <v>7</v>
      </c>
      <c r="AL225">
        <v>33</v>
      </c>
      <c r="AN225">
        <v>125.7</v>
      </c>
      <c r="AP225">
        <v>217.3</v>
      </c>
    </row>
    <row r="226" spans="35:42" x14ac:dyDescent="0.25">
      <c r="AI226" s="119" t="s">
        <v>102</v>
      </c>
      <c r="AJ226" t="s">
        <v>62</v>
      </c>
      <c r="AK226">
        <v>8</v>
      </c>
      <c r="AL226">
        <v>15.2</v>
      </c>
      <c r="AN226">
        <v>120.6</v>
      </c>
      <c r="AP226">
        <v>148.4</v>
      </c>
    </row>
    <row r="227" spans="35:42" x14ac:dyDescent="0.25">
      <c r="AI227" s="119" t="s">
        <v>106</v>
      </c>
      <c r="AJ227" t="s">
        <v>62</v>
      </c>
      <c r="AK227">
        <v>1.9</v>
      </c>
      <c r="AL227">
        <v>3.7</v>
      </c>
      <c r="AN227">
        <v>7.7</v>
      </c>
      <c r="AP227">
        <v>14.4</v>
      </c>
    </row>
    <row r="228" spans="35:42" x14ac:dyDescent="0.25">
      <c r="AI228" s="119" t="s">
        <v>107</v>
      </c>
      <c r="AJ228" t="s">
        <v>62</v>
      </c>
      <c r="AK228">
        <v>0</v>
      </c>
      <c r="AL228">
        <v>0</v>
      </c>
      <c r="AN228">
        <v>0.3</v>
      </c>
      <c r="AP228">
        <v>0</v>
      </c>
    </row>
    <row r="229" spans="35:42" x14ac:dyDescent="0.25">
      <c r="AI229" s="119" t="s">
        <v>110</v>
      </c>
      <c r="AJ229" t="s">
        <v>62</v>
      </c>
      <c r="AK229">
        <v>80.7</v>
      </c>
      <c r="AL229">
        <v>51.5</v>
      </c>
      <c r="AN229">
        <v>3214.7</v>
      </c>
      <c r="AP229">
        <v>3276.4</v>
      </c>
    </row>
    <row r="230" spans="35:42" x14ac:dyDescent="0.25">
      <c r="AI230" s="119" t="s">
        <v>112</v>
      </c>
      <c r="AJ230" t="s">
        <v>62</v>
      </c>
      <c r="AK230">
        <v>0</v>
      </c>
      <c r="AL230">
        <v>0</v>
      </c>
      <c r="AN230">
        <v>2.8</v>
      </c>
      <c r="AP230">
        <v>6.6</v>
      </c>
    </row>
    <row r="231" spans="35:42" x14ac:dyDescent="0.25">
      <c r="AI231" s="119" t="s">
        <v>113</v>
      </c>
      <c r="AJ231" t="s">
        <v>62</v>
      </c>
      <c r="AK231">
        <v>0</v>
      </c>
      <c r="AL231">
        <v>0</v>
      </c>
      <c r="AN231">
        <v>21.5</v>
      </c>
      <c r="AP231">
        <v>25.8</v>
      </c>
    </row>
    <row r="232" spans="35:42" x14ac:dyDescent="0.25">
      <c r="AI232" s="119" t="s">
        <v>119</v>
      </c>
      <c r="AJ232" t="s">
        <v>62</v>
      </c>
      <c r="AK232">
        <v>0</v>
      </c>
      <c r="AL232">
        <v>0</v>
      </c>
      <c r="AN232">
        <v>39</v>
      </c>
      <c r="AP232">
        <v>104.6</v>
      </c>
    </row>
    <row r="233" spans="35:42" x14ac:dyDescent="0.25">
      <c r="AI233" s="119" t="s">
        <v>161</v>
      </c>
      <c r="AJ233" t="s">
        <v>162</v>
      </c>
      <c r="AK233" t="s">
        <v>61</v>
      </c>
      <c r="AL233" t="s">
        <v>168</v>
      </c>
      <c r="AM233" t="s">
        <v>189</v>
      </c>
      <c r="AN233" t="s">
        <v>167</v>
      </c>
      <c r="AO233" t="s">
        <v>162</v>
      </c>
      <c r="AP233" t="s">
        <v>240</v>
      </c>
    </row>
    <row r="234" spans="35:42" x14ac:dyDescent="0.25">
      <c r="AI234" s="119" t="s">
        <v>134</v>
      </c>
      <c r="AJ234" t="s">
        <v>62</v>
      </c>
      <c r="AK234">
        <v>2014.9</v>
      </c>
      <c r="AL234">
        <v>1418.9</v>
      </c>
      <c r="AN234">
        <v>39993.1</v>
      </c>
      <c r="AP234">
        <v>39642.199999999997</v>
      </c>
    </row>
    <row r="235" spans="35:42" x14ac:dyDescent="0.25">
      <c r="AI235" s="119" t="s">
        <v>135</v>
      </c>
      <c r="AJ235" t="s">
        <v>62</v>
      </c>
      <c r="AK235">
        <v>267</v>
      </c>
      <c r="AL235">
        <v>204.2</v>
      </c>
      <c r="AN235">
        <v>0</v>
      </c>
      <c r="AP235">
        <v>0</v>
      </c>
    </row>
    <row r="236" spans="35:42" x14ac:dyDescent="0.25">
      <c r="AI236" s="119" t="s">
        <v>161</v>
      </c>
      <c r="AJ236" t="s">
        <v>162</v>
      </c>
      <c r="AK236" t="s">
        <v>61</v>
      </c>
      <c r="AL236" t="s">
        <v>168</v>
      </c>
      <c r="AM236" t="s">
        <v>189</v>
      </c>
      <c r="AN236" t="s">
        <v>167</v>
      </c>
      <c r="AO236" t="s">
        <v>162</v>
      </c>
      <c r="AP236" t="s">
        <v>240</v>
      </c>
    </row>
    <row r="237" spans="35:42" x14ac:dyDescent="0.25">
      <c r="AI237" s="119" t="s">
        <v>136</v>
      </c>
      <c r="AJ237" t="s">
        <v>62</v>
      </c>
      <c r="AK237">
        <v>2281.9</v>
      </c>
      <c r="AL237">
        <v>1623.1</v>
      </c>
      <c r="AN237">
        <v>39993.1</v>
      </c>
      <c r="AP237">
        <v>39642.199999999997</v>
      </c>
    </row>
    <row r="238" spans="35:42" x14ac:dyDescent="0.25">
      <c r="AI238" s="119" t="s">
        <v>137</v>
      </c>
      <c r="AJ238" t="s">
        <v>62</v>
      </c>
      <c r="AK238" t="s">
        <v>60</v>
      </c>
      <c r="AL238" t="s">
        <v>60</v>
      </c>
      <c r="AN238">
        <v>0</v>
      </c>
      <c r="AP238">
        <v>22.8</v>
      </c>
    </row>
    <row r="239" spans="35:42" x14ac:dyDescent="0.25">
      <c r="AI239" s="119" t="s">
        <v>138</v>
      </c>
      <c r="AJ239" t="s">
        <v>62</v>
      </c>
      <c r="AK239">
        <v>0</v>
      </c>
      <c r="AL239">
        <v>0</v>
      </c>
      <c r="AN239" t="s">
        <v>60</v>
      </c>
      <c r="AP239" t="s">
        <v>60</v>
      </c>
    </row>
    <row r="240" spans="35:42" x14ac:dyDescent="0.25">
      <c r="AI240" s="119" t="s">
        <v>161</v>
      </c>
      <c r="AJ240" t="s">
        <v>162</v>
      </c>
      <c r="AK240" t="s">
        <v>61</v>
      </c>
      <c r="AL240" t="s">
        <v>168</v>
      </c>
      <c r="AM240" t="s">
        <v>189</v>
      </c>
      <c r="AN240" t="s">
        <v>167</v>
      </c>
      <c r="AO240" t="s">
        <v>162</v>
      </c>
      <c r="AP240" t="s">
        <v>240</v>
      </c>
    </row>
    <row r="241" spans="35:35" x14ac:dyDescent="0.25">
      <c r="AI241" s="119"/>
    </row>
    <row r="242" spans="35:35" x14ac:dyDescent="0.25">
      <c r="AI242" s="119"/>
    </row>
    <row r="243" spans="35:35" x14ac:dyDescent="0.25">
      <c r="AI243" s="152"/>
    </row>
  </sheetData>
  <mergeCells count="5">
    <mergeCell ref="T31:AB31"/>
    <mergeCell ref="L25:T25"/>
    <mergeCell ref="L27:T27"/>
    <mergeCell ref="L29:T29"/>
    <mergeCell ref="L30:T30"/>
  </mergeCells>
  <phoneticPr fontId="2" type="noConversion"/>
  <pageMargins left="0.75" right="0.75" top="1" bottom="1" header="0.5" footer="0.5"/>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50"/>
  <sheetViews>
    <sheetView workbookViewId="0"/>
  </sheetViews>
  <sheetFormatPr defaultRowHeight="13.2" x14ac:dyDescent="0.25"/>
  <sheetData>
    <row r="1" spans="1:47" x14ac:dyDescent="0.25">
      <c r="B1" t="s">
        <v>140</v>
      </c>
      <c r="L1" t="s">
        <v>141</v>
      </c>
      <c r="AM1" s="215" t="s">
        <v>139</v>
      </c>
      <c r="AN1" s="215"/>
      <c r="AO1" s="215"/>
      <c r="AP1" s="215"/>
      <c r="AQ1" s="215"/>
      <c r="AR1" s="215"/>
      <c r="AS1" s="215"/>
      <c r="AT1" s="215"/>
      <c r="AU1" s="215"/>
    </row>
    <row r="2" spans="1:47" x14ac:dyDescent="0.25">
      <c r="B2" t="s">
        <v>132</v>
      </c>
      <c r="F2" t="s">
        <v>127</v>
      </c>
      <c r="G2" t="s">
        <v>131</v>
      </c>
      <c r="K2" t="s">
        <v>127</v>
      </c>
      <c r="L2" t="s">
        <v>132</v>
      </c>
      <c r="P2" t="s">
        <v>142</v>
      </c>
      <c r="T2" s="225" t="s">
        <v>144</v>
      </c>
      <c r="U2" s="225" t="s">
        <v>143</v>
      </c>
      <c r="V2" t="s">
        <v>145</v>
      </c>
      <c r="Z2" t="s">
        <v>146</v>
      </c>
      <c r="AD2" s="226" t="s">
        <v>144</v>
      </c>
      <c r="AE2" s="226" t="s">
        <v>143</v>
      </c>
    </row>
    <row r="3" spans="1:47" ht="25.95" customHeight="1" x14ac:dyDescent="0.25">
      <c r="B3" s="77" t="s">
        <v>0</v>
      </c>
      <c r="C3" s="77" t="s">
        <v>46</v>
      </c>
      <c r="D3" s="77" t="s">
        <v>47</v>
      </c>
      <c r="E3" s="77" t="s">
        <v>48</v>
      </c>
      <c r="F3" t="s">
        <v>126</v>
      </c>
      <c r="G3" s="16" t="s">
        <v>0</v>
      </c>
      <c r="H3" s="16" t="s">
        <v>46</v>
      </c>
      <c r="I3" s="16" t="s">
        <v>47</v>
      </c>
      <c r="J3" s="79" t="s">
        <v>48</v>
      </c>
      <c r="K3" t="s">
        <v>125</v>
      </c>
      <c r="L3" s="54" t="s">
        <v>0</v>
      </c>
      <c r="M3" s="54" t="s">
        <v>46</v>
      </c>
      <c r="N3" s="54" t="s">
        <v>47</v>
      </c>
      <c r="O3" s="54" t="s">
        <v>48</v>
      </c>
      <c r="P3" s="81" t="s">
        <v>0</v>
      </c>
      <c r="Q3" s="81" t="s">
        <v>46</v>
      </c>
      <c r="R3" s="81" t="s">
        <v>47</v>
      </c>
      <c r="S3" s="81" t="s">
        <v>48</v>
      </c>
      <c r="T3" s="225"/>
      <c r="U3" s="225"/>
      <c r="V3" s="82" t="s">
        <v>0</v>
      </c>
      <c r="W3" s="82" t="s">
        <v>46</v>
      </c>
      <c r="X3" s="82" t="s">
        <v>47</v>
      </c>
      <c r="Y3" s="82" t="s">
        <v>48</v>
      </c>
      <c r="Z3" s="32" t="s">
        <v>0</v>
      </c>
      <c r="AA3" s="32" t="s">
        <v>46</v>
      </c>
      <c r="AB3" s="32" t="s">
        <v>47</v>
      </c>
      <c r="AC3" s="32" t="s">
        <v>48</v>
      </c>
      <c r="AD3" s="226"/>
      <c r="AE3" s="226"/>
    </row>
    <row r="4" spans="1:47" x14ac:dyDescent="0.25">
      <c r="A4" s="118">
        <f>+Total!A103</f>
        <v>39359</v>
      </c>
      <c r="B4" s="76">
        <f>+Total!L103</f>
        <v>2319.7000000000007</v>
      </c>
      <c r="E4" s="77"/>
      <c r="J4" s="79"/>
      <c r="O4" s="54"/>
      <c r="S4" s="81"/>
    </row>
    <row r="5" spans="1:47" x14ac:dyDescent="0.25">
      <c r="A5" s="118">
        <f>+Total!A104</f>
        <v>39366</v>
      </c>
      <c r="B5" s="76">
        <f>+Total!L104</f>
        <v>1795.1000000000022</v>
      </c>
      <c r="E5" s="77"/>
      <c r="J5" s="79"/>
      <c r="O5" s="54"/>
      <c r="S5" s="81"/>
    </row>
    <row r="6" spans="1:47" x14ac:dyDescent="0.25">
      <c r="A6" s="118">
        <f>+Total!A105</f>
        <v>39373</v>
      </c>
      <c r="B6" s="76">
        <f>+Total!L105</f>
        <v>1545.5</v>
      </c>
      <c r="E6" s="77"/>
      <c r="J6" s="79"/>
      <c r="O6" s="54"/>
      <c r="S6" s="81"/>
    </row>
    <row r="7" spans="1:47" x14ac:dyDescent="0.25">
      <c r="A7" s="118">
        <f>+Total!A106</f>
        <v>39380</v>
      </c>
      <c r="B7" s="76">
        <f>+Total!L106</f>
        <v>610.10000000000218</v>
      </c>
      <c r="E7" s="77"/>
      <c r="J7" s="79"/>
      <c r="O7" s="54"/>
      <c r="S7" s="81"/>
    </row>
    <row r="8" spans="1:47" x14ac:dyDescent="0.25">
      <c r="A8" s="118">
        <f>+Total!A107</f>
        <v>39387</v>
      </c>
      <c r="B8" s="76">
        <f>+Total!L107</f>
        <v>1505.0999999999949</v>
      </c>
      <c r="E8" s="77"/>
      <c r="F8" s="1"/>
      <c r="G8" s="1"/>
      <c r="H8" s="1"/>
      <c r="I8" s="1"/>
      <c r="J8" s="79"/>
      <c r="O8" s="54"/>
      <c r="S8" s="81"/>
    </row>
    <row r="9" spans="1:47" x14ac:dyDescent="0.25">
      <c r="A9" s="118">
        <f>+Total!A108</f>
        <v>39394</v>
      </c>
      <c r="B9" s="76">
        <f>+Total!L108</f>
        <v>1363.8000000000029</v>
      </c>
      <c r="E9" s="77"/>
      <c r="F9" s="1"/>
      <c r="G9" s="1"/>
      <c r="H9" s="1"/>
      <c r="I9" s="1"/>
      <c r="J9" s="79"/>
      <c r="K9" s="1"/>
      <c r="O9" s="54"/>
      <c r="S9" s="81"/>
    </row>
    <row r="10" spans="1:47" x14ac:dyDescent="0.25">
      <c r="A10" s="118">
        <f>+Total!A109</f>
        <v>39401</v>
      </c>
      <c r="B10" s="76">
        <f>+Total!L109</f>
        <v>1845.5999999999985</v>
      </c>
      <c r="E10" s="77"/>
      <c r="F10" s="1"/>
      <c r="G10" s="1"/>
      <c r="H10" s="1"/>
      <c r="I10" s="1"/>
      <c r="J10" s="79"/>
      <c r="K10" s="1"/>
      <c r="O10" s="54"/>
      <c r="S10" s="81"/>
    </row>
    <row r="11" spans="1:47" x14ac:dyDescent="0.25">
      <c r="A11" s="118">
        <f>+Total!A110</f>
        <v>39408</v>
      </c>
      <c r="B11" s="76">
        <f>+Total!L110</f>
        <v>1841.5</v>
      </c>
      <c r="E11" s="77"/>
      <c r="F11" s="1"/>
      <c r="G11" s="1"/>
      <c r="H11" s="1"/>
      <c r="I11" s="1"/>
      <c r="J11" s="79"/>
      <c r="K11" s="1"/>
      <c r="O11" s="54"/>
      <c r="S11" s="81"/>
    </row>
    <row r="12" spans="1:47" x14ac:dyDescent="0.25">
      <c r="A12" s="118">
        <f>+Total!A111</f>
        <v>39415</v>
      </c>
      <c r="B12" s="76">
        <f>+Total!L111</f>
        <v>1059.0999999999985</v>
      </c>
      <c r="E12" s="77"/>
      <c r="F12" s="1"/>
      <c r="G12" s="1"/>
      <c r="H12" s="1"/>
      <c r="I12" s="1"/>
      <c r="J12" s="79"/>
      <c r="K12" s="1"/>
      <c r="O12" s="54"/>
      <c r="S12" s="81"/>
      <c r="AD12" s="1"/>
      <c r="AE12" s="1"/>
    </row>
    <row r="13" spans="1:47" x14ac:dyDescent="0.25">
      <c r="A13" s="118">
        <f>+Total!A112</f>
        <v>39422</v>
      </c>
      <c r="B13" s="76">
        <f>+Total!L112</f>
        <v>1156</v>
      </c>
      <c r="E13" s="77"/>
      <c r="F13" s="1"/>
      <c r="G13" s="78"/>
      <c r="H13" s="78"/>
      <c r="I13" s="78"/>
      <c r="J13" s="80"/>
      <c r="K13" s="1"/>
      <c r="O13" s="54"/>
      <c r="S13" s="81"/>
      <c r="U13" s="1"/>
      <c r="AD13" s="1"/>
      <c r="AE13" s="1"/>
    </row>
    <row r="14" spans="1:47" x14ac:dyDescent="0.25">
      <c r="A14" s="118">
        <f>+Total!A113</f>
        <v>39429</v>
      </c>
      <c r="B14" s="76">
        <f>+Total!L113</f>
        <v>1156.4000000000015</v>
      </c>
      <c r="E14" s="77"/>
      <c r="F14" s="1"/>
      <c r="G14" s="78"/>
      <c r="H14" s="78"/>
      <c r="I14" s="78"/>
      <c r="J14" s="80"/>
      <c r="K14" s="1"/>
      <c r="O14" s="54"/>
      <c r="S14" s="81"/>
      <c r="T14" s="1"/>
      <c r="U14" s="1"/>
      <c r="AD14" s="1"/>
      <c r="AE14" s="1"/>
    </row>
    <row r="15" spans="1:47" x14ac:dyDescent="0.25">
      <c r="A15" s="118">
        <f>+Total!A114</f>
        <v>39436</v>
      </c>
      <c r="B15" s="76">
        <f>+Total!L114</f>
        <v>1423.4000000000015</v>
      </c>
      <c r="E15" s="77"/>
      <c r="F15" s="1"/>
      <c r="G15" s="78"/>
      <c r="H15" s="78"/>
      <c r="I15" s="78"/>
      <c r="J15" s="80"/>
      <c r="K15" s="1"/>
      <c r="O15" s="54"/>
      <c r="S15" s="81"/>
      <c r="T15" s="1"/>
      <c r="U15" s="1"/>
      <c r="AD15" s="1"/>
      <c r="AE15" s="1"/>
    </row>
    <row r="16" spans="1:47" x14ac:dyDescent="0.25">
      <c r="A16" s="118">
        <f>+Total!A115</f>
        <v>39443</v>
      </c>
      <c r="B16" s="76">
        <f>+Total!L115</f>
        <v>700.80000000000291</v>
      </c>
      <c r="E16" s="77"/>
      <c r="F16" s="1"/>
      <c r="G16" s="78"/>
      <c r="H16" s="78"/>
      <c r="I16" s="78"/>
      <c r="J16" s="80"/>
      <c r="K16" s="1"/>
      <c r="O16" s="54"/>
      <c r="S16" s="81"/>
      <c r="T16" s="1"/>
      <c r="U16" s="1"/>
      <c r="Y16" s="16"/>
      <c r="AC16" s="79"/>
      <c r="AD16" s="1"/>
      <c r="AE16" s="1"/>
    </row>
    <row r="17" spans="1:31" x14ac:dyDescent="0.25">
      <c r="A17" s="118">
        <f>+Total!A116</f>
        <v>39450</v>
      </c>
      <c r="B17" s="76">
        <f>+Total!L116</f>
        <v>606.79999999999563</v>
      </c>
      <c r="E17" s="77"/>
      <c r="F17" s="1"/>
      <c r="G17" s="78"/>
      <c r="H17" s="78"/>
      <c r="I17" s="78"/>
      <c r="J17" s="80"/>
      <c r="K17" s="1"/>
      <c r="O17" s="54"/>
      <c r="S17" s="81"/>
      <c r="T17" s="1"/>
      <c r="U17" s="1"/>
      <c r="Y17" s="16"/>
      <c r="AC17" s="79"/>
      <c r="AD17" s="1"/>
      <c r="AE17" s="1"/>
    </row>
    <row r="18" spans="1:31" x14ac:dyDescent="0.25">
      <c r="A18" s="118">
        <f>+Total!A117</f>
        <v>39457</v>
      </c>
      <c r="B18" s="76">
        <f>+Total!L117</f>
        <v>2369.2999999999956</v>
      </c>
      <c r="E18" s="77"/>
      <c r="F18" s="1"/>
      <c r="G18" s="78"/>
      <c r="H18" s="78"/>
      <c r="I18" s="78"/>
      <c r="J18" s="80"/>
      <c r="K18" s="22"/>
      <c r="O18" s="54"/>
      <c r="S18" s="81"/>
      <c r="T18" s="1"/>
      <c r="U18" s="1"/>
      <c r="Y18" s="16"/>
      <c r="AC18" s="79"/>
      <c r="AD18" s="1"/>
      <c r="AE18" s="1"/>
    </row>
    <row r="19" spans="1:31" x14ac:dyDescent="0.25">
      <c r="A19" s="118">
        <f>+Total!A118</f>
        <v>39464</v>
      </c>
      <c r="B19" s="76">
        <f>+Total!L118</f>
        <v>1595.1000000000058</v>
      </c>
      <c r="E19" s="77"/>
      <c r="F19" s="1"/>
      <c r="G19" s="78"/>
      <c r="H19" s="78"/>
      <c r="I19" s="78"/>
      <c r="J19" s="80"/>
      <c r="K19" s="22"/>
      <c r="O19" s="54"/>
      <c r="S19" s="81"/>
      <c r="T19" s="1"/>
      <c r="U19" s="1"/>
      <c r="Y19" s="16"/>
      <c r="AC19" s="79"/>
      <c r="AD19" s="1"/>
      <c r="AE19" s="1"/>
    </row>
    <row r="20" spans="1:31" x14ac:dyDescent="0.25">
      <c r="A20" s="118">
        <f>+Total!A119</f>
        <v>39471</v>
      </c>
      <c r="B20" s="76">
        <f>+Total!L119</f>
        <v>1887.6999999999971</v>
      </c>
      <c r="E20" s="77"/>
      <c r="F20" s="1"/>
      <c r="G20" s="78"/>
      <c r="H20" s="78"/>
      <c r="I20" s="78"/>
      <c r="J20" s="80"/>
      <c r="K20" s="22"/>
      <c r="O20" s="54"/>
      <c r="S20" s="81"/>
      <c r="T20" s="1"/>
      <c r="U20" s="1"/>
      <c r="Y20" s="16"/>
      <c r="AC20" s="79"/>
      <c r="AD20" s="1"/>
      <c r="AE20" s="1"/>
    </row>
    <row r="21" spans="1:31" x14ac:dyDescent="0.25">
      <c r="A21" s="118">
        <f>+Total!A120</f>
        <v>39478</v>
      </c>
      <c r="B21" s="76">
        <f>+Total!L120</f>
        <v>1029.6000000000058</v>
      </c>
      <c r="E21" s="77"/>
      <c r="F21" s="1"/>
      <c r="G21" s="78"/>
      <c r="H21" s="78"/>
      <c r="I21" s="78"/>
      <c r="J21" s="80"/>
      <c r="K21" s="22"/>
      <c r="O21" s="54"/>
      <c r="S21" s="81"/>
      <c r="T21" s="1"/>
      <c r="U21" s="1"/>
      <c r="Y21" s="16"/>
      <c r="AC21" s="79"/>
      <c r="AD21" s="1"/>
      <c r="AE21" s="1"/>
    </row>
    <row r="22" spans="1:31" x14ac:dyDescent="0.25">
      <c r="A22" s="118">
        <f>+Total!A121</f>
        <v>39485</v>
      </c>
      <c r="B22" s="76">
        <f>+Total!L121</f>
        <v>924.39999999999418</v>
      </c>
      <c r="E22" s="77"/>
      <c r="F22" s="1"/>
      <c r="G22" s="78"/>
      <c r="H22" s="78"/>
      <c r="I22" s="78"/>
      <c r="J22" s="80"/>
      <c r="K22" s="22"/>
      <c r="O22" s="54"/>
      <c r="S22" s="81"/>
      <c r="T22" s="1"/>
      <c r="U22" s="1"/>
      <c r="Y22" s="16"/>
      <c r="AC22" s="79"/>
      <c r="AD22" s="1"/>
      <c r="AE22" s="1"/>
    </row>
    <row r="23" spans="1:31" x14ac:dyDescent="0.25">
      <c r="A23" s="118">
        <f>+Total!A122</f>
        <v>39492</v>
      </c>
      <c r="B23" s="76">
        <f>+Total!L122</f>
        <v>1141.4000000000087</v>
      </c>
      <c r="E23" s="77"/>
      <c r="F23" s="1"/>
      <c r="G23" s="78"/>
      <c r="H23" s="78"/>
      <c r="I23" s="78"/>
      <c r="J23" s="80"/>
      <c r="K23" s="22"/>
      <c r="O23" s="54"/>
      <c r="S23" s="81"/>
      <c r="T23" s="1"/>
      <c r="U23" s="1"/>
      <c r="Y23" s="16"/>
      <c r="AC23" s="79"/>
      <c r="AD23" s="1"/>
      <c r="AE23" s="1"/>
    </row>
    <row r="24" spans="1:31" x14ac:dyDescent="0.25">
      <c r="A24" s="118">
        <f>+Total!A123</f>
        <v>39499</v>
      </c>
      <c r="B24" s="76">
        <f>+Total!L123</f>
        <v>601.29999999999563</v>
      </c>
      <c r="E24" s="77"/>
      <c r="F24" s="1"/>
      <c r="G24" s="78"/>
      <c r="H24" s="78"/>
      <c r="I24" s="78"/>
      <c r="J24" s="80"/>
      <c r="K24" s="22"/>
      <c r="O24" s="54"/>
      <c r="S24" s="81"/>
      <c r="T24" s="1"/>
      <c r="U24" s="1"/>
      <c r="Y24" s="16"/>
      <c r="AC24" s="79"/>
      <c r="AD24" s="1"/>
      <c r="AE24" s="1"/>
    </row>
    <row r="25" spans="1:31" x14ac:dyDescent="0.25">
      <c r="A25" s="118">
        <f>+Total!A124</f>
        <v>39506</v>
      </c>
      <c r="B25" s="76">
        <f>+Total!L124</f>
        <v>647.99999999999272</v>
      </c>
      <c r="E25" s="77"/>
      <c r="F25" s="1"/>
      <c r="G25" s="78"/>
      <c r="H25" s="78"/>
      <c r="I25" s="78"/>
      <c r="J25" s="80"/>
      <c r="K25" s="22"/>
      <c r="O25" s="54"/>
      <c r="S25" s="81"/>
      <c r="T25" s="1"/>
      <c r="U25" s="1"/>
      <c r="Y25" s="16"/>
      <c r="AC25" s="79"/>
      <c r="AD25" s="1"/>
      <c r="AE25" s="1"/>
    </row>
    <row r="26" spans="1:31" x14ac:dyDescent="0.25">
      <c r="A26" s="118">
        <f>+Total!A125</f>
        <v>39513</v>
      </c>
      <c r="B26" s="76">
        <f>+Total!L125</f>
        <v>768.80000000000291</v>
      </c>
      <c r="E26" s="77"/>
      <c r="F26" s="1"/>
      <c r="G26" s="78"/>
      <c r="H26" s="78"/>
      <c r="I26" s="78"/>
      <c r="J26" s="80"/>
      <c r="K26" s="22"/>
      <c r="O26" s="54"/>
      <c r="S26" s="81"/>
      <c r="T26" s="1"/>
      <c r="U26" s="1"/>
      <c r="Y26" s="16"/>
      <c r="AC26" s="79"/>
      <c r="AD26" s="1"/>
      <c r="AE26" s="1"/>
    </row>
    <row r="27" spans="1:31" x14ac:dyDescent="0.25">
      <c r="A27" s="118">
        <f>+Total!A126</f>
        <v>39520</v>
      </c>
      <c r="B27" s="76">
        <f>+Total!L126</f>
        <v>749.60000000000582</v>
      </c>
      <c r="E27" s="77"/>
      <c r="F27" s="1"/>
      <c r="G27" s="78"/>
      <c r="H27" s="78"/>
      <c r="I27" s="78"/>
      <c r="J27" s="80"/>
      <c r="K27" s="22"/>
      <c r="O27" s="54"/>
      <c r="S27" s="81"/>
      <c r="T27" s="1"/>
      <c r="U27" s="1"/>
      <c r="Y27" s="16"/>
      <c r="AC27" s="79"/>
      <c r="AD27" s="1"/>
      <c r="AE27" s="1"/>
    </row>
    <row r="28" spans="1:31" x14ac:dyDescent="0.25">
      <c r="A28" s="118">
        <f>+Total!A127</f>
        <v>39527</v>
      </c>
      <c r="B28" s="76">
        <f>+Total!L127</f>
        <v>632.5</v>
      </c>
      <c r="E28" s="77"/>
      <c r="F28" s="1"/>
      <c r="G28" s="78"/>
      <c r="H28" s="78"/>
      <c r="I28" s="78"/>
      <c r="J28" s="80"/>
      <c r="K28" s="22"/>
      <c r="O28" s="54"/>
      <c r="S28" s="81"/>
      <c r="T28" s="1"/>
      <c r="U28" s="1"/>
      <c r="Y28" s="16"/>
      <c r="AC28" s="79"/>
      <c r="AD28" s="1"/>
      <c r="AE28" s="1"/>
    </row>
    <row r="29" spans="1:31" x14ac:dyDescent="0.25">
      <c r="A29" s="118">
        <f>+Total!A128</f>
        <v>39534</v>
      </c>
      <c r="B29" s="76">
        <f>+Total!L128</f>
        <v>704.39999999999418</v>
      </c>
      <c r="E29" s="77"/>
      <c r="F29" s="1"/>
      <c r="G29" s="78"/>
      <c r="H29" s="78"/>
      <c r="I29" s="78"/>
      <c r="J29" s="80"/>
      <c r="K29" s="22"/>
      <c r="O29" s="54"/>
      <c r="S29" s="81"/>
      <c r="T29" s="1"/>
      <c r="U29" s="1"/>
      <c r="Y29" s="16"/>
      <c r="AC29" s="79"/>
      <c r="AD29" s="1"/>
      <c r="AE29" s="1"/>
    </row>
    <row r="30" spans="1:31" x14ac:dyDescent="0.25">
      <c r="A30" s="118">
        <f>+Total!A129</f>
        <v>39541</v>
      </c>
      <c r="B30" s="76">
        <f>+Total!L129</f>
        <v>468.40000000000873</v>
      </c>
      <c r="E30" s="77"/>
      <c r="F30" s="1"/>
      <c r="G30" s="78"/>
      <c r="H30" s="78"/>
      <c r="I30" s="78"/>
      <c r="J30" s="80"/>
      <c r="K30" s="22"/>
      <c r="O30" s="54"/>
      <c r="S30" s="81"/>
      <c r="T30" s="1"/>
      <c r="U30" s="1"/>
      <c r="Y30" s="16"/>
      <c r="AC30" s="79"/>
      <c r="AD30" s="1"/>
      <c r="AE30" s="1"/>
    </row>
    <row r="31" spans="1:31" x14ac:dyDescent="0.25">
      <c r="A31" s="118">
        <f>+Total!A130</f>
        <v>39548</v>
      </c>
      <c r="B31" s="76">
        <f>+Total!L130</f>
        <v>868.89999999999418</v>
      </c>
      <c r="E31" s="77"/>
      <c r="F31" s="1"/>
      <c r="G31" s="78"/>
      <c r="H31" s="78"/>
      <c r="I31" s="78"/>
      <c r="J31" s="80"/>
      <c r="K31" s="22"/>
      <c r="O31" s="54"/>
      <c r="S31" s="81"/>
      <c r="T31" s="1"/>
      <c r="U31" s="1"/>
      <c r="Y31" s="16"/>
      <c r="AC31" s="79"/>
      <c r="AD31" s="1"/>
      <c r="AE31" s="1"/>
    </row>
    <row r="32" spans="1:31" x14ac:dyDescent="0.25">
      <c r="A32" s="118">
        <f>+Total!A131</f>
        <v>39555</v>
      </c>
      <c r="B32" s="76">
        <f>+Total!L131</f>
        <v>775.30000000000291</v>
      </c>
      <c r="E32" s="77"/>
      <c r="F32" s="1"/>
      <c r="G32" s="78"/>
      <c r="H32" s="78"/>
      <c r="I32" s="78"/>
      <c r="J32" s="80"/>
      <c r="K32" s="22"/>
      <c r="O32" s="54"/>
      <c r="S32" s="81"/>
      <c r="T32" s="1"/>
      <c r="U32" s="1"/>
      <c r="Y32" s="16"/>
      <c r="AC32" s="79"/>
      <c r="AD32" s="1"/>
      <c r="AE32" s="1"/>
    </row>
    <row r="33" spans="1:31" x14ac:dyDescent="0.25">
      <c r="A33" s="118">
        <f>+Total!A132</f>
        <v>39562</v>
      </c>
      <c r="B33" s="76">
        <f>+Total!L132</f>
        <v>551.19999999999709</v>
      </c>
      <c r="E33" s="77"/>
      <c r="F33" s="1"/>
      <c r="G33" s="78"/>
      <c r="H33" s="78"/>
      <c r="I33" s="78"/>
      <c r="J33" s="80"/>
      <c r="K33" s="22"/>
      <c r="O33" s="54"/>
      <c r="S33" s="81"/>
      <c r="T33" s="1"/>
      <c r="U33" s="1"/>
      <c r="Y33" s="16"/>
      <c r="AC33" s="79"/>
      <c r="AD33" s="1"/>
      <c r="AE33" s="1"/>
    </row>
    <row r="34" spans="1:31" x14ac:dyDescent="0.25">
      <c r="A34" s="118">
        <f>+Total!A133</f>
        <v>39569</v>
      </c>
      <c r="B34" s="76">
        <f>+Total!L133</f>
        <v>337.19999999999709</v>
      </c>
      <c r="E34" s="77"/>
      <c r="F34" s="1"/>
      <c r="G34" s="78"/>
      <c r="H34" s="78"/>
      <c r="I34" s="78"/>
      <c r="J34" s="80"/>
      <c r="K34" s="22"/>
      <c r="O34" s="54"/>
      <c r="S34" s="81"/>
      <c r="T34" s="1"/>
      <c r="U34" s="1"/>
      <c r="Y34" s="16"/>
      <c r="AC34" s="79"/>
      <c r="AD34" s="1"/>
      <c r="AE34" s="1"/>
    </row>
    <row r="35" spans="1:31" x14ac:dyDescent="0.25">
      <c r="A35" s="118">
        <f>+Total!A134</f>
        <v>39576</v>
      </c>
      <c r="B35" s="76">
        <f>+Total!L134</f>
        <v>547.20000000000437</v>
      </c>
      <c r="E35" s="77"/>
      <c r="F35" s="1"/>
      <c r="G35" s="78"/>
      <c r="H35" s="78"/>
      <c r="I35" s="78"/>
      <c r="J35" s="80"/>
      <c r="K35" s="22"/>
      <c r="O35" s="54"/>
      <c r="S35" s="81"/>
      <c r="T35" s="1"/>
      <c r="U35" s="1"/>
      <c r="Y35" s="16"/>
      <c r="AC35" s="79"/>
      <c r="AD35" s="1"/>
      <c r="AE35" s="1"/>
    </row>
    <row r="36" spans="1:31" x14ac:dyDescent="0.25">
      <c r="A36" s="118">
        <f>+Total!A135</f>
        <v>39583</v>
      </c>
      <c r="B36" s="76">
        <f>+Total!L135</f>
        <v>507.19999999999709</v>
      </c>
      <c r="E36" s="77"/>
      <c r="F36" s="1"/>
      <c r="G36" s="78"/>
      <c r="H36" s="78"/>
      <c r="I36" s="78"/>
      <c r="J36" s="80"/>
      <c r="K36" s="22"/>
      <c r="O36" s="54"/>
      <c r="S36" s="81"/>
      <c r="T36" s="1"/>
      <c r="U36" s="1"/>
      <c r="Y36" s="16"/>
      <c r="AC36" s="79"/>
      <c r="AD36" s="1"/>
      <c r="AE36" s="1"/>
    </row>
    <row r="37" spans="1:31" x14ac:dyDescent="0.25">
      <c r="A37" s="118">
        <f>+Total!A136</f>
        <v>39590</v>
      </c>
      <c r="B37" s="76">
        <f>+Total!L136</f>
        <v>477.5</v>
      </c>
      <c r="E37" s="77"/>
      <c r="F37" s="1"/>
      <c r="G37" s="78"/>
      <c r="H37" s="78"/>
      <c r="I37" s="78"/>
      <c r="J37" s="80"/>
      <c r="K37" s="22"/>
      <c r="O37" s="54"/>
      <c r="S37" s="81"/>
      <c r="T37" s="1"/>
      <c r="U37" s="1"/>
      <c r="Y37" s="16"/>
      <c r="AC37" s="79"/>
      <c r="AD37" s="1"/>
      <c r="AE37" s="1"/>
    </row>
    <row r="38" spans="1:31" x14ac:dyDescent="0.25">
      <c r="A38" s="118">
        <f>+Total!A137</f>
        <v>39597</v>
      </c>
      <c r="B38" s="76">
        <f>+Total!L137</f>
        <v>530.09999999999854</v>
      </c>
      <c r="E38" s="77"/>
      <c r="F38" s="1"/>
      <c r="G38" s="78"/>
      <c r="H38" s="78"/>
      <c r="I38" s="78"/>
      <c r="J38" s="80"/>
      <c r="K38" s="22"/>
      <c r="O38" s="54"/>
      <c r="S38" s="81"/>
      <c r="T38" s="1"/>
      <c r="U38" s="1"/>
      <c r="Y38" s="16"/>
      <c r="AC38" s="79"/>
      <c r="AD38" s="1"/>
      <c r="AE38" s="1"/>
    </row>
    <row r="39" spans="1:31" x14ac:dyDescent="0.25">
      <c r="A39" s="118">
        <f>+Total!A138</f>
        <v>39604</v>
      </c>
      <c r="B39" s="76">
        <f>+Total!L138</f>
        <v>524.69999999999709</v>
      </c>
      <c r="E39" s="77"/>
      <c r="F39" s="1"/>
      <c r="G39" s="78"/>
      <c r="H39" s="78"/>
      <c r="I39" s="78"/>
      <c r="J39" s="80"/>
      <c r="K39" s="22"/>
      <c r="O39" s="54"/>
      <c r="S39" s="81"/>
      <c r="T39" s="1"/>
      <c r="U39" s="1"/>
      <c r="Y39" s="16"/>
      <c r="AC39" s="79"/>
      <c r="AD39" s="1"/>
      <c r="AE39" s="1"/>
    </row>
    <row r="40" spans="1:31" x14ac:dyDescent="0.25">
      <c r="A40" s="118">
        <f>+Total!A139</f>
        <v>39611</v>
      </c>
      <c r="B40" s="76">
        <f>+Total!L139</f>
        <v>342.90000000000146</v>
      </c>
      <c r="E40" s="77"/>
      <c r="F40" s="1"/>
      <c r="G40" s="78"/>
      <c r="H40" s="78"/>
      <c r="I40" s="78"/>
      <c r="J40" s="80"/>
      <c r="K40" s="22"/>
      <c r="O40" s="54"/>
      <c r="S40" s="81"/>
      <c r="T40" s="1"/>
      <c r="U40" s="1"/>
      <c r="Y40" s="16"/>
      <c r="AC40" s="79"/>
      <c r="AD40" s="1"/>
      <c r="AE40" s="1"/>
    </row>
    <row r="41" spans="1:31" x14ac:dyDescent="0.25">
      <c r="A41" s="118">
        <f>+Total!A140</f>
        <v>39618</v>
      </c>
      <c r="B41" s="76">
        <f>+Total!L140</f>
        <v>226.30000000000291</v>
      </c>
      <c r="E41" s="77"/>
      <c r="F41" s="1"/>
      <c r="G41" s="78"/>
      <c r="H41" s="78"/>
      <c r="I41" s="78"/>
      <c r="J41" s="80"/>
      <c r="K41" s="22"/>
      <c r="O41" s="54"/>
      <c r="S41" s="81"/>
      <c r="T41" s="1"/>
      <c r="U41" s="1"/>
      <c r="Y41" s="16"/>
      <c r="AC41" s="79"/>
      <c r="AD41" s="1"/>
      <c r="AE41" s="1"/>
    </row>
    <row r="42" spans="1:31" x14ac:dyDescent="0.25">
      <c r="A42" s="118">
        <f>+Total!A141</f>
        <v>39625</v>
      </c>
      <c r="B42" s="76">
        <f>+Total!L141</f>
        <v>325.90000000000146</v>
      </c>
      <c r="E42" s="77"/>
      <c r="F42" s="1"/>
      <c r="G42" s="78"/>
      <c r="H42" s="78"/>
      <c r="I42" s="78"/>
      <c r="J42" s="80"/>
      <c r="K42" s="22"/>
      <c r="O42" s="54"/>
      <c r="S42" s="81"/>
      <c r="T42" s="1"/>
      <c r="U42" s="1"/>
      <c r="Y42" s="16"/>
      <c r="AC42" s="79"/>
      <c r="AD42" s="1"/>
      <c r="AE42" s="1"/>
    </row>
    <row r="43" spans="1:31" x14ac:dyDescent="0.25">
      <c r="A43" s="118">
        <f>+Total!A142</f>
        <v>39632</v>
      </c>
      <c r="B43" s="76">
        <f>+Total!L142</f>
        <v>337.39999999999418</v>
      </c>
      <c r="E43" s="77"/>
      <c r="F43" s="1"/>
      <c r="G43" s="78"/>
      <c r="H43" s="78"/>
      <c r="I43" s="78"/>
      <c r="J43" s="80"/>
      <c r="K43" s="22"/>
      <c r="O43" s="54"/>
      <c r="S43" s="81"/>
      <c r="T43" s="1"/>
      <c r="U43" s="1"/>
      <c r="Y43" s="16"/>
      <c r="AC43" s="79"/>
      <c r="AD43" s="1"/>
      <c r="AE43" s="1"/>
    </row>
    <row r="44" spans="1:31" x14ac:dyDescent="0.25">
      <c r="A44" s="118">
        <f>+Total!A143</f>
        <v>39639</v>
      </c>
      <c r="B44" s="76">
        <f>+Total!L143</f>
        <v>369.10000000000582</v>
      </c>
      <c r="E44" s="77"/>
      <c r="F44" s="1"/>
      <c r="G44" s="78"/>
      <c r="H44" s="78"/>
      <c r="I44" s="78"/>
      <c r="J44" s="80"/>
      <c r="K44" s="22"/>
      <c r="O44" s="54"/>
      <c r="S44" s="81"/>
      <c r="T44" s="1"/>
      <c r="U44" s="1"/>
      <c r="Y44" s="16"/>
      <c r="AC44" s="79"/>
      <c r="AD44" s="1"/>
      <c r="AE44" s="1"/>
    </row>
    <row r="45" spans="1:31" x14ac:dyDescent="0.25">
      <c r="A45" s="118">
        <f>+Total!A144</f>
        <v>39646</v>
      </c>
      <c r="B45" s="76">
        <f>+Total!L144</f>
        <v>323.5</v>
      </c>
      <c r="E45" s="77"/>
      <c r="F45" s="1"/>
      <c r="G45" s="78"/>
      <c r="H45" s="78"/>
      <c r="I45" s="78"/>
      <c r="J45" s="80"/>
      <c r="K45" s="22"/>
      <c r="O45" s="54"/>
      <c r="S45" s="81"/>
      <c r="T45" s="1"/>
      <c r="U45" s="1"/>
      <c r="Y45" s="16"/>
      <c r="AC45" s="79"/>
      <c r="AD45" s="1"/>
      <c r="AE45" s="1"/>
    </row>
    <row r="46" spans="1:31" x14ac:dyDescent="0.25">
      <c r="A46" s="118">
        <f>+Total!A145</f>
        <v>39653</v>
      </c>
      <c r="B46" s="76">
        <f>+Total!L145</f>
        <v>63.099999999998545</v>
      </c>
      <c r="E46" s="77"/>
      <c r="F46" s="1"/>
      <c r="G46" s="78"/>
      <c r="H46" s="78"/>
      <c r="I46" s="78"/>
      <c r="J46" s="80"/>
      <c r="K46" s="22"/>
      <c r="O46" s="54"/>
      <c r="S46" s="81"/>
      <c r="T46" s="1"/>
      <c r="U46" s="1"/>
      <c r="Y46" s="16"/>
      <c r="AC46" s="79"/>
      <c r="AD46" s="1"/>
      <c r="AE46" s="1"/>
    </row>
    <row r="47" spans="1:31" x14ac:dyDescent="0.25">
      <c r="A47" s="118">
        <f>+Total!A146</f>
        <v>39660</v>
      </c>
      <c r="B47" s="76">
        <f>+Total!L146</f>
        <v>337.90000000000146</v>
      </c>
      <c r="E47" s="77"/>
      <c r="F47" s="1"/>
      <c r="G47" s="78"/>
      <c r="H47" s="78"/>
      <c r="I47" s="78"/>
      <c r="J47" s="80"/>
      <c r="K47" s="22"/>
      <c r="O47" s="54"/>
      <c r="S47" s="81"/>
      <c r="T47" s="1"/>
      <c r="U47" s="1"/>
      <c r="Y47" s="16"/>
      <c r="AC47" s="79"/>
      <c r="AD47" s="1"/>
      <c r="AE47" s="1"/>
    </row>
    <row r="48" spans="1:31" x14ac:dyDescent="0.25">
      <c r="A48" s="118">
        <f>+Total!A147</f>
        <v>39667</v>
      </c>
      <c r="B48" s="76">
        <f>+Total!L147</f>
        <v>385.90000000000146</v>
      </c>
      <c r="E48" s="77"/>
      <c r="F48" s="1"/>
      <c r="G48" s="78"/>
      <c r="H48" s="78"/>
      <c r="I48" s="78"/>
      <c r="J48" s="80"/>
      <c r="K48" s="22"/>
      <c r="O48" s="54"/>
      <c r="S48" s="81"/>
      <c r="T48" s="1"/>
      <c r="U48" s="1"/>
      <c r="Y48" s="16"/>
      <c r="AC48" s="79"/>
      <c r="AD48" s="1"/>
      <c r="AE48" s="1"/>
    </row>
    <row r="49" spans="1:31" x14ac:dyDescent="0.25">
      <c r="A49" s="118">
        <f>+Total!A148</f>
        <v>39674</v>
      </c>
      <c r="B49" s="76">
        <f>+Total!L148</f>
        <v>772.7388888888886</v>
      </c>
      <c r="E49" s="77"/>
      <c r="F49" s="1"/>
      <c r="G49" s="78"/>
      <c r="H49" s="78"/>
      <c r="I49" s="78"/>
      <c r="J49" s="80"/>
      <c r="K49" s="22"/>
      <c r="O49" s="54"/>
      <c r="S49" s="81"/>
      <c r="T49" s="1"/>
      <c r="U49" s="1"/>
      <c r="Y49" s="16"/>
      <c r="AC49" s="79"/>
      <c r="AD49" s="1"/>
      <c r="AE49" s="1"/>
    </row>
    <row r="50" spans="1:31" x14ac:dyDescent="0.25">
      <c r="A50" s="118">
        <f>+Total!A149</f>
        <v>39681</v>
      </c>
      <c r="B50" s="76">
        <f>+Total!L149</f>
        <v>685.92777777777758</v>
      </c>
      <c r="E50" s="77"/>
      <c r="F50" s="1"/>
      <c r="G50" s="78"/>
      <c r="H50" s="78"/>
      <c r="I50" s="78"/>
      <c r="J50" s="80"/>
      <c r="K50" s="22"/>
      <c r="O50" s="54"/>
      <c r="S50" s="81"/>
      <c r="T50" s="1"/>
      <c r="U50" s="1"/>
      <c r="Y50" s="16"/>
      <c r="AC50" s="79"/>
      <c r="AD50" s="1"/>
      <c r="AE50" s="1"/>
    </row>
    <row r="51" spans="1:31" x14ac:dyDescent="0.25">
      <c r="A51" s="118">
        <f>+Total!A150</f>
        <v>39688</v>
      </c>
      <c r="B51" s="76">
        <f>+Total!L150</f>
        <v>649.03888888888912</v>
      </c>
      <c r="E51" s="77"/>
      <c r="F51" s="1"/>
      <c r="G51" s="78"/>
      <c r="H51" s="78"/>
      <c r="I51" s="78"/>
      <c r="J51" s="80"/>
      <c r="K51" s="22"/>
      <c r="O51" s="54"/>
      <c r="S51" s="81"/>
      <c r="T51" s="1"/>
      <c r="U51" s="1"/>
      <c r="Y51" s="16"/>
      <c r="AC51" s="79"/>
      <c r="AD51" s="1"/>
      <c r="AE51" s="1"/>
    </row>
    <row r="52" spans="1:31" x14ac:dyDescent="0.25">
      <c r="A52" s="118">
        <f>+Total!A151</f>
        <v>39695</v>
      </c>
      <c r="B52" s="76">
        <f>+Total!L151</f>
        <v>597.194444444444</v>
      </c>
      <c r="E52" s="77"/>
      <c r="F52" s="1"/>
      <c r="G52" s="78"/>
      <c r="H52" s="78"/>
      <c r="I52" s="78"/>
      <c r="J52" s="80"/>
      <c r="K52" s="22"/>
      <c r="O52" s="54"/>
      <c r="S52" s="81"/>
      <c r="T52" s="1"/>
      <c r="U52" s="1"/>
      <c r="Y52" s="16"/>
      <c r="AC52" s="79"/>
      <c r="AD52" s="1"/>
      <c r="AE52" s="1"/>
    </row>
    <row r="53" spans="1:31" x14ac:dyDescent="0.25">
      <c r="A53" s="118">
        <f>+Total!A152</f>
        <v>39702</v>
      </c>
      <c r="B53" s="76">
        <f>+Total!L152</f>
        <v>325.40000000000146</v>
      </c>
      <c r="E53" s="77"/>
      <c r="F53" s="1"/>
      <c r="G53" s="78"/>
      <c r="H53" s="78"/>
      <c r="I53" s="78"/>
      <c r="J53" s="80"/>
      <c r="K53" s="22"/>
      <c r="O53" s="54"/>
      <c r="S53" s="81"/>
      <c r="T53" s="1"/>
      <c r="U53" s="1"/>
      <c r="Y53" s="16"/>
      <c r="AC53" s="79"/>
      <c r="AD53" s="1"/>
      <c r="AE53" s="1"/>
    </row>
    <row r="54" spans="1:31" x14ac:dyDescent="0.25">
      <c r="A54" s="118">
        <f>+Total!A153</f>
        <v>39709</v>
      </c>
      <c r="B54" s="76">
        <f>+Total!L153</f>
        <v>547.79999999999927</v>
      </c>
      <c r="E54" s="77"/>
      <c r="F54" s="1"/>
      <c r="G54" s="78"/>
      <c r="H54" s="78"/>
      <c r="I54" s="78"/>
      <c r="J54" s="80"/>
      <c r="K54" s="22"/>
      <c r="O54" s="54"/>
      <c r="S54" s="81"/>
      <c r="T54" s="1"/>
      <c r="U54" s="1"/>
      <c r="Y54" s="16"/>
      <c r="AC54" s="79"/>
      <c r="AD54" s="1"/>
      <c r="AE54" s="1"/>
    </row>
    <row r="55" spans="1:31" x14ac:dyDescent="0.25">
      <c r="A55" s="118">
        <f>+Total!A154</f>
        <v>39716</v>
      </c>
      <c r="B55" s="76">
        <f>+Total!L154</f>
        <v>566.5</v>
      </c>
      <c r="E55" s="77"/>
      <c r="F55" s="1"/>
      <c r="G55" s="78"/>
      <c r="H55" s="78"/>
      <c r="I55" s="78"/>
      <c r="J55" s="80"/>
      <c r="K55" s="22"/>
      <c r="O55" s="54"/>
      <c r="S55" s="81"/>
      <c r="T55" s="1"/>
      <c r="U55" s="1"/>
      <c r="Y55" s="16"/>
      <c r="AC55" s="79"/>
      <c r="AD55" s="1"/>
      <c r="AE55" s="1"/>
    </row>
    <row r="56" spans="1:31" x14ac:dyDescent="0.25">
      <c r="A56" s="118">
        <f>+Total!A155</f>
        <v>39723</v>
      </c>
      <c r="B56" s="76">
        <f>+Total!L155</f>
        <v>957.90000000000146</v>
      </c>
      <c r="E56" s="77"/>
      <c r="F56" s="1"/>
      <c r="G56" s="78"/>
      <c r="H56" s="78"/>
      <c r="I56" s="78"/>
      <c r="J56" s="80"/>
      <c r="K56" s="22"/>
      <c r="O56" s="54"/>
      <c r="S56" s="81"/>
      <c r="T56" s="1"/>
      <c r="U56" s="1"/>
      <c r="Y56" s="16"/>
      <c r="AC56" s="79"/>
      <c r="AD56" s="1"/>
      <c r="AE56" s="1"/>
    </row>
    <row r="57" spans="1:31" x14ac:dyDescent="0.25">
      <c r="A57" s="118">
        <f>+Total!A156</f>
        <v>39730</v>
      </c>
      <c r="B57" s="76">
        <f>+Total!L156</f>
        <v>975.19999999999891</v>
      </c>
      <c r="E57" s="77"/>
      <c r="F57" s="1"/>
      <c r="G57" s="78"/>
      <c r="H57" s="78"/>
      <c r="I57" s="78"/>
      <c r="J57" s="80"/>
      <c r="K57" s="22"/>
      <c r="O57" s="54"/>
      <c r="S57" s="81"/>
      <c r="T57" s="1"/>
      <c r="U57" s="1"/>
      <c r="Y57" s="16"/>
      <c r="AC57" s="79"/>
      <c r="AD57" s="1"/>
      <c r="AE57" s="1"/>
    </row>
    <row r="58" spans="1:31" x14ac:dyDescent="0.25">
      <c r="A58" s="118">
        <f>+Total!A157</f>
        <v>39737</v>
      </c>
      <c r="B58" s="76">
        <f>+Total!L157</f>
        <v>789.60000000000036</v>
      </c>
      <c r="E58" s="77"/>
      <c r="F58" s="1"/>
      <c r="G58" s="78"/>
      <c r="H58" s="78"/>
      <c r="I58" s="78"/>
      <c r="J58" s="80"/>
      <c r="K58" s="22"/>
      <c r="O58" s="54"/>
      <c r="S58" s="81"/>
      <c r="T58" s="1"/>
      <c r="U58" s="1"/>
      <c r="Y58" s="16"/>
      <c r="AC58" s="79"/>
      <c r="AD58" s="1"/>
      <c r="AE58" s="1"/>
    </row>
    <row r="59" spans="1:31" x14ac:dyDescent="0.25">
      <c r="A59" s="118">
        <f>+Total!A158</f>
        <v>39744</v>
      </c>
      <c r="B59" s="76">
        <f>+Total!L158</f>
        <v>413.09999999999854</v>
      </c>
      <c r="E59" s="77"/>
      <c r="F59" s="1"/>
      <c r="G59" s="78"/>
      <c r="H59" s="78"/>
      <c r="I59" s="78"/>
      <c r="J59" s="80"/>
      <c r="K59" s="22"/>
      <c r="O59" s="54"/>
      <c r="S59" s="81"/>
      <c r="T59" s="1"/>
      <c r="U59" s="1"/>
      <c r="Y59" s="16"/>
      <c r="AC59" s="79"/>
      <c r="AD59" s="1"/>
      <c r="AE59" s="1"/>
    </row>
    <row r="60" spans="1:31" x14ac:dyDescent="0.25">
      <c r="A60" s="118">
        <f>+Total!A159</f>
        <v>39751</v>
      </c>
      <c r="B60" s="76">
        <f>+Total!L159</f>
        <v>471.30000000000291</v>
      </c>
      <c r="E60" s="77"/>
      <c r="F60" s="1"/>
      <c r="G60" s="78"/>
      <c r="H60" s="78"/>
      <c r="I60" s="78"/>
      <c r="J60" s="80"/>
      <c r="K60" s="22"/>
      <c r="O60" s="54"/>
      <c r="S60" s="81"/>
      <c r="T60" s="1"/>
      <c r="U60" s="1"/>
      <c r="Y60" s="16"/>
      <c r="AC60" s="79"/>
      <c r="AD60" s="1"/>
      <c r="AE60" s="1"/>
    </row>
    <row r="61" spans="1:31" x14ac:dyDescent="0.25">
      <c r="A61" s="118">
        <f>+Total!A160</f>
        <v>39758</v>
      </c>
      <c r="B61" s="76">
        <f>+Total!L160</f>
        <v>355.5</v>
      </c>
      <c r="E61" s="77"/>
      <c r="F61" s="1"/>
      <c r="G61" s="78"/>
      <c r="H61" s="78"/>
      <c r="I61" s="78"/>
      <c r="J61" s="80"/>
      <c r="K61" s="22"/>
      <c r="O61" s="54"/>
      <c r="S61" s="81"/>
      <c r="T61" s="1"/>
      <c r="U61" s="1"/>
      <c r="Y61" s="16"/>
      <c r="AC61" s="79"/>
      <c r="AD61" s="1"/>
      <c r="AE61" s="1"/>
    </row>
    <row r="62" spans="1:31" x14ac:dyDescent="0.25">
      <c r="A62" s="118">
        <f>+Total!A161</f>
        <v>39765</v>
      </c>
      <c r="B62" s="76">
        <f>+Total!L161</f>
        <v>383.40000000000146</v>
      </c>
      <c r="E62" s="77"/>
      <c r="F62" s="1"/>
      <c r="G62" s="78"/>
      <c r="H62" s="78"/>
      <c r="I62" s="78"/>
      <c r="J62" s="80"/>
      <c r="K62" s="22"/>
      <c r="O62" s="54"/>
      <c r="S62" s="81"/>
      <c r="T62" s="1"/>
      <c r="U62" s="1"/>
      <c r="Y62" s="16"/>
      <c r="AC62" s="79"/>
      <c r="AD62" s="22"/>
      <c r="AE62" s="1"/>
    </row>
    <row r="63" spans="1:31" x14ac:dyDescent="0.25">
      <c r="A63" s="118">
        <f>+Total!A162</f>
        <v>39772</v>
      </c>
      <c r="B63" s="76">
        <f>+Total!L162</f>
        <v>465.29999999999563</v>
      </c>
      <c r="E63" s="77"/>
      <c r="F63" s="1"/>
      <c r="G63" s="78"/>
      <c r="H63" s="78"/>
      <c r="I63" s="78"/>
      <c r="J63" s="80"/>
      <c r="K63" s="22"/>
      <c r="O63" s="54"/>
      <c r="S63" s="81"/>
      <c r="T63" s="1"/>
      <c r="U63" s="1"/>
      <c r="Y63" s="16"/>
      <c r="AC63" s="79"/>
      <c r="AD63" s="1"/>
      <c r="AE63" s="1"/>
    </row>
    <row r="64" spans="1:31" x14ac:dyDescent="0.25">
      <c r="A64" s="118">
        <f>+Total!A163</f>
        <v>39779</v>
      </c>
      <c r="B64" s="76">
        <f>+Total!L163</f>
        <v>387</v>
      </c>
      <c r="E64" s="77"/>
      <c r="F64" s="1"/>
      <c r="G64" s="78"/>
      <c r="H64" s="78"/>
      <c r="I64" s="78"/>
      <c r="J64" s="80"/>
      <c r="K64" s="22"/>
      <c r="O64" s="54"/>
      <c r="S64" s="81"/>
      <c r="T64" s="1"/>
      <c r="U64" s="1"/>
      <c r="Y64" s="16"/>
      <c r="AC64" s="79"/>
      <c r="AD64" s="1"/>
      <c r="AE64" s="1"/>
    </row>
    <row r="65" spans="1:31" x14ac:dyDescent="0.25">
      <c r="A65" s="118">
        <f>+Total!A164</f>
        <v>39786</v>
      </c>
      <c r="B65" s="76">
        <f>+Total!L164</f>
        <v>885.60000000000218</v>
      </c>
      <c r="E65" s="77"/>
      <c r="F65" s="1"/>
      <c r="G65" s="78"/>
      <c r="H65" s="78"/>
      <c r="I65" s="78"/>
      <c r="J65" s="80"/>
      <c r="K65" s="22"/>
      <c r="O65" s="54"/>
      <c r="S65" s="81"/>
      <c r="T65" s="1"/>
      <c r="U65" s="1"/>
      <c r="Y65" s="16"/>
      <c r="AC65" s="79"/>
      <c r="AD65" s="1"/>
      <c r="AE65" s="1"/>
    </row>
    <row r="66" spans="1:31" x14ac:dyDescent="0.25">
      <c r="A66" s="118">
        <f>+Total!A165</f>
        <v>39793</v>
      </c>
      <c r="B66" s="76">
        <f>+Total!L165</f>
        <v>612.49999999999636</v>
      </c>
      <c r="E66" s="77"/>
      <c r="F66" s="1"/>
      <c r="G66" s="78"/>
      <c r="H66" s="78"/>
      <c r="I66" s="78"/>
      <c r="J66" s="80"/>
      <c r="K66" s="22"/>
      <c r="O66" s="54"/>
      <c r="S66" s="81"/>
      <c r="T66" s="1"/>
      <c r="U66" s="1"/>
      <c r="Y66" s="16"/>
      <c r="AC66" s="79"/>
      <c r="AD66" s="1"/>
      <c r="AE66" s="1"/>
    </row>
    <row r="67" spans="1:31" x14ac:dyDescent="0.25">
      <c r="A67" s="118">
        <f>+Total!A166</f>
        <v>39800</v>
      </c>
      <c r="B67" s="76">
        <f>+Total!L166</f>
        <v>551.40000000000146</v>
      </c>
      <c r="E67" s="77"/>
      <c r="F67" s="1"/>
      <c r="G67" s="78"/>
      <c r="H67" s="78"/>
      <c r="I67" s="78"/>
      <c r="J67" s="80"/>
      <c r="K67" s="22"/>
      <c r="O67" s="54"/>
      <c r="S67" s="81"/>
      <c r="T67" s="1"/>
      <c r="U67" s="1"/>
      <c r="Y67" s="16"/>
      <c r="AC67" s="79"/>
      <c r="AD67" s="1"/>
      <c r="AE67" s="1"/>
    </row>
    <row r="68" spans="1:31" x14ac:dyDescent="0.25">
      <c r="A68" s="118">
        <f>+Total!A167</f>
        <v>39807</v>
      </c>
      <c r="B68" s="76">
        <f>+Total!L167</f>
        <v>269.90000000000146</v>
      </c>
      <c r="E68" s="77"/>
      <c r="F68" s="1"/>
      <c r="G68" s="78"/>
      <c r="H68" s="78"/>
      <c r="I68" s="78"/>
      <c r="J68" s="80"/>
      <c r="K68" s="22"/>
      <c r="O68" s="54"/>
      <c r="S68" s="81"/>
      <c r="T68" s="1"/>
      <c r="U68" s="1"/>
      <c r="Y68" s="16"/>
      <c r="AC68" s="79"/>
      <c r="AD68" s="1"/>
      <c r="AE68" s="1"/>
    </row>
    <row r="69" spans="1:31" x14ac:dyDescent="0.25">
      <c r="A69" s="118">
        <f>+Total!A168</f>
        <v>39814</v>
      </c>
      <c r="B69" s="76">
        <f>+Total!L168</f>
        <v>260.59999999999854</v>
      </c>
      <c r="E69" s="77"/>
      <c r="F69" s="1"/>
      <c r="G69" s="78"/>
      <c r="H69" s="78"/>
      <c r="I69" s="78"/>
      <c r="J69" s="80"/>
      <c r="K69" s="22"/>
      <c r="O69" s="54"/>
      <c r="S69" s="81"/>
      <c r="T69" s="1"/>
      <c r="U69" s="1"/>
      <c r="Y69" s="16"/>
      <c r="AC69" s="79"/>
      <c r="AD69" s="1"/>
      <c r="AE69" s="1"/>
    </row>
    <row r="70" spans="1:31" x14ac:dyDescent="0.25">
      <c r="A70" s="118">
        <f>+Total!A169</f>
        <v>39821</v>
      </c>
      <c r="B70" s="76">
        <f>+Total!L169</f>
        <v>216.20000000000073</v>
      </c>
      <c r="E70" s="77"/>
      <c r="F70" s="1"/>
      <c r="G70" s="78"/>
      <c r="H70" s="78"/>
      <c r="I70" s="78"/>
      <c r="J70" s="80"/>
      <c r="K70" s="22"/>
      <c r="O70" s="54"/>
      <c r="S70" s="81"/>
      <c r="T70" s="1"/>
      <c r="U70" s="1"/>
      <c r="Y70" s="16"/>
      <c r="AC70" s="79"/>
      <c r="AD70" s="1"/>
      <c r="AE70" s="1"/>
    </row>
    <row r="71" spans="1:31" x14ac:dyDescent="0.25">
      <c r="A71" s="118">
        <f>+Total!A170</f>
        <v>39828</v>
      </c>
      <c r="B71" s="76">
        <f>+Total!L170</f>
        <v>1086</v>
      </c>
      <c r="E71" s="77"/>
      <c r="F71" s="1"/>
      <c r="G71" s="78"/>
      <c r="H71" s="78"/>
      <c r="I71" s="78"/>
      <c r="J71" s="80"/>
      <c r="K71" s="22"/>
      <c r="O71" s="54"/>
      <c r="S71" s="81"/>
      <c r="T71" s="1"/>
      <c r="U71" s="1"/>
      <c r="Y71" s="16"/>
      <c r="AC71" s="79"/>
      <c r="AD71" s="1"/>
      <c r="AE71" s="1"/>
    </row>
    <row r="72" spans="1:31" x14ac:dyDescent="0.25">
      <c r="A72" s="118">
        <f>+Total!A171</f>
        <v>39835</v>
      </c>
      <c r="B72" s="76">
        <f>+Total!L171</f>
        <v>1107.7000000000007</v>
      </c>
      <c r="E72" s="77"/>
      <c r="F72" s="1"/>
      <c r="G72" s="78"/>
      <c r="H72" s="78"/>
      <c r="I72" s="78"/>
      <c r="J72" s="80"/>
      <c r="K72" s="22"/>
      <c r="O72" s="54"/>
      <c r="S72" s="81"/>
      <c r="T72" s="1"/>
      <c r="U72" s="1"/>
      <c r="Y72" s="16"/>
      <c r="AC72" s="79"/>
      <c r="AD72" s="1"/>
      <c r="AE72" s="1"/>
    </row>
    <row r="73" spans="1:31" x14ac:dyDescent="0.25">
      <c r="A73" s="118">
        <f>+Total!A172</f>
        <v>39842</v>
      </c>
      <c r="B73" s="76">
        <f>+Total!L172</f>
        <v>1164.2000000000007</v>
      </c>
      <c r="E73" s="77"/>
      <c r="F73" s="1"/>
      <c r="G73" s="78"/>
      <c r="H73" s="78"/>
      <c r="I73" s="78"/>
      <c r="J73" s="80"/>
      <c r="K73" s="22"/>
      <c r="O73" s="54"/>
      <c r="S73" s="81"/>
      <c r="T73" s="1"/>
      <c r="U73" s="1"/>
      <c r="Y73" s="16"/>
      <c r="AC73" s="79"/>
      <c r="AD73" s="1"/>
      <c r="AE73" s="1"/>
    </row>
    <row r="74" spans="1:31" x14ac:dyDescent="0.25">
      <c r="A74" s="118">
        <f>+Total!A173</f>
        <v>39849</v>
      </c>
      <c r="B74" s="76">
        <f>+Total!L173</f>
        <v>1543.7999999999993</v>
      </c>
      <c r="E74" s="77"/>
      <c r="F74" s="1"/>
      <c r="G74" s="78"/>
      <c r="H74" s="78"/>
      <c r="I74" s="78"/>
      <c r="J74" s="80"/>
      <c r="K74" s="22"/>
      <c r="O74" s="54"/>
      <c r="S74" s="81"/>
      <c r="T74" s="1"/>
      <c r="U74" s="1"/>
      <c r="Y74" s="16"/>
      <c r="AC74" s="79"/>
      <c r="AD74" s="1"/>
      <c r="AE74" s="1"/>
    </row>
    <row r="75" spans="1:31" x14ac:dyDescent="0.25">
      <c r="A75" s="118">
        <f>+Total!A174</f>
        <v>39856</v>
      </c>
      <c r="B75" s="76">
        <f>+Total!L174</f>
        <v>1332.3000000000029</v>
      </c>
      <c r="E75" s="77"/>
      <c r="F75" s="1"/>
      <c r="G75" s="78"/>
      <c r="H75" s="78"/>
      <c r="I75" s="78"/>
      <c r="J75" s="80"/>
      <c r="K75" s="22"/>
      <c r="O75" s="54"/>
      <c r="S75" s="81"/>
      <c r="T75" s="1"/>
      <c r="U75" s="1"/>
      <c r="Y75" s="16"/>
      <c r="AC75" s="79"/>
      <c r="AD75" s="1"/>
      <c r="AE75" s="1"/>
    </row>
    <row r="76" spans="1:31" x14ac:dyDescent="0.25">
      <c r="A76" s="118">
        <f>+Total!A175</f>
        <v>39863</v>
      </c>
      <c r="B76" s="76">
        <f>+Total!L175</f>
        <v>448.89999999999418</v>
      </c>
      <c r="E76" s="77"/>
      <c r="F76" s="1"/>
      <c r="G76" s="78"/>
      <c r="H76" s="78"/>
      <c r="I76" s="78"/>
      <c r="J76" s="80"/>
      <c r="K76" s="22"/>
      <c r="O76" s="54"/>
      <c r="S76" s="81"/>
      <c r="T76" s="1"/>
      <c r="U76" s="1"/>
      <c r="Y76" s="16"/>
      <c r="AC76" s="79"/>
      <c r="AD76" s="1"/>
      <c r="AE76" s="1"/>
    </row>
    <row r="77" spans="1:31" x14ac:dyDescent="0.25">
      <c r="A77" s="118">
        <f>+Total!A176</f>
        <v>39870</v>
      </c>
      <c r="B77" s="76">
        <f>+Total!L176</f>
        <v>791.90000000000146</v>
      </c>
      <c r="E77" s="77"/>
      <c r="F77" s="1"/>
      <c r="G77" s="78"/>
      <c r="H77" s="78"/>
      <c r="I77" s="78"/>
      <c r="J77" s="80"/>
      <c r="K77" s="22"/>
      <c r="O77" s="54"/>
      <c r="S77" s="81"/>
      <c r="T77" s="1"/>
      <c r="U77" s="1"/>
      <c r="Y77" s="16"/>
      <c r="AC77" s="79"/>
      <c r="AD77" s="1"/>
      <c r="AE77" s="1"/>
    </row>
    <row r="78" spans="1:31" x14ac:dyDescent="0.25">
      <c r="A78" s="118">
        <f>+Total!A177</f>
        <v>39877</v>
      </c>
      <c r="B78" s="76">
        <f>+Total!L177</f>
        <v>1092.4000000000015</v>
      </c>
      <c r="E78" s="77"/>
      <c r="F78" s="1"/>
      <c r="G78" s="78"/>
      <c r="H78" s="78"/>
      <c r="I78" s="78"/>
      <c r="J78" s="80"/>
      <c r="K78" s="22"/>
      <c r="O78" s="54"/>
      <c r="S78" s="81"/>
      <c r="T78" s="1"/>
      <c r="U78" s="1"/>
      <c r="Y78" s="16"/>
      <c r="AC78" s="79"/>
      <c r="AD78" s="1"/>
      <c r="AE78" s="1"/>
    </row>
    <row r="79" spans="1:31" x14ac:dyDescent="0.25">
      <c r="A79" s="118">
        <f>+Total!A178</f>
        <v>39884</v>
      </c>
      <c r="B79" s="76">
        <f>+Total!L178</f>
        <v>440.59999999999854</v>
      </c>
      <c r="E79" s="77"/>
      <c r="F79" s="1"/>
      <c r="G79" s="78"/>
      <c r="H79" s="78"/>
      <c r="I79" s="78"/>
      <c r="J79" s="80"/>
      <c r="K79" s="22"/>
      <c r="O79" s="54"/>
      <c r="S79" s="81"/>
      <c r="T79" s="1"/>
      <c r="U79" s="1"/>
      <c r="Y79" s="16"/>
      <c r="AC79" s="79"/>
      <c r="AD79" s="1"/>
      <c r="AE79" s="1"/>
    </row>
    <row r="80" spans="1:31" x14ac:dyDescent="0.25">
      <c r="A80" s="118">
        <f>+Total!A179</f>
        <v>39891</v>
      </c>
      <c r="B80" s="76">
        <f>+Total!L179</f>
        <v>1191.3000000000029</v>
      </c>
      <c r="E80" s="77"/>
      <c r="F80" s="1"/>
      <c r="G80" s="78"/>
      <c r="H80" s="78"/>
      <c r="I80" s="78"/>
      <c r="J80" s="80"/>
      <c r="K80" s="22"/>
      <c r="O80" s="54"/>
      <c r="S80" s="81"/>
      <c r="T80" s="1"/>
      <c r="U80" s="1"/>
      <c r="Y80" s="16"/>
      <c r="AC80" s="79"/>
      <c r="AD80" s="1"/>
      <c r="AE80" s="1"/>
    </row>
    <row r="81" spans="1:31" x14ac:dyDescent="0.25">
      <c r="A81" s="118">
        <f>+Total!A180</f>
        <v>39898</v>
      </c>
      <c r="B81" s="76">
        <f>+Total!L180</f>
        <v>1250.5999999999985</v>
      </c>
      <c r="E81" s="77"/>
      <c r="F81" s="1"/>
      <c r="G81" s="78"/>
      <c r="H81" s="78"/>
      <c r="I81" s="78"/>
      <c r="J81" s="80"/>
      <c r="K81" s="22"/>
      <c r="O81" s="54"/>
      <c r="S81" s="81"/>
      <c r="T81" s="1"/>
      <c r="U81" s="1"/>
      <c r="Y81" s="16"/>
      <c r="AC81" s="79"/>
      <c r="AD81" s="1"/>
      <c r="AE81" s="1"/>
    </row>
    <row r="82" spans="1:31" x14ac:dyDescent="0.25">
      <c r="A82" s="118">
        <f>+Total!A181</f>
        <v>39905</v>
      </c>
      <c r="B82" s="76">
        <f>+Total!L181</f>
        <v>1063.4000000000015</v>
      </c>
      <c r="E82" s="77"/>
      <c r="F82" s="1"/>
      <c r="G82" s="78"/>
      <c r="H82" s="78"/>
      <c r="I82" s="78"/>
      <c r="J82" s="80"/>
      <c r="K82" s="22"/>
      <c r="O82" s="54"/>
      <c r="S82" s="81"/>
      <c r="T82" s="1"/>
      <c r="U82" s="1"/>
      <c r="Y82" s="16"/>
      <c r="AC82" s="79"/>
      <c r="AD82" s="1"/>
      <c r="AE82" s="1"/>
    </row>
    <row r="83" spans="1:31" x14ac:dyDescent="0.25">
      <c r="A83" s="118">
        <f>+Total!A182</f>
        <v>39912</v>
      </c>
      <c r="B83" s="76">
        <f>+Total!L182</f>
        <v>879.59999999999854</v>
      </c>
      <c r="E83" s="77"/>
      <c r="F83" s="1"/>
      <c r="G83" s="78"/>
      <c r="H83" s="78"/>
      <c r="I83" s="78"/>
      <c r="J83" s="80"/>
      <c r="K83" s="22"/>
      <c r="O83" s="54"/>
      <c r="S83" s="81"/>
      <c r="T83" s="1"/>
      <c r="U83" s="1"/>
      <c r="Y83" s="16"/>
      <c r="AC83" s="79"/>
      <c r="AD83" s="1"/>
      <c r="AE83" s="1"/>
    </row>
    <row r="84" spans="1:31" x14ac:dyDescent="0.25">
      <c r="A84" s="118">
        <f>+Total!A183</f>
        <v>39919</v>
      </c>
      <c r="B84" s="76">
        <f>+Total!L183</f>
        <v>1204.4000000000015</v>
      </c>
      <c r="E84" s="77"/>
      <c r="F84" s="1"/>
      <c r="G84" s="78"/>
      <c r="H84" s="78"/>
      <c r="I84" s="78"/>
      <c r="J84" s="80"/>
      <c r="K84" s="22"/>
      <c r="O84" s="54"/>
      <c r="S84" s="81"/>
      <c r="T84" s="1"/>
      <c r="U84" s="1"/>
      <c r="Y84" s="16"/>
      <c r="AC84" s="79"/>
      <c r="AD84" s="1"/>
      <c r="AE84" s="1"/>
    </row>
    <row r="85" spans="1:31" x14ac:dyDescent="0.25">
      <c r="A85" s="118">
        <f>+Total!A184</f>
        <v>39926</v>
      </c>
      <c r="B85" s="76">
        <f>+Total!L184</f>
        <v>1225.2999999999956</v>
      </c>
      <c r="E85" s="77"/>
      <c r="F85" s="1"/>
      <c r="G85" s="78"/>
      <c r="H85" s="78"/>
      <c r="I85" s="78"/>
      <c r="J85" s="80"/>
      <c r="K85" s="22"/>
      <c r="O85" s="54"/>
      <c r="S85" s="81"/>
      <c r="T85" s="1"/>
      <c r="U85" s="1"/>
      <c r="Y85" s="16"/>
      <c r="AC85" s="79"/>
      <c r="AD85" s="1"/>
      <c r="AE85" s="1"/>
    </row>
    <row r="86" spans="1:31" x14ac:dyDescent="0.25">
      <c r="A86" s="118">
        <f>+Total!A185</f>
        <v>39933</v>
      </c>
      <c r="B86" s="76">
        <f>+Total!L185</f>
        <v>588.60000000000582</v>
      </c>
      <c r="E86" s="77"/>
      <c r="F86" s="1"/>
      <c r="G86" s="78"/>
      <c r="H86" s="78"/>
      <c r="I86" s="78"/>
      <c r="J86" s="80"/>
      <c r="K86" s="22"/>
      <c r="O86" s="54"/>
      <c r="S86" s="81"/>
      <c r="T86" s="1"/>
      <c r="U86" s="1"/>
      <c r="Y86" s="16"/>
      <c r="AC86" s="79"/>
      <c r="AD86" s="1"/>
      <c r="AE86" s="1"/>
    </row>
    <row r="87" spans="1:31" x14ac:dyDescent="0.25">
      <c r="A87" s="118">
        <f>+Total!A186</f>
        <v>39940</v>
      </c>
      <c r="B87" s="76">
        <f>+Total!L186</f>
        <v>936.79999999999563</v>
      </c>
      <c r="E87" s="77"/>
      <c r="F87" s="1"/>
      <c r="G87" s="78"/>
      <c r="H87" s="78"/>
      <c r="I87" s="78"/>
      <c r="J87" s="80"/>
      <c r="K87" s="22"/>
      <c r="O87" s="54"/>
      <c r="S87" s="81"/>
      <c r="T87" s="1"/>
      <c r="U87" s="1"/>
      <c r="Y87" s="16"/>
      <c r="AC87" s="79"/>
      <c r="AD87" s="1"/>
      <c r="AE87" s="1"/>
    </row>
    <row r="88" spans="1:31" x14ac:dyDescent="0.25">
      <c r="A88" s="118">
        <f>+Total!A187</f>
        <v>39947</v>
      </c>
      <c r="B88" s="76">
        <f>+Total!L187</f>
        <v>683.50000000000728</v>
      </c>
      <c r="E88" s="77"/>
      <c r="F88" s="1"/>
      <c r="G88" s="78"/>
      <c r="H88" s="78"/>
      <c r="I88" s="78"/>
      <c r="J88" s="80"/>
      <c r="K88" s="22"/>
      <c r="O88" s="54"/>
      <c r="S88" s="81"/>
      <c r="T88" s="1"/>
      <c r="U88" s="1"/>
      <c r="Y88" s="16"/>
      <c r="AC88" s="79"/>
      <c r="AD88" s="1"/>
      <c r="AE88" s="1"/>
    </row>
    <row r="89" spans="1:31" x14ac:dyDescent="0.25">
      <c r="A89" s="118">
        <f>+Total!A188</f>
        <v>39954</v>
      </c>
      <c r="B89" s="76">
        <f>+Total!L188</f>
        <v>756.09999999999127</v>
      </c>
      <c r="E89" s="77"/>
      <c r="F89" s="1"/>
      <c r="G89" s="78"/>
      <c r="H89" s="78"/>
      <c r="I89" s="78"/>
      <c r="J89" s="80"/>
      <c r="K89" s="22"/>
      <c r="O89" s="54"/>
      <c r="S89" s="81"/>
      <c r="T89" s="1"/>
      <c r="U89" s="1"/>
      <c r="Y89" s="16"/>
      <c r="AC89" s="79"/>
      <c r="AD89" s="1"/>
      <c r="AE89" s="1"/>
    </row>
    <row r="90" spans="1:31" x14ac:dyDescent="0.25">
      <c r="A90" s="118">
        <f>+Total!A189</f>
        <v>39961</v>
      </c>
      <c r="B90" s="76">
        <f>+Total!L189</f>
        <v>604.5</v>
      </c>
      <c r="E90" s="77"/>
      <c r="F90" s="1"/>
      <c r="G90" s="78"/>
      <c r="H90" s="78"/>
      <c r="I90" s="78"/>
      <c r="J90" s="80"/>
      <c r="K90" s="22"/>
      <c r="O90" s="54"/>
      <c r="S90" s="81"/>
      <c r="T90" s="1"/>
      <c r="U90" s="1"/>
      <c r="Y90" s="16"/>
      <c r="AC90" s="79"/>
      <c r="AD90" s="1"/>
      <c r="AE90" s="1"/>
    </row>
    <row r="91" spans="1:31" x14ac:dyDescent="0.25">
      <c r="A91" s="118">
        <f>+Total!A190</f>
        <v>39968</v>
      </c>
      <c r="B91" s="76">
        <f>+Total!L190</f>
        <v>713.20000000000437</v>
      </c>
      <c r="E91" s="77"/>
      <c r="F91" s="1"/>
      <c r="G91" s="78"/>
      <c r="H91" s="78"/>
      <c r="I91" s="78"/>
      <c r="J91" s="80"/>
      <c r="K91" s="22"/>
      <c r="O91" s="54"/>
      <c r="S91" s="81"/>
      <c r="T91" s="1"/>
      <c r="U91" s="1"/>
      <c r="Y91" s="16"/>
      <c r="AC91" s="79"/>
      <c r="AD91" s="1"/>
      <c r="AE91" s="1"/>
    </row>
    <row r="92" spans="1:31" x14ac:dyDescent="0.25">
      <c r="A92" s="118">
        <f>+Total!A191</f>
        <v>39975</v>
      </c>
      <c r="B92" s="76">
        <f>+Total!L191</f>
        <v>767.19999999999709</v>
      </c>
      <c r="E92" s="77"/>
      <c r="F92" s="1"/>
      <c r="G92" s="78"/>
      <c r="H92" s="78"/>
      <c r="I92" s="78"/>
      <c r="J92" s="80"/>
      <c r="K92" s="22"/>
      <c r="O92" s="54"/>
      <c r="S92" s="81"/>
      <c r="T92" s="1"/>
      <c r="U92" s="1"/>
      <c r="Y92" s="16"/>
      <c r="AC92" s="79"/>
      <c r="AD92" s="1"/>
      <c r="AE92" s="1"/>
    </row>
    <row r="93" spans="1:31" x14ac:dyDescent="0.25">
      <c r="A93" s="118">
        <f>+Total!A192</f>
        <v>39982</v>
      </c>
      <c r="B93" s="76">
        <f>+Total!L192</f>
        <v>686.5</v>
      </c>
      <c r="E93" s="77"/>
      <c r="F93" s="1"/>
      <c r="G93" s="78"/>
      <c r="H93" s="78"/>
      <c r="I93" s="78"/>
      <c r="J93" s="80"/>
      <c r="K93" s="22"/>
      <c r="O93" s="54"/>
      <c r="S93" s="81"/>
      <c r="T93" s="1"/>
      <c r="U93" s="1"/>
      <c r="Y93" s="16"/>
      <c r="AC93" s="79"/>
      <c r="AD93" s="1"/>
      <c r="AE93" s="1"/>
    </row>
    <row r="94" spans="1:31" x14ac:dyDescent="0.25">
      <c r="A94" s="118">
        <f>+Total!A193</f>
        <v>39989</v>
      </c>
      <c r="B94" s="76">
        <f>+Total!L193</f>
        <v>1155.0999999999985</v>
      </c>
      <c r="E94" s="77"/>
      <c r="F94" s="1"/>
      <c r="G94" s="78"/>
      <c r="H94" s="78"/>
      <c r="I94" s="78"/>
      <c r="J94" s="80"/>
      <c r="K94" s="22"/>
      <c r="O94" s="54"/>
      <c r="S94" s="81"/>
      <c r="T94" s="1"/>
      <c r="U94" s="1"/>
      <c r="Y94" s="16"/>
      <c r="AC94" s="79"/>
      <c r="AD94" s="1"/>
      <c r="AE94" s="1"/>
    </row>
    <row r="95" spans="1:31" x14ac:dyDescent="0.25">
      <c r="A95" s="118">
        <f>+Total!A194</f>
        <v>39996</v>
      </c>
      <c r="B95" s="76">
        <f>+Total!L194</f>
        <v>749</v>
      </c>
      <c r="E95" s="77"/>
      <c r="F95" s="1"/>
      <c r="G95" s="78"/>
      <c r="H95" s="78"/>
      <c r="I95" s="78"/>
      <c r="J95" s="80"/>
      <c r="K95" s="22"/>
      <c r="O95" s="54"/>
      <c r="S95" s="81"/>
      <c r="T95" s="1"/>
      <c r="U95" s="1"/>
      <c r="Y95" s="16"/>
      <c r="AC95" s="79"/>
      <c r="AD95" s="1"/>
      <c r="AE95" s="1"/>
    </row>
    <row r="96" spans="1:31" x14ac:dyDescent="0.25">
      <c r="A96" s="118">
        <f>+Total!A195</f>
        <v>40003</v>
      </c>
      <c r="B96" s="76">
        <f>+Total!L195</f>
        <v>699.70000000000437</v>
      </c>
      <c r="E96" s="77"/>
      <c r="F96" s="1"/>
      <c r="G96" s="78"/>
      <c r="H96" s="78"/>
      <c r="I96" s="78"/>
      <c r="J96" s="80"/>
      <c r="K96" s="22"/>
      <c r="O96" s="54"/>
      <c r="S96" s="81"/>
      <c r="T96" s="1"/>
      <c r="U96" s="1"/>
      <c r="Y96" s="16"/>
      <c r="AC96" s="79"/>
      <c r="AD96" s="1"/>
      <c r="AE96" s="1"/>
    </row>
    <row r="97" spans="1:31" x14ac:dyDescent="0.25">
      <c r="A97" s="118">
        <f>+Total!A196</f>
        <v>40010</v>
      </c>
      <c r="B97" s="76">
        <f>+Total!L196</f>
        <v>757.69999999999709</v>
      </c>
      <c r="E97" s="77"/>
      <c r="F97" s="1"/>
      <c r="G97" s="78"/>
      <c r="H97" s="78"/>
      <c r="I97" s="78"/>
      <c r="J97" s="80"/>
      <c r="K97" s="22"/>
      <c r="O97" s="54"/>
      <c r="S97" s="81"/>
      <c r="T97" s="1"/>
      <c r="U97" s="1"/>
      <c r="Y97" s="16"/>
      <c r="AC97" s="79"/>
      <c r="AD97" s="1"/>
      <c r="AE97" s="1"/>
    </row>
    <row r="98" spans="1:31" x14ac:dyDescent="0.25">
      <c r="A98" s="118">
        <f>+Total!A197</f>
        <v>40017</v>
      </c>
      <c r="B98" s="76">
        <f>+Total!L197</f>
        <v>485.30000000000291</v>
      </c>
      <c r="E98" s="77"/>
      <c r="F98" s="1"/>
      <c r="G98" s="78"/>
      <c r="H98" s="78"/>
      <c r="I98" s="78"/>
      <c r="J98" s="80"/>
      <c r="K98" s="22"/>
      <c r="O98" s="54"/>
      <c r="S98" s="81"/>
      <c r="T98" s="1"/>
      <c r="U98" s="1"/>
      <c r="Y98" s="16"/>
      <c r="AC98" s="79"/>
      <c r="AD98" s="1"/>
      <c r="AE98" s="1"/>
    </row>
    <row r="99" spans="1:31" x14ac:dyDescent="0.25">
      <c r="A99" s="118">
        <f>+Total!A198</f>
        <v>40024</v>
      </c>
      <c r="B99" s="76">
        <f>+Total!L198</f>
        <v>396.09999999999854</v>
      </c>
      <c r="E99" s="77"/>
      <c r="F99" s="1"/>
      <c r="G99" s="78"/>
      <c r="H99" s="78"/>
      <c r="I99" s="78"/>
      <c r="J99" s="80"/>
      <c r="K99" s="22"/>
      <c r="O99" s="54"/>
      <c r="S99" s="81"/>
      <c r="T99" s="1"/>
      <c r="U99" s="1"/>
      <c r="Y99" s="16"/>
      <c r="AC99" s="79"/>
      <c r="AD99" s="1"/>
      <c r="AE99" s="1"/>
    </row>
    <row r="100" spans="1:31" x14ac:dyDescent="0.25">
      <c r="A100" s="118">
        <f>+Total!A199</f>
        <v>40031</v>
      </c>
      <c r="B100" s="76">
        <f>+Total!L199</f>
        <v>541.20000000000437</v>
      </c>
      <c r="E100" s="77"/>
      <c r="F100" s="1"/>
      <c r="G100" s="78"/>
      <c r="H100" s="78"/>
      <c r="I100" s="78"/>
      <c r="J100" s="80"/>
      <c r="K100" s="22"/>
      <c r="O100" s="54"/>
      <c r="S100" s="81"/>
      <c r="T100" s="1"/>
      <c r="U100" s="1"/>
      <c r="Y100" s="16"/>
      <c r="AC100" s="79"/>
      <c r="AD100" s="1"/>
      <c r="AE100" s="1"/>
    </row>
    <row r="101" spans="1:31" x14ac:dyDescent="0.25">
      <c r="A101" s="118">
        <f>+Total!A200</f>
        <v>40038</v>
      </c>
      <c r="B101" s="76">
        <f>+Total!L200</f>
        <v>576.99999999999272</v>
      </c>
      <c r="E101" s="77"/>
      <c r="F101" s="1"/>
      <c r="G101" s="78"/>
      <c r="H101" s="78"/>
      <c r="I101" s="78"/>
      <c r="J101" s="80"/>
      <c r="K101" s="22"/>
      <c r="O101" s="54"/>
      <c r="S101" s="81"/>
      <c r="T101" s="1"/>
      <c r="U101" s="1"/>
      <c r="Y101" s="16"/>
      <c r="AC101" s="79"/>
      <c r="AD101" s="1"/>
      <c r="AE101" s="1"/>
    </row>
    <row r="102" spans="1:31" x14ac:dyDescent="0.25">
      <c r="A102" s="118">
        <f>+Total!A201</f>
        <v>40045</v>
      </c>
      <c r="B102" s="76">
        <f>+Total!L201</f>
        <v>265.70000000000437</v>
      </c>
      <c r="E102" s="77"/>
      <c r="F102" s="1"/>
      <c r="G102" s="78"/>
      <c r="H102" s="78"/>
      <c r="I102" s="78"/>
      <c r="J102" s="80"/>
      <c r="K102" s="22"/>
      <c r="O102" s="54"/>
      <c r="S102" s="81"/>
      <c r="T102" s="1"/>
      <c r="U102" s="1"/>
      <c r="Y102" s="16"/>
      <c r="AC102" s="79"/>
      <c r="AD102" s="1"/>
      <c r="AE102" s="1"/>
    </row>
    <row r="103" spans="1:31" x14ac:dyDescent="0.25">
      <c r="A103" s="118">
        <f>+Total!A202</f>
        <v>40052</v>
      </c>
      <c r="B103" s="76">
        <f>+Total!L202</f>
        <v>344.79999999999563</v>
      </c>
      <c r="E103" s="77"/>
      <c r="F103" s="1"/>
      <c r="G103" s="78"/>
      <c r="H103" s="78"/>
      <c r="I103" s="78"/>
      <c r="J103" s="80"/>
      <c r="K103" s="22"/>
      <c r="O103" s="54"/>
      <c r="S103" s="81"/>
      <c r="T103" s="1"/>
      <c r="U103" s="1"/>
      <c r="Y103" s="16"/>
      <c r="AC103" s="79"/>
      <c r="AD103" s="1"/>
      <c r="AE103" s="1"/>
    </row>
    <row r="104" spans="1:31" x14ac:dyDescent="0.25">
      <c r="A104" s="118">
        <f>+Total!A203</f>
        <v>40059</v>
      </c>
      <c r="B104" s="76">
        <f>+Total!L203</f>
        <v>-36379.299999999996</v>
      </c>
      <c r="E104" s="77"/>
      <c r="F104" s="1"/>
      <c r="G104" s="78"/>
      <c r="H104" s="78"/>
      <c r="I104" s="78"/>
      <c r="J104" s="80"/>
      <c r="K104" s="22"/>
      <c r="O104" s="54"/>
      <c r="S104" s="81"/>
      <c r="T104" s="1"/>
      <c r="U104" s="1"/>
      <c r="Y104" s="16"/>
      <c r="AC104" s="79"/>
      <c r="AD104" s="1"/>
      <c r="AE104" s="1"/>
    </row>
    <row r="105" spans="1:31" x14ac:dyDescent="0.25">
      <c r="A105" s="118">
        <f>+Total!A204</f>
        <v>40066</v>
      </c>
      <c r="B105" s="76">
        <f>+Total!L204</f>
        <v>965.60000000000036</v>
      </c>
      <c r="C105">
        <f>+[1]US!$I195</f>
        <v>381.59999999999854</v>
      </c>
      <c r="D105">
        <f>+[2]US!$I187</f>
        <v>390.59999999999854</v>
      </c>
      <c r="E105" s="77">
        <f t="shared" ref="E105:E118" si="0">SUM(B105:D105)</f>
        <v>1737.7999999999975</v>
      </c>
      <c r="F105" s="1" t="e">
        <f t="shared" ref="F105:F118" si="1">+E105/E104-1</f>
        <v>#DIV/0!</v>
      </c>
      <c r="G105" s="78">
        <f>+Total!O207</f>
        <v>0</v>
      </c>
      <c r="H105" s="78" t="e">
        <f>+[3]US!$K198</f>
        <v>#REF!</v>
      </c>
      <c r="I105" s="78" t="e">
        <f>+[4]US!$L190</f>
        <v>#REF!</v>
      </c>
      <c r="J105" s="80" t="e">
        <f t="shared" ref="J105:J118" si="2">SUM(G105:I105)</f>
        <v>#REF!</v>
      </c>
      <c r="K105" s="22" t="e">
        <f t="shared" ref="K105:K118" si="3">+E105/J105-1</f>
        <v>#REF!</v>
      </c>
      <c r="L105">
        <f>+Total!G207-Total!G206</f>
        <v>1144.2000000000003</v>
      </c>
      <c r="M105" t="e">
        <f>+[3]US!$L198</f>
        <v>#REF!</v>
      </c>
      <c r="N105" t="e">
        <f>+[4]US!$J190</f>
        <v>#REF!</v>
      </c>
      <c r="O105" s="54" t="e">
        <f t="shared" ref="O105:O118" si="4">SUM(L105:N105)</f>
        <v>#REF!</v>
      </c>
      <c r="P105">
        <f>+Total!H207-Total!H206</f>
        <v>825.30000000000018</v>
      </c>
      <c r="Q105" t="e">
        <f>+[3]US!$M198</f>
        <v>#REF!</v>
      </c>
      <c r="R105" t="e">
        <f>+[4]US!$K190</f>
        <v>#REF!</v>
      </c>
      <c r="S105" s="81" t="e">
        <f t="shared" ref="S105:S118" si="5">SUM(P105:R105)</f>
        <v>#REF!</v>
      </c>
      <c r="T105" s="1" t="e">
        <f t="shared" ref="T105:T118" si="6">+O105/O104-1</f>
        <v>#REF!</v>
      </c>
      <c r="U105" s="1" t="e">
        <f t="shared" ref="U105:U118" si="7">+O105/S105-1</f>
        <v>#REF!</v>
      </c>
      <c r="V105">
        <f>+Total!E207</f>
        <v>11205.5</v>
      </c>
      <c r="W105" t="e">
        <f>+[3]US!$B198</f>
        <v>#REF!</v>
      </c>
      <c r="X105" t="e">
        <f>+[4]US!$B190</f>
        <v>#REF!</v>
      </c>
      <c r="Y105" s="16" t="e">
        <f t="shared" ref="Y105:Y118" si="8">SUM(V105:X105)</f>
        <v>#REF!</v>
      </c>
      <c r="Z105">
        <f>+Total!F207</f>
        <v>10435.200000000001</v>
      </c>
      <c r="AA105" t="e">
        <f>+[3]US!$C198</f>
        <v>#REF!</v>
      </c>
      <c r="AB105" t="e">
        <f>+[4]US!$C190</f>
        <v>#REF!</v>
      </c>
      <c r="AC105" s="79" t="e">
        <f t="shared" ref="AC105:AC118" si="9">SUM(Z105:AB105)</f>
        <v>#REF!</v>
      </c>
      <c r="AD105" s="1" t="e">
        <f t="shared" ref="AD105:AD118" si="10">+Y105/Y104-1</f>
        <v>#REF!</v>
      </c>
      <c r="AE105" s="1" t="e">
        <f t="shared" ref="AE105:AE118" si="11">+Y105/AC105-1</f>
        <v>#REF!</v>
      </c>
    </row>
    <row r="106" spans="1:31" x14ac:dyDescent="0.25">
      <c r="A106" s="118">
        <f>+Total!A205</f>
        <v>40073</v>
      </c>
      <c r="B106" s="76">
        <f>+Total!L205</f>
        <v>673.20000000000073</v>
      </c>
      <c r="C106">
        <f>+[1]US!$I196</f>
        <v>312.80000000000291</v>
      </c>
      <c r="D106">
        <f>+[2]US!$I188</f>
        <v>245.19999999999891</v>
      </c>
      <c r="E106" s="77">
        <f t="shared" si="0"/>
        <v>1231.2000000000025</v>
      </c>
      <c r="F106" s="1">
        <f t="shared" si="1"/>
        <v>-0.29151801127862564</v>
      </c>
      <c r="G106" s="78">
        <f>+Total!O208</f>
        <v>0</v>
      </c>
      <c r="H106" s="78" t="e">
        <f>+[3]US!$K199</f>
        <v>#REF!</v>
      </c>
      <c r="I106" s="78" t="e">
        <f>+[4]US!$L191</f>
        <v>#REF!</v>
      </c>
      <c r="J106" s="80" t="e">
        <f t="shared" si="2"/>
        <v>#REF!</v>
      </c>
      <c r="K106" s="22" t="e">
        <f t="shared" si="3"/>
        <v>#REF!</v>
      </c>
      <c r="L106">
        <f>+Total!G208-Total!G207</f>
        <v>670.19999999999982</v>
      </c>
      <c r="M106" t="e">
        <f>+[3]US!$L199</f>
        <v>#REF!</v>
      </c>
      <c r="N106" t="e">
        <f>+[4]US!$J191</f>
        <v>#REF!</v>
      </c>
      <c r="O106" s="54" t="e">
        <f t="shared" si="4"/>
        <v>#REF!</v>
      </c>
      <c r="P106">
        <f>+Total!H208-Total!H207</f>
        <v>873.10000000000036</v>
      </c>
      <c r="Q106" t="e">
        <f>+[3]US!$M199</f>
        <v>#REF!</v>
      </c>
      <c r="R106" t="e">
        <f>+[4]US!$K191</f>
        <v>#REF!</v>
      </c>
      <c r="S106" s="81" t="e">
        <f t="shared" si="5"/>
        <v>#REF!</v>
      </c>
      <c r="T106" s="1" t="e">
        <f t="shared" si="6"/>
        <v>#REF!</v>
      </c>
      <c r="U106" s="1" t="e">
        <f t="shared" si="7"/>
        <v>#REF!</v>
      </c>
      <c r="V106">
        <f>+Total!E208</f>
        <v>11167.2</v>
      </c>
      <c r="W106" t="e">
        <f>+[3]US!$B199</f>
        <v>#REF!</v>
      </c>
      <c r="X106" t="e">
        <f>+[4]US!$B191</f>
        <v>#REF!</v>
      </c>
      <c r="Y106" s="16" t="e">
        <f t="shared" si="8"/>
        <v>#REF!</v>
      </c>
      <c r="Z106">
        <f>+Total!F208</f>
        <v>10486.9</v>
      </c>
      <c r="AA106" t="e">
        <f>+[3]US!$C199</f>
        <v>#REF!</v>
      </c>
      <c r="AB106" t="e">
        <f>+[4]US!$C191</f>
        <v>#REF!</v>
      </c>
      <c r="AC106" s="79" t="e">
        <f t="shared" si="9"/>
        <v>#REF!</v>
      </c>
      <c r="AD106" s="1" t="e">
        <f t="shared" si="10"/>
        <v>#REF!</v>
      </c>
      <c r="AE106" s="1" t="e">
        <f t="shared" si="11"/>
        <v>#REF!</v>
      </c>
    </row>
    <row r="107" spans="1:31" x14ac:dyDescent="0.25">
      <c r="A107" s="118">
        <f>+Total!A206</f>
        <v>40080</v>
      </c>
      <c r="B107" s="76">
        <f>+Total!L206</f>
        <v>1223.4999999999982</v>
      </c>
      <c r="C107">
        <f>+[1]US!$I197</f>
        <v>203.59999999999854</v>
      </c>
      <c r="D107">
        <f>+[2]US!$I189</f>
        <v>345.00000000000182</v>
      </c>
      <c r="E107" s="77">
        <f t="shared" si="0"/>
        <v>1772.0999999999985</v>
      </c>
      <c r="F107" s="1">
        <f t="shared" si="1"/>
        <v>0.43932748538011279</v>
      </c>
      <c r="G107" s="78">
        <f>+Total!O209</f>
        <v>0</v>
      </c>
      <c r="H107" s="78" t="e">
        <f>+[3]US!$K200</f>
        <v>#REF!</v>
      </c>
      <c r="I107" s="78" t="e">
        <f>+[4]US!$L192</f>
        <v>#REF!</v>
      </c>
      <c r="J107" s="80" t="e">
        <f t="shared" si="2"/>
        <v>#REF!</v>
      </c>
      <c r="K107" s="22" t="e">
        <f t="shared" si="3"/>
        <v>#REF!</v>
      </c>
      <c r="L107">
        <f>+Total!G209-Total!G208</f>
        <v>817.5</v>
      </c>
      <c r="M107" t="e">
        <f>+[3]US!$L200</f>
        <v>#REF!</v>
      </c>
      <c r="N107" t="e">
        <f>+[4]US!$J192</f>
        <v>#REF!</v>
      </c>
      <c r="O107" s="54" t="e">
        <f t="shared" si="4"/>
        <v>#REF!</v>
      </c>
      <c r="P107">
        <f>+Total!H209-Total!H208</f>
        <v>753.59999999999945</v>
      </c>
      <c r="Q107" t="e">
        <f>+[3]US!$M200</f>
        <v>#REF!</v>
      </c>
      <c r="R107" t="e">
        <f>+[4]US!$K192</f>
        <v>#REF!</v>
      </c>
      <c r="S107" s="81" t="e">
        <f t="shared" si="5"/>
        <v>#REF!</v>
      </c>
      <c r="T107" s="1" t="e">
        <f t="shared" si="6"/>
        <v>#REF!</v>
      </c>
      <c r="U107" s="1" t="e">
        <f t="shared" si="7"/>
        <v>#REF!</v>
      </c>
      <c r="V107">
        <f>+Total!E209</f>
        <v>10584.1</v>
      </c>
      <c r="W107" t="e">
        <f>+[3]US!$B200</f>
        <v>#REF!</v>
      </c>
      <c r="X107" t="e">
        <f>+[4]US!$B192</f>
        <v>#REF!</v>
      </c>
      <c r="Y107" s="16" t="e">
        <f t="shared" si="8"/>
        <v>#REF!</v>
      </c>
      <c r="Z107">
        <f>+Total!F209</f>
        <v>10522.9</v>
      </c>
      <c r="AA107" t="e">
        <f>+[3]US!$C200</f>
        <v>#REF!</v>
      </c>
      <c r="AB107" t="e">
        <f>+[4]US!$C192</f>
        <v>#REF!</v>
      </c>
      <c r="AC107" s="79" t="e">
        <f t="shared" si="9"/>
        <v>#REF!</v>
      </c>
      <c r="AD107" s="1" t="e">
        <f t="shared" si="10"/>
        <v>#REF!</v>
      </c>
      <c r="AE107" s="1" t="e">
        <f t="shared" si="11"/>
        <v>#REF!</v>
      </c>
    </row>
    <row r="108" spans="1:31" x14ac:dyDescent="0.25">
      <c r="A108" s="118">
        <f>+Total!A207</f>
        <v>40087</v>
      </c>
      <c r="B108" s="76">
        <f>+Total!L207</f>
        <v>521.90000000000146</v>
      </c>
      <c r="C108">
        <f>+[1]US!$I198</f>
        <v>239.09999999999854</v>
      </c>
      <c r="D108">
        <f>+[2]US!$I190</f>
        <v>221.29999999999927</v>
      </c>
      <c r="E108" s="77">
        <f t="shared" si="0"/>
        <v>982.29999999999927</v>
      </c>
      <c r="F108" s="1">
        <f t="shared" si="1"/>
        <v>-0.44568590937306019</v>
      </c>
      <c r="G108" s="78">
        <f>+Total!O210</f>
        <v>0</v>
      </c>
      <c r="H108" s="78" t="e">
        <f>+[3]US!$K201</f>
        <v>#REF!</v>
      </c>
      <c r="I108" s="78" t="e">
        <f>+[4]US!$L193</f>
        <v>#REF!</v>
      </c>
      <c r="J108" s="80" t="e">
        <f t="shared" si="2"/>
        <v>#REF!</v>
      </c>
      <c r="K108" s="22" t="e">
        <f t="shared" si="3"/>
        <v>#REF!</v>
      </c>
      <c r="L108">
        <f>+Total!G210-Total!G209</f>
        <v>666.89999999999964</v>
      </c>
      <c r="M108" t="e">
        <f>+[3]US!$L201</f>
        <v>#REF!</v>
      </c>
      <c r="N108" t="e">
        <f>+[4]US!$J193</f>
        <v>#REF!</v>
      </c>
      <c r="O108" s="54" t="e">
        <f t="shared" si="4"/>
        <v>#REF!</v>
      </c>
      <c r="P108">
        <f>+Total!H210-Total!H209</f>
        <v>603.40000000000055</v>
      </c>
      <c r="Q108" t="e">
        <f>+[3]US!$M201</f>
        <v>#REF!</v>
      </c>
      <c r="R108" t="e">
        <f>+[4]US!$K193</f>
        <v>#REF!</v>
      </c>
      <c r="S108" s="81" t="e">
        <f t="shared" si="5"/>
        <v>#REF!</v>
      </c>
      <c r="T108" s="1" t="e">
        <f t="shared" si="6"/>
        <v>#REF!</v>
      </c>
      <c r="U108" s="1" t="e">
        <f t="shared" si="7"/>
        <v>#REF!</v>
      </c>
      <c r="V108">
        <f>+Total!E210</f>
        <v>10284.299999999999</v>
      </c>
      <c r="W108" t="e">
        <f>+[3]US!$B201</f>
        <v>#REF!</v>
      </c>
      <c r="X108" t="e">
        <f>+[4]US!$B193</f>
        <v>#REF!</v>
      </c>
      <c r="Y108" s="16" t="e">
        <f t="shared" si="8"/>
        <v>#REF!</v>
      </c>
      <c r="Z108">
        <f>+Total!F210</f>
        <v>10332.9</v>
      </c>
      <c r="AA108" t="e">
        <f>+[3]US!$C201</f>
        <v>#REF!</v>
      </c>
      <c r="AB108" t="e">
        <f>+[4]US!$C193</f>
        <v>#REF!</v>
      </c>
      <c r="AC108" s="79" t="e">
        <f t="shared" si="9"/>
        <v>#REF!</v>
      </c>
      <c r="AD108" s="1" t="e">
        <f t="shared" si="10"/>
        <v>#REF!</v>
      </c>
      <c r="AE108" s="1" t="e">
        <f t="shared" si="11"/>
        <v>#REF!</v>
      </c>
    </row>
    <row r="109" spans="1:31" x14ac:dyDescent="0.25">
      <c r="A109" s="118">
        <f>+Total!A208</f>
        <v>40094</v>
      </c>
      <c r="B109" s="76">
        <f>+Total!L208</f>
        <v>631.89999999999964</v>
      </c>
      <c r="C109">
        <f>+[1]US!$I199</f>
        <v>182.5</v>
      </c>
      <c r="D109">
        <f>+[2]US!$I191</f>
        <v>370.30000000000109</v>
      </c>
      <c r="E109" s="77">
        <f t="shared" si="0"/>
        <v>1184.7000000000007</v>
      </c>
      <c r="F109" s="1">
        <f t="shared" si="1"/>
        <v>0.2060470324748056</v>
      </c>
      <c r="G109" s="78">
        <f>+Total!O211</f>
        <v>0</v>
      </c>
      <c r="H109" s="78" t="e">
        <f>+[3]US!$K202</f>
        <v>#REF!</v>
      </c>
      <c r="I109" s="78" t="e">
        <f>+[4]US!$L194</f>
        <v>#REF!</v>
      </c>
      <c r="J109" s="80" t="e">
        <f t="shared" si="2"/>
        <v>#REF!</v>
      </c>
      <c r="K109" s="22" t="e">
        <f t="shared" si="3"/>
        <v>#REF!</v>
      </c>
      <c r="L109">
        <f>+Total!G211-Total!G210</f>
        <v>708.19999999999982</v>
      </c>
      <c r="M109" t="e">
        <f>+[3]US!$L202</f>
        <v>#REF!</v>
      </c>
      <c r="N109" t="e">
        <f>+[4]US!$J194</f>
        <v>#REF!</v>
      </c>
      <c r="O109" s="54" t="e">
        <f t="shared" si="4"/>
        <v>#REF!</v>
      </c>
      <c r="P109">
        <f>+Total!H211-Total!H210</f>
        <v>618</v>
      </c>
      <c r="Q109" t="e">
        <f>+[3]US!$M202</f>
        <v>#REF!</v>
      </c>
      <c r="R109" t="e">
        <f>+[4]US!$K194</f>
        <v>#REF!</v>
      </c>
      <c r="S109" s="81" t="e">
        <f t="shared" si="5"/>
        <v>#REF!</v>
      </c>
      <c r="T109" s="1" t="e">
        <f t="shared" si="6"/>
        <v>#REF!</v>
      </c>
      <c r="U109" s="1" t="e">
        <f t="shared" si="7"/>
        <v>#REF!</v>
      </c>
      <c r="V109">
        <f>+Total!E211</f>
        <v>10140.1</v>
      </c>
      <c r="W109" t="e">
        <f>+[3]US!$B202</f>
        <v>#REF!</v>
      </c>
      <c r="X109" t="e">
        <f>+[4]US!$B194</f>
        <v>#REF!</v>
      </c>
      <c r="Y109" s="16" t="e">
        <f t="shared" si="8"/>
        <v>#REF!</v>
      </c>
      <c r="Z109">
        <f>+Total!F211</f>
        <v>10185.9</v>
      </c>
      <c r="AA109" t="e">
        <f>+[3]US!$C202</f>
        <v>#REF!</v>
      </c>
      <c r="AB109" t="e">
        <f>+[4]US!$C194</f>
        <v>#REF!</v>
      </c>
      <c r="AC109" s="79" t="e">
        <f t="shared" si="9"/>
        <v>#REF!</v>
      </c>
      <c r="AD109" s="1" t="e">
        <f t="shared" si="10"/>
        <v>#REF!</v>
      </c>
      <c r="AE109" s="1" t="e">
        <f t="shared" si="11"/>
        <v>#REF!</v>
      </c>
    </row>
    <row r="110" spans="1:31" x14ac:dyDescent="0.25">
      <c r="A110" s="118">
        <f>+Total!A209</f>
        <v>40101</v>
      </c>
      <c r="B110" s="76">
        <f>+Total!L209</f>
        <v>234.40000000000146</v>
      </c>
      <c r="C110">
        <f>+[1]US!$I200</f>
        <v>-115.79999999999563</v>
      </c>
      <c r="D110">
        <f>+[2]US!$I192</f>
        <v>93.399999999999636</v>
      </c>
      <c r="E110" s="77">
        <f t="shared" si="0"/>
        <v>212.00000000000546</v>
      </c>
      <c r="F110" s="1">
        <f t="shared" si="1"/>
        <v>-0.82105174305730966</v>
      </c>
      <c r="G110" s="78">
        <f>+Total!O212</f>
        <v>0</v>
      </c>
      <c r="H110" s="78" t="e">
        <f>+[3]US!$K203</f>
        <v>#REF!</v>
      </c>
      <c r="I110" s="78" t="e">
        <f>+[4]US!$L195</f>
        <v>#REF!</v>
      </c>
      <c r="J110" s="80" t="e">
        <f t="shared" si="2"/>
        <v>#REF!</v>
      </c>
      <c r="K110" s="22" t="e">
        <f t="shared" si="3"/>
        <v>#REF!</v>
      </c>
      <c r="L110">
        <f>+Total!G212-Total!G211</f>
        <v>758.10000000000036</v>
      </c>
      <c r="M110" t="e">
        <f>+[3]US!$L203</f>
        <v>#REF!</v>
      </c>
      <c r="N110" t="e">
        <f>+[4]US!$J195</f>
        <v>#REF!</v>
      </c>
      <c r="O110" s="54" t="e">
        <f t="shared" si="4"/>
        <v>#REF!</v>
      </c>
      <c r="P110">
        <f>+Total!H212-Total!H211</f>
        <v>808.59999999999945</v>
      </c>
      <c r="Q110" t="e">
        <f>+[3]US!$M203</f>
        <v>#REF!</v>
      </c>
      <c r="R110" t="e">
        <f>+[4]US!$K195</f>
        <v>#REF!</v>
      </c>
      <c r="S110" s="81" t="e">
        <f t="shared" si="5"/>
        <v>#REF!</v>
      </c>
      <c r="T110" s="1" t="e">
        <f t="shared" si="6"/>
        <v>#REF!</v>
      </c>
      <c r="U110" s="1" t="e">
        <f t="shared" si="7"/>
        <v>#REF!</v>
      </c>
      <c r="V110">
        <f>+Total!E212</f>
        <v>9870.5</v>
      </c>
      <c r="W110" t="e">
        <f>+[3]US!$B203</f>
        <v>#REF!</v>
      </c>
      <c r="X110" t="e">
        <f>+[4]US!$B195</f>
        <v>#REF!</v>
      </c>
      <c r="Y110" s="16" t="e">
        <f t="shared" si="8"/>
        <v>#REF!</v>
      </c>
      <c r="Z110">
        <f>+Total!F212</f>
        <v>9732.7999999999993</v>
      </c>
      <c r="AA110" t="e">
        <f>+[3]US!$C203</f>
        <v>#REF!</v>
      </c>
      <c r="AB110" t="e">
        <f>+[4]US!$C195</f>
        <v>#REF!</v>
      </c>
      <c r="AC110" s="79" t="e">
        <f t="shared" si="9"/>
        <v>#REF!</v>
      </c>
      <c r="AD110" s="1" t="e">
        <f t="shared" si="10"/>
        <v>#REF!</v>
      </c>
      <c r="AE110" s="1" t="e">
        <f t="shared" si="11"/>
        <v>#REF!</v>
      </c>
    </row>
    <row r="111" spans="1:31" x14ac:dyDescent="0.25">
      <c r="A111" s="118">
        <f>+Total!A210</f>
        <v>40108</v>
      </c>
      <c r="B111" s="76">
        <f>+Total!L210</f>
        <v>367.09999999999854</v>
      </c>
      <c r="C111">
        <f>+[1]US!$I201</f>
        <v>213.99999999999272</v>
      </c>
      <c r="D111">
        <f>+[2]US!$I193</f>
        <v>181.89999999999964</v>
      </c>
      <c r="E111" s="77">
        <f t="shared" si="0"/>
        <v>762.99999999999091</v>
      </c>
      <c r="F111" s="1">
        <f t="shared" si="1"/>
        <v>2.5990566037734495</v>
      </c>
      <c r="G111" s="78">
        <f>+Total!O213</f>
        <v>0</v>
      </c>
      <c r="H111" s="78" t="e">
        <f>+[3]US!$K204</f>
        <v>#REF!</v>
      </c>
      <c r="I111" s="78" t="e">
        <f>+[4]US!$L196</f>
        <v>#REF!</v>
      </c>
      <c r="J111" s="80" t="e">
        <f t="shared" si="2"/>
        <v>#REF!</v>
      </c>
      <c r="K111" s="22" t="e">
        <f t="shared" si="3"/>
        <v>#REF!</v>
      </c>
      <c r="L111">
        <f>+Total!G213-Total!G212</f>
        <v>683.20000000000073</v>
      </c>
      <c r="M111" t="e">
        <f>+[3]US!$L204</f>
        <v>#REF!</v>
      </c>
      <c r="N111" t="e">
        <f>+[4]US!$J196</f>
        <v>#REF!</v>
      </c>
      <c r="O111" s="54" t="e">
        <f t="shared" si="4"/>
        <v>#REF!</v>
      </c>
      <c r="P111">
        <f>+Total!H213-Total!H212</f>
        <v>755.90000000000055</v>
      </c>
      <c r="Q111" t="e">
        <f>+[3]US!$M204</f>
        <v>#REF!</v>
      </c>
      <c r="R111" t="e">
        <f>+[4]US!$K196</f>
        <v>#REF!</v>
      </c>
      <c r="S111" s="81" t="e">
        <f t="shared" si="5"/>
        <v>#REF!</v>
      </c>
      <c r="T111" s="1" t="e">
        <f t="shared" si="6"/>
        <v>#REF!</v>
      </c>
      <c r="U111" s="1" t="e">
        <f t="shared" si="7"/>
        <v>#REF!</v>
      </c>
      <c r="V111">
        <f>+Total!E213</f>
        <v>9540.2000000000007</v>
      </c>
      <c r="W111" t="e">
        <f>+[3]US!$B204</f>
        <v>#REF!</v>
      </c>
      <c r="X111" t="e">
        <f>+[4]US!$B196</f>
        <v>#REF!</v>
      </c>
      <c r="Y111" s="16" t="e">
        <f t="shared" si="8"/>
        <v>#REF!</v>
      </c>
      <c r="Z111">
        <f>+Total!F213</f>
        <v>9410.7000000000007</v>
      </c>
      <c r="AA111" t="e">
        <f>+[3]US!$C204</f>
        <v>#REF!</v>
      </c>
      <c r="AB111" t="e">
        <f>+[4]US!$C196</f>
        <v>#REF!</v>
      </c>
      <c r="AC111" s="79" t="e">
        <f t="shared" si="9"/>
        <v>#REF!</v>
      </c>
      <c r="AD111" s="1" t="e">
        <f t="shared" si="10"/>
        <v>#REF!</v>
      </c>
      <c r="AE111" s="1" t="e">
        <f t="shared" si="11"/>
        <v>#REF!</v>
      </c>
    </row>
    <row r="112" spans="1:31" x14ac:dyDescent="0.25">
      <c r="A112" s="118">
        <f>+Total!A211</f>
        <v>40115</v>
      </c>
      <c r="B112" s="76">
        <f>+Total!L211</f>
        <v>564</v>
      </c>
      <c r="C112">
        <f>+[1]US!$I202</f>
        <v>216.09999999999854</v>
      </c>
      <c r="D112">
        <f>+[2]US!$I194</f>
        <v>825.80000000000109</v>
      </c>
      <c r="E112" s="77">
        <f t="shared" si="0"/>
        <v>1605.8999999999996</v>
      </c>
      <c r="F112" s="1">
        <f t="shared" si="1"/>
        <v>1.1047182175622789</v>
      </c>
      <c r="G112" s="78">
        <f>+Total!O214</f>
        <v>0</v>
      </c>
      <c r="H112" s="78" t="e">
        <f>+[3]US!$K205</f>
        <v>#REF!</v>
      </c>
      <c r="I112" s="78" t="e">
        <f>+[4]US!$L197</f>
        <v>#REF!</v>
      </c>
      <c r="J112" s="80" t="e">
        <f t="shared" si="2"/>
        <v>#REF!</v>
      </c>
      <c r="K112" s="22" t="e">
        <f t="shared" si="3"/>
        <v>#REF!</v>
      </c>
      <c r="L112">
        <f>+Total!G214-Total!G213</f>
        <v>627.89999999999964</v>
      </c>
      <c r="M112" t="e">
        <f>+[3]US!$L205</f>
        <v>#REF!</v>
      </c>
      <c r="N112" t="e">
        <f>+[4]US!$J197</f>
        <v>#REF!</v>
      </c>
      <c r="O112" s="54" t="e">
        <f t="shared" si="4"/>
        <v>#REF!</v>
      </c>
      <c r="P112">
        <f>+Total!H214-Total!H213</f>
        <v>765.89999999999964</v>
      </c>
      <c r="Q112" t="e">
        <f>+[3]US!$M205</f>
        <v>#REF!</v>
      </c>
      <c r="R112" t="e">
        <f>+[4]US!$K197</f>
        <v>#REF!</v>
      </c>
      <c r="S112" s="81" t="e">
        <f t="shared" si="5"/>
        <v>#REF!</v>
      </c>
      <c r="T112" s="1" t="e">
        <f t="shared" si="6"/>
        <v>#REF!</v>
      </c>
      <c r="U112" s="1" t="e">
        <f t="shared" si="7"/>
        <v>#REF!</v>
      </c>
      <c r="V112">
        <f>+Total!E214</f>
        <v>10135.9</v>
      </c>
      <c r="W112" t="e">
        <f>+[3]US!$B205</f>
        <v>#REF!</v>
      </c>
      <c r="X112" t="e">
        <f>+[4]US!$B197</f>
        <v>#REF!</v>
      </c>
      <c r="Y112" s="16" t="e">
        <f t="shared" si="8"/>
        <v>#REF!</v>
      </c>
      <c r="Z112">
        <f>+Total!F214</f>
        <v>9110.1</v>
      </c>
      <c r="AA112" t="e">
        <f>+[3]US!$C205</f>
        <v>#REF!</v>
      </c>
      <c r="AB112" t="e">
        <f>+[4]US!$C197</f>
        <v>#REF!</v>
      </c>
      <c r="AC112" s="79" t="e">
        <f t="shared" si="9"/>
        <v>#REF!</v>
      </c>
      <c r="AD112" s="1" t="e">
        <f t="shared" si="10"/>
        <v>#REF!</v>
      </c>
      <c r="AE112" s="1" t="e">
        <f t="shared" si="11"/>
        <v>#REF!</v>
      </c>
    </row>
    <row r="113" spans="1:31" x14ac:dyDescent="0.25">
      <c r="A113" s="118">
        <f>+Total!A212</f>
        <v>40122</v>
      </c>
      <c r="B113" s="76">
        <f>+Total!L212</f>
        <v>488.5</v>
      </c>
      <c r="C113">
        <f>+[1]US!$I203</f>
        <v>178.40000000000873</v>
      </c>
      <c r="D113">
        <f>+[2]US!$I195</f>
        <v>661.69999999999709</v>
      </c>
      <c r="E113" s="77">
        <f t="shared" si="0"/>
        <v>1328.6000000000058</v>
      </c>
      <c r="F113" s="1">
        <f t="shared" si="1"/>
        <v>-0.1726757581418481</v>
      </c>
      <c r="G113" s="78">
        <f>+Total!O215</f>
        <v>0</v>
      </c>
      <c r="H113" s="78" t="e">
        <f>+[3]US!$K206</f>
        <v>#REF!</v>
      </c>
      <c r="I113" s="78" t="e">
        <f>+[4]US!$L198</f>
        <v>#REF!</v>
      </c>
      <c r="J113" s="80" t="e">
        <f t="shared" si="2"/>
        <v>#REF!</v>
      </c>
      <c r="K113" s="22" t="e">
        <f t="shared" si="3"/>
        <v>#REF!</v>
      </c>
      <c r="L113">
        <f>+Total!G215-Total!G214</f>
        <v>879.5</v>
      </c>
      <c r="M113" t="e">
        <f>+[3]US!$L206</f>
        <v>#REF!</v>
      </c>
      <c r="N113" t="e">
        <f>+[4]US!$J198</f>
        <v>#REF!</v>
      </c>
      <c r="O113" s="54" t="e">
        <f t="shared" si="4"/>
        <v>#REF!</v>
      </c>
      <c r="P113">
        <f>+Total!H215-Total!H214</f>
        <v>930.5</v>
      </c>
      <c r="Q113" t="e">
        <f>+[3]US!$M206</f>
        <v>#REF!</v>
      </c>
      <c r="R113" t="e">
        <f>+[4]US!$K198</f>
        <v>#REF!</v>
      </c>
      <c r="S113" s="81" t="e">
        <f t="shared" si="5"/>
        <v>#REF!</v>
      </c>
      <c r="T113" s="1" t="e">
        <f t="shared" si="6"/>
        <v>#REF!</v>
      </c>
      <c r="U113" s="1" t="e">
        <f t="shared" si="7"/>
        <v>#REF!</v>
      </c>
      <c r="V113">
        <f>+Total!E215</f>
        <v>9915.4</v>
      </c>
      <c r="W113" t="e">
        <f>+[3]US!$B206</f>
        <v>#REF!</v>
      </c>
      <c r="X113" t="e">
        <f>+[4]US!$B198</f>
        <v>#REF!</v>
      </c>
      <c r="Y113" s="16" t="e">
        <f t="shared" si="8"/>
        <v>#REF!</v>
      </c>
      <c r="Z113">
        <f>+Total!F215</f>
        <v>8523.5</v>
      </c>
      <c r="AA113" t="e">
        <f>+[3]US!$C206</f>
        <v>#REF!</v>
      </c>
      <c r="AB113" t="e">
        <f>+[4]US!$C198</f>
        <v>#REF!</v>
      </c>
      <c r="AC113" s="79" t="e">
        <f t="shared" si="9"/>
        <v>#REF!</v>
      </c>
      <c r="AD113" s="1" t="e">
        <f t="shared" si="10"/>
        <v>#REF!</v>
      </c>
      <c r="AE113" s="1" t="e">
        <f t="shared" si="11"/>
        <v>#REF!</v>
      </c>
    </row>
    <row r="114" spans="1:31" x14ac:dyDescent="0.25">
      <c r="A114" s="118">
        <f>+Total!A213</f>
        <v>40129</v>
      </c>
      <c r="B114" s="76">
        <f>+Total!L213</f>
        <v>352.90000000000146</v>
      </c>
      <c r="C114">
        <f>+[1]US!$I204</f>
        <v>205.69999999998981</v>
      </c>
      <c r="D114">
        <f>+[2]US!$I196</f>
        <v>417.30000000000291</v>
      </c>
      <c r="E114" s="77">
        <f t="shared" si="0"/>
        <v>975.89999999999418</v>
      </c>
      <c r="F114" s="1">
        <f t="shared" si="1"/>
        <v>-0.26546740930303336</v>
      </c>
      <c r="G114" s="78">
        <f>+Total!O216</f>
        <v>0</v>
      </c>
      <c r="H114" s="78" t="e">
        <f>+[3]US!$K207</f>
        <v>#REF!</v>
      </c>
      <c r="I114" s="78" t="e">
        <f>+[4]US!$L199</f>
        <v>#REF!</v>
      </c>
      <c r="J114" s="80" t="e">
        <f t="shared" si="2"/>
        <v>#REF!</v>
      </c>
      <c r="K114" s="22" t="e">
        <f t="shared" si="3"/>
        <v>#REF!</v>
      </c>
      <c r="L114">
        <f>+Total!G216-Total!G215</f>
        <v>706.5</v>
      </c>
      <c r="M114" t="e">
        <f>+[3]US!$L207</f>
        <v>#REF!</v>
      </c>
      <c r="N114" t="e">
        <f>+[4]US!$J199</f>
        <v>#REF!</v>
      </c>
      <c r="O114" s="54" t="e">
        <f t="shared" si="4"/>
        <v>#REF!</v>
      </c>
      <c r="P114">
        <f>+Total!H216-Total!H215</f>
        <v>688.60000000000036</v>
      </c>
      <c r="Q114" t="e">
        <f>+[3]US!$M207</f>
        <v>#REF!</v>
      </c>
      <c r="R114" t="e">
        <f>+[4]US!$K199</f>
        <v>#REF!</v>
      </c>
      <c r="S114" s="81" t="e">
        <f t="shared" si="5"/>
        <v>#REF!</v>
      </c>
      <c r="T114" s="1" t="e">
        <f t="shared" si="6"/>
        <v>#REF!</v>
      </c>
      <c r="U114" s="1" t="e">
        <f t="shared" si="7"/>
        <v>#REF!</v>
      </c>
      <c r="V114">
        <f>+Total!E216</f>
        <v>10056.6</v>
      </c>
      <c r="W114" t="e">
        <f>+[3]US!$B207</f>
        <v>#REF!</v>
      </c>
      <c r="X114" t="e">
        <f>+[4]US!$B199</f>
        <v>#REF!</v>
      </c>
      <c r="Y114" s="16" t="e">
        <f t="shared" si="8"/>
        <v>#REF!</v>
      </c>
      <c r="Z114">
        <f>+Total!F216</f>
        <v>8763.6</v>
      </c>
      <c r="AA114" t="e">
        <f>+[3]US!$C207</f>
        <v>#REF!</v>
      </c>
      <c r="AB114" t="e">
        <f>+[4]US!$C199</f>
        <v>#REF!</v>
      </c>
      <c r="AC114" s="79" t="e">
        <f t="shared" si="9"/>
        <v>#REF!</v>
      </c>
      <c r="AD114" s="1" t="e">
        <f t="shared" si="10"/>
        <v>#REF!</v>
      </c>
      <c r="AE114" s="1" t="e">
        <f t="shared" si="11"/>
        <v>#REF!</v>
      </c>
    </row>
    <row r="115" spans="1:31" x14ac:dyDescent="0.25">
      <c r="A115" s="118">
        <f>+Total!A214</f>
        <v>40136</v>
      </c>
      <c r="B115" s="76">
        <f>+Total!L214</f>
        <v>1223.5999999999985</v>
      </c>
      <c r="C115">
        <f>+[1]US!$I205</f>
        <v>158</v>
      </c>
      <c r="D115">
        <f>+[2]US!$I197</f>
        <v>548.09999999999854</v>
      </c>
      <c r="E115" s="77">
        <f t="shared" si="0"/>
        <v>1929.6999999999971</v>
      </c>
      <c r="F115" s="1">
        <f t="shared" si="1"/>
        <v>0.97735423711446723</v>
      </c>
      <c r="G115" s="78">
        <f>+Total!O217</f>
        <v>0</v>
      </c>
      <c r="H115" s="78" t="e">
        <f>+[3]US!$K208</f>
        <v>#REF!</v>
      </c>
      <c r="I115" s="78" t="e">
        <f>+[4]US!$L200</f>
        <v>#REF!</v>
      </c>
      <c r="J115" s="80" t="e">
        <f t="shared" si="2"/>
        <v>#REF!</v>
      </c>
      <c r="K115" s="22" t="e">
        <f t="shared" si="3"/>
        <v>#REF!</v>
      </c>
      <c r="L115">
        <f>+Total!G217-Total!G216</f>
        <v>776.39999999999964</v>
      </c>
      <c r="M115" t="e">
        <f>+[3]US!$L208</f>
        <v>#REF!</v>
      </c>
      <c r="N115" t="e">
        <f>+[4]US!$J200</f>
        <v>#REF!</v>
      </c>
      <c r="O115" s="54" t="e">
        <f t="shared" si="4"/>
        <v>#REF!</v>
      </c>
      <c r="P115">
        <f>+Total!H217-Total!H216</f>
        <v>710.19999999999891</v>
      </c>
      <c r="Q115" t="e">
        <f>+[3]US!$M208</f>
        <v>#REF!</v>
      </c>
      <c r="R115" t="e">
        <f>+[4]US!$K200</f>
        <v>#REF!</v>
      </c>
      <c r="S115" s="81" t="e">
        <f t="shared" si="5"/>
        <v>#REF!</v>
      </c>
      <c r="T115" s="1" t="e">
        <f t="shared" si="6"/>
        <v>#REF!</v>
      </c>
      <c r="U115" s="1" t="e">
        <f t="shared" si="7"/>
        <v>#REF!</v>
      </c>
      <c r="V115">
        <f>+Total!E217</f>
        <v>10507.3</v>
      </c>
      <c r="W115" t="e">
        <f>+[3]US!$B208</f>
        <v>#REF!</v>
      </c>
      <c r="X115" t="e">
        <f>+[4]US!$B200</f>
        <v>#REF!</v>
      </c>
      <c r="Y115" s="16" t="e">
        <f t="shared" si="8"/>
        <v>#REF!</v>
      </c>
      <c r="Z115">
        <f>+Total!F217</f>
        <v>8665.9</v>
      </c>
      <c r="AA115" t="e">
        <f>+[3]US!$C208</f>
        <v>#REF!</v>
      </c>
      <c r="AB115" t="e">
        <f>+[4]US!$C200</f>
        <v>#REF!</v>
      </c>
      <c r="AC115" s="79" t="e">
        <f t="shared" si="9"/>
        <v>#REF!</v>
      </c>
      <c r="AD115" s="1" t="e">
        <f t="shared" si="10"/>
        <v>#REF!</v>
      </c>
      <c r="AE115" s="1" t="e">
        <f t="shared" si="11"/>
        <v>#REF!</v>
      </c>
    </row>
    <row r="116" spans="1:31" x14ac:dyDescent="0.25">
      <c r="A116" s="118">
        <f>+Total!A215</f>
        <v>40143</v>
      </c>
      <c r="B116" s="76">
        <f>+Total!L215</f>
        <v>659</v>
      </c>
      <c r="C116">
        <f>+[1]US!$I206</f>
        <v>308.70000000000437</v>
      </c>
      <c r="D116">
        <f>+[2]US!$I198</f>
        <v>409</v>
      </c>
      <c r="E116" s="77">
        <f t="shared" si="0"/>
        <v>1376.7000000000044</v>
      </c>
      <c r="F116" s="1">
        <f t="shared" si="1"/>
        <v>-0.28657304244182702</v>
      </c>
      <c r="G116" s="78">
        <f>+Total!O218</f>
        <v>0</v>
      </c>
      <c r="H116" s="78" t="e">
        <f>+[3]US!$K209</f>
        <v>#REF!</v>
      </c>
      <c r="I116" s="78" t="e">
        <f>+[4]US!$L201</f>
        <v>#REF!</v>
      </c>
      <c r="J116" s="80" t="e">
        <f t="shared" si="2"/>
        <v>#REF!</v>
      </c>
      <c r="K116" s="22" t="e">
        <f t="shared" si="3"/>
        <v>#REF!</v>
      </c>
      <c r="L116">
        <f>+Total!G218-Total!G217</f>
        <v>414.70000000000073</v>
      </c>
      <c r="M116" t="e">
        <f>+[3]US!$L209</f>
        <v>#REF!</v>
      </c>
      <c r="N116" t="e">
        <f>+[4]US!$J201</f>
        <v>#REF!</v>
      </c>
      <c r="O116" s="54" t="e">
        <f t="shared" si="4"/>
        <v>#REF!</v>
      </c>
      <c r="P116">
        <f>+Total!H218-Total!H217</f>
        <v>831.30000000000109</v>
      </c>
      <c r="Q116" t="e">
        <f>+[3]US!$M209</f>
        <v>#REF!</v>
      </c>
      <c r="R116" t="e">
        <f>+[4]US!$K201</f>
        <v>#REF!</v>
      </c>
      <c r="S116" s="81" t="e">
        <f t="shared" si="5"/>
        <v>#REF!</v>
      </c>
      <c r="T116" s="1" t="e">
        <f t="shared" si="6"/>
        <v>#REF!</v>
      </c>
      <c r="U116" s="1" t="e">
        <f t="shared" si="7"/>
        <v>#REF!</v>
      </c>
      <c r="V116">
        <f>+Total!E218</f>
        <v>11684.4</v>
      </c>
      <c r="W116" t="e">
        <f>+[3]US!$B209</f>
        <v>#REF!</v>
      </c>
      <c r="X116" t="e">
        <f>+[4]US!$B201</f>
        <v>#REF!</v>
      </c>
      <c r="Y116" s="16" t="e">
        <f t="shared" si="8"/>
        <v>#REF!</v>
      </c>
      <c r="Z116">
        <f>+Total!F218</f>
        <v>8386</v>
      </c>
      <c r="AA116" t="e">
        <f>+[3]US!$C209</f>
        <v>#REF!</v>
      </c>
      <c r="AB116" t="e">
        <f>+[4]US!$C201</f>
        <v>#REF!</v>
      </c>
      <c r="AC116" s="79" t="e">
        <f t="shared" si="9"/>
        <v>#REF!</v>
      </c>
      <c r="AD116" s="1" t="e">
        <f t="shared" si="10"/>
        <v>#REF!</v>
      </c>
      <c r="AE116" s="1" t="e">
        <f t="shared" si="11"/>
        <v>#REF!</v>
      </c>
    </row>
    <row r="117" spans="1:31" x14ac:dyDescent="0.25">
      <c r="A117" s="118">
        <f>+Total!A216</f>
        <v>40150</v>
      </c>
      <c r="B117" s="76">
        <f>+Total!L216</f>
        <v>847.70000000000073</v>
      </c>
      <c r="C117">
        <f>+[1]US!$I207</f>
        <v>101.00000000000728</v>
      </c>
      <c r="D117">
        <f>+[2]US!$I199</f>
        <v>375.59999999999854</v>
      </c>
      <c r="E117" s="77">
        <f t="shared" si="0"/>
        <v>1324.3000000000065</v>
      </c>
      <c r="F117" s="1">
        <f t="shared" si="1"/>
        <v>-3.8062032396308343E-2</v>
      </c>
      <c r="G117" s="78">
        <f>+Total!J216-Total!J215</f>
        <v>928.70000000000073</v>
      </c>
      <c r="H117" s="78">
        <f>+[1]US!$G$208-[1]US!$G$207</f>
        <v>654.40000000000146</v>
      </c>
      <c r="I117" s="78">
        <f>+[2]US!$G$200-[2]US!$G$199</f>
        <v>285.20000000000073</v>
      </c>
      <c r="J117" s="80">
        <f>SUM(G117:I117)</f>
        <v>1868.3000000000029</v>
      </c>
      <c r="K117" s="22">
        <f t="shared" si="3"/>
        <v>-0.29117379435850532</v>
      </c>
      <c r="L117">
        <f>+Total!G219-Total!G218</f>
        <v>863.59999999999854</v>
      </c>
      <c r="M117" t="e">
        <f>+[3]US!$L210</f>
        <v>#REF!</v>
      </c>
      <c r="N117" t="e">
        <f>+[4]US!$J202</f>
        <v>#REF!</v>
      </c>
      <c r="O117" s="54" t="e">
        <f t="shared" si="4"/>
        <v>#REF!</v>
      </c>
      <c r="P117">
        <f>+Total!H219-Total!H218</f>
        <v>602.10000000000036</v>
      </c>
      <c r="Q117" t="e">
        <f>+[3]US!$M210</f>
        <v>#REF!</v>
      </c>
      <c r="R117" t="e">
        <f>+[4]US!$K202</f>
        <v>#REF!</v>
      </c>
      <c r="S117" s="81" t="e">
        <f t="shared" si="5"/>
        <v>#REF!</v>
      </c>
      <c r="T117" s="1" t="e">
        <f t="shared" si="6"/>
        <v>#REF!</v>
      </c>
      <c r="U117" s="1" t="e">
        <f t="shared" si="7"/>
        <v>#REF!</v>
      </c>
      <c r="V117">
        <f>+Total!E216</f>
        <v>10056.6</v>
      </c>
      <c r="W117">
        <f>+[1]US!$B207</f>
        <v>1879.8</v>
      </c>
      <c r="X117">
        <f>+[2]US!$B199</f>
        <v>4342.3999999999996</v>
      </c>
      <c r="Y117" s="16">
        <f t="shared" si="8"/>
        <v>16278.8</v>
      </c>
      <c r="Z117">
        <f>+Total!F216</f>
        <v>8763.6</v>
      </c>
      <c r="AA117">
        <f>+[1]US!$C207</f>
        <v>4583.3999999999996</v>
      </c>
      <c r="AB117">
        <f>+[2]US!$C199</f>
        <v>3811.1</v>
      </c>
      <c r="AC117" s="79">
        <f t="shared" si="9"/>
        <v>17158.099999999999</v>
      </c>
      <c r="AD117" s="1" t="e">
        <f t="shared" si="10"/>
        <v>#REF!</v>
      </c>
      <c r="AE117" s="1">
        <f t="shared" si="11"/>
        <v>-5.1246932935464895E-2</v>
      </c>
    </row>
    <row r="118" spans="1:31" x14ac:dyDescent="0.25">
      <c r="A118" s="118">
        <f>+Total!A217</f>
        <v>40157</v>
      </c>
      <c r="B118" s="76">
        <f>+Total!L217</f>
        <v>1227.0999999999985</v>
      </c>
      <c r="C118">
        <f>+[1]US!$I208</f>
        <v>283.19999999998981</v>
      </c>
      <c r="D118">
        <f>+[2]US!$I200</f>
        <v>101.60000000000218</v>
      </c>
      <c r="E118" s="77">
        <f t="shared" si="0"/>
        <v>1611.8999999999905</v>
      </c>
      <c r="F118" s="1">
        <f t="shared" si="1"/>
        <v>0.21717133580003223</v>
      </c>
      <c r="G118" s="78">
        <f>+Total!J217-Total!J216</f>
        <v>612.49999999999636</v>
      </c>
      <c r="H118" s="78">
        <f>+[1]US!$G$208-[1]US!$G$207</f>
        <v>654.40000000000146</v>
      </c>
      <c r="I118" s="78">
        <f>+[2]US!$G$200-[2]US!$G$199</f>
        <v>285.20000000000073</v>
      </c>
      <c r="J118" s="80">
        <f t="shared" si="2"/>
        <v>1552.0999999999985</v>
      </c>
      <c r="K118" s="22">
        <f t="shared" si="3"/>
        <v>3.8528445332125516E-2</v>
      </c>
      <c r="L118">
        <f>+Total!G220-Total!G219</f>
        <v>798</v>
      </c>
      <c r="M118" t="e">
        <f>+[3]US!$L211</f>
        <v>#REF!</v>
      </c>
      <c r="N118" t="e">
        <f>+[4]US!$J203</f>
        <v>#REF!</v>
      </c>
      <c r="O118" s="54" t="e">
        <f t="shared" si="4"/>
        <v>#REF!</v>
      </c>
      <c r="P118">
        <f>+Total!H220-Total!H219</f>
        <v>611.5</v>
      </c>
      <c r="Q118" t="e">
        <f>+[3]US!$M211</f>
        <v>#REF!</v>
      </c>
      <c r="R118" t="e">
        <f>+[4]US!$K203</f>
        <v>#REF!</v>
      </c>
      <c r="S118" s="81" t="e">
        <f t="shared" si="5"/>
        <v>#REF!</v>
      </c>
      <c r="T118" s="1" t="e">
        <f t="shared" si="6"/>
        <v>#REF!</v>
      </c>
      <c r="U118" s="1" t="e">
        <f t="shared" si="7"/>
        <v>#REF!</v>
      </c>
      <c r="V118">
        <f>+Total!E217</f>
        <v>10507.3</v>
      </c>
      <c r="W118">
        <f>+[1]US!$B208</f>
        <v>1873.6</v>
      </c>
      <c r="X118">
        <f>+[2]US!$B200</f>
        <v>3971.3</v>
      </c>
      <c r="Y118" s="16">
        <f t="shared" si="8"/>
        <v>16352.2</v>
      </c>
      <c r="Z118">
        <f>+Total!F217</f>
        <v>8665.9</v>
      </c>
      <c r="AA118">
        <f>+[1]US!$C208</f>
        <v>4851.3</v>
      </c>
      <c r="AB118">
        <f>+[2]US!$C200</f>
        <v>3844.3</v>
      </c>
      <c r="AC118" s="79">
        <f t="shared" si="9"/>
        <v>17361.5</v>
      </c>
      <c r="AD118" s="1">
        <f t="shared" si="10"/>
        <v>4.5089318622995034E-3</v>
      </c>
      <c r="AE118" s="1">
        <f t="shared" si="11"/>
        <v>-5.8134377789937464E-2</v>
      </c>
    </row>
    <row r="119" spans="1:31" x14ac:dyDescent="0.25">
      <c r="A119" s="118">
        <f t="shared" ref="A119:A150" si="12">+A118+7</f>
        <v>40164</v>
      </c>
      <c r="B119" s="76">
        <f>+Total!L218</f>
        <v>1591.7999999999993</v>
      </c>
      <c r="C119">
        <f>+[1]US!$I209</f>
        <v>207.5</v>
      </c>
      <c r="D119">
        <f>+[2]US!$I201</f>
        <v>407.89999999999782</v>
      </c>
      <c r="E119" s="77">
        <f>SUM(B119:D119)</f>
        <v>2207.1999999999971</v>
      </c>
      <c r="F119" s="1">
        <f>+E119/E118-1</f>
        <v>0.36931571437434707</v>
      </c>
      <c r="G119" s="78">
        <f>+Total!J218-Total!J217</f>
        <v>551.40000000000146</v>
      </c>
      <c r="H119" s="78">
        <f>+[1]US!$G$208-[1]US!$G$207</f>
        <v>654.40000000000146</v>
      </c>
      <c r="I119" s="78">
        <f>+[2]US!$G$200-[2]US!$G$199</f>
        <v>285.20000000000073</v>
      </c>
      <c r="J119" s="80">
        <f>SUM(G119:I119)</f>
        <v>1491.0000000000036</v>
      </c>
      <c r="K119" s="22">
        <f>+E119/J119-1</f>
        <v>0.48034875922199305</v>
      </c>
      <c r="L119">
        <f>+Total!G221-Total!G220</f>
        <v>658.10000000000036</v>
      </c>
      <c r="M119" t="e">
        <f>+[3]US!$L212</f>
        <v>#REF!</v>
      </c>
      <c r="N119" t="e">
        <f>+[4]US!$J204</f>
        <v>#REF!</v>
      </c>
      <c r="O119" s="54" t="e">
        <f>SUM(L119:N119)</f>
        <v>#REF!</v>
      </c>
      <c r="P119">
        <f>+Total!H221-Total!H220</f>
        <v>611.69999999999891</v>
      </c>
      <c r="Q119" t="e">
        <f>+[3]US!$M212</f>
        <v>#REF!</v>
      </c>
      <c r="R119" t="e">
        <f>+[4]US!$K204</f>
        <v>#REF!</v>
      </c>
      <c r="S119" s="81" t="e">
        <f>SUM(P119:R119)</f>
        <v>#REF!</v>
      </c>
      <c r="T119" s="1" t="e">
        <f>+O119/O118-1</f>
        <v>#REF!</v>
      </c>
      <c r="U119" s="1" t="e">
        <f>+O119/S119-1</f>
        <v>#REF!</v>
      </c>
      <c r="V119">
        <f>+Total!E218</f>
        <v>11684.4</v>
      </c>
      <c r="W119">
        <f>+[1]US!$B209</f>
        <v>1941.6</v>
      </c>
      <c r="X119">
        <f>+[2]US!$B201</f>
        <v>3838.2</v>
      </c>
      <c r="Y119" s="16">
        <f>SUM(V119:X119)</f>
        <v>17464.2</v>
      </c>
      <c r="Z119">
        <f>+Total!F218</f>
        <v>8386</v>
      </c>
      <c r="AA119">
        <f>+[1]US!$C209</f>
        <v>4810.8999999999996</v>
      </c>
      <c r="AB119">
        <f>+[2]US!$C201</f>
        <v>3755.3</v>
      </c>
      <c r="AC119" s="79">
        <f>SUM(Z119:AB119)</f>
        <v>16952.2</v>
      </c>
      <c r="AD119" s="1">
        <f>+Y119/Y118-1</f>
        <v>6.800308215408335E-2</v>
      </c>
      <c r="AE119" s="1">
        <f>+Y119/AC119-1</f>
        <v>3.0202569577989946E-2</v>
      </c>
    </row>
    <row r="120" spans="1:31" x14ac:dyDescent="0.25">
      <c r="A120" s="118">
        <f t="shared" si="12"/>
        <v>40171</v>
      </c>
      <c r="B120" s="76">
        <f>+Total!L219</f>
        <v>772.59999999999854</v>
      </c>
      <c r="C120">
        <f>+[1]US!$I210</f>
        <v>478.50000000000728</v>
      </c>
      <c r="D120">
        <f>+[2]US!$I202</f>
        <v>325.20000000000073</v>
      </c>
      <c r="E120" s="77">
        <f>SUM(B120:D120)</f>
        <v>1576.3000000000065</v>
      </c>
      <c r="F120" s="1">
        <f>+E120/E119-1</f>
        <v>-0.28583725987676301</v>
      </c>
      <c r="G120" s="78">
        <f>+Total!J219-Total!J218</f>
        <v>269.90000000000146</v>
      </c>
      <c r="H120" s="78">
        <f>+[1]US!$G$208-[1]US!$G$207</f>
        <v>654.40000000000146</v>
      </c>
      <c r="I120" s="78">
        <f>+[2]US!$G$200-[2]US!$G$199</f>
        <v>285.20000000000073</v>
      </c>
      <c r="J120" s="80">
        <f>SUM(G120:I120)</f>
        <v>1209.5000000000036</v>
      </c>
      <c r="K120" s="22">
        <f>+E120/J120-1</f>
        <v>0.30326581231914163</v>
      </c>
      <c r="L120">
        <f>+Total!G222-Total!G221</f>
        <v>835.89999999999964</v>
      </c>
      <c r="M120" t="e">
        <f>+[3]US!$L213</f>
        <v>#REF!</v>
      </c>
      <c r="N120" t="e">
        <f>+[4]US!$J205</f>
        <v>#REF!</v>
      </c>
      <c r="O120" s="54" t="e">
        <f>SUM(L120:N120)</f>
        <v>#REF!</v>
      </c>
      <c r="P120">
        <f>+Total!H222-Total!H221</f>
        <v>684</v>
      </c>
      <c r="Q120" t="e">
        <f>+[3]US!$M213</f>
        <v>#REF!</v>
      </c>
      <c r="R120" t="e">
        <f>+[4]US!$K205</f>
        <v>#REF!</v>
      </c>
      <c r="S120" s="81" t="e">
        <f>SUM(P120:R120)</f>
        <v>#REF!</v>
      </c>
      <c r="T120" s="1" t="e">
        <f>+O120/O119-1</f>
        <v>#REF!</v>
      </c>
      <c r="U120" s="1" t="e">
        <f>+O120/S120-1</f>
        <v>#REF!</v>
      </c>
      <c r="V120">
        <f>+Total!E219</f>
        <v>11593.4</v>
      </c>
      <c r="W120">
        <f>+[1]US!$B210</f>
        <v>2149</v>
      </c>
      <c r="X120">
        <f>+[2]US!$B202</f>
        <v>3906.1</v>
      </c>
      <c r="Y120" s="16">
        <f>SUM(V120:X120)</f>
        <v>17648.5</v>
      </c>
      <c r="Z120">
        <f>+Total!F219</f>
        <v>8053.8</v>
      </c>
      <c r="AA120">
        <f>+[1]US!$C210</f>
        <v>5098.1000000000004</v>
      </c>
      <c r="AB120">
        <f>+[2]US!$C202</f>
        <v>3657.5</v>
      </c>
      <c r="AC120" s="79">
        <f>SUM(Z120:AB120)</f>
        <v>16809.400000000001</v>
      </c>
      <c r="AD120" s="1">
        <f>+Y120/Y119-1</f>
        <v>1.0553017029122369E-2</v>
      </c>
      <c r="AE120" s="1">
        <f>+Y120/AC120-1</f>
        <v>4.9918497983271193E-2</v>
      </c>
    </row>
    <row r="121" spans="1:31" x14ac:dyDescent="0.25">
      <c r="A121" s="118">
        <f t="shared" si="12"/>
        <v>40178</v>
      </c>
      <c r="B121" s="76">
        <f>+Total!L220</f>
        <v>365</v>
      </c>
      <c r="C121">
        <f>+[1]US!$I211</f>
        <v>175.5</v>
      </c>
      <c r="D121">
        <f>+[2]US!$I203</f>
        <v>371.30000000000291</v>
      </c>
      <c r="E121" s="77">
        <f>SUM(B121:D121)</f>
        <v>911.80000000000291</v>
      </c>
      <c r="F121" s="1">
        <f>+E121/E120-1</f>
        <v>-0.42155681025185621</v>
      </c>
      <c r="G121" s="78">
        <f>+Total!J220-Total!J219</f>
        <v>260.59999999999854</v>
      </c>
      <c r="H121" s="78">
        <f>+[1]US!$G$208-[1]US!$G$207</f>
        <v>654.40000000000146</v>
      </c>
      <c r="I121" s="78">
        <f>+[2]US!$G$200-[2]US!$G$199</f>
        <v>285.20000000000073</v>
      </c>
      <c r="J121" s="80">
        <f>SUM(G121:I121)</f>
        <v>1200.2000000000007</v>
      </c>
      <c r="K121" s="22">
        <f>+E121/J121-1</f>
        <v>-0.24029328445258924</v>
      </c>
      <c r="L121">
        <f>+Total!G223-Total!G222</f>
        <v>531.80000000000109</v>
      </c>
      <c r="M121" t="e">
        <f>+[3]US!$L214</f>
        <v>#REF!</v>
      </c>
      <c r="N121" t="e">
        <f>+[4]US!$J206</f>
        <v>#REF!</v>
      </c>
      <c r="O121" s="54" t="e">
        <f>SUM(L121:N121)</f>
        <v>#REF!</v>
      </c>
      <c r="P121">
        <f>+Total!H223-Total!H222</f>
        <v>738.70000000000073</v>
      </c>
      <c r="Q121" t="e">
        <f>+[3]US!$M214</f>
        <v>#REF!</v>
      </c>
      <c r="R121" t="e">
        <f>+[4]US!$K206</f>
        <v>#REF!</v>
      </c>
      <c r="S121" s="81" t="e">
        <f>SUM(P121:R121)</f>
        <v>#REF!</v>
      </c>
      <c r="T121" s="1" t="e">
        <f>+O121/O120-1</f>
        <v>#REF!</v>
      </c>
      <c r="U121" s="1" t="e">
        <f>+O121/S121-1</f>
        <v>#REF!</v>
      </c>
      <c r="V121">
        <f>+Total!E220</f>
        <v>11160.4</v>
      </c>
      <c r="W121">
        <f>+[1]US!$B211</f>
        <v>2180</v>
      </c>
      <c r="X121">
        <f>+[2]US!$B203</f>
        <v>3824.4</v>
      </c>
      <c r="Y121" s="16">
        <f>SUM(V121:X121)</f>
        <v>17164.8</v>
      </c>
      <c r="Z121">
        <f>+Total!F220</f>
        <v>7702.9</v>
      </c>
      <c r="AA121">
        <f>+[1]US!$C211</f>
        <v>4779.3999999999996</v>
      </c>
      <c r="AB121">
        <f>+[2]US!$C203</f>
        <v>3328.9</v>
      </c>
      <c r="AC121" s="79">
        <f>SUM(Z121:AB121)</f>
        <v>15811.199999999999</v>
      </c>
      <c r="AD121" s="1">
        <f>+Y121/Y120-1</f>
        <v>-2.7407428393347866E-2</v>
      </c>
      <c r="AE121" s="1">
        <f>+Y121/AC121-1</f>
        <v>8.5610200364298672E-2</v>
      </c>
    </row>
    <row r="122" spans="1:31" x14ac:dyDescent="0.25">
      <c r="A122" s="118">
        <f t="shared" si="12"/>
        <v>40185</v>
      </c>
      <c r="B122" s="76">
        <f>+Total!L221</f>
        <v>327</v>
      </c>
      <c r="C122">
        <f>+[1]US!$I212</f>
        <v>134.90000000000146</v>
      </c>
      <c r="D122">
        <f>+[2]US!$I204</f>
        <v>430.59999999999854</v>
      </c>
      <c r="E122" s="77">
        <f>SUM(B122:D122)</f>
        <v>892.5</v>
      </c>
      <c r="F122" s="1">
        <f>+E122/E121-1</f>
        <v>-2.1166922570742375E-2</v>
      </c>
      <c r="G122" s="78">
        <f>+Total!J221-Total!J220</f>
        <v>216.20000000000073</v>
      </c>
      <c r="H122" s="78">
        <f>+[1]US!$G$208-[1]US!$G$207</f>
        <v>654.40000000000146</v>
      </c>
      <c r="I122" s="78">
        <f>+[2]US!$G$200-[2]US!$G$199</f>
        <v>285.20000000000073</v>
      </c>
      <c r="J122" s="80">
        <f>SUM(G122:I122)</f>
        <v>1155.8000000000029</v>
      </c>
      <c r="K122" s="22">
        <f>+E122/J122-1</f>
        <v>-0.22780757916594763</v>
      </c>
      <c r="L122">
        <f>+Total!G224-Total!G223</f>
        <v>1122.9999999999982</v>
      </c>
      <c r="M122" t="e">
        <f>+[3]US!$L215</f>
        <v>#REF!</v>
      </c>
      <c r="N122" t="e">
        <f>+[4]US!$J207</f>
        <v>#REF!</v>
      </c>
      <c r="O122" s="54" t="e">
        <f>SUM(L122:N122)</f>
        <v>#REF!</v>
      </c>
      <c r="P122">
        <f>+Total!H224-Total!H223</f>
        <v>745.60000000000036</v>
      </c>
      <c r="Q122" t="e">
        <f>+[3]US!$M215</f>
        <v>#REF!</v>
      </c>
      <c r="R122" t="e">
        <f>+[4]US!$K207</f>
        <v>#REF!</v>
      </c>
      <c r="S122" s="81" t="e">
        <f>SUM(P122:R122)</f>
        <v>#REF!</v>
      </c>
      <c r="T122" s="1" t="e">
        <f>+O122/O121-1</f>
        <v>#REF!</v>
      </c>
      <c r="U122" s="1" t="e">
        <f>+O122/S122-1</f>
        <v>#REF!</v>
      </c>
      <c r="V122">
        <f>+Total!E221</f>
        <v>10829.3</v>
      </c>
      <c r="W122">
        <f>+[1]US!$B212</f>
        <v>2165.9</v>
      </c>
      <c r="X122">
        <f>+[2]US!$B204</f>
        <v>3562</v>
      </c>
      <c r="Y122" s="16">
        <f>SUM(V122:X122)</f>
        <v>16557.199999999997</v>
      </c>
      <c r="Z122">
        <f>+Total!F221</f>
        <v>7307.4</v>
      </c>
      <c r="AA122">
        <f>+[1]US!$C212</f>
        <v>4442.8999999999996</v>
      </c>
      <c r="AB122">
        <f>+[2]US!$C204</f>
        <v>3235.7</v>
      </c>
      <c r="AC122" s="79">
        <f>SUM(Z122:AB122)</f>
        <v>14986</v>
      </c>
      <c r="AD122" s="1">
        <f>+Y122/Y121-1</f>
        <v>-3.5398023862789119E-2</v>
      </c>
      <c r="AE122" s="1">
        <f>+Y122/AC122-1</f>
        <v>0.1048445215534497</v>
      </c>
    </row>
    <row r="123" spans="1:31" x14ac:dyDescent="0.25">
      <c r="A123" s="118">
        <f t="shared" si="12"/>
        <v>40192</v>
      </c>
      <c r="B123" s="76">
        <f>+Total!L222</f>
        <v>1610.4000000000015</v>
      </c>
      <c r="C123">
        <f>+[1]US!$I213</f>
        <v>420.69999999999709</v>
      </c>
      <c r="D123">
        <f>+[2]US!$I205</f>
        <v>323.70000000000073</v>
      </c>
      <c r="E123" s="77">
        <f>SUM(B123:D123)</f>
        <v>2354.7999999999993</v>
      </c>
      <c r="F123" s="1">
        <f>+E123/E122-1</f>
        <v>1.6384313725490189</v>
      </c>
      <c r="G123" s="78">
        <f>+Total!J222-Total!J221</f>
        <v>1086</v>
      </c>
      <c r="H123" s="78">
        <f>+[1]US!$G$208-[1]US!$G$207</f>
        <v>654.40000000000146</v>
      </c>
      <c r="I123" s="78">
        <f>+[2]US!$G$200-[2]US!$G$199</f>
        <v>285.20000000000073</v>
      </c>
      <c r="J123" s="80">
        <f>SUM(G123:I123)</f>
        <v>2025.6000000000022</v>
      </c>
      <c r="K123" s="22">
        <f>+E123/J123-1</f>
        <v>0.16251974723538543</v>
      </c>
      <c r="L123">
        <f>+Total!G225-Total!G224</f>
        <v>603.90000000000146</v>
      </c>
      <c r="M123" t="e">
        <f>+[3]US!$L216</f>
        <v>#REF!</v>
      </c>
      <c r="N123" t="e">
        <f>+[4]US!$J208</f>
        <v>#REF!</v>
      </c>
      <c r="O123" s="54" t="e">
        <f>SUM(L123:N123)</f>
        <v>#REF!</v>
      </c>
      <c r="P123">
        <f>+Total!H225-Total!H224</f>
        <v>567.39999999999782</v>
      </c>
      <c r="Q123" t="e">
        <f>+[3]US!$M216</f>
        <v>#REF!</v>
      </c>
      <c r="R123" t="e">
        <f>+[4]US!$K208</f>
        <v>#REF!</v>
      </c>
      <c r="S123" s="81" t="e">
        <f>SUM(P123:R123)</f>
        <v>#REF!</v>
      </c>
      <c r="T123" s="1" t="e">
        <f>+O123/O122-1</f>
        <v>#REF!</v>
      </c>
      <c r="U123" s="1" t="e">
        <f>+O123/S123-1</f>
        <v>#REF!</v>
      </c>
      <c r="V123">
        <f>+Total!E222</f>
        <v>11603.8</v>
      </c>
      <c r="W123">
        <f>+[1]US!$B213</f>
        <v>2418.6</v>
      </c>
      <c r="X123">
        <f>+[2]US!$B205</f>
        <v>3435.4</v>
      </c>
      <c r="Y123" s="16">
        <f>SUM(V123:X123)</f>
        <v>17457.8</v>
      </c>
      <c r="Z123">
        <f>+Total!F222</f>
        <v>7709.4</v>
      </c>
      <c r="AA123">
        <f>+[1]US!$C213</f>
        <v>4080.8</v>
      </c>
      <c r="AB123">
        <f>+[2]US!$C205</f>
        <v>2916.4</v>
      </c>
      <c r="AC123" s="79">
        <f>SUM(Z123:AB123)</f>
        <v>14706.6</v>
      </c>
      <c r="AD123" s="1">
        <f>+Y123/Y122-1</f>
        <v>5.4393254898171373E-2</v>
      </c>
      <c r="AE123" s="1">
        <f>+Y123/AC123-1</f>
        <v>0.18707247086342171</v>
      </c>
    </row>
    <row r="124" spans="1:31" x14ac:dyDescent="0.25">
      <c r="A124" s="118">
        <f t="shared" si="12"/>
        <v>40199</v>
      </c>
    </row>
    <row r="125" spans="1:31" x14ac:dyDescent="0.25">
      <c r="A125" s="118">
        <f t="shared" si="12"/>
        <v>40206</v>
      </c>
    </row>
    <row r="126" spans="1:31" x14ac:dyDescent="0.25">
      <c r="A126" s="118">
        <f t="shared" si="12"/>
        <v>40213</v>
      </c>
    </row>
    <row r="127" spans="1:31" x14ac:dyDescent="0.25">
      <c r="A127" s="118">
        <f t="shared" si="12"/>
        <v>40220</v>
      </c>
    </row>
    <row r="128" spans="1:31" x14ac:dyDescent="0.25">
      <c r="A128" s="118">
        <f t="shared" si="12"/>
        <v>40227</v>
      </c>
    </row>
    <row r="129" spans="1:1" x14ac:dyDescent="0.25">
      <c r="A129" s="118">
        <f t="shared" si="12"/>
        <v>40234</v>
      </c>
    </row>
    <row r="130" spans="1:1" x14ac:dyDescent="0.25">
      <c r="A130" s="118">
        <f t="shared" si="12"/>
        <v>40241</v>
      </c>
    </row>
    <row r="131" spans="1:1" x14ac:dyDescent="0.25">
      <c r="A131" s="118">
        <f t="shared" si="12"/>
        <v>40248</v>
      </c>
    </row>
    <row r="132" spans="1:1" x14ac:dyDescent="0.25">
      <c r="A132" s="118">
        <f t="shared" si="12"/>
        <v>40255</v>
      </c>
    </row>
    <row r="133" spans="1:1" x14ac:dyDescent="0.25">
      <c r="A133" s="118">
        <f t="shared" si="12"/>
        <v>40262</v>
      </c>
    </row>
    <row r="134" spans="1:1" x14ac:dyDescent="0.25">
      <c r="A134" s="118">
        <f t="shared" si="12"/>
        <v>40269</v>
      </c>
    </row>
    <row r="135" spans="1:1" x14ac:dyDescent="0.25">
      <c r="A135" s="118">
        <f t="shared" si="12"/>
        <v>40276</v>
      </c>
    </row>
    <row r="136" spans="1:1" x14ac:dyDescent="0.25">
      <c r="A136" s="118">
        <f t="shared" si="12"/>
        <v>40283</v>
      </c>
    </row>
    <row r="137" spans="1:1" x14ac:dyDescent="0.25">
      <c r="A137" s="118">
        <f t="shared" si="12"/>
        <v>40290</v>
      </c>
    </row>
    <row r="138" spans="1:1" x14ac:dyDescent="0.25">
      <c r="A138" s="118">
        <f t="shared" si="12"/>
        <v>40297</v>
      </c>
    </row>
    <row r="139" spans="1:1" x14ac:dyDescent="0.25">
      <c r="A139" s="118">
        <f t="shared" si="12"/>
        <v>40304</v>
      </c>
    </row>
    <row r="140" spans="1:1" x14ac:dyDescent="0.25">
      <c r="A140" s="118">
        <f t="shared" si="12"/>
        <v>40311</v>
      </c>
    </row>
    <row r="141" spans="1:1" x14ac:dyDescent="0.25">
      <c r="A141" s="118">
        <f t="shared" si="12"/>
        <v>40318</v>
      </c>
    </row>
    <row r="142" spans="1:1" x14ac:dyDescent="0.25">
      <c r="A142" s="118">
        <f t="shared" si="12"/>
        <v>40325</v>
      </c>
    </row>
    <row r="143" spans="1:1" x14ac:dyDescent="0.25">
      <c r="A143" s="118">
        <f t="shared" si="12"/>
        <v>40332</v>
      </c>
    </row>
    <row r="144" spans="1:1" x14ac:dyDescent="0.25">
      <c r="A144" s="118">
        <f t="shared" si="12"/>
        <v>40339</v>
      </c>
    </row>
    <row r="145" spans="1:1" x14ac:dyDescent="0.25">
      <c r="A145" s="118">
        <f t="shared" si="12"/>
        <v>40346</v>
      </c>
    </row>
    <row r="146" spans="1:1" x14ac:dyDescent="0.25">
      <c r="A146" s="118">
        <f t="shared" si="12"/>
        <v>40353</v>
      </c>
    </row>
    <row r="147" spans="1:1" x14ac:dyDescent="0.25">
      <c r="A147" s="118">
        <f t="shared" si="12"/>
        <v>40360</v>
      </c>
    </row>
    <row r="148" spans="1:1" x14ac:dyDescent="0.25">
      <c r="A148" s="118">
        <f t="shared" si="12"/>
        <v>40367</v>
      </c>
    </row>
    <row r="149" spans="1:1" x14ac:dyDescent="0.25">
      <c r="A149" s="118">
        <f t="shared" si="12"/>
        <v>40374</v>
      </c>
    </row>
    <row r="150" spans="1:1" x14ac:dyDescent="0.25">
      <c r="A150" s="118">
        <f t="shared" si="12"/>
        <v>40381</v>
      </c>
    </row>
  </sheetData>
  <mergeCells count="5">
    <mergeCell ref="AM1:AU1"/>
    <mergeCell ref="T2:T3"/>
    <mergeCell ref="U2:U3"/>
    <mergeCell ref="AD2:AD3"/>
    <mergeCell ref="AE2:AE3"/>
  </mergeCells>
  <phoneticPr fontId="2" type="noConversion"/>
  <pageMargins left="0.75" right="0.75" top="1" bottom="1" header="0.5" footer="0.5"/>
  <pageSetup scale="6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319"/>
  <sheetViews>
    <sheetView workbookViewId="0"/>
  </sheetViews>
  <sheetFormatPr defaultRowHeight="13.2" x14ac:dyDescent="0.25"/>
  <sheetData>
    <row r="1" spans="1:49" ht="15" x14ac:dyDescent="0.25">
      <c r="A1" s="119" t="s">
        <v>61</v>
      </c>
      <c r="B1" t="s">
        <v>197</v>
      </c>
      <c r="C1" t="s">
        <v>167</v>
      </c>
      <c r="D1" t="s">
        <v>177</v>
      </c>
      <c r="E1" t="s">
        <v>167</v>
      </c>
      <c r="F1" t="s">
        <v>177</v>
      </c>
      <c r="G1" t="s">
        <v>167</v>
      </c>
      <c r="H1" t="s">
        <v>177</v>
      </c>
      <c r="I1" t="s">
        <v>167</v>
      </c>
      <c r="J1" t="s">
        <v>198</v>
      </c>
      <c r="K1" t="s">
        <v>61</v>
      </c>
      <c r="L1" s="123" t="s">
        <v>177</v>
      </c>
      <c r="M1" t="s">
        <v>197</v>
      </c>
      <c r="N1" t="s">
        <v>167</v>
      </c>
      <c r="O1" t="s">
        <v>177</v>
      </c>
      <c r="P1" t="s">
        <v>167</v>
      </c>
      <c r="Q1" t="s">
        <v>177</v>
      </c>
      <c r="R1" t="s">
        <v>167</v>
      </c>
      <c r="S1" t="s">
        <v>177</v>
      </c>
      <c r="T1" t="s">
        <v>167</v>
      </c>
      <c r="U1" t="s">
        <v>198</v>
      </c>
      <c r="V1" t="s">
        <v>61</v>
      </c>
      <c r="W1" t="s">
        <v>177</v>
      </c>
      <c r="AQ1" s="123" t="s">
        <v>58</v>
      </c>
    </row>
    <row r="2" spans="1:49" ht="15" x14ac:dyDescent="0.25">
      <c r="A2" s="119"/>
      <c r="C2" t="s">
        <v>182</v>
      </c>
      <c r="D2" t="s">
        <v>199</v>
      </c>
      <c r="E2" t="s">
        <v>200</v>
      </c>
      <c r="F2" t="s">
        <v>201</v>
      </c>
      <c r="G2" t="s">
        <v>202</v>
      </c>
      <c r="H2" t="s">
        <v>203</v>
      </c>
      <c r="I2" t="s">
        <v>204</v>
      </c>
      <c r="L2" s="123"/>
      <c r="N2" t="s">
        <v>182</v>
      </c>
      <c r="O2" t="s">
        <v>199</v>
      </c>
      <c r="P2" t="s">
        <v>200</v>
      </c>
      <c r="Q2" t="s">
        <v>201</v>
      </c>
      <c r="R2" t="s">
        <v>202</v>
      </c>
      <c r="S2" t="s">
        <v>203</v>
      </c>
      <c r="T2" t="s">
        <v>204</v>
      </c>
      <c r="AQ2" s="123" t="s">
        <v>281</v>
      </c>
      <c r="AR2" t="s">
        <v>282</v>
      </c>
      <c r="AS2" t="s">
        <v>157</v>
      </c>
      <c r="AT2" t="s">
        <v>158</v>
      </c>
      <c r="AU2" t="s">
        <v>184</v>
      </c>
      <c r="AV2" t="s">
        <v>185</v>
      </c>
      <c r="AW2" t="s">
        <v>186</v>
      </c>
    </row>
    <row r="3" spans="1:49" ht="15" x14ac:dyDescent="0.25">
      <c r="A3" s="119"/>
      <c r="C3" t="s">
        <v>205</v>
      </c>
      <c r="D3" t="s">
        <v>206</v>
      </c>
      <c r="E3" t="s">
        <v>207</v>
      </c>
      <c r="F3" t="s">
        <v>208</v>
      </c>
      <c r="G3" t="s">
        <v>209</v>
      </c>
      <c r="H3" t="s">
        <v>210</v>
      </c>
      <c r="I3" t="s">
        <v>265</v>
      </c>
      <c r="J3" s="124">
        <v>41306</v>
      </c>
      <c r="L3" s="123"/>
      <c r="N3" t="s">
        <v>205</v>
      </c>
      <c r="O3" t="s">
        <v>206</v>
      </c>
      <c r="P3" t="s">
        <v>207</v>
      </c>
      <c r="Q3" t="s">
        <v>208</v>
      </c>
      <c r="R3" t="s">
        <v>209</v>
      </c>
      <c r="S3" t="s">
        <v>210</v>
      </c>
      <c r="T3" t="s">
        <v>211</v>
      </c>
      <c r="U3" s="124">
        <v>40422</v>
      </c>
      <c r="AQ3" s="123"/>
      <c r="AR3" t="s">
        <v>227</v>
      </c>
      <c r="AS3" t="s">
        <v>159</v>
      </c>
      <c r="AT3" t="s">
        <v>160</v>
      </c>
      <c r="AU3" t="s">
        <v>187</v>
      </c>
      <c r="AV3" s="20">
        <v>41152</v>
      </c>
    </row>
    <row r="4" spans="1:49" ht="15" x14ac:dyDescent="0.25">
      <c r="A4" s="119"/>
      <c r="D4" t="s">
        <v>212</v>
      </c>
      <c r="E4" t="s">
        <v>213</v>
      </c>
      <c r="F4" t="s">
        <v>214</v>
      </c>
      <c r="G4" t="s">
        <v>215</v>
      </c>
      <c r="H4" t="s">
        <v>216</v>
      </c>
      <c r="I4" t="s">
        <v>217</v>
      </c>
      <c r="L4" s="123"/>
      <c r="O4" t="s">
        <v>212</v>
      </c>
      <c r="P4" t="s">
        <v>213</v>
      </c>
      <c r="Q4" t="s">
        <v>214</v>
      </c>
      <c r="R4" t="s">
        <v>215</v>
      </c>
      <c r="S4" t="s">
        <v>216</v>
      </c>
      <c r="T4" t="s">
        <v>217</v>
      </c>
      <c r="Z4" s="123" t="s">
        <v>61</v>
      </c>
      <c r="AA4" t="s">
        <v>197</v>
      </c>
      <c r="AB4" t="s">
        <v>167</v>
      </c>
      <c r="AC4" t="s">
        <v>177</v>
      </c>
      <c r="AD4" t="s">
        <v>167</v>
      </c>
      <c r="AE4" t="s">
        <v>177</v>
      </c>
      <c r="AF4" t="s">
        <v>167</v>
      </c>
      <c r="AG4" t="s">
        <v>198</v>
      </c>
      <c r="AH4" t="s">
        <v>61</v>
      </c>
      <c r="AI4" t="s">
        <v>198</v>
      </c>
      <c r="AJ4" t="s">
        <v>61</v>
      </c>
      <c r="AK4" t="s">
        <v>177</v>
      </c>
      <c r="AQ4" s="123" t="s">
        <v>283</v>
      </c>
      <c r="AR4" t="s">
        <v>194</v>
      </c>
    </row>
    <row r="5" spans="1:49" ht="15" x14ac:dyDescent="0.25">
      <c r="A5" s="119"/>
      <c r="E5" t="s">
        <v>218</v>
      </c>
      <c r="F5" t="s">
        <v>219</v>
      </c>
      <c r="G5" t="s">
        <v>220</v>
      </c>
      <c r="H5" t="s">
        <v>221</v>
      </c>
      <c r="L5" s="123"/>
      <c r="P5" t="s">
        <v>218</v>
      </c>
      <c r="Q5" t="s">
        <v>219</v>
      </c>
      <c r="R5" t="s">
        <v>220</v>
      </c>
      <c r="S5" t="s">
        <v>221</v>
      </c>
      <c r="Z5" s="123"/>
      <c r="AB5" t="s">
        <v>182</v>
      </c>
      <c r="AC5" t="s">
        <v>199</v>
      </c>
      <c r="AD5" t="s">
        <v>200</v>
      </c>
      <c r="AE5" t="s">
        <v>201</v>
      </c>
      <c r="AF5" t="s">
        <v>202</v>
      </c>
      <c r="AG5" t="s">
        <v>263</v>
      </c>
      <c r="AH5" t="s">
        <v>264</v>
      </c>
      <c r="AQ5" s="123" t="s">
        <v>284</v>
      </c>
      <c r="AR5" t="s">
        <v>256</v>
      </c>
      <c r="AS5" t="s">
        <v>162</v>
      </c>
      <c r="AT5" t="s">
        <v>61</v>
      </c>
      <c r="AU5" t="s">
        <v>168</v>
      </c>
      <c r="AV5" t="s">
        <v>188</v>
      </c>
      <c r="AW5" t="s">
        <v>240</v>
      </c>
    </row>
    <row r="6" spans="1:49" ht="15" x14ac:dyDescent="0.25">
      <c r="A6" s="119"/>
      <c r="L6" s="122"/>
      <c r="Z6" s="123"/>
      <c r="AB6" t="s">
        <v>205</v>
      </c>
      <c r="AC6" t="s">
        <v>206</v>
      </c>
      <c r="AD6" t="s">
        <v>207</v>
      </c>
      <c r="AE6" t="s">
        <v>208</v>
      </c>
      <c r="AF6" t="s">
        <v>209</v>
      </c>
      <c r="AG6" t="s">
        <v>210</v>
      </c>
      <c r="AH6" t="s">
        <v>265</v>
      </c>
      <c r="AI6" s="124">
        <v>40909</v>
      </c>
      <c r="AQ6" s="123"/>
      <c r="AS6" t="s">
        <v>62</v>
      </c>
      <c r="AT6" t="s">
        <v>163</v>
      </c>
      <c r="AU6" t="s">
        <v>190</v>
      </c>
      <c r="AV6" t="s">
        <v>191</v>
      </c>
      <c r="AW6" t="s">
        <v>175</v>
      </c>
    </row>
    <row r="7" spans="1:49" ht="15" x14ac:dyDescent="0.25">
      <c r="A7" s="119"/>
      <c r="C7" s="117" t="s">
        <v>323</v>
      </c>
      <c r="E7" t="s">
        <v>268</v>
      </c>
      <c r="F7">
        <v>2012</v>
      </c>
      <c r="G7" t="s">
        <v>269</v>
      </c>
      <c r="H7">
        <v>2011</v>
      </c>
      <c r="I7" t="s">
        <v>222</v>
      </c>
      <c r="J7">
        <v>2010</v>
      </c>
      <c r="K7" t="s">
        <v>223</v>
      </c>
      <c r="L7" s="123">
        <v>2009</v>
      </c>
      <c r="N7" t="s">
        <v>222</v>
      </c>
      <c r="O7">
        <v>2010</v>
      </c>
      <c r="P7" t="s">
        <v>223</v>
      </c>
      <c r="Q7">
        <v>2009</v>
      </c>
      <c r="R7" t="s">
        <v>224</v>
      </c>
      <c r="S7">
        <v>2008</v>
      </c>
      <c r="T7" t="s">
        <v>225</v>
      </c>
      <c r="U7">
        <v>2007</v>
      </c>
      <c r="V7" t="s">
        <v>226</v>
      </c>
      <c r="W7">
        <v>2006</v>
      </c>
      <c r="Z7" s="123"/>
      <c r="AC7" t="s">
        <v>212</v>
      </c>
      <c r="AD7" t="s">
        <v>213</v>
      </c>
      <c r="AE7" t="s">
        <v>214</v>
      </c>
      <c r="AF7" t="s">
        <v>215</v>
      </c>
      <c r="AG7" t="s">
        <v>266</v>
      </c>
      <c r="AH7" t="s">
        <v>267</v>
      </c>
      <c r="AQ7" s="123"/>
      <c r="AS7" t="s">
        <v>62</v>
      </c>
      <c r="AT7" t="s">
        <v>61</v>
      </c>
      <c r="AU7" t="s">
        <v>168</v>
      </c>
      <c r="AV7" t="s">
        <v>188</v>
      </c>
      <c r="AW7" t="s">
        <v>240</v>
      </c>
    </row>
    <row r="8" spans="1:49" ht="15" x14ac:dyDescent="0.25">
      <c r="A8" s="119" t="s">
        <v>174</v>
      </c>
      <c r="C8" t="s">
        <v>175</v>
      </c>
      <c r="D8" t="s">
        <v>176</v>
      </c>
      <c r="E8" t="s">
        <v>175</v>
      </c>
      <c r="F8" t="s">
        <v>176</v>
      </c>
      <c r="G8" t="s">
        <v>175</v>
      </c>
      <c r="H8" t="s">
        <v>176</v>
      </c>
      <c r="I8" t="s">
        <v>175</v>
      </c>
      <c r="J8" t="s">
        <v>176</v>
      </c>
      <c r="K8" t="s">
        <v>175</v>
      </c>
      <c r="L8" s="123" t="s">
        <v>176</v>
      </c>
      <c r="N8" t="s">
        <v>175</v>
      </c>
      <c r="O8" t="s">
        <v>176</v>
      </c>
      <c r="P8" t="s">
        <v>175</v>
      </c>
      <c r="Q8" t="s">
        <v>176</v>
      </c>
      <c r="R8" t="s">
        <v>175</v>
      </c>
      <c r="S8" t="s">
        <v>176</v>
      </c>
      <c r="T8" t="s">
        <v>175</v>
      </c>
      <c r="U8" t="s">
        <v>176</v>
      </c>
      <c r="V8" t="s">
        <v>175</v>
      </c>
      <c r="W8" t="s">
        <v>176</v>
      </c>
      <c r="Z8" s="123"/>
      <c r="AD8" t="s">
        <v>218</v>
      </c>
      <c r="AE8" t="s">
        <v>219</v>
      </c>
      <c r="AF8" t="s">
        <v>220</v>
      </c>
      <c r="AG8" t="s">
        <v>221</v>
      </c>
      <c r="AQ8" s="123" t="s">
        <v>63</v>
      </c>
      <c r="AS8" t="s">
        <v>62</v>
      </c>
      <c r="AT8" t="s">
        <v>227</v>
      </c>
      <c r="AU8" t="s">
        <v>260</v>
      </c>
      <c r="AV8" t="s">
        <v>285</v>
      </c>
      <c r="AW8" t="s">
        <v>196</v>
      </c>
    </row>
    <row r="9" spans="1:49" ht="15" x14ac:dyDescent="0.25">
      <c r="A9" s="119" t="s">
        <v>61</v>
      </c>
      <c r="B9" t="s">
        <v>197</v>
      </c>
      <c r="C9" t="s">
        <v>167</v>
      </c>
      <c r="D9" t="s">
        <v>177</v>
      </c>
      <c r="E9" t="s">
        <v>167</v>
      </c>
      <c r="F9" t="s">
        <v>177</v>
      </c>
      <c r="G9" t="s">
        <v>167</v>
      </c>
      <c r="H9" t="s">
        <v>177</v>
      </c>
      <c r="I9" t="s">
        <v>167</v>
      </c>
      <c r="J9" t="s">
        <v>198</v>
      </c>
      <c r="K9" t="s">
        <v>61</v>
      </c>
      <c r="L9" s="123" t="s">
        <v>177</v>
      </c>
      <c r="M9" t="s">
        <v>197</v>
      </c>
      <c r="N9" t="s">
        <v>167</v>
      </c>
      <c r="O9" t="s">
        <v>177</v>
      </c>
      <c r="P9" t="s">
        <v>167</v>
      </c>
      <c r="Q9" t="s">
        <v>177</v>
      </c>
      <c r="R9" t="s">
        <v>167</v>
      </c>
      <c r="S9" t="s">
        <v>177</v>
      </c>
      <c r="T9" t="s">
        <v>167</v>
      </c>
      <c r="U9" t="s">
        <v>198</v>
      </c>
      <c r="V9" t="s">
        <v>61</v>
      </c>
      <c r="W9" t="s">
        <v>177</v>
      </c>
      <c r="Z9" s="122"/>
      <c r="AQ9" s="123" t="s">
        <v>284</v>
      </c>
      <c r="AR9" t="s">
        <v>256</v>
      </c>
      <c r="AS9" t="s">
        <v>162</v>
      </c>
      <c r="AT9" t="s">
        <v>61</v>
      </c>
      <c r="AU9" t="s">
        <v>168</v>
      </c>
      <c r="AV9" t="s">
        <v>188</v>
      </c>
      <c r="AW9" t="s">
        <v>240</v>
      </c>
    </row>
    <row r="10" spans="1:49" ht="15" x14ac:dyDescent="0.25">
      <c r="A10" s="119" t="s">
        <v>71</v>
      </c>
      <c r="B10" t="s">
        <v>62</v>
      </c>
      <c r="C10">
        <v>7000.2</v>
      </c>
      <c r="D10">
        <v>1</v>
      </c>
      <c r="E10">
        <v>11748.6</v>
      </c>
      <c r="F10">
        <v>1</v>
      </c>
      <c r="G10">
        <v>14278.9</v>
      </c>
      <c r="H10">
        <v>1</v>
      </c>
      <c r="I10">
        <v>14343.1</v>
      </c>
      <c r="J10">
        <v>1</v>
      </c>
      <c r="K10">
        <v>15909.5</v>
      </c>
      <c r="L10" s="123">
        <v>1</v>
      </c>
      <c r="M10" t="s">
        <v>62</v>
      </c>
      <c r="N10">
        <v>14343.1</v>
      </c>
      <c r="O10">
        <v>1</v>
      </c>
      <c r="P10">
        <v>15909.5</v>
      </c>
      <c r="Q10">
        <v>1</v>
      </c>
      <c r="R10">
        <v>15800.5</v>
      </c>
      <c r="S10">
        <v>1</v>
      </c>
      <c r="T10">
        <v>15639.8</v>
      </c>
      <c r="U10">
        <v>1</v>
      </c>
      <c r="V10">
        <v>16473.8</v>
      </c>
      <c r="W10">
        <v>1</v>
      </c>
      <c r="Z10" s="123"/>
      <c r="AB10" t="s">
        <v>268</v>
      </c>
      <c r="AC10">
        <v>2012</v>
      </c>
      <c r="AD10" t="s">
        <v>269</v>
      </c>
      <c r="AE10">
        <v>2011</v>
      </c>
      <c r="AF10" t="s">
        <v>222</v>
      </c>
      <c r="AG10">
        <v>2010</v>
      </c>
      <c r="AH10" t="s">
        <v>223</v>
      </c>
      <c r="AI10">
        <v>2009</v>
      </c>
      <c r="AJ10" t="s">
        <v>224</v>
      </c>
      <c r="AK10">
        <v>2008</v>
      </c>
      <c r="AQ10" s="123"/>
      <c r="AS10" t="s">
        <v>62</v>
      </c>
    </row>
    <row r="11" spans="1:49" ht="15" x14ac:dyDescent="0.25">
      <c r="A11" s="119"/>
      <c r="L11" s="122"/>
      <c r="Z11" s="123" t="s">
        <v>174</v>
      </c>
      <c r="AB11" t="s">
        <v>175</v>
      </c>
      <c r="AC11" t="s">
        <v>176</v>
      </c>
      <c r="AD11" t="s">
        <v>175</v>
      </c>
      <c r="AE11" t="s">
        <v>176</v>
      </c>
      <c r="AF11" t="s">
        <v>175</v>
      </c>
      <c r="AG11" t="s">
        <v>176</v>
      </c>
      <c r="AH11" t="s">
        <v>175</v>
      </c>
      <c r="AI11" t="s">
        <v>176</v>
      </c>
      <c r="AJ11" t="s">
        <v>175</v>
      </c>
      <c r="AK11" t="s">
        <v>176</v>
      </c>
      <c r="AQ11" s="123" t="s">
        <v>286</v>
      </c>
      <c r="AR11">
        <v>-27</v>
      </c>
      <c r="AS11" t="s">
        <v>62</v>
      </c>
      <c r="AT11">
        <v>0.4</v>
      </c>
      <c r="AU11">
        <v>0.6</v>
      </c>
      <c r="AV11">
        <v>0.7</v>
      </c>
      <c r="AW11">
        <v>1000.6</v>
      </c>
    </row>
    <row r="12" spans="1:49" ht="15" x14ac:dyDescent="0.25">
      <c r="A12" s="119" t="s">
        <v>110</v>
      </c>
      <c r="B12" t="s">
        <v>62</v>
      </c>
      <c r="C12">
        <v>4370</v>
      </c>
      <c r="D12">
        <v>2</v>
      </c>
      <c r="E12">
        <v>9537.5</v>
      </c>
      <c r="F12">
        <v>2</v>
      </c>
      <c r="G12">
        <v>7018.6</v>
      </c>
      <c r="H12">
        <v>2</v>
      </c>
      <c r="I12">
        <v>7998.6</v>
      </c>
      <c r="J12">
        <v>2</v>
      </c>
      <c r="K12">
        <v>7453.7</v>
      </c>
      <c r="L12" s="123">
        <v>2</v>
      </c>
      <c r="M12" t="s">
        <v>62</v>
      </c>
      <c r="N12">
        <v>7998.6</v>
      </c>
      <c r="O12">
        <v>2</v>
      </c>
      <c r="P12">
        <v>7453.7</v>
      </c>
      <c r="Q12">
        <v>2</v>
      </c>
      <c r="R12">
        <v>8739.4</v>
      </c>
      <c r="S12">
        <v>2</v>
      </c>
      <c r="T12">
        <v>9114.1</v>
      </c>
      <c r="U12">
        <v>2</v>
      </c>
      <c r="V12">
        <v>6653.1</v>
      </c>
      <c r="W12">
        <v>2</v>
      </c>
      <c r="Z12" s="123" t="s">
        <v>61</v>
      </c>
      <c r="AA12" t="s">
        <v>197</v>
      </c>
      <c r="AB12" t="s">
        <v>167</v>
      </c>
      <c r="AC12" t="s">
        <v>177</v>
      </c>
      <c r="AD12" t="s">
        <v>167</v>
      </c>
      <c r="AE12" t="s">
        <v>177</v>
      </c>
      <c r="AF12" t="s">
        <v>167</v>
      </c>
      <c r="AG12" t="s">
        <v>198</v>
      </c>
      <c r="AH12" t="s">
        <v>61</v>
      </c>
      <c r="AI12" t="s">
        <v>198</v>
      </c>
      <c r="AJ12" t="s">
        <v>61</v>
      </c>
      <c r="AK12" t="s">
        <v>177</v>
      </c>
      <c r="AQ12" s="123" t="s">
        <v>247</v>
      </c>
      <c r="AS12" t="s">
        <v>62</v>
      </c>
      <c r="AT12">
        <v>0</v>
      </c>
      <c r="AU12">
        <v>0</v>
      </c>
      <c r="AV12" t="s">
        <v>228</v>
      </c>
      <c r="AW12">
        <v>0</v>
      </c>
    </row>
    <row r="13" spans="1:49" ht="15" x14ac:dyDescent="0.25">
      <c r="A13" s="119"/>
      <c r="L13" s="122"/>
      <c r="Z13" s="123" t="s">
        <v>71</v>
      </c>
      <c r="AA13" t="s">
        <v>62</v>
      </c>
      <c r="AB13">
        <v>11748.6</v>
      </c>
      <c r="AC13">
        <v>1</v>
      </c>
      <c r="AD13">
        <v>14278.9</v>
      </c>
      <c r="AE13">
        <v>1</v>
      </c>
      <c r="AF13">
        <v>14343.1</v>
      </c>
      <c r="AG13">
        <v>1</v>
      </c>
      <c r="AH13">
        <v>15909.5</v>
      </c>
      <c r="AI13">
        <v>1</v>
      </c>
      <c r="AJ13">
        <v>15800.5</v>
      </c>
      <c r="AK13">
        <v>1</v>
      </c>
      <c r="AQ13" s="123" t="s">
        <v>129</v>
      </c>
      <c r="AS13" t="s">
        <v>62</v>
      </c>
      <c r="AT13">
        <v>0</v>
      </c>
      <c r="AU13">
        <v>0</v>
      </c>
      <c r="AV13">
        <v>0</v>
      </c>
      <c r="AW13">
        <v>62.8</v>
      </c>
    </row>
    <row r="14" spans="1:49" ht="15" x14ac:dyDescent="0.25">
      <c r="A14" s="119" t="s">
        <v>73</v>
      </c>
      <c r="B14" t="s">
        <v>62</v>
      </c>
      <c r="C14">
        <v>2449.6999999999998</v>
      </c>
      <c r="D14">
        <v>3</v>
      </c>
      <c r="E14">
        <v>5174.1000000000004</v>
      </c>
      <c r="F14">
        <v>3</v>
      </c>
      <c r="G14">
        <v>977.2</v>
      </c>
      <c r="H14">
        <v>7</v>
      </c>
      <c r="I14">
        <v>1157.5</v>
      </c>
      <c r="J14">
        <v>6</v>
      </c>
      <c r="K14">
        <v>0</v>
      </c>
      <c r="L14" s="123">
        <v>0</v>
      </c>
      <c r="M14" t="s">
        <v>62</v>
      </c>
      <c r="N14">
        <v>7561.6</v>
      </c>
      <c r="O14">
        <v>3</v>
      </c>
      <c r="P14">
        <v>5129.3999999999996</v>
      </c>
      <c r="Q14">
        <v>3</v>
      </c>
      <c r="R14">
        <v>8639</v>
      </c>
      <c r="S14">
        <v>3</v>
      </c>
      <c r="T14">
        <v>4078.8</v>
      </c>
      <c r="U14">
        <v>4</v>
      </c>
      <c r="V14">
        <v>5572.9</v>
      </c>
      <c r="W14">
        <v>3</v>
      </c>
      <c r="Z14" s="122"/>
      <c r="AQ14" s="123" t="s">
        <v>229</v>
      </c>
      <c r="AS14" t="s">
        <v>62</v>
      </c>
      <c r="AT14">
        <v>0</v>
      </c>
      <c r="AU14">
        <v>0</v>
      </c>
      <c r="AV14">
        <v>0</v>
      </c>
      <c r="AW14">
        <v>113.8</v>
      </c>
    </row>
    <row r="15" spans="1:49" ht="15" x14ac:dyDescent="0.25">
      <c r="A15" s="119"/>
      <c r="L15" s="122"/>
      <c r="Z15" s="123" t="s">
        <v>110</v>
      </c>
      <c r="AA15" t="s">
        <v>62</v>
      </c>
      <c r="AB15">
        <v>9537.5</v>
      </c>
      <c r="AC15">
        <v>2</v>
      </c>
      <c r="AD15">
        <v>7018.6</v>
      </c>
      <c r="AE15">
        <v>2</v>
      </c>
      <c r="AF15">
        <v>7998.6</v>
      </c>
      <c r="AG15">
        <v>2</v>
      </c>
      <c r="AH15">
        <v>7453.7</v>
      </c>
      <c r="AI15">
        <v>2</v>
      </c>
      <c r="AJ15">
        <v>8739.4</v>
      </c>
      <c r="AK15">
        <v>2</v>
      </c>
      <c r="AQ15" s="123" t="s">
        <v>232</v>
      </c>
      <c r="AS15" t="s">
        <v>62</v>
      </c>
      <c r="AT15">
        <v>0</v>
      </c>
      <c r="AU15">
        <v>0</v>
      </c>
      <c r="AV15">
        <v>0</v>
      </c>
      <c r="AW15">
        <v>28.3</v>
      </c>
    </row>
    <row r="16" spans="1:49" ht="15" x14ac:dyDescent="0.25">
      <c r="A16" s="119" t="s">
        <v>119</v>
      </c>
      <c r="B16" t="s">
        <v>62</v>
      </c>
      <c r="C16">
        <v>1158.0999999999999</v>
      </c>
      <c r="D16">
        <v>4</v>
      </c>
      <c r="E16">
        <v>1280.0999999999999</v>
      </c>
      <c r="F16">
        <v>5</v>
      </c>
      <c r="G16">
        <v>893.7</v>
      </c>
      <c r="H16">
        <v>8</v>
      </c>
      <c r="I16">
        <v>1076.8</v>
      </c>
      <c r="J16">
        <v>8</v>
      </c>
      <c r="K16">
        <v>1159</v>
      </c>
      <c r="L16" s="123">
        <v>7</v>
      </c>
      <c r="M16" t="s">
        <v>62</v>
      </c>
      <c r="N16">
        <v>2949</v>
      </c>
      <c r="O16">
        <v>4</v>
      </c>
      <c r="P16">
        <v>3198.3</v>
      </c>
      <c r="Q16">
        <v>4</v>
      </c>
      <c r="R16">
        <v>3478.3</v>
      </c>
      <c r="S16">
        <v>4</v>
      </c>
      <c r="T16">
        <v>4517.3999999999996</v>
      </c>
      <c r="U16">
        <v>3</v>
      </c>
      <c r="V16">
        <v>4951.3</v>
      </c>
      <c r="W16">
        <v>4</v>
      </c>
      <c r="Z16" s="122"/>
      <c r="AQ16" s="123" t="s">
        <v>230</v>
      </c>
      <c r="AS16" t="s">
        <v>62</v>
      </c>
      <c r="AT16">
        <v>0</v>
      </c>
      <c r="AU16">
        <v>0</v>
      </c>
      <c r="AV16">
        <v>0</v>
      </c>
      <c r="AW16">
        <v>92.1</v>
      </c>
    </row>
    <row r="17" spans="1:51" ht="15" x14ac:dyDescent="0.25">
      <c r="A17" s="119"/>
      <c r="L17" s="122"/>
      <c r="Z17" s="123" t="s">
        <v>73</v>
      </c>
      <c r="AA17" t="s">
        <v>62</v>
      </c>
      <c r="AB17">
        <v>5174.1000000000004</v>
      </c>
      <c r="AC17">
        <v>3</v>
      </c>
      <c r="AD17">
        <v>977.2</v>
      </c>
      <c r="AE17">
        <v>7</v>
      </c>
      <c r="AF17">
        <v>1157.5</v>
      </c>
      <c r="AG17">
        <v>6</v>
      </c>
      <c r="AH17">
        <v>0</v>
      </c>
      <c r="AI17">
        <v>0</v>
      </c>
      <c r="AJ17">
        <v>0</v>
      </c>
      <c r="AK17">
        <v>0</v>
      </c>
      <c r="AQ17" s="123" t="s">
        <v>181</v>
      </c>
      <c r="AS17" t="s">
        <v>62</v>
      </c>
      <c r="AT17">
        <v>0</v>
      </c>
      <c r="AU17">
        <v>0</v>
      </c>
      <c r="AV17">
        <v>0</v>
      </c>
      <c r="AW17">
        <v>349.8</v>
      </c>
    </row>
    <row r="18" spans="1:51" ht="15" x14ac:dyDescent="0.25">
      <c r="A18" s="119" t="s">
        <v>72</v>
      </c>
      <c r="B18" t="s">
        <v>62</v>
      </c>
      <c r="C18">
        <v>511.8</v>
      </c>
      <c r="D18">
        <v>5</v>
      </c>
      <c r="E18">
        <v>1265.4000000000001</v>
      </c>
      <c r="F18">
        <v>6</v>
      </c>
      <c r="G18">
        <v>2393</v>
      </c>
      <c r="H18">
        <v>5</v>
      </c>
      <c r="I18">
        <v>2949</v>
      </c>
      <c r="J18">
        <v>4</v>
      </c>
      <c r="K18">
        <v>3198.3</v>
      </c>
      <c r="L18" s="123">
        <v>4</v>
      </c>
      <c r="M18" t="s">
        <v>62</v>
      </c>
      <c r="N18">
        <v>2935.3</v>
      </c>
      <c r="O18">
        <v>5</v>
      </c>
      <c r="P18">
        <v>2232.9</v>
      </c>
      <c r="Q18">
        <v>5</v>
      </c>
      <c r="R18">
        <v>3309.4</v>
      </c>
      <c r="S18">
        <v>5</v>
      </c>
      <c r="T18">
        <v>3508.1</v>
      </c>
      <c r="U18">
        <v>5</v>
      </c>
      <c r="V18">
        <v>4298.1000000000004</v>
      </c>
      <c r="W18">
        <v>5</v>
      </c>
      <c r="Z18" s="122"/>
      <c r="AQ18" s="123" t="s">
        <v>65</v>
      </c>
      <c r="AS18" t="s">
        <v>62</v>
      </c>
      <c r="AT18">
        <v>0.3</v>
      </c>
      <c r="AU18">
        <v>0.5</v>
      </c>
      <c r="AV18">
        <v>0.2</v>
      </c>
      <c r="AW18">
        <v>353.5</v>
      </c>
    </row>
    <row r="19" spans="1:51" ht="15" x14ac:dyDescent="0.25">
      <c r="A19" s="119"/>
      <c r="L19" s="122"/>
      <c r="Z19" s="123" t="s">
        <v>80</v>
      </c>
      <c r="AA19" t="s">
        <v>62</v>
      </c>
      <c r="AB19">
        <v>3635.3</v>
      </c>
      <c r="AC19">
        <v>4</v>
      </c>
      <c r="AD19">
        <v>6103.7</v>
      </c>
      <c r="AE19">
        <v>3</v>
      </c>
      <c r="AF19">
        <v>7561.6</v>
      </c>
      <c r="AG19">
        <v>3</v>
      </c>
      <c r="AH19">
        <v>5129.3999999999996</v>
      </c>
      <c r="AI19">
        <v>3</v>
      </c>
      <c r="AJ19">
        <v>8639</v>
      </c>
      <c r="AK19">
        <v>3</v>
      </c>
      <c r="AQ19" s="123" t="s">
        <v>66</v>
      </c>
      <c r="AS19" t="s">
        <v>62</v>
      </c>
      <c r="AT19">
        <v>0.2</v>
      </c>
      <c r="AU19">
        <v>0.1</v>
      </c>
      <c r="AV19">
        <v>0.5</v>
      </c>
      <c r="AW19">
        <v>0.4</v>
      </c>
    </row>
    <row r="20" spans="1:51" ht="15" x14ac:dyDescent="0.25">
      <c r="A20" s="119" t="s">
        <v>80</v>
      </c>
      <c r="B20" t="s">
        <v>62</v>
      </c>
      <c r="C20">
        <v>416.2</v>
      </c>
      <c r="D20">
        <v>6</v>
      </c>
      <c r="E20">
        <v>3635.3</v>
      </c>
      <c r="F20">
        <v>4</v>
      </c>
      <c r="G20">
        <v>6103.7</v>
      </c>
      <c r="H20">
        <v>3</v>
      </c>
      <c r="I20">
        <v>7561.6</v>
      </c>
      <c r="J20">
        <v>3</v>
      </c>
      <c r="K20">
        <v>5129.3999999999996</v>
      </c>
      <c r="L20" s="123">
        <v>3</v>
      </c>
      <c r="M20" t="s">
        <v>62</v>
      </c>
      <c r="N20">
        <v>1157.5</v>
      </c>
      <c r="O20">
        <v>6</v>
      </c>
      <c r="P20">
        <v>0</v>
      </c>
      <c r="Q20">
        <v>0</v>
      </c>
      <c r="R20">
        <v>0</v>
      </c>
      <c r="S20">
        <v>0</v>
      </c>
      <c r="T20">
        <v>2.7</v>
      </c>
      <c r="U20">
        <v>48</v>
      </c>
      <c r="V20">
        <v>54.2</v>
      </c>
      <c r="W20">
        <v>35</v>
      </c>
      <c r="Z20" s="122"/>
      <c r="AQ20" s="123"/>
      <c r="AS20" t="s">
        <v>62</v>
      </c>
    </row>
    <row r="21" spans="1:51" ht="15" x14ac:dyDescent="0.25">
      <c r="A21" s="119"/>
      <c r="L21" s="122"/>
      <c r="Z21" s="123" t="s">
        <v>119</v>
      </c>
      <c r="AA21" t="s">
        <v>62</v>
      </c>
      <c r="AB21">
        <v>1280.0999999999999</v>
      </c>
      <c r="AC21">
        <v>5</v>
      </c>
      <c r="AD21">
        <v>893.7</v>
      </c>
      <c r="AE21">
        <v>8</v>
      </c>
      <c r="AF21">
        <v>1076.8</v>
      </c>
      <c r="AG21">
        <v>8</v>
      </c>
      <c r="AH21">
        <v>1159</v>
      </c>
      <c r="AI21">
        <v>7</v>
      </c>
      <c r="AJ21">
        <v>1005.5</v>
      </c>
      <c r="AK21">
        <v>12</v>
      </c>
      <c r="AQ21" s="123" t="s">
        <v>67</v>
      </c>
      <c r="AS21" t="s">
        <v>62</v>
      </c>
      <c r="AT21">
        <v>0</v>
      </c>
      <c r="AU21">
        <v>0</v>
      </c>
      <c r="AV21">
        <v>0.1</v>
      </c>
      <c r="AW21">
        <v>10.199999999999999</v>
      </c>
    </row>
    <row r="22" spans="1:51" ht="15" x14ac:dyDescent="0.25">
      <c r="A22" s="119" t="s">
        <v>83</v>
      </c>
      <c r="B22" t="s">
        <v>62</v>
      </c>
      <c r="C22">
        <v>344.6</v>
      </c>
      <c r="D22">
        <v>7</v>
      </c>
      <c r="E22">
        <v>294.8</v>
      </c>
      <c r="F22">
        <v>15</v>
      </c>
      <c r="G22">
        <v>571.9</v>
      </c>
      <c r="H22">
        <v>13</v>
      </c>
      <c r="I22">
        <v>799.3</v>
      </c>
      <c r="J22">
        <v>12</v>
      </c>
      <c r="K22">
        <v>537.70000000000005</v>
      </c>
      <c r="L22" s="123">
        <v>13</v>
      </c>
      <c r="M22" t="s">
        <v>62</v>
      </c>
      <c r="N22">
        <v>1100.5999999999999</v>
      </c>
      <c r="O22">
        <v>7</v>
      </c>
      <c r="P22">
        <v>876.8</v>
      </c>
      <c r="Q22">
        <v>9</v>
      </c>
      <c r="R22">
        <v>1738.1</v>
      </c>
      <c r="S22">
        <v>7</v>
      </c>
      <c r="T22">
        <v>1206</v>
      </c>
      <c r="U22">
        <v>8</v>
      </c>
      <c r="V22">
        <v>1153.5</v>
      </c>
      <c r="W22">
        <v>8</v>
      </c>
      <c r="Z22" s="122"/>
      <c r="AQ22" s="123" t="s">
        <v>68</v>
      </c>
      <c r="AS22" t="s">
        <v>62</v>
      </c>
      <c r="AT22">
        <v>0</v>
      </c>
      <c r="AU22">
        <v>0</v>
      </c>
      <c r="AV22">
        <v>0.1</v>
      </c>
      <c r="AW22">
        <v>10.199999999999999</v>
      </c>
    </row>
    <row r="23" spans="1:51" ht="15" x14ac:dyDescent="0.25">
      <c r="A23" s="119"/>
      <c r="L23" s="122"/>
      <c r="Z23" s="123" t="s">
        <v>72</v>
      </c>
      <c r="AA23" t="s">
        <v>62</v>
      </c>
      <c r="AB23">
        <v>1265.4000000000001</v>
      </c>
      <c r="AC23">
        <v>6</v>
      </c>
      <c r="AD23">
        <v>2393</v>
      </c>
      <c r="AE23">
        <v>5</v>
      </c>
      <c r="AF23">
        <v>2949</v>
      </c>
      <c r="AG23">
        <v>4</v>
      </c>
      <c r="AH23">
        <v>3198.3</v>
      </c>
      <c r="AI23">
        <v>4</v>
      </c>
      <c r="AJ23">
        <v>3478.3</v>
      </c>
      <c r="AK23">
        <v>4</v>
      </c>
      <c r="AQ23" s="123"/>
      <c r="AS23" t="s">
        <v>62</v>
      </c>
    </row>
    <row r="24" spans="1:51" ht="15" x14ac:dyDescent="0.25">
      <c r="A24" s="119" t="s">
        <v>102</v>
      </c>
      <c r="B24" t="s">
        <v>62</v>
      </c>
      <c r="C24">
        <v>285</v>
      </c>
      <c r="D24">
        <v>8</v>
      </c>
      <c r="E24">
        <v>422.7</v>
      </c>
      <c r="F24">
        <v>11</v>
      </c>
      <c r="G24">
        <v>427.2</v>
      </c>
      <c r="H24">
        <v>19</v>
      </c>
      <c r="I24">
        <v>603.4</v>
      </c>
      <c r="J24">
        <v>15</v>
      </c>
      <c r="K24">
        <v>711.5</v>
      </c>
      <c r="L24" s="123">
        <v>10</v>
      </c>
      <c r="M24" t="s">
        <v>62</v>
      </c>
      <c r="N24">
        <v>1076.8</v>
      </c>
      <c r="O24">
        <v>8</v>
      </c>
      <c r="P24">
        <v>1159</v>
      </c>
      <c r="Q24">
        <v>7</v>
      </c>
      <c r="R24">
        <v>1005.5</v>
      </c>
      <c r="S24">
        <v>12</v>
      </c>
      <c r="T24">
        <v>519.20000000000005</v>
      </c>
      <c r="U24">
        <v>16</v>
      </c>
      <c r="V24">
        <v>150</v>
      </c>
      <c r="W24">
        <v>29</v>
      </c>
      <c r="Z24" s="122"/>
      <c r="AQ24" s="123" t="s">
        <v>71</v>
      </c>
      <c r="AS24" t="s">
        <v>62</v>
      </c>
      <c r="AT24">
        <v>618.70000000000005</v>
      </c>
      <c r="AU24">
        <v>814.7</v>
      </c>
      <c r="AV24">
        <v>11748.6</v>
      </c>
      <c r="AW24">
        <v>14278.9</v>
      </c>
      <c r="AY24">
        <f>+AV24+AT24</f>
        <v>12367.300000000001</v>
      </c>
    </row>
    <row r="25" spans="1:51" ht="15" x14ac:dyDescent="0.25">
      <c r="A25" s="119"/>
      <c r="L25" s="122"/>
      <c r="Z25" s="123" t="s">
        <v>98</v>
      </c>
      <c r="AA25" t="s">
        <v>62</v>
      </c>
      <c r="AB25">
        <v>575.70000000000005</v>
      </c>
      <c r="AC25">
        <v>7</v>
      </c>
      <c r="AD25">
        <v>669.5</v>
      </c>
      <c r="AE25">
        <v>11</v>
      </c>
      <c r="AF25">
        <v>567.1</v>
      </c>
      <c r="AG25">
        <v>16</v>
      </c>
      <c r="AH25">
        <v>560.29999999999995</v>
      </c>
      <c r="AI25">
        <v>12</v>
      </c>
      <c r="AJ25">
        <v>664.7</v>
      </c>
      <c r="AK25">
        <v>16</v>
      </c>
      <c r="AQ25" s="123"/>
      <c r="AS25" t="s">
        <v>62</v>
      </c>
    </row>
    <row r="26" spans="1:51" ht="15" x14ac:dyDescent="0.25">
      <c r="A26" s="119" t="s">
        <v>108</v>
      </c>
      <c r="B26" t="s">
        <v>62</v>
      </c>
      <c r="C26">
        <v>237.9</v>
      </c>
      <c r="D26">
        <v>9</v>
      </c>
      <c r="E26">
        <v>271.10000000000002</v>
      </c>
      <c r="F26">
        <v>17</v>
      </c>
      <c r="G26">
        <v>241.9</v>
      </c>
      <c r="H26">
        <v>23</v>
      </c>
      <c r="I26">
        <v>226</v>
      </c>
      <c r="J26">
        <v>21</v>
      </c>
      <c r="K26">
        <v>252.5</v>
      </c>
      <c r="L26" s="123">
        <v>20</v>
      </c>
      <c r="M26" t="s">
        <v>62</v>
      </c>
      <c r="N26">
        <v>999.9</v>
      </c>
      <c r="O26">
        <v>9</v>
      </c>
      <c r="P26">
        <v>1399.4</v>
      </c>
      <c r="Q26">
        <v>6</v>
      </c>
      <c r="R26">
        <v>2960.7</v>
      </c>
      <c r="S26">
        <v>6</v>
      </c>
      <c r="T26">
        <v>3272.8</v>
      </c>
      <c r="U26">
        <v>6</v>
      </c>
      <c r="V26">
        <v>2683.6</v>
      </c>
      <c r="W26">
        <v>6</v>
      </c>
      <c r="Z26" s="122"/>
      <c r="AQ26" s="123" t="s">
        <v>72</v>
      </c>
      <c r="AS26" t="s">
        <v>62</v>
      </c>
      <c r="AT26">
        <v>50</v>
      </c>
      <c r="AU26">
        <v>423.7</v>
      </c>
      <c r="AV26">
        <v>1265.4000000000001</v>
      </c>
      <c r="AW26">
        <v>2393</v>
      </c>
      <c r="AY26">
        <f>+AV26+AT26</f>
        <v>1315.4</v>
      </c>
    </row>
    <row r="27" spans="1:51" ht="15" x14ac:dyDescent="0.25">
      <c r="A27" s="119"/>
      <c r="L27" s="122"/>
      <c r="Z27" s="123" t="s">
        <v>106</v>
      </c>
      <c r="AA27" t="s">
        <v>62</v>
      </c>
      <c r="AB27">
        <v>549.1</v>
      </c>
      <c r="AC27">
        <v>8</v>
      </c>
      <c r="AD27">
        <v>660.6</v>
      </c>
      <c r="AE27">
        <v>12</v>
      </c>
      <c r="AF27">
        <v>677</v>
      </c>
      <c r="AG27">
        <v>14</v>
      </c>
      <c r="AH27">
        <v>617.9</v>
      </c>
      <c r="AI27">
        <v>11</v>
      </c>
      <c r="AJ27">
        <v>651</v>
      </c>
      <c r="AK27">
        <v>17</v>
      </c>
      <c r="AQ27" s="123"/>
      <c r="AS27" t="s">
        <v>62</v>
      </c>
    </row>
    <row r="28" spans="1:51" ht="15" x14ac:dyDescent="0.25">
      <c r="A28" s="119" t="s">
        <v>107</v>
      </c>
      <c r="B28" t="s">
        <v>62</v>
      </c>
      <c r="C28">
        <v>209.7</v>
      </c>
      <c r="D28">
        <v>10</v>
      </c>
      <c r="E28">
        <v>382.1</v>
      </c>
      <c r="F28">
        <v>13</v>
      </c>
      <c r="G28">
        <v>431.2</v>
      </c>
      <c r="H28">
        <v>18</v>
      </c>
      <c r="I28">
        <v>351.6</v>
      </c>
      <c r="J28">
        <v>19</v>
      </c>
      <c r="K28">
        <v>389.7</v>
      </c>
      <c r="L28" s="123">
        <v>17</v>
      </c>
      <c r="M28" t="s">
        <v>62</v>
      </c>
      <c r="N28">
        <v>890.6</v>
      </c>
      <c r="O28">
        <v>10</v>
      </c>
      <c r="P28">
        <v>954.8</v>
      </c>
      <c r="Q28">
        <v>8</v>
      </c>
      <c r="R28">
        <v>1099.0999999999999</v>
      </c>
      <c r="S28">
        <v>11</v>
      </c>
      <c r="T28">
        <v>1204.0999999999999</v>
      </c>
      <c r="U28">
        <v>9</v>
      </c>
      <c r="V28">
        <v>1033.5</v>
      </c>
      <c r="W28">
        <v>10</v>
      </c>
      <c r="Z28" s="122"/>
      <c r="AQ28" s="123" t="s">
        <v>73</v>
      </c>
      <c r="AS28" t="s">
        <v>62</v>
      </c>
      <c r="AT28">
        <v>239.8</v>
      </c>
      <c r="AU28">
        <v>0.9</v>
      </c>
      <c r="AV28">
        <v>5174.1000000000004</v>
      </c>
      <c r="AW28">
        <v>977.2</v>
      </c>
      <c r="AY28">
        <f>+AV28+AT28</f>
        <v>5413.9000000000005</v>
      </c>
    </row>
    <row r="29" spans="1:51" ht="15" x14ac:dyDescent="0.25">
      <c r="A29" s="119"/>
      <c r="L29" s="122"/>
      <c r="Z29" s="123" t="s">
        <v>90</v>
      </c>
      <c r="AA29" t="s">
        <v>62</v>
      </c>
      <c r="AB29">
        <v>544.9</v>
      </c>
      <c r="AC29">
        <v>9</v>
      </c>
      <c r="AD29">
        <v>3301.9</v>
      </c>
      <c r="AE29">
        <v>4</v>
      </c>
      <c r="AF29">
        <v>2935.3</v>
      </c>
      <c r="AG29">
        <v>5</v>
      </c>
      <c r="AH29">
        <v>2232.9</v>
      </c>
      <c r="AI29">
        <v>5</v>
      </c>
      <c r="AJ29">
        <v>3309.4</v>
      </c>
      <c r="AK29">
        <v>5</v>
      </c>
      <c r="AQ29" s="123"/>
      <c r="AS29" t="s">
        <v>62</v>
      </c>
    </row>
    <row r="30" spans="1:51" ht="15" x14ac:dyDescent="0.25">
      <c r="A30" s="119" t="s">
        <v>106</v>
      </c>
      <c r="B30" t="s">
        <v>62</v>
      </c>
      <c r="C30">
        <v>209.2</v>
      </c>
      <c r="D30">
        <v>11</v>
      </c>
      <c r="E30">
        <v>549.1</v>
      </c>
      <c r="F30">
        <v>8</v>
      </c>
      <c r="G30">
        <v>660.6</v>
      </c>
      <c r="H30">
        <v>12</v>
      </c>
      <c r="I30">
        <v>677</v>
      </c>
      <c r="J30">
        <v>14</v>
      </c>
      <c r="K30">
        <v>617.9</v>
      </c>
      <c r="L30" s="123">
        <v>11</v>
      </c>
      <c r="M30" t="s">
        <v>62</v>
      </c>
      <c r="N30">
        <v>845.5</v>
      </c>
      <c r="O30">
        <v>11</v>
      </c>
      <c r="P30">
        <v>328.4</v>
      </c>
      <c r="Q30">
        <v>19</v>
      </c>
      <c r="R30">
        <v>371.2</v>
      </c>
      <c r="S30">
        <v>25</v>
      </c>
      <c r="T30">
        <v>301.60000000000002</v>
      </c>
      <c r="U30">
        <v>25</v>
      </c>
      <c r="V30">
        <v>420.9</v>
      </c>
      <c r="W30">
        <v>19</v>
      </c>
      <c r="Z30" s="122"/>
      <c r="AQ30" s="123" t="s">
        <v>287</v>
      </c>
      <c r="AR30" t="s">
        <v>288</v>
      </c>
      <c r="AS30" t="s">
        <v>62</v>
      </c>
      <c r="AT30">
        <v>3.7</v>
      </c>
      <c r="AU30">
        <v>72.8</v>
      </c>
      <c r="AV30">
        <v>4042.3</v>
      </c>
      <c r="AW30">
        <v>9458.2000000000007</v>
      </c>
    </row>
    <row r="31" spans="1:51" ht="15" x14ac:dyDescent="0.25">
      <c r="A31" s="119"/>
      <c r="L31" s="122"/>
      <c r="Z31" s="123" t="s">
        <v>99</v>
      </c>
      <c r="AA31" t="s">
        <v>62</v>
      </c>
      <c r="AB31">
        <v>487.2</v>
      </c>
      <c r="AC31">
        <v>10</v>
      </c>
      <c r="AD31">
        <v>506.7</v>
      </c>
      <c r="AE31">
        <v>16</v>
      </c>
      <c r="AF31">
        <v>1100.5999999999999</v>
      </c>
      <c r="AG31">
        <v>7</v>
      </c>
      <c r="AH31">
        <v>876.8</v>
      </c>
      <c r="AI31">
        <v>9</v>
      </c>
      <c r="AJ31">
        <v>1738.1</v>
      </c>
      <c r="AK31">
        <v>7</v>
      </c>
      <c r="AQ31" s="123" t="s">
        <v>75</v>
      </c>
      <c r="AS31" t="s">
        <v>62</v>
      </c>
      <c r="AT31">
        <v>0.1</v>
      </c>
      <c r="AU31">
        <v>0.1</v>
      </c>
      <c r="AV31">
        <v>22.6</v>
      </c>
      <c r="AW31">
        <v>23.9</v>
      </c>
    </row>
    <row r="32" spans="1:51" ht="15" x14ac:dyDescent="0.25">
      <c r="A32" s="119" t="s">
        <v>114</v>
      </c>
      <c r="B32" t="s">
        <v>62</v>
      </c>
      <c r="C32">
        <v>132.69999999999999</v>
      </c>
      <c r="D32">
        <v>12</v>
      </c>
      <c r="E32">
        <v>365.8</v>
      </c>
      <c r="F32">
        <v>14</v>
      </c>
      <c r="G32">
        <v>479.2</v>
      </c>
      <c r="H32">
        <v>17</v>
      </c>
      <c r="I32">
        <v>431.4</v>
      </c>
      <c r="J32">
        <v>18</v>
      </c>
      <c r="K32">
        <v>400.4</v>
      </c>
      <c r="L32" s="123">
        <v>16</v>
      </c>
      <c r="M32" t="s">
        <v>62</v>
      </c>
      <c r="N32">
        <v>814.8</v>
      </c>
      <c r="O32">
        <v>12</v>
      </c>
      <c r="P32">
        <v>501</v>
      </c>
      <c r="Q32">
        <v>14</v>
      </c>
      <c r="R32">
        <v>1336.4</v>
      </c>
      <c r="S32">
        <v>9</v>
      </c>
      <c r="T32">
        <v>1431.2</v>
      </c>
      <c r="U32">
        <v>7</v>
      </c>
      <c r="V32">
        <v>686.1</v>
      </c>
      <c r="W32">
        <v>13</v>
      </c>
      <c r="Z32" s="122"/>
      <c r="AQ32" s="123" t="s">
        <v>76</v>
      </c>
      <c r="AS32" t="s">
        <v>62</v>
      </c>
      <c r="AT32">
        <v>0</v>
      </c>
      <c r="AU32">
        <v>0.6</v>
      </c>
      <c r="AV32">
        <v>23</v>
      </c>
      <c r="AW32">
        <v>528.9</v>
      </c>
    </row>
    <row r="33" spans="1:51" ht="15" x14ac:dyDescent="0.25">
      <c r="A33" s="119"/>
      <c r="L33" s="122"/>
      <c r="Z33" s="123" t="s">
        <v>102</v>
      </c>
      <c r="AA33" t="s">
        <v>62</v>
      </c>
      <c r="AB33">
        <v>422.7</v>
      </c>
      <c r="AC33">
        <v>11</v>
      </c>
      <c r="AD33">
        <v>427.2</v>
      </c>
      <c r="AE33">
        <v>19</v>
      </c>
      <c r="AF33">
        <v>603.4</v>
      </c>
      <c r="AG33">
        <v>15</v>
      </c>
      <c r="AH33">
        <v>711.5</v>
      </c>
      <c r="AI33">
        <v>10</v>
      </c>
      <c r="AJ33">
        <v>741.8</v>
      </c>
      <c r="AK33">
        <v>15</v>
      </c>
      <c r="AQ33" s="123" t="s">
        <v>77</v>
      </c>
      <c r="AS33" t="s">
        <v>62</v>
      </c>
      <c r="AT33">
        <v>0</v>
      </c>
      <c r="AU33">
        <v>0</v>
      </c>
      <c r="AV33">
        <v>0</v>
      </c>
      <c r="AW33">
        <v>67.5</v>
      </c>
    </row>
    <row r="34" spans="1:51" ht="15" x14ac:dyDescent="0.25">
      <c r="A34" s="119" t="s">
        <v>112</v>
      </c>
      <c r="B34" t="s">
        <v>62</v>
      </c>
      <c r="C34">
        <v>129.4</v>
      </c>
      <c r="D34">
        <v>13</v>
      </c>
      <c r="E34">
        <v>212.2</v>
      </c>
      <c r="F34">
        <v>18</v>
      </c>
      <c r="G34">
        <v>263</v>
      </c>
      <c r="H34">
        <v>22</v>
      </c>
      <c r="I34">
        <v>326.60000000000002</v>
      </c>
      <c r="J34">
        <v>20</v>
      </c>
      <c r="K34">
        <v>331.6</v>
      </c>
      <c r="L34" s="123">
        <v>18</v>
      </c>
      <c r="M34" t="s">
        <v>62</v>
      </c>
      <c r="N34">
        <v>799.3</v>
      </c>
      <c r="O34">
        <v>13</v>
      </c>
      <c r="P34">
        <v>537.70000000000005</v>
      </c>
      <c r="Q34">
        <v>13</v>
      </c>
      <c r="R34">
        <v>1001.9</v>
      </c>
      <c r="S34">
        <v>13</v>
      </c>
      <c r="T34">
        <v>505.2</v>
      </c>
      <c r="U34">
        <v>18</v>
      </c>
      <c r="V34">
        <v>566</v>
      </c>
      <c r="W34">
        <v>16</v>
      </c>
      <c r="Z34" s="122"/>
      <c r="AQ34" s="123" t="s">
        <v>78</v>
      </c>
      <c r="AS34" t="s">
        <v>62</v>
      </c>
      <c r="AT34">
        <v>0</v>
      </c>
      <c r="AU34">
        <v>0</v>
      </c>
      <c r="AV34">
        <v>33.4</v>
      </c>
      <c r="AW34">
        <v>801.1</v>
      </c>
    </row>
    <row r="35" spans="1:51" ht="15" x14ac:dyDescent="0.25">
      <c r="A35" s="119"/>
      <c r="L35" s="122"/>
      <c r="Z35" s="123" t="s">
        <v>103</v>
      </c>
      <c r="AA35" t="s">
        <v>62</v>
      </c>
      <c r="AB35">
        <v>386.5</v>
      </c>
      <c r="AC35">
        <v>12</v>
      </c>
      <c r="AD35">
        <v>685.2</v>
      </c>
      <c r="AE35">
        <v>10</v>
      </c>
      <c r="AF35">
        <v>890.6</v>
      </c>
      <c r="AG35">
        <v>10</v>
      </c>
      <c r="AH35">
        <v>954.8</v>
      </c>
      <c r="AI35">
        <v>8</v>
      </c>
      <c r="AJ35">
        <v>1099.0999999999999</v>
      </c>
      <c r="AK35">
        <v>11</v>
      </c>
      <c r="AQ35" s="123" t="s">
        <v>79</v>
      </c>
      <c r="AS35" t="s">
        <v>62</v>
      </c>
      <c r="AT35">
        <v>0</v>
      </c>
      <c r="AU35">
        <v>0</v>
      </c>
      <c r="AV35">
        <v>10.6</v>
      </c>
      <c r="AW35">
        <v>9.6999999999999993</v>
      </c>
    </row>
    <row r="36" spans="1:51" ht="15" x14ac:dyDescent="0.25">
      <c r="A36" s="119" t="s">
        <v>98</v>
      </c>
      <c r="B36" t="s">
        <v>62</v>
      </c>
      <c r="C36">
        <v>116.2</v>
      </c>
      <c r="D36">
        <v>14</v>
      </c>
      <c r="E36">
        <v>575.70000000000005</v>
      </c>
      <c r="F36">
        <v>7</v>
      </c>
      <c r="G36">
        <v>669.5</v>
      </c>
      <c r="H36">
        <v>11</v>
      </c>
      <c r="I36">
        <v>567.1</v>
      </c>
      <c r="J36">
        <v>16</v>
      </c>
      <c r="K36">
        <v>560.29999999999995</v>
      </c>
      <c r="L36" s="123">
        <v>12</v>
      </c>
      <c r="M36" t="s">
        <v>62</v>
      </c>
      <c r="N36">
        <v>677</v>
      </c>
      <c r="O36">
        <v>14</v>
      </c>
      <c r="P36">
        <v>617.79999999999995</v>
      </c>
      <c r="Q36">
        <v>11</v>
      </c>
      <c r="R36">
        <v>651</v>
      </c>
      <c r="S36">
        <v>17</v>
      </c>
      <c r="T36">
        <v>756.7</v>
      </c>
      <c r="U36">
        <v>12</v>
      </c>
      <c r="V36">
        <v>734.1</v>
      </c>
      <c r="W36">
        <v>12</v>
      </c>
      <c r="Z36" s="122"/>
      <c r="AQ36" s="123" t="s">
        <v>80</v>
      </c>
      <c r="AS36" t="s">
        <v>62</v>
      </c>
      <c r="AT36">
        <v>3.4</v>
      </c>
      <c r="AU36">
        <v>70.3</v>
      </c>
      <c r="AV36">
        <v>3635.3</v>
      </c>
      <c r="AW36">
        <v>6103.7</v>
      </c>
      <c r="AY36">
        <f>+AV36+AT36</f>
        <v>3638.7000000000003</v>
      </c>
    </row>
    <row r="37" spans="1:51" ht="15" x14ac:dyDescent="0.25">
      <c r="A37" s="119"/>
      <c r="L37" s="122"/>
      <c r="Z37" s="123" t="s">
        <v>107</v>
      </c>
      <c r="AA37" t="s">
        <v>62</v>
      </c>
      <c r="AB37">
        <v>382.1</v>
      </c>
      <c r="AC37">
        <v>13</v>
      </c>
      <c r="AD37">
        <v>431.2</v>
      </c>
      <c r="AE37">
        <v>18</v>
      </c>
      <c r="AF37">
        <v>351.6</v>
      </c>
      <c r="AG37">
        <v>19</v>
      </c>
      <c r="AH37">
        <v>389.7</v>
      </c>
      <c r="AI37">
        <v>17</v>
      </c>
      <c r="AJ37">
        <v>328.4</v>
      </c>
      <c r="AK37">
        <v>26</v>
      </c>
      <c r="AQ37" s="123" t="s">
        <v>81</v>
      </c>
      <c r="AS37" t="s">
        <v>62</v>
      </c>
      <c r="AT37">
        <v>0</v>
      </c>
      <c r="AU37">
        <v>0</v>
      </c>
      <c r="AV37">
        <v>0</v>
      </c>
      <c r="AW37">
        <v>190.2</v>
      </c>
    </row>
    <row r="38" spans="1:51" ht="15" x14ac:dyDescent="0.25">
      <c r="A38" s="119" t="s">
        <v>99</v>
      </c>
      <c r="B38" t="s">
        <v>62</v>
      </c>
      <c r="C38">
        <v>112.7</v>
      </c>
      <c r="D38">
        <v>15</v>
      </c>
      <c r="E38">
        <v>487.2</v>
      </c>
      <c r="F38">
        <v>10</v>
      </c>
      <c r="G38">
        <v>506.7</v>
      </c>
      <c r="H38">
        <v>16</v>
      </c>
      <c r="I38">
        <v>1100.5999999999999</v>
      </c>
      <c r="J38">
        <v>7</v>
      </c>
      <c r="K38">
        <v>876.8</v>
      </c>
      <c r="L38" s="123">
        <v>9</v>
      </c>
      <c r="M38" t="s">
        <v>62</v>
      </c>
      <c r="N38">
        <v>603.4</v>
      </c>
      <c r="O38">
        <v>15</v>
      </c>
      <c r="P38">
        <v>711.5</v>
      </c>
      <c r="Q38">
        <v>10</v>
      </c>
      <c r="R38">
        <v>741.8</v>
      </c>
      <c r="S38">
        <v>15</v>
      </c>
      <c r="T38">
        <v>566.1</v>
      </c>
      <c r="U38">
        <v>15</v>
      </c>
      <c r="V38">
        <v>558.5</v>
      </c>
      <c r="W38">
        <v>17</v>
      </c>
      <c r="Z38" s="122"/>
      <c r="AQ38" s="123" t="s">
        <v>82</v>
      </c>
      <c r="AS38" t="s">
        <v>62</v>
      </c>
      <c r="AT38">
        <v>0</v>
      </c>
      <c r="AU38">
        <v>0.4</v>
      </c>
      <c r="AV38">
        <v>4.4000000000000004</v>
      </c>
      <c r="AW38">
        <v>70.5</v>
      </c>
    </row>
    <row r="39" spans="1:51" ht="15" x14ac:dyDescent="0.25">
      <c r="A39" s="119"/>
      <c r="L39" s="122"/>
      <c r="Z39" s="123" t="s">
        <v>114</v>
      </c>
      <c r="AA39" t="s">
        <v>62</v>
      </c>
      <c r="AB39">
        <v>365.8</v>
      </c>
      <c r="AC39">
        <v>14</v>
      </c>
      <c r="AD39">
        <v>479.2</v>
      </c>
      <c r="AE39">
        <v>17</v>
      </c>
      <c r="AF39">
        <v>431.4</v>
      </c>
      <c r="AG39">
        <v>18</v>
      </c>
      <c r="AH39">
        <v>400.4</v>
      </c>
      <c r="AI39">
        <v>16</v>
      </c>
      <c r="AJ39">
        <v>478.9</v>
      </c>
      <c r="AK39">
        <v>19</v>
      </c>
      <c r="AQ39" s="123" t="s">
        <v>123</v>
      </c>
      <c r="AS39" t="s">
        <v>62</v>
      </c>
      <c r="AT39" t="s">
        <v>228</v>
      </c>
      <c r="AU39">
        <v>0</v>
      </c>
      <c r="AV39">
        <v>0.1</v>
      </c>
      <c r="AW39">
        <v>10.3</v>
      </c>
    </row>
    <row r="40" spans="1:51" ht="15" x14ac:dyDescent="0.25">
      <c r="A40" s="119" t="s">
        <v>116</v>
      </c>
      <c r="B40" t="s">
        <v>62</v>
      </c>
      <c r="C40">
        <v>95.9</v>
      </c>
      <c r="D40">
        <v>16</v>
      </c>
      <c r="E40">
        <v>84.2</v>
      </c>
      <c r="F40">
        <v>20</v>
      </c>
      <c r="G40">
        <v>92.1</v>
      </c>
      <c r="H40">
        <v>30</v>
      </c>
      <c r="I40">
        <v>90.7</v>
      </c>
      <c r="J40">
        <v>27</v>
      </c>
      <c r="K40">
        <v>93.3</v>
      </c>
      <c r="L40" s="123">
        <v>27</v>
      </c>
      <c r="M40" t="s">
        <v>62</v>
      </c>
      <c r="N40">
        <v>567.1</v>
      </c>
      <c r="O40">
        <v>16</v>
      </c>
      <c r="P40">
        <v>560.29999999999995</v>
      </c>
      <c r="Q40">
        <v>12</v>
      </c>
      <c r="R40">
        <v>664.7</v>
      </c>
      <c r="S40">
        <v>16</v>
      </c>
      <c r="T40">
        <v>604.1</v>
      </c>
      <c r="U40">
        <v>14</v>
      </c>
      <c r="V40">
        <v>647.70000000000005</v>
      </c>
      <c r="W40">
        <v>14</v>
      </c>
      <c r="Z40" s="122"/>
      <c r="AQ40" s="123" t="s">
        <v>165</v>
      </c>
      <c r="AS40" t="s">
        <v>62</v>
      </c>
      <c r="AT40">
        <v>0.2</v>
      </c>
      <c r="AU40">
        <v>1.4</v>
      </c>
      <c r="AV40">
        <v>7</v>
      </c>
      <c r="AW40">
        <v>7.1</v>
      </c>
    </row>
    <row r="41" spans="1:51" ht="15" x14ac:dyDescent="0.25">
      <c r="A41" s="119"/>
      <c r="L41" s="122"/>
      <c r="Z41" s="123" t="s">
        <v>83</v>
      </c>
      <c r="AA41" t="s">
        <v>62</v>
      </c>
      <c r="AB41">
        <v>294.8</v>
      </c>
      <c r="AC41">
        <v>15</v>
      </c>
      <c r="AD41">
        <v>571.9</v>
      </c>
      <c r="AE41">
        <v>13</v>
      </c>
      <c r="AF41">
        <v>799.3</v>
      </c>
      <c r="AG41">
        <v>12</v>
      </c>
      <c r="AH41">
        <v>537.70000000000005</v>
      </c>
      <c r="AI41">
        <v>13</v>
      </c>
      <c r="AJ41">
        <v>1001.9</v>
      </c>
      <c r="AK41">
        <v>13</v>
      </c>
      <c r="AQ41" s="123" t="s">
        <v>83</v>
      </c>
      <c r="AS41" t="s">
        <v>62</v>
      </c>
      <c r="AT41">
        <v>0</v>
      </c>
      <c r="AU41">
        <v>0</v>
      </c>
      <c r="AV41">
        <v>294.8</v>
      </c>
      <c r="AW41">
        <v>571.9</v>
      </c>
    </row>
    <row r="42" spans="1:51" ht="15" x14ac:dyDescent="0.25">
      <c r="A42" s="119" t="s">
        <v>101</v>
      </c>
      <c r="B42" t="s">
        <v>62</v>
      </c>
      <c r="C42">
        <v>94.9</v>
      </c>
      <c r="D42">
        <v>17</v>
      </c>
      <c r="E42">
        <v>275.10000000000002</v>
      </c>
      <c r="F42">
        <v>16</v>
      </c>
      <c r="G42">
        <v>536.4</v>
      </c>
      <c r="H42">
        <v>14</v>
      </c>
      <c r="I42">
        <v>999.9</v>
      </c>
      <c r="J42">
        <v>9</v>
      </c>
      <c r="K42">
        <v>1399.4</v>
      </c>
      <c r="L42" s="123">
        <v>6</v>
      </c>
      <c r="M42" t="s">
        <v>62</v>
      </c>
      <c r="N42">
        <v>467.8</v>
      </c>
      <c r="O42">
        <v>17</v>
      </c>
      <c r="P42">
        <v>494.6</v>
      </c>
      <c r="Q42">
        <v>15</v>
      </c>
      <c r="R42">
        <v>950.4</v>
      </c>
      <c r="S42">
        <v>14</v>
      </c>
      <c r="T42">
        <v>708.6</v>
      </c>
      <c r="U42">
        <v>13</v>
      </c>
      <c r="V42">
        <v>1118.3</v>
      </c>
      <c r="W42">
        <v>9</v>
      </c>
      <c r="Z42" s="122"/>
      <c r="AQ42" s="123" t="s">
        <v>84</v>
      </c>
      <c r="AS42" t="s">
        <v>62</v>
      </c>
      <c r="AT42">
        <v>0</v>
      </c>
      <c r="AU42">
        <v>0</v>
      </c>
      <c r="AV42">
        <v>0</v>
      </c>
      <c r="AW42">
        <v>6.1</v>
      </c>
    </row>
    <row r="43" spans="1:51" ht="15" x14ac:dyDescent="0.25">
      <c r="A43" s="119"/>
      <c r="L43" s="122"/>
      <c r="Z43" s="123" t="s">
        <v>101</v>
      </c>
      <c r="AA43" t="s">
        <v>62</v>
      </c>
      <c r="AB43">
        <v>275.10000000000002</v>
      </c>
      <c r="AC43">
        <v>16</v>
      </c>
      <c r="AD43">
        <v>536.4</v>
      </c>
      <c r="AE43">
        <v>14</v>
      </c>
      <c r="AF43">
        <v>999.9</v>
      </c>
      <c r="AG43">
        <v>9</v>
      </c>
      <c r="AH43">
        <v>1399.4</v>
      </c>
      <c r="AI43">
        <v>6</v>
      </c>
      <c r="AJ43">
        <v>2960.7</v>
      </c>
      <c r="AK43">
        <v>6</v>
      </c>
      <c r="AQ43" s="123" t="s">
        <v>85</v>
      </c>
      <c r="AS43" t="s">
        <v>62</v>
      </c>
      <c r="AT43">
        <v>0</v>
      </c>
      <c r="AU43">
        <v>0</v>
      </c>
      <c r="AV43">
        <v>0</v>
      </c>
      <c r="AW43">
        <v>1035.4000000000001</v>
      </c>
    </row>
    <row r="44" spans="1:51" ht="15" x14ac:dyDescent="0.25">
      <c r="A44" s="119" t="s">
        <v>111</v>
      </c>
      <c r="B44" t="s">
        <v>62</v>
      </c>
      <c r="C44">
        <v>43.4</v>
      </c>
      <c r="D44">
        <v>18</v>
      </c>
      <c r="E44">
        <v>123</v>
      </c>
      <c r="F44">
        <v>19</v>
      </c>
      <c r="G44">
        <v>118</v>
      </c>
      <c r="H44">
        <v>28</v>
      </c>
      <c r="I44">
        <v>106.3</v>
      </c>
      <c r="J44">
        <v>25</v>
      </c>
      <c r="K44">
        <v>93.5</v>
      </c>
      <c r="L44" s="123">
        <v>26</v>
      </c>
      <c r="M44" t="s">
        <v>62</v>
      </c>
      <c r="N44">
        <v>431.4</v>
      </c>
      <c r="O44">
        <v>18</v>
      </c>
      <c r="P44">
        <v>400.4</v>
      </c>
      <c r="Q44">
        <v>16</v>
      </c>
      <c r="R44">
        <v>478.9</v>
      </c>
      <c r="S44">
        <v>19</v>
      </c>
      <c r="T44">
        <v>510.3</v>
      </c>
      <c r="U44">
        <v>17</v>
      </c>
      <c r="V44">
        <v>460</v>
      </c>
      <c r="W44">
        <v>18</v>
      </c>
      <c r="Z44" s="122"/>
      <c r="AQ44" s="123" t="s">
        <v>245</v>
      </c>
      <c r="AS44" t="s">
        <v>62</v>
      </c>
      <c r="AT44">
        <v>0</v>
      </c>
      <c r="AU44">
        <v>0</v>
      </c>
      <c r="AV44">
        <v>0</v>
      </c>
      <c r="AW44" t="s">
        <v>228</v>
      </c>
    </row>
    <row r="45" spans="1:51" ht="15" x14ac:dyDescent="0.25">
      <c r="A45" s="119"/>
      <c r="L45" s="122"/>
      <c r="Z45" s="123" t="s">
        <v>108</v>
      </c>
      <c r="AA45" t="s">
        <v>62</v>
      </c>
      <c r="AB45">
        <v>271.10000000000002</v>
      </c>
      <c r="AC45">
        <v>17</v>
      </c>
      <c r="AD45">
        <v>241.9</v>
      </c>
      <c r="AE45">
        <v>23</v>
      </c>
      <c r="AF45">
        <v>226</v>
      </c>
      <c r="AG45">
        <v>21</v>
      </c>
      <c r="AH45">
        <v>252.5</v>
      </c>
      <c r="AI45">
        <v>20</v>
      </c>
      <c r="AJ45">
        <v>247.7</v>
      </c>
      <c r="AK45">
        <v>28</v>
      </c>
      <c r="AQ45" s="123" t="s">
        <v>86</v>
      </c>
      <c r="AS45" t="s">
        <v>62</v>
      </c>
      <c r="AT45">
        <v>0</v>
      </c>
      <c r="AU45">
        <v>0</v>
      </c>
      <c r="AV45">
        <v>10.1</v>
      </c>
      <c r="AW45">
        <v>19.600000000000001</v>
      </c>
    </row>
    <row r="46" spans="1:51" ht="15" x14ac:dyDescent="0.25">
      <c r="A46" s="119" t="s">
        <v>103</v>
      </c>
      <c r="B46" t="s">
        <v>62</v>
      </c>
      <c r="C46">
        <v>31.8</v>
      </c>
      <c r="D46">
        <v>19</v>
      </c>
      <c r="E46">
        <v>386.5</v>
      </c>
      <c r="F46">
        <v>12</v>
      </c>
      <c r="G46">
        <v>685.2</v>
      </c>
      <c r="H46">
        <v>10</v>
      </c>
      <c r="I46">
        <v>890.6</v>
      </c>
      <c r="J46">
        <v>10</v>
      </c>
      <c r="K46">
        <v>954.8</v>
      </c>
      <c r="L46" s="123">
        <v>8</v>
      </c>
      <c r="M46" t="s">
        <v>62</v>
      </c>
      <c r="N46">
        <v>351.6</v>
      </c>
      <c r="O46">
        <v>19</v>
      </c>
      <c r="P46">
        <v>389.7</v>
      </c>
      <c r="Q46">
        <v>17</v>
      </c>
      <c r="R46">
        <v>328.4</v>
      </c>
      <c r="S46">
        <v>26</v>
      </c>
      <c r="T46">
        <v>318.7</v>
      </c>
      <c r="U46">
        <v>23</v>
      </c>
      <c r="V46">
        <v>324.39999999999998</v>
      </c>
      <c r="W46">
        <v>22</v>
      </c>
      <c r="Z46" s="122"/>
      <c r="AQ46" s="123" t="s">
        <v>87</v>
      </c>
      <c r="AS46" t="s">
        <v>62</v>
      </c>
      <c r="AT46">
        <v>0</v>
      </c>
      <c r="AU46">
        <v>0</v>
      </c>
      <c r="AV46">
        <v>1</v>
      </c>
      <c r="AW46">
        <v>12.4</v>
      </c>
    </row>
    <row r="47" spans="1:51" ht="15" x14ac:dyDescent="0.25">
      <c r="A47" s="119"/>
      <c r="L47" s="122"/>
      <c r="Z47" s="123" t="s">
        <v>112</v>
      </c>
      <c r="AA47" t="s">
        <v>62</v>
      </c>
      <c r="AB47">
        <v>212.2</v>
      </c>
      <c r="AC47">
        <v>18</v>
      </c>
      <c r="AD47">
        <v>263</v>
      </c>
      <c r="AE47">
        <v>22</v>
      </c>
      <c r="AF47">
        <v>326.60000000000002</v>
      </c>
      <c r="AG47">
        <v>20</v>
      </c>
      <c r="AH47">
        <v>331.6</v>
      </c>
      <c r="AI47">
        <v>18</v>
      </c>
      <c r="AJ47">
        <v>384.9</v>
      </c>
      <c r="AK47">
        <v>24</v>
      </c>
      <c r="AQ47" s="123"/>
      <c r="AS47" t="s">
        <v>62</v>
      </c>
    </row>
    <row r="48" spans="1:51" ht="15" x14ac:dyDescent="0.25">
      <c r="A48" s="119" t="s">
        <v>97</v>
      </c>
      <c r="B48" t="s">
        <v>62</v>
      </c>
      <c r="C48">
        <v>29</v>
      </c>
      <c r="D48">
        <v>20</v>
      </c>
      <c r="E48">
        <v>35.6</v>
      </c>
      <c r="F48">
        <v>23</v>
      </c>
      <c r="G48">
        <v>35.700000000000003</v>
      </c>
      <c r="H48">
        <v>39</v>
      </c>
      <c r="I48">
        <v>38.4</v>
      </c>
      <c r="J48">
        <v>31</v>
      </c>
      <c r="K48">
        <v>38.6</v>
      </c>
      <c r="L48" s="123">
        <v>35</v>
      </c>
      <c r="M48" t="s">
        <v>62</v>
      </c>
      <c r="N48">
        <v>326.60000000000002</v>
      </c>
      <c r="O48">
        <v>20</v>
      </c>
      <c r="P48">
        <v>331.6</v>
      </c>
      <c r="Q48">
        <v>18</v>
      </c>
      <c r="R48">
        <v>384.9</v>
      </c>
      <c r="S48">
        <v>24</v>
      </c>
      <c r="T48">
        <v>347.6</v>
      </c>
      <c r="U48">
        <v>22</v>
      </c>
      <c r="V48">
        <v>311.89999999999998</v>
      </c>
      <c r="W48">
        <v>25</v>
      </c>
      <c r="Z48" s="122"/>
      <c r="AQ48" s="123" t="s">
        <v>88</v>
      </c>
      <c r="AS48" t="s">
        <v>62</v>
      </c>
      <c r="AT48">
        <v>0</v>
      </c>
      <c r="AU48">
        <v>7.3</v>
      </c>
      <c r="AV48">
        <v>604</v>
      </c>
      <c r="AW48">
        <v>3742.3</v>
      </c>
    </row>
    <row r="49" spans="1:51" ht="15" x14ac:dyDescent="0.25">
      <c r="A49" s="119"/>
      <c r="L49" s="122"/>
      <c r="Z49" s="123" t="s">
        <v>111</v>
      </c>
      <c r="AA49" t="s">
        <v>62</v>
      </c>
      <c r="AB49">
        <v>123</v>
      </c>
      <c r="AC49">
        <v>19</v>
      </c>
      <c r="AD49">
        <v>118</v>
      </c>
      <c r="AE49">
        <v>28</v>
      </c>
      <c r="AF49">
        <v>106.3</v>
      </c>
      <c r="AG49">
        <v>25</v>
      </c>
      <c r="AH49">
        <v>93.5</v>
      </c>
      <c r="AI49">
        <v>26</v>
      </c>
      <c r="AJ49">
        <v>123.4</v>
      </c>
      <c r="AK49">
        <v>31</v>
      </c>
      <c r="AQ49" s="123" t="s">
        <v>89</v>
      </c>
      <c r="AS49" t="s">
        <v>62</v>
      </c>
      <c r="AT49">
        <v>0</v>
      </c>
      <c r="AU49">
        <v>0</v>
      </c>
      <c r="AV49">
        <v>0</v>
      </c>
      <c r="AW49">
        <v>44.7</v>
      </c>
    </row>
    <row r="50" spans="1:51" ht="15" x14ac:dyDescent="0.25">
      <c r="A50" s="119" t="s">
        <v>118</v>
      </c>
      <c r="B50" t="s">
        <v>62</v>
      </c>
      <c r="C50">
        <v>22.4</v>
      </c>
      <c r="D50">
        <v>21</v>
      </c>
      <c r="E50">
        <v>43.2</v>
      </c>
      <c r="F50">
        <v>22</v>
      </c>
      <c r="G50">
        <v>38.799999999999997</v>
      </c>
      <c r="H50">
        <v>38</v>
      </c>
      <c r="I50">
        <v>25.4</v>
      </c>
      <c r="J50">
        <v>36</v>
      </c>
      <c r="K50">
        <v>22.5</v>
      </c>
      <c r="L50" s="123">
        <v>38</v>
      </c>
      <c r="M50" t="s">
        <v>62</v>
      </c>
      <c r="N50">
        <v>226</v>
      </c>
      <c r="O50">
        <v>21</v>
      </c>
      <c r="P50">
        <v>252.5</v>
      </c>
      <c r="Q50">
        <v>20</v>
      </c>
      <c r="R50">
        <v>247.7</v>
      </c>
      <c r="S50">
        <v>28</v>
      </c>
      <c r="T50">
        <v>260.8</v>
      </c>
      <c r="U50">
        <v>26</v>
      </c>
      <c r="V50">
        <v>254.5</v>
      </c>
      <c r="W50">
        <v>26</v>
      </c>
      <c r="Z50" s="122"/>
      <c r="AQ50" s="123" t="s">
        <v>90</v>
      </c>
      <c r="AS50" t="s">
        <v>62</v>
      </c>
      <c r="AT50">
        <v>0</v>
      </c>
      <c r="AU50">
        <v>7.3</v>
      </c>
      <c r="AV50">
        <v>544.9</v>
      </c>
      <c r="AW50">
        <v>3301.9</v>
      </c>
      <c r="AY50">
        <f>+AV50+AT50</f>
        <v>544.9</v>
      </c>
    </row>
    <row r="51" spans="1:51" ht="15" x14ac:dyDescent="0.25">
      <c r="A51" s="119"/>
      <c r="L51" s="122"/>
      <c r="Z51" s="123" t="s">
        <v>116</v>
      </c>
      <c r="AA51" t="s">
        <v>62</v>
      </c>
      <c r="AB51">
        <v>84.2</v>
      </c>
      <c r="AC51">
        <v>20</v>
      </c>
      <c r="AD51">
        <v>92.1</v>
      </c>
      <c r="AE51">
        <v>30</v>
      </c>
      <c r="AF51">
        <v>90.7</v>
      </c>
      <c r="AG51">
        <v>27</v>
      </c>
      <c r="AH51">
        <v>93.3</v>
      </c>
      <c r="AI51">
        <v>27</v>
      </c>
      <c r="AJ51">
        <v>133.19999999999999</v>
      </c>
      <c r="AK51">
        <v>30</v>
      </c>
      <c r="AQ51" s="123" t="s">
        <v>92</v>
      </c>
      <c r="AS51" t="s">
        <v>62</v>
      </c>
      <c r="AT51">
        <v>0</v>
      </c>
      <c r="AU51">
        <v>0</v>
      </c>
      <c r="AV51">
        <v>0</v>
      </c>
      <c r="AW51">
        <v>52.5</v>
      </c>
    </row>
    <row r="52" spans="1:51" ht="15" x14ac:dyDescent="0.25">
      <c r="A52" s="119" t="s">
        <v>75</v>
      </c>
      <c r="B52" t="s">
        <v>62</v>
      </c>
      <c r="C52">
        <v>14.7</v>
      </c>
      <c r="D52">
        <v>22</v>
      </c>
      <c r="E52">
        <v>22.6</v>
      </c>
      <c r="F52">
        <v>27</v>
      </c>
      <c r="G52">
        <v>23.9</v>
      </c>
      <c r="H52">
        <v>41</v>
      </c>
      <c r="I52">
        <v>25.9</v>
      </c>
      <c r="J52">
        <v>35</v>
      </c>
      <c r="K52">
        <v>26.6</v>
      </c>
      <c r="L52" s="123">
        <v>37</v>
      </c>
      <c r="M52" t="s">
        <v>62</v>
      </c>
      <c r="N52">
        <v>180.3</v>
      </c>
      <c r="O52">
        <v>22</v>
      </c>
      <c r="P52">
        <v>76.2</v>
      </c>
      <c r="Q52">
        <v>32</v>
      </c>
      <c r="R52">
        <v>528</v>
      </c>
      <c r="S52">
        <v>18</v>
      </c>
      <c r="T52">
        <v>470.4</v>
      </c>
      <c r="U52">
        <v>20</v>
      </c>
      <c r="V52">
        <v>416.5</v>
      </c>
      <c r="W52">
        <v>20</v>
      </c>
      <c r="Z52" s="122"/>
      <c r="AQ52" s="123" t="s">
        <v>93</v>
      </c>
      <c r="AS52" t="s">
        <v>62</v>
      </c>
      <c r="AT52">
        <v>0</v>
      </c>
      <c r="AU52">
        <v>0</v>
      </c>
      <c r="AV52">
        <v>59.1</v>
      </c>
      <c r="AW52">
        <v>182.5</v>
      </c>
    </row>
    <row r="53" spans="1:51" ht="15" x14ac:dyDescent="0.25">
      <c r="A53" s="119"/>
      <c r="L53" s="122"/>
      <c r="Z53" s="123" t="s">
        <v>93</v>
      </c>
      <c r="AA53" t="s">
        <v>62</v>
      </c>
      <c r="AB53">
        <v>59.1</v>
      </c>
      <c r="AC53">
        <v>21</v>
      </c>
      <c r="AD53">
        <v>182.5</v>
      </c>
      <c r="AE53">
        <v>26</v>
      </c>
      <c r="AF53">
        <v>467.8</v>
      </c>
      <c r="AG53">
        <v>17</v>
      </c>
      <c r="AH53">
        <v>494.6</v>
      </c>
      <c r="AI53">
        <v>15</v>
      </c>
      <c r="AJ53">
        <v>950.4</v>
      </c>
      <c r="AK53">
        <v>14</v>
      </c>
      <c r="AQ53" s="123" t="s">
        <v>95</v>
      </c>
      <c r="AS53" t="s">
        <v>62</v>
      </c>
      <c r="AT53">
        <v>0</v>
      </c>
      <c r="AU53">
        <v>0</v>
      </c>
      <c r="AV53">
        <v>0</v>
      </c>
      <c r="AW53">
        <v>160.80000000000001</v>
      </c>
    </row>
    <row r="54" spans="1:51" ht="15" x14ac:dyDescent="0.25">
      <c r="A54" s="119" t="s">
        <v>109</v>
      </c>
      <c r="B54" t="s">
        <v>62</v>
      </c>
      <c r="C54">
        <v>10</v>
      </c>
      <c r="D54">
        <v>23</v>
      </c>
      <c r="E54">
        <v>7.1</v>
      </c>
      <c r="F54">
        <v>30</v>
      </c>
      <c r="G54">
        <v>7.8</v>
      </c>
      <c r="H54">
        <v>48</v>
      </c>
      <c r="I54">
        <v>36.5</v>
      </c>
      <c r="J54">
        <v>32</v>
      </c>
      <c r="K54">
        <v>7.9</v>
      </c>
      <c r="L54" s="123">
        <v>44</v>
      </c>
      <c r="M54" t="s">
        <v>62</v>
      </c>
      <c r="N54">
        <v>167.8</v>
      </c>
      <c r="O54">
        <v>23</v>
      </c>
      <c r="P54">
        <v>217.2</v>
      </c>
      <c r="Q54">
        <v>22</v>
      </c>
      <c r="R54">
        <v>473.6</v>
      </c>
      <c r="S54">
        <v>20</v>
      </c>
      <c r="T54">
        <v>472.7</v>
      </c>
      <c r="U54">
        <v>19</v>
      </c>
      <c r="V54">
        <v>312</v>
      </c>
      <c r="W54">
        <v>24</v>
      </c>
      <c r="Z54" s="122"/>
      <c r="AQ54" s="123"/>
      <c r="AS54" t="s">
        <v>62</v>
      </c>
    </row>
    <row r="55" spans="1:51" ht="15" x14ac:dyDescent="0.25">
      <c r="A55" s="119"/>
      <c r="L55" s="122"/>
      <c r="Z55" s="123" t="s">
        <v>118</v>
      </c>
      <c r="AA55" t="s">
        <v>62</v>
      </c>
      <c r="AB55">
        <v>43.2</v>
      </c>
      <c r="AC55">
        <v>22</v>
      </c>
      <c r="AD55">
        <v>38.799999999999997</v>
      </c>
      <c r="AE55">
        <v>38</v>
      </c>
      <c r="AF55">
        <v>25.4</v>
      </c>
      <c r="AG55">
        <v>36</v>
      </c>
      <c r="AH55">
        <v>22.5</v>
      </c>
      <c r="AI55">
        <v>38</v>
      </c>
      <c r="AJ55">
        <v>20.9</v>
      </c>
      <c r="AK55">
        <v>43</v>
      </c>
      <c r="AQ55" s="123" t="s">
        <v>289</v>
      </c>
      <c r="AR55" t="s">
        <v>290</v>
      </c>
      <c r="AS55" t="s">
        <v>62</v>
      </c>
      <c r="AT55">
        <v>364.2</v>
      </c>
      <c r="AU55">
        <v>532.4</v>
      </c>
      <c r="AV55">
        <v>15079.7</v>
      </c>
      <c r="AW55">
        <v>13396</v>
      </c>
    </row>
    <row r="56" spans="1:51" ht="15" x14ac:dyDescent="0.25">
      <c r="A56" s="119" t="s">
        <v>231</v>
      </c>
      <c r="B56" t="s">
        <v>62</v>
      </c>
      <c r="C56">
        <v>7.5</v>
      </c>
      <c r="D56">
        <v>24</v>
      </c>
      <c r="E56">
        <v>4.2</v>
      </c>
      <c r="F56">
        <v>34</v>
      </c>
      <c r="G56">
        <v>0</v>
      </c>
      <c r="H56">
        <v>0</v>
      </c>
      <c r="I56">
        <v>0</v>
      </c>
      <c r="J56">
        <v>0</v>
      </c>
      <c r="K56">
        <v>0</v>
      </c>
      <c r="L56" s="123">
        <v>0</v>
      </c>
      <c r="M56" t="s">
        <v>62</v>
      </c>
      <c r="N56">
        <v>158</v>
      </c>
      <c r="O56">
        <v>24</v>
      </c>
      <c r="P56">
        <v>165.6</v>
      </c>
      <c r="Q56">
        <v>23</v>
      </c>
      <c r="R56">
        <v>1373.2</v>
      </c>
      <c r="S56">
        <v>8</v>
      </c>
      <c r="T56">
        <v>787.3</v>
      </c>
      <c r="U56">
        <v>11</v>
      </c>
      <c r="V56">
        <v>616.1</v>
      </c>
      <c r="W56">
        <v>15</v>
      </c>
      <c r="Z56" s="122"/>
      <c r="AQ56" s="123" t="s">
        <v>97</v>
      </c>
      <c r="AS56" t="s">
        <v>62</v>
      </c>
      <c r="AT56">
        <v>0</v>
      </c>
      <c r="AU56">
        <v>0</v>
      </c>
      <c r="AV56">
        <v>35.6</v>
      </c>
      <c r="AW56">
        <v>35.700000000000003</v>
      </c>
    </row>
    <row r="57" spans="1:51" ht="15" x14ac:dyDescent="0.25">
      <c r="A57" s="119"/>
      <c r="L57" s="122"/>
      <c r="Z57" s="123" t="s">
        <v>97</v>
      </c>
      <c r="AA57" t="s">
        <v>62</v>
      </c>
      <c r="AB57">
        <v>35.6</v>
      </c>
      <c r="AC57">
        <v>23</v>
      </c>
      <c r="AD57">
        <v>35.700000000000003</v>
      </c>
      <c r="AE57">
        <v>39</v>
      </c>
      <c r="AF57">
        <v>38.4</v>
      </c>
      <c r="AG57">
        <v>31</v>
      </c>
      <c r="AH57">
        <v>38.6</v>
      </c>
      <c r="AI57">
        <v>35</v>
      </c>
      <c r="AJ57">
        <v>34.799999999999997</v>
      </c>
      <c r="AK57">
        <v>36</v>
      </c>
      <c r="AQ57" s="123" t="s">
        <v>252</v>
      </c>
      <c r="AS57" t="s">
        <v>62</v>
      </c>
      <c r="AT57">
        <v>0</v>
      </c>
      <c r="AU57">
        <v>0</v>
      </c>
      <c r="AV57" t="s">
        <v>228</v>
      </c>
      <c r="AW57">
        <v>0</v>
      </c>
    </row>
    <row r="58" spans="1:51" ht="15" x14ac:dyDescent="0.25">
      <c r="A58" s="119" t="s">
        <v>115</v>
      </c>
      <c r="B58" t="s">
        <v>62</v>
      </c>
      <c r="C58">
        <v>3.9</v>
      </c>
      <c r="D58">
        <v>25</v>
      </c>
      <c r="E58">
        <v>6.6</v>
      </c>
      <c r="F58">
        <v>32</v>
      </c>
      <c r="G58">
        <v>8.1999999999999993</v>
      </c>
      <c r="H58">
        <v>47</v>
      </c>
      <c r="I58">
        <v>9.8000000000000007</v>
      </c>
      <c r="J58">
        <v>42</v>
      </c>
      <c r="K58">
        <v>8.5</v>
      </c>
      <c r="L58" s="123">
        <v>43</v>
      </c>
      <c r="M58" t="s">
        <v>62</v>
      </c>
      <c r="N58">
        <v>106.3</v>
      </c>
      <c r="O58">
        <v>25</v>
      </c>
      <c r="P58">
        <v>93.5</v>
      </c>
      <c r="Q58">
        <v>26</v>
      </c>
      <c r="R58">
        <v>123.4</v>
      </c>
      <c r="S58">
        <v>31</v>
      </c>
      <c r="T58">
        <v>131.4</v>
      </c>
      <c r="U58">
        <v>31</v>
      </c>
      <c r="V58">
        <v>115.9</v>
      </c>
      <c r="W58">
        <v>32</v>
      </c>
      <c r="Z58" s="122"/>
      <c r="AQ58" s="123" t="s">
        <v>98</v>
      </c>
      <c r="AS58" t="s">
        <v>62</v>
      </c>
      <c r="AT58">
        <v>7</v>
      </c>
      <c r="AU58">
        <v>73.3</v>
      </c>
      <c r="AV58">
        <v>575.70000000000005</v>
      </c>
      <c r="AW58">
        <v>669.5</v>
      </c>
    </row>
    <row r="59" spans="1:51" ht="15" x14ac:dyDescent="0.25">
      <c r="A59" s="119"/>
      <c r="L59" s="122"/>
      <c r="Z59" s="123" t="s">
        <v>78</v>
      </c>
      <c r="AA59" t="s">
        <v>62</v>
      </c>
      <c r="AB59">
        <v>33.4</v>
      </c>
      <c r="AC59">
        <v>24</v>
      </c>
      <c r="AD59">
        <v>801.1</v>
      </c>
      <c r="AE59">
        <v>9</v>
      </c>
      <c r="AF59">
        <v>158</v>
      </c>
      <c r="AG59">
        <v>24</v>
      </c>
      <c r="AH59">
        <v>165.6</v>
      </c>
      <c r="AI59">
        <v>23</v>
      </c>
      <c r="AJ59">
        <v>1373.2</v>
      </c>
      <c r="AK59">
        <v>8</v>
      </c>
      <c r="AQ59" s="123" t="s">
        <v>99</v>
      </c>
      <c r="AS59" t="s">
        <v>62</v>
      </c>
      <c r="AT59">
        <v>11.3</v>
      </c>
      <c r="AU59">
        <v>64.400000000000006</v>
      </c>
      <c r="AV59">
        <v>487.2</v>
      </c>
      <c r="AW59">
        <v>506.7</v>
      </c>
    </row>
    <row r="60" spans="1:51" ht="15" x14ac:dyDescent="0.25">
      <c r="A60" s="119" t="s">
        <v>82</v>
      </c>
      <c r="B60" t="s">
        <v>62</v>
      </c>
      <c r="C60">
        <v>2.7</v>
      </c>
      <c r="D60">
        <v>26</v>
      </c>
      <c r="E60">
        <v>4.4000000000000004</v>
      </c>
      <c r="F60">
        <v>33</v>
      </c>
      <c r="G60">
        <v>70.5</v>
      </c>
      <c r="H60">
        <v>32</v>
      </c>
      <c r="I60">
        <v>17</v>
      </c>
      <c r="J60">
        <v>40</v>
      </c>
      <c r="K60">
        <v>78.900000000000006</v>
      </c>
      <c r="L60" s="123">
        <v>31</v>
      </c>
      <c r="M60" t="s">
        <v>62</v>
      </c>
      <c r="N60">
        <v>90.9</v>
      </c>
      <c r="O60">
        <v>26</v>
      </c>
      <c r="P60">
        <v>127</v>
      </c>
      <c r="Q60">
        <v>25</v>
      </c>
      <c r="R60">
        <v>1113.3</v>
      </c>
      <c r="S60">
        <v>10</v>
      </c>
      <c r="T60">
        <v>891.3</v>
      </c>
      <c r="U60">
        <v>10</v>
      </c>
      <c r="V60">
        <v>1307.3</v>
      </c>
      <c r="W60">
        <v>7</v>
      </c>
      <c r="Z60" s="122"/>
      <c r="AQ60" s="123" t="s">
        <v>101</v>
      </c>
      <c r="AS60" t="s">
        <v>62</v>
      </c>
      <c r="AT60">
        <v>121.3</v>
      </c>
      <c r="AU60">
        <v>86.3</v>
      </c>
      <c r="AV60">
        <v>275.10000000000002</v>
      </c>
      <c r="AW60">
        <v>536.4</v>
      </c>
    </row>
    <row r="61" spans="1:51" ht="15" x14ac:dyDescent="0.25">
      <c r="A61" s="119"/>
      <c r="L61" s="122"/>
      <c r="Z61" s="123" t="s">
        <v>104</v>
      </c>
      <c r="AA61" t="s">
        <v>62</v>
      </c>
      <c r="AB61">
        <v>29.7</v>
      </c>
      <c r="AC61">
        <v>25</v>
      </c>
      <c r="AD61">
        <v>214.2</v>
      </c>
      <c r="AE61">
        <v>24</v>
      </c>
      <c r="AF61">
        <v>167.8</v>
      </c>
      <c r="AG61">
        <v>23</v>
      </c>
      <c r="AH61">
        <v>217.2</v>
      </c>
      <c r="AI61">
        <v>22</v>
      </c>
      <c r="AJ61">
        <v>473.7</v>
      </c>
      <c r="AK61">
        <v>20</v>
      </c>
      <c r="AQ61" s="123" t="s">
        <v>102</v>
      </c>
      <c r="AS61" t="s">
        <v>62</v>
      </c>
      <c r="AT61">
        <v>25</v>
      </c>
      <c r="AU61">
        <v>0</v>
      </c>
      <c r="AV61">
        <v>422.7</v>
      </c>
      <c r="AW61">
        <v>427.2</v>
      </c>
    </row>
    <row r="62" spans="1:51" ht="15" x14ac:dyDescent="0.25">
      <c r="A62" s="119" t="s">
        <v>165</v>
      </c>
      <c r="B62" t="s">
        <v>62</v>
      </c>
      <c r="C62">
        <v>2.6</v>
      </c>
      <c r="D62">
        <v>27</v>
      </c>
      <c r="E62">
        <v>7</v>
      </c>
      <c r="F62">
        <v>31</v>
      </c>
      <c r="G62">
        <v>7.1</v>
      </c>
      <c r="H62">
        <v>49</v>
      </c>
      <c r="I62">
        <v>2.4</v>
      </c>
      <c r="J62">
        <v>45</v>
      </c>
      <c r="K62">
        <v>16.399999999999999</v>
      </c>
      <c r="L62" s="123">
        <v>40</v>
      </c>
      <c r="M62" t="s">
        <v>62</v>
      </c>
      <c r="N62">
        <v>90.7</v>
      </c>
      <c r="O62">
        <v>27</v>
      </c>
      <c r="P62">
        <v>93.3</v>
      </c>
      <c r="Q62">
        <v>27</v>
      </c>
      <c r="R62">
        <v>133.19999999999999</v>
      </c>
      <c r="S62">
        <v>30</v>
      </c>
      <c r="T62">
        <v>108.2</v>
      </c>
      <c r="U62">
        <v>33</v>
      </c>
      <c r="V62">
        <v>118.3</v>
      </c>
      <c r="W62">
        <v>31</v>
      </c>
      <c r="Z62" s="122"/>
      <c r="AQ62" s="123" t="s">
        <v>103</v>
      </c>
      <c r="AS62" t="s">
        <v>62</v>
      </c>
      <c r="AT62">
        <v>17.7</v>
      </c>
      <c r="AU62">
        <v>47.8</v>
      </c>
      <c r="AV62">
        <v>386.5</v>
      </c>
      <c r="AW62">
        <v>685.2</v>
      </c>
    </row>
    <row r="63" spans="1:51" ht="15" x14ac:dyDescent="0.25">
      <c r="A63" s="119"/>
      <c r="L63" s="122"/>
      <c r="Z63" s="123" t="s">
        <v>76</v>
      </c>
      <c r="AA63" t="s">
        <v>62</v>
      </c>
      <c r="AB63">
        <v>23</v>
      </c>
      <c r="AC63">
        <v>26</v>
      </c>
      <c r="AD63">
        <v>528.9</v>
      </c>
      <c r="AE63">
        <v>15</v>
      </c>
      <c r="AF63">
        <v>10.7</v>
      </c>
      <c r="AG63">
        <v>41</v>
      </c>
      <c r="AH63">
        <v>11.1</v>
      </c>
      <c r="AI63">
        <v>41</v>
      </c>
      <c r="AJ63">
        <v>8.3000000000000007</v>
      </c>
      <c r="AK63">
        <v>47</v>
      </c>
      <c r="AQ63" s="123" t="s">
        <v>104</v>
      </c>
      <c r="AS63" t="s">
        <v>62</v>
      </c>
      <c r="AT63">
        <v>0</v>
      </c>
      <c r="AU63">
        <v>0</v>
      </c>
      <c r="AV63">
        <v>29.7</v>
      </c>
      <c r="AW63">
        <v>214.2</v>
      </c>
    </row>
    <row r="64" spans="1:51" ht="15" x14ac:dyDescent="0.25">
      <c r="A64" s="119" t="s">
        <v>232</v>
      </c>
      <c r="B64" t="s">
        <v>62</v>
      </c>
      <c r="C64">
        <v>0.9</v>
      </c>
      <c r="D64">
        <v>28</v>
      </c>
      <c r="E64">
        <v>0</v>
      </c>
      <c r="F64">
        <v>0</v>
      </c>
      <c r="G64">
        <v>28.3</v>
      </c>
      <c r="H64">
        <v>40</v>
      </c>
      <c r="I64">
        <v>0</v>
      </c>
      <c r="J64">
        <v>0</v>
      </c>
      <c r="K64">
        <v>0</v>
      </c>
      <c r="L64" s="123">
        <v>0</v>
      </c>
      <c r="M64" t="s">
        <v>62</v>
      </c>
      <c r="N64">
        <v>86.3</v>
      </c>
      <c r="O64">
        <v>28</v>
      </c>
      <c r="P64">
        <v>80.599999999999994</v>
      </c>
      <c r="Q64">
        <v>30</v>
      </c>
      <c r="R64">
        <v>89.2</v>
      </c>
      <c r="S64">
        <v>32</v>
      </c>
      <c r="T64">
        <v>224.2</v>
      </c>
      <c r="U64">
        <v>28</v>
      </c>
      <c r="V64">
        <v>333.7</v>
      </c>
      <c r="W64">
        <v>21</v>
      </c>
      <c r="Z64" s="122"/>
      <c r="AQ64" s="123" t="s">
        <v>105</v>
      </c>
      <c r="AS64" t="s">
        <v>62</v>
      </c>
      <c r="AT64">
        <v>0</v>
      </c>
      <c r="AU64">
        <v>0</v>
      </c>
      <c r="AV64">
        <v>1.1000000000000001</v>
      </c>
      <c r="AW64">
        <v>2</v>
      </c>
    </row>
    <row r="65" spans="1:51" ht="15" x14ac:dyDescent="0.25">
      <c r="A65" s="119"/>
      <c r="L65" s="122"/>
      <c r="Z65" s="123" t="s">
        <v>75</v>
      </c>
      <c r="AA65" t="s">
        <v>62</v>
      </c>
      <c r="AB65">
        <v>22.6</v>
      </c>
      <c r="AC65">
        <v>27</v>
      </c>
      <c r="AD65">
        <v>23.9</v>
      </c>
      <c r="AE65">
        <v>41</v>
      </c>
      <c r="AF65">
        <v>25.9</v>
      </c>
      <c r="AG65">
        <v>35</v>
      </c>
      <c r="AH65">
        <v>26.6</v>
      </c>
      <c r="AI65">
        <v>37</v>
      </c>
      <c r="AJ65">
        <v>30</v>
      </c>
      <c r="AK65">
        <v>38</v>
      </c>
      <c r="AQ65" s="123" t="s">
        <v>106</v>
      </c>
      <c r="AS65" t="s">
        <v>62</v>
      </c>
      <c r="AT65">
        <v>8.3000000000000007</v>
      </c>
      <c r="AU65">
        <v>83.7</v>
      </c>
      <c r="AV65">
        <v>549.1</v>
      </c>
      <c r="AW65">
        <v>660.6</v>
      </c>
    </row>
    <row r="66" spans="1:51" ht="15" x14ac:dyDescent="0.25">
      <c r="A66" s="119" t="s">
        <v>66</v>
      </c>
      <c r="B66" t="s">
        <v>62</v>
      </c>
      <c r="C66">
        <v>0.5</v>
      </c>
      <c r="D66">
        <v>29</v>
      </c>
      <c r="E66">
        <v>0.5</v>
      </c>
      <c r="F66">
        <v>37</v>
      </c>
      <c r="G66">
        <v>0.4</v>
      </c>
      <c r="H66">
        <v>52</v>
      </c>
      <c r="I66">
        <v>0.4</v>
      </c>
      <c r="J66">
        <v>46</v>
      </c>
      <c r="K66">
        <v>0.5</v>
      </c>
      <c r="L66" s="123">
        <v>50</v>
      </c>
      <c r="M66" t="s">
        <v>62</v>
      </c>
      <c r="N66">
        <v>57.3</v>
      </c>
      <c r="O66">
        <v>29</v>
      </c>
      <c r="P66">
        <v>0</v>
      </c>
      <c r="Q66">
        <v>0</v>
      </c>
      <c r="R66">
        <v>0.3</v>
      </c>
      <c r="S66">
        <v>57</v>
      </c>
      <c r="T66">
        <v>0.7</v>
      </c>
      <c r="U66">
        <v>50</v>
      </c>
      <c r="V66">
        <v>0.3</v>
      </c>
      <c r="W66">
        <v>53</v>
      </c>
      <c r="Z66" s="122"/>
      <c r="AQ66" s="123" t="s">
        <v>118</v>
      </c>
      <c r="AS66" t="s">
        <v>62</v>
      </c>
      <c r="AT66">
        <v>0</v>
      </c>
      <c r="AU66">
        <v>0</v>
      </c>
      <c r="AV66">
        <v>43.2</v>
      </c>
      <c r="AW66">
        <v>38.799999999999997</v>
      </c>
    </row>
    <row r="67" spans="1:51" ht="15" x14ac:dyDescent="0.25">
      <c r="A67" s="119"/>
      <c r="L67" s="122"/>
      <c r="Z67" s="123" t="s">
        <v>79</v>
      </c>
      <c r="AA67" t="s">
        <v>62</v>
      </c>
      <c r="AB67">
        <v>10.6</v>
      </c>
      <c r="AC67">
        <v>28</v>
      </c>
      <c r="AD67">
        <v>9.6999999999999993</v>
      </c>
      <c r="AE67">
        <v>46</v>
      </c>
      <c r="AF67">
        <v>86.3</v>
      </c>
      <c r="AG67">
        <v>28</v>
      </c>
      <c r="AH67">
        <v>80.599999999999994</v>
      </c>
      <c r="AI67">
        <v>30</v>
      </c>
      <c r="AJ67">
        <v>89.2</v>
      </c>
      <c r="AK67">
        <v>32</v>
      </c>
      <c r="AQ67" s="123" t="s">
        <v>231</v>
      </c>
      <c r="AS67" t="s">
        <v>62</v>
      </c>
      <c r="AT67">
        <v>0</v>
      </c>
      <c r="AU67">
        <v>0</v>
      </c>
      <c r="AV67">
        <v>4.2</v>
      </c>
      <c r="AW67">
        <v>0</v>
      </c>
    </row>
    <row r="68" spans="1:51" ht="15" x14ac:dyDescent="0.25">
      <c r="A68" s="119" t="s">
        <v>124</v>
      </c>
      <c r="B68" t="s">
        <v>62</v>
      </c>
      <c r="C68">
        <v>0.4</v>
      </c>
      <c r="D68">
        <v>30</v>
      </c>
      <c r="E68">
        <v>0</v>
      </c>
      <c r="F68">
        <v>0</v>
      </c>
      <c r="G68">
        <v>0</v>
      </c>
      <c r="H68">
        <v>0</v>
      </c>
      <c r="I68">
        <v>0.4</v>
      </c>
      <c r="J68">
        <v>47</v>
      </c>
      <c r="K68">
        <v>2.6</v>
      </c>
      <c r="L68" s="123">
        <v>48</v>
      </c>
      <c r="M68" t="s">
        <v>62</v>
      </c>
      <c r="N68">
        <v>54.2</v>
      </c>
      <c r="O68">
        <v>30</v>
      </c>
      <c r="P68">
        <v>137.9</v>
      </c>
      <c r="Q68">
        <v>24</v>
      </c>
      <c r="R68">
        <v>281.89999999999998</v>
      </c>
      <c r="S68">
        <v>27</v>
      </c>
      <c r="T68">
        <v>177.6</v>
      </c>
      <c r="U68">
        <v>29</v>
      </c>
      <c r="V68">
        <v>157.4</v>
      </c>
      <c r="W68">
        <v>28</v>
      </c>
      <c r="Z68" s="122"/>
      <c r="AQ68" s="123" t="s">
        <v>107</v>
      </c>
      <c r="AS68" t="s">
        <v>62</v>
      </c>
      <c r="AT68">
        <v>9.5</v>
      </c>
      <c r="AU68">
        <v>1</v>
      </c>
      <c r="AV68">
        <v>382.1</v>
      </c>
      <c r="AW68">
        <v>431.2</v>
      </c>
    </row>
    <row r="69" spans="1:51" ht="15" x14ac:dyDescent="0.25">
      <c r="A69" s="119"/>
      <c r="L69" s="122"/>
      <c r="Z69" s="123" t="s">
        <v>86</v>
      </c>
      <c r="AA69" t="s">
        <v>62</v>
      </c>
      <c r="AB69">
        <v>10.1</v>
      </c>
      <c r="AC69">
        <v>29</v>
      </c>
      <c r="AD69">
        <v>19.600000000000001</v>
      </c>
      <c r="AE69">
        <v>42</v>
      </c>
      <c r="AF69">
        <v>29.6</v>
      </c>
      <c r="AG69">
        <v>33</v>
      </c>
      <c r="AH69">
        <v>86.9</v>
      </c>
      <c r="AI69">
        <v>28</v>
      </c>
      <c r="AJ69">
        <v>25</v>
      </c>
      <c r="AK69">
        <v>39</v>
      </c>
      <c r="AQ69" s="123" t="s">
        <v>108</v>
      </c>
      <c r="AS69" t="s">
        <v>62</v>
      </c>
      <c r="AT69">
        <v>0</v>
      </c>
      <c r="AU69">
        <v>0.3</v>
      </c>
      <c r="AV69">
        <v>271.10000000000002</v>
      </c>
      <c r="AW69">
        <v>241.9</v>
      </c>
    </row>
    <row r="70" spans="1:51" ht="15" x14ac:dyDescent="0.25">
      <c r="A70" s="119" t="s">
        <v>123</v>
      </c>
      <c r="B70" t="s">
        <v>62</v>
      </c>
      <c r="C70">
        <v>0.4</v>
      </c>
      <c r="D70">
        <v>31</v>
      </c>
      <c r="E70">
        <v>0.1</v>
      </c>
      <c r="F70">
        <v>40</v>
      </c>
      <c r="G70">
        <v>10.3</v>
      </c>
      <c r="H70">
        <v>44</v>
      </c>
      <c r="I70">
        <v>0</v>
      </c>
      <c r="J70">
        <v>0</v>
      </c>
      <c r="K70">
        <v>0</v>
      </c>
      <c r="L70" s="123">
        <v>0</v>
      </c>
      <c r="M70" t="s">
        <v>62</v>
      </c>
      <c r="N70">
        <v>38.4</v>
      </c>
      <c r="O70">
        <v>31</v>
      </c>
      <c r="P70">
        <v>38.6</v>
      </c>
      <c r="Q70">
        <v>35</v>
      </c>
      <c r="R70">
        <v>34.799999999999997</v>
      </c>
      <c r="S70">
        <v>36</v>
      </c>
      <c r="T70">
        <v>36.200000000000003</v>
      </c>
      <c r="U70">
        <v>35</v>
      </c>
      <c r="V70">
        <v>37.299999999999997</v>
      </c>
      <c r="W70">
        <v>37</v>
      </c>
      <c r="Z70" s="122"/>
      <c r="AQ70" s="123" t="s">
        <v>109</v>
      </c>
      <c r="AS70" t="s">
        <v>62</v>
      </c>
      <c r="AT70">
        <v>1.6</v>
      </c>
      <c r="AU70">
        <v>0</v>
      </c>
      <c r="AV70">
        <v>7.1</v>
      </c>
      <c r="AW70">
        <v>7.8</v>
      </c>
    </row>
    <row r="71" spans="1:51" ht="15" x14ac:dyDescent="0.25">
      <c r="A71" s="119"/>
      <c r="L71" s="122"/>
      <c r="Z71" s="123" t="s">
        <v>109</v>
      </c>
      <c r="AA71" t="s">
        <v>62</v>
      </c>
      <c r="AB71">
        <v>7.1</v>
      </c>
      <c r="AC71">
        <v>30</v>
      </c>
      <c r="AD71">
        <v>7.8</v>
      </c>
      <c r="AE71">
        <v>48</v>
      </c>
      <c r="AF71">
        <v>36.5</v>
      </c>
      <c r="AG71">
        <v>32</v>
      </c>
      <c r="AH71">
        <v>7.9</v>
      </c>
      <c r="AI71">
        <v>44</v>
      </c>
      <c r="AJ71">
        <v>8</v>
      </c>
      <c r="AK71">
        <v>49</v>
      </c>
      <c r="AQ71" s="123" t="s">
        <v>110</v>
      </c>
      <c r="AS71" t="s">
        <v>62</v>
      </c>
      <c r="AT71">
        <v>79.400000000000006</v>
      </c>
      <c r="AU71">
        <v>115.2</v>
      </c>
      <c r="AV71">
        <v>9537.5</v>
      </c>
      <c r="AW71">
        <v>7018.6</v>
      </c>
      <c r="AY71">
        <f>+AV71+AT71</f>
        <v>9616.9</v>
      </c>
    </row>
    <row r="72" spans="1:51" ht="15" x14ac:dyDescent="0.25">
      <c r="A72" s="119" t="s">
        <v>90</v>
      </c>
      <c r="B72" t="s">
        <v>62</v>
      </c>
      <c r="C72">
        <v>0</v>
      </c>
      <c r="D72">
        <v>0</v>
      </c>
      <c r="E72">
        <v>544.9</v>
      </c>
      <c r="F72">
        <v>9</v>
      </c>
      <c r="G72">
        <v>3301.9</v>
      </c>
      <c r="H72">
        <v>4</v>
      </c>
      <c r="I72">
        <v>2935.3</v>
      </c>
      <c r="J72">
        <v>5</v>
      </c>
      <c r="K72">
        <v>2232.9</v>
      </c>
      <c r="L72" s="123">
        <v>5</v>
      </c>
      <c r="M72" t="s">
        <v>62</v>
      </c>
      <c r="N72">
        <v>36.5</v>
      </c>
      <c r="O72">
        <v>32</v>
      </c>
      <c r="P72">
        <v>7.9</v>
      </c>
      <c r="Q72">
        <v>44</v>
      </c>
      <c r="R72">
        <v>8</v>
      </c>
      <c r="S72">
        <v>49</v>
      </c>
      <c r="T72">
        <v>14.3</v>
      </c>
      <c r="U72">
        <v>39</v>
      </c>
      <c r="V72">
        <v>9.1999999999999993</v>
      </c>
      <c r="W72">
        <v>46</v>
      </c>
      <c r="Z72" s="122"/>
      <c r="AQ72" s="123" t="s">
        <v>111</v>
      </c>
      <c r="AS72" t="s">
        <v>62</v>
      </c>
      <c r="AT72">
        <v>2</v>
      </c>
      <c r="AU72">
        <v>31.7</v>
      </c>
      <c r="AV72">
        <v>123</v>
      </c>
      <c r="AW72">
        <v>118</v>
      </c>
    </row>
    <row r="73" spans="1:51" ht="15" x14ac:dyDescent="0.25">
      <c r="A73" s="119"/>
      <c r="L73" s="122"/>
      <c r="Z73" s="123" t="s">
        <v>165</v>
      </c>
      <c r="AA73" t="s">
        <v>62</v>
      </c>
      <c r="AB73">
        <v>7</v>
      </c>
      <c r="AC73">
        <v>31</v>
      </c>
      <c r="AD73">
        <v>7.1</v>
      </c>
      <c r="AE73">
        <v>49</v>
      </c>
      <c r="AF73">
        <v>2.4</v>
      </c>
      <c r="AG73">
        <v>45</v>
      </c>
      <c r="AH73">
        <v>16.399999999999999</v>
      </c>
      <c r="AI73">
        <v>40</v>
      </c>
      <c r="AJ73">
        <v>0</v>
      </c>
      <c r="AK73">
        <v>0</v>
      </c>
      <c r="AQ73" s="123" t="s">
        <v>112</v>
      </c>
      <c r="AS73" t="s">
        <v>62</v>
      </c>
      <c r="AT73">
        <v>22.1</v>
      </c>
      <c r="AU73">
        <v>0</v>
      </c>
      <c r="AV73">
        <v>212.2</v>
      </c>
      <c r="AW73">
        <v>263</v>
      </c>
    </row>
    <row r="74" spans="1:51" ht="15" x14ac:dyDescent="0.25">
      <c r="A74" s="119" t="s">
        <v>93</v>
      </c>
      <c r="B74" t="s">
        <v>62</v>
      </c>
      <c r="C74">
        <v>0</v>
      </c>
      <c r="D74">
        <v>0</v>
      </c>
      <c r="E74">
        <v>59.1</v>
      </c>
      <c r="F74">
        <v>21</v>
      </c>
      <c r="G74">
        <v>182.5</v>
      </c>
      <c r="H74">
        <v>26</v>
      </c>
      <c r="I74">
        <v>467.8</v>
      </c>
      <c r="J74">
        <v>17</v>
      </c>
      <c r="K74">
        <v>494.6</v>
      </c>
      <c r="L74" s="123">
        <v>15</v>
      </c>
      <c r="M74" t="s">
        <v>62</v>
      </c>
      <c r="N74">
        <v>29.6</v>
      </c>
      <c r="O74">
        <v>33</v>
      </c>
      <c r="P74">
        <v>86.9</v>
      </c>
      <c r="Q74">
        <v>28</v>
      </c>
      <c r="R74">
        <v>25</v>
      </c>
      <c r="S74">
        <v>39</v>
      </c>
      <c r="T74">
        <v>22.7</v>
      </c>
      <c r="U74">
        <v>38</v>
      </c>
      <c r="V74">
        <v>49.2</v>
      </c>
      <c r="W74">
        <v>36</v>
      </c>
      <c r="Z74" s="122"/>
      <c r="AQ74" s="123" t="s">
        <v>113</v>
      </c>
      <c r="AS74" t="s">
        <v>62</v>
      </c>
      <c r="AT74">
        <v>0</v>
      </c>
      <c r="AU74">
        <v>15</v>
      </c>
      <c r="AV74">
        <v>0</v>
      </c>
      <c r="AW74">
        <v>66.3</v>
      </c>
    </row>
    <row r="75" spans="1:51" ht="15" x14ac:dyDescent="0.25">
      <c r="A75" s="119"/>
      <c r="L75" s="122"/>
      <c r="Z75" s="123" t="s">
        <v>115</v>
      </c>
      <c r="AA75" t="s">
        <v>62</v>
      </c>
      <c r="AB75">
        <v>6.6</v>
      </c>
      <c r="AC75">
        <v>32</v>
      </c>
      <c r="AD75">
        <v>8.1999999999999993</v>
      </c>
      <c r="AE75">
        <v>47</v>
      </c>
      <c r="AF75">
        <v>9.8000000000000007</v>
      </c>
      <c r="AG75">
        <v>42</v>
      </c>
      <c r="AH75">
        <v>8.5</v>
      </c>
      <c r="AI75">
        <v>43</v>
      </c>
      <c r="AJ75">
        <v>9</v>
      </c>
      <c r="AK75">
        <v>46</v>
      </c>
      <c r="AQ75" s="123" t="s">
        <v>114</v>
      </c>
      <c r="AS75" t="s">
        <v>62</v>
      </c>
      <c r="AT75">
        <v>7.6</v>
      </c>
      <c r="AU75">
        <v>13.8</v>
      </c>
      <c r="AV75">
        <v>365.8</v>
      </c>
      <c r="AW75">
        <v>479.2</v>
      </c>
    </row>
    <row r="76" spans="1:51" ht="15" x14ac:dyDescent="0.25">
      <c r="A76" s="119" t="s">
        <v>78</v>
      </c>
      <c r="B76" t="s">
        <v>62</v>
      </c>
      <c r="C76">
        <v>0</v>
      </c>
      <c r="D76">
        <v>0</v>
      </c>
      <c r="E76">
        <v>33.4</v>
      </c>
      <c r="F76">
        <v>24</v>
      </c>
      <c r="G76">
        <v>801.1</v>
      </c>
      <c r="H76">
        <v>9</v>
      </c>
      <c r="I76">
        <v>158</v>
      </c>
      <c r="J76">
        <v>24</v>
      </c>
      <c r="K76">
        <v>165.6</v>
      </c>
      <c r="L76" s="123">
        <v>23</v>
      </c>
      <c r="M76" t="s">
        <v>62</v>
      </c>
      <c r="N76">
        <v>27.6</v>
      </c>
      <c r="O76">
        <v>34</v>
      </c>
      <c r="P76">
        <v>84.6</v>
      </c>
      <c r="Q76">
        <v>29</v>
      </c>
      <c r="R76">
        <v>408.3</v>
      </c>
      <c r="S76">
        <v>23</v>
      </c>
      <c r="T76">
        <v>313.3</v>
      </c>
      <c r="U76">
        <v>24</v>
      </c>
      <c r="V76">
        <v>318.7</v>
      </c>
      <c r="W76">
        <v>23</v>
      </c>
      <c r="Z76" s="122"/>
      <c r="AQ76" s="123" t="s">
        <v>115</v>
      </c>
      <c r="AS76" t="s">
        <v>62</v>
      </c>
      <c r="AT76">
        <v>0</v>
      </c>
      <c r="AU76">
        <v>0</v>
      </c>
      <c r="AV76">
        <v>6.6</v>
      </c>
      <c r="AW76">
        <v>8.1999999999999993</v>
      </c>
    </row>
    <row r="77" spans="1:51" ht="15" x14ac:dyDescent="0.25">
      <c r="A77" s="119"/>
      <c r="L77" s="122"/>
      <c r="Z77" s="123" t="s">
        <v>82</v>
      </c>
      <c r="AA77" t="s">
        <v>62</v>
      </c>
      <c r="AB77">
        <v>4.4000000000000004</v>
      </c>
      <c r="AC77">
        <v>33</v>
      </c>
      <c r="AD77">
        <v>70.5</v>
      </c>
      <c r="AE77">
        <v>32</v>
      </c>
      <c r="AF77">
        <v>17</v>
      </c>
      <c r="AG77">
        <v>40</v>
      </c>
      <c r="AH77">
        <v>78.900000000000006</v>
      </c>
      <c r="AI77">
        <v>31</v>
      </c>
      <c r="AJ77">
        <v>43.1</v>
      </c>
      <c r="AK77">
        <v>34</v>
      </c>
      <c r="AQ77" s="123" t="s">
        <v>116</v>
      </c>
      <c r="AS77" t="s">
        <v>62</v>
      </c>
      <c r="AT77">
        <v>0</v>
      </c>
      <c r="AU77">
        <v>0</v>
      </c>
      <c r="AV77">
        <v>84.2</v>
      </c>
      <c r="AW77">
        <v>92.1</v>
      </c>
    </row>
    <row r="78" spans="1:51" ht="15" x14ac:dyDescent="0.25">
      <c r="A78" s="119" t="s">
        <v>104</v>
      </c>
      <c r="B78" t="s">
        <v>62</v>
      </c>
      <c r="C78">
        <v>0</v>
      </c>
      <c r="D78">
        <v>0</v>
      </c>
      <c r="E78">
        <v>29.7</v>
      </c>
      <c r="F78">
        <v>25</v>
      </c>
      <c r="G78">
        <v>214.2</v>
      </c>
      <c r="H78">
        <v>24</v>
      </c>
      <c r="I78">
        <v>167.8</v>
      </c>
      <c r="J78">
        <v>23</v>
      </c>
      <c r="K78">
        <v>217.2</v>
      </c>
      <c r="L78" s="123">
        <v>22</v>
      </c>
      <c r="M78" t="s">
        <v>62</v>
      </c>
      <c r="N78">
        <v>25.9</v>
      </c>
      <c r="O78">
        <v>35</v>
      </c>
      <c r="P78">
        <v>26.6</v>
      </c>
      <c r="Q78">
        <v>37</v>
      </c>
      <c r="R78">
        <v>30</v>
      </c>
      <c r="S78">
        <v>38</v>
      </c>
      <c r="T78">
        <v>37.1</v>
      </c>
      <c r="U78">
        <v>34</v>
      </c>
      <c r="V78">
        <v>55.6</v>
      </c>
      <c r="W78">
        <v>34</v>
      </c>
      <c r="Z78" s="122"/>
      <c r="AQ78" s="123" t="s">
        <v>119</v>
      </c>
      <c r="AS78" t="s">
        <v>62</v>
      </c>
      <c r="AT78">
        <v>51.6</v>
      </c>
      <c r="AU78">
        <v>0</v>
      </c>
      <c r="AV78">
        <v>1280.0999999999999</v>
      </c>
      <c r="AW78">
        <v>893.7</v>
      </c>
      <c r="AY78">
        <f>+AV78+AT78</f>
        <v>1331.6999999999998</v>
      </c>
    </row>
    <row r="79" spans="1:51" ht="15" x14ac:dyDescent="0.25">
      <c r="A79" s="119"/>
      <c r="L79" s="122"/>
      <c r="Z79" s="123" t="s">
        <v>231</v>
      </c>
      <c r="AA79" t="s">
        <v>62</v>
      </c>
      <c r="AB79">
        <v>4.2</v>
      </c>
      <c r="AC79">
        <v>34</v>
      </c>
      <c r="AD79">
        <v>0</v>
      </c>
      <c r="AE79">
        <v>0</v>
      </c>
      <c r="AF79">
        <v>0</v>
      </c>
      <c r="AG79">
        <v>0</v>
      </c>
      <c r="AH79">
        <v>0</v>
      </c>
      <c r="AI79">
        <v>0</v>
      </c>
      <c r="AJ79">
        <v>0</v>
      </c>
      <c r="AK79">
        <v>0</v>
      </c>
      <c r="AQ79" s="123" t="s">
        <v>284</v>
      </c>
      <c r="AR79" t="s">
        <v>256</v>
      </c>
      <c r="AS79" t="s">
        <v>162</v>
      </c>
      <c r="AT79" t="s">
        <v>61</v>
      </c>
      <c r="AU79" t="s">
        <v>168</v>
      </c>
      <c r="AV79" t="s">
        <v>188</v>
      </c>
      <c r="AW79" t="s">
        <v>240</v>
      </c>
    </row>
    <row r="80" spans="1:51" ht="15" x14ac:dyDescent="0.25">
      <c r="A80" s="119" t="s">
        <v>76</v>
      </c>
      <c r="B80" t="s">
        <v>62</v>
      </c>
      <c r="C80">
        <v>0</v>
      </c>
      <c r="D80">
        <v>0</v>
      </c>
      <c r="E80">
        <v>23</v>
      </c>
      <c r="F80">
        <v>26</v>
      </c>
      <c r="G80">
        <v>528.9</v>
      </c>
      <c r="H80">
        <v>15</v>
      </c>
      <c r="I80">
        <v>10.7</v>
      </c>
      <c r="J80">
        <v>41</v>
      </c>
      <c r="K80">
        <v>11.1</v>
      </c>
      <c r="L80" s="123">
        <v>41</v>
      </c>
      <c r="M80" t="s">
        <v>62</v>
      </c>
      <c r="N80">
        <v>25.4</v>
      </c>
      <c r="O80">
        <v>36</v>
      </c>
      <c r="P80">
        <v>22.5</v>
      </c>
      <c r="Q80">
        <v>38</v>
      </c>
      <c r="R80">
        <v>20.9</v>
      </c>
      <c r="S80">
        <v>43</v>
      </c>
      <c r="T80">
        <v>12.1</v>
      </c>
      <c r="U80">
        <v>40</v>
      </c>
      <c r="V80">
        <v>10.4</v>
      </c>
      <c r="W80">
        <v>44</v>
      </c>
      <c r="Z80" s="122"/>
      <c r="AQ80" s="123" t="s">
        <v>134</v>
      </c>
      <c r="AS80" t="s">
        <v>62</v>
      </c>
      <c r="AT80">
        <v>1276.9000000000001</v>
      </c>
      <c r="AU80">
        <v>1852.4</v>
      </c>
      <c r="AV80">
        <v>37914.800000000003</v>
      </c>
      <c r="AW80">
        <v>45256.4</v>
      </c>
    </row>
    <row r="81" spans="1:49" ht="15" x14ac:dyDescent="0.25">
      <c r="A81" s="119"/>
      <c r="L81" s="122"/>
      <c r="Z81" s="123" t="s">
        <v>105</v>
      </c>
      <c r="AA81" t="s">
        <v>62</v>
      </c>
      <c r="AB81">
        <v>1.1000000000000001</v>
      </c>
      <c r="AC81">
        <v>35</v>
      </c>
      <c r="AD81">
        <v>2</v>
      </c>
      <c r="AE81">
        <v>51</v>
      </c>
      <c r="AF81">
        <v>20.3</v>
      </c>
      <c r="AG81">
        <v>38</v>
      </c>
      <c r="AH81">
        <v>0</v>
      </c>
      <c r="AI81">
        <v>0</v>
      </c>
      <c r="AJ81">
        <v>10.8</v>
      </c>
      <c r="AK81">
        <v>44</v>
      </c>
      <c r="AQ81" s="123" t="s">
        <v>135</v>
      </c>
      <c r="AS81" t="s">
        <v>62</v>
      </c>
      <c r="AT81">
        <v>390.3</v>
      </c>
      <c r="AU81">
        <v>943.3</v>
      </c>
      <c r="AV81">
        <v>0</v>
      </c>
      <c r="AW81">
        <v>0</v>
      </c>
    </row>
    <row r="82" spans="1:49" ht="15" x14ac:dyDescent="0.25">
      <c r="A82" s="119" t="s">
        <v>79</v>
      </c>
      <c r="B82" t="s">
        <v>62</v>
      </c>
      <c r="C82">
        <v>0</v>
      </c>
      <c r="D82">
        <v>0</v>
      </c>
      <c r="E82">
        <v>10.6</v>
      </c>
      <c r="F82">
        <v>28</v>
      </c>
      <c r="G82">
        <v>9.6999999999999993</v>
      </c>
      <c r="H82">
        <v>46</v>
      </c>
      <c r="I82">
        <v>86.3</v>
      </c>
      <c r="J82">
        <v>28</v>
      </c>
      <c r="K82">
        <v>80.599999999999994</v>
      </c>
      <c r="L82" s="123">
        <v>30</v>
      </c>
      <c r="M82" t="s">
        <v>62</v>
      </c>
      <c r="N82">
        <v>22.3</v>
      </c>
      <c r="O82">
        <v>37</v>
      </c>
      <c r="P82">
        <v>39.1</v>
      </c>
      <c r="Q82">
        <v>34</v>
      </c>
      <c r="R82">
        <v>32.4</v>
      </c>
      <c r="S82">
        <v>37</v>
      </c>
      <c r="T82">
        <v>4.4000000000000004</v>
      </c>
      <c r="U82">
        <v>46</v>
      </c>
      <c r="V82">
        <v>11.4</v>
      </c>
      <c r="W82">
        <v>42</v>
      </c>
      <c r="Z82" s="122"/>
      <c r="AQ82" s="123" t="s">
        <v>284</v>
      </c>
      <c r="AR82" t="s">
        <v>256</v>
      </c>
      <c r="AS82" t="s">
        <v>162</v>
      </c>
      <c r="AT82" t="s">
        <v>61</v>
      </c>
      <c r="AU82" t="s">
        <v>168</v>
      </c>
      <c r="AV82" t="s">
        <v>188</v>
      </c>
      <c r="AW82" t="s">
        <v>240</v>
      </c>
    </row>
    <row r="83" spans="1:49" ht="15" x14ac:dyDescent="0.25">
      <c r="A83" s="119"/>
      <c r="L83" s="122"/>
      <c r="Z83" s="123" t="s">
        <v>87</v>
      </c>
      <c r="AA83" t="s">
        <v>62</v>
      </c>
      <c r="AB83">
        <v>1</v>
      </c>
      <c r="AC83">
        <v>36</v>
      </c>
      <c r="AD83">
        <v>12.4</v>
      </c>
      <c r="AE83">
        <v>43</v>
      </c>
      <c r="AF83">
        <v>22.3</v>
      </c>
      <c r="AG83">
        <v>37</v>
      </c>
      <c r="AH83">
        <v>39.1</v>
      </c>
      <c r="AI83">
        <v>34</v>
      </c>
      <c r="AJ83">
        <v>32.4</v>
      </c>
      <c r="AK83">
        <v>37</v>
      </c>
      <c r="AQ83" s="123" t="s">
        <v>291</v>
      </c>
      <c r="AR83" t="s">
        <v>292</v>
      </c>
      <c r="AS83" t="s">
        <v>62</v>
      </c>
      <c r="AT83">
        <v>1667.2</v>
      </c>
      <c r="AU83">
        <v>2795.7</v>
      </c>
      <c r="AV83">
        <v>37914.800000000003</v>
      </c>
      <c r="AW83">
        <v>45256.4</v>
      </c>
    </row>
    <row r="84" spans="1:49" ht="15" x14ac:dyDescent="0.25">
      <c r="A84" s="119" t="s">
        <v>86</v>
      </c>
      <c r="B84" t="s">
        <v>62</v>
      </c>
      <c r="C84">
        <v>0</v>
      </c>
      <c r="D84">
        <v>0</v>
      </c>
      <c r="E84">
        <v>10.1</v>
      </c>
      <c r="F84">
        <v>29</v>
      </c>
      <c r="G84">
        <v>19.600000000000001</v>
      </c>
      <c r="H84">
        <v>42</v>
      </c>
      <c r="I84">
        <v>29.6</v>
      </c>
      <c r="J84">
        <v>33</v>
      </c>
      <c r="K84">
        <v>86.9</v>
      </c>
      <c r="L84" s="123">
        <v>28</v>
      </c>
      <c r="M84" t="s">
        <v>62</v>
      </c>
      <c r="N84">
        <v>20.3</v>
      </c>
      <c r="O84">
        <v>38</v>
      </c>
      <c r="P84">
        <v>0</v>
      </c>
      <c r="Q84">
        <v>0</v>
      </c>
      <c r="R84">
        <v>10.8</v>
      </c>
      <c r="S84">
        <v>44</v>
      </c>
      <c r="T84">
        <v>4.7</v>
      </c>
      <c r="U84">
        <v>44</v>
      </c>
      <c r="V84">
        <v>10.5</v>
      </c>
      <c r="W84">
        <v>43</v>
      </c>
      <c r="Z84" s="122"/>
      <c r="AQ84" s="123" t="s">
        <v>293</v>
      </c>
      <c r="AR84" t="s">
        <v>294</v>
      </c>
      <c r="AS84" t="s">
        <v>62</v>
      </c>
      <c r="AT84">
        <v>0</v>
      </c>
      <c r="AU84">
        <v>0</v>
      </c>
      <c r="AV84">
        <v>0</v>
      </c>
      <c r="AW84">
        <v>0</v>
      </c>
    </row>
    <row r="85" spans="1:49" ht="15" x14ac:dyDescent="0.25">
      <c r="A85" s="119"/>
      <c r="L85" s="122"/>
      <c r="Z85" s="123" t="s">
        <v>66</v>
      </c>
      <c r="AA85" t="s">
        <v>62</v>
      </c>
      <c r="AB85">
        <v>0.5</v>
      </c>
      <c r="AC85">
        <v>37</v>
      </c>
      <c r="AD85">
        <v>0.4</v>
      </c>
      <c r="AE85">
        <v>52</v>
      </c>
      <c r="AF85">
        <v>0.4</v>
      </c>
      <c r="AG85">
        <v>46</v>
      </c>
      <c r="AH85">
        <v>0.5</v>
      </c>
      <c r="AI85">
        <v>50</v>
      </c>
      <c r="AJ85">
        <v>0.3</v>
      </c>
      <c r="AK85">
        <v>58</v>
      </c>
      <c r="AQ85" s="123" t="s">
        <v>138</v>
      </c>
      <c r="AS85" t="s">
        <v>62</v>
      </c>
      <c r="AT85">
        <v>0</v>
      </c>
      <c r="AU85">
        <v>0</v>
      </c>
      <c r="AV85">
        <v>0</v>
      </c>
      <c r="AW85">
        <v>0</v>
      </c>
    </row>
    <row r="86" spans="1:49" ht="15" x14ac:dyDescent="0.25">
      <c r="A86" s="119" t="s">
        <v>105</v>
      </c>
      <c r="B86" t="s">
        <v>62</v>
      </c>
      <c r="C86">
        <v>0</v>
      </c>
      <c r="D86">
        <v>0</v>
      </c>
      <c r="E86">
        <v>1.1000000000000001</v>
      </c>
      <c r="F86">
        <v>35</v>
      </c>
      <c r="G86">
        <v>2</v>
      </c>
      <c r="H86">
        <v>51</v>
      </c>
      <c r="I86">
        <v>20.3</v>
      </c>
      <c r="J86">
        <v>38</v>
      </c>
      <c r="K86">
        <v>0</v>
      </c>
      <c r="L86" s="123">
        <v>0</v>
      </c>
      <c r="M86" t="s">
        <v>62</v>
      </c>
      <c r="N86">
        <v>17.3</v>
      </c>
      <c r="O86">
        <v>39</v>
      </c>
      <c r="P86">
        <v>27.1</v>
      </c>
      <c r="Q86">
        <v>36</v>
      </c>
      <c r="R86">
        <v>216.2</v>
      </c>
      <c r="S86">
        <v>29</v>
      </c>
      <c r="T86">
        <v>248.8</v>
      </c>
      <c r="U86">
        <v>27</v>
      </c>
      <c r="V86">
        <v>162.5</v>
      </c>
      <c r="W86">
        <v>27</v>
      </c>
      <c r="Z86" s="122"/>
      <c r="AQ86" s="123" t="s">
        <v>284</v>
      </c>
      <c r="AR86" t="s">
        <v>256</v>
      </c>
      <c r="AS86" t="s">
        <v>162</v>
      </c>
      <c r="AT86" t="s">
        <v>61</v>
      </c>
      <c r="AU86" t="s">
        <v>168</v>
      </c>
      <c r="AV86" t="s">
        <v>188</v>
      </c>
      <c r="AW86" t="s">
        <v>240</v>
      </c>
    </row>
    <row r="87" spans="1:49" ht="15" x14ac:dyDescent="0.25">
      <c r="A87" s="119"/>
      <c r="L87" s="122"/>
      <c r="Z87" s="123" t="s">
        <v>65</v>
      </c>
      <c r="AA87" t="s">
        <v>62</v>
      </c>
      <c r="AB87">
        <v>0.2</v>
      </c>
      <c r="AC87">
        <v>38</v>
      </c>
      <c r="AD87">
        <v>353.5</v>
      </c>
      <c r="AE87">
        <v>20</v>
      </c>
      <c r="AF87">
        <v>3.1</v>
      </c>
      <c r="AG87">
        <v>43</v>
      </c>
      <c r="AH87">
        <v>5.4</v>
      </c>
      <c r="AI87">
        <v>46</v>
      </c>
      <c r="AJ87">
        <v>9.1</v>
      </c>
      <c r="AK87">
        <v>45</v>
      </c>
    </row>
    <row r="88" spans="1:49" ht="15" x14ac:dyDescent="0.25">
      <c r="A88" s="119" t="s">
        <v>87</v>
      </c>
      <c r="B88" t="s">
        <v>62</v>
      </c>
      <c r="C88">
        <v>0</v>
      </c>
      <c r="D88">
        <v>0</v>
      </c>
      <c r="E88">
        <v>1</v>
      </c>
      <c r="F88">
        <v>36</v>
      </c>
      <c r="G88">
        <v>12.4</v>
      </c>
      <c r="H88">
        <v>43</v>
      </c>
      <c r="I88">
        <v>22.3</v>
      </c>
      <c r="J88">
        <v>37</v>
      </c>
      <c r="K88">
        <v>39.1</v>
      </c>
      <c r="L88" s="123">
        <v>34</v>
      </c>
      <c r="M88" t="s">
        <v>62</v>
      </c>
      <c r="N88">
        <v>17</v>
      </c>
      <c r="O88">
        <v>40</v>
      </c>
      <c r="P88">
        <v>78.900000000000006</v>
      </c>
      <c r="Q88">
        <v>31</v>
      </c>
      <c r="R88">
        <v>43.1</v>
      </c>
      <c r="S88">
        <v>34</v>
      </c>
      <c r="T88">
        <v>174.6</v>
      </c>
      <c r="U88">
        <v>30</v>
      </c>
      <c r="V88">
        <v>9.5</v>
      </c>
      <c r="W88">
        <v>45</v>
      </c>
      <c r="Z88" s="122"/>
    </row>
    <row r="89" spans="1:49" ht="15" x14ac:dyDescent="0.25">
      <c r="A89" s="119"/>
      <c r="L89" s="122"/>
      <c r="Z89" s="123" t="s">
        <v>68</v>
      </c>
      <c r="AA89" t="s">
        <v>62</v>
      </c>
      <c r="AB89">
        <v>0.1</v>
      </c>
      <c r="AC89">
        <v>39</v>
      </c>
      <c r="AD89">
        <v>10.199999999999999</v>
      </c>
      <c r="AE89">
        <v>45</v>
      </c>
      <c r="AF89">
        <v>0.1</v>
      </c>
      <c r="AG89">
        <v>49</v>
      </c>
      <c r="AH89">
        <v>19.8</v>
      </c>
      <c r="AI89">
        <v>39</v>
      </c>
      <c r="AJ89">
        <v>417.8</v>
      </c>
      <c r="AK89">
        <v>22</v>
      </c>
    </row>
    <row r="90" spans="1:49" ht="15" x14ac:dyDescent="0.25">
      <c r="A90" s="119" t="s">
        <v>65</v>
      </c>
      <c r="B90" t="s">
        <v>62</v>
      </c>
      <c r="C90">
        <v>0</v>
      </c>
      <c r="D90">
        <v>0</v>
      </c>
      <c r="E90">
        <v>0.2</v>
      </c>
      <c r="F90">
        <v>38</v>
      </c>
      <c r="G90">
        <v>353.5</v>
      </c>
      <c r="H90">
        <v>20</v>
      </c>
      <c r="I90">
        <v>3.1</v>
      </c>
      <c r="J90">
        <v>43</v>
      </c>
      <c r="K90">
        <v>5.4</v>
      </c>
      <c r="L90" s="123">
        <v>46</v>
      </c>
      <c r="M90" t="s">
        <v>62</v>
      </c>
      <c r="N90">
        <v>10.7</v>
      </c>
      <c r="O90">
        <v>41</v>
      </c>
      <c r="P90">
        <v>11.1</v>
      </c>
      <c r="Q90">
        <v>41</v>
      </c>
      <c r="R90">
        <v>8.3000000000000007</v>
      </c>
      <c r="S90">
        <v>47</v>
      </c>
      <c r="T90">
        <v>111</v>
      </c>
      <c r="U90">
        <v>32</v>
      </c>
      <c r="V90">
        <v>888.5</v>
      </c>
      <c r="W90">
        <v>11</v>
      </c>
      <c r="Z90" s="122"/>
    </row>
    <row r="91" spans="1:49" ht="15" x14ac:dyDescent="0.25">
      <c r="A91" s="119"/>
      <c r="L91" s="122"/>
      <c r="Z91" s="123" t="s">
        <v>123</v>
      </c>
      <c r="AA91" t="s">
        <v>62</v>
      </c>
      <c r="AB91">
        <v>0.1</v>
      </c>
      <c r="AC91">
        <v>40</v>
      </c>
      <c r="AD91">
        <v>10.3</v>
      </c>
      <c r="AE91">
        <v>44</v>
      </c>
      <c r="AF91">
        <v>0</v>
      </c>
      <c r="AG91">
        <v>0</v>
      </c>
      <c r="AH91">
        <v>0</v>
      </c>
      <c r="AI91">
        <v>0</v>
      </c>
      <c r="AJ91">
        <v>38.6</v>
      </c>
      <c r="AK91">
        <v>35</v>
      </c>
    </row>
    <row r="92" spans="1:49" ht="15" x14ac:dyDescent="0.25">
      <c r="A92" s="119" t="s">
        <v>68</v>
      </c>
      <c r="B92" t="s">
        <v>62</v>
      </c>
      <c r="C92">
        <v>0</v>
      </c>
      <c r="D92">
        <v>0</v>
      </c>
      <c r="E92">
        <v>0.1</v>
      </c>
      <c r="F92">
        <v>39</v>
      </c>
      <c r="G92">
        <v>10.199999999999999</v>
      </c>
      <c r="H92">
        <v>45</v>
      </c>
      <c r="I92">
        <v>0.1</v>
      </c>
      <c r="J92">
        <v>49</v>
      </c>
      <c r="K92">
        <v>19.8</v>
      </c>
      <c r="L92" s="123">
        <v>39</v>
      </c>
      <c r="M92" t="s">
        <v>62</v>
      </c>
      <c r="N92">
        <v>9.8000000000000007</v>
      </c>
      <c r="O92">
        <v>42</v>
      </c>
      <c r="P92">
        <v>8.5</v>
      </c>
      <c r="Q92">
        <v>43</v>
      </c>
      <c r="R92">
        <v>9</v>
      </c>
      <c r="S92">
        <v>46</v>
      </c>
      <c r="T92">
        <v>11.8</v>
      </c>
      <c r="U92">
        <v>41</v>
      </c>
      <c r="V92">
        <v>23.7</v>
      </c>
      <c r="W92">
        <v>38</v>
      </c>
      <c r="Z92" s="122"/>
    </row>
    <row r="93" spans="1:49" ht="15" x14ac:dyDescent="0.25">
      <c r="A93" s="119"/>
      <c r="L93" s="122"/>
      <c r="Z93" s="123" t="s">
        <v>85</v>
      </c>
      <c r="AA93" t="s">
        <v>62</v>
      </c>
      <c r="AB93">
        <v>0</v>
      </c>
      <c r="AC93">
        <v>0</v>
      </c>
      <c r="AD93">
        <v>1035.4000000000001</v>
      </c>
      <c r="AE93">
        <v>6</v>
      </c>
      <c r="AF93">
        <v>755.1</v>
      </c>
      <c r="AG93">
        <v>13</v>
      </c>
      <c r="AH93">
        <v>501.1</v>
      </c>
      <c r="AI93">
        <v>14</v>
      </c>
      <c r="AJ93">
        <v>1336.4</v>
      </c>
      <c r="AK93">
        <v>9</v>
      </c>
    </row>
    <row r="94" spans="1:49" ht="15" x14ac:dyDescent="0.25">
      <c r="A94" s="119" t="s">
        <v>85</v>
      </c>
      <c r="B94" t="s">
        <v>62</v>
      </c>
      <c r="C94">
        <v>0</v>
      </c>
      <c r="D94">
        <v>0</v>
      </c>
      <c r="E94">
        <v>0</v>
      </c>
      <c r="F94">
        <v>0</v>
      </c>
      <c r="G94">
        <v>1035.4000000000001</v>
      </c>
      <c r="H94">
        <v>6</v>
      </c>
      <c r="I94">
        <v>755.1</v>
      </c>
      <c r="J94">
        <v>13</v>
      </c>
      <c r="K94">
        <v>501.1</v>
      </c>
      <c r="L94" s="123">
        <v>14</v>
      </c>
      <c r="M94" t="s">
        <v>62</v>
      </c>
      <c r="N94">
        <v>3.1</v>
      </c>
      <c r="O94">
        <v>43</v>
      </c>
      <c r="P94">
        <v>5.4</v>
      </c>
      <c r="Q94">
        <v>46</v>
      </c>
      <c r="R94">
        <v>9.1</v>
      </c>
      <c r="S94">
        <v>45</v>
      </c>
      <c r="T94">
        <v>4.5</v>
      </c>
      <c r="U94">
        <v>45</v>
      </c>
      <c r="V94">
        <v>6.2</v>
      </c>
      <c r="W94">
        <v>49</v>
      </c>
      <c r="Z94" s="122"/>
    </row>
    <row r="95" spans="1:49" ht="15" x14ac:dyDescent="0.25">
      <c r="A95" s="119"/>
      <c r="L95" s="122"/>
      <c r="Z95" s="123" t="s">
        <v>181</v>
      </c>
      <c r="AA95" t="s">
        <v>62</v>
      </c>
      <c r="AB95">
        <v>0</v>
      </c>
      <c r="AC95">
        <v>0</v>
      </c>
      <c r="AD95">
        <v>349.8</v>
      </c>
      <c r="AE95">
        <v>21</v>
      </c>
      <c r="AF95">
        <v>0</v>
      </c>
      <c r="AG95">
        <v>0</v>
      </c>
      <c r="AH95">
        <v>0</v>
      </c>
      <c r="AI95">
        <v>0</v>
      </c>
      <c r="AJ95">
        <v>0</v>
      </c>
      <c r="AK95">
        <v>0</v>
      </c>
    </row>
    <row r="96" spans="1:49" ht="15" x14ac:dyDescent="0.25">
      <c r="A96" s="119" t="s">
        <v>181</v>
      </c>
      <c r="B96" t="s">
        <v>62</v>
      </c>
      <c r="C96">
        <v>0</v>
      </c>
      <c r="D96">
        <v>0</v>
      </c>
      <c r="E96">
        <v>0</v>
      </c>
      <c r="F96">
        <v>0</v>
      </c>
      <c r="G96">
        <v>349.8</v>
      </c>
      <c r="H96">
        <v>21</v>
      </c>
      <c r="I96">
        <v>0</v>
      </c>
      <c r="J96">
        <v>0</v>
      </c>
      <c r="K96">
        <v>0</v>
      </c>
      <c r="L96" s="123">
        <v>0</v>
      </c>
      <c r="M96" t="s">
        <v>62</v>
      </c>
      <c r="N96">
        <v>2.5</v>
      </c>
      <c r="O96">
        <v>44</v>
      </c>
      <c r="P96">
        <v>4.5</v>
      </c>
      <c r="Q96">
        <v>47</v>
      </c>
      <c r="R96">
        <v>0.4</v>
      </c>
      <c r="S96">
        <v>55</v>
      </c>
      <c r="T96">
        <v>1.5</v>
      </c>
      <c r="U96">
        <v>49</v>
      </c>
      <c r="V96">
        <v>0</v>
      </c>
      <c r="W96">
        <v>0</v>
      </c>
      <c r="Z96" s="122"/>
    </row>
    <row r="97" spans="1:37" ht="15" x14ac:dyDescent="0.25">
      <c r="A97" s="119"/>
      <c r="L97" s="122"/>
      <c r="Z97" s="123" t="s">
        <v>81</v>
      </c>
      <c r="AA97" t="s">
        <v>62</v>
      </c>
      <c r="AB97">
        <v>0</v>
      </c>
      <c r="AC97">
        <v>0</v>
      </c>
      <c r="AD97">
        <v>190.2</v>
      </c>
      <c r="AE97">
        <v>25</v>
      </c>
      <c r="AF97">
        <v>54.2</v>
      </c>
      <c r="AG97">
        <v>30</v>
      </c>
      <c r="AH97">
        <v>137.9</v>
      </c>
      <c r="AI97">
        <v>24</v>
      </c>
      <c r="AJ97">
        <v>281.89999999999998</v>
      </c>
      <c r="AK97">
        <v>27</v>
      </c>
    </row>
    <row r="98" spans="1:37" ht="15" x14ac:dyDescent="0.25">
      <c r="A98" s="119" t="s">
        <v>81</v>
      </c>
      <c r="B98" t="s">
        <v>62</v>
      </c>
      <c r="C98">
        <v>0</v>
      </c>
      <c r="D98">
        <v>0</v>
      </c>
      <c r="E98">
        <v>0</v>
      </c>
      <c r="F98">
        <v>0</v>
      </c>
      <c r="G98">
        <v>190.2</v>
      </c>
      <c r="H98">
        <v>25</v>
      </c>
      <c r="I98">
        <v>54.2</v>
      </c>
      <c r="J98">
        <v>30</v>
      </c>
      <c r="K98">
        <v>137.9</v>
      </c>
      <c r="L98" s="123">
        <v>24</v>
      </c>
      <c r="M98" t="s">
        <v>62</v>
      </c>
      <c r="N98">
        <v>2.4</v>
      </c>
      <c r="O98">
        <v>45</v>
      </c>
      <c r="P98">
        <v>16.399999999999999</v>
      </c>
      <c r="Q98">
        <v>40</v>
      </c>
      <c r="R98">
        <v>0</v>
      </c>
      <c r="S98">
        <v>0</v>
      </c>
      <c r="T98">
        <v>0</v>
      </c>
      <c r="U98">
        <v>0</v>
      </c>
      <c r="V98">
        <v>60.5</v>
      </c>
      <c r="W98">
        <v>33</v>
      </c>
      <c r="Z98" s="122"/>
    </row>
    <row r="99" spans="1:37" ht="15" x14ac:dyDescent="0.25">
      <c r="A99" s="119"/>
      <c r="L99" s="122"/>
      <c r="Z99" s="123" t="s">
        <v>95</v>
      </c>
      <c r="AA99" t="s">
        <v>62</v>
      </c>
      <c r="AB99">
        <v>0</v>
      </c>
      <c r="AC99">
        <v>0</v>
      </c>
      <c r="AD99">
        <v>160.80000000000001</v>
      </c>
      <c r="AE99">
        <v>27</v>
      </c>
      <c r="AF99">
        <v>180.3</v>
      </c>
      <c r="AG99">
        <v>22</v>
      </c>
      <c r="AH99">
        <v>76.2</v>
      </c>
      <c r="AI99">
        <v>32</v>
      </c>
      <c r="AJ99">
        <v>528</v>
      </c>
      <c r="AK99">
        <v>18</v>
      </c>
    </row>
    <row r="100" spans="1:37" ht="15" x14ac:dyDescent="0.25">
      <c r="A100" s="119" t="s">
        <v>95</v>
      </c>
      <c r="B100" t="s">
        <v>62</v>
      </c>
      <c r="C100">
        <v>0</v>
      </c>
      <c r="D100">
        <v>0</v>
      </c>
      <c r="E100">
        <v>0</v>
      </c>
      <c r="F100">
        <v>0</v>
      </c>
      <c r="G100">
        <v>160.80000000000001</v>
      </c>
      <c r="H100">
        <v>27</v>
      </c>
      <c r="I100">
        <v>180.3</v>
      </c>
      <c r="J100">
        <v>22</v>
      </c>
      <c r="K100">
        <v>76.2</v>
      </c>
      <c r="L100" s="123">
        <v>32</v>
      </c>
      <c r="M100" t="s">
        <v>62</v>
      </c>
      <c r="N100">
        <v>0.4</v>
      </c>
      <c r="O100">
        <v>46</v>
      </c>
      <c r="P100">
        <v>0.5</v>
      </c>
      <c r="Q100">
        <v>50</v>
      </c>
      <c r="R100">
        <v>0.3</v>
      </c>
      <c r="S100">
        <v>58</v>
      </c>
      <c r="T100">
        <v>0.4</v>
      </c>
      <c r="U100">
        <v>52</v>
      </c>
      <c r="V100">
        <v>0.4</v>
      </c>
      <c r="W100">
        <v>52</v>
      </c>
      <c r="Z100" s="122"/>
    </row>
    <row r="101" spans="1:37" ht="15" x14ac:dyDescent="0.25">
      <c r="A101" s="119"/>
      <c r="L101" s="122"/>
      <c r="Z101" s="123" t="s">
        <v>229</v>
      </c>
      <c r="AA101" t="s">
        <v>62</v>
      </c>
      <c r="AB101">
        <v>0</v>
      </c>
      <c r="AC101">
        <v>0</v>
      </c>
      <c r="AD101">
        <v>113.8</v>
      </c>
      <c r="AE101">
        <v>29</v>
      </c>
      <c r="AF101">
        <v>0</v>
      </c>
      <c r="AG101">
        <v>0</v>
      </c>
      <c r="AH101">
        <v>0</v>
      </c>
      <c r="AI101">
        <v>0</v>
      </c>
      <c r="AJ101">
        <v>0</v>
      </c>
      <c r="AK101">
        <v>0</v>
      </c>
    </row>
    <row r="102" spans="1:37" ht="15" x14ac:dyDescent="0.25">
      <c r="A102" s="119" t="s">
        <v>229</v>
      </c>
      <c r="B102" t="s">
        <v>62</v>
      </c>
      <c r="C102">
        <v>0</v>
      </c>
      <c r="D102">
        <v>0</v>
      </c>
      <c r="E102">
        <v>0</v>
      </c>
      <c r="F102">
        <v>0</v>
      </c>
      <c r="G102">
        <v>113.8</v>
      </c>
      <c r="H102">
        <v>29</v>
      </c>
      <c r="I102">
        <v>0</v>
      </c>
      <c r="J102">
        <v>0</v>
      </c>
      <c r="K102">
        <v>0</v>
      </c>
      <c r="L102" s="123">
        <v>0</v>
      </c>
      <c r="M102" t="s">
        <v>62</v>
      </c>
      <c r="N102">
        <v>0.4</v>
      </c>
      <c r="O102">
        <v>47</v>
      </c>
      <c r="P102">
        <v>2.6</v>
      </c>
      <c r="Q102">
        <v>48</v>
      </c>
      <c r="R102">
        <v>0.4</v>
      </c>
      <c r="S102">
        <v>56</v>
      </c>
      <c r="T102">
        <v>0</v>
      </c>
      <c r="U102">
        <v>0</v>
      </c>
      <c r="V102">
        <v>0</v>
      </c>
      <c r="W102">
        <v>0</v>
      </c>
      <c r="Z102" s="122"/>
    </row>
    <row r="103" spans="1:37" ht="15" x14ac:dyDescent="0.25">
      <c r="A103" s="119"/>
      <c r="L103" s="122"/>
      <c r="Z103" s="123" t="s">
        <v>230</v>
      </c>
      <c r="AA103" t="s">
        <v>62</v>
      </c>
      <c r="AB103">
        <v>0</v>
      </c>
      <c r="AC103">
        <v>0</v>
      </c>
      <c r="AD103">
        <v>92.1</v>
      </c>
      <c r="AE103">
        <v>31</v>
      </c>
      <c r="AF103">
        <v>0</v>
      </c>
      <c r="AG103">
        <v>0</v>
      </c>
      <c r="AH103">
        <v>0</v>
      </c>
      <c r="AI103">
        <v>0</v>
      </c>
      <c r="AJ103">
        <v>0</v>
      </c>
      <c r="AK103">
        <v>0</v>
      </c>
    </row>
    <row r="104" spans="1:37" ht="15" x14ac:dyDescent="0.25">
      <c r="A104" s="119" t="s">
        <v>230</v>
      </c>
      <c r="B104" t="s">
        <v>62</v>
      </c>
      <c r="C104">
        <v>0</v>
      </c>
      <c r="D104">
        <v>0</v>
      </c>
      <c r="E104">
        <v>0</v>
      </c>
      <c r="F104">
        <v>0</v>
      </c>
      <c r="G104">
        <v>92.1</v>
      </c>
      <c r="H104">
        <v>31</v>
      </c>
      <c r="I104">
        <v>0</v>
      </c>
      <c r="J104">
        <v>0</v>
      </c>
      <c r="K104">
        <v>0</v>
      </c>
      <c r="L104" s="123">
        <v>0</v>
      </c>
      <c r="M104" t="s">
        <v>62</v>
      </c>
      <c r="N104">
        <v>0.2</v>
      </c>
      <c r="O104">
        <v>48</v>
      </c>
      <c r="P104">
        <v>0</v>
      </c>
      <c r="Q104">
        <v>0</v>
      </c>
      <c r="R104">
        <v>0.1</v>
      </c>
      <c r="S104">
        <v>59</v>
      </c>
      <c r="T104">
        <v>0</v>
      </c>
      <c r="U104">
        <v>0</v>
      </c>
      <c r="V104">
        <v>0</v>
      </c>
      <c r="W104">
        <v>0</v>
      </c>
      <c r="Z104" s="122"/>
    </row>
    <row r="105" spans="1:37" ht="15" x14ac:dyDescent="0.25">
      <c r="A105" s="119"/>
      <c r="L105" s="122"/>
      <c r="Z105" s="123" t="s">
        <v>77</v>
      </c>
      <c r="AA105" t="s">
        <v>62</v>
      </c>
      <c r="AB105">
        <v>0</v>
      </c>
      <c r="AC105">
        <v>0</v>
      </c>
      <c r="AD105">
        <v>67.5</v>
      </c>
      <c r="AE105">
        <v>33</v>
      </c>
      <c r="AF105">
        <v>0</v>
      </c>
      <c r="AG105">
        <v>0</v>
      </c>
      <c r="AH105">
        <v>64.3</v>
      </c>
      <c r="AI105">
        <v>33</v>
      </c>
      <c r="AJ105">
        <v>462.6</v>
      </c>
      <c r="AK105">
        <v>21</v>
      </c>
    </row>
    <row r="106" spans="1:37" ht="15" x14ac:dyDescent="0.25">
      <c r="A106" s="119" t="s">
        <v>77</v>
      </c>
      <c r="B106" t="s">
        <v>62</v>
      </c>
      <c r="C106">
        <v>0</v>
      </c>
      <c r="D106">
        <v>0</v>
      </c>
      <c r="E106">
        <v>0</v>
      </c>
      <c r="F106">
        <v>0</v>
      </c>
      <c r="G106">
        <v>67.5</v>
      </c>
      <c r="H106">
        <v>33</v>
      </c>
      <c r="I106">
        <v>0</v>
      </c>
      <c r="J106">
        <v>0</v>
      </c>
      <c r="K106">
        <v>64.3</v>
      </c>
      <c r="L106" s="123">
        <v>33</v>
      </c>
      <c r="M106" t="s">
        <v>62</v>
      </c>
      <c r="N106">
        <v>0.1</v>
      </c>
      <c r="O106">
        <v>49</v>
      </c>
      <c r="P106">
        <v>19.8</v>
      </c>
      <c r="Q106">
        <v>39</v>
      </c>
      <c r="R106">
        <v>417.8</v>
      </c>
      <c r="S106">
        <v>22</v>
      </c>
      <c r="T106">
        <v>349.9</v>
      </c>
      <c r="U106">
        <v>21</v>
      </c>
      <c r="V106">
        <v>0</v>
      </c>
      <c r="W106">
        <v>0</v>
      </c>
      <c r="Z106" s="122"/>
    </row>
    <row r="107" spans="1:37" ht="15" x14ac:dyDescent="0.25">
      <c r="A107" s="119"/>
      <c r="L107" s="122"/>
      <c r="Z107" s="123" t="s">
        <v>113</v>
      </c>
      <c r="AA107" t="s">
        <v>62</v>
      </c>
      <c r="AB107">
        <v>0</v>
      </c>
      <c r="AC107">
        <v>0</v>
      </c>
      <c r="AD107">
        <v>66.3</v>
      </c>
      <c r="AE107">
        <v>34</v>
      </c>
      <c r="AF107">
        <v>845.5</v>
      </c>
      <c r="AG107">
        <v>11</v>
      </c>
      <c r="AH107">
        <v>328.4</v>
      </c>
      <c r="AI107">
        <v>19</v>
      </c>
      <c r="AJ107">
        <v>371.2</v>
      </c>
      <c r="AK107">
        <v>25</v>
      </c>
    </row>
    <row r="108" spans="1:37" ht="15" x14ac:dyDescent="0.25">
      <c r="A108" s="119" t="s">
        <v>113</v>
      </c>
      <c r="B108" t="s">
        <v>62</v>
      </c>
      <c r="C108">
        <v>0</v>
      </c>
      <c r="D108">
        <v>0</v>
      </c>
      <c r="E108">
        <v>0</v>
      </c>
      <c r="F108">
        <v>0</v>
      </c>
      <c r="G108">
        <v>66.3</v>
      </c>
      <c r="H108">
        <v>34</v>
      </c>
      <c r="I108">
        <v>845.5</v>
      </c>
      <c r="J108">
        <v>11</v>
      </c>
      <c r="K108">
        <v>328.4</v>
      </c>
      <c r="L108" s="123">
        <v>19</v>
      </c>
      <c r="M108" t="s">
        <v>62</v>
      </c>
      <c r="N108">
        <v>0</v>
      </c>
      <c r="O108">
        <v>0</v>
      </c>
      <c r="P108">
        <v>219.6</v>
      </c>
      <c r="Q108">
        <v>21</v>
      </c>
      <c r="R108">
        <v>0</v>
      </c>
      <c r="S108">
        <v>0</v>
      </c>
      <c r="T108">
        <v>0</v>
      </c>
      <c r="U108">
        <v>0</v>
      </c>
      <c r="V108">
        <v>14.5</v>
      </c>
      <c r="W108">
        <v>40</v>
      </c>
      <c r="Z108" s="122"/>
    </row>
    <row r="109" spans="1:37" ht="15" x14ac:dyDescent="0.25">
      <c r="A109" s="119"/>
      <c r="L109" s="122"/>
      <c r="Z109" s="123" t="s">
        <v>129</v>
      </c>
      <c r="AA109" t="s">
        <v>62</v>
      </c>
      <c r="AB109">
        <v>0</v>
      </c>
      <c r="AC109">
        <v>0</v>
      </c>
      <c r="AD109">
        <v>62.8</v>
      </c>
      <c r="AE109">
        <v>35</v>
      </c>
      <c r="AF109">
        <v>57.3</v>
      </c>
      <c r="AG109">
        <v>29</v>
      </c>
      <c r="AH109">
        <v>0</v>
      </c>
      <c r="AI109">
        <v>0</v>
      </c>
      <c r="AJ109">
        <v>0.4</v>
      </c>
      <c r="AK109">
        <v>57</v>
      </c>
    </row>
    <row r="110" spans="1:37" ht="15" x14ac:dyDescent="0.25">
      <c r="A110" s="119" t="s">
        <v>129</v>
      </c>
      <c r="B110" t="s">
        <v>62</v>
      </c>
      <c r="C110">
        <v>0</v>
      </c>
      <c r="D110">
        <v>0</v>
      </c>
      <c r="E110">
        <v>0</v>
      </c>
      <c r="F110">
        <v>0</v>
      </c>
      <c r="G110">
        <v>62.8</v>
      </c>
      <c r="H110">
        <v>35</v>
      </c>
      <c r="I110">
        <v>57.3</v>
      </c>
      <c r="J110">
        <v>29</v>
      </c>
      <c r="K110">
        <v>0</v>
      </c>
      <c r="L110" s="123">
        <v>0</v>
      </c>
      <c r="M110" t="s">
        <v>62</v>
      </c>
      <c r="N110">
        <v>0</v>
      </c>
      <c r="O110">
        <v>0</v>
      </c>
      <c r="P110">
        <v>64.3</v>
      </c>
      <c r="Q110">
        <v>33</v>
      </c>
      <c r="R110">
        <v>462.5</v>
      </c>
      <c r="S110">
        <v>21</v>
      </c>
      <c r="T110">
        <v>0</v>
      </c>
      <c r="U110">
        <v>0</v>
      </c>
      <c r="V110">
        <v>0</v>
      </c>
      <c r="W110">
        <v>0</v>
      </c>
      <c r="Z110" s="122"/>
    </row>
    <row r="111" spans="1:37" ht="15" x14ac:dyDescent="0.25">
      <c r="A111" s="119"/>
      <c r="L111" s="122"/>
      <c r="Z111" s="123" t="s">
        <v>92</v>
      </c>
      <c r="AA111" t="s">
        <v>62</v>
      </c>
      <c r="AB111">
        <v>0</v>
      </c>
      <c r="AC111">
        <v>0</v>
      </c>
      <c r="AD111">
        <v>52.5</v>
      </c>
      <c r="AE111">
        <v>36</v>
      </c>
      <c r="AF111">
        <v>17.3</v>
      </c>
      <c r="AG111">
        <v>39</v>
      </c>
      <c r="AH111">
        <v>27.1</v>
      </c>
      <c r="AI111">
        <v>36</v>
      </c>
      <c r="AJ111">
        <v>216.2</v>
      </c>
      <c r="AK111">
        <v>29</v>
      </c>
    </row>
    <row r="112" spans="1:37" ht="15" x14ac:dyDescent="0.25">
      <c r="A112" s="119" t="s">
        <v>92</v>
      </c>
      <c r="B112" t="s">
        <v>62</v>
      </c>
      <c r="C112">
        <v>0</v>
      </c>
      <c r="D112">
        <v>0</v>
      </c>
      <c r="E112">
        <v>0</v>
      </c>
      <c r="F112">
        <v>0</v>
      </c>
      <c r="G112">
        <v>52.5</v>
      </c>
      <c r="H112">
        <v>36</v>
      </c>
      <c r="I112">
        <v>17.3</v>
      </c>
      <c r="J112">
        <v>39</v>
      </c>
      <c r="K112">
        <v>27.1</v>
      </c>
      <c r="L112" s="123">
        <v>36</v>
      </c>
      <c r="M112" t="s">
        <v>62</v>
      </c>
      <c r="N112">
        <v>0</v>
      </c>
      <c r="O112">
        <v>0</v>
      </c>
      <c r="P112">
        <v>8.5</v>
      </c>
      <c r="Q112">
        <v>42</v>
      </c>
      <c r="R112">
        <v>0</v>
      </c>
      <c r="S112">
        <v>0</v>
      </c>
      <c r="T112">
        <v>0</v>
      </c>
      <c r="U112">
        <v>0</v>
      </c>
      <c r="V112">
        <v>0</v>
      </c>
      <c r="W112">
        <v>0</v>
      </c>
      <c r="Z112" s="122"/>
    </row>
    <row r="113" spans="1:37" ht="15" x14ac:dyDescent="0.25">
      <c r="A113" s="119"/>
      <c r="L113" s="122"/>
      <c r="Z113" s="123" t="s">
        <v>89</v>
      </c>
      <c r="AA113" t="s">
        <v>62</v>
      </c>
      <c r="AB113">
        <v>0</v>
      </c>
      <c r="AC113">
        <v>0</v>
      </c>
      <c r="AD113">
        <v>44.7</v>
      </c>
      <c r="AE113">
        <v>37</v>
      </c>
      <c r="AF113">
        <v>90.9</v>
      </c>
      <c r="AG113">
        <v>26</v>
      </c>
      <c r="AH113">
        <v>127</v>
      </c>
      <c r="AI113">
        <v>25</v>
      </c>
      <c r="AJ113">
        <v>1113.3</v>
      </c>
      <c r="AK113">
        <v>10</v>
      </c>
    </row>
    <row r="114" spans="1:37" ht="15" x14ac:dyDescent="0.25">
      <c r="A114" s="119" t="s">
        <v>89</v>
      </c>
      <c r="B114" t="s">
        <v>62</v>
      </c>
      <c r="C114">
        <v>0</v>
      </c>
      <c r="D114">
        <v>0</v>
      </c>
      <c r="E114">
        <v>0</v>
      </c>
      <c r="F114">
        <v>0</v>
      </c>
      <c r="G114">
        <v>44.7</v>
      </c>
      <c r="H114">
        <v>37</v>
      </c>
      <c r="I114">
        <v>90.9</v>
      </c>
      <c r="J114">
        <v>26</v>
      </c>
      <c r="K114">
        <v>127</v>
      </c>
      <c r="L114" s="123">
        <v>25</v>
      </c>
      <c r="M114" t="s">
        <v>62</v>
      </c>
      <c r="N114">
        <v>0</v>
      </c>
      <c r="O114">
        <v>0</v>
      </c>
      <c r="P114">
        <v>7.7</v>
      </c>
      <c r="Q114">
        <v>45</v>
      </c>
      <c r="R114">
        <v>7.2</v>
      </c>
      <c r="S114">
        <v>51</v>
      </c>
      <c r="T114">
        <v>0</v>
      </c>
      <c r="U114">
        <v>0</v>
      </c>
      <c r="V114">
        <v>0</v>
      </c>
      <c r="W114">
        <v>0</v>
      </c>
      <c r="Z114" s="122"/>
    </row>
    <row r="115" spans="1:37" ht="15" x14ac:dyDescent="0.25">
      <c r="A115" s="119"/>
      <c r="L115" s="122"/>
      <c r="Z115" s="123" t="s">
        <v>232</v>
      </c>
      <c r="AA115" t="s">
        <v>62</v>
      </c>
      <c r="AB115">
        <v>0</v>
      </c>
      <c r="AC115">
        <v>0</v>
      </c>
      <c r="AD115">
        <v>28.3</v>
      </c>
      <c r="AE115">
        <v>40</v>
      </c>
      <c r="AF115">
        <v>0</v>
      </c>
      <c r="AG115">
        <v>0</v>
      </c>
      <c r="AH115">
        <v>0</v>
      </c>
      <c r="AI115">
        <v>0</v>
      </c>
      <c r="AJ115">
        <v>0</v>
      </c>
      <c r="AK115">
        <v>0</v>
      </c>
    </row>
    <row r="116" spans="1:37" ht="15" x14ac:dyDescent="0.25">
      <c r="A116" s="119" t="s">
        <v>84</v>
      </c>
      <c r="B116" t="s">
        <v>62</v>
      </c>
      <c r="C116">
        <v>0</v>
      </c>
      <c r="D116">
        <v>0</v>
      </c>
      <c r="E116">
        <v>0</v>
      </c>
      <c r="F116">
        <v>0</v>
      </c>
      <c r="G116">
        <v>6.1</v>
      </c>
      <c r="H116">
        <v>50</v>
      </c>
      <c r="I116">
        <v>2.5</v>
      </c>
      <c r="J116">
        <v>44</v>
      </c>
      <c r="K116">
        <v>4.5</v>
      </c>
      <c r="L116" s="123">
        <v>47</v>
      </c>
      <c r="M116" t="s">
        <v>62</v>
      </c>
      <c r="N116">
        <v>0</v>
      </c>
      <c r="O116">
        <v>0</v>
      </c>
      <c r="P116">
        <v>2.1</v>
      </c>
      <c r="Q116">
        <v>49</v>
      </c>
      <c r="R116">
        <v>0</v>
      </c>
      <c r="S116">
        <v>0</v>
      </c>
      <c r="T116">
        <v>0</v>
      </c>
      <c r="U116">
        <v>0</v>
      </c>
      <c r="V116">
        <v>0</v>
      </c>
      <c r="W116">
        <v>0</v>
      </c>
      <c r="Z116" s="122"/>
    </row>
    <row r="117" spans="1:37" ht="15" x14ac:dyDescent="0.25">
      <c r="A117" s="119"/>
      <c r="L117" s="122"/>
      <c r="Z117" s="123" t="s">
        <v>84</v>
      </c>
      <c r="AA117" t="s">
        <v>62</v>
      </c>
      <c r="AB117">
        <v>0</v>
      </c>
      <c r="AC117">
        <v>0</v>
      </c>
      <c r="AD117">
        <v>6.1</v>
      </c>
      <c r="AE117">
        <v>50</v>
      </c>
      <c r="AF117">
        <v>2.5</v>
      </c>
      <c r="AG117">
        <v>44</v>
      </c>
      <c r="AH117">
        <v>4.5</v>
      </c>
      <c r="AI117">
        <v>47</v>
      </c>
      <c r="AJ117">
        <v>0.4</v>
      </c>
      <c r="AK117">
        <v>55</v>
      </c>
    </row>
    <row r="118" spans="1:37" ht="15" x14ac:dyDescent="0.25">
      <c r="A118" s="119" t="s">
        <v>100</v>
      </c>
      <c r="B118" t="s">
        <v>62</v>
      </c>
      <c r="C118">
        <v>0</v>
      </c>
      <c r="D118">
        <v>0</v>
      </c>
      <c r="E118">
        <v>0</v>
      </c>
      <c r="F118">
        <v>0</v>
      </c>
      <c r="G118">
        <v>0</v>
      </c>
      <c r="H118">
        <v>0</v>
      </c>
      <c r="I118">
        <v>27.6</v>
      </c>
      <c r="J118">
        <v>34</v>
      </c>
      <c r="K118">
        <v>84.6</v>
      </c>
      <c r="L118" s="123">
        <v>29</v>
      </c>
      <c r="M118" t="s">
        <v>62</v>
      </c>
      <c r="N118">
        <v>0</v>
      </c>
      <c r="O118">
        <v>0</v>
      </c>
      <c r="P118">
        <v>0</v>
      </c>
      <c r="Q118">
        <v>0</v>
      </c>
      <c r="R118">
        <v>44.5</v>
      </c>
      <c r="S118">
        <v>33</v>
      </c>
      <c r="T118">
        <v>0</v>
      </c>
      <c r="U118">
        <v>0</v>
      </c>
      <c r="V118">
        <v>20.100000000000001</v>
      </c>
      <c r="W118">
        <v>39</v>
      </c>
      <c r="Z118" s="122"/>
    </row>
    <row r="119" spans="1:37" ht="15" x14ac:dyDescent="0.25">
      <c r="A119" s="119"/>
      <c r="L119" s="122"/>
      <c r="Z119" s="123" t="s">
        <v>100</v>
      </c>
      <c r="AA119" t="s">
        <v>62</v>
      </c>
      <c r="AB119">
        <v>0</v>
      </c>
      <c r="AC119">
        <v>0</v>
      </c>
      <c r="AD119">
        <v>0</v>
      </c>
      <c r="AE119">
        <v>0</v>
      </c>
      <c r="AF119">
        <v>27.6</v>
      </c>
      <c r="AG119">
        <v>34</v>
      </c>
      <c r="AH119">
        <v>84.6</v>
      </c>
      <c r="AI119">
        <v>29</v>
      </c>
      <c r="AJ119">
        <v>408.3</v>
      </c>
      <c r="AK119">
        <v>23</v>
      </c>
    </row>
    <row r="120" spans="1:37" ht="15" x14ac:dyDescent="0.25">
      <c r="A120" s="119" t="s">
        <v>133</v>
      </c>
      <c r="B120" t="s">
        <v>62</v>
      </c>
      <c r="C120">
        <v>0</v>
      </c>
      <c r="D120">
        <v>0</v>
      </c>
      <c r="E120">
        <v>0</v>
      </c>
      <c r="F120">
        <v>0</v>
      </c>
      <c r="G120">
        <v>0</v>
      </c>
      <c r="H120">
        <v>0</v>
      </c>
      <c r="I120">
        <v>0.2</v>
      </c>
      <c r="J120">
        <v>48</v>
      </c>
      <c r="K120">
        <v>0</v>
      </c>
      <c r="L120" s="123">
        <v>0</v>
      </c>
      <c r="M120" t="s">
        <v>62</v>
      </c>
      <c r="N120">
        <v>0</v>
      </c>
      <c r="O120">
        <v>0</v>
      </c>
      <c r="P120">
        <v>0</v>
      </c>
      <c r="Q120">
        <v>0</v>
      </c>
      <c r="R120">
        <v>38.6</v>
      </c>
      <c r="S120">
        <v>35</v>
      </c>
      <c r="T120">
        <v>33.5</v>
      </c>
      <c r="U120">
        <v>36</v>
      </c>
      <c r="V120">
        <v>0</v>
      </c>
      <c r="W120">
        <v>0</v>
      </c>
      <c r="Z120" s="122"/>
    </row>
    <row r="121" spans="1:37" ht="15" x14ac:dyDescent="0.25">
      <c r="A121" s="119"/>
      <c r="L121" s="122"/>
      <c r="Z121" s="123" t="s">
        <v>124</v>
      </c>
      <c r="AA121" t="s">
        <v>62</v>
      </c>
      <c r="AB121">
        <v>0</v>
      </c>
      <c r="AC121">
        <v>0</v>
      </c>
      <c r="AD121">
        <v>0</v>
      </c>
      <c r="AE121">
        <v>0</v>
      </c>
      <c r="AF121">
        <v>0.4</v>
      </c>
      <c r="AG121">
        <v>47</v>
      </c>
      <c r="AH121">
        <v>2.6</v>
      </c>
      <c r="AI121">
        <v>48</v>
      </c>
      <c r="AJ121">
        <v>0.4</v>
      </c>
      <c r="AK121">
        <v>56</v>
      </c>
    </row>
    <row r="122" spans="1:37" ht="15" x14ac:dyDescent="0.25">
      <c r="A122" s="119" t="s">
        <v>166</v>
      </c>
      <c r="B122" t="s">
        <v>62</v>
      </c>
      <c r="C122">
        <v>0</v>
      </c>
      <c r="D122">
        <v>0</v>
      </c>
      <c r="E122">
        <v>0</v>
      </c>
      <c r="F122">
        <v>0</v>
      </c>
      <c r="G122">
        <v>0</v>
      </c>
      <c r="H122">
        <v>0</v>
      </c>
      <c r="I122">
        <v>0</v>
      </c>
      <c r="J122">
        <v>0</v>
      </c>
      <c r="K122">
        <v>219.6</v>
      </c>
      <c r="L122" s="123">
        <v>21</v>
      </c>
      <c r="M122" t="s">
        <v>62</v>
      </c>
      <c r="N122">
        <v>0</v>
      </c>
      <c r="O122">
        <v>0</v>
      </c>
      <c r="P122">
        <v>0</v>
      </c>
      <c r="Q122">
        <v>0</v>
      </c>
      <c r="R122">
        <v>23.9</v>
      </c>
      <c r="S122">
        <v>40</v>
      </c>
      <c r="T122">
        <v>0</v>
      </c>
      <c r="U122">
        <v>0</v>
      </c>
      <c r="V122">
        <v>9.1</v>
      </c>
      <c r="W122">
        <v>47</v>
      </c>
      <c r="Z122" s="122"/>
    </row>
    <row r="123" spans="1:37" ht="15" x14ac:dyDescent="0.25">
      <c r="A123" s="119"/>
      <c r="L123" s="122"/>
      <c r="Z123" s="123" t="s">
        <v>133</v>
      </c>
      <c r="AA123" t="s">
        <v>62</v>
      </c>
      <c r="AB123">
        <v>0</v>
      </c>
      <c r="AC123">
        <v>0</v>
      </c>
      <c r="AD123">
        <v>0</v>
      </c>
      <c r="AE123">
        <v>0</v>
      </c>
      <c r="AF123">
        <v>0.2</v>
      </c>
      <c r="AG123">
        <v>48</v>
      </c>
      <c r="AH123">
        <v>0</v>
      </c>
      <c r="AI123">
        <v>0</v>
      </c>
      <c r="AJ123">
        <v>0.1</v>
      </c>
      <c r="AK123">
        <v>59</v>
      </c>
    </row>
    <row r="124" spans="1:37" ht="15" x14ac:dyDescent="0.25">
      <c r="A124" s="119" t="s">
        <v>164</v>
      </c>
      <c r="B124" t="s">
        <v>62</v>
      </c>
      <c r="C124">
        <v>0</v>
      </c>
      <c r="D124">
        <v>0</v>
      </c>
      <c r="E124">
        <v>0</v>
      </c>
      <c r="F124">
        <v>0</v>
      </c>
      <c r="G124">
        <v>0</v>
      </c>
      <c r="H124">
        <v>0</v>
      </c>
      <c r="I124">
        <v>0</v>
      </c>
      <c r="J124">
        <v>0</v>
      </c>
      <c r="K124">
        <v>8.5</v>
      </c>
      <c r="L124" s="123">
        <v>42</v>
      </c>
      <c r="M124" t="s">
        <v>62</v>
      </c>
      <c r="N124">
        <v>0</v>
      </c>
      <c r="O124">
        <v>0</v>
      </c>
      <c r="P124">
        <v>0</v>
      </c>
      <c r="Q124">
        <v>0</v>
      </c>
      <c r="R124">
        <v>23.1</v>
      </c>
      <c r="S124">
        <v>41</v>
      </c>
      <c r="T124">
        <v>0</v>
      </c>
      <c r="U124">
        <v>0</v>
      </c>
      <c r="V124">
        <v>13.2</v>
      </c>
      <c r="W124">
        <v>41</v>
      </c>
      <c r="Z124" s="122"/>
    </row>
    <row r="125" spans="1:37" ht="15" x14ac:dyDescent="0.25">
      <c r="A125" s="119"/>
      <c r="L125" s="122"/>
      <c r="Z125" s="123" t="s">
        <v>166</v>
      </c>
      <c r="AA125" t="s">
        <v>62</v>
      </c>
      <c r="AB125">
        <v>0</v>
      </c>
      <c r="AC125">
        <v>0</v>
      </c>
      <c r="AD125">
        <v>0</v>
      </c>
      <c r="AE125">
        <v>0</v>
      </c>
      <c r="AF125">
        <v>0</v>
      </c>
      <c r="AG125">
        <v>0</v>
      </c>
      <c r="AH125">
        <v>219.6</v>
      </c>
      <c r="AI125">
        <v>21</v>
      </c>
      <c r="AJ125">
        <v>0</v>
      </c>
      <c r="AK125">
        <v>0</v>
      </c>
    </row>
    <row r="126" spans="1:37" ht="15" x14ac:dyDescent="0.25">
      <c r="A126" s="119" t="s">
        <v>147</v>
      </c>
      <c r="B126" t="s">
        <v>62</v>
      </c>
      <c r="C126">
        <v>0</v>
      </c>
      <c r="D126">
        <v>0</v>
      </c>
      <c r="E126">
        <v>0</v>
      </c>
      <c r="F126">
        <v>0</v>
      </c>
      <c r="G126">
        <v>0</v>
      </c>
      <c r="H126">
        <v>0</v>
      </c>
      <c r="I126">
        <v>0</v>
      </c>
      <c r="J126">
        <v>0</v>
      </c>
      <c r="K126">
        <v>7.7</v>
      </c>
      <c r="L126" s="123">
        <v>45</v>
      </c>
      <c r="M126" t="s">
        <v>62</v>
      </c>
      <c r="N126">
        <v>0</v>
      </c>
      <c r="O126">
        <v>0</v>
      </c>
      <c r="P126">
        <v>0</v>
      </c>
      <c r="Q126">
        <v>0</v>
      </c>
      <c r="R126">
        <v>22.6</v>
      </c>
      <c r="S126">
        <v>42</v>
      </c>
      <c r="T126">
        <v>0</v>
      </c>
      <c r="U126">
        <v>0</v>
      </c>
      <c r="V126">
        <v>0</v>
      </c>
      <c r="W126">
        <v>0</v>
      </c>
      <c r="Z126" s="122"/>
    </row>
    <row r="127" spans="1:37" ht="15" x14ac:dyDescent="0.25">
      <c r="A127" s="119"/>
      <c r="L127" s="122"/>
      <c r="Z127" s="123" t="s">
        <v>164</v>
      </c>
      <c r="AA127" t="s">
        <v>62</v>
      </c>
      <c r="AB127">
        <v>0</v>
      </c>
      <c r="AC127">
        <v>0</v>
      </c>
      <c r="AD127">
        <v>0</v>
      </c>
      <c r="AE127">
        <v>0</v>
      </c>
      <c r="AF127">
        <v>0</v>
      </c>
      <c r="AG127">
        <v>0</v>
      </c>
      <c r="AH127">
        <v>8.5</v>
      </c>
      <c r="AI127">
        <v>42</v>
      </c>
      <c r="AJ127">
        <v>0</v>
      </c>
      <c r="AK127">
        <v>0</v>
      </c>
    </row>
    <row r="128" spans="1:37" ht="15" x14ac:dyDescent="0.25">
      <c r="A128" s="119" t="s">
        <v>154</v>
      </c>
      <c r="B128" t="s">
        <v>62</v>
      </c>
      <c r="C128">
        <v>0</v>
      </c>
      <c r="D128">
        <v>0</v>
      </c>
      <c r="E128">
        <v>0</v>
      </c>
      <c r="F128">
        <v>0</v>
      </c>
      <c r="G128">
        <v>0</v>
      </c>
      <c r="H128">
        <v>0</v>
      </c>
      <c r="I128">
        <v>0</v>
      </c>
      <c r="J128">
        <v>0</v>
      </c>
      <c r="K128">
        <v>2.1</v>
      </c>
      <c r="L128" s="123">
        <v>49</v>
      </c>
      <c r="M128" t="s">
        <v>62</v>
      </c>
      <c r="N128">
        <v>0</v>
      </c>
      <c r="O128">
        <v>0</v>
      </c>
      <c r="P128">
        <v>0</v>
      </c>
      <c r="Q128">
        <v>0</v>
      </c>
      <c r="R128">
        <v>8.1</v>
      </c>
      <c r="S128">
        <v>48</v>
      </c>
      <c r="T128">
        <v>0</v>
      </c>
      <c r="U128">
        <v>0</v>
      </c>
      <c r="V128">
        <v>0</v>
      </c>
      <c r="W128">
        <v>0</v>
      </c>
      <c r="Z128" s="122"/>
    </row>
    <row r="129" spans="1:37" ht="15" x14ac:dyDescent="0.25">
      <c r="A129" s="119"/>
      <c r="L129" s="122"/>
      <c r="Z129" s="123" t="s">
        <v>147</v>
      </c>
      <c r="AA129" t="s">
        <v>62</v>
      </c>
      <c r="AB129">
        <v>0</v>
      </c>
      <c r="AC129">
        <v>0</v>
      </c>
      <c r="AD129">
        <v>0</v>
      </c>
      <c r="AE129">
        <v>0</v>
      </c>
      <c r="AF129">
        <v>0</v>
      </c>
      <c r="AG129">
        <v>0</v>
      </c>
      <c r="AH129">
        <v>7.7</v>
      </c>
      <c r="AI129">
        <v>45</v>
      </c>
      <c r="AJ129">
        <v>7.2</v>
      </c>
      <c r="AK129">
        <v>51</v>
      </c>
    </row>
    <row r="130" spans="1:37" ht="15" x14ac:dyDescent="0.25">
      <c r="A130" s="119" t="s">
        <v>61</v>
      </c>
      <c r="B130" t="s">
        <v>197</v>
      </c>
      <c r="C130" t="s">
        <v>167</v>
      </c>
      <c r="D130" t="s">
        <v>177</v>
      </c>
      <c r="E130" t="s">
        <v>167</v>
      </c>
      <c r="F130" t="s">
        <v>177</v>
      </c>
      <c r="G130" t="s">
        <v>167</v>
      </c>
      <c r="H130" t="s">
        <v>177</v>
      </c>
      <c r="I130" t="s">
        <v>167</v>
      </c>
      <c r="J130" t="s">
        <v>198</v>
      </c>
      <c r="K130" t="s">
        <v>61</v>
      </c>
      <c r="L130" s="123" t="s">
        <v>177</v>
      </c>
      <c r="M130" t="s">
        <v>62</v>
      </c>
      <c r="N130">
        <v>0</v>
      </c>
      <c r="O130">
        <v>0</v>
      </c>
      <c r="P130">
        <v>0</v>
      </c>
      <c r="Q130">
        <v>0</v>
      </c>
      <c r="R130">
        <v>7.9</v>
      </c>
      <c r="S130">
        <v>50</v>
      </c>
      <c r="T130">
        <v>0</v>
      </c>
      <c r="U130">
        <v>0</v>
      </c>
      <c r="V130">
        <v>0</v>
      </c>
      <c r="W130">
        <v>0</v>
      </c>
      <c r="Z130" s="122"/>
    </row>
    <row r="131" spans="1:37" ht="15" x14ac:dyDescent="0.25">
      <c r="A131" s="119" t="s">
        <v>182</v>
      </c>
      <c r="B131" t="s">
        <v>62</v>
      </c>
      <c r="C131">
        <v>18044.2</v>
      </c>
      <c r="E131">
        <v>37914.800000000003</v>
      </c>
      <c r="G131">
        <v>45256.4</v>
      </c>
      <c r="I131">
        <v>48345.4</v>
      </c>
      <c r="K131">
        <v>45213.9</v>
      </c>
      <c r="L131" s="122"/>
      <c r="Z131" s="123" t="s">
        <v>154</v>
      </c>
      <c r="AA131" t="s">
        <v>62</v>
      </c>
      <c r="AB131">
        <v>0</v>
      </c>
      <c r="AC131">
        <v>0</v>
      </c>
      <c r="AD131">
        <v>0</v>
      </c>
      <c r="AE131">
        <v>0</v>
      </c>
      <c r="AF131">
        <v>0</v>
      </c>
      <c r="AG131">
        <v>0</v>
      </c>
      <c r="AH131">
        <v>2.1</v>
      </c>
      <c r="AI131">
        <v>49</v>
      </c>
      <c r="AJ131">
        <v>0</v>
      </c>
      <c r="AK131">
        <v>0</v>
      </c>
    </row>
    <row r="132" spans="1:37" ht="15" x14ac:dyDescent="0.25">
      <c r="L132" s="123" t="s">
        <v>120</v>
      </c>
      <c r="M132" t="s">
        <v>62</v>
      </c>
      <c r="N132">
        <v>0</v>
      </c>
      <c r="O132">
        <v>0</v>
      </c>
      <c r="P132">
        <v>0</v>
      </c>
      <c r="Q132">
        <v>0</v>
      </c>
      <c r="R132">
        <v>5.9</v>
      </c>
      <c r="S132">
        <v>52</v>
      </c>
      <c r="T132">
        <v>0</v>
      </c>
      <c r="U132">
        <v>0</v>
      </c>
      <c r="V132">
        <v>0</v>
      </c>
      <c r="W132">
        <v>0</v>
      </c>
      <c r="Z132" s="122"/>
    </row>
    <row r="133" spans="1:37" ht="15" x14ac:dyDescent="0.25">
      <c r="L133" s="122"/>
      <c r="Z133" s="123" t="s">
        <v>128</v>
      </c>
      <c r="AA133" t="s">
        <v>62</v>
      </c>
      <c r="AB133">
        <v>0</v>
      </c>
      <c r="AC133">
        <v>0</v>
      </c>
      <c r="AD133">
        <v>0</v>
      </c>
      <c r="AE133">
        <v>0</v>
      </c>
      <c r="AF133">
        <v>0</v>
      </c>
      <c r="AG133">
        <v>0</v>
      </c>
      <c r="AH133">
        <v>0</v>
      </c>
      <c r="AI133">
        <v>0</v>
      </c>
      <c r="AJ133">
        <v>44.5</v>
      </c>
      <c r="AK133">
        <v>33</v>
      </c>
    </row>
    <row r="134" spans="1:37" ht="15" x14ac:dyDescent="0.25">
      <c r="L134" s="123" t="s">
        <v>121</v>
      </c>
      <c r="M134" t="s">
        <v>62</v>
      </c>
      <c r="N134">
        <v>0</v>
      </c>
      <c r="O134">
        <v>0</v>
      </c>
      <c r="P134">
        <v>0</v>
      </c>
      <c r="Q134">
        <v>0</v>
      </c>
      <c r="R134">
        <v>3.6</v>
      </c>
      <c r="S134">
        <v>53</v>
      </c>
      <c r="T134">
        <v>7.1</v>
      </c>
      <c r="U134">
        <v>42</v>
      </c>
      <c r="V134">
        <v>5.5</v>
      </c>
      <c r="W134">
        <v>51</v>
      </c>
      <c r="Z134" s="122"/>
    </row>
    <row r="135" spans="1:37" ht="15" x14ac:dyDescent="0.25">
      <c r="L135" s="122"/>
      <c r="Z135" s="123" t="s">
        <v>94</v>
      </c>
      <c r="AA135" t="s">
        <v>62</v>
      </c>
      <c r="AB135">
        <v>0</v>
      </c>
      <c r="AC135">
        <v>0</v>
      </c>
      <c r="AD135">
        <v>0</v>
      </c>
      <c r="AE135">
        <v>0</v>
      </c>
      <c r="AF135">
        <v>0</v>
      </c>
      <c r="AG135">
        <v>0</v>
      </c>
      <c r="AH135">
        <v>0</v>
      </c>
      <c r="AI135">
        <v>0</v>
      </c>
      <c r="AJ135">
        <v>23.9</v>
      </c>
      <c r="AK135">
        <v>40</v>
      </c>
    </row>
    <row r="136" spans="1:37" ht="15" x14ac:dyDescent="0.25">
      <c r="L136" s="123" t="s">
        <v>148</v>
      </c>
      <c r="M136" t="s">
        <v>62</v>
      </c>
      <c r="N136">
        <v>0</v>
      </c>
      <c r="O136">
        <v>0</v>
      </c>
      <c r="P136">
        <v>0</v>
      </c>
      <c r="Q136">
        <v>0</v>
      </c>
      <c r="R136">
        <v>2</v>
      </c>
      <c r="S136">
        <v>54</v>
      </c>
      <c r="T136">
        <v>0</v>
      </c>
      <c r="U136">
        <v>0</v>
      </c>
      <c r="V136">
        <v>0</v>
      </c>
      <c r="W136">
        <v>0</v>
      </c>
      <c r="Z136" s="122"/>
    </row>
    <row r="137" spans="1:37" ht="15" x14ac:dyDescent="0.25">
      <c r="L137" s="122"/>
      <c r="Z137" s="123" t="s">
        <v>70</v>
      </c>
      <c r="AA137" t="s">
        <v>62</v>
      </c>
      <c r="AB137">
        <v>0</v>
      </c>
      <c r="AC137">
        <v>0</v>
      </c>
      <c r="AD137">
        <v>0</v>
      </c>
      <c r="AE137">
        <v>0</v>
      </c>
      <c r="AF137">
        <v>0</v>
      </c>
      <c r="AG137">
        <v>0</v>
      </c>
      <c r="AH137">
        <v>0</v>
      </c>
      <c r="AI137">
        <v>0</v>
      </c>
      <c r="AJ137">
        <v>23.1</v>
      </c>
      <c r="AK137">
        <v>41</v>
      </c>
    </row>
    <row r="138" spans="1:37" ht="15" x14ac:dyDescent="0.25">
      <c r="L138" s="123" t="s">
        <v>155</v>
      </c>
      <c r="M138" t="s">
        <v>62</v>
      </c>
      <c r="N138">
        <v>0</v>
      </c>
      <c r="O138">
        <v>0</v>
      </c>
      <c r="P138">
        <v>0</v>
      </c>
      <c r="Q138">
        <v>0</v>
      </c>
      <c r="R138">
        <v>0</v>
      </c>
      <c r="S138">
        <v>0</v>
      </c>
      <c r="T138">
        <v>31.5</v>
      </c>
      <c r="U138">
        <v>37</v>
      </c>
      <c r="V138">
        <v>0</v>
      </c>
      <c r="W138">
        <v>0</v>
      </c>
      <c r="Z138" s="122"/>
    </row>
    <row r="139" spans="1:37" ht="15" x14ac:dyDescent="0.25">
      <c r="L139" s="122"/>
      <c r="Z139" s="123" t="s">
        <v>122</v>
      </c>
      <c r="AA139" t="s">
        <v>62</v>
      </c>
      <c r="AB139">
        <v>0</v>
      </c>
      <c r="AC139">
        <v>0</v>
      </c>
      <c r="AD139">
        <v>0</v>
      </c>
      <c r="AE139">
        <v>0</v>
      </c>
      <c r="AF139">
        <v>0</v>
      </c>
      <c r="AG139">
        <v>0</v>
      </c>
      <c r="AH139">
        <v>0</v>
      </c>
      <c r="AI139">
        <v>0</v>
      </c>
      <c r="AJ139">
        <v>22.7</v>
      </c>
      <c r="AK139">
        <v>42</v>
      </c>
    </row>
    <row r="140" spans="1:37" ht="15" x14ac:dyDescent="0.25">
      <c r="L140" s="123" t="s">
        <v>149</v>
      </c>
      <c r="M140" t="s">
        <v>62</v>
      </c>
      <c r="N140">
        <v>0</v>
      </c>
      <c r="O140">
        <v>0</v>
      </c>
      <c r="P140">
        <v>0</v>
      </c>
      <c r="Q140">
        <v>0</v>
      </c>
      <c r="R140">
        <v>0</v>
      </c>
      <c r="S140">
        <v>0</v>
      </c>
      <c r="T140">
        <v>7.1</v>
      </c>
      <c r="U140">
        <v>43</v>
      </c>
      <c r="V140">
        <v>0</v>
      </c>
      <c r="W140">
        <v>0</v>
      </c>
      <c r="Z140" s="122"/>
    </row>
    <row r="141" spans="1:37" ht="15" x14ac:dyDescent="0.25">
      <c r="L141" s="122"/>
      <c r="Z141" s="123" t="s">
        <v>91</v>
      </c>
      <c r="AA141" t="s">
        <v>62</v>
      </c>
      <c r="AB141">
        <v>0</v>
      </c>
      <c r="AC141">
        <v>0</v>
      </c>
      <c r="AD141">
        <v>0</v>
      </c>
      <c r="AE141">
        <v>0</v>
      </c>
      <c r="AF141">
        <v>0</v>
      </c>
      <c r="AG141">
        <v>0</v>
      </c>
      <c r="AH141">
        <v>0</v>
      </c>
      <c r="AI141">
        <v>0</v>
      </c>
      <c r="AJ141">
        <v>8.1999999999999993</v>
      </c>
      <c r="AK141">
        <v>48</v>
      </c>
    </row>
    <row r="142" spans="1:37" ht="15" x14ac:dyDescent="0.25">
      <c r="L142" s="123" t="s">
        <v>153</v>
      </c>
      <c r="M142" t="s">
        <v>62</v>
      </c>
      <c r="N142">
        <v>0</v>
      </c>
      <c r="O142">
        <v>0</v>
      </c>
      <c r="P142">
        <v>0</v>
      </c>
      <c r="Q142">
        <v>0</v>
      </c>
      <c r="R142">
        <v>0</v>
      </c>
      <c r="S142">
        <v>0</v>
      </c>
      <c r="T142">
        <v>4</v>
      </c>
      <c r="U142">
        <v>47</v>
      </c>
      <c r="V142">
        <v>6.3</v>
      </c>
      <c r="W142">
        <v>48</v>
      </c>
      <c r="Z142" s="122"/>
    </row>
    <row r="143" spans="1:37" ht="15" x14ac:dyDescent="0.25">
      <c r="L143" s="122"/>
      <c r="Z143" s="123" t="s">
        <v>117</v>
      </c>
      <c r="AA143" t="s">
        <v>62</v>
      </c>
      <c r="AB143">
        <v>0</v>
      </c>
      <c r="AC143">
        <v>0</v>
      </c>
      <c r="AD143">
        <v>0</v>
      </c>
      <c r="AE143">
        <v>0</v>
      </c>
      <c r="AF143">
        <v>0</v>
      </c>
      <c r="AG143">
        <v>0</v>
      </c>
      <c r="AH143">
        <v>0</v>
      </c>
      <c r="AI143">
        <v>0</v>
      </c>
      <c r="AJ143">
        <v>7.9</v>
      </c>
      <c r="AK143">
        <v>50</v>
      </c>
    </row>
    <row r="144" spans="1:37" ht="15" x14ac:dyDescent="0.25">
      <c r="L144" s="123" t="s">
        <v>151</v>
      </c>
      <c r="M144" t="s">
        <v>62</v>
      </c>
      <c r="N144">
        <v>0</v>
      </c>
      <c r="O144">
        <v>0</v>
      </c>
      <c r="P144">
        <v>0</v>
      </c>
      <c r="Q144">
        <v>0</v>
      </c>
      <c r="R144">
        <v>0</v>
      </c>
      <c r="S144">
        <v>0</v>
      </c>
      <c r="T144">
        <v>0.5</v>
      </c>
      <c r="U144">
        <v>51</v>
      </c>
      <c r="V144">
        <v>0</v>
      </c>
      <c r="W144">
        <v>0</v>
      </c>
      <c r="Z144" s="122"/>
    </row>
    <row r="145" spans="12:37" ht="15" x14ac:dyDescent="0.25">
      <c r="L145" s="122"/>
      <c r="Z145" s="123" t="s">
        <v>120</v>
      </c>
      <c r="AA145" t="s">
        <v>62</v>
      </c>
      <c r="AB145">
        <v>0</v>
      </c>
      <c r="AC145">
        <v>0</v>
      </c>
      <c r="AD145">
        <v>0</v>
      </c>
      <c r="AE145">
        <v>0</v>
      </c>
      <c r="AF145">
        <v>0</v>
      </c>
      <c r="AG145">
        <v>0</v>
      </c>
      <c r="AH145">
        <v>0</v>
      </c>
      <c r="AI145">
        <v>0</v>
      </c>
      <c r="AJ145">
        <v>5.9</v>
      </c>
      <c r="AK145">
        <v>52</v>
      </c>
    </row>
    <row r="146" spans="12:37" ht="15" x14ac:dyDescent="0.25">
      <c r="L146" s="123" t="s">
        <v>178</v>
      </c>
      <c r="M146" t="s">
        <v>62</v>
      </c>
      <c r="N146">
        <v>0</v>
      </c>
      <c r="O146">
        <v>0</v>
      </c>
      <c r="P146">
        <v>0</v>
      </c>
      <c r="Q146">
        <v>0</v>
      </c>
      <c r="R146">
        <v>0</v>
      </c>
      <c r="S146">
        <v>0</v>
      </c>
      <c r="T146">
        <v>0</v>
      </c>
      <c r="U146">
        <v>0</v>
      </c>
      <c r="V146">
        <v>141.80000000000001</v>
      </c>
      <c r="W146">
        <v>30</v>
      </c>
      <c r="Z146" s="122"/>
    </row>
    <row r="147" spans="12:37" ht="15" x14ac:dyDescent="0.25">
      <c r="L147" s="122"/>
      <c r="Z147" s="123" t="s">
        <v>121</v>
      </c>
      <c r="AA147" t="s">
        <v>62</v>
      </c>
      <c r="AB147">
        <v>0</v>
      </c>
      <c r="AC147">
        <v>0</v>
      </c>
      <c r="AD147">
        <v>0</v>
      </c>
      <c r="AE147">
        <v>0</v>
      </c>
      <c r="AF147">
        <v>0</v>
      </c>
      <c r="AG147">
        <v>0</v>
      </c>
      <c r="AH147">
        <v>0</v>
      </c>
      <c r="AI147">
        <v>0</v>
      </c>
      <c r="AJ147">
        <v>3.6</v>
      </c>
      <c r="AK147">
        <v>53</v>
      </c>
    </row>
    <row r="148" spans="12:37" ht="15" x14ac:dyDescent="0.25">
      <c r="L148" s="123" t="s">
        <v>179</v>
      </c>
      <c r="M148" t="s">
        <v>62</v>
      </c>
      <c r="N148">
        <v>0</v>
      </c>
      <c r="O148">
        <v>0</v>
      </c>
      <c r="P148">
        <v>0</v>
      </c>
      <c r="Q148">
        <v>0</v>
      </c>
      <c r="R148">
        <v>0</v>
      </c>
      <c r="S148">
        <v>0</v>
      </c>
      <c r="T148">
        <v>0</v>
      </c>
      <c r="U148">
        <v>0</v>
      </c>
      <c r="V148">
        <v>5.6</v>
      </c>
      <c r="W148">
        <v>50</v>
      </c>
      <c r="Z148" s="122"/>
    </row>
    <row r="149" spans="12:37" ht="15" x14ac:dyDescent="0.25">
      <c r="L149" s="122"/>
      <c r="Z149" s="123" t="s">
        <v>148</v>
      </c>
      <c r="AA149" t="s">
        <v>62</v>
      </c>
      <c r="AB149">
        <v>0</v>
      </c>
      <c r="AC149">
        <v>0</v>
      </c>
      <c r="AD149">
        <v>0</v>
      </c>
      <c r="AE149">
        <v>0</v>
      </c>
      <c r="AF149">
        <v>0</v>
      </c>
      <c r="AG149">
        <v>0</v>
      </c>
      <c r="AH149">
        <v>0</v>
      </c>
      <c r="AI149">
        <v>0</v>
      </c>
      <c r="AJ149">
        <v>2</v>
      </c>
      <c r="AK149">
        <v>54</v>
      </c>
    </row>
    <row r="150" spans="12:37" ht="15" x14ac:dyDescent="0.25">
      <c r="L150" s="123" t="s">
        <v>61</v>
      </c>
      <c r="M150" t="s">
        <v>197</v>
      </c>
      <c r="N150" t="s">
        <v>167</v>
      </c>
      <c r="O150" t="s">
        <v>177</v>
      </c>
      <c r="P150" t="s">
        <v>167</v>
      </c>
      <c r="Q150" t="s">
        <v>177</v>
      </c>
      <c r="R150" t="s">
        <v>167</v>
      </c>
      <c r="S150" t="s">
        <v>177</v>
      </c>
      <c r="T150" t="s">
        <v>167</v>
      </c>
      <c r="U150" t="s">
        <v>198</v>
      </c>
      <c r="V150" t="s">
        <v>61</v>
      </c>
      <c r="W150" t="s">
        <v>177</v>
      </c>
      <c r="Z150" s="122"/>
    </row>
    <row r="151" spans="12:37" ht="15" x14ac:dyDescent="0.25">
      <c r="L151" s="123" t="s">
        <v>182</v>
      </c>
      <c r="M151" t="s">
        <v>62</v>
      </c>
      <c r="N151">
        <v>48405.1</v>
      </c>
      <c r="P151">
        <v>45213.9</v>
      </c>
      <c r="R151">
        <v>59968.1</v>
      </c>
      <c r="T151">
        <v>54068.7</v>
      </c>
      <c r="V151">
        <v>54353.599999999999</v>
      </c>
      <c r="Z151" s="123" t="s">
        <v>61</v>
      </c>
      <c r="AA151" t="s">
        <v>197</v>
      </c>
      <c r="AB151" t="s">
        <v>167</v>
      </c>
      <c r="AC151" t="s">
        <v>177</v>
      </c>
      <c r="AD151" t="s">
        <v>167</v>
      </c>
      <c r="AE151" t="s">
        <v>177</v>
      </c>
      <c r="AF151" t="s">
        <v>167</v>
      </c>
      <c r="AG151" t="s">
        <v>198</v>
      </c>
      <c r="AH151" t="s">
        <v>61</v>
      </c>
      <c r="AI151" t="s">
        <v>198</v>
      </c>
      <c r="AJ151" t="s">
        <v>61</v>
      </c>
      <c r="AK151" t="s">
        <v>177</v>
      </c>
    </row>
    <row r="152" spans="12:37" ht="15" x14ac:dyDescent="0.25">
      <c r="Z152" s="123" t="s">
        <v>182</v>
      </c>
      <c r="AA152" t="s">
        <v>62</v>
      </c>
      <c r="AB152">
        <v>37914.800000000003</v>
      </c>
      <c r="AD152">
        <v>45256.4</v>
      </c>
      <c r="AF152">
        <v>48345.4</v>
      </c>
      <c r="AH152">
        <v>45213.9</v>
      </c>
      <c r="AJ152">
        <v>59968.1</v>
      </c>
    </row>
    <row r="153" spans="12:37" x14ac:dyDescent="0.25">
      <c r="Z153" s="122"/>
    </row>
    <row r="154" spans="12:37" ht="15" x14ac:dyDescent="0.25">
      <c r="Z154" s="123" t="s">
        <v>61</v>
      </c>
      <c r="AA154" t="s">
        <v>197</v>
      </c>
      <c r="AB154" t="s">
        <v>167</v>
      </c>
      <c r="AC154" t="s">
        <v>177</v>
      </c>
      <c r="AD154" t="s">
        <v>167</v>
      </c>
      <c r="AE154" t="s">
        <v>177</v>
      </c>
      <c r="AF154" t="s">
        <v>167</v>
      </c>
      <c r="AG154" t="s">
        <v>198</v>
      </c>
      <c r="AH154" t="s">
        <v>61</v>
      </c>
      <c r="AI154" t="s">
        <v>198</v>
      </c>
      <c r="AJ154" t="s">
        <v>61</v>
      </c>
      <c r="AK154" t="s">
        <v>177</v>
      </c>
    </row>
    <row r="155" spans="12:37" ht="15" x14ac:dyDescent="0.25">
      <c r="Z155" s="123"/>
      <c r="AB155" t="s">
        <v>182</v>
      </c>
      <c r="AC155" t="s">
        <v>199</v>
      </c>
      <c r="AD155" t="s">
        <v>200</v>
      </c>
      <c r="AE155" t="s">
        <v>201</v>
      </c>
      <c r="AF155" t="s">
        <v>270</v>
      </c>
      <c r="AG155" t="s">
        <v>271</v>
      </c>
      <c r="AH155" t="s">
        <v>174</v>
      </c>
    </row>
    <row r="156" spans="12:37" ht="15" x14ac:dyDescent="0.25">
      <c r="Z156" s="123"/>
      <c r="AB156" t="s">
        <v>205</v>
      </c>
      <c r="AC156" t="s">
        <v>206</v>
      </c>
      <c r="AD156" t="s">
        <v>207</v>
      </c>
      <c r="AE156" t="s">
        <v>208</v>
      </c>
      <c r="AF156" t="s">
        <v>209</v>
      </c>
      <c r="AG156" t="s">
        <v>210</v>
      </c>
      <c r="AH156" t="s">
        <v>265</v>
      </c>
      <c r="AI156" s="124">
        <v>40909</v>
      </c>
    </row>
    <row r="157" spans="12:37" ht="15" x14ac:dyDescent="0.25">
      <c r="Z157" s="123"/>
      <c r="AC157" t="s">
        <v>212</v>
      </c>
      <c r="AD157" t="s">
        <v>213</v>
      </c>
      <c r="AE157" t="s">
        <v>214</v>
      </c>
      <c r="AF157" t="s">
        <v>215</v>
      </c>
      <c r="AG157" t="s">
        <v>266</v>
      </c>
      <c r="AH157" t="s">
        <v>267</v>
      </c>
    </row>
    <row r="158" spans="12:37" ht="15" x14ac:dyDescent="0.25">
      <c r="Z158" s="123"/>
      <c r="AD158" t="s">
        <v>218</v>
      </c>
      <c r="AE158" t="s">
        <v>219</v>
      </c>
      <c r="AF158" t="s">
        <v>220</v>
      </c>
      <c r="AG158" t="s">
        <v>221</v>
      </c>
    </row>
    <row r="159" spans="12:37" x14ac:dyDescent="0.25">
      <c r="Z159" s="122"/>
    </row>
    <row r="160" spans="12:37" ht="15" x14ac:dyDescent="0.25">
      <c r="Z160" s="123"/>
      <c r="AB160" t="s">
        <v>268</v>
      </c>
      <c r="AC160">
        <v>2012</v>
      </c>
      <c r="AD160" t="s">
        <v>269</v>
      </c>
      <c r="AE160">
        <v>2011</v>
      </c>
      <c r="AF160" t="s">
        <v>222</v>
      </c>
      <c r="AG160">
        <v>2010</v>
      </c>
      <c r="AH160" t="s">
        <v>223</v>
      </c>
      <c r="AI160">
        <v>2009</v>
      </c>
      <c r="AJ160" t="s">
        <v>224</v>
      </c>
      <c r="AK160">
        <v>2008</v>
      </c>
    </row>
    <row r="161" spans="26:37" ht="15" x14ac:dyDescent="0.25">
      <c r="Z161" s="123" t="s">
        <v>174</v>
      </c>
      <c r="AB161" t="s">
        <v>175</v>
      </c>
      <c r="AC161" t="s">
        <v>176</v>
      </c>
      <c r="AD161" t="s">
        <v>175</v>
      </c>
      <c r="AE161" t="s">
        <v>176</v>
      </c>
      <c r="AF161" t="s">
        <v>175</v>
      </c>
      <c r="AG161" t="s">
        <v>176</v>
      </c>
      <c r="AH161" t="s">
        <v>175</v>
      </c>
      <c r="AI161" t="s">
        <v>176</v>
      </c>
      <c r="AJ161" t="s">
        <v>175</v>
      </c>
      <c r="AK161" t="s">
        <v>176</v>
      </c>
    </row>
    <row r="162" spans="26:37" ht="15" x14ac:dyDescent="0.25">
      <c r="Z162" s="123" t="s">
        <v>61</v>
      </c>
      <c r="AA162" t="s">
        <v>197</v>
      </c>
      <c r="AB162" t="s">
        <v>167</v>
      </c>
      <c r="AC162" t="s">
        <v>177</v>
      </c>
      <c r="AD162" t="s">
        <v>167</v>
      </c>
      <c r="AE162" t="s">
        <v>177</v>
      </c>
      <c r="AF162" t="s">
        <v>167</v>
      </c>
      <c r="AG162" t="s">
        <v>198</v>
      </c>
      <c r="AH162" t="s">
        <v>61</v>
      </c>
      <c r="AI162" t="s">
        <v>198</v>
      </c>
      <c r="AJ162" t="s">
        <v>61</v>
      </c>
      <c r="AK162" t="s">
        <v>177</v>
      </c>
    </row>
    <row r="163" spans="26:37" ht="15" x14ac:dyDescent="0.25">
      <c r="Z163" s="123" t="s">
        <v>110</v>
      </c>
      <c r="AA163" t="s">
        <v>62</v>
      </c>
      <c r="AB163">
        <v>836.6</v>
      </c>
      <c r="AC163">
        <v>1</v>
      </c>
      <c r="AD163">
        <v>1984.3</v>
      </c>
      <c r="AE163">
        <v>1</v>
      </c>
      <c r="AF163">
        <v>2269.3000000000002</v>
      </c>
      <c r="AG163">
        <v>1</v>
      </c>
      <c r="AH163">
        <v>2192.6</v>
      </c>
      <c r="AI163">
        <v>1</v>
      </c>
      <c r="AJ163">
        <v>747.1</v>
      </c>
      <c r="AK163">
        <v>2</v>
      </c>
    </row>
    <row r="164" spans="26:37" x14ac:dyDescent="0.25">
      <c r="Z164" s="122"/>
    </row>
    <row r="165" spans="26:37" ht="15" x14ac:dyDescent="0.25">
      <c r="Z165" s="123" t="s">
        <v>71</v>
      </c>
      <c r="AA165" t="s">
        <v>62</v>
      </c>
      <c r="AB165">
        <v>111.1</v>
      </c>
      <c r="AC165">
        <v>2</v>
      </c>
      <c r="AD165">
        <v>305.60000000000002</v>
      </c>
      <c r="AE165">
        <v>3</v>
      </c>
      <c r="AF165">
        <v>870.3</v>
      </c>
      <c r="AG165">
        <v>2</v>
      </c>
      <c r="AH165">
        <v>363.2</v>
      </c>
      <c r="AI165">
        <v>2</v>
      </c>
      <c r="AJ165">
        <v>578</v>
      </c>
      <c r="AK165">
        <v>3</v>
      </c>
    </row>
    <row r="166" spans="26:37" x14ac:dyDescent="0.25">
      <c r="Z166" s="122"/>
    </row>
    <row r="167" spans="26:37" ht="15" x14ac:dyDescent="0.25">
      <c r="Z167" s="123" t="s">
        <v>80</v>
      </c>
      <c r="AA167" t="s">
        <v>62</v>
      </c>
      <c r="AB167">
        <v>0.3</v>
      </c>
      <c r="AC167">
        <v>3</v>
      </c>
      <c r="AD167">
        <v>0.3</v>
      </c>
      <c r="AE167">
        <v>11</v>
      </c>
      <c r="AF167">
        <v>0.3</v>
      </c>
      <c r="AG167">
        <v>6</v>
      </c>
      <c r="AH167">
        <v>0.3</v>
      </c>
      <c r="AI167">
        <v>7</v>
      </c>
      <c r="AJ167">
        <v>0.2</v>
      </c>
      <c r="AK167">
        <v>20</v>
      </c>
    </row>
    <row r="168" spans="26:37" x14ac:dyDescent="0.25">
      <c r="Z168" s="122"/>
    </row>
    <row r="169" spans="26:37" ht="15" x14ac:dyDescent="0.25">
      <c r="Z169" s="123" t="s">
        <v>99</v>
      </c>
      <c r="AA169" t="s">
        <v>62</v>
      </c>
      <c r="AB169">
        <v>0.3</v>
      </c>
      <c r="AC169">
        <v>4</v>
      </c>
      <c r="AD169">
        <v>0.2</v>
      </c>
      <c r="AE169">
        <v>12</v>
      </c>
      <c r="AF169">
        <v>1</v>
      </c>
      <c r="AG169">
        <v>5</v>
      </c>
      <c r="AH169">
        <v>1.4</v>
      </c>
      <c r="AI169">
        <v>6</v>
      </c>
      <c r="AJ169">
        <v>2.5</v>
      </c>
      <c r="AK169">
        <v>19</v>
      </c>
    </row>
    <row r="170" spans="26:37" x14ac:dyDescent="0.25">
      <c r="Z170" s="122"/>
    </row>
    <row r="171" spans="26:37" ht="15" x14ac:dyDescent="0.25">
      <c r="Z171" s="123" t="s">
        <v>65</v>
      </c>
      <c r="AA171" t="s">
        <v>62</v>
      </c>
      <c r="AB171">
        <v>0</v>
      </c>
      <c r="AC171">
        <v>0</v>
      </c>
      <c r="AD171">
        <v>655.8</v>
      </c>
      <c r="AE171">
        <v>2</v>
      </c>
      <c r="AF171">
        <v>0</v>
      </c>
      <c r="AG171">
        <v>0</v>
      </c>
      <c r="AH171">
        <v>0</v>
      </c>
      <c r="AI171">
        <v>0</v>
      </c>
      <c r="AJ171">
        <v>2460</v>
      </c>
      <c r="AK171">
        <v>1</v>
      </c>
    </row>
    <row r="172" spans="26:37" x14ac:dyDescent="0.25">
      <c r="Z172" s="122"/>
    </row>
    <row r="173" spans="26:37" ht="15" x14ac:dyDescent="0.25">
      <c r="Z173" s="123" t="s">
        <v>78</v>
      </c>
      <c r="AA173" t="s">
        <v>62</v>
      </c>
      <c r="AB173">
        <v>0</v>
      </c>
      <c r="AC173">
        <v>0</v>
      </c>
      <c r="AD173">
        <v>125.1</v>
      </c>
      <c r="AE173">
        <v>4</v>
      </c>
      <c r="AF173">
        <v>5.9</v>
      </c>
      <c r="AG173">
        <v>4</v>
      </c>
      <c r="AH173">
        <v>0</v>
      </c>
      <c r="AI173">
        <v>0</v>
      </c>
      <c r="AJ173">
        <v>181.8</v>
      </c>
      <c r="AK173">
        <v>8</v>
      </c>
    </row>
    <row r="174" spans="26:37" x14ac:dyDescent="0.25">
      <c r="Z174" s="122"/>
    </row>
    <row r="175" spans="26:37" ht="15" x14ac:dyDescent="0.25">
      <c r="Z175" s="123" t="s">
        <v>93</v>
      </c>
      <c r="AA175" t="s">
        <v>62</v>
      </c>
      <c r="AB175">
        <v>0</v>
      </c>
      <c r="AC175">
        <v>0</v>
      </c>
      <c r="AD175">
        <v>111.9</v>
      </c>
      <c r="AE175">
        <v>5</v>
      </c>
      <c r="AF175">
        <v>97.6</v>
      </c>
      <c r="AG175">
        <v>3</v>
      </c>
      <c r="AH175">
        <v>0</v>
      </c>
      <c r="AI175">
        <v>0</v>
      </c>
      <c r="AJ175">
        <v>0</v>
      </c>
      <c r="AK175">
        <v>0</v>
      </c>
    </row>
    <row r="176" spans="26:37" x14ac:dyDescent="0.25">
      <c r="Z176" s="122"/>
    </row>
    <row r="177" spans="26:37" ht="15" x14ac:dyDescent="0.25">
      <c r="Z177" s="123" t="s">
        <v>246</v>
      </c>
      <c r="AA177" t="s">
        <v>62</v>
      </c>
      <c r="AB177">
        <v>0</v>
      </c>
      <c r="AC177">
        <v>0</v>
      </c>
      <c r="AD177">
        <v>68</v>
      </c>
      <c r="AE177">
        <v>6</v>
      </c>
      <c r="AF177">
        <v>0</v>
      </c>
      <c r="AG177">
        <v>0</v>
      </c>
      <c r="AH177">
        <v>0</v>
      </c>
      <c r="AI177">
        <v>0</v>
      </c>
      <c r="AJ177">
        <v>393.4</v>
      </c>
      <c r="AK177">
        <v>5</v>
      </c>
    </row>
    <row r="178" spans="26:37" x14ac:dyDescent="0.25">
      <c r="Z178" s="122"/>
    </row>
    <row r="179" spans="26:37" ht="15" x14ac:dyDescent="0.25">
      <c r="Z179" s="123" t="s">
        <v>230</v>
      </c>
      <c r="AA179" t="s">
        <v>62</v>
      </c>
      <c r="AB179">
        <v>0</v>
      </c>
      <c r="AC179">
        <v>0</v>
      </c>
      <c r="AD179">
        <v>39.6</v>
      </c>
      <c r="AE179">
        <v>7</v>
      </c>
      <c r="AF179">
        <v>0</v>
      </c>
      <c r="AG179">
        <v>0</v>
      </c>
      <c r="AH179">
        <v>0</v>
      </c>
      <c r="AI179">
        <v>0</v>
      </c>
      <c r="AJ179">
        <v>563.79999999999995</v>
      </c>
      <c r="AK179">
        <v>4</v>
      </c>
    </row>
    <row r="180" spans="26:37" x14ac:dyDescent="0.25">
      <c r="Z180" s="122"/>
    </row>
    <row r="181" spans="26:37" ht="15" x14ac:dyDescent="0.25">
      <c r="Z181" s="123" t="s">
        <v>232</v>
      </c>
      <c r="AA181" t="s">
        <v>62</v>
      </c>
      <c r="AB181">
        <v>0</v>
      </c>
      <c r="AC181">
        <v>0</v>
      </c>
      <c r="AD181">
        <v>33</v>
      </c>
      <c r="AE181">
        <v>8</v>
      </c>
      <c r="AF181">
        <v>0</v>
      </c>
      <c r="AG181">
        <v>0</v>
      </c>
      <c r="AH181">
        <v>38.5</v>
      </c>
      <c r="AI181">
        <v>3</v>
      </c>
      <c r="AJ181">
        <v>297.39999999999998</v>
      </c>
      <c r="AK181">
        <v>6</v>
      </c>
    </row>
    <row r="182" spans="26:37" x14ac:dyDescent="0.25">
      <c r="Z182" s="122"/>
    </row>
    <row r="183" spans="26:37" ht="15" x14ac:dyDescent="0.25">
      <c r="Z183" s="123" t="s">
        <v>100</v>
      </c>
      <c r="AA183" t="s">
        <v>62</v>
      </c>
      <c r="AB183">
        <v>0</v>
      </c>
      <c r="AC183">
        <v>0</v>
      </c>
      <c r="AD183">
        <v>6.3</v>
      </c>
      <c r="AE183">
        <v>9</v>
      </c>
      <c r="AF183">
        <v>0</v>
      </c>
      <c r="AG183">
        <v>0</v>
      </c>
      <c r="AH183">
        <v>0</v>
      </c>
      <c r="AI183">
        <v>0</v>
      </c>
      <c r="AJ183">
        <v>0</v>
      </c>
      <c r="AK183">
        <v>0</v>
      </c>
    </row>
    <row r="184" spans="26:37" x14ac:dyDescent="0.25">
      <c r="Z184" s="122"/>
    </row>
    <row r="185" spans="26:37" ht="15" x14ac:dyDescent="0.25">
      <c r="Z185" s="123" t="s">
        <v>72</v>
      </c>
      <c r="AA185" t="s">
        <v>62</v>
      </c>
      <c r="AB185">
        <v>0</v>
      </c>
      <c r="AC185">
        <v>0</v>
      </c>
      <c r="AD185">
        <v>4.8</v>
      </c>
      <c r="AE185">
        <v>10</v>
      </c>
      <c r="AF185">
        <v>0</v>
      </c>
      <c r="AG185">
        <v>0</v>
      </c>
      <c r="AH185">
        <v>0</v>
      </c>
      <c r="AI185">
        <v>0</v>
      </c>
      <c r="AJ185">
        <v>0</v>
      </c>
      <c r="AK185">
        <v>0</v>
      </c>
    </row>
    <row r="186" spans="26:37" x14ac:dyDescent="0.25">
      <c r="Z186" s="122"/>
    </row>
    <row r="187" spans="26:37" ht="15" x14ac:dyDescent="0.25">
      <c r="Z187" s="123" t="s">
        <v>165</v>
      </c>
      <c r="AA187" t="s">
        <v>62</v>
      </c>
      <c r="AB187">
        <v>0</v>
      </c>
      <c r="AC187">
        <v>0</v>
      </c>
      <c r="AD187">
        <v>0.1</v>
      </c>
      <c r="AE187">
        <v>13</v>
      </c>
      <c r="AF187">
        <v>0</v>
      </c>
      <c r="AG187">
        <v>0</v>
      </c>
      <c r="AH187">
        <v>0</v>
      </c>
      <c r="AI187">
        <v>0</v>
      </c>
      <c r="AJ187">
        <v>0</v>
      </c>
      <c r="AK187">
        <v>0</v>
      </c>
    </row>
    <row r="188" spans="26:37" x14ac:dyDescent="0.25">
      <c r="Z188" s="122"/>
    </row>
    <row r="189" spans="26:37" ht="15" x14ac:dyDescent="0.25">
      <c r="Z189" s="123" t="s">
        <v>272</v>
      </c>
      <c r="AA189" t="s">
        <v>62</v>
      </c>
      <c r="AB189">
        <v>0</v>
      </c>
      <c r="AC189">
        <v>0</v>
      </c>
      <c r="AD189">
        <v>0</v>
      </c>
      <c r="AE189">
        <v>0</v>
      </c>
      <c r="AF189">
        <v>0</v>
      </c>
      <c r="AG189">
        <v>0</v>
      </c>
      <c r="AH189">
        <v>28.2</v>
      </c>
      <c r="AI189">
        <v>4</v>
      </c>
      <c r="AJ189">
        <v>27.6</v>
      </c>
      <c r="AK189">
        <v>16</v>
      </c>
    </row>
    <row r="190" spans="26:37" x14ac:dyDescent="0.25">
      <c r="Z190" s="122"/>
    </row>
    <row r="191" spans="26:37" ht="15" x14ac:dyDescent="0.25">
      <c r="Z191" s="123" t="s">
        <v>101</v>
      </c>
      <c r="AA191" t="s">
        <v>62</v>
      </c>
      <c r="AB191">
        <v>0</v>
      </c>
      <c r="AC191">
        <v>0</v>
      </c>
      <c r="AD191">
        <v>0</v>
      </c>
      <c r="AE191">
        <v>0</v>
      </c>
      <c r="AF191">
        <v>0</v>
      </c>
      <c r="AG191">
        <v>0</v>
      </c>
      <c r="AH191">
        <v>13.2</v>
      </c>
      <c r="AI191">
        <v>5</v>
      </c>
      <c r="AJ191">
        <v>19.600000000000001</v>
      </c>
      <c r="AK191">
        <v>18</v>
      </c>
    </row>
    <row r="192" spans="26:37" x14ac:dyDescent="0.25">
      <c r="Z192" s="122"/>
    </row>
    <row r="193" spans="26:37" ht="15" x14ac:dyDescent="0.25">
      <c r="Z193" s="123" t="s">
        <v>273</v>
      </c>
      <c r="AA193" t="s">
        <v>62</v>
      </c>
      <c r="AB193">
        <v>0</v>
      </c>
      <c r="AC193">
        <v>0</v>
      </c>
      <c r="AD193">
        <v>0</v>
      </c>
      <c r="AE193">
        <v>0</v>
      </c>
      <c r="AF193">
        <v>0</v>
      </c>
      <c r="AG193">
        <v>0</v>
      </c>
      <c r="AH193">
        <v>0</v>
      </c>
      <c r="AI193">
        <v>0</v>
      </c>
      <c r="AJ193">
        <v>234.1</v>
      </c>
      <c r="AK193">
        <v>7</v>
      </c>
    </row>
    <row r="194" spans="26:37" x14ac:dyDescent="0.25">
      <c r="Z194" s="122"/>
    </row>
    <row r="195" spans="26:37" ht="15" x14ac:dyDescent="0.25">
      <c r="Z195" s="123" t="s">
        <v>229</v>
      </c>
      <c r="AA195" t="s">
        <v>62</v>
      </c>
      <c r="AB195">
        <v>0</v>
      </c>
      <c r="AC195">
        <v>0</v>
      </c>
      <c r="AD195">
        <v>0</v>
      </c>
      <c r="AE195">
        <v>0</v>
      </c>
      <c r="AF195">
        <v>0</v>
      </c>
      <c r="AG195">
        <v>0</v>
      </c>
      <c r="AH195">
        <v>0</v>
      </c>
      <c r="AI195">
        <v>0</v>
      </c>
      <c r="AJ195">
        <v>150.69999999999999</v>
      </c>
      <c r="AK195">
        <v>9</v>
      </c>
    </row>
    <row r="196" spans="26:37" x14ac:dyDescent="0.25">
      <c r="Z196" s="122"/>
    </row>
    <row r="197" spans="26:37" ht="15" x14ac:dyDescent="0.25">
      <c r="Z197" s="123" t="s">
        <v>274</v>
      </c>
      <c r="AA197" t="s">
        <v>62</v>
      </c>
      <c r="AB197">
        <v>0</v>
      </c>
      <c r="AC197">
        <v>0</v>
      </c>
      <c r="AD197">
        <v>0</v>
      </c>
      <c r="AE197">
        <v>0</v>
      </c>
      <c r="AF197">
        <v>0</v>
      </c>
      <c r="AG197">
        <v>0</v>
      </c>
      <c r="AH197">
        <v>0</v>
      </c>
      <c r="AI197">
        <v>0</v>
      </c>
      <c r="AJ197">
        <v>129.9</v>
      </c>
      <c r="AK197">
        <v>10</v>
      </c>
    </row>
    <row r="198" spans="26:37" x14ac:dyDescent="0.25">
      <c r="Z198" s="122"/>
    </row>
    <row r="199" spans="26:37" ht="15" x14ac:dyDescent="0.25">
      <c r="Z199" s="123" t="s">
        <v>66</v>
      </c>
      <c r="AA199" t="s">
        <v>62</v>
      </c>
      <c r="AB199">
        <v>0</v>
      </c>
      <c r="AC199">
        <v>0</v>
      </c>
      <c r="AD199">
        <v>0</v>
      </c>
      <c r="AE199">
        <v>0</v>
      </c>
      <c r="AF199">
        <v>0</v>
      </c>
      <c r="AG199">
        <v>0</v>
      </c>
      <c r="AH199">
        <v>0</v>
      </c>
      <c r="AI199">
        <v>0</v>
      </c>
      <c r="AJ199">
        <v>113.8</v>
      </c>
      <c r="AK199">
        <v>11</v>
      </c>
    </row>
    <row r="200" spans="26:37" x14ac:dyDescent="0.25">
      <c r="Z200" s="122"/>
    </row>
    <row r="201" spans="26:37" ht="15" x14ac:dyDescent="0.25">
      <c r="Z201" s="123" t="s">
        <v>247</v>
      </c>
      <c r="AA201" t="s">
        <v>62</v>
      </c>
      <c r="AB201">
        <v>0</v>
      </c>
      <c r="AC201">
        <v>0</v>
      </c>
      <c r="AD201">
        <v>0</v>
      </c>
      <c r="AE201">
        <v>0</v>
      </c>
      <c r="AF201">
        <v>0</v>
      </c>
      <c r="AG201">
        <v>0</v>
      </c>
      <c r="AH201">
        <v>0</v>
      </c>
      <c r="AI201">
        <v>0</v>
      </c>
      <c r="AJ201">
        <v>91.5</v>
      </c>
      <c r="AK201">
        <v>12</v>
      </c>
    </row>
    <row r="202" spans="26:37" x14ac:dyDescent="0.25">
      <c r="Z202" s="122"/>
    </row>
    <row r="203" spans="26:37" ht="15" x14ac:dyDescent="0.25">
      <c r="Z203" s="123" t="s">
        <v>181</v>
      </c>
      <c r="AA203" t="s">
        <v>62</v>
      </c>
      <c r="AB203">
        <v>0</v>
      </c>
      <c r="AC203">
        <v>0</v>
      </c>
      <c r="AD203">
        <v>0</v>
      </c>
      <c r="AE203">
        <v>0</v>
      </c>
      <c r="AF203">
        <v>0</v>
      </c>
      <c r="AG203">
        <v>0</v>
      </c>
      <c r="AH203">
        <v>0</v>
      </c>
      <c r="AI203">
        <v>0</v>
      </c>
      <c r="AJ203">
        <v>86.5</v>
      </c>
      <c r="AK203">
        <v>13</v>
      </c>
    </row>
    <row r="204" spans="26:37" x14ac:dyDescent="0.25">
      <c r="Z204" s="122"/>
    </row>
    <row r="205" spans="26:37" ht="15" x14ac:dyDescent="0.25">
      <c r="Z205" s="123" t="s">
        <v>129</v>
      </c>
      <c r="AA205" t="s">
        <v>62</v>
      </c>
      <c r="AB205">
        <v>0</v>
      </c>
      <c r="AC205">
        <v>0</v>
      </c>
      <c r="AD205">
        <v>0</v>
      </c>
      <c r="AE205">
        <v>0</v>
      </c>
      <c r="AF205">
        <v>0</v>
      </c>
      <c r="AG205">
        <v>0</v>
      </c>
      <c r="AH205">
        <v>0</v>
      </c>
      <c r="AI205">
        <v>0</v>
      </c>
      <c r="AJ205">
        <v>62</v>
      </c>
      <c r="AK205">
        <v>14</v>
      </c>
    </row>
    <row r="206" spans="26:37" x14ac:dyDescent="0.25">
      <c r="Z206" s="122"/>
    </row>
    <row r="207" spans="26:37" ht="15" x14ac:dyDescent="0.25">
      <c r="Z207" s="123" t="s">
        <v>275</v>
      </c>
      <c r="AA207" t="s">
        <v>62</v>
      </c>
      <c r="AB207">
        <v>0</v>
      </c>
      <c r="AC207">
        <v>0</v>
      </c>
      <c r="AD207">
        <v>0</v>
      </c>
      <c r="AE207">
        <v>0</v>
      </c>
      <c r="AF207">
        <v>0</v>
      </c>
      <c r="AG207">
        <v>0</v>
      </c>
      <c r="AH207">
        <v>0</v>
      </c>
      <c r="AI207">
        <v>0</v>
      </c>
      <c r="AJ207">
        <v>34.1</v>
      </c>
      <c r="AK207">
        <v>15</v>
      </c>
    </row>
    <row r="208" spans="26:37" x14ac:dyDescent="0.25">
      <c r="Z208" s="122"/>
    </row>
    <row r="209" spans="26:37" ht="15" x14ac:dyDescent="0.25">
      <c r="Z209" s="123" t="s">
        <v>276</v>
      </c>
      <c r="AA209" t="s">
        <v>62</v>
      </c>
      <c r="AB209">
        <v>0</v>
      </c>
      <c r="AC209">
        <v>0</v>
      </c>
      <c r="AD209">
        <v>0</v>
      </c>
      <c r="AE209">
        <v>0</v>
      </c>
      <c r="AF209">
        <v>0</v>
      </c>
      <c r="AG209">
        <v>0</v>
      </c>
      <c r="AH209">
        <v>0</v>
      </c>
      <c r="AI209">
        <v>0</v>
      </c>
      <c r="AJ209">
        <v>20.7</v>
      </c>
      <c r="AK209">
        <v>17</v>
      </c>
    </row>
    <row r="210" spans="26:37" x14ac:dyDescent="0.25">
      <c r="Z210" s="122"/>
    </row>
    <row r="211" spans="26:37" ht="15" x14ac:dyDescent="0.25">
      <c r="Z211" s="123" t="s">
        <v>61</v>
      </c>
      <c r="AA211" t="s">
        <v>197</v>
      </c>
      <c r="AB211" t="s">
        <v>167</v>
      </c>
      <c r="AC211" t="s">
        <v>177</v>
      </c>
      <c r="AD211" t="s">
        <v>167</v>
      </c>
      <c r="AE211" t="s">
        <v>177</v>
      </c>
      <c r="AF211" t="s">
        <v>167</v>
      </c>
      <c r="AG211" t="s">
        <v>198</v>
      </c>
      <c r="AH211" t="s">
        <v>61</v>
      </c>
      <c r="AI211" t="s">
        <v>198</v>
      </c>
      <c r="AJ211" t="s">
        <v>61</v>
      </c>
      <c r="AK211" t="s">
        <v>177</v>
      </c>
    </row>
    <row r="212" spans="26:37" ht="15" x14ac:dyDescent="0.25">
      <c r="Z212" s="123" t="s">
        <v>182</v>
      </c>
      <c r="AA212" t="s">
        <v>62</v>
      </c>
      <c r="AB212">
        <v>948.2</v>
      </c>
      <c r="AD212">
        <v>3334.9</v>
      </c>
      <c r="AF212">
        <v>3244.4</v>
      </c>
      <c r="AH212">
        <v>2637.3</v>
      </c>
      <c r="AJ212">
        <v>6194.5</v>
      </c>
    </row>
    <row r="213" spans="26:37" x14ac:dyDescent="0.25">
      <c r="Z213" s="122"/>
    </row>
    <row r="214" spans="26:37" ht="15" x14ac:dyDescent="0.25">
      <c r="Z214" s="123" t="s">
        <v>61</v>
      </c>
      <c r="AA214" t="s">
        <v>197</v>
      </c>
      <c r="AB214" t="s">
        <v>167</v>
      </c>
      <c r="AC214" t="s">
        <v>177</v>
      </c>
      <c r="AD214" t="s">
        <v>167</v>
      </c>
      <c r="AE214" t="s">
        <v>177</v>
      </c>
      <c r="AF214" t="s">
        <v>167</v>
      </c>
      <c r="AG214" t="s">
        <v>198</v>
      </c>
      <c r="AH214" t="s">
        <v>61</v>
      </c>
      <c r="AI214" t="s">
        <v>198</v>
      </c>
      <c r="AJ214" t="s">
        <v>61</v>
      </c>
      <c r="AK214" t="s">
        <v>177</v>
      </c>
    </row>
    <row r="215" spans="26:37" ht="15" x14ac:dyDescent="0.25">
      <c r="Z215" s="123"/>
      <c r="AB215" t="s">
        <v>182</v>
      </c>
      <c r="AC215" t="s">
        <v>199</v>
      </c>
      <c r="AD215" t="s">
        <v>200</v>
      </c>
      <c r="AE215" t="s">
        <v>201</v>
      </c>
      <c r="AF215" t="s">
        <v>277</v>
      </c>
      <c r="AG215" t="s">
        <v>278</v>
      </c>
      <c r="AH215" t="s">
        <v>174</v>
      </c>
    </row>
    <row r="216" spans="26:37" ht="15" x14ac:dyDescent="0.25">
      <c r="Z216" s="123"/>
      <c r="AB216" t="s">
        <v>205</v>
      </c>
      <c r="AC216" t="s">
        <v>206</v>
      </c>
      <c r="AD216" t="s">
        <v>207</v>
      </c>
      <c r="AE216" t="s">
        <v>208</v>
      </c>
      <c r="AF216" t="s">
        <v>209</v>
      </c>
      <c r="AG216" t="s">
        <v>210</v>
      </c>
      <c r="AH216" t="s">
        <v>265</v>
      </c>
      <c r="AI216" s="124">
        <v>40909</v>
      </c>
    </row>
    <row r="217" spans="26:37" ht="15" x14ac:dyDescent="0.25">
      <c r="Z217" s="123"/>
      <c r="AC217" t="s">
        <v>212</v>
      </c>
      <c r="AD217" t="s">
        <v>213</v>
      </c>
      <c r="AE217" t="s">
        <v>214</v>
      </c>
      <c r="AF217" t="s">
        <v>215</v>
      </c>
      <c r="AG217" t="s">
        <v>266</v>
      </c>
      <c r="AH217" t="s">
        <v>267</v>
      </c>
    </row>
    <row r="218" spans="26:37" ht="15" x14ac:dyDescent="0.25">
      <c r="Z218" s="123"/>
      <c r="AD218" t="s">
        <v>218</v>
      </c>
      <c r="AE218" t="s">
        <v>219</v>
      </c>
      <c r="AF218" t="s">
        <v>220</v>
      </c>
      <c r="AG218" t="s">
        <v>221</v>
      </c>
    </row>
    <row r="219" spans="26:37" x14ac:dyDescent="0.25">
      <c r="Z219" s="122"/>
    </row>
    <row r="220" spans="26:37" ht="15" x14ac:dyDescent="0.25">
      <c r="Z220" s="123"/>
      <c r="AB220" t="s">
        <v>268</v>
      </c>
      <c r="AC220">
        <v>2012</v>
      </c>
      <c r="AD220" t="s">
        <v>269</v>
      </c>
      <c r="AE220">
        <v>2011</v>
      </c>
      <c r="AF220" t="s">
        <v>222</v>
      </c>
      <c r="AG220">
        <v>2010</v>
      </c>
      <c r="AH220" t="s">
        <v>223</v>
      </c>
      <c r="AI220">
        <v>2009</v>
      </c>
      <c r="AJ220" t="s">
        <v>224</v>
      </c>
      <c r="AK220">
        <v>2008</v>
      </c>
    </row>
    <row r="221" spans="26:37" ht="15" x14ac:dyDescent="0.25">
      <c r="Z221" s="123" t="s">
        <v>174</v>
      </c>
      <c r="AB221" t="s">
        <v>175</v>
      </c>
      <c r="AC221" t="s">
        <v>176</v>
      </c>
      <c r="AD221" t="s">
        <v>175</v>
      </c>
      <c r="AE221" t="s">
        <v>176</v>
      </c>
      <c r="AF221" t="s">
        <v>175</v>
      </c>
      <c r="AG221" t="s">
        <v>176</v>
      </c>
      <c r="AH221" t="s">
        <v>175</v>
      </c>
      <c r="AI221" t="s">
        <v>176</v>
      </c>
      <c r="AJ221" t="s">
        <v>175</v>
      </c>
      <c r="AK221" t="s">
        <v>176</v>
      </c>
    </row>
    <row r="222" spans="26:37" ht="15" x14ac:dyDescent="0.25">
      <c r="Z222" s="123" t="s">
        <v>61</v>
      </c>
      <c r="AA222" t="s">
        <v>197</v>
      </c>
      <c r="AB222" t="s">
        <v>167</v>
      </c>
      <c r="AC222" t="s">
        <v>177</v>
      </c>
      <c r="AD222" t="s">
        <v>167</v>
      </c>
      <c r="AE222" t="s">
        <v>177</v>
      </c>
      <c r="AF222" t="s">
        <v>167</v>
      </c>
      <c r="AG222" t="s">
        <v>198</v>
      </c>
      <c r="AH222" t="s">
        <v>61</v>
      </c>
      <c r="AI222" t="s">
        <v>198</v>
      </c>
      <c r="AJ222" t="s">
        <v>61</v>
      </c>
      <c r="AK222" t="s">
        <v>177</v>
      </c>
    </row>
    <row r="223" spans="26:37" ht="15" x14ac:dyDescent="0.25">
      <c r="Z223" s="123" t="s">
        <v>73</v>
      </c>
      <c r="AA223" t="s">
        <v>62</v>
      </c>
      <c r="AB223">
        <v>23506.9</v>
      </c>
      <c r="AC223">
        <v>1</v>
      </c>
      <c r="AD223">
        <v>24444.7</v>
      </c>
      <c r="AE223">
        <v>1</v>
      </c>
      <c r="AF223">
        <v>22453.8</v>
      </c>
      <c r="AG223">
        <v>1</v>
      </c>
      <c r="AH223">
        <v>18681.3</v>
      </c>
      <c r="AI223">
        <v>1</v>
      </c>
      <c r="AJ223">
        <v>13353.3</v>
      </c>
      <c r="AK223">
        <v>1</v>
      </c>
    </row>
    <row r="224" spans="26:37" x14ac:dyDescent="0.25">
      <c r="Z224" s="122"/>
    </row>
    <row r="225" spans="26:37" ht="15" x14ac:dyDescent="0.25">
      <c r="Z225" s="123" t="s">
        <v>110</v>
      </c>
      <c r="AA225" t="s">
        <v>62</v>
      </c>
      <c r="AB225">
        <v>3153.1</v>
      </c>
      <c r="AC225">
        <v>2</v>
      </c>
      <c r="AD225">
        <v>3214.7</v>
      </c>
      <c r="AE225">
        <v>2</v>
      </c>
      <c r="AF225">
        <v>3276.4</v>
      </c>
      <c r="AG225">
        <v>2</v>
      </c>
      <c r="AH225">
        <v>3097.8</v>
      </c>
      <c r="AI225">
        <v>2</v>
      </c>
      <c r="AJ225">
        <v>3575</v>
      </c>
      <c r="AK225">
        <v>2</v>
      </c>
    </row>
    <row r="226" spans="26:37" x14ac:dyDescent="0.25">
      <c r="Z226" s="122"/>
    </row>
    <row r="227" spans="26:37" ht="15" x14ac:dyDescent="0.25">
      <c r="Z227" s="123" t="s">
        <v>76</v>
      </c>
      <c r="AA227" t="s">
        <v>62</v>
      </c>
      <c r="AB227">
        <v>1711</v>
      </c>
      <c r="AC227">
        <v>3</v>
      </c>
      <c r="AD227">
        <v>1680.1</v>
      </c>
      <c r="AE227">
        <v>4</v>
      </c>
      <c r="AF227">
        <v>1461.5</v>
      </c>
      <c r="AG227">
        <v>5</v>
      </c>
      <c r="AH227">
        <v>1340.4</v>
      </c>
      <c r="AI227">
        <v>5</v>
      </c>
      <c r="AJ227">
        <v>1068</v>
      </c>
      <c r="AK227">
        <v>7</v>
      </c>
    </row>
    <row r="228" spans="26:37" x14ac:dyDescent="0.25">
      <c r="Z228" s="122"/>
    </row>
    <row r="229" spans="26:37" ht="15" x14ac:dyDescent="0.25">
      <c r="Z229" s="123" t="s">
        <v>71</v>
      </c>
      <c r="AA229" t="s">
        <v>62</v>
      </c>
      <c r="AB229">
        <v>1673.6</v>
      </c>
      <c r="AC229">
        <v>4</v>
      </c>
      <c r="AD229">
        <v>1887.3</v>
      </c>
      <c r="AE229">
        <v>3</v>
      </c>
      <c r="AF229">
        <v>2346.6</v>
      </c>
      <c r="AG229">
        <v>3</v>
      </c>
      <c r="AH229">
        <v>2410</v>
      </c>
      <c r="AI229">
        <v>3</v>
      </c>
      <c r="AJ229">
        <v>2709.4</v>
      </c>
      <c r="AK229">
        <v>3</v>
      </c>
    </row>
    <row r="230" spans="26:37" x14ac:dyDescent="0.25">
      <c r="Z230" s="122"/>
    </row>
    <row r="231" spans="26:37" ht="15" x14ac:dyDescent="0.25">
      <c r="Z231" s="123" t="s">
        <v>90</v>
      </c>
      <c r="AA231" t="s">
        <v>62</v>
      </c>
      <c r="AB231">
        <v>1224.0999999999999</v>
      </c>
      <c r="AC231">
        <v>5</v>
      </c>
      <c r="AD231">
        <v>897.3</v>
      </c>
      <c r="AE231">
        <v>7</v>
      </c>
      <c r="AF231">
        <v>945</v>
      </c>
      <c r="AG231">
        <v>6</v>
      </c>
      <c r="AH231">
        <v>1116.9000000000001</v>
      </c>
      <c r="AI231">
        <v>6</v>
      </c>
      <c r="AJ231">
        <v>845.5</v>
      </c>
      <c r="AK231">
        <v>8</v>
      </c>
    </row>
    <row r="232" spans="26:37" x14ac:dyDescent="0.25">
      <c r="Z232" s="122"/>
    </row>
    <row r="233" spans="26:37" ht="15" x14ac:dyDescent="0.25">
      <c r="Z233" s="123" t="s">
        <v>72</v>
      </c>
      <c r="AA233" t="s">
        <v>62</v>
      </c>
      <c r="AB233">
        <v>912.6</v>
      </c>
      <c r="AC233">
        <v>6</v>
      </c>
      <c r="AD233">
        <v>1397.4</v>
      </c>
      <c r="AE233">
        <v>5</v>
      </c>
      <c r="AF233">
        <v>1556.1</v>
      </c>
      <c r="AG233">
        <v>4</v>
      </c>
      <c r="AH233">
        <v>1592</v>
      </c>
      <c r="AI233">
        <v>4</v>
      </c>
      <c r="AJ233">
        <v>1732.8</v>
      </c>
      <c r="AK233">
        <v>4</v>
      </c>
    </row>
    <row r="234" spans="26:37" x14ac:dyDescent="0.25">
      <c r="Z234" s="122"/>
    </row>
    <row r="235" spans="26:37" ht="15" x14ac:dyDescent="0.25">
      <c r="Z235" s="123" t="s">
        <v>230</v>
      </c>
      <c r="AA235" t="s">
        <v>62</v>
      </c>
      <c r="AB235">
        <v>606.79999999999995</v>
      </c>
      <c r="AC235">
        <v>7</v>
      </c>
      <c r="AD235">
        <v>970</v>
      </c>
      <c r="AE235">
        <v>6</v>
      </c>
      <c r="AF235">
        <v>803.6</v>
      </c>
      <c r="AG235">
        <v>8</v>
      </c>
      <c r="AH235">
        <v>884.9</v>
      </c>
      <c r="AI235">
        <v>7</v>
      </c>
      <c r="AJ235">
        <v>1176.7</v>
      </c>
      <c r="AK235">
        <v>6</v>
      </c>
    </row>
    <row r="236" spans="26:37" x14ac:dyDescent="0.25">
      <c r="Z236" s="122"/>
    </row>
    <row r="237" spans="26:37" ht="15" x14ac:dyDescent="0.25">
      <c r="Z237" s="123" t="s">
        <v>68</v>
      </c>
      <c r="AA237" t="s">
        <v>62</v>
      </c>
      <c r="AB237">
        <v>604.29999999999995</v>
      </c>
      <c r="AC237">
        <v>8</v>
      </c>
      <c r="AD237">
        <v>269.8</v>
      </c>
      <c r="AE237">
        <v>13</v>
      </c>
      <c r="AF237">
        <v>890.1</v>
      </c>
      <c r="AG237">
        <v>7</v>
      </c>
      <c r="AH237">
        <v>736.6</v>
      </c>
      <c r="AI237">
        <v>8</v>
      </c>
      <c r="AJ237">
        <v>408.2</v>
      </c>
      <c r="AK237">
        <v>12</v>
      </c>
    </row>
    <row r="238" spans="26:37" x14ac:dyDescent="0.25">
      <c r="Z238" s="122"/>
    </row>
    <row r="239" spans="26:37" ht="15" x14ac:dyDescent="0.25">
      <c r="Z239" s="123" t="s">
        <v>129</v>
      </c>
      <c r="AA239" t="s">
        <v>62</v>
      </c>
      <c r="AB239">
        <v>433.5</v>
      </c>
      <c r="AC239">
        <v>9</v>
      </c>
      <c r="AD239">
        <v>352.8</v>
      </c>
      <c r="AE239">
        <v>11</v>
      </c>
      <c r="AF239">
        <v>657.4</v>
      </c>
      <c r="AG239">
        <v>10</v>
      </c>
      <c r="AH239">
        <v>706.7</v>
      </c>
      <c r="AI239">
        <v>9</v>
      </c>
      <c r="AJ239">
        <v>1235.5</v>
      </c>
      <c r="AK239">
        <v>5</v>
      </c>
    </row>
    <row r="240" spans="26:37" x14ac:dyDescent="0.25">
      <c r="Z240" s="122"/>
    </row>
    <row r="241" spans="26:37" ht="15" x14ac:dyDescent="0.25">
      <c r="Z241" s="123" t="s">
        <v>99</v>
      </c>
      <c r="AA241" t="s">
        <v>62</v>
      </c>
      <c r="AB241">
        <v>367.2</v>
      </c>
      <c r="AC241">
        <v>10</v>
      </c>
      <c r="AD241">
        <v>279</v>
      </c>
      <c r="AE241">
        <v>12</v>
      </c>
      <c r="AF241">
        <v>338.4</v>
      </c>
      <c r="AG241">
        <v>14</v>
      </c>
      <c r="AH241">
        <v>294.60000000000002</v>
      </c>
      <c r="AI241">
        <v>13</v>
      </c>
      <c r="AJ241">
        <v>190.3</v>
      </c>
      <c r="AK241">
        <v>19</v>
      </c>
    </row>
    <row r="242" spans="26:37" x14ac:dyDescent="0.25">
      <c r="Z242" s="122"/>
    </row>
    <row r="243" spans="26:37" ht="15" x14ac:dyDescent="0.25">
      <c r="Z243" s="123" t="s">
        <v>245</v>
      </c>
      <c r="AA243" t="s">
        <v>62</v>
      </c>
      <c r="AB243">
        <v>359.2</v>
      </c>
      <c r="AC243">
        <v>11</v>
      </c>
      <c r="AD243">
        <v>485.2</v>
      </c>
      <c r="AE243">
        <v>10</v>
      </c>
      <c r="AF243">
        <v>423.1</v>
      </c>
      <c r="AG243">
        <v>12</v>
      </c>
      <c r="AH243">
        <v>178.2</v>
      </c>
      <c r="AI243">
        <v>16</v>
      </c>
      <c r="AJ243">
        <v>145.80000000000001</v>
      </c>
      <c r="AK243">
        <v>21</v>
      </c>
    </row>
    <row r="244" spans="26:37" x14ac:dyDescent="0.25">
      <c r="Z244" s="122"/>
    </row>
    <row r="245" spans="26:37" ht="15" x14ac:dyDescent="0.25">
      <c r="Z245" s="123" t="s">
        <v>80</v>
      </c>
      <c r="AA245" t="s">
        <v>62</v>
      </c>
      <c r="AB245">
        <v>298.2</v>
      </c>
      <c r="AC245">
        <v>12</v>
      </c>
      <c r="AD245">
        <v>690.8</v>
      </c>
      <c r="AE245">
        <v>9</v>
      </c>
      <c r="AF245">
        <v>683.4</v>
      </c>
      <c r="AG245">
        <v>9</v>
      </c>
      <c r="AH245">
        <v>346.3</v>
      </c>
      <c r="AI245">
        <v>11</v>
      </c>
      <c r="AJ245">
        <v>459</v>
      </c>
      <c r="AK245">
        <v>10</v>
      </c>
    </row>
    <row r="246" spans="26:37" x14ac:dyDescent="0.25">
      <c r="Z246" s="122"/>
    </row>
    <row r="247" spans="26:37" ht="15" x14ac:dyDescent="0.25">
      <c r="Z247" s="123" t="s">
        <v>87</v>
      </c>
      <c r="AA247" t="s">
        <v>62</v>
      </c>
      <c r="AB247">
        <v>296.8</v>
      </c>
      <c r="AC247">
        <v>13</v>
      </c>
      <c r="AD247">
        <v>178.3</v>
      </c>
      <c r="AE247">
        <v>20</v>
      </c>
      <c r="AF247">
        <v>81.2</v>
      </c>
      <c r="AG247">
        <v>28</v>
      </c>
      <c r="AH247">
        <v>87.6</v>
      </c>
      <c r="AI247">
        <v>22</v>
      </c>
      <c r="AJ247">
        <v>72</v>
      </c>
      <c r="AK247">
        <v>25</v>
      </c>
    </row>
    <row r="248" spans="26:37" x14ac:dyDescent="0.25">
      <c r="Z248" s="122"/>
    </row>
    <row r="249" spans="26:37" ht="15" x14ac:dyDescent="0.25">
      <c r="Z249" s="123" t="s">
        <v>95</v>
      </c>
      <c r="AA249" t="s">
        <v>62</v>
      </c>
      <c r="AB249">
        <v>268.8</v>
      </c>
      <c r="AC249">
        <v>14</v>
      </c>
      <c r="AD249">
        <v>249.2</v>
      </c>
      <c r="AE249">
        <v>15</v>
      </c>
      <c r="AF249">
        <v>232.9</v>
      </c>
      <c r="AG249">
        <v>17</v>
      </c>
      <c r="AH249">
        <v>145.69999999999999</v>
      </c>
      <c r="AI249">
        <v>18</v>
      </c>
      <c r="AJ249">
        <v>0</v>
      </c>
      <c r="AK249">
        <v>0</v>
      </c>
    </row>
    <row r="250" spans="26:37" x14ac:dyDescent="0.25">
      <c r="Z250" s="122"/>
    </row>
    <row r="251" spans="26:37" ht="15" x14ac:dyDescent="0.25">
      <c r="Z251" s="123" t="s">
        <v>98</v>
      </c>
      <c r="AA251" t="s">
        <v>62</v>
      </c>
      <c r="AB251">
        <v>260.10000000000002</v>
      </c>
      <c r="AC251">
        <v>15</v>
      </c>
      <c r="AD251">
        <v>248.5</v>
      </c>
      <c r="AE251">
        <v>16</v>
      </c>
      <c r="AF251">
        <v>221.2</v>
      </c>
      <c r="AG251">
        <v>19</v>
      </c>
      <c r="AH251">
        <v>173.1</v>
      </c>
      <c r="AI251">
        <v>17</v>
      </c>
      <c r="AJ251">
        <v>246.6</v>
      </c>
      <c r="AK251">
        <v>16</v>
      </c>
    </row>
    <row r="252" spans="26:37" x14ac:dyDescent="0.25">
      <c r="Z252" s="122"/>
    </row>
    <row r="253" spans="26:37" ht="15" x14ac:dyDescent="0.25">
      <c r="Z253" s="123" t="s">
        <v>82</v>
      </c>
      <c r="AA253" t="s">
        <v>62</v>
      </c>
      <c r="AB253">
        <v>246</v>
      </c>
      <c r="AC253">
        <v>16</v>
      </c>
      <c r="AD253">
        <v>250.4</v>
      </c>
      <c r="AE253">
        <v>14</v>
      </c>
      <c r="AF253">
        <v>237.5</v>
      </c>
      <c r="AG253">
        <v>16</v>
      </c>
      <c r="AH253">
        <v>82</v>
      </c>
      <c r="AI253">
        <v>23</v>
      </c>
      <c r="AJ253">
        <v>84.3</v>
      </c>
      <c r="AK253">
        <v>24</v>
      </c>
    </row>
    <row r="254" spans="26:37" x14ac:dyDescent="0.25">
      <c r="Z254" s="122"/>
    </row>
    <row r="255" spans="26:37" ht="15" x14ac:dyDescent="0.25">
      <c r="Z255" s="123" t="s">
        <v>83</v>
      </c>
      <c r="AA255" t="s">
        <v>62</v>
      </c>
      <c r="AB255">
        <v>146.4</v>
      </c>
      <c r="AC255">
        <v>17</v>
      </c>
      <c r="AD255">
        <v>157.19999999999999</v>
      </c>
      <c r="AE255">
        <v>21</v>
      </c>
      <c r="AF255">
        <v>120.6</v>
      </c>
      <c r="AG255">
        <v>24</v>
      </c>
      <c r="AH255">
        <v>0</v>
      </c>
      <c r="AI255">
        <v>0</v>
      </c>
      <c r="AJ255">
        <v>62.5</v>
      </c>
      <c r="AK255">
        <v>27</v>
      </c>
    </row>
    <row r="256" spans="26:37" x14ac:dyDescent="0.25">
      <c r="Z256" s="122"/>
    </row>
    <row r="257" spans="26:37" ht="15" x14ac:dyDescent="0.25">
      <c r="Z257" s="123" t="s">
        <v>78</v>
      </c>
      <c r="AA257" t="s">
        <v>62</v>
      </c>
      <c r="AB257">
        <v>106.6</v>
      </c>
      <c r="AC257">
        <v>18</v>
      </c>
      <c r="AD257">
        <v>225.4</v>
      </c>
      <c r="AE257">
        <v>18</v>
      </c>
      <c r="AF257">
        <v>187.2</v>
      </c>
      <c r="AG257">
        <v>22</v>
      </c>
      <c r="AH257">
        <v>219.3</v>
      </c>
      <c r="AI257">
        <v>14</v>
      </c>
      <c r="AJ257">
        <v>335.2</v>
      </c>
      <c r="AK257">
        <v>14</v>
      </c>
    </row>
    <row r="258" spans="26:37" x14ac:dyDescent="0.25">
      <c r="Z258" s="122"/>
    </row>
    <row r="259" spans="26:37" ht="15" x14ac:dyDescent="0.25">
      <c r="Z259" s="123" t="s">
        <v>102</v>
      </c>
      <c r="AA259" t="s">
        <v>62</v>
      </c>
      <c r="AB259">
        <v>100.4</v>
      </c>
      <c r="AC259">
        <v>19</v>
      </c>
      <c r="AD259">
        <v>120.6</v>
      </c>
      <c r="AE259">
        <v>23</v>
      </c>
      <c r="AF259">
        <v>148.4</v>
      </c>
      <c r="AG259">
        <v>23</v>
      </c>
      <c r="AH259">
        <v>123.9</v>
      </c>
      <c r="AI259">
        <v>20</v>
      </c>
      <c r="AJ259">
        <v>111.8</v>
      </c>
      <c r="AK259">
        <v>23</v>
      </c>
    </row>
    <row r="260" spans="26:37" x14ac:dyDescent="0.25">
      <c r="Z260" s="122"/>
    </row>
    <row r="261" spans="26:37" ht="15" x14ac:dyDescent="0.25">
      <c r="Z261" s="123" t="s">
        <v>181</v>
      </c>
      <c r="AA261" t="s">
        <v>62</v>
      </c>
      <c r="AB261">
        <v>83.9</v>
      </c>
      <c r="AC261">
        <v>20</v>
      </c>
      <c r="AD261">
        <v>41.8</v>
      </c>
      <c r="AE261">
        <v>29</v>
      </c>
      <c r="AF261">
        <v>52.4</v>
      </c>
      <c r="AG261">
        <v>30</v>
      </c>
      <c r="AH261">
        <v>81.3</v>
      </c>
      <c r="AI261">
        <v>24</v>
      </c>
      <c r="AJ261">
        <v>396.3</v>
      </c>
      <c r="AK261">
        <v>13</v>
      </c>
    </row>
    <row r="262" spans="26:37" x14ac:dyDescent="0.25">
      <c r="Z262" s="122"/>
    </row>
    <row r="263" spans="26:37" ht="15" x14ac:dyDescent="0.25">
      <c r="Z263" s="123" t="s">
        <v>101</v>
      </c>
      <c r="AA263" t="s">
        <v>62</v>
      </c>
      <c r="AB263">
        <v>83.9</v>
      </c>
      <c r="AC263">
        <v>21</v>
      </c>
      <c r="AD263">
        <v>125.7</v>
      </c>
      <c r="AE263">
        <v>22</v>
      </c>
      <c r="AF263">
        <v>217.3</v>
      </c>
      <c r="AG263">
        <v>20</v>
      </c>
      <c r="AH263">
        <v>185.5</v>
      </c>
      <c r="AI263">
        <v>15</v>
      </c>
      <c r="AJ263">
        <v>276.89999999999998</v>
      </c>
      <c r="AK263">
        <v>15</v>
      </c>
    </row>
    <row r="264" spans="26:37" x14ac:dyDescent="0.25">
      <c r="Z264" s="122"/>
    </row>
    <row r="265" spans="26:37" ht="15" x14ac:dyDescent="0.25">
      <c r="Z265" s="123" t="s">
        <v>65</v>
      </c>
      <c r="AA265" t="s">
        <v>62</v>
      </c>
      <c r="AB265">
        <v>50.9</v>
      </c>
      <c r="AC265">
        <v>22</v>
      </c>
      <c r="AD265">
        <v>855.8</v>
      </c>
      <c r="AE265">
        <v>8</v>
      </c>
      <c r="AF265">
        <v>626.70000000000005</v>
      </c>
      <c r="AG265">
        <v>11</v>
      </c>
      <c r="AH265">
        <v>337.6</v>
      </c>
      <c r="AI265">
        <v>12</v>
      </c>
      <c r="AJ265">
        <v>521.70000000000005</v>
      </c>
      <c r="AK265">
        <v>9</v>
      </c>
    </row>
    <row r="266" spans="26:37" x14ac:dyDescent="0.25">
      <c r="Z266" s="122"/>
    </row>
    <row r="267" spans="26:37" ht="15" x14ac:dyDescent="0.25">
      <c r="Z267" s="123" t="s">
        <v>246</v>
      </c>
      <c r="AA267" t="s">
        <v>62</v>
      </c>
      <c r="AB267">
        <v>45.6</v>
      </c>
      <c r="AC267">
        <v>23</v>
      </c>
      <c r="AD267">
        <v>234.5</v>
      </c>
      <c r="AE267">
        <v>17</v>
      </c>
      <c r="AF267">
        <v>225</v>
      </c>
      <c r="AG267">
        <v>18</v>
      </c>
      <c r="AH267">
        <v>60.9</v>
      </c>
      <c r="AI267">
        <v>25</v>
      </c>
      <c r="AJ267">
        <v>122.9</v>
      </c>
      <c r="AK267">
        <v>22</v>
      </c>
    </row>
    <row r="268" spans="26:37" x14ac:dyDescent="0.25">
      <c r="Z268" s="122"/>
    </row>
    <row r="269" spans="26:37" ht="15" x14ac:dyDescent="0.25">
      <c r="Z269" s="123" t="s">
        <v>119</v>
      </c>
      <c r="AA269" t="s">
        <v>62</v>
      </c>
      <c r="AB269">
        <v>41.9</v>
      </c>
      <c r="AC269">
        <v>24</v>
      </c>
      <c r="AD269">
        <v>39</v>
      </c>
      <c r="AE269">
        <v>30</v>
      </c>
      <c r="AF269">
        <v>104.6</v>
      </c>
      <c r="AG269">
        <v>26</v>
      </c>
      <c r="AH269">
        <v>44.5</v>
      </c>
      <c r="AI269">
        <v>28</v>
      </c>
      <c r="AJ269">
        <v>5</v>
      </c>
      <c r="AK269">
        <v>37</v>
      </c>
    </row>
    <row r="270" spans="26:37" x14ac:dyDescent="0.25">
      <c r="Z270" s="122"/>
    </row>
    <row r="271" spans="26:37" ht="15" x14ac:dyDescent="0.25">
      <c r="Z271" s="123" t="s">
        <v>165</v>
      </c>
      <c r="AA271" t="s">
        <v>62</v>
      </c>
      <c r="AB271">
        <v>41.5</v>
      </c>
      <c r="AC271">
        <v>25</v>
      </c>
      <c r="AD271">
        <v>44.3</v>
      </c>
      <c r="AE271">
        <v>28</v>
      </c>
      <c r="AF271">
        <v>54.5</v>
      </c>
      <c r="AG271">
        <v>29</v>
      </c>
      <c r="AH271">
        <v>45.1</v>
      </c>
      <c r="AI271">
        <v>27</v>
      </c>
      <c r="AJ271">
        <v>50.6</v>
      </c>
      <c r="AK271">
        <v>28</v>
      </c>
    </row>
    <row r="272" spans="26:37" x14ac:dyDescent="0.25">
      <c r="Z272" s="122"/>
    </row>
    <row r="273" spans="26:37" ht="15" x14ac:dyDescent="0.25">
      <c r="Z273" s="123" t="s">
        <v>70</v>
      </c>
      <c r="AA273" t="s">
        <v>62</v>
      </c>
      <c r="AB273">
        <v>30.3</v>
      </c>
      <c r="AC273">
        <v>26</v>
      </c>
      <c r="AD273">
        <v>52.5</v>
      </c>
      <c r="AE273">
        <v>26</v>
      </c>
      <c r="AF273">
        <v>98.5</v>
      </c>
      <c r="AG273">
        <v>27</v>
      </c>
      <c r="AH273">
        <v>25.9</v>
      </c>
      <c r="AI273">
        <v>30</v>
      </c>
      <c r="AJ273">
        <v>0</v>
      </c>
      <c r="AK273">
        <v>0</v>
      </c>
    </row>
    <row r="274" spans="26:37" x14ac:dyDescent="0.25">
      <c r="Z274" s="122"/>
    </row>
    <row r="275" spans="26:37" ht="15" x14ac:dyDescent="0.25">
      <c r="Z275" s="123" t="s">
        <v>84</v>
      </c>
      <c r="AA275" t="s">
        <v>62</v>
      </c>
      <c r="AB275">
        <v>29.7</v>
      </c>
      <c r="AC275">
        <v>27</v>
      </c>
      <c r="AD275">
        <v>20.2</v>
      </c>
      <c r="AE275">
        <v>34</v>
      </c>
      <c r="AF275">
        <v>26.2</v>
      </c>
      <c r="AG275">
        <v>33</v>
      </c>
      <c r="AH275">
        <v>3.4</v>
      </c>
      <c r="AI275">
        <v>38</v>
      </c>
      <c r="AJ275">
        <v>8.5</v>
      </c>
      <c r="AK275">
        <v>36</v>
      </c>
    </row>
    <row r="276" spans="26:37" x14ac:dyDescent="0.25">
      <c r="Z276" s="122"/>
    </row>
    <row r="277" spans="26:37" ht="15" x14ac:dyDescent="0.25">
      <c r="Z277" s="123" t="s">
        <v>97</v>
      </c>
      <c r="AA277" t="s">
        <v>62</v>
      </c>
      <c r="AB277">
        <v>23.8</v>
      </c>
      <c r="AC277">
        <v>28</v>
      </c>
      <c r="AD277">
        <v>23.3</v>
      </c>
      <c r="AE277">
        <v>32</v>
      </c>
      <c r="AF277">
        <v>25.2</v>
      </c>
      <c r="AG277">
        <v>35</v>
      </c>
      <c r="AH277">
        <v>24.6</v>
      </c>
      <c r="AI277">
        <v>31</v>
      </c>
      <c r="AJ277">
        <v>24.6</v>
      </c>
      <c r="AK277">
        <v>30</v>
      </c>
    </row>
    <row r="278" spans="26:37" x14ac:dyDescent="0.25">
      <c r="Z278" s="122"/>
    </row>
    <row r="279" spans="26:37" ht="15" x14ac:dyDescent="0.25">
      <c r="Z279" s="123" t="s">
        <v>106</v>
      </c>
      <c r="AA279" t="s">
        <v>62</v>
      </c>
      <c r="AB279">
        <v>13.8</v>
      </c>
      <c r="AC279">
        <v>29</v>
      </c>
      <c r="AD279">
        <v>7.7</v>
      </c>
      <c r="AE279">
        <v>38</v>
      </c>
      <c r="AF279">
        <v>14.4</v>
      </c>
      <c r="AG279">
        <v>39</v>
      </c>
      <c r="AH279">
        <v>7.1</v>
      </c>
      <c r="AI279">
        <v>35</v>
      </c>
      <c r="AJ279">
        <v>17.899999999999999</v>
      </c>
      <c r="AK279">
        <v>32</v>
      </c>
    </row>
    <row r="280" spans="26:37" x14ac:dyDescent="0.25">
      <c r="Z280" s="122"/>
    </row>
    <row r="281" spans="26:37" ht="15" x14ac:dyDescent="0.25">
      <c r="Z281" s="123" t="s">
        <v>229</v>
      </c>
      <c r="AA281" t="s">
        <v>62</v>
      </c>
      <c r="AB281">
        <v>7.3</v>
      </c>
      <c r="AC281">
        <v>30</v>
      </c>
      <c r="AD281">
        <v>12.7</v>
      </c>
      <c r="AE281">
        <v>36</v>
      </c>
      <c r="AF281">
        <v>13.4</v>
      </c>
      <c r="AG281">
        <v>40</v>
      </c>
      <c r="AH281">
        <v>5</v>
      </c>
      <c r="AI281">
        <v>36</v>
      </c>
      <c r="AJ281">
        <v>0</v>
      </c>
      <c r="AK281">
        <v>0</v>
      </c>
    </row>
    <row r="282" spans="26:37" x14ac:dyDescent="0.25">
      <c r="Z282" s="122"/>
    </row>
    <row r="283" spans="26:37" ht="15" x14ac:dyDescent="0.25">
      <c r="Z283" s="123" t="s">
        <v>75</v>
      </c>
      <c r="AA283" t="s">
        <v>62</v>
      </c>
      <c r="AB283">
        <v>5.0999999999999996</v>
      </c>
      <c r="AC283">
        <v>31</v>
      </c>
      <c r="AD283">
        <v>10.1</v>
      </c>
      <c r="AE283">
        <v>37</v>
      </c>
      <c r="AF283">
        <v>0</v>
      </c>
      <c r="AG283">
        <v>0</v>
      </c>
      <c r="AH283">
        <v>0.3</v>
      </c>
      <c r="AI283">
        <v>39</v>
      </c>
      <c r="AJ283">
        <v>0.4</v>
      </c>
      <c r="AK283">
        <v>40</v>
      </c>
    </row>
    <row r="284" spans="26:37" x14ac:dyDescent="0.25">
      <c r="Z284" s="122"/>
    </row>
    <row r="285" spans="26:37" ht="15" x14ac:dyDescent="0.25">
      <c r="Z285" s="123" t="s">
        <v>112</v>
      </c>
      <c r="AA285" t="s">
        <v>62</v>
      </c>
      <c r="AB285">
        <v>2.8</v>
      </c>
      <c r="AC285">
        <v>32</v>
      </c>
      <c r="AD285">
        <v>2.8</v>
      </c>
      <c r="AE285">
        <v>40</v>
      </c>
      <c r="AF285">
        <v>6.6</v>
      </c>
      <c r="AG285">
        <v>41</v>
      </c>
      <c r="AH285">
        <v>3.7</v>
      </c>
      <c r="AI285">
        <v>37</v>
      </c>
      <c r="AJ285">
        <v>1.1000000000000001</v>
      </c>
      <c r="AK285">
        <v>39</v>
      </c>
    </row>
    <row r="286" spans="26:37" x14ac:dyDescent="0.25">
      <c r="Z286" s="122"/>
    </row>
    <row r="287" spans="26:37" ht="15" x14ac:dyDescent="0.25">
      <c r="Z287" s="123" t="s">
        <v>232</v>
      </c>
      <c r="AA287" t="s">
        <v>62</v>
      </c>
      <c r="AB287">
        <v>1.8</v>
      </c>
      <c r="AC287">
        <v>33</v>
      </c>
      <c r="AD287">
        <v>18.2</v>
      </c>
      <c r="AE287">
        <v>35</v>
      </c>
      <c r="AF287">
        <v>195.5</v>
      </c>
      <c r="AG287">
        <v>21</v>
      </c>
      <c r="AH287">
        <v>60.7</v>
      </c>
      <c r="AI287">
        <v>26</v>
      </c>
      <c r="AJ287">
        <v>180</v>
      </c>
      <c r="AK287">
        <v>20</v>
      </c>
    </row>
    <row r="288" spans="26:37" x14ac:dyDescent="0.25">
      <c r="Z288" s="122"/>
    </row>
    <row r="289" spans="26:37" ht="15" x14ac:dyDescent="0.25">
      <c r="Z289" s="123" t="s">
        <v>154</v>
      </c>
      <c r="AA289" t="s">
        <v>62</v>
      </c>
      <c r="AB289">
        <v>1</v>
      </c>
      <c r="AC289">
        <v>34</v>
      </c>
      <c r="AD289">
        <v>7.1</v>
      </c>
      <c r="AE289">
        <v>39</v>
      </c>
      <c r="AF289">
        <v>15.3</v>
      </c>
      <c r="AG289">
        <v>38</v>
      </c>
      <c r="AH289">
        <v>22.9</v>
      </c>
      <c r="AI289">
        <v>32</v>
      </c>
      <c r="AJ289">
        <v>17.3</v>
      </c>
      <c r="AK289">
        <v>33</v>
      </c>
    </row>
    <row r="290" spans="26:37" x14ac:dyDescent="0.25">
      <c r="Z290" s="122"/>
    </row>
    <row r="291" spans="26:37" ht="15" x14ac:dyDescent="0.25">
      <c r="Z291" s="123" t="s">
        <v>251</v>
      </c>
      <c r="AA291" t="s">
        <v>62</v>
      </c>
      <c r="AB291">
        <v>0.5</v>
      </c>
      <c r="AC291">
        <v>35</v>
      </c>
      <c r="AD291">
        <v>49.5</v>
      </c>
      <c r="AE291">
        <v>27</v>
      </c>
      <c r="AF291">
        <v>0</v>
      </c>
      <c r="AG291">
        <v>0</v>
      </c>
      <c r="AH291">
        <v>0</v>
      </c>
      <c r="AI291">
        <v>0</v>
      </c>
      <c r="AJ291">
        <v>0</v>
      </c>
      <c r="AK291">
        <v>0</v>
      </c>
    </row>
    <row r="292" spans="26:37" x14ac:dyDescent="0.25">
      <c r="Z292" s="122"/>
    </row>
    <row r="293" spans="26:37" ht="15" x14ac:dyDescent="0.25">
      <c r="Z293" s="123" t="s">
        <v>107</v>
      </c>
      <c r="AA293" t="s">
        <v>62</v>
      </c>
      <c r="AB293">
        <v>0.4</v>
      </c>
      <c r="AC293">
        <v>36</v>
      </c>
      <c r="AD293">
        <v>0.3</v>
      </c>
      <c r="AE293">
        <v>41</v>
      </c>
      <c r="AF293">
        <v>0</v>
      </c>
      <c r="AG293">
        <v>0</v>
      </c>
      <c r="AH293">
        <v>0</v>
      </c>
      <c r="AI293">
        <v>0</v>
      </c>
      <c r="AJ293">
        <v>0</v>
      </c>
      <c r="AK293">
        <v>0</v>
      </c>
    </row>
    <row r="294" spans="26:37" x14ac:dyDescent="0.25">
      <c r="Z294" s="122"/>
    </row>
    <row r="295" spans="26:37" ht="15" x14ac:dyDescent="0.25">
      <c r="Z295" s="123" t="s">
        <v>248</v>
      </c>
      <c r="AA295" t="s">
        <v>62</v>
      </c>
      <c r="AB295">
        <v>0.1</v>
      </c>
      <c r="AC295">
        <v>37</v>
      </c>
      <c r="AD295">
        <v>0</v>
      </c>
      <c r="AE295">
        <v>0</v>
      </c>
      <c r="AF295">
        <v>0.2</v>
      </c>
      <c r="AG295">
        <v>42</v>
      </c>
      <c r="AH295">
        <v>0.2</v>
      </c>
      <c r="AI295">
        <v>40</v>
      </c>
      <c r="AJ295">
        <v>0</v>
      </c>
      <c r="AK295">
        <v>0</v>
      </c>
    </row>
    <row r="296" spans="26:37" x14ac:dyDescent="0.25">
      <c r="Z296" s="122"/>
    </row>
    <row r="297" spans="26:37" ht="15" x14ac:dyDescent="0.25">
      <c r="Z297" s="123" t="s">
        <v>85</v>
      </c>
      <c r="AA297" t="s">
        <v>62</v>
      </c>
      <c r="AB297">
        <v>0</v>
      </c>
      <c r="AC297">
        <v>0</v>
      </c>
      <c r="AD297">
        <v>218.3</v>
      </c>
      <c r="AE297">
        <v>19</v>
      </c>
      <c r="AF297">
        <v>350</v>
      </c>
      <c r="AG297">
        <v>13</v>
      </c>
      <c r="AH297">
        <v>422.1</v>
      </c>
      <c r="AI297">
        <v>10</v>
      </c>
      <c r="AJ297">
        <v>451.3</v>
      </c>
      <c r="AK297">
        <v>11</v>
      </c>
    </row>
    <row r="298" spans="26:37" x14ac:dyDescent="0.25">
      <c r="Z298" s="122"/>
    </row>
    <row r="299" spans="26:37" ht="15" x14ac:dyDescent="0.25">
      <c r="Z299" s="123" t="s">
        <v>93</v>
      </c>
      <c r="AA299" t="s">
        <v>62</v>
      </c>
      <c r="AB299">
        <v>0</v>
      </c>
      <c r="AC299">
        <v>0</v>
      </c>
      <c r="AD299">
        <v>95.8</v>
      </c>
      <c r="AE299">
        <v>24</v>
      </c>
      <c r="AF299">
        <v>105.3</v>
      </c>
      <c r="AG299">
        <v>25</v>
      </c>
      <c r="AH299">
        <v>122.3</v>
      </c>
      <c r="AI299">
        <v>21</v>
      </c>
      <c r="AJ299">
        <v>217.2</v>
      </c>
      <c r="AK299">
        <v>17</v>
      </c>
    </row>
    <row r="300" spans="26:37" x14ac:dyDescent="0.25">
      <c r="Z300" s="122"/>
    </row>
    <row r="301" spans="26:37" ht="15" x14ac:dyDescent="0.25">
      <c r="Z301" s="123" t="s">
        <v>66</v>
      </c>
      <c r="AA301" t="s">
        <v>62</v>
      </c>
      <c r="AB301">
        <v>0</v>
      </c>
      <c r="AC301">
        <v>0</v>
      </c>
      <c r="AD301">
        <v>75</v>
      </c>
      <c r="AE301">
        <v>25</v>
      </c>
      <c r="AF301">
        <v>49.5</v>
      </c>
      <c r="AG301">
        <v>31</v>
      </c>
      <c r="AH301">
        <v>0</v>
      </c>
      <c r="AI301">
        <v>0</v>
      </c>
      <c r="AJ301">
        <v>2.5</v>
      </c>
      <c r="AK301">
        <v>38</v>
      </c>
    </row>
    <row r="302" spans="26:37" x14ac:dyDescent="0.25">
      <c r="Z302" s="122"/>
    </row>
    <row r="303" spans="26:37" ht="15" x14ac:dyDescent="0.25">
      <c r="Z303" s="123" t="s">
        <v>249</v>
      </c>
      <c r="AA303" t="s">
        <v>62</v>
      </c>
      <c r="AB303">
        <v>0</v>
      </c>
      <c r="AC303">
        <v>0</v>
      </c>
      <c r="AD303">
        <v>38.6</v>
      </c>
      <c r="AE303">
        <v>31</v>
      </c>
      <c r="AF303">
        <v>22.4</v>
      </c>
      <c r="AG303">
        <v>36</v>
      </c>
      <c r="AH303">
        <v>15</v>
      </c>
      <c r="AI303">
        <v>33</v>
      </c>
      <c r="AJ303">
        <v>65.8</v>
      </c>
      <c r="AK303">
        <v>26</v>
      </c>
    </row>
    <row r="304" spans="26:37" x14ac:dyDescent="0.25">
      <c r="Z304" s="122"/>
    </row>
    <row r="305" spans="26:37" ht="15" x14ac:dyDescent="0.25">
      <c r="Z305" s="123" t="s">
        <v>113</v>
      </c>
      <c r="AA305" t="s">
        <v>62</v>
      </c>
      <c r="AB305">
        <v>0</v>
      </c>
      <c r="AC305">
        <v>0</v>
      </c>
      <c r="AD305">
        <v>21.5</v>
      </c>
      <c r="AE305">
        <v>33</v>
      </c>
      <c r="AF305">
        <v>25.8</v>
      </c>
      <c r="AG305">
        <v>34</v>
      </c>
      <c r="AH305">
        <v>11</v>
      </c>
      <c r="AI305">
        <v>34</v>
      </c>
      <c r="AJ305">
        <v>19.3</v>
      </c>
      <c r="AK305">
        <v>31</v>
      </c>
    </row>
    <row r="306" spans="26:37" x14ac:dyDescent="0.25">
      <c r="Z306" s="122"/>
    </row>
    <row r="307" spans="26:37" ht="15" x14ac:dyDescent="0.25">
      <c r="Z307" s="123" t="s">
        <v>77</v>
      </c>
      <c r="AA307" t="s">
        <v>62</v>
      </c>
      <c r="AB307">
        <v>0</v>
      </c>
      <c r="AC307">
        <v>0</v>
      </c>
      <c r="AD307">
        <v>0</v>
      </c>
      <c r="AE307">
        <v>0</v>
      </c>
      <c r="AF307">
        <v>297</v>
      </c>
      <c r="AG307">
        <v>15</v>
      </c>
      <c r="AH307">
        <v>130.1</v>
      </c>
      <c r="AI307">
        <v>19</v>
      </c>
      <c r="AJ307">
        <v>15.4</v>
      </c>
      <c r="AK307">
        <v>34</v>
      </c>
    </row>
    <row r="308" spans="26:37" x14ac:dyDescent="0.25">
      <c r="Z308" s="122"/>
    </row>
    <row r="309" spans="26:37" ht="15" x14ac:dyDescent="0.25">
      <c r="Z309" s="123" t="s">
        <v>247</v>
      </c>
      <c r="AA309" t="s">
        <v>62</v>
      </c>
      <c r="AB309">
        <v>0</v>
      </c>
      <c r="AC309">
        <v>0</v>
      </c>
      <c r="AD309">
        <v>0</v>
      </c>
      <c r="AE309">
        <v>0</v>
      </c>
      <c r="AF309">
        <v>34.799999999999997</v>
      </c>
      <c r="AG309">
        <v>32</v>
      </c>
      <c r="AH309">
        <v>0</v>
      </c>
      <c r="AI309">
        <v>0</v>
      </c>
      <c r="AJ309">
        <v>194.2</v>
      </c>
      <c r="AK309">
        <v>18</v>
      </c>
    </row>
    <row r="310" spans="26:37" x14ac:dyDescent="0.25">
      <c r="Z310" s="122"/>
    </row>
    <row r="311" spans="26:37" ht="15" x14ac:dyDescent="0.25">
      <c r="Z311" s="123" t="s">
        <v>155</v>
      </c>
      <c r="AA311" t="s">
        <v>62</v>
      </c>
      <c r="AB311">
        <v>0</v>
      </c>
      <c r="AC311">
        <v>0</v>
      </c>
      <c r="AD311">
        <v>0</v>
      </c>
      <c r="AE311">
        <v>0</v>
      </c>
      <c r="AF311">
        <v>17.100000000000001</v>
      </c>
      <c r="AG311">
        <v>37</v>
      </c>
      <c r="AH311">
        <v>27.4</v>
      </c>
      <c r="AI311">
        <v>29</v>
      </c>
      <c r="AJ311">
        <v>0</v>
      </c>
      <c r="AK311">
        <v>0</v>
      </c>
    </row>
    <row r="312" spans="26:37" x14ac:dyDescent="0.25">
      <c r="Z312" s="122"/>
    </row>
    <row r="313" spans="26:37" ht="15" x14ac:dyDescent="0.25">
      <c r="Z313" s="123" t="s">
        <v>86</v>
      </c>
      <c r="AA313" t="s">
        <v>62</v>
      </c>
      <c r="AB313">
        <v>0</v>
      </c>
      <c r="AC313">
        <v>0</v>
      </c>
      <c r="AD313">
        <v>0</v>
      </c>
      <c r="AE313">
        <v>0</v>
      </c>
      <c r="AF313">
        <v>0</v>
      </c>
      <c r="AG313">
        <v>0</v>
      </c>
      <c r="AH313">
        <v>0</v>
      </c>
      <c r="AI313">
        <v>0</v>
      </c>
      <c r="AJ313">
        <v>37.5</v>
      </c>
      <c r="AK313">
        <v>29</v>
      </c>
    </row>
    <row r="314" spans="26:37" x14ac:dyDescent="0.25">
      <c r="Z314" s="122"/>
    </row>
    <row r="315" spans="26:37" ht="15" x14ac:dyDescent="0.25">
      <c r="Z315" s="123" t="s">
        <v>81</v>
      </c>
      <c r="AA315" t="s">
        <v>62</v>
      </c>
      <c r="AB315">
        <v>0</v>
      </c>
      <c r="AC315">
        <v>0</v>
      </c>
      <c r="AD315">
        <v>0</v>
      </c>
      <c r="AE315">
        <v>0</v>
      </c>
      <c r="AF315">
        <v>0</v>
      </c>
      <c r="AG315">
        <v>0</v>
      </c>
      <c r="AH315">
        <v>0</v>
      </c>
      <c r="AI315">
        <v>0</v>
      </c>
      <c r="AJ315">
        <v>10.9</v>
      </c>
      <c r="AK315">
        <v>35</v>
      </c>
    </row>
    <row r="316" spans="26:37" x14ac:dyDescent="0.25">
      <c r="Z316" s="122"/>
    </row>
    <row r="317" spans="26:37" ht="15" x14ac:dyDescent="0.25">
      <c r="Z317" s="123" t="s">
        <v>61</v>
      </c>
      <c r="AA317" t="s">
        <v>197</v>
      </c>
      <c r="AB317" t="s">
        <v>167</v>
      </c>
      <c r="AC317" t="s">
        <v>177</v>
      </c>
      <c r="AD317" t="s">
        <v>167</v>
      </c>
      <c r="AE317" t="s">
        <v>177</v>
      </c>
      <c r="AF317" t="s">
        <v>167</v>
      </c>
      <c r="AG317" t="s">
        <v>198</v>
      </c>
      <c r="AH317" t="s">
        <v>61</v>
      </c>
      <c r="AI317" t="s">
        <v>198</v>
      </c>
      <c r="AJ317" t="s">
        <v>61</v>
      </c>
      <c r="AK317" t="s">
        <v>177</v>
      </c>
    </row>
    <row r="318" spans="26:37" ht="15" x14ac:dyDescent="0.25">
      <c r="Z318" s="123" t="s">
        <v>182</v>
      </c>
      <c r="AA318" t="s">
        <v>62</v>
      </c>
      <c r="AB318">
        <v>36739.300000000003</v>
      </c>
      <c r="AD318">
        <v>39993.1</v>
      </c>
      <c r="AF318">
        <v>39642.199999999997</v>
      </c>
      <c r="AH318">
        <v>33853.599999999999</v>
      </c>
      <c r="AJ318">
        <v>30449.5</v>
      </c>
    </row>
    <row r="319" spans="26:37" ht="15" x14ac:dyDescent="0.25">
      <c r="Z319" s="123" t="s">
        <v>253</v>
      </c>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F211"/>
  <sheetViews>
    <sheetView workbookViewId="0"/>
  </sheetViews>
  <sheetFormatPr defaultRowHeight="13.2" x14ac:dyDescent="0.25"/>
  <sheetData>
    <row r="4" spans="1:6" ht="15" x14ac:dyDescent="0.25">
      <c r="A4" s="123" t="s">
        <v>58</v>
      </c>
    </row>
    <row r="5" spans="1:6" ht="15" x14ac:dyDescent="0.25">
      <c r="A5" s="123" t="s">
        <v>156</v>
      </c>
      <c r="B5" t="s">
        <v>157</v>
      </c>
      <c r="C5" t="s">
        <v>158</v>
      </c>
      <c r="D5" t="s">
        <v>184</v>
      </c>
      <c r="E5" t="s">
        <v>254</v>
      </c>
      <c r="F5" t="s">
        <v>255</v>
      </c>
    </row>
    <row r="6" spans="1:6" ht="15" x14ac:dyDescent="0.25">
      <c r="A6" s="123" t="s">
        <v>227</v>
      </c>
      <c r="B6" t="s">
        <v>159</v>
      </c>
      <c r="C6" t="s">
        <v>160</v>
      </c>
      <c r="D6" t="s">
        <v>187</v>
      </c>
      <c r="E6" s="20">
        <v>37499</v>
      </c>
      <c r="F6">
        <v>12</v>
      </c>
    </row>
    <row r="7" spans="1:6" ht="15" x14ac:dyDescent="0.25">
      <c r="A7" s="123" t="s">
        <v>59</v>
      </c>
    </row>
    <row r="8" spans="1:6" ht="15" x14ac:dyDescent="0.25">
      <c r="A8" s="123" t="s">
        <v>161</v>
      </c>
      <c r="B8" t="s">
        <v>162</v>
      </c>
      <c r="C8" t="s">
        <v>61</v>
      </c>
      <c r="D8" t="s">
        <v>168</v>
      </c>
      <c r="E8" t="s">
        <v>256</v>
      </c>
      <c r="F8" t="s">
        <v>257</v>
      </c>
    </row>
    <row r="9" spans="1:6" ht="15" x14ac:dyDescent="0.25">
      <c r="A9" s="123"/>
      <c r="B9" t="s">
        <v>62</v>
      </c>
      <c r="C9" t="s">
        <v>163</v>
      </c>
      <c r="D9" t="s">
        <v>190</v>
      </c>
      <c r="E9" t="s">
        <v>258</v>
      </c>
      <c r="F9" t="s">
        <v>259</v>
      </c>
    </row>
    <row r="10" spans="1:6" ht="15" x14ac:dyDescent="0.25">
      <c r="A10" s="123"/>
      <c r="B10" t="s">
        <v>62</v>
      </c>
      <c r="C10" t="s">
        <v>61</v>
      </c>
      <c r="D10" t="s">
        <v>168</v>
      </c>
      <c r="E10" t="s">
        <v>256</v>
      </c>
      <c r="F10" t="s">
        <v>257</v>
      </c>
    </row>
    <row r="11" spans="1:6" ht="15" x14ac:dyDescent="0.25">
      <c r="A11" s="123" t="s">
        <v>63</v>
      </c>
      <c r="B11" t="s">
        <v>62</v>
      </c>
      <c r="C11" t="s">
        <v>227</v>
      </c>
      <c r="D11" t="s">
        <v>260</v>
      </c>
      <c r="E11" t="s">
        <v>261</v>
      </c>
      <c r="F11" t="s">
        <v>260</v>
      </c>
    </row>
    <row r="12" spans="1:6" ht="15" x14ac:dyDescent="0.25">
      <c r="A12" s="123" t="s">
        <v>161</v>
      </c>
      <c r="B12" t="s">
        <v>162</v>
      </c>
      <c r="C12" t="s">
        <v>61</v>
      </c>
      <c r="D12" t="s">
        <v>168</v>
      </c>
      <c r="E12" t="s">
        <v>256</v>
      </c>
      <c r="F12" t="s">
        <v>257</v>
      </c>
    </row>
    <row r="13" spans="1:6" ht="15" x14ac:dyDescent="0.25">
      <c r="A13" s="123"/>
      <c r="B13" t="s">
        <v>62</v>
      </c>
    </row>
    <row r="14" spans="1:6" ht="15" x14ac:dyDescent="0.25">
      <c r="A14" s="123" t="s">
        <v>64</v>
      </c>
      <c r="B14" t="s">
        <v>62</v>
      </c>
      <c r="C14">
        <v>0.4</v>
      </c>
      <c r="D14">
        <v>0.6</v>
      </c>
      <c r="E14">
        <v>0.7</v>
      </c>
      <c r="F14">
        <v>1000.6</v>
      </c>
    </row>
    <row r="15" spans="1:6" ht="15" x14ac:dyDescent="0.25">
      <c r="A15" s="123" t="s">
        <v>247</v>
      </c>
      <c r="B15" t="s">
        <v>62</v>
      </c>
      <c r="C15">
        <v>0</v>
      </c>
      <c r="D15">
        <v>0</v>
      </c>
      <c r="E15" t="s">
        <v>228</v>
      </c>
      <c r="F15">
        <v>0</v>
      </c>
    </row>
    <row r="16" spans="1:6" ht="15" x14ac:dyDescent="0.25">
      <c r="A16" s="123" t="s">
        <v>129</v>
      </c>
      <c r="B16" t="s">
        <v>62</v>
      </c>
      <c r="C16">
        <v>0</v>
      </c>
      <c r="D16">
        <v>0</v>
      </c>
      <c r="E16">
        <v>0</v>
      </c>
      <c r="F16">
        <v>62.8</v>
      </c>
    </row>
    <row r="17" spans="1:6" ht="15" x14ac:dyDescent="0.25">
      <c r="A17" s="123" t="s">
        <v>229</v>
      </c>
      <c r="B17" t="s">
        <v>62</v>
      </c>
      <c r="C17">
        <v>0</v>
      </c>
      <c r="D17">
        <v>0</v>
      </c>
      <c r="E17">
        <v>0</v>
      </c>
      <c r="F17">
        <v>113.8</v>
      </c>
    </row>
    <row r="18" spans="1:6" ht="15" x14ac:dyDescent="0.25">
      <c r="A18" s="123" t="s">
        <v>232</v>
      </c>
      <c r="B18" t="s">
        <v>62</v>
      </c>
      <c r="C18">
        <v>0</v>
      </c>
      <c r="D18">
        <v>0</v>
      </c>
      <c r="E18">
        <v>0</v>
      </c>
      <c r="F18">
        <v>28.3</v>
      </c>
    </row>
    <row r="19" spans="1:6" ht="15" x14ac:dyDescent="0.25">
      <c r="A19" s="123" t="s">
        <v>230</v>
      </c>
      <c r="B19" t="s">
        <v>62</v>
      </c>
      <c r="C19">
        <v>0</v>
      </c>
      <c r="D19">
        <v>0</v>
      </c>
      <c r="E19">
        <v>0</v>
      </c>
      <c r="F19">
        <v>92.1</v>
      </c>
    </row>
    <row r="20" spans="1:6" ht="15" x14ac:dyDescent="0.25">
      <c r="A20" s="123" t="s">
        <v>181</v>
      </c>
      <c r="B20" t="s">
        <v>62</v>
      </c>
      <c r="C20">
        <v>0</v>
      </c>
      <c r="D20">
        <v>0</v>
      </c>
      <c r="E20">
        <v>0</v>
      </c>
      <c r="F20">
        <v>349.8</v>
      </c>
    </row>
    <row r="21" spans="1:6" ht="15" x14ac:dyDescent="0.25">
      <c r="A21" s="123" t="s">
        <v>65</v>
      </c>
      <c r="B21" t="s">
        <v>62</v>
      </c>
      <c r="C21">
        <v>0.3</v>
      </c>
      <c r="D21">
        <v>0.5</v>
      </c>
      <c r="E21">
        <v>0.2</v>
      </c>
      <c r="F21">
        <v>353.5</v>
      </c>
    </row>
    <row r="22" spans="1:6" ht="15" x14ac:dyDescent="0.25">
      <c r="A22" s="123" t="s">
        <v>66</v>
      </c>
      <c r="B22" t="s">
        <v>62</v>
      </c>
      <c r="C22">
        <v>0.2</v>
      </c>
      <c r="D22">
        <v>0.1</v>
      </c>
      <c r="E22">
        <v>0.5</v>
      </c>
      <c r="F22">
        <v>0.4</v>
      </c>
    </row>
    <row r="23" spans="1:6" ht="15" x14ac:dyDescent="0.25">
      <c r="A23" s="123"/>
      <c r="B23" t="s">
        <v>62</v>
      </c>
    </row>
    <row r="24" spans="1:6" ht="15" x14ac:dyDescent="0.25">
      <c r="A24" s="123" t="s">
        <v>67</v>
      </c>
      <c r="B24" t="s">
        <v>62</v>
      </c>
      <c r="C24">
        <v>0</v>
      </c>
      <c r="D24">
        <v>0</v>
      </c>
      <c r="E24">
        <v>0.1</v>
      </c>
      <c r="F24">
        <v>10.199999999999999</v>
      </c>
    </row>
    <row r="25" spans="1:6" ht="15" x14ac:dyDescent="0.25">
      <c r="A25" s="123" t="s">
        <v>68</v>
      </c>
      <c r="B25" t="s">
        <v>62</v>
      </c>
      <c r="C25">
        <v>0</v>
      </c>
      <c r="D25">
        <v>0</v>
      </c>
      <c r="E25">
        <v>0.1</v>
      </c>
      <c r="F25">
        <v>10.199999999999999</v>
      </c>
    </row>
    <row r="26" spans="1:6" ht="15" x14ac:dyDescent="0.25">
      <c r="A26" s="123"/>
      <c r="B26" t="s">
        <v>62</v>
      </c>
    </row>
    <row r="27" spans="1:6" ht="15" x14ac:dyDescent="0.25">
      <c r="A27" s="123" t="s">
        <v>71</v>
      </c>
      <c r="B27" t="s">
        <v>62</v>
      </c>
      <c r="C27">
        <v>618.70000000000005</v>
      </c>
      <c r="D27">
        <v>814.7</v>
      </c>
      <c r="E27">
        <v>11748.6</v>
      </c>
      <c r="F27">
        <v>14278.9</v>
      </c>
    </row>
    <row r="28" spans="1:6" ht="15" x14ac:dyDescent="0.25">
      <c r="A28" s="123"/>
      <c r="B28" t="s">
        <v>62</v>
      </c>
    </row>
    <row r="29" spans="1:6" ht="15" x14ac:dyDescent="0.25">
      <c r="A29" s="123" t="s">
        <v>72</v>
      </c>
      <c r="B29" t="s">
        <v>62</v>
      </c>
      <c r="C29">
        <v>50</v>
      </c>
      <c r="D29">
        <v>423.7</v>
      </c>
      <c r="E29">
        <v>1265.4000000000001</v>
      </c>
      <c r="F29">
        <v>2393</v>
      </c>
    </row>
    <row r="30" spans="1:6" ht="15" x14ac:dyDescent="0.25">
      <c r="A30" s="123"/>
      <c r="B30" t="s">
        <v>62</v>
      </c>
    </row>
    <row r="31" spans="1:6" ht="15" x14ac:dyDescent="0.25">
      <c r="A31" s="123" t="s">
        <v>73</v>
      </c>
      <c r="B31" t="s">
        <v>62</v>
      </c>
      <c r="C31">
        <v>239.8</v>
      </c>
      <c r="D31">
        <v>0.9</v>
      </c>
      <c r="E31">
        <v>5174.1000000000004</v>
      </c>
      <c r="F31">
        <v>977.2</v>
      </c>
    </row>
    <row r="32" spans="1:6" ht="15" x14ac:dyDescent="0.25">
      <c r="A32" s="123"/>
      <c r="B32" t="s">
        <v>62</v>
      </c>
    </row>
    <row r="33" spans="1:6" ht="15" x14ac:dyDescent="0.25">
      <c r="A33" s="123" t="s">
        <v>74</v>
      </c>
      <c r="B33" t="s">
        <v>62</v>
      </c>
      <c r="C33">
        <v>3.7</v>
      </c>
      <c r="D33">
        <v>72.8</v>
      </c>
      <c r="E33">
        <v>4042.3</v>
      </c>
      <c r="F33">
        <v>9458.2000000000007</v>
      </c>
    </row>
    <row r="34" spans="1:6" ht="15" x14ac:dyDescent="0.25">
      <c r="A34" s="123" t="s">
        <v>75</v>
      </c>
      <c r="B34" t="s">
        <v>62</v>
      </c>
      <c r="C34">
        <v>0.1</v>
      </c>
      <c r="D34">
        <v>0.1</v>
      </c>
      <c r="E34">
        <v>22.6</v>
      </c>
      <c r="F34">
        <v>23.9</v>
      </c>
    </row>
    <row r="35" spans="1:6" ht="15" x14ac:dyDescent="0.25">
      <c r="A35" s="123" t="s">
        <v>76</v>
      </c>
      <c r="B35" t="s">
        <v>62</v>
      </c>
      <c r="C35">
        <v>0</v>
      </c>
      <c r="D35">
        <v>0.6</v>
      </c>
      <c r="E35">
        <v>23</v>
      </c>
      <c r="F35">
        <v>528.9</v>
      </c>
    </row>
    <row r="36" spans="1:6" ht="15" x14ac:dyDescent="0.25">
      <c r="A36" s="123" t="s">
        <v>77</v>
      </c>
      <c r="B36" t="s">
        <v>62</v>
      </c>
      <c r="C36">
        <v>0</v>
      </c>
      <c r="D36">
        <v>0</v>
      </c>
      <c r="E36">
        <v>0</v>
      </c>
      <c r="F36">
        <v>67.5</v>
      </c>
    </row>
    <row r="37" spans="1:6" ht="15" x14ac:dyDescent="0.25">
      <c r="A37" s="123" t="s">
        <v>78</v>
      </c>
      <c r="B37" t="s">
        <v>62</v>
      </c>
      <c r="C37">
        <v>0</v>
      </c>
      <c r="D37">
        <v>0</v>
      </c>
      <c r="E37">
        <v>33.4</v>
      </c>
      <c r="F37">
        <v>801.1</v>
      </c>
    </row>
    <row r="38" spans="1:6" ht="15" x14ac:dyDescent="0.25">
      <c r="A38" s="123" t="s">
        <v>79</v>
      </c>
      <c r="B38" t="s">
        <v>62</v>
      </c>
      <c r="C38">
        <v>0</v>
      </c>
      <c r="D38">
        <v>0</v>
      </c>
      <c r="E38">
        <v>10.6</v>
      </c>
      <c r="F38">
        <v>9.6999999999999993</v>
      </c>
    </row>
    <row r="39" spans="1:6" ht="15" x14ac:dyDescent="0.25">
      <c r="A39" s="123" t="s">
        <v>80</v>
      </c>
      <c r="B39" t="s">
        <v>62</v>
      </c>
      <c r="C39">
        <v>3.4</v>
      </c>
      <c r="D39">
        <v>70.3</v>
      </c>
      <c r="E39">
        <v>3635.3</v>
      </c>
      <c r="F39">
        <v>6103.7</v>
      </c>
    </row>
    <row r="40" spans="1:6" ht="15" x14ac:dyDescent="0.25">
      <c r="A40" s="123" t="s">
        <v>81</v>
      </c>
      <c r="B40" t="s">
        <v>62</v>
      </c>
      <c r="C40">
        <v>0</v>
      </c>
      <c r="D40">
        <v>0</v>
      </c>
      <c r="E40">
        <v>0</v>
      </c>
      <c r="F40">
        <v>190.2</v>
      </c>
    </row>
    <row r="41" spans="1:6" ht="15" x14ac:dyDescent="0.25">
      <c r="A41" s="123" t="s">
        <v>82</v>
      </c>
      <c r="B41" t="s">
        <v>62</v>
      </c>
      <c r="C41">
        <v>0</v>
      </c>
      <c r="D41">
        <v>0.4</v>
      </c>
      <c r="E41">
        <v>4.4000000000000004</v>
      </c>
      <c r="F41">
        <v>70.5</v>
      </c>
    </row>
    <row r="42" spans="1:6" ht="15" x14ac:dyDescent="0.25">
      <c r="A42" s="123" t="s">
        <v>123</v>
      </c>
      <c r="B42" t="s">
        <v>62</v>
      </c>
      <c r="C42" t="s">
        <v>228</v>
      </c>
      <c r="D42">
        <v>0</v>
      </c>
      <c r="E42">
        <v>0.1</v>
      </c>
      <c r="F42">
        <v>10.3</v>
      </c>
    </row>
    <row r="43" spans="1:6" ht="15" x14ac:dyDescent="0.25">
      <c r="A43" s="123" t="s">
        <v>165</v>
      </c>
      <c r="B43" t="s">
        <v>62</v>
      </c>
      <c r="C43">
        <v>0.2</v>
      </c>
      <c r="D43">
        <v>1.4</v>
      </c>
      <c r="E43">
        <v>7</v>
      </c>
      <c r="F43">
        <v>7.1</v>
      </c>
    </row>
    <row r="44" spans="1:6" ht="15" x14ac:dyDescent="0.25">
      <c r="A44" s="123" t="s">
        <v>83</v>
      </c>
      <c r="B44" t="s">
        <v>62</v>
      </c>
      <c r="C44">
        <v>0</v>
      </c>
      <c r="D44">
        <v>0</v>
      </c>
      <c r="E44">
        <v>294.8</v>
      </c>
      <c r="F44">
        <v>571.9</v>
      </c>
    </row>
    <row r="45" spans="1:6" ht="15" x14ac:dyDescent="0.25">
      <c r="A45" s="123" t="s">
        <v>84</v>
      </c>
      <c r="B45" t="s">
        <v>62</v>
      </c>
      <c r="C45">
        <v>0</v>
      </c>
      <c r="D45">
        <v>0</v>
      </c>
      <c r="E45">
        <v>0</v>
      </c>
      <c r="F45">
        <v>6.1</v>
      </c>
    </row>
    <row r="46" spans="1:6" ht="15" x14ac:dyDescent="0.25">
      <c r="A46" s="123" t="s">
        <v>85</v>
      </c>
      <c r="B46" t="s">
        <v>62</v>
      </c>
      <c r="C46">
        <v>0</v>
      </c>
      <c r="D46">
        <v>0</v>
      </c>
      <c r="E46">
        <v>0</v>
      </c>
      <c r="F46">
        <v>1035.4000000000001</v>
      </c>
    </row>
    <row r="47" spans="1:6" ht="15" x14ac:dyDescent="0.25">
      <c r="A47" s="123" t="s">
        <v>245</v>
      </c>
      <c r="B47" t="s">
        <v>62</v>
      </c>
      <c r="C47">
        <v>0</v>
      </c>
      <c r="D47">
        <v>0</v>
      </c>
      <c r="E47">
        <v>0</v>
      </c>
      <c r="F47" t="s">
        <v>228</v>
      </c>
    </row>
    <row r="48" spans="1:6" ht="15" x14ac:dyDescent="0.25">
      <c r="A48" s="123" t="s">
        <v>86</v>
      </c>
      <c r="B48" t="s">
        <v>62</v>
      </c>
      <c r="C48">
        <v>0</v>
      </c>
      <c r="D48">
        <v>0</v>
      </c>
      <c r="E48">
        <v>10.1</v>
      </c>
      <c r="F48">
        <v>19.600000000000001</v>
      </c>
    </row>
    <row r="49" spans="1:6" ht="15" x14ac:dyDescent="0.25">
      <c r="A49" s="123" t="s">
        <v>87</v>
      </c>
      <c r="B49" t="s">
        <v>62</v>
      </c>
      <c r="C49">
        <v>0</v>
      </c>
      <c r="D49">
        <v>0</v>
      </c>
      <c r="E49">
        <v>1</v>
      </c>
      <c r="F49">
        <v>12.4</v>
      </c>
    </row>
    <row r="50" spans="1:6" ht="15" x14ac:dyDescent="0.25">
      <c r="A50" s="123"/>
      <c r="B50" t="s">
        <v>62</v>
      </c>
    </row>
    <row r="51" spans="1:6" ht="15" x14ac:dyDescent="0.25">
      <c r="A51" s="123" t="s">
        <v>88</v>
      </c>
      <c r="B51" t="s">
        <v>62</v>
      </c>
      <c r="C51">
        <v>0</v>
      </c>
      <c r="D51">
        <v>7.3</v>
      </c>
      <c r="E51">
        <v>604</v>
      </c>
      <c r="F51">
        <v>3742.3</v>
      </c>
    </row>
    <row r="52" spans="1:6" ht="15" x14ac:dyDescent="0.25">
      <c r="A52" s="123" t="s">
        <v>89</v>
      </c>
      <c r="B52" t="s">
        <v>62</v>
      </c>
      <c r="C52">
        <v>0</v>
      </c>
      <c r="D52">
        <v>0</v>
      </c>
      <c r="E52">
        <v>0</v>
      </c>
      <c r="F52">
        <v>44.7</v>
      </c>
    </row>
    <row r="53" spans="1:6" ht="15" x14ac:dyDescent="0.25">
      <c r="A53" s="123" t="s">
        <v>90</v>
      </c>
      <c r="B53" t="s">
        <v>62</v>
      </c>
      <c r="C53">
        <v>0</v>
      </c>
      <c r="D53">
        <v>7.3</v>
      </c>
      <c r="E53">
        <v>544.9</v>
      </c>
      <c r="F53">
        <v>3301.9</v>
      </c>
    </row>
    <row r="54" spans="1:6" ht="15" x14ac:dyDescent="0.25">
      <c r="A54" s="123" t="s">
        <v>92</v>
      </c>
      <c r="B54" t="s">
        <v>62</v>
      </c>
      <c r="C54">
        <v>0</v>
      </c>
      <c r="D54">
        <v>0</v>
      </c>
      <c r="E54">
        <v>0</v>
      </c>
      <c r="F54">
        <v>52.5</v>
      </c>
    </row>
    <row r="55" spans="1:6" ht="15" x14ac:dyDescent="0.25">
      <c r="A55" s="123" t="s">
        <v>93</v>
      </c>
      <c r="B55" t="s">
        <v>62</v>
      </c>
      <c r="C55">
        <v>0</v>
      </c>
      <c r="D55">
        <v>0</v>
      </c>
      <c r="E55">
        <v>59.1</v>
      </c>
      <c r="F55">
        <v>182.5</v>
      </c>
    </row>
    <row r="56" spans="1:6" ht="15" x14ac:dyDescent="0.25">
      <c r="A56" s="123" t="s">
        <v>95</v>
      </c>
      <c r="B56" t="s">
        <v>62</v>
      </c>
      <c r="C56">
        <v>0</v>
      </c>
      <c r="D56">
        <v>0</v>
      </c>
      <c r="E56">
        <v>0</v>
      </c>
      <c r="F56">
        <v>160.80000000000001</v>
      </c>
    </row>
    <row r="57" spans="1:6" ht="15" x14ac:dyDescent="0.25">
      <c r="A57" s="123"/>
      <c r="B57" t="s">
        <v>62</v>
      </c>
    </row>
    <row r="58" spans="1:6" ht="15" x14ac:dyDescent="0.25">
      <c r="A58" s="123" t="s">
        <v>96</v>
      </c>
      <c r="B58" t="s">
        <v>62</v>
      </c>
      <c r="C58">
        <v>364.2</v>
      </c>
      <c r="D58">
        <v>532.4</v>
      </c>
      <c r="E58">
        <v>15079.7</v>
      </c>
      <c r="F58">
        <v>13396</v>
      </c>
    </row>
    <row r="59" spans="1:6" ht="15" x14ac:dyDescent="0.25">
      <c r="A59" s="123" t="s">
        <v>97</v>
      </c>
      <c r="B59" t="s">
        <v>62</v>
      </c>
      <c r="C59">
        <v>0</v>
      </c>
      <c r="D59">
        <v>0</v>
      </c>
      <c r="E59">
        <v>35.6</v>
      </c>
      <c r="F59">
        <v>35.700000000000003</v>
      </c>
    </row>
    <row r="60" spans="1:6" ht="15" x14ac:dyDescent="0.25">
      <c r="A60" s="123" t="s">
        <v>252</v>
      </c>
      <c r="B60" t="s">
        <v>62</v>
      </c>
      <c r="C60">
        <v>0</v>
      </c>
      <c r="D60">
        <v>0</v>
      </c>
      <c r="E60" t="s">
        <v>228</v>
      </c>
      <c r="F60">
        <v>0</v>
      </c>
    </row>
    <row r="61" spans="1:6" ht="15" x14ac:dyDescent="0.25">
      <c r="A61" s="123" t="s">
        <v>98</v>
      </c>
      <c r="B61" t="s">
        <v>62</v>
      </c>
      <c r="C61">
        <v>7</v>
      </c>
      <c r="D61">
        <v>73.3</v>
      </c>
      <c r="E61">
        <v>575.70000000000005</v>
      </c>
      <c r="F61">
        <v>669.5</v>
      </c>
    </row>
    <row r="62" spans="1:6" ht="15" x14ac:dyDescent="0.25">
      <c r="A62" s="123" t="s">
        <v>99</v>
      </c>
      <c r="B62" t="s">
        <v>62</v>
      </c>
      <c r="C62">
        <v>11.3</v>
      </c>
      <c r="D62">
        <v>64.400000000000006</v>
      </c>
      <c r="E62">
        <v>487.2</v>
      </c>
      <c r="F62">
        <v>506.7</v>
      </c>
    </row>
    <row r="63" spans="1:6" ht="15" x14ac:dyDescent="0.25">
      <c r="A63" s="123" t="s">
        <v>101</v>
      </c>
      <c r="B63" t="s">
        <v>62</v>
      </c>
      <c r="C63">
        <v>121.3</v>
      </c>
      <c r="D63">
        <v>86.3</v>
      </c>
      <c r="E63">
        <v>275.10000000000002</v>
      </c>
      <c r="F63">
        <v>536.4</v>
      </c>
    </row>
    <row r="64" spans="1:6" ht="15" x14ac:dyDescent="0.25">
      <c r="A64" s="123" t="s">
        <v>102</v>
      </c>
      <c r="B64" t="s">
        <v>62</v>
      </c>
      <c r="C64">
        <v>25</v>
      </c>
      <c r="D64">
        <v>0</v>
      </c>
      <c r="E64">
        <v>422.7</v>
      </c>
      <c r="F64">
        <v>427.2</v>
      </c>
    </row>
    <row r="65" spans="1:6" ht="15" x14ac:dyDescent="0.25">
      <c r="A65" s="123" t="s">
        <v>103</v>
      </c>
      <c r="B65" t="s">
        <v>62</v>
      </c>
      <c r="C65">
        <v>17.7</v>
      </c>
      <c r="D65">
        <v>47.8</v>
      </c>
      <c r="E65">
        <v>386.5</v>
      </c>
      <c r="F65">
        <v>685.2</v>
      </c>
    </row>
    <row r="66" spans="1:6" ht="15" x14ac:dyDescent="0.25">
      <c r="A66" s="123" t="s">
        <v>104</v>
      </c>
      <c r="B66" t="s">
        <v>62</v>
      </c>
      <c r="C66">
        <v>0</v>
      </c>
      <c r="D66">
        <v>0</v>
      </c>
      <c r="E66">
        <v>29.7</v>
      </c>
      <c r="F66">
        <v>214.2</v>
      </c>
    </row>
    <row r="67" spans="1:6" ht="15" x14ac:dyDescent="0.25">
      <c r="A67" s="123" t="s">
        <v>105</v>
      </c>
      <c r="B67" t="s">
        <v>62</v>
      </c>
      <c r="C67">
        <v>0</v>
      </c>
      <c r="D67">
        <v>0</v>
      </c>
      <c r="E67">
        <v>1.1000000000000001</v>
      </c>
      <c r="F67">
        <v>2</v>
      </c>
    </row>
    <row r="68" spans="1:6" ht="15" x14ac:dyDescent="0.25">
      <c r="A68" s="123" t="s">
        <v>106</v>
      </c>
      <c r="B68" t="s">
        <v>62</v>
      </c>
      <c r="C68">
        <v>8.3000000000000007</v>
      </c>
      <c r="D68">
        <v>83.7</v>
      </c>
      <c r="E68">
        <v>549.1</v>
      </c>
      <c r="F68">
        <v>660.6</v>
      </c>
    </row>
    <row r="69" spans="1:6" ht="15" x14ac:dyDescent="0.25">
      <c r="A69" s="123" t="s">
        <v>118</v>
      </c>
      <c r="B69" t="s">
        <v>62</v>
      </c>
      <c r="C69">
        <v>0</v>
      </c>
      <c r="D69">
        <v>0</v>
      </c>
      <c r="E69">
        <v>43.2</v>
      </c>
      <c r="F69">
        <v>38.799999999999997</v>
      </c>
    </row>
    <row r="70" spans="1:6" ht="15" x14ac:dyDescent="0.25">
      <c r="A70" s="123" t="s">
        <v>231</v>
      </c>
      <c r="B70" t="s">
        <v>62</v>
      </c>
      <c r="C70">
        <v>0</v>
      </c>
      <c r="D70">
        <v>0</v>
      </c>
      <c r="E70">
        <v>4.2</v>
      </c>
      <c r="F70">
        <v>0</v>
      </c>
    </row>
    <row r="71" spans="1:6" ht="15" x14ac:dyDescent="0.25">
      <c r="A71" s="123" t="s">
        <v>107</v>
      </c>
      <c r="B71" t="s">
        <v>62</v>
      </c>
      <c r="C71">
        <v>9.5</v>
      </c>
      <c r="D71">
        <v>1</v>
      </c>
      <c r="E71">
        <v>382.1</v>
      </c>
      <c r="F71">
        <v>431.2</v>
      </c>
    </row>
    <row r="72" spans="1:6" ht="15" x14ac:dyDescent="0.25">
      <c r="A72" s="123" t="s">
        <v>108</v>
      </c>
      <c r="B72" t="s">
        <v>62</v>
      </c>
      <c r="C72">
        <v>0</v>
      </c>
      <c r="D72">
        <v>0.3</v>
      </c>
      <c r="E72">
        <v>271.10000000000002</v>
      </c>
      <c r="F72">
        <v>241.9</v>
      </c>
    </row>
    <row r="73" spans="1:6" ht="15" x14ac:dyDescent="0.25">
      <c r="A73" s="123" t="s">
        <v>109</v>
      </c>
      <c r="B73" t="s">
        <v>62</v>
      </c>
      <c r="C73">
        <v>1.6</v>
      </c>
      <c r="D73">
        <v>0</v>
      </c>
      <c r="E73">
        <v>7.1</v>
      </c>
      <c r="F73">
        <v>7.8</v>
      </c>
    </row>
    <row r="74" spans="1:6" ht="15" x14ac:dyDescent="0.25">
      <c r="A74" s="123" t="s">
        <v>110</v>
      </c>
      <c r="B74" t="s">
        <v>62</v>
      </c>
      <c r="C74">
        <v>79.400000000000006</v>
      </c>
      <c r="D74">
        <v>115.2</v>
      </c>
      <c r="E74">
        <v>9537.5</v>
      </c>
      <c r="F74">
        <v>7018.6</v>
      </c>
    </row>
    <row r="75" spans="1:6" ht="15" x14ac:dyDescent="0.25">
      <c r="A75" s="123" t="s">
        <v>111</v>
      </c>
      <c r="B75" t="s">
        <v>62</v>
      </c>
      <c r="C75">
        <v>2</v>
      </c>
      <c r="D75">
        <v>31.7</v>
      </c>
      <c r="E75">
        <v>123</v>
      </c>
      <c r="F75">
        <v>118</v>
      </c>
    </row>
    <row r="76" spans="1:6" ht="15" x14ac:dyDescent="0.25">
      <c r="A76" s="123" t="s">
        <v>112</v>
      </c>
      <c r="B76" t="s">
        <v>62</v>
      </c>
      <c r="C76">
        <v>22.1</v>
      </c>
      <c r="D76">
        <v>0</v>
      </c>
      <c r="E76">
        <v>212.2</v>
      </c>
      <c r="F76">
        <v>263</v>
      </c>
    </row>
    <row r="77" spans="1:6" ht="15" x14ac:dyDescent="0.25">
      <c r="A77" s="123" t="s">
        <v>113</v>
      </c>
      <c r="B77" t="s">
        <v>62</v>
      </c>
      <c r="C77">
        <v>0</v>
      </c>
      <c r="D77">
        <v>15</v>
      </c>
      <c r="E77">
        <v>0</v>
      </c>
      <c r="F77">
        <v>66.3</v>
      </c>
    </row>
    <row r="78" spans="1:6" ht="15" x14ac:dyDescent="0.25">
      <c r="A78" s="123" t="s">
        <v>114</v>
      </c>
      <c r="B78" t="s">
        <v>62</v>
      </c>
      <c r="C78">
        <v>7.6</v>
      </c>
      <c r="D78">
        <v>13.8</v>
      </c>
      <c r="E78">
        <v>365.8</v>
      </c>
      <c r="F78">
        <v>479.2</v>
      </c>
    </row>
    <row r="79" spans="1:6" ht="15" x14ac:dyDescent="0.25">
      <c r="A79" s="123" t="s">
        <v>115</v>
      </c>
      <c r="B79" t="s">
        <v>62</v>
      </c>
      <c r="C79">
        <v>0</v>
      </c>
      <c r="D79">
        <v>0</v>
      </c>
      <c r="E79">
        <v>6.6</v>
      </c>
      <c r="F79">
        <v>8.1999999999999993</v>
      </c>
    </row>
    <row r="80" spans="1:6" ht="15" x14ac:dyDescent="0.25">
      <c r="A80" s="123" t="s">
        <v>116</v>
      </c>
      <c r="B80" t="s">
        <v>62</v>
      </c>
      <c r="C80">
        <v>0</v>
      </c>
      <c r="D80">
        <v>0</v>
      </c>
      <c r="E80">
        <v>84.2</v>
      </c>
      <c r="F80">
        <v>92.1</v>
      </c>
    </row>
    <row r="81" spans="1:6" ht="15" x14ac:dyDescent="0.25">
      <c r="A81" s="123" t="s">
        <v>119</v>
      </c>
      <c r="B81" t="s">
        <v>62</v>
      </c>
      <c r="C81">
        <v>51.6</v>
      </c>
      <c r="D81">
        <v>0</v>
      </c>
      <c r="E81">
        <v>1280.0999999999999</v>
      </c>
      <c r="F81">
        <v>893.7</v>
      </c>
    </row>
    <row r="82" spans="1:6" ht="15" x14ac:dyDescent="0.25">
      <c r="A82" s="123" t="s">
        <v>161</v>
      </c>
      <c r="B82" t="s">
        <v>162</v>
      </c>
      <c r="C82" t="s">
        <v>61</v>
      </c>
      <c r="D82" t="s">
        <v>168</v>
      </c>
      <c r="E82" t="s">
        <v>256</v>
      </c>
      <c r="F82" t="s">
        <v>257</v>
      </c>
    </row>
    <row r="83" spans="1:6" ht="15" x14ac:dyDescent="0.25">
      <c r="A83" s="123" t="s">
        <v>134</v>
      </c>
      <c r="B83" t="s">
        <v>62</v>
      </c>
      <c r="C83">
        <v>1276.9000000000001</v>
      </c>
      <c r="D83">
        <v>1852.4</v>
      </c>
      <c r="E83">
        <v>37914.800000000003</v>
      </c>
      <c r="F83">
        <v>45256.4</v>
      </c>
    </row>
    <row r="84" spans="1:6" ht="15" x14ac:dyDescent="0.25">
      <c r="A84" s="123" t="s">
        <v>135</v>
      </c>
      <c r="B84" t="s">
        <v>62</v>
      </c>
      <c r="C84">
        <v>390.3</v>
      </c>
      <c r="D84">
        <v>943.3</v>
      </c>
      <c r="E84">
        <v>0</v>
      </c>
      <c r="F84">
        <v>0</v>
      </c>
    </row>
    <row r="85" spans="1:6" ht="15" x14ac:dyDescent="0.25">
      <c r="A85" s="123" t="s">
        <v>161</v>
      </c>
      <c r="B85" t="s">
        <v>162</v>
      </c>
      <c r="C85" t="s">
        <v>61</v>
      </c>
      <c r="D85" t="s">
        <v>168</v>
      </c>
      <c r="E85" t="s">
        <v>256</v>
      </c>
      <c r="F85" t="s">
        <v>257</v>
      </c>
    </row>
    <row r="86" spans="1:6" ht="15" x14ac:dyDescent="0.25">
      <c r="A86" s="123" t="s">
        <v>136</v>
      </c>
      <c r="B86" t="s">
        <v>62</v>
      </c>
      <c r="C86">
        <v>1667.2</v>
      </c>
      <c r="D86">
        <v>2795.7</v>
      </c>
      <c r="E86">
        <v>37914.800000000003</v>
      </c>
      <c r="F86">
        <v>45256.4</v>
      </c>
    </row>
    <row r="87" spans="1:6" ht="15" x14ac:dyDescent="0.25">
      <c r="A87" s="123" t="s">
        <v>137</v>
      </c>
      <c r="B87" t="s">
        <v>62</v>
      </c>
      <c r="C87">
        <v>0</v>
      </c>
      <c r="D87">
        <v>0</v>
      </c>
      <c r="E87">
        <v>0</v>
      </c>
      <c r="F87">
        <v>0</v>
      </c>
    </row>
    <row r="88" spans="1:6" ht="15" x14ac:dyDescent="0.25">
      <c r="A88" s="123" t="s">
        <v>138</v>
      </c>
      <c r="B88" t="s">
        <v>62</v>
      </c>
      <c r="C88">
        <v>0</v>
      </c>
      <c r="D88">
        <v>0</v>
      </c>
      <c r="E88">
        <v>0</v>
      </c>
      <c r="F88">
        <v>0</v>
      </c>
    </row>
    <row r="89" spans="1:6" ht="15" x14ac:dyDescent="0.25">
      <c r="A89" s="123" t="s">
        <v>161</v>
      </c>
      <c r="B89" t="s">
        <v>162</v>
      </c>
      <c r="C89" t="s">
        <v>61</v>
      </c>
      <c r="D89" t="s">
        <v>168</v>
      </c>
      <c r="E89" t="s">
        <v>256</v>
      </c>
      <c r="F89" t="s">
        <v>257</v>
      </c>
    </row>
    <row r="90" spans="1:6" x14ac:dyDescent="0.25">
      <c r="A90" s="122"/>
    </row>
    <row r="91" spans="1:6" ht="15" x14ac:dyDescent="0.25">
      <c r="A91" s="123" t="s">
        <v>253</v>
      </c>
    </row>
    <row r="92" spans="1:6" ht="15" x14ac:dyDescent="0.25">
      <c r="A92" s="123" t="s">
        <v>234</v>
      </c>
    </row>
    <row r="93" spans="1:6" ht="15" x14ac:dyDescent="0.25">
      <c r="A93" s="123" t="s">
        <v>156</v>
      </c>
      <c r="B93" t="s">
        <v>157</v>
      </c>
      <c r="C93" t="s">
        <v>158</v>
      </c>
      <c r="D93" t="s">
        <v>184</v>
      </c>
      <c r="E93" t="s">
        <v>254</v>
      </c>
      <c r="F93" t="s">
        <v>255</v>
      </c>
    </row>
    <row r="94" spans="1:6" ht="15" x14ac:dyDescent="0.25">
      <c r="A94" s="123" t="s">
        <v>227</v>
      </c>
      <c r="B94" t="s">
        <v>159</v>
      </c>
      <c r="C94" t="s">
        <v>160</v>
      </c>
      <c r="D94" t="s">
        <v>187</v>
      </c>
      <c r="E94" s="20">
        <v>37499</v>
      </c>
      <c r="F94">
        <v>12</v>
      </c>
    </row>
    <row r="95" spans="1:6" ht="15" x14ac:dyDescent="0.25">
      <c r="A95" s="123" t="s">
        <v>59</v>
      </c>
    </row>
    <row r="96" spans="1:6" ht="15" x14ac:dyDescent="0.25">
      <c r="A96" s="123" t="s">
        <v>161</v>
      </c>
      <c r="B96" t="s">
        <v>162</v>
      </c>
      <c r="C96" t="s">
        <v>61</v>
      </c>
      <c r="D96" t="s">
        <v>168</v>
      </c>
      <c r="E96" t="s">
        <v>256</v>
      </c>
      <c r="F96" t="s">
        <v>257</v>
      </c>
    </row>
    <row r="97" spans="1:6" ht="15" x14ac:dyDescent="0.25">
      <c r="A97" s="123"/>
      <c r="B97" t="s">
        <v>62</v>
      </c>
      <c r="C97" t="s">
        <v>163</v>
      </c>
      <c r="D97" t="s">
        <v>190</v>
      </c>
      <c r="E97" t="s">
        <v>258</v>
      </c>
      <c r="F97" t="s">
        <v>259</v>
      </c>
    </row>
    <row r="98" spans="1:6" ht="15" x14ac:dyDescent="0.25">
      <c r="A98" s="123"/>
      <c r="B98" t="s">
        <v>62</v>
      </c>
      <c r="C98" t="s">
        <v>61</v>
      </c>
      <c r="D98" t="s">
        <v>168</v>
      </c>
      <c r="E98" t="s">
        <v>256</v>
      </c>
      <c r="F98" t="s">
        <v>257</v>
      </c>
    </row>
    <row r="99" spans="1:6" ht="15" x14ac:dyDescent="0.25">
      <c r="A99" s="123" t="s">
        <v>63</v>
      </c>
      <c r="B99" t="s">
        <v>62</v>
      </c>
      <c r="C99" t="s">
        <v>227</v>
      </c>
      <c r="D99" t="s">
        <v>260</v>
      </c>
      <c r="E99" t="s">
        <v>261</v>
      </c>
      <c r="F99" t="s">
        <v>260</v>
      </c>
    </row>
    <row r="100" spans="1:6" ht="15" x14ac:dyDescent="0.25">
      <c r="A100" s="123" t="s">
        <v>161</v>
      </c>
      <c r="B100" t="s">
        <v>162</v>
      </c>
      <c r="C100" t="s">
        <v>61</v>
      </c>
      <c r="D100" t="s">
        <v>168</v>
      </c>
      <c r="E100" t="s">
        <v>256</v>
      </c>
      <c r="F100" t="s">
        <v>257</v>
      </c>
    </row>
    <row r="101" spans="1:6" ht="15" x14ac:dyDescent="0.25">
      <c r="A101" s="123"/>
      <c r="B101" t="s">
        <v>62</v>
      </c>
    </row>
    <row r="102" spans="1:6" ht="15" x14ac:dyDescent="0.25">
      <c r="A102" s="123" t="s">
        <v>64</v>
      </c>
      <c r="B102" t="s">
        <v>62</v>
      </c>
      <c r="C102">
        <v>0</v>
      </c>
      <c r="D102">
        <v>0</v>
      </c>
      <c r="E102">
        <v>0</v>
      </c>
      <c r="F102">
        <v>796.4</v>
      </c>
    </row>
    <row r="103" spans="1:6" ht="15" x14ac:dyDescent="0.25">
      <c r="A103" s="123" t="s">
        <v>246</v>
      </c>
      <c r="B103" t="s">
        <v>62</v>
      </c>
      <c r="C103">
        <v>0</v>
      </c>
      <c r="D103">
        <v>0</v>
      </c>
      <c r="E103">
        <v>0</v>
      </c>
      <c r="F103">
        <v>68</v>
      </c>
    </row>
    <row r="104" spans="1:6" ht="15" x14ac:dyDescent="0.25">
      <c r="A104" s="123" t="s">
        <v>232</v>
      </c>
      <c r="B104" t="s">
        <v>62</v>
      </c>
      <c r="C104">
        <v>0</v>
      </c>
      <c r="D104">
        <v>0</v>
      </c>
      <c r="E104">
        <v>0</v>
      </c>
      <c r="F104">
        <v>33</v>
      </c>
    </row>
    <row r="105" spans="1:6" ht="15" x14ac:dyDescent="0.25">
      <c r="A105" s="123" t="s">
        <v>230</v>
      </c>
      <c r="B105" t="s">
        <v>62</v>
      </c>
      <c r="C105">
        <v>0</v>
      </c>
      <c r="D105">
        <v>0</v>
      </c>
      <c r="E105">
        <v>0</v>
      </c>
      <c r="F105">
        <v>39.6</v>
      </c>
    </row>
    <row r="106" spans="1:6" ht="15" x14ac:dyDescent="0.25">
      <c r="A106" s="123" t="s">
        <v>65</v>
      </c>
      <c r="B106" t="s">
        <v>62</v>
      </c>
      <c r="C106">
        <v>0</v>
      </c>
      <c r="D106">
        <v>0</v>
      </c>
      <c r="E106">
        <v>0</v>
      </c>
      <c r="F106">
        <v>655.8</v>
      </c>
    </row>
    <row r="107" spans="1:6" ht="15" x14ac:dyDescent="0.25">
      <c r="A107" s="123"/>
      <c r="B107" t="s">
        <v>62</v>
      </c>
    </row>
    <row r="108" spans="1:6" ht="15" x14ac:dyDescent="0.25">
      <c r="A108" s="123" t="s">
        <v>71</v>
      </c>
      <c r="B108" t="s">
        <v>62</v>
      </c>
      <c r="C108" t="s">
        <v>228</v>
      </c>
      <c r="D108">
        <v>23.7</v>
      </c>
      <c r="E108">
        <v>111.1</v>
      </c>
      <c r="F108">
        <v>305.60000000000002</v>
      </c>
    </row>
    <row r="109" spans="1:6" ht="15" x14ac:dyDescent="0.25">
      <c r="A109" s="123"/>
      <c r="B109" t="s">
        <v>62</v>
      </c>
    </row>
    <row r="110" spans="1:6" ht="15" x14ac:dyDescent="0.25">
      <c r="A110" s="123" t="s">
        <v>72</v>
      </c>
      <c r="B110" t="s">
        <v>62</v>
      </c>
      <c r="C110">
        <v>0</v>
      </c>
      <c r="D110">
        <v>0</v>
      </c>
      <c r="E110">
        <v>0</v>
      </c>
      <c r="F110">
        <v>4.8</v>
      </c>
    </row>
    <row r="111" spans="1:6" ht="15" x14ac:dyDescent="0.25">
      <c r="A111" s="123"/>
      <c r="B111" t="s">
        <v>62</v>
      </c>
    </row>
    <row r="112" spans="1:6" ht="15" x14ac:dyDescent="0.25">
      <c r="A112" s="123" t="s">
        <v>74</v>
      </c>
      <c r="B112" t="s">
        <v>62</v>
      </c>
      <c r="C112" t="s">
        <v>228</v>
      </c>
      <c r="D112">
        <v>0</v>
      </c>
      <c r="E112">
        <v>0.3</v>
      </c>
      <c r="F112">
        <v>125.5</v>
      </c>
    </row>
    <row r="113" spans="1:6" ht="15" x14ac:dyDescent="0.25">
      <c r="A113" s="123" t="s">
        <v>78</v>
      </c>
      <c r="B113" t="s">
        <v>62</v>
      </c>
      <c r="C113">
        <v>0</v>
      </c>
      <c r="D113">
        <v>0</v>
      </c>
      <c r="E113">
        <v>0</v>
      </c>
      <c r="F113">
        <v>125.1</v>
      </c>
    </row>
    <row r="114" spans="1:6" ht="15" x14ac:dyDescent="0.25">
      <c r="A114" s="123" t="s">
        <v>80</v>
      </c>
      <c r="B114" t="s">
        <v>62</v>
      </c>
      <c r="C114" t="s">
        <v>228</v>
      </c>
      <c r="D114">
        <v>0</v>
      </c>
      <c r="E114">
        <v>0.3</v>
      </c>
      <c r="F114">
        <v>0.3</v>
      </c>
    </row>
    <row r="115" spans="1:6" ht="15" x14ac:dyDescent="0.25">
      <c r="A115" s="123" t="s">
        <v>165</v>
      </c>
      <c r="B115" t="s">
        <v>62</v>
      </c>
      <c r="C115">
        <v>0</v>
      </c>
      <c r="D115">
        <v>0</v>
      </c>
      <c r="E115">
        <v>0</v>
      </c>
      <c r="F115">
        <v>0.1</v>
      </c>
    </row>
    <row r="116" spans="1:6" ht="15" x14ac:dyDescent="0.25">
      <c r="A116" s="123"/>
      <c r="B116" t="s">
        <v>62</v>
      </c>
    </row>
    <row r="117" spans="1:6" ht="15" x14ac:dyDescent="0.25">
      <c r="A117" s="123" t="s">
        <v>88</v>
      </c>
      <c r="B117" t="s">
        <v>62</v>
      </c>
      <c r="C117">
        <v>0</v>
      </c>
      <c r="D117">
        <v>0</v>
      </c>
      <c r="E117">
        <v>0</v>
      </c>
      <c r="F117">
        <v>111.9</v>
      </c>
    </row>
    <row r="118" spans="1:6" ht="15" x14ac:dyDescent="0.25">
      <c r="A118" s="123" t="s">
        <v>93</v>
      </c>
      <c r="B118" t="s">
        <v>62</v>
      </c>
      <c r="C118">
        <v>0</v>
      </c>
      <c r="D118">
        <v>0</v>
      </c>
      <c r="E118">
        <v>0</v>
      </c>
      <c r="F118">
        <v>111.9</v>
      </c>
    </row>
    <row r="119" spans="1:6" ht="15" x14ac:dyDescent="0.25">
      <c r="A119" s="123"/>
      <c r="B119" t="s">
        <v>62</v>
      </c>
    </row>
    <row r="120" spans="1:6" ht="15" x14ac:dyDescent="0.25">
      <c r="A120" s="123" t="s">
        <v>96</v>
      </c>
      <c r="B120" t="s">
        <v>62</v>
      </c>
      <c r="C120">
        <v>59.4</v>
      </c>
      <c r="D120">
        <v>148.9</v>
      </c>
      <c r="E120">
        <v>836.9</v>
      </c>
      <c r="F120">
        <v>1990.8</v>
      </c>
    </row>
    <row r="121" spans="1:6" ht="15" x14ac:dyDescent="0.25">
      <c r="A121" s="123" t="s">
        <v>99</v>
      </c>
      <c r="B121" t="s">
        <v>62</v>
      </c>
      <c r="C121">
        <v>0.1</v>
      </c>
      <c r="D121">
        <v>0</v>
      </c>
      <c r="E121">
        <v>0.3</v>
      </c>
      <c r="F121">
        <v>0.2</v>
      </c>
    </row>
    <row r="122" spans="1:6" ht="15" x14ac:dyDescent="0.25">
      <c r="A122" s="123" t="s">
        <v>100</v>
      </c>
      <c r="B122" t="s">
        <v>62</v>
      </c>
      <c r="C122">
        <v>0</v>
      </c>
      <c r="D122">
        <v>0</v>
      </c>
      <c r="E122">
        <v>0</v>
      </c>
      <c r="F122">
        <v>6.3</v>
      </c>
    </row>
    <row r="123" spans="1:6" ht="15" x14ac:dyDescent="0.25">
      <c r="A123" s="123" t="s">
        <v>110</v>
      </c>
      <c r="B123" t="s">
        <v>62</v>
      </c>
      <c r="C123">
        <v>59.2</v>
      </c>
      <c r="D123">
        <v>148.9</v>
      </c>
      <c r="E123">
        <v>836.6</v>
      </c>
      <c r="F123">
        <v>1984.3</v>
      </c>
    </row>
    <row r="124" spans="1:6" ht="15" x14ac:dyDescent="0.25">
      <c r="A124" s="123" t="s">
        <v>161</v>
      </c>
      <c r="B124" t="s">
        <v>162</v>
      </c>
      <c r="C124" t="s">
        <v>61</v>
      </c>
      <c r="D124" t="s">
        <v>168</v>
      </c>
      <c r="E124" t="s">
        <v>256</v>
      </c>
      <c r="F124" t="s">
        <v>257</v>
      </c>
    </row>
    <row r="125" spans="1:6" ht="15" x14ac:dyDescent="0.25">
      <c r="A125" s="123" t="s">
        <v>134</v>
      </c>
      <c r="B125" t="s">
        <v>62</v>
      </c>
      <c r="C125">
        <v>59.4</v>
      </c>
      <c r="D125">
        <v>172.6</v>
      </c>
      <c r="E125">
        <v>948.2</v>
      </c>
      <c r="F125">
        <v>3334.9</v>
      </c>
    </row>
    <row r="126" spans="1:6" ht="15" x14ac:dyDescent="0.25">
      <c r="A126" s="123" t="s">
        <v>135</v>
      </c>
      <c r="B126" t="s">
        <v>62</v>
      </c>
      <c r="C126">
        <v>8.1</v>
      </c>
      <c r="D126">
        <v>0</v>
      </c>
      <c r="E126">
        <v>0</v>
      </c>
      <c r="F126">
        <v>0</v>
      </c>
    </row>
    <row r="127" spans="1:6" ht="15" x14ac:dyDescent="0.25">
      <c r="A127" s="123" t="s">
        <v>161</v>
      </c>
      <c r="B127" t="s">
        <v>162</v>
      </c>
      <c r="C127" t="s">
        <v>61</v>
      </c>
      <c r="D127" t="s">
        <v>168</v>
      </c>
      <c r="E127" t="s">
        <v>256</v>
      </c>
      <c r="F127" t="s">
        <v>257</v>
      </c>
    </row>
    <row r="128" spans="1:6" ht="15" x14ac:dyDescent="0.25">
      <c r="A128" s="123" t="s">
        <v>136</v>
      </c>
      <c r="B128" t="s">
        <v>62</v>
      </c>
      <c r="C128">
        <v>67.599999999999994</v>
      </c>
      <c r="D128">
        <v>172.6</v>
      </c>
      <c r="E128">
        <v>948.2</v>
      </c>
      <c r="F128">
        <v>3334.9</v>
      </c>
    </row>
    <row r="129" spans="1:6" ht="15" x14ac:dyDescent="0.25">
      <c r="A129" s="123" t="s">
        <v>137</v>
      </c>
      <c r="B129" t="s">
        <v>62</v>
      </c>
      <c r="C129">
        <v>0</v>
      </c>
      <c r="D129">
        <v>0</v>
      </c>
      <c r="E129">
        <v>0</v>
      </c>
      <c r="F129">
        <v>0</v>
      </c>
    </row>
    <row r="130" spans="1:6" ht="15" x14ac:dyDescent="0.25">
      <c r="A130" s="123" t="s">
        <v>138</v>
      </c>
      <c r="B130" t="s">
        <v>62</v>
      </c>
      <c r="C130">
        <v>0</v>
      </c>
      <c r="D130">
        <v>0</v>
      </c>
      <c r="E130">
        <v>0</v>
      </c>
      <c r="F130">
        <v>0</v>
      </c>
    </row>
    <row r="131" spans="1:6" ht="15" x14ac:dyDescent="0.25">
      <c r="A131" s="123" t="s">
        <v>161</v>
      </c>
      <c r="B131" t="s">
        <v>162</v>
      </c>
      <c r="C131" t="s">
        <v>61</v>
      </c>
      <c r="D131" t="s">
        <v>168</v>
      </c>
      <c r="E131" t="s">
        <v>256</v>
      </c>
      <c r="F131" t="s">
        <v>257</v>
      </c>
    </row>
    <row r="132" spans="1:6" x14ac:dyDescent="0.25">
      <c r="A132" s="122"/>
    </row>
    <row r="133" spans="1:6" ht="15" x14ac:dyDescent="0.25">
      <c r="A133" s="123" t="s">
        <v>253</v>
      </c>
    </row>
    <row r="134" spans="1:6" ht="15" x14ac:dyDescent="0.25">
      <c r="A134" s="123" t="s">
        <v>235</v>
      </c>
    </row>
    <row r="135" spans="1:6" ht="15" x14ac:dyDescent="0.25">
      <c r="A135" s="123" t="s">
        <v>156</v>
      </c>
      <c r="B135" t="s">
        <v>157</v>
      </c>
      <c r="C135" t="s">
        <v>158</v>
      </c>
      <c r="D135" t="s">
        <v>184</v>
      </c>
      <c r="E135" t="s">
        <v>254</v>
      </c>
      <c r="F135" t="s">
        <v>255</v>
      </c>
    </row>
    <row r="136" spans="1:6" ht="15" x14ac:dyDescent="0.25">
      <c r="A136" s="123" t="s">
        <v>227</v>
      </c>
      <c r="B136" t="s">
        <v>159</v>
      </c>
      <c r="C136" t="s">
        <v>160</v>
      </c>
      <c r="D136" t="s">
        <v>187</v>
      </c>
      <c r="E136" s="20">
        <v>37499</v>
      </c>
      <c r="F136">
        <v>12</v>
      </c>
    </row>
    <row r="137" spans="1:6" ht="15" x14ac:dyDescent="0.25">
      <c r="A137" s="123" t="s">
        <v>59</v>
      </c>
    </row>
    <row r="138" spans="1:6" ht="15" x14ac:dyDescent="0.25">
      <c r="A138" s="123" t="s">
        <v>161</v>
      </c>
      <c r="B138" t="s">
        <v>162</v>
      </c>
      <c r="C138" t="s">
        <v>61</v>
      </c>
      <c r="D138" t="s">
        <v>168</v>
      </c>
      <c r="E138" t="s">
        <v>256</v>
      </c>
      <c r="F138" t="s">
        <v>257</v>
      </c>
    </row>
    <row r="139" spans="1:6" ht="15" x14ac:dyDescent="0.25">
      <c r="A139" s="123"/>
      <c r="B139" t="s">
        <v>62</v>
      </c>
      <c r="C139" t="s">
        <v>163</v>
      </c>
      <c r="D139" t="s">
        <v>190</v>
      </c>
      <c r="E139" t="s">
        <v>258</v>
      </c>
      <c r="F139" t="s">
        <v>259</v>
      </c>
    </row>
    <row r="140" spans="1:6" ht="15" x14ac:dyDescent="0.25">
      <c r="A140" s="123"/>
      <c r="B140" t="s">
        <v>62</v>
      </c>
      <c r="C140" t="s">
        <v>61</v>
      </c>
      <c r="D140" t="s">
        <v>168</v>
      </c>
      <c r="E140" t="s">
        <v>256</v>
      </c>
      <c r="F140" t="s">
        <v>257</v>
      </c>
    </row>
    <row r="141" spans="1:6" ht="15" x14ac:dyDescent="0.25">
      <c r="A141" s="123" t="s">
        <v>63</v>
      </c>
      <c r="B141" t="s">
        <v>62</v>
      </c>
      <c r="C141" t="s">
        <v>227</v>
      </c>
      <c r="D141" t="s">
        <v>260</v>
      </c>
      <c r="E141" t="s">
        <v>261</v>
      </c>
      <c r="F141" t="s">
        <v>260</v>
      </c>
    </row>
    <row r="142" spans="1:6" ht="15" x14ac:dyDescent="0.25">
      <c r="A142" s="123" t="s">
        <v>161</v>
      </c>
      <c r="B142" t="s">
        <v>162</v>
      </c>
      <c r="C142" t="s">
        <v>61</v>
      </c>
      <c r="D142" t="s">
        <v>168</v>
      </c>
      <c r="E142" t="s">
        <v>256</v>
      </c>
      <c r="F142" t="s">
        <v>257</v>
      </c>
    </row>
    <row r="143" spans="1:6" ht="15" x14ac:dyDescent="0.25">
      <c r="A143" s="123"/>
      <c r="B143" t="s">
        <v>62</v>
      </c>
    </row>
    <row r="144" spans="1:6" ht="15" x14ac:dyDescent="0.25">
      <c r="A144" s="123" t="s">
        <v>64</v>
      </c>
      <c r="B144" t="s">
        <v>62</v>
      </c>
      <c r="C144">
        <v>0.8</v>
      </c>
      <c r="D144" t="s">
        <v>228</v>
      </c>
      <c r="E144">
        <v>1229.7</v>
      </c>
      <c r="F144">
        <v>2599.3000000000002</v>
      </c>
    </row>
    <row r="145" spans="1:6" ht="15" x14ac:dyDescent="0.25">
      <c r="A145" s="123" t="s">
        <v>248</v>
      </c>
      <c r="B145" t="s">
        <v>62</v>
      </c>
      <c r="C145">
        <v>0</v>
      </c>
      <c r="D145">
        <v>0</v>
      </c>
      <c r="E145">
        <v>0.1</v>
      </c>
      <c r="F145">
        <v>0</v>
      </c>
    </row>
    <row r="146" spans="1:6" ht="15" x14ac:dyDescent="0.25">
      <c r="A146" s="123" t="s">
        <v>246</v>
      </c>
      <c r="B146" t="s">
        <v>62</v>
      </c>
      <c r="C146">
        <v>0</v>
      </c>
      <c r="D146">
        <v>0</v>
      </c>
      <c r="E146">
        <v>45.6</v>
      </c>
      <c r="F146">
        <v>234.5</v>
      </c>
    </row>
    <row r="147" spans="1:6" ht="15" x14ac:dyDescent="0.25">
      <c r="A147" s="123" t="s">
        <v>129</v>
      </c>
      <c r="B147" t="s">
        <v>62</v>
      </c>
      <c r="C147">
        <v>0</v>
      </c>
      <c r="D147">
        <v>0</v>
      </c>
      <c r="E147">
        <v>433.5</v>
      </c>
      <c r="F147">
        <v>352.8</v>
      </c>
    </row>
    <row r="148" spans="1:6" ht="15" x14ac:dyDescent="0.25">
      <c r="A148" s="123" t="s">
        <v>249</v>
      </c>
      <c r="B148" t="s">
        <v>62</v>
      </c>
      <c r="C148">
        <v>0</v>
      </c>
      <c r="D148">
        <v>0</v>
      </c>
      <c r="E148">
        <v>0</v>
      </c>
      <c r="F148">
        <v>38.6</v>
      </c>
    </row>
    <row r="149" spans="1:6" ht="15" x14ac:dyDescent="0.25">
      <c r="A149" s="123" t="s">
        <v>229</v>
      </c>
      <c r="B149" t="s">
        <v>62</v>
      </c>
      <c r="C149">
        <v>0.8</v>
      </c>
      <c r="D149">
        <v>0</v>
      </c>
      <c r="E149">
        <v>7.3</v>
      </c>
      <c r="F149">
        <v>12.7</v>
      </c>
    </row>
    <row r="150" spans="1:6" ht="15" x14ac:dyDescent="0.25">
      <c r="A150" s="123" t="s">
        <v>232</v>
      </c>
      <c r="B150" t="s">
        <v>62</v>
      </c>
      <c r="C150">
        <v>0</v>
      </c>
      <c r="D150">
        <v>0</v>
      </c>
      <c r="E150">
        <v>1.8</v>
      </c>
      <c r="F150">
        <v>18.2</v>
      </c>
    </row>
    <row r="151" spans="1:6" ht="15" x14ac:dyDescent="0.25">
      <c r="A151" s="123" t="s">
        <v>230</v>
      </c>
      <c r="B151" t="s">
        <v>62</v>
      </c>
      <c r="C151">
        <v>0</v>
      </c>
      <c r="D151">
        <v>0</v>
      </c>
      <c r="E151">
        <v>606.79999999999995</v>
      </c>
      <c r="F151">
        <v>970</v>
      </c>
    </row>
    <row r="152" spans="1:6" ht="15" x14ac:dyDescent="0.25">
      <c r="A152" s="123" t="s">
        <v>181</v>
      </c>
      <c r="B152" t="s">
        <v>62</v>
      </c>
      <c r="C152">
        <v>0</v>
      </c>
      <c r="D152">
        <v>0</v>
      </c>
      <c r="E152">
        <v>83.9</v>
      </c>
      <c r="F152">
        <v>41.8</v>
      </c>
    </row>
    <row r="153" spans="1:6" ht="15" x14ac:dyDescent="0.25">
      <c r="A153" s="123" t="s">
        <v>65</v>
      </c>
      <c r="B153" t="s">
        <v>62</v>
      </c>
      <c r="C153">
        <v>0</v>
      </c>
      <c r="D153" t="s">
        <v>228</v>
      </c>
      <c r="E153">
        <v>50.9</v>
      </c>
      <c r="F153">
        <v>855.8</v>
      </c>
    </row>
    <row r="154" spans="1:6" ht="15" x14ac:dyDescent="0.25">
      <c r="A154" s="123" t="s">
        <v>250</v>
      </c>
      <c r="B154" t="s">
        <v>62</v>
      </c>
      <c r="C154">
        <v>0</v>
      </c>
      <c r="D154">
        <v>0</v>
      </c>
      <c r="E154">
        <v>0</v>
      </c>
      <c r="F154" t="s">
        <v>228</v>
      </c>
    </row>
    <row r="155" spans="1:6" ht="15" x14ac:dyDescent="0.25">
      <c r="A155" s="123" t="s">
        <v>66</v>
      </c>
      <c r="B155" t="s">
        <v>62</v>
      </c>
      <c r="C155">
        <v>0</v>
      </c>
      <c r="D155">
        <v>0</v>
      </c>
      <c r="E155">
        <v>0</v>
      </c>
      <c r="F155">
        <v>75</v>
      </c>
    </row>
    <row r="156" spans="1:6" ht="15" x14ac:dyDescent="0.25">
      <c r="A156" s="123"/>
      <c r="B156" t="s">
        <v>62</v>
      </c>
    </row>
    <row r="157" spans="1:6" ht="15" x14ac:dyDescent="0.25">
      <c r="A157" s="123" t="s">
        <v>67</v>
      </c>
      <c r="B157" t="s">
        <v>62</v>
      </c>
      <c r="C157">
        <v>16</v>
      </c>
      <c r="D157">
        <v>0</v>
      </c>
      <c r="E157">
        <v>605.29999999999995</v>
      </c>
      <c r="F157">
        <v>276.8</v>
      </c>
    </row>
    <row r="158" spans="1:6" ht="15" x14ac:dyDescent="0.25">
      <c r="A158" s="123" t="s">
        <v>154</v>
      </c>
      <c r="B158" t="s">
        <v>62</v>
      </c>
      <c r="C158">
        <v>0</v>
      </c>
      <c r="D158">
        <v>0</v>
      </c>
      <c r="E158">
        <v>1</v>
      </c>
      <c r="F158">
        <v>7.1</v>
      </c>
    </row>
    <row r="159" spans="1:6" ht="15" x14ac:dyDescent="0.25">
      <c r="A159" s="123" t="s">
        <v>68</v>
      </c>
      <c r="B159" t="s">
        <v>62</v>
      </c>
      <c r="C159">
        <v>16</v>
      </c>
      <c r="D159">
        <v>0</v>
      </c>
      <c r="E159">
        <v>604.29999999999995</v>
      </c>
      <c r="F159">
        <v>269.8</v>
      </c>
    </row>
    <row r="160" spans="1:6" ht="15" x14ac:dyDescent="0.25">
      <c r="A160" s="123"/>
      <c r="B160" t="s">
        <v>62</v>
      </c>
    </row>
    <row r="161" spans="1:6" ht="15" x14ac:dyDescent="0.25">
      <c r="A161" s="123" t="s">
        <v>69</v>
      </c>
      <c r="B161" t="s">
        <v>62</v>
      </c>
      <c r="C161">
        <v>0</v>
      </c>
      <c r="D161">
        <v>0</v>
      </c>
      <c r="E161">
        <v>30.3</v>
      </c>
      <c r="F161">
        <v>52.5</v>
      </c>
    </row>
    <row r="162" spans="1:6" ht="15" x14ac:dyDescent="0.25">
      <c r="A162" s="123" t="s">
        <v>70</v>
      </c>
      <c r="B162" t="s">
        <v>62</v>
      </c>
      <c r="C162">
        <v>0</v>
      </c>
      <c r="D162">
        <v>0</v>
      </c>
      <c r="E162">
        <v>30.3</v>
      </c>
      <c r="F162">
        <v>52.5</v>
      </c>
    </row>
    <row r="163" spans="1:6" ht="15" x14ac:dyDescent="0.25">
      <c r="A163" s="123"/>
      <c r="B163" t="s">
        <v>62</v>
      </c>
    </row>
    <row r="164" spans="1:6" ht="15" x14ac:dyDescent="0.25">
      <c r="A164" s="123" t="s">
        <v>71</v>
      </c>
      <c r="B164" t="s">
        <v>62</v>
      </c>
      <c r="C164">
        <v>216.9</v>
      </c>
      <c r="D164">
        <v>366.5</v>
      </c>
      <c r="E164">
        <v>1673.6</v>
      </c>
      <c r="F164">
        <v>1887.3</v>
      </c>
    </row>
    <row r="165" spans="1:6" ht="15" x14ac:dyDescent="0.25">
      <c r="A165" s="123"/>
      <c r="B165" t="s">
        <v>62</v>
      </c>
    </row>
    <row r="166" spans="1:6" ht="15" x14ac:dyDescent="0.25">
      <c r="A166" s="123" t="s">
        <v>72</v>
      </c>
      <c r="B166" t="s">
        <v>62</v>
      </c>
      <c r="C166">
        <v>87.4</v>
      </c>
      <c r="D166">
        <v>92.7</v>
      </c>
      <c r="E166">
        <v>912.6</v>
      </c>
      <c r="F166">
        <v>1397.4</v>
      </c>
    </row>
    <row r="167" spans="1:6" ht="15" x14ac:dyDescent="0.25">
      <c r="A167" s="123"/>
      <c r="B167" t="s">
        <v>62</v>
      </c>
    </row>
    <row r="168" spans="1:6" ht="15" x14ac:dyDescent="0.25">
      <c r="A168" s="123" t="s">
        <v>73</v>
      </c>
      <c r="B168" t="s">
        <v>62</v>
      </c>
      <c r="C168">
        <v>1095.5</v>
      </c>
      <c r="D168">
        <v>1182</v>
      </c>
      <c r="E168">
        <v>23506.9</v>
      </c>
      <c r="F168">
        <v>24444.7</v>
      </c>
    </row>
    <row r="169" spans="1:6" ht="15" x14ac:dyDescent="0.25">
      <c r="A169" s="123"/>
      <c r="B169" t="s">
        <v>62</v>
      </c>
    </row>
    <row r="170" spans="1:6" ht="15" x14ac:dyDescent="0.25">
      <c r="A170" s="123" t="s">
        <v>74</v>
      </c>
      <c r="B170" t="s">
        <v>62</v>
      </c>
      <c r="C170">
        <v>108.1</v>
      </c>
      <c r="D170">
        <v>216.7</v>
      </c>
      <c r="E170">
        <v>3240.8</v>
      </c>
      <c r="F170">
        <v>4009.9</v>
      </c>
    </row>
    <row r="171" spans="1:6" ht="15" x14ac:dyDescent="0.25">
      <c r="A171" s="123" t="s">
        <v>251</v>
      </c>
      <c r="B171" t="s">
        <v>62</v>
      </c>
      <c r="C171">
        <v>0</v>
      </c>
      <c r="D171">
        <v>0</v>
      </c>
      <c r="E171">
        <v>0.5</v>
      </c>
      <c r="F171">
        <v>49.5</v>
      </c>
    </row>
    <row r="172" spans="1:6" ht="15" x14ac:dyDescent="0.25">
      <c r="A172" s="123" t="s">
        <v>75</v>
      </c>
      <c r="B172" t="s">
        <v>62</v>
      </c>
      <c r="C172">
        <v>0</v>
      </c>
      <c r="D172">
        <v>0</v>
      </c>
      <c r="E172">
        <v>5.0999999999999996</v>
      </c>
      <c r="F172">
        <v>10.1</v>
      </c>
    </row>
    <row r="173" spans="1:6" ht="15" x14ac:dyDescent="0.25">
      <c r="A173" s="123" t="s">
        <v>76</v>
      </c>
      <c r="B173" t="s">
        <v>62</v>
      </c>
      <c r="C173">
        <v>30.4</v>
      </c>
      <c r="D173">
        <v>147</v>
      </c>
      <c r="E173">
        <v>1711</v>
      </c>
      <c r="F173">
        <v>1680.1</v>
      </c>
    </row>
    <row r="174" spans="1:6" ht="15" x14ac:dyDescent="0.25">
      <c r="A174" s="123" t="s">
        <v>78</v>
      </c>
      <c r="B174" t="s">
        <v>62</v>
      </c>
      <c r="C174">
        <v>0</v>
      </c>
      <c r="D174">
        <v>0</v>
      </c>
      <c r="E174">
        <v>106.6</v>
      </c>
      <c r="F174">
        <v>225.4</v>
      </c>
    </row>
    <row r="175" spans="1:6" ht="15" x14ac:dyDescent="0.25">
      <c r="A175" s="123" t="s">
        <v>80</v>
      </c>
      <c r="B175" t="s">
        <v>62</v>
      </c>
      <c r="C175">
        <v>5.5</v>
      </c>
      <c r="D175">
        <v>15.8</v>
      </c>
      <c r="E175">
        <v>298.2</v>
      </c>
      <c r="F175">
        <v>690.8</v>
      </c>
    </row>
    <row r="176" spans="1:6" ht="15" x14ac:dyDescent="0.25">
      <c r="A176" s="123" t="s">
        <v>82</v>
      </c>
      <c r="B176" t="s">
        <v>62</v>
      </c>
      <c r="C176">
        <v>2.2999999999999998</v>
      </c>
      <c r="D176">
        <v>2.4</v>
      </c>
      <c r="E176">
        <v>246</v>
      </c>
      <c r="F176">
        <v>250.4</v>
      </c>
    </row>
    <row r="177" spans="1:6" ht="15" x14ac:dyDescent="0.25">
      <c r="A177" s="123" t="s">
        <v>165</v>
      </c>
      <c r="B177" t="s">
        <v>62</v>
      </c>
      <c r="C177">
        <v>2.2000000000000002</v>
      </c>
      <c r="D177">
        <v>0.2</v>
      </c>
      <c r="E177">
        <v>41.5</v>
      </c>
      <c r="F177">
        <v>44.3</v>
      </c>
    </row>
    <row r="178" spans="1:6" ht="15" x14ac:dyDescent="0.25">
      <c r="A178" s="123" t="s">
        <v>83</v>
      </c>
      <c r="B178" t="s">
        <v>62</v>
      </c>
      <c r="C178">
        <v>0</v>
      </c>
      <c r="D178">
        <v>0</v>
      </c>
      <c r="E178">
        <v>146.4</v>
      </c>
      <c r="F178">
        <v>157.19999999999999</v>
      </c>
    </row>
    <row r="179" spans="1:6" ht="15" x14ac:dyDescent="0.25">
      <c r="A179" s="123" t="s">
        <v>84</v>
      </c>
      <c r="B179" t="s">
        <v>62</v>
      </c>
      <c r="C179">
        <v>3.6</v>
      </c>
      <c r="D179">
        <v>5.5</v>
      </c>
      <c r="E179">
        <v>29.7</v>
      </c>
      <c r="F179">
        <v>20.2</v>
      </c>
    </row>
    <row r="180" spans="1:6" ht="15" x14ac:dyDescent="0.25">
      <c r="A180" s="123" t="s">
        <v>85</v>
      </c>
      <c r="B180" t="s">
        <v>62</v>
      </c>
      <c r="C180">
        <v>27</v>
      </c>
      <c r="D180">
        <v>0</v>
      </c>
      <c r="E180">
        <v>0</v>
      </c>
      <c r="F180">
        <v>218.3</v>
      </c>
    </row>
    <row r="181" spans="1:6" ht="15" x14ac:dyDescent="0.25">
      <c r="A181" s="123" t="s">
        <v>245</v>
      </c>
      <c r="B181" t="s">
        <v>62</v>
      </c>
      <c r="C181">
        <v>18.2</v>
      </c>
      <c r="D181">
        <v>16</v>
      </c>
      <c r="E181">
        <v>359.2</v>
      </c>
      <c r="F181">
        <v>485.2</v>
      </c>
    </row>
    <row r="182" spans="1:6" ht="15" x14ac:dyDescent="0.25">
      <c r="A182" s="123" t="s">
        <v>87</v>
      </c>
      <c r="B182" t="s">
        <v>62</v>
      </c>
      <c r="C182">
        <v>19</v>
      </c>
      <c r="D182">
        <v>29.8</v>
      </c>
      <c r="E182">
        <v>296.8</v>
      </c>
      <c r="F182">
        <v>178.3</v>
      </c>
    </row>
    <row r="183" spans="1:6" ht="15" x14ac:dyDescent="0.25">
      <c r="A183" s="123"/>
      <c r="B183" t="s">
        <v>62</v>
      </c>
    </row>
    <row r="184" spans="1:6" ht="15" x14ac:dyDescent="0.25">
      <c r="A184" s="123" t="s">
        <v>88</v>
      </c>
      <c r="B184" t="s">
        <v>62</v>
      </c>
      <c r="C184">
        <v>68</v>
      </c>
      <c r="D184">
        <v>0</v>
      </c>
      <c r="E184">
        <v>1492.9</v>
      </c>
      <c r="F184">
        <v>1242.3</v>
      </c>
    </row>
    <row r="185" spans="1:6" ht="15" x14ac:dyDescent="0.25">
      <c r="A185" s="123" t="s">
        <v>90</v>
      </c>
      <c r="B185" t="s">
        <v>62</v>
      </c>
      <c r="C185">
        <v>68</v>
      </c>
      <c r="D185">
        <v>0</v>
      </c>
      <c r="E185">
        <v>1224.0999999999999</v>
      </c>
      <c r="F185">
        <v>897.3</v>
      </c>
    </row>
    <row r="186" spans="1:6" ht="15" x14ac:dyDescent="0.25">
      <c r="A186" s="123" t="s">
        <v>93</v>
      </c>
      <c r="B186" t="s">
        <v>62</v>
      </c>
      <c r="C186">
        <v>0</v>
      </c>
      <c r="D186">
        <v>0</v>
      </c>
      <c r="E186">
        <v>0</v>
      </c>
      <c r="F186">
        <v>95.8</v>
      </c>
    </row>
    <row r="187" spans="1:6" ht="15" x14ac:dyDescent="0.25">
      <c r="A187" s="123" t="s">
        <v>95</v>
      </c>
      <c r="B187" t="s">
        <v>62</v>
      </c>
      <c r="C187">
        <v>0</v>
      </c>
      <c r="D187">
        <v>0</v>
      </c>
      <c r="E187">
        <v>268.8</v>
      </c>
      <c r="F187">
        <v>249.2</v>
      </c>
    </row>
    <row r="188" spans="1:6" ht="15" x14ac:dyDescent="0.25">
      <c r="A188" s="123"/>
      <c r="B188" t="s">
        <v>62</v>
      </c>
    </row>
    <row r="189" spans="1:6" ht="15" x14ac:dyDescent="0.25">
      <c r="A189" s="123" t="s">
        <v>96</v>
      </c>
      <c r="B189" t="s">
        <v>62</v>
      </c>
      <c r="C189">
        <v>172.7</v>
      </c>
      <c r="D189">
        <v>156.9</v>
      </c>
      <c r="E189">
        <v>4047.3</v>
      </c>
      <c r="F189">
        <v>4083</v>
      </c>
    </row>
    <row r="190" spans="1:6" ht="15" x14ac:dyDescent="0.25">
      <c r="A190" s="123" t="s">
        <v>97</v>
      </c>
      <c r="B190" t="s">
        <v>62</v>
      </c>
      <c r="C190">
        <v>0</v>
      </c>
      <c r="D190">
        <v>0.2</v>
      </c>
      <c r="E190">
        <v>23.8</v>
      </c>
      <c r="F190">
        <v>23.3</v>
      </c>
    </row>
    <row r="191" spans="1:6" ht="15" x14ac:dyDescent="0.25">
      <c r="A191" s="123" t="s">
        <v>98</v>
      </c>
      <c r="B191" t="s">
        <v>62</v>
      </c>
      <c r="C191">
        <v>46</v>
      </c>
      <c r="D191">
        <v>31</v>
      </c>
      <c r="E191">
        <v>260.10000000000002</v>
      </c>
      <c r="F191">
        <v>248.5</v>
      </c>
    </row>
    <row r="192" spans="1:6" ht="15" x14ac:dyDescent="0.25">
      <c r="A192" s="123" t="s">
        <v>99</v>
      </c>
      <c r="B192" t="s">
        <v>62</v>
      </c>
      <c r="C192">
        <v>51.9</v>
      </c>
      <c r="D192">
        <v>28.2</v>
      </c>
      <c r="E192">
        <v>367.2</v>
      </c>
      <c r="F192">
        <v>279</v>
      </c>
    </row>
    <row r="193" spans="1:6" ht="15" x14ac:dyDescent="0.25">
      <c r="A193" s="123" t="s">
        <v>101</v>
      </c>
      <c r="B193" t="s">
        <v>62</v>
      </c>
      <c r="C193">
        <v>28.2</v>
      </c>
      <c r="D193">
        <v>7</v>
      </c>
      <c r="E193">
        <v>83.9</v>
      </c>
      <c r="F193">
        <v>125.7</v>
      </c>
    </row>
    <row r="194" spans="1:6" ht="15" x14ac:dyDescent="0.25">
      <c r="A194" s="123" t="s">
        <v>102</v>
      </c>
      <c r="B194" t="s">
        <v>62</v>
      </c>
      <c r="C194">
        <v>0</v>
      </c>
      <c r="D194">
        <v>8</v>
      </c>
      <c r="E194">
        <v>100.4</v>
      </c>
      <c r="F194">
        <v>120.6</v>
      </c>
    </row>
    <row r="195" spans="1:6" ht="15" x14ac:dyDescent="0.25">
      <c r="A195" s="123" t="s">
        <v>106</v>
      </c>
      <c r="B195" t="s">
        <v>62</v>
      </c>
      <c r="C195">
        <v>0</v>
      </c>
      <c r="D195">
        <v>1.9</v>
      </c>
      <c r="E195">
        <v>13.8</v>
      </c>
      <c r="F195">
        <v>7.7</v>
      </c>
    </row>
    <row r="196" spans="1:6" ht="15" x14ac:dyDescent="0.25">
      <c r="A196" s="123" t="s">
        <v>107</v>
      </c>
      <c r="B196" t="s">
        <v>62</v>
      </c>
      <c r="C196">
        <v>0</v>
      </c>
      <c r="D196">
        <v>0</v>
      </c>
      <c r="E196">
        <v>0.4</v>
      </c>
      <c r="F196">
        <v>0.3</v>
      </c>
    </row>
    <row r="197" spans="1:6" ht="15" x14ac:dyDescent="0.25">
      <c r="A197" s="123" t="s">
        <v>110</v>
      </c>
      <c r="B197" t="s">
        <v>62</v>
      </c>
      <c r="C197">
        <v>26.7</v>
      </c>
      <c r="D197">
        <v>80.7</v>
      </c>
      <c r="E197">
        <v>3153.1</v>
      </c>
      <c r="F197">
        <v>3214.7</v>
      </c>
    </row>
    <row r="198" spans="1:6" ht="15" x14ac:dyDescent="0.25">
      <c r="A198" s="123" t="s">
        <v>112</v>
      </c>
      <c r="B198" t="s">
        <v>62</v>
      </c>
      <c r="C198">
        <v>20</v>
      </c>
      <c r="D198">
        <v>0</v>
      </c>
      <c r="E198">
        <v>2.8</v>
      </c>
      <c r="F198">
        <v>2.8</v>
      </c>
    </row>
    <row r="199" spans="1:6" ht="15" x14ac:dyDescent="0.25">
      <c r="A199" s="123" t="s">
        <v>113</v>
      </c>
      <c r="B199" t="s">
        <v>62</v>
      </c>
      <c r="C199">
        <v>0</v>
      </c>
      <c r="D199">
        <v>0</v>
      </c>
      <c r="E199">
        <v>0</v>
      </c>
      <c r="F199">
        <v>21.5</v>
      </c>
    </row>
    <row r="200" spans="1:6" ht="15" x14ac:dyDescent="0.25">
      <c r="A200" s="123" t="s">
        <v>119</v>
      </c>
      <c r="B200" t="s">
        <v>62</v>
      </c>
      <c r="C200">
        <v>0</v>
      </c>
      <c r="D200">
        <v>0</v>
      </c>
      <c r="E200">
        <v>41.9</v>
      </c>
      <c r="F200">
        <v>39</v>
      </c>
    </row>
    <row r="201" spans="1:6" ht="15" x14ac:dyDescent="0.25">
      <c r="A201" s="123" t="s">
        <v>161</v>
      </c>
      <c r="B201" t="s">
        <v>162</v>
      </c>
      <c r="C201" t="s">
        <v>61</v>
      </c>
      <c r="D201" t="s">
        <v>168</v>
      </c>
      <c r="E201" t="s">
        <v>256</v>
      </c>
      <c r="F201" t="s">
        <v>257</v>
      </c>
    </row>
    <row r="202" spans="1:6" ht="15" x14ac:dyDescent="0.25">
      <c r="A202" s="123" t="s">
        <v>134</v>
      </c>
      <c r="B202" t="s">
        <v>62</v>
      </c>
      <c r="C202">
        <v>1765.4</v>
      </c>
      <c r="D202">
        <v>2014.9</v>
      </c>
      <c r="E202">
        <v>36739.300000000003</v>
      </c>
      <c r="F202">
        <v>39993.1</v>
      </c>
    </row>
    <row r="203" spans="1:6" ht="15" x14ac:dyDescent="0.25">
      <c r="A203" s="123" t="s">
        <v>135</v>
      </c>
      <c r="B203" t="s">
        <v>62</v>
      </c>
      <c r="C203">
        <v>251.5</v>
      </c>
      <c r="D203">
        <v>267</v>
      </c>
      <c r="E203">
        <v>0</v>
      </c>
      <c r="F203">
        <v>0</v>
      </c>
    </row>
    <row r="204" spans="1:6" ht="15" x14ac:dyDescent="0.25">
      <c r="A204" s="123" t="s">
        <v>161</v>
      </c>
      <c r="B204" t="s">
        <v>162</v>
      </c>
      <c r="C204" t="s">
        <v>61</v>
      </c>
      <c r="D204" t="s">
        <v>168</v>
      </c>
      <c r="E204" t="s">
        <v>256</v>
      </c>
      <c r="F204" t="s">
        <v>257</v>
      </c>
    </row>
    <row r="205" spans="1:6" ht="15" x14ac:dyDescent="0.25">
      <c r="A205" s="123" t="s">
        <v>136</v>
      </c>
      <c r="B205" t="s">
        <v>62</v>
      </c>
      <c r="C205">
        <v>2016.9</v>
      </c>
      <c r="D205">
        <v>2281.9</v>
      </c>
      <c r="E205">
        <v>36739.300000000003</v>
      </c>
      <c r="F205">
        <v>39993.1</v>
      </c>
    </row>
    <row r="206" spans="1:6" ht="15" x14ac:dyDescent="0.25">
      <c r="A206" s="123" t="s">
        <v>137</v>
      </c>
      <c r="B206" t="s">
        <v>62</v>
      </c>
      <c r="C206">
        <v>0</v>
      </c>
      <c r="D206">
        <v>0</v>
      </c>
      <c r="E206">
        <v>0</v>
      </c>
      <c r="F206">
        <v>0</v>
      </c>
    </row>
    <row r="207" spans="1:6" ht="15" x14ac:dyDescent="0.25">
      <c r="A207" s="123" t="s">
        <v>138</v>
      </c>
      <c r="B207" t="s">
        <v>62</v>
      </c>
      <c r="C207">
        <v>0</v>
      </c>
      <c r="D207">
        <v>0</v>
      </c>
      <c r="E207">
        <v>0</v>
      </c>
      <c r="F207">
        <v>0</v>
      </c>
    </row>
    <row r="208" spans="1:6" ht="15" x14ac:dyDescent="0.25">
      <c r="A208" s="123" t="s">
        <v>161</v>
      </c>
      <c r="B208" t="s">
        <v>162</v>
      </c>
      <c r="C208" t="s">
        <v>61</v>
      </c>
      <c r="D208" t="s">
        <v>168</v>
      </c>
      <c r="E208" t="s">
        <v>256</v>
      </c>
      <c r="F208" t="s">
        <v>257</v>
      </c>
    </row>
    <row r="209" spans="1:3" x14ac:dyDescent="0.25">
      <c r="A209" s="122"/>
    </row>
    <row r="210" spans="1:3" ht="15" x14ac:dyDescent="0.25">
      <c r="A210" s="123" t="s">
        <v>253</v>
      </c>
    </row>
    <row r="211" spans="1:3" ht="15" x14ac:dyDescent="0.25">
      <c r="A211" s="123" t="s">
        <v>262</v>
      </c>
      <c r="B211" s="154">
        <v>0.3347222222222222</v>
      </c>
      <c r="C211" s="155">
        <v>0.83333333333333337</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0:W99"/>
  <sheetViews>
    <sheetView workbookViewId="0"/>
  </sheetViews>
  <sheetFormatPr defaultRowHeight="13.2" x14ac:dyDescent="0.25"/>
  <cols>
    <col min="3" max="3" width="16.6640625" customWidth="1"/>
    <col min="4" max="4" width="11.109375" customWidth="1"/>
    <col min="5" max="6" width="14.6640625" customWidth="1"/>
    <col min="7" max="7" width="10.44140625" bestFit="1" customWidth="1"/>
    <col min="8" max="8" width="12.33203125" customWidth="1"/>
    <col min="9" max="9" width="10.5546875" customWidth="1"/>
    <col min="10" max="10" width="13.44140625" customWidth="1"/>
    <col min="11" max="11" width="10.6640625" customWidth="1"/>
    <col min="13" max="13" width="13.33203125" customWidth="1"/>
    <col min="15" max="15" width="13" customWidth="1"/>
    <col min="20" max="20" width="12.5546875" customWidth="1"/>
  </cols>
  <sheetData>
    <row r="10" spans="1:23" x14ac:dyDescent="0.25">
      <c r="E10" s="3" t="s">
        <v>305</v>
      </c>
      <c r="F10" s="3"/>
      <c r="H10" s="3" t="s">
        <v>295</v>
      </c>
      <c r="J10" s="3" t="s">
        <v>311</v>
      </c>
      <c r="W10" s="3"/>
    </row>
    <row r="11" spans="1:23" ht="13.2" customHeight="1" x14ac:dyDescent="0.25">
      <c r="C11" s="233" t="s">
        <v>308</v>
      </c>
      <c r="D11" s="234"/>
      <c r="E11" s="229" t="s">
        <v>307</v>
      </c>
      <c r="F11" s="230"/>
      <c r="G11" s="231"/>
      <c r="H11" s="231"/>
      <c r="I11" s="232"/>
      <c r="J11" s="227" t="s">
        <v>303</v>
      </c>
      <c r="K11" s="227"/>
      <c r="L11" s="227"/>
      <c r="M11" s="227"/>
      <c r="N11" s="227"/>
      <c r="O11" s="227"/>
      <c r="P11" s="228" t="s">
        <v>304</v>
      </c>
      <c r="Q11" s="228"/>
      <c r="R11" s="228"/>
      <c r="S11" s="228"/>
      <c r="T11" s="228"/>
      <c r="U11" s="228"/>
    </row>
    <row r="12" spans="1:23" ht="39.6" x14ac:dyDescent="0.25">
      <c r="A12" t="s">
        <v>338</v>
      </c>
      <c r="B12" t="s">
        <v>339</v>
      </c>
      <c r="C12" s="161" t="s">
        <v>309</v>
      </c>
      <c r="D12" s="162" t="s">
        <v>306</v>
      </c>
      <c r="E12" s="172" t="s">
        <v>313</v>
      </c>
      <c r="F12" s="172" t="s">
        <v>314</v>
      </c>
      <c r="G12" s="172" t="s">
        <v>315</v>
      </c>
      <c r="H12" s="168" t="s">
        <v>297</v>
      </c>
      <c r="I12" s="168" t="s">
        <v>298</v>
      </c>
      <c r="J12" s="169" t="s">
        <v>299</v>
      </c>
      <c r="K12" s="169" t="s">
        <v>300</v>
      </c>
      <c r="L12" s="169" t="s">
        <v>301</v>
      </c>
      <c r="M12" s="169" t="s">
        <v>302</v>
      </c>
      <c r="N12" s="169" t="s">
        <v>48</v>
      </c>
      <c r="O12" s="169" t="s">
        <v>302</v>
      </c>
      <c r="P12" s="170" t="s">
        <v>299</v>
      </c>
      <c r="Q12" s="170" t="s">
        <v>300</v>
      </c>
      <c r="R12" s="170" t="s">
        <v>301</v>
      </c>
      <c r="S12" s="170" t="s">
        <v>302</v>
      </c>
      <c r="T12" s="171" t="s">
        <v>311</v>
      </c>
      <c r="U12" s="170" t="s">
        <v>302</v>
      </c>
    </row>
    <row r="13" spans="1:23" x14ac:dyDescent="0.25">
      <c r="A13" s="1" t="e">
        <f>+G13/$E$65</f>
        <v>#DIV/0!</v>
      </c>
      <c r="B13" s="1" t="e">
        <f>+T13/E$65</f>
        <v>#DIV/0!</v>
      </c>
      <c r="C13">
        <v>52</v>
      </c>
      <c r="D13" s="163">
        <f>+Total!A360</f>
        <v>41158</v>
      </c>
      <c r="E13" s="2">
        <f>+Total!I360</f>
        <v>10032.4</v>
      </c>
      <c r="F13" s="2">
        <f>+Total!G360</f>
        <v>249.4</v>
      </c>
      <c r="G13" s="2">
        <f>+Total!I360</f>
        <v>10032.4</v>
      </c>
      <c r="H13" s="4">
        <f>+Total!G360</f>
        <v>249.4</v>
      </c>
      <c r="I13" s="2">
        <f>+G13-H13</f>
        <v>9783</v>
      </c>
      <c r="J13" s="166">
        <f>SUM('[5]River Analysis'!$F$6:$F6)</f>
        <v>5999</v>
      </c>
      <c r="K13" s="166">
        <f>SUM('[5]River Analysis'!O$6:$O6)</f>
        <v>22829</v>
      </c>
      <c r="L13" s="166">
        <f>SUM('[5]River Analysis'!$C$6:$C6)</f>
        <v>1616</v>
      </c>
      <c r="M13" s="166">
        <f>SUM('[5]River Analysis'!$L$6:$L6)</f>
        <v>7413</v>
      </c>
      <c r="N13" s="166">
        <f>SUM('[5]River Analysis'!$I$6:$I6)</f>
        <v>10155</v>
      </c>
      <c r="O13" s="166">
        <f>SUM('[5]River Analysis'!$R$6:$R6)</f>
        <v>37836.666666666664</v>
      </c>
      <c r="P13" s="166">
        <f>SUM('[5]River Analysis'!$X$6:$X6)</f>
        <v>152.64631043256998</v>
      </c>
      <c r="Q13" s="166">
        <f>SUM('[5]River Analysis'!$AG$6:$AG6)</f>
        <v>580.89058524173038</v>
      </c>
      <c r="R13" s="166">
        <f>SUM('[5]River Analysis'!$U$6:$U6)</f>
        <v>41.11959287531807</v>
      </c>
      <c r="S13" s="166">
        <f>SUM('[5]River Analysis'!$AD$6:$AD6)</f>
        <v>188.62595419847329</v>
      </c>
      <c r="T13" s="166">
        <f>SUM('[5]River Analysis'!$AA$6:$AA6)</f>
        <v>258.39694656488552</v>
      </c>
      <c r="U13" s="166">
        <f>SUM('[5]River Analysis'!$AJ$6:$AJ6)</f>
        <v>962.76505513146731</v>
      </c>
    </row>
    <row r="14" spans="1:23" x14ac:dyDescent="0.25">
      <c r="A14" s="1" t="e">
        <f t="shared" ref="A14:A30" si="0">+G14/$E$65</f>
        <v>#DIV/0!</v>
      </c>
      <c r="B14" s="1" t="e">
        <f t="shared" ref="B14:B30" si="1">+T14/E$65</f>
        <v>#DIV/0!</v>
      </c>
      <c r="C14">
        <v>51</v>
      </c>
      <c r="D14" s="163">
        <f>+Total!A361</f>
        <v>41165</v>
      </c>
      <c r="E14" s="160">
        <f>+E13+$E$66</f>
        <v>9835.6862745098042</v>
      </c>
      <c r="F14" s="160">
        <f>+(E$65-F13)/C14+F13</f>
        <v>244.50980392156862</v>
      </c>
      <c r="G14" s="2">
        <f>+Total!I361</f>
        <v>10102.299999999999</v>
      </c>
      <c r="H14" s="4">
        <f>+Total!G361</f>
        <v>989.4</v>
      </c>
      <c r="I14" s="2">
        <f t="shared" ref="I14:I28" si="2">+G14-H14</f>
        <v>9112.9</v>
      </c>
      <c r="J14" s="166">
        <f>SUM('[5]River Analysis'!$F$6:$F7)</f>
        <v>30837</v>
      </c>
      <c r="K14" s="166">
        <f>SUM('[5]River Analysis'!O$6:$O7)</f>
        <v>43425</v>
      </c>
      <c r="L14" s="166">
        <f>SUM('[5]River Analysis'!$C$6:$C7)</f>
        <v>1616</v>
      </c>
      <c r="M14" s="166">
        <f>SUM('[5]River Analysis'!$L$6:$L7)</f>
        <v>15735.666666666666</v>
      </c>
      <c r="N14" s="166">
        <f>SUM('[5]River Analysis'!$I$6:$I7)</f>
        <v>38443</v>
      </c>
      <c r="O14" s="166">
        <f>SUM('[5]River Analysis'!$R$6:$R7)</f>
        <v>72791</v>
      </c>
      <c r="P14" s="166">
        <f>SUM('[5]River Analysis'!$X$6:$X7)</f>
        <v>784.65648854961842</v>
      </c>
      <c r="Q14" s="166">
        <f>SUM('[5]River Analysis'!$AG$6:$AG7)</f>
        <v>1104.9618320610689</v>
      </c>
      <c r="R14" s="166">
        <f>SUM('[5]River Analysis'!$U$6:$U7)</f>
        <v>41.11959287531807</v>
      </c>
      <c r="S14" s="166">
        <f>SUM('[5]River Analysis'!$AD$6:$AD7)</f>
        <v>400.39864291772687</v>
      </c>
      <c r="T14" s="166">
        <f>SUM('[5]River Analysis'!$AA$6:$AA7)</f>
        <v>978.19338422391866</v>
      </c>
      <c r="U14" s="166">
        <f>SUM('[5]River Analysis'!$AJ$6:$AJ7)</f>
        <v>1852.1882951653945</v>
      </c>
    </row>
    <row r="15" spans="1:23" x14ac:dyDescent="0.25">
      <c r="A15" s="1" t="e">
        <f t="shared" si="0"/>
        <v>#DIV/0!</v>
      </c>
      <c r="B15" s="1" t="e">
        <f t="shared" si="1"/>
        <v>#DIV/0!</v>
      </c>
      <c r="C15">
        <v>50</v>
      </c>
      <c r="D15" s="163">
        <f>+Total!A362</f>
        <v>41172</v>
      </c>
      <c r="E15" s="160">
        <f t="shared" ref="E15:E64" si="3">+E14+$E$66</f>
        <v>9638.9725490196088</v>
      </c>
      <c r="F15" s="160">
        <f>+(E$65-F14)/C15+F14</f>
        <v>239.61960784313726</v>
      </c>
      <c r="G15" s="2">
        <f>+Total!I362</f>
        <v>10102.400000000001</v>
      </c>
      <c r="H15" s="4">
        <f>+Total!G362</f>
        <v>1668.7</v>
      </c>
      <c r="I15" s="2">
        <f t="shared" si="2"/>
        <v>8433.7000000000007</v>
      </c>
      <c r="J15" s="166">
        <f>SUM('[5]River Analysis'!$F$6:$F8)</f>
        <v>50816</v>
      </c>
      <c r="K15" s="166">
        <f>SUM('[5]River Analysis'!O$6:$O8)</f>
        <v>65180.333333333328</v>
      </c>
      <c r="L15" s="166">
        <f>SUM('[5]River Analysis'!$C$6:$C8)</f>
        <v>3659</v>
      </c>
      <c r="M15" s="166">
        <f>SUM('[5]River Analysis'!$L$6:$L8)</f>
        <v>20944.666666666664</v>
      </c>
      <c r="N15" s="166">
        <f>SUM('[5]River Analysis'!$I$6:$I8)</f>
        <v>63274</v>
      </c>
      <c r="O15" s="166">
        <f>SUM('[5]River Analysis'!$R$6:$R8)</f>
        <v>106561.33333333334</v>
      </c>
      <c r="P15" s="166">
        <f>SUM('[5]River Analysis'!$X$6:$X8)</f>
        <v>1293.027989821883</v>
      </c>
      <c r="Q15" s="166">
        <f>SUM('[5]River Analysis'!$AG$6:$AG8)</f>
        <v>1658.5326547921968</v>
      </c>
      <c r="R15" s="166">
        <f>SUM('[5]River Analysis'!$U$6:$U8)</f>
        <v>93.104325699745544</v>
      </c>
      <c r="S15" s="166">
        <f>SUM('[5]River Analysis'!$AD$6:$AD8)</f>
        <v>532.94317217981336</v>
      </c>
      <c r="T15" s="166">
        <f>SUM('[5]River Analysis'!$AA$6:$AA8)</f>
        <v>1610.025445292621</v>
      </c>
      <c r="U15" s="166">
        <f>SUM('[5]River Analysis'!$AJ$6:$AJ8)</f>
        <v>2711.4843087362174</v>
      </c>
    </row>
    <row r="16" spans="1:23" x14ac:dyDescent="0.25">
      <c r="A16" s="1" t="e">
        <f t="shared" si="0"/>
        <v>#DIV/0!</v>
      </c>
      <c r="B16" s="1" t="e">
        <f t="shared" si="1"/>
        <v>#DIV/0!</v>
      </c>
      <c r="C16">
        <v>49</v>
      </c>
      <c r="D16" s="163">
        <f>+Total!A363</f>
        <v>41179</v>
      </c>
      <c r="E16" s="160">
        <f t="shared" si="3"/>
        <v>9442.2588235294133</v>
      </c>
      <c r="F16" s="160">
        <f t="shared" ref="F16:F64" si="4">+(E$65-F15)/C16+F15</f>
        <v>234.7294117647059</v>
      </c>
      <c r="G16" s="2">
        <f>+Total!I363</f>
        <v>10429.200000000001</v>
      </c>
      <c r="H16" s="4">
        <f>+Total!G363</f>
        <v>2098.6999999999998</v>
      </c>
      <c r="I16" s="2">
        <f t="shared" si="2"/>
        <v>8330.5</v>
      </c>
      <c r="J16" s="166">
        <f>SUM('[5]River Analysis'!$F$6:$F9)</f>
        <v>66715</v>
      </c>
      <c r="K16" s="166">
        <f>SUM('[5]River Analysis'!O$6:$O9)</f>
        <v>88079</v>
      </c>
      <c r="L16" s="166">
        <f>SUM('[5]River Analysis'!$C$6:$C9)</f>
        <v>3672</v>
      </c>
      <c r="M16" s="166">
        <f>SUM('[5]River Analysis'!$L$6:$L9)</f>
        <v>26261.333333333332</v>
      </c>
      <c r="N16" s="166">
        <f>SUM('[5]River Analysis'!$I$6:$I9)</f>
        <v>83461</v>
      </c>
      <c r="O16" s="166">
        <f>SUM('[5]River Analysis'!$R$6:$R9)</f>
        <v>141787</v>
      </c>
      <c r="P16" s="166">
        <f>SUM('[5]River Analysis'!$X$6:$X9)</f>
        <v>1697.5826972010179</v>
      </c>
      <c r="Q16" s="166">
        <f>SUM('[5]River Analysis'!$AG$6:$AG9)</f>
        <v>2241.1959287531809</v>
      </c>
      <c r="R16" s="166">
        <f>SUM('[5]River Analysis'!$U$6:$U9)</f>
        <v>93.435114503816791</v>
      </c>
      <c r="S16" s="166">
        <f>SUM('[5]River Analysis'!$AD$6:$AD9)</f>
        <v>668.22731128074633</v>
      </c>
      <c r="T16" s="166">
        <f>SUM('[5]River Analysis'!$AA$6:$AA9)</f>
        <v>2123.6895674300258</v>
      </c>
      <c r="U16" s="166">
        <f>SUM('[5]River Analysis'!$AJ$6:$AJ9)</f>
        <v>3607.8117048346057</v>
      </c>
    </row>
    <row r="17" spans="1:21" x14ac:dyDescent="0.25">
      <c r="A17" s="1" t="e">
        <f t="shared" si="0"/>
        <v>#DIV/0!</v>
      </c>
      <c r="B17" s="1" t="e">
        <f t="shared" si="1"/>
        <v>#DIV/0!</v>
      </c>
      <c r="C17">
        <v>48</v>
      </c>
      <c r="D17" s="163">
        <f>+Total!A364</f>
        <v>41186</v>
      </c>
      <c r="E17" s="160">
        <f t="shared" si="3"/>
        <v>9245.5450980392179</v>
      </c>
      <c r="F17" s="160">
        <f t="shared" si="4"/>
        <v>229.83921568627454</v>
      </c>
      <c r="G17" s="2">
        <f>+Total!I364</f>
        <v>10433.5</v>
      </c>
      <c r="H17" s="4">
        <f>+Total!G364</f>
        <v>2619.6</v>
      </c>
      <c r="I17" s="2">
        <f t="shared" si="2"/>
        <v>7813.9</v>
      </c>
      <c r="J17" s="166">
        <f>SUM('[5]River Analysis'!$F$6:$F10)</f>
        <v>81007</v>
      </c>
      <c r="K17" s="166">
        <f>SUM('[5]River Analysis'!O$6:$O10)</f>
        <v>114454.66666666667</v>
      </c>
      <c r="L17" s="166">
        <f>SUM('[5]River Analysis'!$C$6:$C10)</f>
        <v>3692</v>
      </c>
      <c r="M17" s="166">
        <f>SUM('[5]River Analysis'!$L$6:$L10)</f>
        <v>30998.333333333332</v>
      </c>
      <c r="N17" s="166">
        <f>SUM('[5]River Analysis'!$I$6:$I10)</f>
        <v>100846</v>
      </c>
      <c r="O17" s="166">
        <f>SUM('[5]River Analysis'!$R$6:$R10)</f>
        <v>179591.33333333334</v>
      </c>
      <c r="P17" s="166">
        <f>SUM('[5]River Analysis'!$X$6:$X10)</f>
        <v>2061.2468193384225</v>
      </c>
      <c r="Q17" s="166">
        <f>SUM('[5]River Analysis'!$AG$6:$AG10)</f>
        <v>2912.3324851569128</v>
      </c>
      <c r="R17" s="166">
        <f>SUM('[5]River Analysis'!$U$6:$U10)</f>
        <v>93.944020356234091</v>
      </c>
      <c r="S17" s="166">
        <f>SUM('[5]River Analysis'!$AD$6:$AD10)</f>
        <v>788.76166242578449</v>
      </c>
      <c r="T17" s="166">
        <f>SUM('[5]River Analysis'!$AA$6:$AA10)</f>
        <v>2566.0559796437665</v>
      </c>
      <c r="U17" s="166">
        <f>SUM('[5]River Analysis'!$AJ$6:$AJ10)</f>
        <v>4569.7540288379987</v>
      </c>
    </row>
    <row r="18" spans="1:21" x14ac:dyDescent="0.25">
      <c r="A18" s="1" t="e">
        <f t="shared" si="0"/>
        <v>#DIV/0!</v>
      </c>
      <c r="B18" s="1" t="e">
        <f t="shared" si="1"/>
        <v>#DIV/0!</v>
      </c>
      <c r="C18">
        <v>47</v>
      </c>
      <c r="D18" s="163">
        <f>+Total!A365</f>
        <v>41193</v>
      </c>
      <c r="E18" s="160">
        <f t="shared" si="3"/>
        <v>9048.8313725490225</v>
      </c>
      <c r="F18" s="160">
        <f t="shared" si="4"/>
        <v>224.94901960784318</v>
      </c>
      <c r="G18" s="2">
        <f>+Total!I365</f>
        <v>10600.3</v>
      </c>
      <c r="H18" s="4">
        <f>+Total!G365</f>
        <v>3037.3</v>
      </c>
      <c r="I18" s="2">
        <f t="shared" si="2"/>
        <v>7562.9999999999991</v>
      </c>
      <c r="J18" s="166">
        <f>SUM('[5]River Analysis'!$F$6:$F11)</f>
        <v>95625</v>
      </c>
      <c r="K18" s="166">
        <f>SUM('[5]River Analysis'!O$6:$O11)</f>
        <v>138922.66666666669</v>
      </c>
      <c r="L18" s="166">
        <f>SUM('[5]River Analysis'!$C$6:$C11)</f>
        <v>3717</v>
      </c>
      <c r="M18" s="166">
        <f>SUM('[5]River Analysis'!$L$6:$L11)</f>
        <v>31628.333333333332</v>
      </c>
      <c r="N18" s="166">
        <f>SUM('[5]River Analysis'!$I$6:$I11)</f>
        <v>118126</v>
      </c>
      <c r="O18" s="166">
        <f>SUM('[5]River Analysis'!$R$6:$R11)</f>
        <v>209433.66666666669</v>
      </c>
      <c r="P18" s="166">
        <f>SUM('[5]River Analysis'!$X$6:$X11)</f>
        <v>2433.2061068702292</v>
      </c>
      <c r="Q18" s="166">
        <f>SUM('[5]River Analysis'!$AG$6:$AG11)</f>
        <v>3534.927905004241</v>
      </c>
      <c r="R18" s="166">
        <f>SUM('[5]River Analysis'!$U$6:$U11)</f>
        <v>94.580152671755727</v>
      </c>
      <c r="S18" s="166">
        <f>SUM('[5]River Analysis'!$AD$6:$AD11)</f>
        <v>804.79219677692959</v>
      </c>
      <c r="T18" s="166">
        <f>SUM('[5]River Analysis'!$AA$6:$AA11)</f>
        <v>3005.7506361323162</v>
      </c>
      <c r="U18" s="166">
        <f>SUM('[5]River Analysis'!$AJ$6:$AJ11)</f>
        <v>5329.1009329940634</v>
      </c>
    </row>
    <row r="19" spans="1:21" x14ac:dyDescent="0.25">
      <c r="A19" s="1" t="e">
        <f t="shared" si="0"/>
        <v>#DIV/0!</v>
      </c>
      <c r="B19" s="1" t="e">
        <f t="shared" si="1"/>
        <v>#DIV/0!</v>
      </c>
      <c r="C19">
        <v>46</v>
      </c>
      <c r="D19" s="163">
        <f>+Total!A366</f>
        <v>41200</v>
      </c>
      <c r="E19" s="160">
        <f t="shared" si="3"/>
        <v>8852.1176470588271</v>
      </c>
      <c r="F19" s="160">
        <f t="shared" si="4"/>
        <v>220.0588235294118</v>
      </c>
      <c r="G19" s="2">
        <f>+Total!I366</f>
        <v>10742.5</v>
      </c>
      <c r="H19" s="4">
        <f>+Total!G366</f>
        <v>3327.3</v>
      </c>
      <c r="I19" s="2">
        <f t="shared" si="2"/>
        <v>7415.2</v>
      </c>
      <c r="J19" s="166">
        <f>SUM('[5]River Analysis'!$F$6:$F12)</f>
        <v>103443</v>
      </c>
      <c r="K19" s="166">
        <f>SUM('[5]River Analysis'!O$6:$O12)</f>
        <v>160133.66666666669</v>
      </c>
      <c r="L19" s="166">
        <f>SUM('[5]River Analysis'!$C$6:$C12)</f>
        <v>3735</v>
      </c>
      <c r="M19" s="166">
        <f>SUM('[5]River Analysis'!$L$6:$L12)</f>
        <v>32398.666666666664</v>
      </c>
      <c r="N19" s="166">
        <f>SUM('[5]River Analysis'!$I$6:$I12)</f>
        <v>128559</v>
      </c>
      <c r="O19" s="166">
        <f>SUM('[5]River Analysis'!$R$6:$R12)</f>
        <v>236921.33333333334</v>
      </c>
      <c r="P19" s="166">
        <f>SUM('[5]River Analysis'!$X$6:$X12)</f>
        <v>2632.1374045801531</v>
      </c>
      <c r="Q19" s="166">
        <f>SUM('[5]River Analysis'!$AG$6:$AG12)</f>
        <v>4074.6480067854118</v>
      </c>
      <c r="R19" s="166">
        <f>SUM('[5]River Analysis'!$U$6:$U12)</f>
        <v>95.038167938931295</v>
      </c>
      <c r="S19" s="166">
        <f>SUM('[5]River Analysis'!$AD$6:$AD12)</f>
        <v>824.39355385920271</v>
      </c>
      <c r="T19" s="166">
        <f>SUM('[5]River Analysis'!$AA$6:$AA12)</f>
        <v>3271.2213740458023</v>
      </c>
      <c r="U19" s="166">
        <f>SUM('[5]River Analysis'!$AJ$6:$AJ12)</f>
        <v>6028.5326547921977</v>
      </c>
    </row>
    <row r="20" spans="1:21" x14ac:dyDescent="0.25">
      <c r="A20" s="1" t="e">
        <f t="shared" si="0"/>
        <v>#DIV/0!</v>
      </c>
      <c r="B20" s="1" t="e">
        <f t="shared" si="1"/>
        <v>#DIV/0!</v>
      </c>
      <c r="C20">
        <v>45</v>
      </c>
      <c r="D20" s="163">
        <f>+Total!A367</f>
        <v>41207</v>
      </c>
      <c r="E20" s="160">
        <f t="shared" si="3"/>
        <v>8655.4039215686316</v>
      </c>
      <c r="F20" s="160">
        <f t="shared" si="4"/>
        <v>215.16862745098041</v>
      </c>
      <c r="G20" s="2">
        <f>+Total!I367</f>
        <v>10910.5</v>
      </c>
      <c r="H20" s="4">
        <f>+Total!G367</f>
        <v>3715.8</v>
      </c>
      <c r="I20" s="2">
        <f t="shared" si="2"/>
        <v>7194.7</v>
      </c>
      <c r="J20" s="166">
        <f>SUM('[5]River Analysis'!$F$6:$F13)</f>
        <v>116945</v>
      </c>
      <c r="K20" s="166">
        <f>SUM('[5]River Analysis'!O$6:$O13)</f>
        <v>179750.33333333334</v>
      </c>
      <c r="L20" s="166">
        <f>SUM('[5]River Analysis'!$C$6:$C13)</f>
        <v>3752</v>
      </c>
      <c r="M20" s="166">
        <f>SUM('[5]River Analysis'!$L$6:$L13)</f>
        <v>32738.666666666664</v>
      </c>
      <c r="N20" s="166">
        <f>SUM('[5]River Analysis'!$I$6:$I13)</f>
        <v>144123</v>
      </c>
      <c r="O20" s="166">
        <f>SUM('[5]River Analysis'!$R$6:$R13)</f>
        <v>263570.66666666669</v>
      </c>
      <c r="P20" s="166">
        <f>SUM('[5]River Analysis'!$X$6:$X13)</f>
        <v>2975.6997455470741</v>
      </c>
      <c r="Q20" s="166">
        <f>SUM('[5]River Analysis'!$AG$6:$AG13)</f>
        <v>4573.7998303647164</v>
      </c>
      <c r="R20" s="166">
        <f>SUM('[5]River Analysis'!$U$6:$U13)</f>
        <v>95.470737913486005</v>
      </c>
      <c r="S20" s="166">
        <f>SUM('[5]River Analysis'!$AD$6:$AD13)</f>
        <v>833.04495335029685</v>
      </c>
      <c r="T20" s="166">
        <f>SUM('[5]River Analysis'!$AA$6:$AA13)</f>
        <v>3667.2519083969473</v>
      </c>
      <c r="U20" s="166">
        <f>SUM('[5]River Analysis'!$AJ$6:$AJ13)</f>
        <v>6706.6327396098395</v>
      </c>
    </row>
    <row r="21" spans="1:21" x14ac:dyDescent="0.25">
      <c r="A21" s="1" t="e">
        <f t="shared" si="0"/>
        <v>#DIV/0!</v>
      </c>
      <c r="B21" s="1" t="e">
        <f t="shared" si="1"/>
        <v>#DIV/0!</v>
      </c>
      <c r="C21">
        <v>44</v>
      </c>
      <c r="D21" s="163">
        <f>+Total!A368</f>
        <v>41214</v>
      </c>
      <c r="E21" s="160">
        <f t="shared" si="3"/>
        <v>8458.6901960784362</v>
      </c>
      <c r="F21" s="160">
        <f t="shared" si="4"/>
        <v>210.27843137254905</v>
      </c>
      <c r="G21" s="2">
        <f>+Total!I368</f>
        <v>11068.1</v>
      </c>
      <c r="H21" s="4">
        <f>+Total!G368</f>
        <v>4111.3</v>
      </c>
      <c r="I21" s="2">
        <f t="shared" si="2"/>
        <v>6956.8</v>
      </c>
      <c r="J21" s="166">
        <f>SUM('[5]River Analysis'!$F$6:$F14)</f>
        <v>124926</v>
      </c>
      <c r="K21" s="166">
        <f>SUM('[5]River Analysis'!O$6:$O14)</f>
        <v>198743</v>
      </c>
      <c r="L21" s="166">
        <f>SUM('[5]River Analysis'!$C$6:$C14)</f>
        <v>5905</v>
      </c>
      <c r="M21" s="166">
        <f>SUM('[5]River Analysis'!$L$6:$L14)</f>
        <v>34158.666666666664</v>
      </c>
      <c r="N21" s="166">
        <f>SUM('[5]River Analysis'!$I$6:$I14)</f>
        <v>159553</v>
      </c>
      <c r="O21" s="166">
        <f>SUM('[5]River Analysis'!$R$6:$R14)</f>
        <v>292782</v>
      </c>
      <c r="P21" s="166">
        <f>SUM('[5]River Analysis'!$X$6:$X14)</f>
        <v>3178.778625954199</v>
      </c>
      <c r="Q21" s="166">
        <f>SUM('[5]River Analysis'!$AG$6:$AG14)</f>
        <v>5057.0737913486009</v>
      </c>
      <c r="R21" s="166">
        <f>SUM('[5]River Analysis'!$U$6:$U14)</f>
        <v>150.25445292620867</v>
      </c>
      <c r="S21" s="166">
        <f>SUM('[5]River Analysis'!$AD$6:$AD14)</f>
        <v>869.17726887192532</v>
      </c>
      <c r="T21" s="166">
        <f>SUM('[5]River Analysis'!$AA$6:$AA14)</f>
        <v>4059.8727735368966</v>
      </c>
      <c r="U21" s="166">
        <f>SUM('[5]River Analysis'!$AJ$6:$AJ14)</f>
        <v>7449.9236641221378</v>
      </c>
    </row>
    <row r="22" spans="1:21" x14ac:dyDescent="0.25">
      <c r="A22" s="1" t="e">
        <f t="shared" si="0"/>
        <v>#DIV/0!</v>
      </c>
      <c r="B22" s="1" t="e">
        <f t="shared" si="1"/>
        <v>#DIV/0!</v>
      </c>
      <c r="C22">
        <v>43</v>
      </c>
      <c r="D22" s="163">
        <f>+Total!A369</f>
        <v>41221</v>
      </c>
      <c r="E22" s="160">
        <f t="shared" si="3"/>
        <v>8261.9764705882408</v>
      </c>
      <c r="F22" s="160">
        <f t="shared" si="4"/>
        <v>205.38823529411769</v>
      </c>
      <c r="G22" s="2">
        <f>+Total!I369</f>
        <v>11171.900000000001</v>
      </c>
      <c r="H22" s="4">
        <f>+Total!G369</f>
        <v>4343.3</v>
      </c>
      <c r="I22" s="2">
        <f t="shared" si="2"/>
        <v>6828.6000000000013</v>
      </c>
      <c r="J22" s="166">
        <f>SUM('[5]River Analysis'!$F$6:$F15)</f>
        <v>130631</v>
      </c>
      <c r="K22" s="166">
        <f>SUM('[5]River Analysis'!O$6:$O15)</f>
        <v>215403.33333333334</v>
      </c>
      <c r="L22" s="166">
        <f>SUM('[5]River Analysis'!$C$6:$C15)</f>
        <v>8061</v>
      </c>
      <c r="M22" s="166">
        <f>SUM('[5]River Analysis'!$L$6:$L15)</f>
        <v>38340.666666666664</v>
      </c>
      <c r="N22" s="166">
        <f>SUM('[5]River Analysis'!$I$6:$I15)</f>
        <v>169016</v>
      </c>
      <c r="O22" s="166">
        <f>SUM('[5]River Analysis'!$R$6:$R15)</f>
        <v>320794</v>
      </c>
      <c r="P22" s="166">
        <f>SUM('[5]River Analysis'!$X$6:$X15)</f>
        <v>3323.9440203562344</v>
      </c>
      <c r="Q22" s="166">
        <f>SUM('[5]River Analysis'!$AG$6:$AG15)</f>
        <v>5481.0008481764207</v>
      </c>
      <c r="R22" s="166">
        <f>SUM('[5]River Analysis'!$U$6:$U15)</f>
        <v>205.1145038167939</v>
      </c>
      <c r="S22" s="166">
        <f>SUM('[5]River Analysis'!$AD$6:$AD15)</f>
        <v>975.58948261238334</v>
      </c>
      <c r="T22" s="166">
        <f>SUM('[5]River Analysis'!$AA$6:$AA15)</f>
        <v>4300.6615776081435</v>
      </c>
      <c r="U22" s="166">
        <f>SUM('[5]River Analysis'!$AJ$6:$AJ15)</f>
        <v>8162.6972010178124</v>
      </c>
    </row>
    <row r="23" spans="1:21" x14ac:dyDescent="0.25">
      <c r="A23" s="1" t="e">
        <f t="shared" si="0"/>
        <v>#DIV/0!</v>
      </c>
      <c r="B23" s="1" t="e">
        <f t="shared" si="1"/>
        <v>#DIV/0!</v>
      </c>
      <c r="C23">
        <v>42</v>
      </c>
      <c r="D23" s="163">
        <f>+Total!A370</f>
        <v>41228</v>
      </c>
      <c r="E23" s="160">
        <f t="shared" si="3"/>
        <v>8065.2627450980444</v>
      </c>
      <c r="F23" s="160">
        <f t="shared" si="4"/>
        <v>200.4980392156863</v>
      </c>
      <c r="G23" s="2">
        <f>+Total!I370</f>
        <v>11941.7</v>
      </c>
      <c r="H23" s="4">
        <f>+Total!G370</f>
        <v>4737.8999999999996</v>
      </c>
      <c r="I23" s="2">
        <f t="shared" si="2"/>
        <v>7203.8000000000011</v>
      </c>
      <c r="J23" s="166">
        <f>SUM('[5]River Analysis'!$F$6:$F16)</f>
        <v>139919</v>
      </c>
      <c r="K23" s="166">
        <f>SUM('[5]River Analysis'!O$6:$O16)</f>
        <v>232573</v>
      </c>
      <c r="L23" s="166">
        <f>SUM('[5]River Analysis'!$C$6:$C16)</f>
        <v>10644</v>
      </c>
      <c r="M23" s="166">
        <f>SUM('[5]River Analysis'!$L$6:$L16)</f>
        <v>44249.333333333328</v>
      </c>
      <c r="N23" s="166">
        <f>SUM('[5]River Analysis'!$I$6:$I16)</f>
        <v>183441</v>
      </c>
      <c r="O23" s="166">
        <f>SUM('[5]River Analysis'!$R$6:$R16)</f>
        <v>351278</v>
      </c>
      <c r="P23" s="166">
        <f>SUM('[5]River Analysis'!$X$6:$X16)</f>
        <v>3560.2798982188297</v>
      </c>
      <c r="Q23" s="166">
        <f>SUM('[5]River Analysis'!$AG$6:$AG16)</f>
        <v>5917.888040712468</v>
      </c>
      <c r="R23" s="166">
        <f>SUM('[5]River Analysis'!$U$6:$U16)</f>
        <v>270.83969465648858</v>
      </c>
      <c r="S23" s="166">
        <f>SUM('[5]River Analysis'!$AD$6:$AD16)</f>
        <v>1125.9372349448686</v>
      </c>
      <c r="T23" s="166">
        <f>SUM('[5]River Analysis'!$AA$6:$AA16)</f>
        <v>4667.7099236641234</v>
      </c>
      <c r="U23" s="166">
        <f>SUM('[5]River Analysis'!$AJ$6:$AJ16)</f>
        <v>8938.371501272266</v>
      </c>
    </row>
    <row r="24" spans="1:21" x14ac:dyDescent="0.25">
      <c r="A24" s="1" t="e">
        <f t="shared" si="0"/>
        <v>#DIV/0!</v>
      </c>
      <c r="B24" s="1" t="e">
        <f t="shared" si="1"/>
        <v>#DIV/0!</v>
      </c>
      <c r="C24">
        <v>41</v>
      </c>
      <c r="D24" s="163">
        <f>+Total!A371</f>
        <v>41235</v>
      </c>
      <c r="E24" s="160">
        <f t="shared" si="3"/>
        <v>7868.5490196078481</v>
      </c>
      <c r="F24" s="160">
        <f t="shared" si="4"/>
        <v>195.60784313725492</v>
      </c>
      <c r="G24" s="2">
        <f>+Total!I371</f>
        <v>12177.8</v>
      </c>
      <c r="H24" s="4">
        <f>+Total!G371</f>
        <v>5106.7</v>
      </c>
      <c r="I24" s="2">
        <f t="shared" si="2"/>
        <v>7071.0999999999995</v>
      </c>
      <c r="J24" s="166">
        <f>SUM('[5]River Analysis'!$F$6:$F17)</f>
        <v>151140</v>
      </c>
      <c r="K24" s="166">
        <f>SUM('[5]River Analysis'!O$6:$O17)</f>
        <v>250327.66666666666</v>
      </c>
      <c r="L24" s="166">
        <f>SUM('[5]River Analysis'!$C$6:$C17)</f>
        <v>12792</v>
      </c>
      <c r="M24" s="166">
        <f>SUM('[5]River Analysis'!$L$6:$L17)</f>
        <v>52236.999999999993</v>
      </c>
      <c r="N24" s="166">
        <f>SUM('[5]River Analysis'!$I$6:$I17)</f>
        <v>199607</v>
      </c>
      <c r="O24" s="166">
        <f>SUM('[5]River Analysis'!$R$6:$R17)</f>
        <v>383120</v>
      </c>
      <c r="P24" s="166">
        <f>SUM('[5]River Analysis'!$X$6:$X17)</f>
        <v>3845.8015267175574</v>
      </c>
      <c r="Q24" s="166">
        <f>SUM('[5]River Analysis'!$AG$6:$AG17)</f>
        <v>6369.6607294317218</v>
      </c>
      <c r="R24" s="166">
        <f>SUM('[5]River Analysis'!$U$6:$U17)</f>
        <v>325.49618320610688</v>
      </c>
      <c r="S24" s="166">
        <f>SUM('[5]River Analysis'!$AD$6:$AD17)</f>
        <v>1329.1857506361323</v>
      </c>
      <c r="T24" s="166">
        <f>SUM('[5]River Analysis'!$AA$6:$AA17)</f>
        <v>5079.0585241730296</v>
      </c>
      <c r="U24" s="166">
        <f>SUM('[5]River Analysis'!$AJ$6:$AJ17)</f>
        <v>9748.6005089058544</v>
      </c>
    </row>
    <row r="25" spans="1:21" x14ac:dyDescent="0.25">
      <c r="A25" s="1" t="e">
        <f t="shared" si="0"/>
        <v>#DIV/0!</v>
      </c>
      <c r="B25" s="1" t="e">
        <f t="shared" si="1"/>
        <v>#DIV/0!</v>
      </c>
      <c r="C25">
        <v>40</v>
      </c>
      <c r="D25" s="163">
        <f>+Total!A372</f>
        <v>41242</v>
      </c>
      <c r="E25" s="160">
        <f t="shared" si="3"/>
        <v>7671.8352941176518</v>
      </c>
      <c r="F25" s="160">
        <f t="shared" si="4"/>
        <v>190.71764705882356</v>
      </c>
      <c r="G25" s="2">
        <f>+Total!I372</f>
        <v>12229.4</v>
      </c>
      <c r="H25" s="4">
        <f>+Total!G372</f>
        <v>5399.4</v>
      </c>
      <c r="I25" s="2">
        <f t="shared" si="2"/>
        <v>6830</v>
      </c>
      <c r="J25" s="166">
        <f>SUM('[5]River Analysis'!$F$6:$F18)</f>
        <v>157934</v>
      </c>
      <c r="K25" s="166">
        <f>SUM('[5]River Analysis'!O$6:$O18)</f>
        <v>269567</v>
      </c>
      <c r="L25" s="166">
        <f>SUM('[5]River Analysis'!$C$6:$C18)</f>
        <v>14949</v>
      </c>
      <c r="M25" s="166">
        <f>SUM('[5]River Analysis'!$L$6:$L18)</f>
        <v>57591.999999999993</v>
      </c>
      <c r="N25" s="166">
        <f>SUM('[5]River Analysis'!$I$6:$I18)</f>
        <v>210119</v>
      </c>
      <c r="O25" s="166">
        <f>SUM('[5]River Analysis'!$R$6:$R18)</f>
        <v>415900.66666666669</v>
      </c>
      <c r="P25" s="166">
        <f>SUM('[5]River Analysis'!$X$6:$X18)</f>
        <v>4018.6768447837153</v>
      </c>
      <c r="Q25" s="166">
        <f>SUM('[5]River Analysis'!$AG$6:$AG18)</f>
        <v>6859.2111959287531</v>
      </c>
      <c r="R25" s="166">
        <f>SUM('[5]River Analysis'!$U$6:$U18)</f>
        <v>380.38167938931298</v>
      </c>
      <c r="S25" s="166">
        <f>SUM('[5]River Analysis'!$AD$6:$AD18)</f>
        <v>1465.4452926208651</v>
      </c>
      <c r="T25" s="166">
        <f>SUM('[5]River Analysis'!$AA$6:$AA18)</f>
        <v>5346.5394402035636</v>
      </c>
      <c r="U25" s="166">
        <f>SUM('[5]River Analysis'!$AJ$6:$AJ18)</f>
        <v>10582.714164546227</v>
      </c>
    </row>
    <row r="26" spans="1:21" x14ac:dyDescent="0.25">
      <c r="A26" s="1" t="e">
        <f t="shared" si="0"/>
        <v>#DIV/0!</v>
      </c>
      <c r="B26" s="1" t="e">
        <f t="shared" si="1"/>
        <v>#DIV/0!</v>
      </c>
      <c r="C26">
        <v>39</v>
      </c>
      <c r="D26" s="163">
        <f>+Total!A373</f>
        <v>41249</v>
      </c>
      <c r="E26" s="160">
        <f t="shared" si="3"/>
        <v>7475.1215686274554</v>
      </c>
      <c r="F26" s="160">
        <f t="shared" si="4"/>
        <v>185.8274509803922</v>
      </c>
      <c r="G26" s="2">
        <f>+Total!I373</f>
        <v>12488.3</v>
      </c>
      <c r="H26" s="4">
        <f>+Total!G373</f>
        <v>5657.9</v>
      </c>
      <c r="I26" s="2">
        <f t="shared" si="2"/>
        <v>6830.4</v>
      </c>
      <c r="J26" s="166">
        <f>SUM('[5]River Analysis'!$F$6:$F19)</f>
        <v>164505</v>
      </c>
      <c r="K26" s="166">
        <f>SUM('[5]River Analysis'!O$6:$O19)</f>
        <v>286653</v>
      </c>
      <c r="L26" s="166">
        <f>SUM('[5]River Analysis'!$C$6:$C19)</f>
        <v>14959</v>
      </c>
      <c r="M26" s="166">
        <f>SUM('[5]River Analysis'!$L$6:$L19)</f>
        <v>65664.666666666657</v>
      </c>
      <c r="N26" s="166">
        <f>SUM('[5]River Analysis'!$I$6:$I19)</f>
        <v>218176</v>
      </c>
      <c r="O26" s="166">
        <f>SUM('[5]River Analysis'!$R$6:$R19)</f>
        <v>447694.66666666669</v>
      </c>
      <c r="P26" s="166">
        <f>SUM('[5]River Analysis'!$X$6:$X19)</f>
        <v>4185.8778625954201</v>
      </c>
      <c r="Q26" s="166">
        <f>SUM('[5]River Analysis'!$AG$6:$AG19)</f>
        <v>7293.9694656488546</v>
      </c>
      <c r="R26" s="166">
        <f>SUM('[5]River Analysis'!$U$6:$U19)</f>
        <v>380.63613231552165</v>
      </c>
      <c r="S26" s="166">
        <f>SUM('[5]River Analysis'!$AD$6:$AD19)</f>
        <v>1670.8566581849025</v>
      </c>
      <c r="T26" s="166">
        <f>SUM('[5]River Analysis'!$AA$6:$AA19)</f>
        <v>5551.5521628498736</v>
      </c>
      <c r="U26" s="166">
        <f>SUM('[5]River Analysis'!$AJ$6:$AJ19)</f>
        <v>11391.721798134013</v>
      </c>
    </row>
    <row r="27" spans="1:21" x14ac:dyDescent="0.25">
      <c r="A27" s="1" t="e">
        <f t="shared" si="0"/>
        <v>#DIV/0!</v>
      </c>
      <c r="B27" s="1" t="e">
        <f t="shared" si="1"/>
        <v>#DIV/0!</v>
      </c>
      <c r="C27">
        <v>38</v>
      </c>
      <c r="D27" s="163">
        <f>+Total!A374</f>
        <v>41256</v>
      </c>
      <c r="E27" s="160">
        <f t="shared" si="3"/>
        <v>7278.4078431372591</v>
      </c>
      <c r="F27" s="160">
        <f t="shared" si="4"/>
        <v>180.93725490196081</v>
      </c>
      <c r="G27" s="2">
        <f>+Total!I374</f>
        <v>12602.7</v>
      </c>
      <c r="H27" s="4">
        <f>+Total!G374</f>
        <v>6091.3</v>
      </c>
      <c r="I27" s="2">
        <f t="shared" si="2"/>
        <v>6511.4000000000005</v>
      </c>
      <c r="J27" s="166">
        <f>SUM('[5]River Analysis'!$F$6:$F20)</f>
        <v>177355</v>
      </c>
      <c r="K27" s="166">
        <f>SUM('[5]River Analysis'!O$6:$O20)</f>
        <v>307078</v>
      </c>
      <c r="L27" s="166">
        <f>SUM('[5]River Analysis'!$C$6:$C20)</f>
        <v>17113</v>
      </c>
      <c r="M27" s="166">
        <f>SUM('[5]River Analysis'!$L$6:$L20)</f>
        <v>73722.333333333328</v>
      </c>
      <c r="N27" s="166">
        <f>SUM('[5]River Analysis'!$I$6:$I20)</f>
        <v>234683</v>
      </c>
      <c r="O27" s="166">
        <f>SUM('[5]River Analysis'!$R$6:$R20)</f>
        <v>481333.66666666669</v>
      </c>
      <c r="P27" s="166">
        <f>SUM('[5]River Analysis'!$X$6:$X20)</f>
        <v>4512.8498727735368</v>
      </c>
      <c r="Q27" s="166">
        <f>SUM('[5]River Analysis'!$AG$6:$AG20)</f>
        <v>7813.6895674300249</v>
      </c>
      <c r="R27" s="166">
        <f>SUM('[5]River Analysis'!$U$6:$U20)</f>
        <v>435.44529262086519</v>
      </c>
      <c r="S27" s="166">
        <f>SUM('[5]River Analysis'!$AD$6:$AD20)</f>
        <v>1875.8863443596269</v>
      </c>
      <c r="T27" s="166">
        <f>SUM('[5]River Analysis'!$AA$6:$AA20)</f>
        <v>5971.5776081424947</v>
      </c>
      <c r="U27" s="166">
        <f>SUM('[5]River Analysis'!$AJ$6:$AJ20)</f>
        <v>12247.675996607295</v>
      </c>
    </row>
    <row r="28" spans="1:21" x14ac:dyDescent="0.25">
      <c r="A28" s="1" t="e">
        <f t="shared" si="0"/>
        <v>#DIV/0!</v>
      </c>
      <c r="B28" s="1" t="e">
        <f t="shared" si="1"/>
        <v>#DIV/0!</v>
      </c>
      <c r="C28">
        <v>37</v>
      </c>
      <c r="D28" s="163">
        <f>+Total!A375</f>
        <v>41263</v>
      </c>
      <c r="E28" s="160">
        <f t="shared" si="3"/>
        <v>7081.6941176470627</v>
      </c>
      <c r="F28" s="160">
        <f t="shared" si="4"/>
        <v>176.04705882352943</v>
      </c>
      <c r="G28" s="2">
        <f>+Total!I375</f>
        <v>12707</v>
      </c>
      <c r="H28" s="4">
        <f>+Total!G375</f>
        <v>6377.9</v>
      </c>
      <c r="I28" s="2">
        <f t="shared" si="2"/>
        <v>6329.1</v>
      </c>
      <c r="J28" s="166">
        <f>SUM('[5]River Analysis'!$F$6:$F21)</f>
        <v>185445</v>
      </c>
      <c r="K28" s="166">
        <f>SUM('[5]River Analysis'!O$6:$O21)</f>
        <v>325694.66666666669</v>
      </c>
      <c r="L28" s="166">
        <f>SUM('[5]River Analysis'!$C$6:$C21)</f>
        <v>21432</v>
      </c>
      <c r="M28" s="166">
        <f>SUM('[5]River Analysis'!$L$6:$L21)</f>
        <v>80200</v>
      </c>
      <c r="N28" s="166">
        <f>SUM('[5]River Analysis'!$I$6:$I21)</f>
        <v>248555</v>
      </c>
      <c r="O28" s="166">
        <f>SUM('[5]River Analysis'!$R$6:$R21)</f>
        <v>513198.33333333337</v>
      </c>
      <c r="P28" s="166">
        <f>SUM('[5]River Analysis'!$X$6:$X21)</f>
        <v>4718.7022900763359</v>
      </c>
      <c r="Q28" s="166">
        <f>SUM('[5]River Analysis'!$AG$6:$AG21)</f>
        <v>8287.3960983884645</v>
      </c>
      <c r="R28" s="166">
        <f>SUM('[5]River Analysis'!$U$6:$U21)</f>
        <v>545.3435114503817</v>
      </c>
      <c r="S28" s="166">
        <f>SUM('[5]River Analysis'!$AD$6:$AD21)</f>
        <v>2040.7124681933844</v>
      </c>
      <c r="T28" s="166">
        <f>SUM('[5]River Analysis'!$AA$6:$AA21)</f>
        <v>6324.5547073791358</v>
      </c>
      <c r="U28" s="166">
        <f>SUM('[5]River Analysis'!$AJ$6:$AJ21)</f>
        <v>13058.481764206956</v>
      </c>
    </row>
    <row r="29" spans="1:21" x14ac:dyDescent="0.25">
      <c r="A29" s="1" t="e">
        <f t="shared" si="0"/>
        <v>#DIV/0!</v>
      </c>
      <c r="B29" s="1" t="e">
        <f t="shared" si="1"/>
        <v>#DIV/0!</v>
      </c>
      <c r="C29">
        <v>36</v>
      </c>
      <c r="D29" s="163">
        <f>+Total!A376</f>
        <v>41270</v>
      </c>
      <c r="E29" s="160">
        <f t="shared" si="3"/>
        <v>6884.9803921568664</v>
      </c>
      <c r="F29" s="160">
        <f t="shared" si="4"/>
        <v>171.15686274509807</v>
      </c>
      <c r="G29" s="2">
        <f>+Total!I376</f>
        <v>12756.2</v>
      </c>
      <c r="H29" s="4">
        <f>+Total!G376</f>
        <v>6583.2</v>
      </c>
      <c r="I29" s="2">
        <f>+G29-H29</f>
        <v>6173.0000000000009</v>
      </c>
      <c r="J29" s="166">
        <f>SUM('[5]River Analysis'!$F6:$F22)</f>
        <v>190141</v>
      </c>
      <c r="K29" s="166">
        <f>SUM('[5]River Analysis'!O$6:$O22)</f>
        <v>345418.33333333337</v>
      </c>
      <c r="L29" s="166">
        <f>SUM('[5]River Analysis'!$C$6:$C22)</f>
        <v>23666</v>
      </c>
      <c r="M29" s="166">
        <f>SUM('[5]River Analysis'!$L$6:$L22)</f>
        <v>92345.666666666672</v>
      </c>
      <c r="N29" s="166">
        <f>SUM('[5]River Analysis'!$I$6:$I22)</f>
        <v>256561</v>
      </c>
      <c r="O29" s="166">
        <f>SUM('[5]River Analysis'!$R$6:$R22)</f>
        <v>551862</v>
      </c>
      <c r="P29" s="166">
        <f>SUM('[5]River Analysis'!$X$6:$X22)</f>
        <v>4838.1933842239187</v>
      </c>
      <c r="Q29" s="166">
        <f>SUM('[5]River Analysis'!$AG$6:$AG22)</f>
        <v>8789.2705682782016</v>
      </c>
      <c r="R29" s="166">
        <f>SUM('[5]River Analysis'!$U$6:$U22)</f>
        <v>602.18829516539438</v>
      </c>
      <c r="S29" s="166">
        <f>SUM('[5]River Analysis'!$AD$6:$AD22)</f>
        <v>2349.7625106022056</v>
      </c>
      <c r="T29" s="166">
        <f>SUM('[5]River Analysis'!$AA$6:$AA22)</f>
        <v>6528.2697201017818</v>
      </c>
      <c r="U29" s="166">
        <f>SUM('[5]River Analysis'!$AJ$6:$AJ22)</f>
        <v>14042.290076335878</v>
      </c>
    </row>
    <row r="30" spans="1:21" x14ac:dyDescent="0.25">
      <c r="A30" s="1" t="e">
        <f t="shared" si="0"/>
        <v>#DIV/0!</v>
      </c>
      <c r="B30" s="1" t="e">
        <f t="shared" si="1"/>
        <v>#DIV/0!</v>
      </c>
      <c r="C30">
        <v>35</v>
      </c>
      <c r="D30" s="159">
        <f>+Total!A377</f>
        <v>41277</v>
      </c>
      <c r="E30" s="160">
        <f t="shared" si="3"/>
        <v>6688.2666666666701</v>
      </c>
      <c r="F30" s="160">
        <f t="shared" si="4"/>
        <v>166.26666666666671</v>
      </c>
      <c r="G30" s="2">
        <f>+Total!I377</f>
        <v>12768.8</v>
      </c>
      <c r="H30" s="4">
        <f>+Total!G377</f>
        <v>6690</v>
      </c>
      <c r="I30" s="2">
        <f>+G30-H30</f>
        <v>6078.7999999999993</v>
      </c>
      <c r="J30" s="166">
        <f>SUM('[5]River Analysis'!$F7:$F23)</f>
        <v>186403</v>
      </c>
      <c r="K30" s="166">
        <f>SUM('[5]River Analysis'!O$6:$O23)</f>
        <v>361003.33333333337</v>
      </c>
      <c r="L30" s="166">
        <f>SUM('[5]River Analysis'!$C$6:$C23)</f>
        <v>27055</v>
      </c>
      <c r="M30" s="166">
        <f>SUM('[5]River Analysis'!$L$6:$L23)</f>
        <v>98606</v>
      </c>
      <c r="N30" s="166">
        <f>SUM('[5]River Analysis'!$I$6:$I23)</f>
        <v>262425</v>
      </c>
      <c r="O30" s="166">
        <f>SUM('[5]River Analysis'!$R$6:$R23)</f>
        <v>577600</v>
      </c>
      <c r="P30" s="166">
        <f>SUM('[5]River Analysis'!$X$6:$X23)</f>
        <v>4895.7251908396947</v>
      </c>
      <c r="Q30" s="166">
        <f>SUM('[5]River Analysis'!$AG$6:$AG23)</f>
        <v>9185.8354537743853</v>
      </c>
      <c r="R30" s="166">
        <f>SUM('[5]River Analysis'!$U$6:$U23)</f>
        <v>688.42239185750634</v>
      </c>
      <c r="S30" s="166">
        <f>SUM('[5]River Analysis'!$AD$6:$AD23)</f>
        <v>2509.0585241730282</v>
      </c>
      <c r="T30" s="166">
        <f>SUM('[5]River Analysis'!$AA$6:$AA23)</f>
        <v>6677.4809160305349</v>
      </c>
      <c r="U30" s="166">
        <f>SUM('[5]River Analysis'!$AJ$6:$AJ23)</f>
        <v>14697.201017811705</v>
      </c>
    </row>
    <row r="31" spans="1:21" x14ac:dyDescent="0.25">
      <c r="A31" s="1"/>
      <c r="B31" s="1"/>
      <c r="C31">
        <v>34</v>
      </c>
      <c r="D31" s="159">
        <f>+Total!A378</f>
        <v>41284</v>
      </c>
      <c r="E31" s="160">
        <f t="shared" si="3"/>
        <v>6491.5529411764737</v>
      </c>
      <c r="F31" s="160">
        <f t="shared" si="4"/>
        <v>161.37647058823532</v>
      </c>
      <c r="J31" s="166"/>
      <c r="K31" s="166">
        <f>SUM('[5]River Analysis'!O$6:$O24)</f>
        <v>372068.00000000006</v>
      </c>
      <c r="M31" s="166">
        <f>SUM('[5]River Analysis'!$L$6:$L24)</f>
        <v>101167.33333333333</v>
      </c>
      <c r="O31" s="166">
        <f>SUM('[5]River Analysis'!$R$6:$R24)</f>
        <v>595609</v>
      </c>
      <c r="Q31" s="166">
        <f>SUM('[5]River Analysis'!$AG$6:$AG24)</f>
        <v>9467.3791348600516</v>
      </c>
      <c r="S31" s="166">
        <f>SUM('[5]River Analysis'!$AD$6:$AD24)</f>
        <v>2574.232400339271</v>
      </c>
      <c r="U31" s="166">
        <f>SUM('[5]River Analysis'!$AJ$6:$AJ24)</f>
        <v>15155.445292620865</v>
      </c>
    </row>
    <row r="32" spans="1:21" x14ac:dyDescent="0.25">
      <c r="A32" s="1"/>
      <c r="B32" s="1"/>
      <c r="C32">
        <v>33</v>
      </c>
      <c r="D32" s="159">
        <f>+Total!A379</f>
        <v>41291</v>
      </c>
      <c r="E32" s="160">
        <f t="shared" si="3"/>
        <v>6294.8392156862774</v>
      </c>
      <c r="F32" s="160">
        <f t="shared" si="4"/>
        <v>156.48627450980393</v>
      </c>
      <c r="J32" s="166"/>
      <c r="K32" s="166">
        <f>SUM('[5]River Analysis'!O$6:$O25)</f>
        <v>390347.33333333337</v>
      </c>
      <c r="M32" s="166">
        <f>SUM('[5]River Analysis'!$L$6:$L25)</f>
        <v>106354.33333333333</v>
      </c>
      <c r="O32" s="166">
        <f>SUM('[5]River Analysis'!$R$6:$R25)</f>
        <v>624390.33333333337</v>
      </c>
      <c r="Q32" s="166">
        <f>SUM('[5]River Analysis'!$AG$6:$AG25)</f>
        <v>9932.5021204410532</v>
      </c>
      <c r="S32" s="166">
        <f>SUM('[5]River Analysis'!$AD$6:$AD25)</f>
        <v>2706.2171331636982</v>
      </c>
      <c r="U32" s="166">
        <f>SUM('[5]River Analysis'!$AJ$6:$AJ25)</f>
        <v>15887.794741306192</v>
      </c>
    </row>
    <row r="33" spans="1:21" x14ac:dyDescent="0.25">
      <c r="A33" s="1"/>
      <c r="B33" s="1"/>
      <c r="C33">
        <v>32</v>
      </c>
      <c r="D33" s="159">
        <f>+Total!A380</f>
        <v>41298</v>
      </c>
      <c r="E33" s="160">
        <f t="shared" si="3"/>
        <v>6098.125490196081</v>
      </c>
      <c r="F33" s="160">
        <f t="shared" si="4"/>
        <v>151.59607843137258</v>
      </c>
      <c r="J33" s="166"/>
      <c r="K33" s="166">
        <f>SUM('[5]River Analysis'!O$6:$O26)</f>
        <v>408223.66666666669</v>
      </c>
      <c r="M33" s="166">
        <f>SUM('[5]River Analysis'!$L$6:$L26)</f>
        <v>112626</v>
      </c>
      <c r="O33" s="166">
        <f>SUM('[5]River Analysis'!$R$6:$R26)</f>
        <v>654228.33333333337</v>
      </c>
      <c r="Q33" s="166">
        <f>SUM('[5]River Analysis'!$AG$6:$AG26)</f>
        <v>10387.370653095846</v>
      </c>
      <c r="S33" s="166">
        <f>SUM('[5]River Analysis'!$AD$6:$AD26)</f>
        <v>2865.8015267175574</v>
      </c>
      <c r="U33" s="166">
        <f>SUM('[5]River Analysis'!$AJ$6:$AJ26)</f>
        <v>16647.031382527566</v>
      </c>
    </row>
    <row r="34" spans="1:21" x14ac:dyDescent="0.25">
      <c r="A34" s="1"/>
      <c r="B34" s="1"/>
      <c r="C34">
        <v>31</v>
      </c>
      <c r="D34" s="159">
        <f>+Total!A381</f>
        <v>41305</v>
      </c>
      <c r="E34" s="160">
        <f t="shared" si="3"/>
        <v>5901.4117647058847</v>
      </c>
      <c r="F34" s="160">
        <f t="shared" si="4"/>
        <v>146.70588235294119</v>
      </c>
      <c r="J34" s="166"/>
      <c r="K34" s="166">
        <f>SUM('[5]River Analysis'!O$6:$O27)</f>
        <v>428213.66666666669</v>
      </c>
      <c r="M34" s="166">
        <f>SUM('[5]River Analysis'!$L$6:$L27)</f>
        <v>118056.66666666667</v>
      </c>
      <c r="O34" s="166">
        <f>SUM('[5]River Analysis'!$R$6:$R27)</f>
        <v>685484.33333333337</v>
      </c>
      <c r="Q34" s="166">
        <f>SUM('[5]River Analysis'!$AG$6:$AG27)</f>
        <v>10896.022052586941</v>
      </c>
      <c r="S34" s="166">
        <f>SUM('[5]River Analysis'!$AD$6:$AD27)</f>
        <v>3003.9864291772692</v>
      </c>
      <c r="U34" s="166">
        <f>SUM('[5]River Analysis'!$AJ$6:$AJ27)</f>
        <v>17442.349448685327</v>
      </c>
    </row>
    <row r="35" spans="1:21" x14ac:dyDescent="0.25">
      <c r="A35" s="1"/>
      <c r="B35" s="1"/>
      <c r="C35">
        <v>30</v>
      </c>
      <c r="D35" s="159">
        <f>+Total!A382</f>
        <v>41312</v>
      </c>
      <c r="E35" s="160">
        <f t="shared" si="3"/>
        <v>5704.6980392156884</v>
      </c>
      <c r="F35" s="160">
        <f t="shared" si="4"/>
        <v>141.8156862745098</v>
      </c>
      <c r="J35" s="166"/>
      <c r="K35" s="166">
        <f>SUM('[5]River Analysis'!O$6:$O28)</f>
        <v>449464.33333333337</v>
      </c>
      <c r="M35" s="166">
        <f>SUM('[5]River Analysis'!$L$6:$L28)</f>
        <v>124807.33333333334</v>
      </c>
      <c r="O35" s="166">
        <f>SUM('[5]River Analysis'!$R$6:$R28)</f>
        <v>719223.33333333337</v>
      </c>
      <c r="Q35" s="166">
        <f>SUM('[5]River Analysis'!$AG$6:$AG28)</f>
        <v>11436.751484308739</v>
      </c>
      <c r="S35" s="166">
        <f>SUM('[5]River Analysis'!$AD$6:$AD28)</f>
        <v>3175.7591178965226</v>
      </c>
      <c r="U35" s="166">
        <f>SUM('[5]River Analysis'!$AJ$6:$AJ28)</f>
        <v>18300.848176420695</v>
      </c>
    </row>
    <row r="36" spans="1:21" x14ac:dyDescent="0.25">
      <c r="A36" s="1"/>
      <c r="B36" s="1"/>
      <c r="C36">
        <v>29</v>
      </c>
      <c r="D36" s="159">
        <f>+Total!A383</f>
        <v>41319</v>
      </c>
      <c r="E36" s="160">
        <f t="shared" si="3"/>
        <v>5507.984313725492</v>
      </c>
      <c r="F36" s="160">
        <f t="shared" si="4"/>
        <v>136.92549019607844</v>
      </c>
      <c r="J36" s="166"/>
      <c r="K36" s="166">
        <f>SUM('[5]River Analysis'!O$6:$O29)</f>
        <v>466244.66666666669</v>
      </c>
      <c r="M36" s="166">
        <f>SUM('[5]River Analysis'!$L$6:$L29)</f>
        <v>128140.33333333334</v>
      </c>
      <c r="O36" s="166">
        <f>SUM('[5]River Analysis'!$R$6:$R29)</f>
        <v>746486.66666666674</v>
      </c>
      <c r="Q36" s="166">
        <f>SUM('[5]River Analysis'!$AG$6:$AG29)</f>
        <v>11863.731976251063</v>
      </c>
      <c r="S36" s="166">
        <f>SUM('[5]River Analysis'!$AD$6:$AD29)</f>
        <v>3260.5682782018662</v>
      </c>
      <c r="U36" s="166">
        <f>SUM('[5]River Analysis'!$AJ$6:$AJ29)</f>
        <v>18994.57167090755</v>
      </c>
    </row>
    <row r="37" spans="1:21" x14ac:dyDescent="0.25">
      <c r="A37" s="1"/>
      <c r="B37" s="1"/>
      <c r="C37">
        <v>28</v>
      </c>
      <c r="D37" s="159">
        <f>+Total!A384</f>
        <v>41326</v>
      </c>
      <c r="E37" s="160">
        <f t="shared" si="3"/>
        <v>5311.2705882352957</v>
      </c>
      <c r="F37" s="160">
        <f t="shared" si="4"/>
        <v>132.03529411764708</v>
      </c>
      <c r="J37" s="166"/>
      <c r="K37" s="166">
        <f>SUM('[5]River Analysis'!O$6:$O30)</f>
        <v>489918</v>
      </c>
      <c r="M37" s="166">
        <f>SUM('[5]River Analysis'!$L$6:$L30)</f>
        <v>135605</v>
      </c>
      <c r="O37" s="166">
        <f>SUM('[5]River Analysis'!$R$6:$R30)</f>
        <v>785457.66666666674</v>
      </c>
      <c r="Q37" s="166">
        <f>SUM('[5]River Analysis'!$AG$6:$AG30)</f>
        <v>12466.10687022901</v>
      </c>
      <c r="S37" s="166">
        <f>SUM('[5]River Analysis'!$AD$6:$AD30)</f>
        <v>3450.5089058524177</v>
      </c>
      <c r="U37" s="166">
        <f>SUM('[5]River Analysis'!$AJ$6:$AJ30)</f>
        <v>19986.200169635285</v>
      </c>
    </row>
    <row r="38" spans="1:21" x14ac:dyDescent="0.25">
      <c r="A38" s="1"/>
      <c r="B38" s="1"/>
      <c r="C38">
        <v>27</v>
      </c>
      <c r="D38" s="159">
        <f>+Total!A385</f>
        <v>41333</v>
      </c>
      <c r="E38" s="160">
        <f t="shared" si="3"/>
        <v>5114.5568627450994</v>
      </c>
      <c r="F38" s="160">
        <f t="shared" si="4"/>
        <v>127.14509803921571</v>
      </c>
      <c r="J38" s="166"/>
      <c r="K38" s="166">
        <f>SUM('[5]River Analysis'!O$6:$O31)</f>
        <v>511979.33333333331</v>
      </c>
      <c r="M38" s="166">
        <f>SUM('[5]River Analysis'!$L$6:$L31)</f>
        <v>139227.33333333334</v>
      </c>
      <c r="O38" s="166">
        <f>SUM('[5]River Analysis'!$R$6:$R31)</f>
        <v>817603.00000000012</v>
      </c>
      <c r="Q38" s="166">
        <f>SUM('[5]River Analysis'!$AG$6:$AG31)</f>
        <v>13027.463952502123</v>
      </c>
      <c r="S38" s="166">
        <f>SUM('[5]River Analysis'!$AD$6:$AD31)</f>
        <v>3542.6802374893982</v>
      </c>
      <c r="U38" s="166">
        <f>SUM('[5]River Analysis'!$AJ$6:$AJ31)</f>
        <v>20804.147582697202</v>
      </c>
    </row>
    <row r="39" spans="1:21" x14ac:dyDescent="0.25">
      <c r="A39" s="1"/>
      <c r="B39" s="1"/>
      <c r="C39">
        <v>26</v>
      </c>
      <c r="D39" s="159">
        <f>+Total!A386</f>
        <v>41340</v>
      </c>
      <c r="E39" s="160">
        <f t="shared" si="3"/>
        <v>4917.843137254903</v>
      </c>
      <c r="F39" s="160">
        <f t="shared" si="4"/>
        <v>122.25490196078434</v>
      </c>
      <c r="K39" s="166">
        <f>SUM('[5]River Analysis'!O$6:$O32)</f>
        <v>535353.66666666663</v>
      </c>
      <c r="M39" s="166">
        <f>SUM('[5]River Analysis'!$L$6:$L32)</f>
        <v>146102</v>
      </c>
      <c r="O39" s="166">
        <f>SUM('[5]River Analysis'!$R$6:$R32)</f>
        <v>856153.00000000012</v>
      </c>
      <c r="Q39" s="166">
        <f>SUM('[5]River Analysis'!$AG$6:$AG32)</f>
        <v>13622.230703986432</v>
      </c>
      <c r="S39" s="166">
        <f>SUM('[5]River Analysis'!$AD$6:$AD32)</f>
        <v>3717.6081424936392</v>
      </c>
      <c r="U39" s="166">
        <f>SUM('[5]River Analysis'!$AJ$6:$AJ32)</f>
        <v>21785.063613231552</v>
      </c>
    </row>
    <row r="40" spans="1:21" x14ac:dyDescent="0.25">
      <c r="A40" s="1"/>
      <c r="B40" s="1"/>
      <c r="C40">
        <v>25</v>
      </c>
      <c r="D40" s="159">
        <f>+Total!A387</f>
        <v>41347</v>
      </c>
      <c r="E40" s="160">
        <f t="shared" si="3"/>
        <v>4721.1294117647067</v>
      </c>
      <c r="F40" s="160">
        <f t="shared" si="4"/>
        <v>117.36470588235296</v>
      </c>
      <c r="K40" s="166">
        <f>SUM('[5]River Analysis'!O$6:$O33)</f>
        <v>556723</v>
      </c>
      <c r="M40" s="166">
        <f>SUM('[5]River Analysis'!$L$6:$L33)</f>
        <v>154796</v>
      </c>
      <c r="O40" s="166">
        <f>SUM('[5]River Analysis'!$R$6:$R33)</f>
        <v>895235.00000000012</v>
      </c>
      <c r="Q40" s="166">
        <f>SUM('[5]River Analysis'!$AG$6:$AG33)</f>
        <v>14165.979643765906</v>
      </c>
      <c r="S40" s="166">
        <f>SUM('[5]River Analysis'!$AD$6:$AD33)</f>
        <v>3938.8295165394406</v>
      </c>
      <c r="U40" s="166">
        <f>SUM('[5]River Analysis'!$AJ$6:$AJ33)</f>
        <v>22779.516539440203</v>
      </c>
    </row>
    <row r="41" spans="1:21" x14ac:dyDescent="0.25">
      <c r="A41" s="1"/>
      <c r="B41" s="1"/>
      <c r="C41">
        <v>24</v>
      </c>
      <c r="D41" s="159">
        <f>+Total!A388</f>
        <v>41354</v>
      </c>
      <c r="E41" s="160">
        <f t="shared" si="3"/>
        <v>4524.4156862745103</v>
      </c>
      <c r="F41" s="160">
        <f t="shared" si="4"/>
        <v>112.47450980392159</v>
      </c>
      <c r="K41" s="166">
        <f>SUM('[5]River Analysis'!O$6:$O34)</f>
        <v>578041</v>
      </c>
      <c r="M41" s="166">
        <f>SUM('[5]River Analysis'!$L$6:$L34)</f>
        <v>157808.33333333334</v>
      </c>
      <c r="O41" s="166">
        <f>SUM('[5]River Analysis'!$R$6:$R34)</f>
        <v>928414.66666666674</v>
      </c>
      <c r="Q41" s="166">
        <f>SUM('[5]River Analysis'!$AG$6:$AG34)</f>
        <v>14708.42239185751</v>
      </c>
      <c r="S41" s="166">
        <f>SUM('[5]River Analysis'!$AD$6:$AD34)</f>
        <v>4015.4792196776934</v>
      </c>
      <c r="U41" s="166">
        <f>SUM('[5]River Analysis'!$AJ$6:$AJ34)</f>
        <v>23623.7828668363</v>
      </c>
    </row>
    <row r="42" spans="1:21" x14ac:dyDescent="0.25">
      <c r="A42" s="1"/>
      <c r="B42" s="1"/>
      <c r="C42">
        <v>23</v>
      </c>
      <c r="D42" s="159">
        <f>+Total!A389</f>
        <v>41361</v>
      </c>
      <c r="E42" s="160">
        <f t="shared" si="3"/>
        <v>4327.701960784314</v>
      </c>
      <c r="F42" s="160">
        <f t="shared" si="4"/>
        <v>107.58431372549022</v>
      </c>
      <c r="K42" s="166">
        <f>SUM('[5]River Analysis'!O$6:$O35)</f>
        <v>600522.66666666663</v>
      </c>
      <c r="M42" s="166">
        <f>SUM('[5]River Analysis'!$L$6:$L35)</f>
        <v>163148.33333333334</v>
      </c>
      <c r="O42" s="166">
        <f>SUM('[5]River Analysis'!$R$6:$R35)</f>
        <v>964526.00000000012</v>
      </c>
      <c r="Q42" s="166">
        <f>SUM('[5]River Analysis'!$AG$6:$AG35)</f>
        <v>15280.474978795593</v>
      </c>
      <c r="S42" s="166">
        <f>SUM('[5]River Analysis'!$AD$6:$AD35)</f>
        <v>4151.3570822731135</v>
      </c>
      <c r="U42" s="166">
        <f>SUM('[5]River Analysis'!$AJ$6:$AJ35)</f>
        <v>24542.646310432567</v>
      </c>
    </row>
    <row r="43" spans="1:21" x14ac:dyDescent="0.25">
      <c r="A43" s="1"/>
      <c r="B43" s="1"/>
      <c r="C43">
        <v>22</v>
      </c>
      <c r="D43" s="159">
        <f>+Total!A390</f>
        <v>41368</v>
      </c>
      <c r="E43" s="160">
        <f t="shared" si="3"/>
        <v>4130.9882352941177</v>
      </c>
      <c r="F43" s="160">
        <f t="shared" si="4"/>
        <v>102.69411764705885</v>
      </c>
      <c r="K43" s="166">
        <f>SUM('[5]River Analysis'!O$6:$O36)</f>
        <v>621848</v>
      </c>
      <c r="M43" s="166">
        <f>SUM('[5]River Analysis'!$L$6:$L36)</f>
        <v>171655.33333333334</v>
      </c>
      <c r="O43" s="166">
        <f>SUM('[5]River Analysis'!$R$6:$R36)</f>
        <v>1002722.3333333335</v>
      </c>
      <c r="Q43" s="166">
        <f>SUM('[5]River Analysis'!$AG$6:$AG36)</f>
        <v>15823.104325699749</v>
      </c>
      <c r="S43" s="166">
        <f>SUM('[5]River Analysis'!$AD$6:$AD36)</f>
        <v>4367.8201865988131</v>
      </c>
      <c r="U43" s="166">
        <f>SUM('[5]River Analysis'!$AJ$6:$AJ36)</f>
        <v>25514.563189143337</v>
      </c>
    </row>
    <row r="44" spans="1:21" x14ac:dyDescent="0.25">
      <c r="A44" s="1"/>
      <c r="B44" s="1"/>
      <c r="C44">
        <v>21</v>
      </c>
      <c r="D44" s="159">
        <f>+Total!A391</f>
        <v>41375</v>
      </c>
      <c r="E44" s="160">
        <f t="shared" si="3"/>
        <v>3934.2745098039218</v>
      </c>
      <c r="F44" s="160">
        <f t="shared" si="4"/>
        <v>97.803921568627473</v>
      </c>
      <c r="K44" s="166">
        <f>SUM('[5]River Analysis'!O$6:$O37)</f>
        <v>639256.66666666663</v>
      </c>
      <c r="M44" s="166">
        <f>SUM('[5]River Analysis'!$L$6:$L37)</f>
        <v>181242.33333333334</v>
      </c>
      <c r="O44" s="166">
        <f>SUM('[5]River Analysis'!$R$6:$R37)</f>
        <v>1037704.0000000001</v>
      </c>
      <c r="Q44" s="166">
        <f>SUM('[5]River Analysis'!$AG$6:$AG37)</f>
        <v>16266.072943172183</v>
      </c>
      <c r="S44" s="166">
        <f>SUM('[5]River Analysis'!$AD$6:$AD37)</f>
        <v>4611.7642069550475</v>
      </c>
      <c r="U44" s="166">
        <f>SUM('[5]River Analysis'!$AJ$6:$AJ37)</f>
        <v>26404.681933842236</v>
      </c>
    </row>
    <row r="45" spans="1:21" x14ac:dyDescent="0.25">
      <c r="A45" s="1"/>
      <c r="B45" s="1"/>
      <c r="C45">
        <v>20</v>
      </c>
      <c r="D45" s="159">
        <f>+Total!A392</f>
        <v>41382</v>
      </c>
      <c r="E45" s="160">
        <f t="shared" si="3"/>
        <v>3737.5607843137259</v>
      </c>
      <c r="F45" s="160">
        <f t="shared" si="4"/>
        <v>92.9137254901961</v>
      </c>
      <c r="K45" s="166">
        <f>SUM('[5]River Analysis'!O$6:$O38)</f>
        <v>663720.33333333326</v>
      </c>
      <c r="M45" s="166">
        <f>SUM('[5]River Analysis'!$L$6:$L38)</f>
        <v>189138</v>
      </c>
      <c r="O45" s="166">
        <f>SUM('[5]River Analysis'!$R$6:$R38)</f>
        <v>1078074.6666666667</v>
      </c>
      <c r="Q45" s="166">
        <f>SUM('[5]River Analysis'!$AG$6:$AG38)</f>
        <v>16888.558100084821</v>
      </c>
      <c r="S45" s="166">
        <f>SUM('[5]River Analysis'!$AD$6:$AD38)</f>
        <v>4812.6717557251914</v>
      </c>
      <c r="U45" s="166">
        <f>SUM('[5]River Analysis'!$AJ$6:$AJ38)</f>
        <v>27431.925360474976</v>
      </c>
    </row>
    <row r="46" spans="1:21" x14ac:dyDescent="0.25">
      <c r="A46" s="1"/>
      <c r="B46" s="1"/>
      <c r="C46">
        <v>19</v>
      </c>
      <c r="D46" s="159">
        <f>+Total!A393</f>
        <v>41389</v>
      </c>
      <c r="E46" s="160">
        <f t="shared" si="3"/>
        <v>3540.84705882353</v>
      </c>
      <c r="F46" s="160">
        <f t="shared" si="4"/>
        <v>88.023529411764727</v>
      </c>
      <c r="K46" s="166">
        <f>SUM('[5]River Analysis'!O$6:$O39)</f>
        <v>682721.33333333326</v>
      </c>
      <c r="M46" s="166">
        <f>SUM('[5]River Analysis'!$L$6:$L39)</f>
        <v>196252.66666666666</v>
      </c>
      <c r="O46" s="166">
        <f>SUM('[5]River Analysis'!$R$6:$R39)</f>
        <v>1113195</v>
      </c>
      <c r="Q46" s="166">
        <f>SUM('[5]River Analysis'!$AG$6:$AG39)</f>
        <v>17372.044105173882</v>
      </c>
      <c r="S46" s="166">
        <f>SUM('[5]River Analysis'!$AD$6:$AD39)</f>
        <v>4993.7065309584395</v>
      </c>
      <c r="U46" s="166">
        <f>SUM('[5]River Analysis'!$AJ$6:$AJ39)</f>
        <v>28325.572519083966</v>
      </c>
    </row>
    <row r="47" spans="1:21" x14ac:dyDescent="0.25">
      <c r="A47" s="1"/>
      <c r="B47" s="1"/>
      <c r="C47">
        <v>18</v>
      </c>
      <c r="D47" s="159">
        <f>+Total!A394</f>
        <v>41396</v>
      </c>
      <c r="E47" s="160">
        <f t="shared" si="3"/>
        <v>3344.1333333333341</v>
      </c>
      <c r="F47" s="160">
        <f t="shared" si="4"/>
        <v>83.133333333333354</v>
      </c>
      <c r="K47" s="166">
        <f>SUM('[5]River Analysis'!O$6:$O40)</f>
        <v>695967.99999999988</v>
      </c>
      <c r="M47" s="166">
        <f>SUM('[5]River Analysis'!$L$6:$L40)</f>
        <v>206041</v>
      </c>
      <c r="O47" s="166">
        <f>SUM('[5]River Analysis'!$R$6:$R40)</f>
        <v>1144671.6666666667</v>
      </c>
      <c r="Q47" s="166">
        <f>SUM('[5]River Analysis'!$AG$6:$AG40)</f>
        <v>17709.109414758273</v>
      </c>
      <c r="S47" s="166">
        <f>SUM('[5]River Analysis'!$AD$6:$AD40)</f>
        <v>5242.7735368956746</v>
      </c>
      <c r="U47" s="166">
        <f>SUM('[5]River Analysis'!$AJ$6:$AJ40)</f>
        <v>29126.505513146731</v>
      </c>
    </row>
    <row r="48" spans="1:21" x14ac:dyDescent="0.25">
      <c r="A48" s="1"/>
      <c r="B48" s="1"/>
      <c r="C48">
        <v>17</v>
      </c>
      <c r="D48" s="159">
        <f>+Total!A395</f>
        <v>41403</v>
      </c>
      <c r="E48" s="160">
        <f t="shared" si="3"/>
        <v>3147.4196078431382</v>
      </c>
      <c r="F48" s="160">
        <f t="shared" si="4"/>
        <v>78.243137254901981</v>
      </c>
      <c r="K48" s="166">
        <f>SUM('[5]River Analysis'!O$6:$O41)</f>
        <v>714473.33333333326</v>
      </c>
      <c r="M48" s="166">
        <f>SUM('[5]River Analysis'!$L$6:$L41)</f>
        <v>213517.66666666666</v>
      </c>
      <c r="O48" s="166">
        <f>SUM('[5]River Analysis'!$R$6:$R41)</f>
        <v>1177800.6666666667</v>
      </c>
      <c r="Q48" s="166">
        <f>SUM('[5]River Analysis'!$AG$6:$AG41)</f>
        <v>18179.983036471589</v>
      </c>
      <c r="S48" s="166">
        <f>SUM('[5]River Analysis'!$AD$6:$AD41)</f>
        <v>5433.0195080576759</v>
      </c>
      <c r="U48" s="166">
        <f>SUM('[5]River Analysis'!$AJ$6:$AJ41)</f>
        <v>29969.482612383374</v>
      </c>
    </row>
    <row r="49" spans="1:21" x14ac:dyDescent="0.25">
      <c r="A49" s="1"/>
      <c r="B49" s="1"/>
      <c r="C49">
        <v>16</v>
      </c>
      <c r="D49" s="159">
        <f>+Total!A396</f>
        <v>41410</v>
      </c>
      <c r="E49" s="160">
        <f t="shared" si="3"/>
        <v>2950.7058823529424</v>
      </c>
      <c r="F49" s="160">
        <f t="shared" si="4"/>
        <v>73.352941176470608</v>
      </c>
      <c r="K49" s="166">
        <f>SUM('[5]River Analysis'!O$6:$O42)</f>
        <v>732732.99999999988</v>
      </c>
      <c r="M49" s="166">
        <f>SUM('[5]River Analysis'!$L$6:$L42)</f>
        <v>222212.33333333331</v>
      </c>
      <c r="O49" s="166">
        <f>SUM('[5]River Analysis'!$R$6:$R42)</f>
        <v>1212604.3333333335</v>
      </c>
      <c r="Q49" s="166">
        <f>SUM('[5]River Analysis'!$AG$6:$AG42)</f>
        <v>18644.605597964379</v>
      </c>
      <c r="S49" s="166">
        <f>SUM('[5]River Analysis'!$AD$6:$AD42)</f>
        <v>5654.2578456318915</v>
      </c>
      <c r="U49" s="166">
        <f>SUM('[5]River Analysis'!$AJ$6:$AJ42)</f>
        <v>30855.072094995758</v>
      </c>
    </row>
    <row r="50" spans="1:21" x14ac:dyDescent="0.25">
      <c r="A50" s="1"/>
      <c r="B50" s="1"/>
      <c r="C50">
        <v>15</v>
      </c>
      <c r="D50" s="159">
        <f>+Total!A397</f>
        <v>41417</v>
      </c>
      <c r="E50" s="160">
        <f t="shared" si="3"/>
        <v>2753.9921568627465</v>
      </c>
      <c r="F50" s="160">
        <f t="shared" si="4"/>
        <v>68.462745098039235</v>
      </c>
      <c r="K50" s="166">
        <f>SUM('[5]River Analysis'!O$6:$O43)</f>
        <v>753746.99999999988</v>
      </c>
      <c r="M50" s="166">
        <f>SUM('[5]River Analysis'!$L$6:$L43)</f>
        <v>229153.99999999997</v>
      </c>
      <c r="O50" s="166">
        <f>SUM('[5]River Analysis'!$R$6:$R43)</f>
        <v>1248374.6666666667</v>
      </c>
      <c r="Q50" s="166">
        <f>SUM('[5]River Analysis'!$AG$6:$AG43)</f>
        <v>19179.312977099238</v>
      </c>
      <c r="S50" s="166">
        <f>SUM('[5]River Analysis'!$AD$6:$AD43)</f>
        <v>5830.8905852417302</v>
      </c>
      <c r="U50" s="166">
        <f>SUM('[5]River Analysis'!$AJ$6:$AJ43)</f>
        <v>31765.258693808311</v>
      </c>
    </row>
    <row r="51" spans="1:21" x14ac:dyDescent="0.25">
      <c r="A51" s="1"/>
      <c r="B51" s="1"/>
      <c r="C51">
        <v>14</v>
      </c>
      <c r="D51" s="159">
        <f>+Total!A398</f>
        <v>41424</v>
      </c>
      <c r="E51" s="160">
        <f t="shared" si="3"/>
        <v>2557.2784313725506</v>
      </c>
      <c r="F51" s="160">
        <f t="shared" si="4"/>
        <v>63.572549019607862</v>
      </c>
      <c r="K51" s="166">
        <f>SUM('[5]River Analysis'!O$6:$O44)</f>
        <v>777098.99999999988</v>
      </c>
      <c r="M51" s="166">
        <f>SUM('[5]River Analysis'!$L$6:$L44)</f>
        <v>238287.99999999997</v>
      </c>
      <c r="O51" s="166">
        <f>SUM('[5]River Analysis'!$R$6:$R44)</f>
        <v>1286945.6666666667</v>
      </c>
      <c r="Q51" s="166">
        <f>SUM('[5]River Analysis'!$AG$6:$AG44)</f>
        <v>19773.51145038168</v>
      </c>
      <c r="S51" s="166">
        <f>SUM('[5]River Analysis'!$AD$6:$AD44)</f>
        <v>6063.307888040712</v>
      </c>
      <c r="U51" s="166">
        <f>SUM('[5]River Analysis'!$AJ$6:$AJ44)</f>
        <v>32746.709075487699</v>
      </c>
    </row>
    <row r="52" spans="1:21" x14ac:dyDescent="0.25">
      <c r="A52" s="1"/>
      <c r="B52" s="1"/>
      <c r="C52">
        <v>13</v>
      </c>
      <c r="D52" s="159">
        <f>+Total!A399</f>
        <v>41431</v>
      </c>
      <c r="E52" s="160">
        <f t="shared" si="3"/>
        <v>2360.5647058823547</v>
      </c>
      <c r="F52" s="160">
        <f t="shared" si="4"/>
        <v>58.682352941176489</v>
      </c>
      <c r="K52" s="166">
        <f>SUM('[5]River Analysis'!O$6:$O45)</f>
        <v>796226.99999999988</v>
      </c>
      <c r="M52" s="166">
        <f>SUM('[5]River Analysis'!$L$6:$L45)</f>
        <v>246613.99999999997</v>
      </c>
      <c r="O52" s="166">
        <f>SUM('[5]River Analysis'!$R$6:$R45)</f>
        <v>1320960.3333333335</v>
      </c>
      <c r="Q52" s="166">
        <f>SUM('[5]River Analysis'!$AG$6:$AG45)</f>
        <v>20260.229007633588</v>
      </c>
      <c r="S52" s="166">
        <f>SUM('[5]River Analysis'!$AD$6:$AD45)</f>
        <v>6275.1653944020354</v>
      </c>
      <c r="U52" s="166">
        <f>SUM('[5]River Analysis'!$AJ$6:$AJ45)</f>
        <v>33612.222222222219</v>
      </c>
    </row>
    <row r="53" spans="1:21" x14ac:dyDescent="0.25">
      <c r="A53" s="1"/>
      <c r="B53" s="1"/>
      <c r="C53">
        <v>12</v>
      </c>
      <c r="D53" s="159">
        <f>+Total!A400</f>
        <v>41438</v>
      </c>
      <c r="E53" s="160">
        <f t="shared" si="3"/>
        <v>2163.8509803921588</v>
      </c>
      <c r="F53" s="160">
        <f t="shared" si="4"/>
        <v>53.792156862745117</v>
      </c>
      <c r="K53" s="166">
        <f>SUM('[5]River Analysis'!O$6:$O46)</f>
        <v>813621.99999999988</v>
      </c>
      <c r="M53" s="166">
        <f>SUM('[5]River Analysis'!$L$6:$L46)</f>
        <v>253809.66666666663</v>
      </c>
      <c r="O53" s="166">
        <f>SUM('[5]River Analysis'!$R$6:$R46)</f>
        <v>1352158.3333333335</v>
      </c>
      <c r="Q53" s="166">
        <f>SUM('[5]River Analysis'!$AG$6:$AG46)</f>
        <v>20702.849872773539</v>
      </c>
      <c r="S53" s="166">
        <f>SUM('[5]River Analysis'!$AD$6:$AD46)</f>
        <v>6458.2612383375745</v>
      </c>
      <c r="U53" s="166">
        <f>SUM('[5]River Analysis'!$AJ$6:$AJ46)</f>
        <v>34406.064461407972</v>
      </c>
    </row>
    <row r="54" spans="1:21" x14ac:dyDescent="0.25">
      <c r="A54" s="1"/>
      <c r="B54" s="1"/>
      <c r="C54">
        <v>11</v>
      </c>
      <c r="D54" s="159">
        <f>+Total!A401</f>
        <v>41445</v>
      </c>
      <c r="E54" s="160">
        <f t="shared" si="3"/>
        <v>1967.1372549019627</v>
      </c>
      <c r="F54" s="160">
        <f t="shared" si="4"/>
        <v>48.901960784313744</v>
      </c>
      <c r="K54" s="166">
        <f>SUM('[5]River Analysis'!O$6:$O47)</f>
        <v>831792.66666666651</v>
      </c>
      <c r="M54" s="166">
        <f>SUM('[5]River Analysis'!$L$6:$L47)</f>
        <v>262601.33333333331</v>
      </c>
      <c r="O54" s="166">
        <f>SUM('[5]River Analysis'!$R$6:$R47)</f>
        <v>1385681.6666666667</v>
      </c>
      <c r="Q54" s="166">
        <f>SUM('[5]River Analysis'!$AG$6:$AG47)</f>
        <v>21165.207803223071</v>
      </c>
      <c r="S54" s="166">
        <f>SUM('[5]River Analysis'!$AD$6:$AD47)</f>
        <v>6681.967769296014</v>
      </c>
      <c r="U54" s="166">
        <f>SUM('[5]River Analysis'!$AJ$6:$AJ47)</f>
        <v>35259.075487701441</v>
      </c>
    </row>
    <row r="55" spans="1:21" x14ac:dyDescent="0.25">
      <c r="A55" s="1"/>
      <c r="B55" s="1"/>
      <c r="C55">
        <v>10</v>
      </c>
      <c r="D55" s="159">
        <f>+Total!A402</f>
        <v>41452</v>
      </c>
      <c r="E55" s="160">
        <f t="shared" si="3"/>
        <v>1770.4235294117666</v>
      </c>
      <c r="F55" s="160">
        <f t="shared" si="4"/>
        <v>44.011764705882371</v>
      </c>
      <c r="K55" s="166">
        <f>SUM('[5]River Analysis'!O$6:$O48)</f>
        <v>850472.99999999988</v>
      </c>
      <c r="M55" s="166">
        <f>SUM('[5]River Analysis'!$L$6:$L48)</f>
        <v>271285</v>
      </c>
      <c r="O55" s="166">
        <f>SUM('[5]River Analysis'!$R$6:$R48)</f>
        <v>1419152</v>
      </c>
      <c r="Q55" s="166">
        <f>SUM('[5]River Analysis'!$AG$6:$AG48)</f>
        <v>21640.534351145037</v>
      </c>
      <c r="S55" s="166">
        <f>SUM('[5]River Analysis'!$AD$6:$AD48)</f>
        <v>6902.9262086514</v>
      </c>
      <c r="U55" s="166">
        <f>SUM('[5]River Analysis'!$AJ$6:$AJ48)</f>
        <v>36110.737913486002</v>
      </c>
    </row>
    <row r="56" spans="1:21" x14ac:dyDescent="0.25">
      <c r="A56" s="1"/>
      <c r="B56" s="1"/>
      <c r="C56">
        <v>9</v>
      </c>
      <c r="D56" s="159">
        <f>+Total!A403</f>
        <v>41459</v>
      </c>
      <c r="E56" s="160">
        <f t="shared" si="3"/>
        <v>1573.7098039215705</v>
      </c>
      <c r="F56" s="160">
        <f t="shared" si="4"/>
        <v>39.121568627450998</v>
      </c>
      <c r="K56" s="166">
        <f>SUM('[5]River Analysis'!O$6:$O49)</f>
        <v>870395.99999999988</v>
      </c>
      <c r="M56" s="166">
        <f>SUM('[5]River Analysis'!$L$6:$L49)</f>
        <v>279868.66666666669</v>
      </c>
      <c r="O56" s="166">
        <f>SUM('[5]River Analysis'!$R$6:$R49)</f>
        <v>1452821.3333333333</v>
      </c>
      <c r="Q56" s="166">
        <f>SUM('[5]River Analysis'!$AG$6:$AG49)</f>
        <v>22147.480916030534</v>
      </c>
      <c r="S56" s="166">
        <f>SUM('[5]River Analysis'!$AD$6:$AD49)</f>
        <v>7121.3401187446998</v>
      </c>
      <c r="U56" s="166">
        <f>SUM('[5]River Analysis'!$AJ$6:$AJ49)</f>
        <v>36967.463952502119</v>
      </c>
    </row>
    <row r="57" spans="1:21" x14ac:dyDescent="0.25">
      <c r="A57" s="1"/>
      <c r="B57" s="1"/>
      <c r="C57">
        <v>8</v>
      </c>
      <c r="D57" s="159">
        <f>+Total!A404</f>
        <v>41466</v>
      </c>
      <c r="E57" s="160">
        <f t="shared" si="3"/>
        <v>1376.9960784313744</v>
      </c>
      <c r="F57" s="160">
        <f t="shared" si="4"/>
        <v>34.231372549019625</v>
      </c>
      <c r="K57" s="166">
        <f>SUM('[5]River Analysis'!O$6:$O50)</f>
        <v>889731.99999999988</v>
      </c>
      <c r="M57" s="166">
        <f>SUM('[5]River Analysis'!$L$6:$L50)</f>
        <v>287948.33333333337</v>
      </c>
      <c r="O57" s="166">
        <f>SUM('[5]River Analysis'!$R$6:$R50)</f>
        <v>1485462</v>
      </c>
      <c r="Q57" s="166">
        <f>SUM('[5]River Analysis'!$AG$6:$AG50)</f>
        <v>22639.491094147583</v>
      </c>
      <c r="S57" s="166">
        <f>SUM('[5]River Analysis'!$AD$6:$AD50)</f>
        <v>7326.9296013570829</v>
      </c>
      <c r="U57" s="166">
        <f>SUM('[5]River Analysis'!$AJ$6:$AJ50)</f>
        <v>37798.015267175571</v>
      </c>
    </row>
    <row r="58" spans="1:21" x14ac:dyDescent="0.25">
      <c r="A58" s="1"/>
      <c r="B58" s="1"/>
      <c r="C58">
        <v>7</v>
      </c>
      <c r="D58" s="159">
        <f>+Total!A405</f>
        <v>41473</v>
      </c>
      <c r="E58" s="160">
        <f t="shared" si="3"/>
        <v>1180.2823529411783</v>
      </c>
      <c r="F58" s="160">
        <f t="shared" si="4"/>
        <v>29.341176470588252</v>
      </c>
      <c r="K58" s="166">
        <f>SUM('[5]River Analysis'!O$6:$O51)</f>
        <v>907136.66666666651</v>
      </c>
      <c r="M58" s="166">
        <f>SUM('[5]River Analysis'!$L$6:$L51)</f>
        <v>297726.66666666669</v>
      </c>
      <c r="O58" s="166">
        <f>SUM('[5]River Analysis'!$R$6:$R51)</f>
        <v>1518446.6666666667</v>
      </c>
      <c r="Q58" s="166">
        <f>SUM('[5]River Analysis'!$AG$6:$AG51)</f>
        <v>23082.357930449532</v>
      </c>
      <c r="S58" s="166">
        <f>SUM('[5]River Analysis'!$AD$6:$AD51)</f>
        <v>7575.7421543681094</v>
      </c>
      <c r="U58" s="166">
        <f>SUM('[5]River Analysis'!$AJ$6:$AJ51)</f>
        <v>38637.319762510604</v>
      </c>
    </row>
    <row r="59" spans="1:21" x14ac:dyDescent="0.25">
      <c r="A59" s="1"/>
      <c r="B59" s="1"/>
      <c r="C59">
        <v>6</v>
      </c>
      <c r="D59" s="159">
        <f>+Total!A406</f>
        <v>41480</v>
      </c>
      <c r="E59" s="160">
        <f t="shared" si="3"/>
        <v>983.56862745098215</v>
      </c>
      <c r="F59" s="160">
        <f t="shared" si="4"/>
        <v>24.450980392156875</v>
      </c>
      <c r="K59" s="166">
        <f>SUM('[5]River Analysis'!O$6:$O52)</f>
        <v>927091.99999999988</v>
      </c>
      <c r="M59" s="166">
        <f>SUM('[5]River Analysis'!$L$6:$L52)</f>
        <v>306918</v>
      </c>
      <c r="O59" s="166">
        <f>SUM('[5]River Analysis'!$R$6:$R52)</f>
        <v>1552211.3333333335</v>
      </c>
      <c r="Q59" s="166">
        <f>SUM('[5]River Analysis'!$AG$6:$AG52)</f>
        <v>23590.127226463104</v>
      </c>
      <c r="S59" s="166">
        <f>SUM('[5]River Analysis'!$AD$6:$AD52)</f>
        <v>7809.618320610688</v>
      </c>
      <c r="U59" s="166">
        <f>SUM('[5]River Analysis'!$AJ$6:$AJ52)</f>
        <v>39496.471586089909</v>
      </c>
    </row>
    <row r="60" spans="1:21" x14ac:dyDescent="0.25">
      <c r="A60" s="1"/>
      <c r="B60" s="1"/>
      <c r="C60">
        <v>5</v>
      </c>
      <c r="D60" s="159">
        <f>+Total!A407</f>
        <v>41487</v>
      </c>
      <c r="E60" s="160">
        <f t="shared" si="3"/>
        <v>786.85490196078604</v>
      </c>
      <c r="F60" s="160">
        <f t="shared" si="4"/>
        <v>19.560784313725499</v>
      </c>
      <c r="K60" s="166">
        <f>SUM('[5]River Analysis'!O$6:$O53)</f>
        <v>942725.66666666651</v>
      </c>
      <c r="M60" s="166">
        <f>SUM('[5]River Analysis'!$L$6:$L53)</f>
        <v>316936.66666666669</v>
      </c>
      <c r="O60" s="166">
        <f>SUM('[5]River Analysis'!$R$6:$R53)</f>
        <v>1582652.3333333335</v>
      </c>
      <c r="Q60" s="166">
        <f>SUM('[5]River Analysis'!$AG$6:$AG53)</f>
        <v>23987.930449533502</v>
      </c>
      <c r="S60" s="166">
        <f>SUM('[5]River Analysis'!$AD$6:$AD53)</f>
        <v>8064.5462256149285</v>
      </c>
      <c r="U60" s="166">
        <f>SUM('[5]River Analysis'!$AJ$6:$AJ53)</f>
        <v>40271.051738761664</v>
      </c>
    </row>
    <row r="61" spans="1:21" x14ac:dyDescent="0.25">
      <c r="A61" s="1"/>
      <c r="B61" s="1"/>
      <c r="C61">
        <v>4</v>
      </c>
      <c r="D61" s="159">
        <f>+Total!A408</f>
        <v>41494</v>
      </c>
      <c r="E61" s="160">
        <f t="shared" si="3"/>
        <v>590.14117647058993</v>
      </c>
      <c r="F61" s="160">
        <f t="shared" si="4"/>
        <v>14.670588235294124</v>
      </c>
      <c r="K61" s="166">
        <f>SUM('[5]River Analysis'!O$6:$O54)</f>
        <v>959902.33333333314</v>
      </c>
      <c r="M61" s="166">
        <f>SUM('[5]River Analysis'!$L$6:$L54)</f>
        <v>327130</v>
      </c>
      <c r="O61" s="166">
        <f>SUM('[5]River Analysis'!$R$6:$R54)</f>
        <v>1616463.3333333335</v>
      </c>
      <c r="Q61" s="166">
        <f>SUM('[5]River Analysis'!$AG$6:$AG54)</f>
        <v>24424.995759117897</v>
      </c>
      <c r="S61" s="166">
        <f>SUM('[5]River Analysis'!$AD$6:$AD54)</f>
        <v>8323.9185750636134</v>
      </c>
      <c r="U61" s="166">
        <f>SUM('[5]River Analysis'!$AJ$6:$AJ54)</f>
        <v>41131.382527565736</v>
      </c>
    </row>
    <row r="62" spans="1:21" x14ac:dyDescent="0.25">
      <c r="A62" s="1"/>
      <c r="B62" s="1"/>
      <c r="C62">
        <v>3</v>
      </c>
      <c r="D62" s="159">
        <f>+Total!A409</f>
        <v>41501</v>
      </c>
      <c r="E62" s="160">
        <f t="shared" si="3"/>
        <v>393.42745098039381</v>
      </c>
      <c r="F62" s="160">
        <f t="shared" si="4"/>
        <v>9.7803921568627494</v>
      </c>
      <c r="K62" s="166">
        <f>SUM('[5]River Analysis'!O$6:$O55)</f>
        <v>979181.99999999977</v>
      </c>
      <c r="M62" s="166">
        <f>SUM('[5]River Analysis'!$L$6:$L55)</f>
        <v>332769.66666666669</v>
      </c>
      <c r="O62" s="166">
        <f>SUM('[5]River Analysis'!$R$6:$R55)</f>
        <v>1648430.3333333335</v>
      </c>
      <c r="Q62" s="166">
        <f>SUM('[5]River Analysis'!$AG$6:$AG55)</f>
        <v>24915.572519083969</v>
      </c>
      <c r="S62" s="166">
        <f>SUM('[5]River Analysis'!$AD$6:$AD55)</f>
        <v>8467.4215436810864</v>
      </c>
      <c r="U62" s="166">
        <f>SUM('[5]River Analysis'!$AJ$6:$AJ55)</f>
        <v>41944.792196776929</v>
      </c>
    </row>
    <row r="63" spans="1:21" x14ac:dyDescent="0.25">
      <c r="A63" s="1"/>
      <c r="B63" s="1"/>
      <c r="C63">
        <v>2</v>
      </c>
      <c r="D63" s="159">
        <f>+Total!A410</f>
        <v>41508</v>
      </c>
      <c r="E63" s="160">
        <f t="shared" si="3"/>
        <v>196.71372549019773</v>
      </c>
      <c r="F63" s="160">
        <f t="shared" si="4"/>
        <v>4.8901960784313747</v>
      </c>
      <c r="K63" s="166">
        <f>SUM('[5]River Analysis'!O$6:$O56)</f>
        <v>998681.6666666664</v>
      </c>
      <c r="M63" s="166">
        <f>SUM('[5]River Analysis'!$L$6:$L56)</f>
        <v>341138.66666666669</v>
      </c>
      <c r="O63" s="166">
        <f>SUM('[5]River Analysis'!$R$6:$R56)</f>
        <v>1681139.0000000002</v>
      </c>
      <c r="Q63" s="166">
        <f>SUM('[5]River Analysis'!$AG$6:$AG56)</f>
        <v>25411.747243426631</v>
      </c>
      <c r="S63" s="166">
        <f>SUM('[5]River Analysis'!$AD$6:$AD56)</f>
        <v>8680.3731976251074</v>
      </c>
      <c r="U63" s="166">
        <f>SUM('[5]River Analysis'!$AJ$6:$AJ56)</f>
        <v>42777.073791348601</v>
      </c>
    </row>
    <row r="64" spans="1:21" x14ac:dyDescent="0.25">
      <c r="A64" s="1"/>
      <c r="B64" s="1"/>
      <c r="C64">
        <v>1</v>
      </c>
      <c r="D64" s="159">
        <f>+Total!A411</f>
        <v>41515</v>
      </c>
      <c r="E64" s="160">
        <f t="shared" si="3"/>
        <v>1.6484591469634324E-12</v>
      </c>
      <c r="F64" s="160">
        <f t="shared" si="4"/>
        <v>0</v>
      </c>
      <c r="K64" s="166">
        <f>SUM('[5]River Analysis'!O$6:$O57)</f>
        <v>1018545.9999999998</v>
      </c>
      <c r="M64" s="166">
        <f>SUM('[5]River Analysis'!$L$6:$L57)</f>
        <v>349195.33333333337</v>
      </c>
      <c r="O64" s="166">
        <f>SUM('[5]River Analysis'!$R$6:$R57)</f>
        <v>1713982.0000000002</v>
      </c>
      <c r="Q64" s="166">
        <f>SUM('[5]River Analysis'!$AG$6:$AG57)</f>
        <v>25917.201017811702</v>
      </c>
      <c r="S64" s="166">
        <f>SUM('[5]River Analysis'!$AD$6:$AD57)</f>
        <v>8885.3774385072102</v>
      </c>
      <c r="U64" s="166">
        <f>SUM('[5]River Analysis'!$AJ$6:$AJ57)</f>
        <v>43612.773536895678</v>
      </c>
    </row>
    <row r="65" spans="3:16" x14ac:dyDescent="0.25">
      <c r="D65" s="158" t="s">
        <v>296</v>
      </c>
      <c r="E65" s="164">
        <f>+'GTR Corn Table'!C17</f>
        <v>0</v>
      </c>
      <c r="F65" s="164">
        <f>+E65</f>
        <v>0</v>
      </c>
      <c r="G65" s="160"/>
      <c r="H65" s="5"/>
    </row>
    <row r="66" spans="3:16" x14ac:dyDescent="0.25">
      <c r="C66" s="163"/>
      <c r="D66" s="163" t="s">
        <v>310</v>
      </c>
      <c r="E66" s="160">
        <f>+(E65-E13)/51</f>
        <v>-196.71372549019608</v>
      </c>
      <c r="F66" s="160">
        <f>+(E65-F13)/51</f>
        <v>-4.8901960784313729</v>
      </c>
      <c r="G66" s="165">
        <f>+E29-G28</f>
        <v>-5822.0196078431336</v>
      </c>
      <c r="H66" s="165">
        <f>+F29-F28</f>
        <v>-4.8901960784313587</v>
      </c>
      <c r="K66" s="165">
        <f>+K29-K28</f>
        <v>19723.666666666686</v>
      </c>
      <c r="M66" s="165">
        <f>+M29-M28</f>
        <v>12145.666666666672</v>
      </c>
      <c r="O66" s="165">
        <f>+O29-O28</f>
        <v>38663.666666666628</v>
      </c>
    </row>
    <row r="67" spans="3:16" x14ac:dyDescent="0.25">
      <c r="D67" s="20"/>
      <c r="O67" s="167">
        <f>+(O64-O29)/36</f>
        <v>32281.111111111117</v>
      </c>
      <c r="P67" s="117" t="s">
        <v>312</v>
      </c>
    </row>
    <row r="68" spans="3:16" x14ac:dyDescent="0.25">
      <c r="D68" s="20"/>
    </row>
    <row r="69" spans="3:16" x14ac:dyDescent="0.25">
      <c r="D69" s="20"/>
    </row>
    <row r="70" spans="3:16" x14ac:dyDescent="0.25">
      <c r="D70" s="20"/>
    </row>
    <row r="71" spans="3:16" x14ac:dyDescent="0.25">
      <c r="D71" s="20"/>
    </row>
    <row r="72" spans="3:16" x14ac:dyDescent="0.25">
      <c r="D72" s="20"/>
    </row>
    <row r="73" spans="3:16" x14ac:dyDescent="0.25">
      <c r="D73" s="20"/>
    </row>
    <row r="74" spans="3:16" x14ac:dyDescent="0.25">
      <c r="D74" s="20"/>
    </row>
    <row r="75" spans="3:16" x14ac:dyDescent="0.25">
      <c r="D75" s="20"/>
    </row>
    <row r="76" spans="3:16" x14ac:dyDescent="0.25">
      <c r="D76" s="20"/>
    </row>
    <row r="77" spans="3:16" x14ac:dyDescent="0.25">
      <c r="D77" s="20"/>
    </row>
    <row r="78" spans="3:16" x14ac:dyDescent="0.25">
      <c r="D78" s="20"/>
    </row>
    <row r="79" spans="3:16" x14ac:dyDescent="0.25">
      <c r="D79" s="20"/>
    </row>
    <row r="80" spans="3:16" x14ac:dyDescent="0.25">
      <c r="D80" s="20"/>
    </row>
    <row r="81" spans="4:4" x14ac:dyDescent="0.25">
      <c r="D81" s="20"/>
    </row>
    <row r="82" spans="4:4" x14ac:dyDescent="0.25">
      <c r="D82" s="20"/>
    </row>
    <row r="83" spans="4:4" x14ac:dyDescent="0.25">
      <c r="D83" s="20"/>
    </row>
    <row r="84" spans="4:4" x14ac:dyDescent="0.25">
      <c r="D84" s="20"/>
    </row>
    <row r="85" spans="4:4" x14ac:dyDescent="0.25">
      <c r="D85" s="20"/>
    </row>
    <row r="86" spans="4:4" x14ac:dyDescent="0.25">
      <c r="D86" s="20"/>
    </row>
    <row r="87" spans="4:4" x14ac:dyDescent="0.25">
      <c r="D87" s="20"/>
    </row>
    <row r="88" spans="4:4" x14ac:dyDescent="0.25">
      <c r="D88" s="20"/>
    </row>
    <row r="89" spans="4:4" x14ac:dyDescent="0.25">
      <c r="D89" s="20"/>
    </row>
    <row r="90" spans="4:4" x14ac:dyDescent="0.25">
      <c r="D90" s="20"/>
    </row>
    <row r="91" spans="4:4" x14ac:dyDescent="0.25">
      <c r="D91" s="20"/>
    </row>
    <row r="92" spans="4:4" x14ac:dyDescent="0.25">
      <c r="D92" s="20"/>
    </row>
    <row r="93" spans="4:4" x14ac:dyDescent="0.25">
      <c r="D93" s="20"/>
    </row>
    <row r="94" spans="4:4" x14ac:dyDescent="0.25">
      <c r="D94" s="20"/>
    </row>
    <row r="95" spans="4:4" x14ac:dyDescent="0.25">
      <c r="D95" s="20"/>
    </row>
    <row r="96" spans="4:4" x14ac:dyDescent="0.25">
      <c r="D96" s="20"/>
    </row>
    <row r="97" spans="4:4" x14ac:dyDescent="0.25">
      <c r="D97" s="20"/>
    </row>
    <row r="98" spans="4:4" x14ac:dyDescent="0.25">
      <c r="D98" s="20"/>
    </row>
    <row r="99" spans="4:4" x14ac:dyDescent="0.25">
      <c r="D99" s="20"/>
    </row>
  </sheetData>
  <mergeCells count="4">
    <mergeCell ref="J11:O11"/>
    <mergeCell ref="P11:U11"/>
    <mergeCell ref="E11:I11"/>
    <mergeCell ref="C11:D11"/>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heetViews>
  <sheetFormatPr defaultRowHeight="13.2" x14ac:dyDescent="0.25"/>
  <sheetData>
    <row r="1" spans="1:1" x14ac:dyDescent="0.25">
      <c r="A1" s="119" t="s">
        <v>341</v>
      </c>
    </row>
    <row r="2" spans="1:1" x14ac:dyDescent="0.25">
      <c r="A2" s="119" t="s">
        <v>342</v>
      </c>
    </row>
    <row r="3" spans="1:1" x14ac:dyDescent="0.25">
      <c r="A3" s="119" t="s">
        <v>343</v>
      </c>
    </row>
    <row r="4" spans="1:1" x14ac:dyDescent="0.25">
      <c r="A4" s="119" t="s">
        <v>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GTR Corn Table</vt:lpstr>
      <vt:lpstr>Total</vt:lpstr>
      <vt:lpstr>Japan</vt:lpstr>
      <vt:lpstr>Mexico</vt:lpstr>
      <vt:lpstr>Korea</vt:lpstr>
      <vt:lpstr>China</vt:lpstr>
      <vt:lpstr>Taiwan</vt:lpstr>
      <vt:lpstr>Venezuela</vt:lpstr>
      <vt:lpstr>Egypt</vt:lpstr>
      <vt:lpstr>DATA</vt:lpstr>
      <vt:lpstr>Summary</vt:lpstr>
      <vt:lpstr>Sheet1</vt:lpstr>
      <vt:lpstr>Sheet2</vt:lpstr>
      <vt:lpstr>River Analysis</vt:lpstr>
      <vt:lpstr>Sheet3</vt:lpstr>
      <vt:lpstr>'GTR Corn Table'!Print_Area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Olowolayemo, Surajudeen</dc:creator>
  <cp:lastModifiedBy>Johnny Hill</cp:lastModifiedBy>
  <cp:lastPrinted>2012-11-13T18:08:28Z</cp:lastPrinted>
  <dcterms:created xsi:type="dcterms:W3CDTF">2005-11-09T12:31:30Z</dcterms:created>
  <dcterms:modified xsi:type="dcterms:W3CDTF">2014-03-03T13:59:58Z</dcterms:modified>
</cp:coreProperties>
</file>