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640"/>
  </bookViews>
  <sheets>
    <sheet name="MayAug 2013" sheetId="4" r:id="rId1"/>
    <sheet name="June 2013" sheetId="2" r:id="rId2"/>
    <sheet name="Fall 2013" sheetId="3" r:id="rId3"/>
    <sheet name="Empty " sheetId="1" r:id="rId4"/>
  </sheets>
  <definedNames>
    <definedName name="_xlnm.Print_Area" localSheetId="1">'June 2013'!$A$1:$I$45</definedName>
  </definedNames>
  <calcPr calcId="145621"/>
</workbook>
</file>

<file path=xl/calcChain.xml><?xml version="1.0" encoding="utf-8"?>
<calcChain xmlns="http://schemas.openxmlformats.org/spreadsheetml/2006/main">
  <c r="E30" i="2" l="1"/>
  <c r="H36" i="4"/>
  <c r="H19" i="4"/>
  <c r="E21" i="3"/>
  <c r="E18" i="3"/>
  <c r="G15" i="2" l="1"/>
  <c r="E15" i="2"/>
</calcChain>
</file>

<file path=xl/sharedStrings.xml><?xml version="1.0" encoding="utf-8"?>
<sst xmlns="http://schemas.openxmlformats.org/spreadsheetml/2006/main" count="91" uniqueCount="54">
  <si>
    <t>2013 SMU-in-TAOS</t>
  </si>
  <si>
    <t>How Much Does It Cost?</t>
  </si>
  <si>
    <t>3 Credit Hours</t>
  </si>
  <si>
    <t>4 Credit Hours</t>
  </si>
  <si>
    <t>Academic Course Fee</t>
  </si>
  <si>
    <t>Board (Meal Plan)</t>
  </si>
  <si>
    <t>6 Credit Hours</t>
  </si>
  <si>
    <t>7 Credit Hours</t>
  </si>
  <si>
    <t>MAY &amp; AUGUST INTER-TERMS</t>
  </si>
  <si>
    <t>Community Bath *</t>
  </si>
  <si>
    <t>* Add $75 for Semi-Private Room, depending upon availability.</t>
  </si>
  <si>
    <t>(3 @ $890)</t>
  </si>
  <si>
    <t>(4 @ $890)</t>
  </si>
  <si>
    <t>Academic Tuition</t>
  </si>
  <si>
    <t>TOTAL *</t>
  </si>
  <si>
    <t xml:space="preserve">Academic Tuition </t>
  </si>
  <si>
    <t>(6 @ $810)</t>
  </si>
  <si>
    <t>(2 @ $150)</t>
  </si>
  <si>
    <t>(7 @ $810)</t>
  </si>
  <si>
    <t>* Add $135 for Semi-Private Room, depending upon availability.</t>
  </si>
  <si>
    <t>ARCHAEOLOGY FIELD SCHOOL</t>
  </si>
  <si>
    <t>(2 Courses)</t>
  </si>
  <si>
    <t>June 4 - July 3  (approximately 28 days in length)</t>
  </si>
  <si>
    <t>JUNE SUMMER TERM</t>
  </si>
  <si>
    <t>June 4 - July 16  (approximately 42 days in length)</t>
  </si>
  <si>
    <t>May Inter-Term:  May 15 - June 1  (approximately 17 days in length)</t>
  </si>
  <si>
    <t xml:space="preserve">August Inter-Term:  August 5 - 22  (approximately 17 days in length)  </t>
  </si>
  <si>
    <t xml:space="preserve">Academic Course Fees </t>
  </si>
  <si>
    <t>Room *</t>
  </si>
  <si>
    <t>* No room charge, sleep in tents.</t>
  </si>
  <si>
    <t>TOTAL</t>
  </si>
  <si>
    <t>(1 Course)</t>
  </si>
  <si>
    <t>(1 Course + Internship)</t>
  </si>
  <si>
    <t>(4 @ $810)</t>
  </si>
  <si>
    <t>COX SCHOOL OF BUSINESS (MARKETING)</t>
  </si>
  <si>
    <t>July 28 - August 22  (approximately 25 days in length)</t>
  </si>
  <si>
    <t>(6 @ $890)</t>
  </si>
  <si>
    <t>FALL SEMESTER</t>
  </si>
  <si>
    <t xml:space="preserve">August 26 - December 15  </t>
  </si>
  <si>
    <t>12-18 Credit Hours</t>
  </si>
  <si>
    <t>(7 @ $890)</t>
  </si>
  <si>
    <t>* Add $120 for Semi-Private Room, depending upon availability.</t>
  </si>
  <si>
    <t xml:space="preserve">TOTAL  </t>
  </si>
  <si>
    <r>
      <t xml:space="preserve">Mountain Sports Course Fee </t>
    </r>
    <r>
      <rPr>
        <i/>
        <sz val="12"/>
        <rFont val="Calibri"/>
        <family val="2"/>
        <scheme val="minor"/>
      </rPr>
      <t xml:space="preserve">(optional)  </t>
    </r>
  </si>
  <si>
    <t xml:space="preserve">Mountain Sports Course Fee </t>
  </si>
  <si>
    <t>(2 Courses + Mountain Sports)</t>
  </si>
  <si>
    <r>
      <t>TOTAL</t>
    </r>
    <r>
      <rPr>
        <i/>
        <sz val="12"/>
        <rFont val="Calibri"/>
        <family val="2"/>
        <scheme val="minor"/>
      </rPr>
      <t xml:space="preserve"> (with Mountain Sports)</t>
    </r>
  </si>
  <si>
    <r>
      <t xml:space="preserve">Academic Course Fees </t>
    </r>
    <r>
      <rPr>
        <i/>
        <sz val="12"/>
        <color theme="1"/>
        <rFont val="Calibri"/>
        <family val="2"/>
        <scheme val="minor"/>
      </rPr>
      <t>(same as SMU Main Campus)</t>
    </r>
  </si>
  <si>
    <r>
      <t xml:space="preserve">Board/Meal Plan </t>
    </r>
    <r>
      <rPr>
        <i/>
        <sz val="12"/>
        <color theme="1"/>
        <rFont val="Calibri"/>
        <family val="2"/>
        <scheme val="minor"/>
      </rPr>
      <t>(same as SMU Main Campus)</t>
    </r>
  </si>
  <si>
    <r>
      <t xml:space="preserve">Room </t>
    </r>
    <r>
      <rPr>
        <i/>
        <sz val="12"/>
        <color theme="1"/>
        <rFont val="Calibri"/>
        <family val="2"/>
        <scheme val="minor"/>
      </rPr>
      <t>(same as SMU Service House rent for 1 semester)</t>
    </r>
  </si>
  <si>
    <t xml:space="preserve">    (1 Course + Mountain Sports)</t>
  </si>
  <si>
    <t xml:space="preserve">  (2 Courses + Mountain Sports)</t>
  </si>
  <si>
    <t xml:space="preserve">ENGINEERING SCHOOL SPECIAL STUDIES </t>
  </si>
  <si>
    <t>Extended August Inter-Term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</si>
</sst>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i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sz val="26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6" fontId="0" fillId="0" borderId="0" xfId="0" applyNumberFormat="1"/>
    <xf numFmtId="6" fontId="0" fillId="0" borderId="0" xfId="0" applyNumberFormat="1" applyAlignment="1">
      <alignment horizontal="right"/>
    </xf>
    <xf numFmtId="0" fontId="1" fillId="0" borderId="0" xfId="0" applyFont="1"/>
    <xf numFmtId="6" fontId="1" fillId="0" borderId="0" xfId="0" applyNumberFormat="1" applyFont="1"/>
    <xf numFmtId="49" fontId="0" fillId="0" borderId="0" xfId="0" applyNumberFormat="1" applyAlignment="1">
      <alignment horizontal="right"/>
    </xf>
    <xf numFmtId="0" fontId="3" fillId="0" borderId="0" xfId="0" applyFont="1"/>
    <xf numFmtId="6" fontId="3" fillId="0" borderId="0" xfId="0" applyNumberFormat="1" applyFont="1" applyAlignment="1"/>
    <xf numFmtId="6" fontId="3" fillId="0" borderId="0" xfId="0" applyNumberFormat="1" applyFont="1" applyAlignment="1">
      <alignment horizontal="right"/>
    </xf>
    <xf numFmtId="41" fontId="0" fillId="0" borderId="0" xfId="0" applyNumberFormat="1" applyAlignment="1">
      <alignment horizontal="right"/>
    </xf>
    <xf numFmtId="41" fontId="0" fillId="0" borderId="0" xfId="0" applyNumberFormat="1"/>
    <xf numFmtId="41" fontId="2" fillId="0" borderId="0" xfId="0" applyNumberFormat="1" applyFont="1"/>
    <xf numFmtId="41" fontId="2" fillId="0" borderId="0" xfId="0" applyNumberFormat="1" applyFont="1" applyAlignment="1">
      <alignment horizontal="right"/>
    </xf>
    <xf numFmtId="0" fontId="6" fillId="0" borderId="0" xfId="0" applyFont="1"/>
    <xf numFmtId="0" fontId="2" fillId="0" borderId="0" xfId="0" applyFont="1"/>
    <xf numFmtId="42" fontId="0" fillId="0" borderId="0" xfId="0" applyNumberFormat="1"/>
    <xf numFmtId="42" fontId="0" fillId="0" borderId="0" xfId="0" applyNumberFormat="1" applyAlignment="1"/>
    <xf numFmtId="42" fontId="1" fillId="0" borderId="0" xfId="0" applyNumberFormat="1" applyFont="1"/>
    <xf numFmtId="42" fontId="4" fillId="0" borderId="0" xfId="0" applyNumberFormat="1" applyFont="1"/>
    <xf numFmtId="41" fontId="5" fillId="0" borderId="0" xfId="0" applyNumberFormat="1" applyFont="1"/>
    <xf numFmtId="0" fontId="5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8" fillId="0" borderId="0" xfId="0" applyFont="1"/>
    <xf numFmtId="0" fontId="13" fillId="0" borderId="0" xfId="0" applyFont="1"/>
    <xf numFmtId="0" fontId="14" fillId="0" borderId="1" xfId="0" applyFont="1" applyBorder="1"/>
    <xf numFmtId="0" fontId="15" fillId="0" borderId="1" xfId="0" applyFont="1" applyBorder="1"/>
    <xf numFmtId="0" fontId="0" fillId="0" borderId="0" xfId="0" applyAlignment="1"/>
    <xf numFmtId="0" fontId="7" fillId="0" borderId="0" xfId="0" applyFont="1" applyAlignment="1"/>
    <xf numFmtId="0" fontId="0" fillId="0" borderId="0" xfId="0" applyAlignment="1"/>
    <xf numFmtId="0" fontId="17" fillId="0" borderId="0" xfId="0" applyFont="1"/>
    <xf numFmtId="0" fontId="18" fillId="0" borderId="1" xfId="0" applyFont="1" applyBorder="1"/>
    <xf numFmtId="0" fontId="19" fillId="0" borderId="1" xfId="0" applyFont="1" applyBorder="1"/>
    <xf numFmtId="0" fontId="20" fillId="0" borderId="0" xfId="0" applyFont="1"/>
    <xf numFmtId="0" fontId="21" fillId="0" borderId="0" xfId="0" applyFont="1"/>
    <xf numFmtId="42" fontId="10" fillId="0" borderId="0" xfId="0" applyNumberFormat="1" applyFont="1" applyAlignment="1"/>
    <xf numFmtId="42" fontId="10" fillId="0" borderId="0" xfId="0" applyNumberFormat="1" applyFont="1"/>
    <xf numFmtId="41" fontId="10" fillId="0" borderId="0" xfId="0" applyNumberFormat="1" applyFont="1" applyAlignment="1">
      <alignment horizontal="right"/>
    </xf>
    <xf numFmtId="41" fontId="10" fillId="0" borderId="0" xfId="0" applyNumberFormat="1" applyFont="1"/>
    <xf numFmtId="0" fontId="9" fillId="0" borderId="0" xfId="0" applyFont="1" applyAlignment="1"/>
    <xf numFmtId="0" fontId="10" fillId="0" borderId="0" xfId="0" applyFont="1" applyAlignment="1"/>
    <xf numFmtId="42" fontId="10" fillId="0" borderId="0" xfId="0" applyNumberFormat="1" applyFont="1" applyAlignment="1">
      <alignment horizontal="right"/>
    </xf>
    <xf numFmtId="0" fontId="22" fillId="0" borderId="0" xfId="0" applyFont="1"/>
    <xf numFmtId="41" fontId="22" fillId="0" borderId="0" xfId="0" applyNumberFormat="1" applyFont="1"/>
    <xf numFmtId="42" fontId="23" fillId="0" borderId="0" xfId="0" applyNumberFormat="1" applyFont="1"/>
    <xf numFmtId="0" fontId="9" fillId="0" borderId="0" xfId="0" applyFont="1" applyAlignment="1">
      <alignment horizontal="center" wrapText="1"/>
    </xf>
    <xf numFmtId="0" fontId="1" fillId="0" borderId="1" xfId="0" applyFont="1" applyBorder="1"/>
    <xf numFmtId="0" fontId="0" fillId="0" borderId="1" xfId="0" applyFont="1" applyBorder="1"/>
    <xf numFmtId="0" fontId="28" fillId="0" borderId="0" xfId="0" applyFont="1"/>
    <xf numFmtId="0" fontId="29" fillId="0" borderId="0" xfId="0" applyFont="1"/>
    <xf numFmtId="0" fontId="0" fillId="0" borderId="0" xfId="0" applyBorder="1"/>
    <xf numFmtId="0" fontId="9" fillId="0" borderId="0" xfId="0" applyFont="1" applyBorder="1" applyAlignment="1"/>
    <xf numFmtId="42" fontId="9" fillId="0" borderId="0" xfId="0" applyNumberFormat="1" applyFont="1" applyBorder="1" applyAlignment="1">
      <alignment horizontal="right"/>
    </xf>
    <xf numFmtId="41" fontId="10" fillId="0" borderId="1" xfId="0" applyNumberFormat="1" applyFont="1" applyBorder="1" applyAlignment="1">
      <alignment horizontal="right"/>
    </xf>
    <xf numFmtId="42" fontId="23" fillId="0" borderId="0" xfId="0" applyNumberFormat="1" applyFont="1" applyBorder="1"/>
    <xf numFmtId="41" fontId="22" fillId="0" borderId="1" xfId="0" applyNumberFormat="1" applyFont="1" applyBorder="1" applyAlignment="1">
      <alignment horizontal="right"/>
    </xf>
    <xf numFmtId="42" fontId="1" fillId="0" borderId="0" xfId="0" applyNumberFormat="1" applyFont="1" applyBorder="1"/>
    <xf numFmtId="37" fontId="5" fillId="0" borderId="1" xfId="0" applyNumberFormat="1" applyFont="1" applyBorder="1"/>
    <xf numFmtId="41" fontId="0" fillId="0" borderId="1" xfId="0" applyNumberFormat="1" applyBorder="1"/>
    <xf numFmtId="0" fontId="1" fillId="0" borderId="0" xfId="0" applyFont="1" applyBorder="1"/>
    <xf numFmtId="0" fontId="1" fillId="0" borderId="0" xfId="0" applyFont="1" applyBorder="1" applyAlignment="1"/>
    <xf numFmtId="0" fontId="3" fillId="0" borderId="0" xfId="0" applyFont="1" applyAlignment="1"/>
    <xf numFmtId="0" fontId="0" fillId="0" borderId="0" xfId="0" applyAlignment="1"/>
    <xf numFmtId="0" fontId="1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1" fillId="0" borderId="1" xfId="0" applyFont="1" applyBorder="1" applyAlignment="1"/>
    <xf numFmtId="0" fontId="0" fillId="0" borderId="1" xfId="0" applyFont="1" applyBorder="1" applyAlignment="1"/>
    <xf numFmtId="0" fontId="1" fillId="0" borderId="0" xfId="0" applyFont="1" applyAlignment="1"/>
    <xf numFmtId="0" fontId="19" fillId="0" borderId="1" xfId="0" applyFont="1" applyBorder="1" applyAlignment="1"/>
    <xf numFmtId="0" fontId="18" fillId="0" borderId="1" xfId="0" applyFont="1" applyBorder="1" applyAlignment="1"/>
    <xf numFmtId="0" fontId="6" fillId="0" borderId="0" xfId="0" applyFont="1" applyBorder="1" applyAlignment="1"/>
    <xf numFmtId="0" fontId="0" fillId="0" borderId="0" xfId="0" applyBorder="1" applyAlignment="1"/>
    <xf numFmtId="0" fontId="11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23" fillId="0" borderId="0" xfId="0" applyFont="1" applyAlignment="1"/>
    <xf numFmtId="0" fontId="22" fillId="0" borderId="0" xfId="0" applyFont="1" applyAlignment="1"/>
    <xf numFmtId="0" fontId="3" fillId="0" borderId="2" xfId="0" applyFont="1" applyBorder="1" applyAlignme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4" fillId="0" borderId="1" xfId="0" applyFont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zoomScaleNormal="100" workbookViewId="0">
      <selection activeCell="E32" sqref="E32"/>
    </sheetView>
  </sheetViews>
  <sheetFormatPr defaultRowHeight="15" x14ac:dyDescent="0.25"/>
  <cols>
    <col min="1" max="1" width="4.42578125" customWidth="1"/>
    <col min="7" max="7" width="9.140625" customWidth="1"/>
    <col min="10" max="10" width="4.85546875" customWidth="1"/>
    <col min="11" max="15" width="9.140625" hidden="1" customWidth="1"/>
  </cols>
  <sheetData>
    <row r="1" spans="1:10" x14ac:dyDescent="0.25">
      <c r="A1" s="3"/>
      <c r="B1" s="3"/>
      <c r="C1" s="3"/>
      <c r="D1" s="3"/>
      <c r="E1" s="3"/>
      <c r="F1" s="3"/>
      <c r="G1" s="3"/>
      <c r="H1" s="3"/>
      <c r="I1" s="3"/>
    </row>
    <row r="2" spans="1:10" s="24" customFormat="1" ht="46.5" x14ac:dyDescent="0.7">
      <c r="A2" s="23"/>
      <c r="C2" s="82" t="s">
        <v>0</v>
      </c>
      <c r="D2" s="83"/>
      <c r="E2" s="83"/>
      <c r="F2" s="83"/>
      <c r="G2" s="83"/>
      <c r="H2" s="83"/>
      <c r="I2" s="23"/>
    </row>
    <row r="3" spans="1:10" s="26" customFormat="1" ht="28.5" x14ac:dyDescent="0.45">
      <c r="A3" s="25"/>
      <c r="B3" s="25"/>
      <c r="C3" s="84" t="s">
        <v>1</v>
      </c>
      <c r="D3" s="84"/>
      <c r="E3" s="84"/>
      <c r="F3" s="84"/>
      <c r="G3" s="84"/>
      <c r="H3" s="84"/>
      <c r="I3" s="25"/>
    </row>
    <row r="4" spans="1:10" x14ac:dyDescent="0.25">
      <c r="A4" s="6"/>
      <c r="B4" s="6"/>
      <c r="C4" s="6"/>
      <c r="D4" s="6"/>
      <c r="E4" s="6"/>
      <c r="F4" s="6"/>
      <c r="G4" s="6"/>
      <c r="H4" s="6"/>
      <c r="I4" s="6"/>
    </row>
    <row r="5" spans="1:10" x14ac:dyDescent="0.25">
      <c r="A5" s="6"/>
      <c r="B5" s="6"/>
      <c r="C5" s="6"/>
      <c r="D5" s="6"/>
      <c r="E5" s="6"/>
      <c r="F5" s="6"/>
      <c r="G5" s="6"/>
      <c r="H5" s="6"/>
      <c r="I5" s="6"/>
    </row>
    <row r="6" spans="1:10" x14ac:dyDescent="0.25">
      <c r="A6" s="6"/>
      <c r="B6" s="6"/>
      <c r="C6" s="6"/>
      <c r="D6" s="6"/>
      <c r="E6" s="6"/>
      <c r="F6" s="6"/>
      <c r="G6" s="6"/>
      <c r="H6" s="6"/>
      <c r="I6" s="6"/>
    </row>
    <row r="7" spans="1:10" s="28" customFormat="1" ht="18.75" x14ac:dyDescent="0.3">
      <c r="A7" s="27"/>
      <c r="B7" s="27" t="s">
        <v>8</v>
      </c>
      <c r="C7" s="27"/>
      <c r="D7" s="27"/>
      <c r="E7" s="27"/>
      <c r="F7" s="27"/>
      <c r="G7" s="27"/>
      <c r="H7" s="27"/>
      <c r="I7" s="27"/>
    </row>
    <row r="8" spans="1:10" x14ac:dyDescent="0.25">
      <c r="A8" s="6"/>
      <c r="B8" s="6" t="s">
        <v>25</v>
      </c>
      <c r="C8" s="6"/>
      <c r="D8" s="6"/>
      <c r="E8" s="6"/>
      <c r="F8" s="6"/>
      <c r="G8" s="6"/>
      <c r="H8" s="6"/>
      <c r="I8" s="6"/>
    </row>
    <row r="9" spans="1:10" x14ac:dyDescent="0.25">
      <c r="A9" s="6"/>
      <c r="B9" s="6" t="s">
        <v>26</v>
      </c>
      <c r="C9" s="6"/>
      <c r="D9" s="6"/>
      <c r="E9" s="6"/>
      <c r="F9" s="6"/>
      <c r="G9" s="6"/>
      <c r="H9" s="6"/>
      <c r="I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</row>
    <row r="11" spans="1:10" x14ac:dyDescent="0.25">
      <c r="A11" s="3"/>
      <c r="B11" s="3"/>
      <c r="C11" s="3"/>
      <c r="D11" s="3"/>
      <c r="E11" s="3" t="s">
        <v>2</v>
      </c>
      <c r="F11" s="3"/>
      <c r="G11" s="3"/>
      <c r="H11" s="3" t="s">
        <v>3</v>
      </c>
      <c r="I11" s="3"/>
    </row>
    <row r="12" spans="1:10" x14ac:dyDescent="0.25">
      <c r="A12" s="6"/>
      <c r="B12" s="6"/>
      <c r="C12" s="6"/>
      <c r="D12" s="6"/>
      <c r="E12" s="63" t="s">
        <v>31</v>
      </c>
      <c r="F12" s="64"/>
      <c r="G12" s="63" t="s">
        <v>50</v>
      </c>
      <c r="H12" s="64"/>
      <c r="I12" s="64"/>
      <c r="J12" s="64"/>
    </row>
    <row r="13" spans="1:10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10" x14ac:dyDescent="0.25">
      <c r="B14" s="3" t="s">
        <v>13</v>
      </c>
      <c r="E14" s="16">
        <v>2670</v>
      </c>
      <c r="F14" s="6" t="s">
        <v>11</v>
      </c>
      <c r="H14" s="15">
        <v>3560</v>
      </c>
      <c r="I14" s="6" t="s">
        <v>12</v>
      </c>
    </row>
    <row r="15" spans="1:10" x14ac:dyDescent="0.25">
      <c r="B15" s="3" t="s">
        <v>4</v>
      </c>
      <c r="E15" s="9">
        <v>150</v>
      </c>
      <c r="H15" s="10">
        <v>150</v>
      </c>
    </row>
    <row r="16" spans="1:10" x14ac:dyDescent="0.25">
      <c r="B16" s="3" t="s">
        <v>9</v>
      </c>
      <c r="E16" s="9">
        <v>750</v>
      </c>
      <c r="H16" s="10">
        <v>750</v>
      </c>
    </row>
    <row r="17" spans="1:15" x14ac:dyDescent="0.25">
      <c r="B17" s="3" t="s">
        <v>5</v>
      </c>
      <c r="E17" s="9">
        <v>795</v>
      </c>
      <c r="H17" s="10">
        <v>795</v>
      </c>
    </row>
    <row r="18" spans="1:15" x14ac:dyDescent="0.25">
      <c r="B18" s="71" t="s">
        <v>44</v>
      </c>
      <c r="C18" s="64"/>
      <c r="D18" s="64"/>
      <c r="E18" s="59">
        <v>0</v>
      </c>
      <c r="H18" s="60">
        <v>750</v>
      </c>
    </row>
    <row r="19" spans="1:15" x14ac:dyDescent="0.25">
      <c r="B19" s="3" t="s">
        <v>14</v>
      </c>
      <c r="E19" s="58">
        <v>4365</v>
      </c>
      <c r="H19" s="58">
        <f>SUM(H14:H18)</f>
        <v>6005</v>
      </c>
    </row>
    <row r="21" spans="1:15" x14ac:dyDescent="0.25">
      <c r="A21" s="6"/>
      <c r="B21" s="6" t="s">
        <v>10</v>
      </c>
      <c r="C21" s="6"/>
      <c r="D21" s="6"/>
      <c r="E21" s="6"/>
      <c r="F21" s="6"/>
      <c r="G21" s="6"/>
      <c r="H21" s="6"/>
      <c r="I21" s="6"/>
    </row>
    <row r="24" spans="1:15" s="28" customFormat="1" ht="18.75" x14ac:dyDescent="0.3">
      <c r="B24" s="85" t="s">
        <v>52</v>
      </c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</row>
    <row r="25" spans="1:15" s="61" customFormat="1" x14ac:dyDescent="0.25">
      <c r="B25" s="81" t="s">
        <v>53</v>
      </c>
      <c r="C25" s="81"/>
      <c r="D25" s="81"/>
      <c r="E25" s="81"/>
      <c r="F25" s="81"/>
      <c r="G25" s="81"/>
      <c r="H25" s="81"/>
      <c r="I25" s="62"/>
      <c r="J25" s="62"/>
      <c r="K25" s="62"/>
      <c r="L25" s="62"/>
      <c r="M25" s="62"/>
      <c r="N25" s="62"/>
      <c r="O25" s="62"/>
    </row>
    <row r="26" spans="1:15" x14ac:dyDescent="0.25">
      <c r="A26" s="6"/>
      <c r="B26" s="6" t="s">
        <v>35</v>
      </c>
      <c r="C26" s="6"/>
      <c r="D26" s="6"/>
      <c r="E26" s="6"/>
      <c r="F26" s="6"/>
      <c r="G26" s="6"/>
      <c r="H26" s="6"/>
      <c r="I26" s="6"/>
    </row>
    <row r="28" spans="1:15" x14ac:dyDescent="0.25">
      <c r="E28" s="3" t="s">
        <v>6</v>
      </c>
      <c r="H28" s="3" t="s">
        <v>7</v>
      </c>
    </row>
    <row r="29" spans="1:15" x14ac:dyDescent="0.25">
      <c r="E29" s="32" t="s">
        <v>21</v>
      </c>
      <c r="G29" s="63" t="s">
        <v>51</v>
      </c>
      <c r="H29" s="64"/>
      <c r="I29" s="64"/>
      <c r="J29" s="64"/>
    </row>
    <row r="31" spans="1:15" x14ac:dyDescent="0.25">
      <c r="B31" s="3" t="s">
        <v>13</v>
      </c>
      <c r="E31" s="15">
        <v>5340</v>
      </c>
      <c r="F31" s="6" t="s">
        <v>36</v>
      </c>
      <c r="H31" s="15">
        <v>6230</v>
      </c>
      <c r="I31" s="6" t="s">
        <v>40</v>
      </c>
    </row>
    <row r="32" spans="1:15" x14ac:dyDescent="0.25">
      <c r="B32" s="3" t="s">
        <v>4</v>
      </c>
      <c r="E32" s="10">
        <v>300</v>
      </c>
      <c r="F32" s="6" t="s">
        <v>17</v>
      </c>
      <c r="H32" s="10">
        <v>300</v>
      </c>
      <c r="I32" s="6" t="s">
        <v>17</v>
      </c>
    </row>
    <row r="33" spans="1:9" x14ac:dyDescent="0.25">
      <c r="B33" s="3" t="s">
        <v>9</v>
      </c>
      <c r="E33" s="19">
        <v>1054</v>
      </c>
      <c r="H33" s="19">
        <v>1054</v>
      </c>
    </row>
    <row r="34" spans="1:9" x14ac:dyDescent="0.25">
      <c r="B34" s="3" t="s">
        <v>5</v>
      </c>
      <c r="E34" s="10">
        <v>1143</v>
      </c>
      <c r="H34" s="10">
        <v>1143</v>
      </c>
    </row>
    <row r="35" spans="1:9" x14ac:dyDescent="0.25">
      <c r="B35" s="3" t="s">
        <v>44</v>
      </c>
      <c r="E35" s="59">
        <v>0</v>
      </c>
      <c r="H35" s="60">
        <v>750</v>
      </c>
    </row>
    <row r="36" spans="1:9" x14ac:dyDescent="0.25">
      <c r="B36" s="3" t="s">
        <v>14</v>
      </c>
      <c r="E36" s="17">
        <v>7837</v>
      </c>
      <c r="H36" s="17">
        <f>SUM(H31:H35)</f>
        <v>9477</v>
      </c>
    </row>
    <row r="38" spans="1:9" s="20" customFormat="1" x14ac:dyDescent="0.25">
      <c r="A38" s="32"/>
      <c r="B38" s="32" t="s">
        <v>41</v>
      </c>
      <c r="C38" s="32"/>
      <c r="D38" s="32"/>
      <c r="E38" s="32"/>
      <c r="F38" s="32"/>
      <c r="G38" s="32"/>
      <c r="H38" s="32"/>
      <c r="I38" s="32"/>
    </row>
  </sheetData>
  <mergeCells count="8">
    <mergeCell ref="G29:J29"/>
    <mergeCell ref="B25:H25"/>
    <mergeCell ref="E12:F12"/>
    <mergeCell ref="C2:H2"/>
    <mergeCell ref="C3:H3"/>
    <mergeCell ref="B18:D18"/>
    <mergeCell ref="B24:O24"/>
    <mergeCell ref="G12:J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5"/>
  <sheetViews>
    <sheetView topLeftCell="A12" zoomScaleNormal="100" workbookViewId="0">
      <selection activeCell="P46" sqref="P46"/>
    </sheetView>
  </sheetViews>
  <sheetFormatPr defaultRowHeight="15" x14ac:dyDescent="0.25"/>
  <cols>
    <col min="4" max="4" width="9.140625" customWidth="1"/>
    <col min="6" max="6" width="9.7109375" customWidth="1"/>
    <col min="8" max="8" width="9.85546875" customWidth="1"/>
    <col min="9" max="9" width="13.5703125" customWidth="1"/>
  </cols>
  <sheetData>
    <row r="1" spans="2:11" ht="33.75" x14ac:dyDescent="0.5">
      <c r="B1" s="3"/>
      <c r="C1" s="65" t="s">
        <v>0</v>
      </c>
      <c r="D1" s="66"/>
      <c r="E1" s="66"/>
      <c r="F1" s="66"/>
      <c r="G1" s="66"/>
      <c r="H1" s="66"/>
      <c r="I1" s="3"/>
      <c r="J1" s="3"/>
      <c r="K1" s="3"/>
    </row>
    <row r="2" spans="2:11" ht="23.25" x14ac:dyDescent="0.35">
      <c r="B2" s="3"/>
      <c r="C2" s="67" t="s">
        <v>1</v>
      </c>
      <c r="D2" s="68"/>
      <c r="E2" s="68"/>
      <c r="F2" s="68"/>
      <c r="G2" s="68"/>
      <c r="H2" s="68"/>
      <c r="I2" s="3"/>
      <c r="J2" s="3"/>
      <c r="K2" s="3"/>
    </row>
    <row r="4" spans="2:11" s="49" customFormat="1" x14ac:dyDescent="0.25">
      <c r="B4" s="48" t="s">
        <v>23</v>
      </c>
      <c r="C4" s="48"/>
      <c r="D4" s="48"/>
      <c r="E4" s="48"/>
      <c r="F4" s="48"/>
      <c r="G4" s="48"/>
      <c r="H4" s="48"/>
      <c r="I4" s="48"/>
      <c r="J4" s="48"/>
      <c r="K4" s="48"/>
    </row>
    <row r="5" spans="2:11" s="6" customFormat="1" x14ac:dyDescent="0.25">
      <c r="B5" s="6" t="s">
        <v>22</v>
      </c>
    </row>
    <row r="6" spans="2:11" x14ac:dyDescent="0.25">
      <c r="B6" s="3"/>
      <c r="C6" s="3"/>
      <c r="D6" s="3"/>
      <c r="E6" s="3"/>
      <c r="F6" s="3"/>
      <c r="G6" s="3"/>
      <c r="H6" s="3"/>
      <c r="I6" s="3"/>
      <c r="J6" s="3"/>
      <c r="K6" s="3"/>
    </row>
    <row r="7" spans="2:11" x14ac:dyDescent="0.25">
      <c r="C7" s="3"/>
      <c r="D7" s="3"/>
      <c r="E7" s="3" t="s">
        <v>6</v>
      </c>
      <c r="F7" s="3"/>
      <c r="G7" s="3" t="s">
        <v>7</v>
      </c>
      <c r="H7" s="3"/>
      <c r="I7" s="3"/>
      <c r="J7" s="3"/>
      <c r="K7" s="3"/>
    </row>
    <row r="8" spans="2:11" s="6" customFormat="1" x14ac:dyDescent="0.25">
      <c r="E8" s="6" t="s">
        <v>21</v>
      </c>
      <c r="G8" s="63" t="s">
        <v>45</v>
      </c>
      <c r="H8" s="64"/>
      <c r="I8" s="64"/>
    </row>
    <row r="9" spans="2:11" x14ac:dyDescent="0.25">
      <c r="B9" s="3"/>
      <c r="C9" s="3"/>
      <c r="D9" s="3"/>
      <c r="E9" s="3"/>
      <c r="F9" s="3"/>
      <c r="G9" s="3"/>
      <c r="H9" s="3"/>
      <c r="I9" s="3"/>
      <c r="J9" s="3"/>
      <c r="K9" s="3"/>
    </row>
    <row r="10" spans="2:11" x14ac:dyDescent="0.25">
      <c r="B10" s="3" t="s">
        <v>15</v>
      </c>
      <c r="E10" s="16">
        <v>4860</v>
      </c>
      <c r="F10" s="7" t="s">
        <v>16</v>
      </c>
      <c r="G10" s="15">
        <v>5670</v>
      </c>
      <c r="H10" s="6" t="s">
        <v>18</v>
      </c>
      <c r="I10" s="1"/>
    </row>
    <row r="11" spans="2:11" x14ac:dyDescent="0.25">
      <c r="B11" s="3" t="s">
        <v>27</v>
      </c>
      <c r="E11" s="9">
        <v>300</v>
      </c>
      <c r="F11" s="8" t="s">
        <v>17</v>
      </c>
      <c r="G11" s="10">
        <v>300</v>
      </c>
      <c r="H11" s="6" t="s">
        <v>17</v>
      </c>
      <c r="I11" s="1"/>
    </row>
    <row r="12" spans="2:11" x14ac:dyDescent="0.25">
      <c r="B12" s="3" t="s">
        <v>9</v>
      </c>
      <c r="E12" s="9">
        <v>1180</v>
      </c>
      <c r="F12" s="2"/>
      <c r="G12" s="10">
        <v>1180</v>
      </c>
      <c r="I12" s="1"/>
    </row>
    <row r="13" spans="2:11" x14ac:dyDescent="0.25">
      <c r="B13" s="3" t="s">
        <v>5</v>
      </c>
      <c r="E13" s="9">
        <v>1280</v>
      </c>
      <c r="F13" s="2"/>
      <c r="G13" s="10">
        <v>1280</v>
      </c>
      <c r="I13" s="1"/>
    </row>
    <row r="14" spans="2:11" x14ac:dyDescent="0.25">
      <c r="B14" s="71" t="s">
        <v>44</v>
      </c>
      <c r="C14" s="64"/>
      <c r="D14" s="64"/>
      <c r="E14" s="59">
        <v>0</v>
      </c>
      <c r="F14" s="5"/>
      <c r="G14" s="60">
        <v>750</v>
      </c>
      <c r="I14" s="1"/>
    </row>
    <row r="15" spans="2:11" x14ac:dyDescent="0.25">
      <c r="B15" s="3" t="s">
        <v>14</v>
      </c>
      <c r="E15" s="17">
        <f>SUM(E10:E14)</f>
        <v>7620</v>
      </c>
      <c r="F15" s="4"/>
      <c r="G15" s="17">
        <f>SUM(G10:G14)</f>
        <v>9180</v>
      </c>
      <c r="I15" s="4"/>
    </row>
    <row r="17" spans="2:6" s="50" customFormat="1" ht="12" x14ac:dyDescent="0.2">
      <c r="B17" s="50" t="s">
        <v>19</v>
      </c>
    </row>
    <row r="19" spans="2:6" s="48" customFormat="1" x14ac:dyDescent="0.25">
      <c r="B19" s="48" t="s">
        <v>34</v>
      </c>
    </row>
    <row r="20" spans="2:6" s="32" customFormat="1" x14ac:dyDescent="0.25">
      <c r="B20" s="32" t="s">
        <v>22</v>
      </c>
    </row>
    <row r="21" spans="2:6" s="6" customFormat="1" x14ac:dyDescent="0.25"/>
    <row r="22" spans="2:6" s="6" customFormat="1" x14ac:dyDescent="0.25">
      <c r="E22" s="3" t="s">
        <v>3</v>
      </c>
    </row>
    <row r="23" spans="2:6" x14ac:dyDescent="0.25">
      <c r="E23" s="6" t="s">
        <v>32</v>
      </c>
    </row>
    <row r="25" spans="2:6" x14ac:dyDescent="0.25">
      <c r="B25" s="3" t="s">
        <v>15</v>
      </c>
      <c r="E25" s="15">
        <v>3240</v>
      </c>
      <c r="F25" s="6" t="s">
        <v>33</v>
      </c>
    </row>
    <row r="26" spans="2:6" x14ac:dyDescent="0.25">
      <c r="B26" s="3" t="s">
        <v>27</v>
      </c>
      <c r="E26" s="10">
        <v>300</v>
      </c>
      <c r="F26" s="6" t="s">
        <v>17</v>
      </c>
    </row>
    <row r="27" spans="2:6" x14ac:dyDescent="0.25">
      <c r="B27" s="3" t="s">
        <v>9</v>
      </c>
      <c r="E27" s="10">
        <v>1180</v>
      </c>
    </row>
    <row r="28" spans="2:6" x14ac:dyDescent="0.25">
      <c r="B28" s="3" t="s">
        <v>5</v>
      </c>
      <c r="E28" s="10">
        <v>1280</v>
      </c>
    </row>
    <row r="29" spans="2:6" x14ac:dyDescent="0.25">
      <c r="B29" s="71" t="s">
        <v>44</v>
      </c>
      <c r="C29" s="64"/>
      <c r="D29" s="64"/>
      <c r="E29" s="60">
        <v>750</v>
      </c>
    </row>
    <row r="30" spans="2:6" s="6" customFormat="1" x14ac:dyDescent="0.25">
      <c r="B30" s="3" t="s">
        <v>14</v>
      </c>
      <c r="C30"/>
      <c r="E30" s="17">
        <f>SUM(E25:E29)</f>
        <v>6750</v>
      </c>
    </row>
    <row r="31" spans="2:6" s="6" customFormat="1" x14ac:dyDescent="0.25">
      <c r="B31" s="3"/>
      <c r="C31"/>
      <c r="E31" s="4"/>
    </row>
    <row r="32" spans="2:6" s="50" customFormat="1" ht="12" x14ac:dyDescent="0.2">
      <c r="B32" s="50" t="s">
        <v>19</v>
      </c>
    </row>
    <row r="34" spans="2:7" s="49" customFormat="1" x14ac:dyDescent="0.25">
      <c r="B34" s="69" t="s">
        <v>20</v>
      </c>
      <c r="C34" s="70"/>
      <c r="D34" s="70"/>
      <c r="E34" s="70"/>
      <c r="F34" s="70"/>
      <c r="G34" s="70"/>
    </row>
    <row r="35" spans="2:7" x14ac:dyDescent="0.25">
      <c r="B35" s="6" t="s">
        <v>24</v>
      </c>
      <c r="C35" s="6"/>
      <c r="D35" s="6"/>
      <c r="E35" s="6"/>
      <c r="F35" s="6"/>
    </row>
    <row r="36" spans="2:7" x14ac:dyDescent="0.25">
      <c r="B36" s="6"/>
      <c r="C36" s="6"/>
      <c r="D36" s="6"/>
      <c r="E36" s="6"/>
      <c r="F36" s="6"/>
    </row>
    <row r="37" spans="2:7" x14ac:dyDescent="0.25">
      <c r="B37" s="6"/>
      <c r="C37" s="6"/>
      <c r="D37" s="6"/>
      <c r="E37" s="3" t="s">
        <v>6</v>
      </c>
      <c r="F37" s="6"/>
    </row>
    <row r="39" spans="2:7" x14ac:dyDescent="0.25">
      <c r="B39" s="3" t="s">
        <v>15</v>
      </c>
      <c r="E39" s="15">
        <v>4860</v>
      </c>
      <c r="F39" s="6" t="s">
        <v>16</v>
      </c>
    </row>
    <row r="40" spans="2:7" x14ac:dyDescent="0.25">
      <c r="B40" s="3" t="s">
        <v>27</v>
      </c>
      <c r="E40" s="10">
        <v>300</v>
      </c>
      <c r="F40" s="6" t="s">
        <v>17</v>
      </c>
    </row>
    <row r="41" spans="2:7" x14ac:dyDescent="0.25">
      <c r="B41" s="3" t="s">
        <v>5</v>
      </c>
      <c r="E41" s="10">
        <v>1300</v>
      </c>
    </row>
    <row r="42" spans="2:7" x14ac:dyDescent="0.25">
      <c r="B42" s="3" t="s">
        <v>28</v>
      </c>
      <c r="E42" s="59">
        <v>0</v>
      </c>
    </row>
    <row r="43" spans="2:7" x14ac:dyDescent="0.25">
      <c r="B43" s="3" t="s">
        <v>30</v>
      </c>
      <c r="E43" s="18">
        <v>6460</v>
      </c>
    </row>
    <row r="44" spans="2:7" x14ac:dyDescent="0.25">
      <c r="B44" s="3"/>
      <c r="E44" s="11"/>
    </row>
    <row r="45" spans="2:7" s="51" customFormat="1" ht="12" x14ac:dyDescent="0.2">
      <c r="B45" s="50" t="s">
        <v>29</v>
      </c>
      <c r="C45" s="50"/>
      <c r="D45" s="50"/>
      <c r="E45" s="50"/>
      <c r="F45" s="50"/>
    </row>
  </sheetData>
  <mergeCells count="6">
    <mergeCell ref="C1:H1"/>
    <mergeCell ref="C2:H2"/>
    <mergeCell ref="B34:G34"/>
    <mergeCell ref="G8:I8"/>
    <mergeCell ref="B14:D14"/>
    <mergeCell ref="B29:D2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30"/>
  <sheetViews>
    <sheetView zoomScaleNormal="100" workbookViewId="0">
      <selection activeCell="O12" sqref="O12"/>
    </sheetView>
  </sheetViews>
  <sheetFormatPr defaultRowHeight="15" x14ac:dyDescent="0.25"/>
  <cols>
    <col min="1" max="1" width="6.28515625" customWidth="1"/>
    <col min="2" max="2" width="9.42578125" customWidth="1"/>
    <col min="4" max="4" width="37.140625" customWidth="1"/>
    <col min="5" max="5" width="17" customWidth="1"/>
    <col min="7" max="7" width="0.85546875" customWidth="1"/>
    <col min="8" max="10" width="9.140625" hidden="1" customWidth="1"/>
  </cols>
  <sheetData>
    <row r="4" spans="1:10" s="29" customFormat="1" ht="46.5" x14ac:dyDescent="0.7">
      <c r="A4" s="31"/>
      <c r="C4" s="76" t="s">
        <v>0</v>
      </c>
      <c r="D4" s="64"/>
      <c r="E4" s="64"/>
    </row>
    <row r="5" spans="1:10" ht="28.5" x14ac:dyDescent="0.45">
      <c r="D5" s="30" t="s">
        <v>1</v>
      </c>
    </row>
    <row r="9" spans="1:10" s="33" customFormat="1" ht="21" x14ac:dyDescent="0.35">
      <c r="B9" s="72" t="s">
        <v>37</v>
      </c>
      <c r="C9" s="73"/>
      <c r="D9" s="73"/>
      <c r="E9" s="73"/>
      <c r="F9" s="34"/>
      <c r="G9" s="34"/>
      <c r="H9" s="34"/>
      <c r="I9" s="34"/>
      <c r="J9" s="34"/>
    </row>
    <row r="10" spans="1:10" s="35" customFormat="1" ht="15.75" x14ac:dyDescent="0.25">
      <c r="B10" s="35" t="s">
        <v>38</v>
      </c>
    </row>
    <row r="11" spans="1:10" x14ac:dyDescent="0.25">
      <c r="B11" s="6"/>
      <c r="C11" s="6"/>
      <c r="D11" s="6"/>
      <c r="E11" s="6"/>
      <c r="F11" s="6"/>
      <c r="G11" s="6"/>
      <c r="H11" s="6"/>
      <c r="I11" s="6"/>
      <c r="J11" s="6"/>
    </row>
    <row r="12" spans="1:10" s="22" customFormat="1" ht="31.5" x14ac:dyDescent="0.25">
      <c r="B12" s="21"/>
      <c r="C12" s="21"/>
      <c r="D12" s="21"/>
      <c r="E12" s="47" t="s">
        <v>39</v>
      </c>
      <c r="F12" s="21"/>
      <c r="G12" s="21"/>
      <c r="H12" s="21"/>
      <c r="I12" s="21"/>
      <c r="J12" s="21"/>
    </row>
    <row r="13" spans="1:10" s="22" customFormat="1" ht="15.75" x14ac:dyDescent="0.25">
      <c r="B13" s="35"/>
      <c r="C13" s="35"/>
      <c r="D13" s="35"/>
      <c r="E13" s="36"/>
      <c r="F13" s="35"/>
      <c r="G13" s="35"/>
      <c r="H13" s="35"/>
      <c r="I13" s="35"/>
      <c r="J13" s="35"/>
    </row>
    <row r="14" spans="1:10" s="22" customFormat="1" ht="15.75" x14ac:dyDescent="0.25">
      <c r="B14" s="77" t="s">
        <v>13</v>
      </c>
      <c r="C14" s="78"/>
      <c r="D14" s="78"/>
      <c r="E14" s="37">
        <v>19435</v>
      </c>
      <c r="F14" s="35"/>
      <c r="H14" s="38"/>
      <c r="I14" s="35"/>
    </row>
    <row r="15" spans="1:10" s="22" customFormat="1" ht="15.75" x14ac:dyDescent="0.25">
      <c r="B15" s="77" t="s">
        <v>47</v>
      </c>
      <c r="C15" s="78"/>
      <c r="D15" s="78"/>
      <c r="E15" s="39">
        <v>2465</v>
      </c>
      <c r="H15" s="40"/>
    </row>
    <row r="16" spans="1:10" s="22" customFormat="1" ht="15.75" x14ac:dyDescent="0.25">
      <c r="B16" s="77" t="s">
        <v>49</v>
      </c>
      <c r="C16" s="78"/>
      <c r="D16" s="78"/>
      <c r="E16" s="39">
        <v>3590</v>
      </c>
      <c r="H16" s="40"/>
    </row>
    <row r="17" spans="2:10" s="22" customFormat="1" ht="15.75" x14ac:dyDescent="0.25">
      <c r="B17" s="77" t="s">
        <v>48</v>
      </c>
      <c r="C17" s="78"/>
      <c r="D17" s="78"/>
      <c r="E17" s="55">
        <v>2500</v>
      </c>
      <c r="H17" s="40"/>
    </row>
    <row r="18" spans="2:10" s="22" customFormat="1" ht="15.75" x14ac:dyDescent="0.25">
      <c r="B18" s="53" t="s">
        <v>42</v>
      </c>
      <c r="C18" s="42"/>
      <c r="D18" s="42"/>
      <c r="E18" s="54">
        <f>SUM(E14:E17)</f>
        <v>27990</v>
      </c>
      <c r="H18" s="40"/>
    </row>
    <row r="19" spans="2:10" s="22" customFormat="1" ht="15.75" x14ac:dyDescent="0.25">
      <c r="B19" s="41"/>
      <c r="C19" s="42"/>
      <c r="D19" s="42"/>
      <c r="E19" s="43"/>
      <c r="H19" s="40"/>
    </row>
    <row r="20" spans="2:10" s="44" customFormat="1" ht="15.75" x14ac:dyDescent="0.25">
      <c r="B20" s="79" t="s">
        <v>43</v>
      </c>
      <c r="C20" s="80"/>
      <c r="D20" s="80"/>
      <c r="E20" s="57">
        <v>750</v>
      </c>
      <c r="H20" s="45"/>
    </row>
    <row r="21" spans="2:10" s="44" customFormat="1" ht="15.75" x14ac:dyDescent="0.25">
      <c r="B21" s="79" t="s">
        <v>46</v>
      </c>
      <c r="C21" s="64"/>
      <c r="D21" s="64"/>
      <c r="E21" s="56">
        <f>E20+E18</f>
        <v>28740</v>
      </c>
      <c r="H21" s="46"/>
    </row>
    <row r="23" spans="2:10" s="14" customFormat="1" x14ac:dyDescent="0.25">
      <c r="B23" s="74"/>
      <c r="C23" s="75"/>
      <c r="D23" s="75"/>
      <c r="E23" s="75"/>
      <c r="F23" s="13"/>
      <c r="G23" s="13"/>
      <c r="H23" s="13"/>
      <c r="I23" s="13"/>
      <c r="J23" s="13"/>
    </row>
    <row r="28" spans="2:10" x14ac:dyDescent="0.25">
      <c r="E28" s="52"/>
    </row>
    <row r="30" spans="2:10" x14ac:dyDescent="0.25">
      <c r="E30" s="52"/>
    </row>
  </sheetData>
  <mergeCells count="9">
    <mergeCell ref="B9:E9"/>
    <mergeCell ref="B23:E23"/>
    <mergeCell ref="C4:E4"/>
    <mergeCell ref="B14:D14"/>
    <mergeCell ref="B15:D15"/>
    <mergeCell ref="B16:D16"/>
    <mergeCell ref="B17:D17"/>
    <mergeCell ref="B20:D20"/>
    <mergeCell ref="B21:D2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I50"/>
  <sheetViews>
    <sheetView zoomScaleNormal="100" workbookViewId="0">
      <selection activeCell="B1" sqref="B1"/>
    </sheetView>
  </sheetViews>
  <sheetFormatPr defaultRowHeight="15" x14ac:dyDescent="0.25"/>
  <cols>
    <col min="3" max="3" width="11.140625" customWidth="1"/>
    <col min="4" max="4" width="6" customWidth="1"/>
    <col min="5" max="5" width="10.140625" customWidth="1"/>
    <col min="6" max="6" width="10.28515625" customWidth="1"/>
    <col min="7" max="7" width="3.85546875" customWidth="1"/>
    <col min="9" max="9" width="11.85546875" customWidth="1"/>
  </cols>
  <sheetData>
    <row r="19" spans="2:9" s="21" customFormat="1" ht="15.75" x14ac:dyDescent="0.25"/>
    <row r="20" spans="2:9" s="6" customFormat="1" x14ac:dyDescent="0.25"/>
    <row r="21" spans="2:9" s="6" customFormat="1" x14ac:dyDescent="0.25"/>
    <row r="22" spans="2:9" s="6" customFormat="1" x14ac:dyDescent="0.25"/>
    <row r="23" spans="2:9" s="3" customFormat="1" x14ac:dyDescent="0.25"/>
    <row r="24" spans="2:9" s="6" customFormat="1" x14ac:dyDescent="0.25">
      <c r="E24" s="63"/>
      <c r="F24" s="64"/>
    </row>
    <row r="25" spans="2:9" s="3" customFormat="1" x14ac:dyDescent="0.25"/>
    <row r="26" spans="2:9" x14ac:dyDescent="0.25">
      <c r="B26" s="3"/>
      <c r="E26" s="16"/>
      <c r="F26" s="6"/>
      <c r="H26" s="15"/>
      <c r="I26" s="6"/>
    </row>
    <row r="27" spans="2:9" x14ac:dyDescent="0.25">
      <c r="B27" s="3"/>
      <c r="E27" s="9"/>
      <c r="H27" s="10"/>
    </row>
    <row r="28" spans="2:9" x14ac:dyDescent="0.25">
      <c r="B28" s="3"/>
      <c r="E28" s="9"/>
      <c r="H28" s="10"/>
    </row>
    <row r="29" spans="2:9" x14ac:dyDescent="0.25">
      <c r="B29" s="3"/>
      <c r="E29" s="9"/>
      <c r="H29" s="10"/>
    </row>
    <row r="30" spans="2:9" x14ac:dyDescent="0.25">
      <c r="B30" s="3"/>
      <c r="E30" s="12"/>
      <c r="H30" s="10"/>
    </row>
    <row r="31" spans="2:9" x14ac:dyDescent="0.25">
      <c r="B31" s="3"/>
      <c r="E31" s="17"/>
      <c r="H31" s="17"/>
    </row>
    <row r="33" spans="2:9" s="6" customFormat="1" x14ac:dyDescent="0.25"/>
    <row r="36" spans="2:9" s="22" customFormat="1" ht="15.75" x14ac:dyDescent="0.25">
      <c r="B36" s="21"/>
    </row>
    <row r="37" spans="2:9" s="6" customFormat="1" x14ac:dyDescent="0.25"/>
    <row r="39" spans="2:9" x14ac:dyDescent="0.25">
      <c r="E39" s="3"/>
      <c r="H39" s="3"/>
    </row>
    <row r="40" spans="2:9" x14ac:dyDescent="0.25">
      <c r="E40" s="20"/>
    </row>
    <row r="42" spans="2:9" x14ac:dyDescent="0.25">
      <c r="B42" s="3"/>
      <c r="E42" s="15"/>
      <c r="F42" s="6"/>
      <c r="H42" s="15"/>
      <c r="I42" s="6"/>
    </row>
    <row r="43" spans="2:9" x14ac:dyDescent="0.25">
      <c r="B43" s="3"/>
      <c r="E43" s="10"/>
      <c r="F43" s="6"/>
      <c r="H43" s="10"/>
      <c r="I43" s="6"/>
    </row>
    <row r="44" spans="2:9" x14ac:dyDescent="0.25">
      <c r="B44" s="3"/>
      <c r="E44" s="19"/>
      <c r="H44" s="19"/>
    </row>
    <row r="45" spans="2:9" x14ac:dyDescent="0.25">
      <c r="B45" s="3"/>
      <c r="E45" s="10"/>
      <c r="H45" s="10"/>
    </row>
    <row r="46" spans="2:9" x14ac:dyDescent="0.25">
      <c r="B46" s="3"/>
      <c r="E46" s="11"/>
      <c r="H46" s="10"/>
    </row>
    <row r="47" spans="2:9" x14ac:dyDescent="0.25">
      <c r="B47" s="3"/>
      <c r="E47" s="11"/>
      <c r="H47" s="10"/>
    </row>
    <row r="48" spans="2:9" x14ac:dyDescent="0.25">
      <c r="B48" s="3"/>
      <c r="E48" s="17"/>
      <c r="H48" s="17"/>
    </row>
    <row r="50" s="6" customFormat="1" x14ac:dyDescent="0.25"/>
  </sheetData>
  <mergeCells count="1">
    <mergeCell ref="E24:F24"/>
  </mergeCells>
  <pageMargins left="0.7" right="0.7" top="0.75" bottom="0.75" header="0.3" footer="0.3"/>
  <pageSetup orientation="portrait" r:id="rId1"/>
  <headerFooter>
    <oddHeader>&amp;C&amp;28
&amp;"-,Bold"&amp;36 2013 SMU-in- TAOS&amp;"-,Regular"&amp;28
&amp;"-,Bold"&amp;22How Much Does It Cost?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MayAug 2013</vt:lpstr>
      <vt:lpstr>June 2013</vt:lpstr>
      <vt:lpstr>Fall 2013</vt:lpstr>
      <vt:lpstr>Empty </vt:lpstr>
      <vt:lpstr>'June 2013'!Print_Area</vt:lpstr>
    </vt:vector>
  </TitlesOfParts>
  <Company>SMU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Carol</dc:creator>
  <cp:lastModifiedBy>Aston, Anna Bland</cp:lastModifiedBy>
  <cp:lastPrinted>2012-11-14T16:44:56Z</cp:lastPrinted>
  <dcterms:created xsi:type="dcterms:W3CDTF">2012-11-13T18:28:33Z</dcterms:created>
  <dcterms:modified xsi:type="dcterms:W3CDTF">2012-11-21T16:27:09Z</dcterms:modified>
</cp:coreProperties>
</file>